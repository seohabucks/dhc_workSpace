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C_1M\Desktop\업무용파일_이서하\일자별_업무_사용파일\0401\"/>
    </mc:Choice>
  </mc:AlternateContent>
  <xr:revisionPtr revIDLastSave="0" documentId="13_ncr:1_{1B695870-8C9D-46FB-9F06-1BF97F87CEEB}" xr6:coauthVersionLast="47" xr6:coauthVersionMax="47" xr10:uidLastSave="{00000000-0000-0000-0000-000000000000}"/>
  <bookViews>
    <workbookView xWindow="-120" yWindow="-120" windowWidth="29040" windowHeight="15720" tabRatio="904" activeTab="1" xr2:uid="{00000000-000D-0000-FFFF-FFFF00000000}"/>
  </bookViews>
  <sheets>
    <sheet name="견적서" sheetId="29" r:id="rId1"/>
    <sheet name="내역서(700)" sheetId="32" r:id="rId2"/>
    <sheet name="내역서(1350)" sheetId="31" r:id="rId3"/>
    <sheet name="목록(강관)" sheetId="1" state="hidden" r:id="rId4"/>
    <sheet name="강관부설 및 철거" sheetId="23" state="hidden" r:id="rId5"/>
    <sheet name="강관용접" sheetId="18" state="hidden" r:id="rId6"/>
    <sheet name="강관도장" sheetId="19" state="hidden" r:id="rId7"/>
    <sheet name="강관절단 및 절단(철거)" sheetId="20" state="hidden" r:id="rId8"/>
    <sheet name="플랜지" sheetId="15" state="hidden" r:id="rId9"/>
    <sheet name="목록(주철관)" sheetId="28" state="hidden" r:id="rId10"/>
    <sheet name="KP메카니컬접합부설" sheetId="14" state="hidden" r:id="rId11"/>
    <sheet name="KP접합" sheetId="21" state="hidden" r:id="rId12"/>
    <sheet name="절단" sheetId="22" state="hidden" r:id="rId13"/>
    <sheet name="밸브" sheetId="16" state="hidden" r:id="rId14"/>
    <sheet name="잡철물" sheetId="17" state="hidden" r:id="rId15"/>
    <sheet name="보호공 계)" sheetId="26" state="hidden" r:id="rId16"/>
    <sheet name="보호공" sheetId="24" state="hidden" r:id="rId17"/>
    <sheet name="노임" sheetId="8" r:id="rId18"/>
    <sheet name="경비" sheetId="9" state="hidden" r:id="rId19"/>
    <sheet name="전역변수" sheetId="11" state="hidden" r:id="rId20"/>
    <sheet name="중기전역변수" sheetId="12" state="hidden" r:id="rId21"/>
  </sheets>
  <externalReferences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</externalReferences>
  <definedNames>
    <definedName name="_____dfg1" localSheetId="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__dfg1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__dfg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__P3" localSheetId="2" hidden="1">{#N/A,#N/A,FALSE,"배수1"}</definedName>
    <definedName name="_____P3" localSheetId="1" hidden="1">{#N/A,#N/A,FALSE,"배수1"}</definedName>
    <definedName name="_____P3" hidden="1">{#N/A,#N/A,FALSE,"배수1"}</definedName>
    <definedName name="_____P4" localSheetId="2" hidden="1">{#N/A,#N/A,FALSE,"혼합골재"}</definedName>
    <definedName name="_____P4" localSheetId="1" hidden="1">{#N/A,#N/A,FALSE,"혼합골재"}</definedName>
    <definedName name="_____P4" hidden="1">{#N/A,#N/A,FALSE,"혼합골재"}</definedName>
    <definedName name="_____P5" localSheetId="2" hidden="1">{#N/A,#N/A,FALSE,"배수1"}</definedName>
    <definedName name="_____P5" localSheetId="1" hidden="1">{#N/A,#N/A,FALSE,"배수1"}</definedName>
    <definedName name="_____P5" hidden="1">{#N/A,#N/A,FALSE,"배수1"}</definedName>
    <definedName name="_____P6" localSheetId="2" hidden="1">{#N/A,#N/A,FALSE,"2~8번"}</definedName>
    <definedName name="_____P6" localSheetId="1" hidden="1">{#N/A,#N/A,FALSE,"2~8번"}</definedName>
    <definedName name="_____P6" hidden="1">{#N/A,#N/A,FALSE,"2~8번"}</definedName>
    <definedName name="_____S3" localSheetId="2" hidden="1">{#N/A,#N/A,FALSE,"포장2"}</definedName>
    <definedName name="_____S3" localSheetId="1" hidden="1">{#N/A,#N/A,FALSE,"포장2"}</definedName>
    <definedName name="_____S3" hidden="1">{#N/A,#N/A,FALSE,"포장2"}</definedName>
    <definedName name="___dfg1" localSheetId="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dfg1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dfg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P3" localSheetId="2" hidden="1">{#N/A,#N/A,FALSE,"배수1"}</definedName>
    <definedName name="___P3" localSheetId="1" hidden="1">{#N/A,#N/A,FALSE,"배수1"}</definedName>
    <definedName name="___P3" hidden="1">{#N/A,#N/A,FALSE,"배수1"}</definedName>
    <definedName name="___P4" localSheetId="2" hidden="1">{#N/A,#N/A,FALSE,"혼합골재"}</definedName>
    <definedName name="___P4" localSheetId="1" hidden="1">{#N/A,#N/A,FALSE,"혼합골재"}</definedName>
    <definedName name="___P4" hidden="1">{#N/A,#N/A,FALSE,"혼합골재"}</definedName>
    <definedName name="___P5" localSheetId="2" hidden="1">{#N/A,#N/A,FALSE,"배수1"}</definedName>
    <definedName name="___P5" localSheetId="1" hidden="1">{#N/A,#N/A,FALSE,"배수1"}</definedName>
    <definedName name="___P5" hidden="1">{#N/A,#N/A,FALSE,"배수1"}</definedName>
    <definedName name="___P6" localSheetId="2" hidden="1">{#N/A,#N/A,FALSE,"2~8번"}</definedName>
    <definedName name="___P6" localSheetId="1" hidden="1">{#N/A,#N/A,FALSE,"2~8번"}</definedName>
    <definedName name="___P6" hidden="1">{#N/A,#N/A,FALSE,"2~8번"}</definedName>
    <definedName name="___S3" localSheetId="2" hidden="1">{#N/A,#N/A,FALSE,"포장2"}</definedName>
    <definedName name="___S3" localSheetId="1" hidden="1">{#N/A,#N/A,FALSE,"포장2"}</definedName>
    <definedName name="___S3" hidden="1">{#N/A,#N/A,FALSE,"포장2"}</definedName>
    <definedName name="__123Graph_X" hidden="1">'[1]ENE-CAL 1'!$E$10:$E$35</definedName>
    <definedName name="__dfg1" localSheetId="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dfg1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dfg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IntlFixup" hidden="1">TRUE</definedName>
    <definedName name="__P3" localSheetId="2" hidden="1">{#N/A,#N/A,FALSE,"배수1"}</definedName>
    <definedName name="__P3" localSheetId="1" hidden="1">{#N/A,#N/A,FALSE,"배수1"}</definedName>
    <definedName name="__P3" hidden="1">{#N/A,#N/A,FALSE,"배수1"}</definedName>
    <definedName name="__P4" localSheetId="2" hidden="1">{#N/A,#N/A,FALSE,"혼합골재"}</definedName>
    <definedName name="__P4" localSheetId="1" hidden="1">{#N/A,#N/A,FALSE,"혼합골재"}</definedName>
    <definedName name="__P4" hidden="1">{#N/A,#N/A,FALSE,"혼합골재"}</definedName>
    <definedName name="__P5" localSheetId="2" hidden="1">{#N/A,#N/A,FALSE,"배수1"}</definedName>
    <definedName name="__P5" localSheetId="1" hidden="1">{#N/A,#N/A,FALSE,"배수1"}</definedName>
    <definedName name="__P5" hidden="1">{#N/A,#N/A,FALSE,"배수1"}</definedName>
    <definedName name="__P6" localSheetId="2" hidden="1">{#N/A,#N/A,FALSE,"2~8번"}</definedName>
    <definedName name="__P6" localSheetId="1" hidden="1">{#N/A,#N/A,FALSE,"2~8번"}</definedName>
    <definedName name="__P6" hidden="1">{#N/A,#N/A,FALSE,"2~8번"}</definedName>
    <definedName name="__S3" localSheetId="2" hidden="1">{#N/A,#N/A,FALSE,"포장2"}</definedName>
    <definedName name="__S3" localSheetId="1" hidden="1">{#N/A,#N/A,FALSE,"포장2"}</definedName>
    <definedName name="__S3" hidden="1">{#N/A,#N/A,FALSE,"포장2"}</definedName>
    <definedName name="_10S3_" localSheetId="2" hidden="1">{#N/A,#N/A,FALSE,"포장2"}</definedName>
    <definedName name="_10S3_" localSheetId="1" hidden="1">{#N/A,#N/A,FALSE,"포장2"}</definedName>
    <definedName name="_10S3_" hidden="1">{#N/A,#N/A,FALSE,"포장2"}</definedName>
    <definedName name="_12P6_" localSheetId="2" hidden="1">{#N/A,#N/A,FALSE,"2~8번"}</definedName>
    <definedName name="_12P6_" localSheetId="1" hidden="1">{#N/A,#N/A,FALSE,"2~8번"}</definedName>
    <definedName name="_12P6_" hidden="1">{#N/A,#N/A,FALSE,"2~8번"}</definedName>
    <definedName name="_15A">[2]가격조사서!$D$4:$D$11</definedName>
    <definedName name="_15S3_" localSheetId="2" hidden="1">{#N/A,#N/A,FALSE,"포장2"}</definedName>
    <definedName name="_15S3_" localSheetId="1" hidden="1">{#N/A,#N/A,FALSE,"포장2"}</definedName>
    <definedName name="_15S3_" hidden="1">{#N/A,#N/A,FALSE,"포장2"}</definedName>
    <definedName name="_1P3_" localSheetId="2" hidden="1">{#N/A,#N/A,FALSE,"배수1"}</definedName>
    <definedName name="_1P3_" localSheetId="1" hidden="1">{#N/A,#N/A,FALSE,"배수1"}</definedName>
    <definedName name="_1P3_" hidden="1">{#N/A,#N/A,FALSE,"배수1"}</definedName>
    <definedName name="_2P3_" localSheetId="2" hidden="1">{#N/A,#N/A,FALSE,"배수1"}</definedName>
    <definedName name="_2P3_" localSheetId="1" hidden="1">{#N/A,#N/A,FALSE,"배수1"}</definedName>
    <definedName name="_2P3_" hidden="1">{#N/A,#N/A,FALSE,"배수1"}</definedName>
    <definedName name="_2P4_" localSheetId="2" hidden="1">{#N/A,#N/A,FALSE,"혼합골재"}</definedName>
    <definedName name="_2P4_" localSheetId="1" hidden="1">{#N/A,#N/A,FALSE,"혼합골재"}</definedName>
    <definedName name="_2P4_" hidden="1">{#N/A,#N/A,FALSE,"혼합골재"}</definedName>
    <definedName name="_3P3_" localSheetId="2" hidden="1">{#N/A,#N/A,FALSE,"배수1"}</definedName>
    <definedName name="_3P3_" localSheetId="1" hidden="1">{#N/A,#N/A,FALSE,"배수1"}</definedName>
    <definedName name="_3P3_" hidden="1">{#N/A,#N/A,FALSE,"배수1"}</definedName>
    <definedName name="_3P5_" localSheetId="2" hidden="1">{#N/A,#N/A,FALSE,"배수1"}</definedName>
    <definedName name="_3P5_" localSheetId="1" hidden="1">{#N/A,#N/A,FALSE,"배수1"}</definedName>
    <definedName name="_3P5_" hidden="1">{#N/A,#N/A,FALSE,"배수1"}</definedName>
    <definedName name="_4P4_" localSheetId="2" hidden="1">{#N/A,#N/A,FALSE,"혼합골재"}</definedName>
    <definedName name="_4P4_" localSheetId="1" hidden="1">{#N/A,#N/A,FALSE,"혼합골재"}</definedName>
    <definedName name="_4P4_" hidden="1">{#N/A,#N/A,FALSE,"혼합골재"}</definedName>
    <definedName name="_4P6_" localSheetId="2" hidden="1">{#N/A,#N/A,FALSE,"2~8번"}</definedName>
    <definedName name="_4P6_" localSheetId="1" hidden="1">{#N/A,#N/A,FALSE,"2~8번"}</definedName>
    <definedName name="_4P6_" hidden="1">{#N/A,#N/A,FALSE,"2~8번"}</definedName>
    <definedName name="_5S3_" localSheetId="2" hidden="1">{#N/A,#N/A,FALSE,"포장2"}</definedName>
    <definedName name="_5S3_" localSheetId="1" hidden="1">{#N/A,#N/A,FALSE,"포장2"}</definedName>
    <definedName name="_5S3_" hidden="1">{#N/A,#N/A,FALSE,"포장2"}</definedName>
    <definedName name="_6P4_" localSheetId="2" hidden="1">{#N/A,#N/A,FALSE,"혼합골재"}</definedName>
    <definedName name="_6P4_" localSheetId="1" hidden="1">{#N/A,#N/A,FALSE,"혼합골재"}</definedName>
    <definedName name="_6P4_" hidden="1">{#N/A,#N/A,FALSE,"혼합골재"}</definedName>
    <definedName name="_6P5_" localSheetId="2" hidden="1">{#N/A,#N/A,FALSE,"배수1"}</definedName>
    <definedName name="_6P5_" localSheetId="1" hidden="1">{#N/A,#N/A,FALSE,"배수1"}</definedName>
    <definedName name="_6P5_" hidden="1">{#N/A,#N/A,FALSE,"배수1"}</definedName>
    <definedName name="_8P6_" localSheetId="2" hidden="1">{#N/A,#N/A,FALSE,"2~8번"}</definedName>
    <definedName name="_8P6_" localSheetId="1" hidden="1">{#N/A,#N/A,FALSE,"2~8번"}</definedName>
    <definedName name="_8P6_" hidden="1">{#N/A,#N/A,FALSE,"2~8번"}</definedName>
    <definedName name="_9P5_" localSheetId="2" hidden="1">{#N/A,#N/A,FALSE,"배수1"}</definedName>
    <definedName name="_9P5_" localSheetId="1" hidden="1">{#N/A,#N/A,FALSE,"배수1"}</definedName>
    <definedName name="_9P5_" hidden="1">{#N/A,#N/A,FALSE,"배수1"}</definedName>
    <definedName name="_B22">[3]일위대가!$1400:$1413=[3]일위대가!$A$1400</definedName>
    <definedName name="_DAN2">[4]단가조사서!$M$1:$N$65536</definedName>
    <definedName name="_dfg1" localSheetId="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dfg1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dfg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dist__bin" localSheetId="9" hidden="1">[5]조명시설!#REF!</definedName>
    <definedName name="_dist__bin" hidden="1">[5]조명시설!#REF!</definedName>
    <definedName name="_Dist_Bin" localSheetId="9" hidden="1">[6]조명시설!#REF!</definedName>
    <definedName name="_Dist_Bin" hidden="1">[6]조명시설!#REF!</definedName>
    <definedName name="_Dist_Values" localSheetId="9" hidden="1">[6]조명시설!#REF!</definedName>
    <definedName name="_Dist_Values" hidden="1">[6]조명시설!#REF!</definedName>
    <definedName name="_Fill" localSheetId="2" hidden="1">#REF!</definedName>
    <definedName name="_Fill" localSheetId="1" hidden="1">#REF!</definedName>
    <definedName name="_Fill" localSheetId="9" hidden="1">#REF!</definedName>
    <definedName name="_Fill" hidden="1">#REF!</definedName>
    <definedName name="_xlnm._FilterDatabase" localSheetId="10" hidden="1">KP메카니컬접합부설!$A$1:$N$305</definedName>
    <definedName name="_xlnm._FilterDatabase" localSheetId="11" hidden="1">KP접합!$A$1:$N$231</definedName>
    <definedName name="_xlnm._FilterDatabase" localSheetId="6" hidden="1">강관도장!$A$1:$N$733</definedName>
    <definedName name="_xlnm._FilterDatabase" localSheetId="4" hidden="1">'강관부설 및 철거'!$A$1:$N$307</definedName>
    <definedName name="_xlnm._FilterDatabase" localSheetId="5" hidden="1">강관용접!$A$1:$N$253</definedName>
    <definedName name="_xlnm._FilterDatabase" localSheetId="7" hidden="1">'강관절단 및 절단(철거)'!$A$1:$N$1083</definedName>
    <definedName name="_xlnm._FilterDatabase" localSheetId="2" hidden="1">'내역서(1350)'!$B$20:$O$268</definedName>
    <definedName name="_xlnm._FilterDatabase" localSheetId="1" hidden="1">'내역서(700)'!$B$20:$O$268</definedName>
    <definedName name="_xlnm._FilterDatabase" localSheetId="9" hidden="1">#REF!</definedName>
    <definedName name="_xlnm._FilterDatabase" localSheetId="13" hidden="1">밸브!$A$1:$N$366</definedName>
    <definedName name="_xlnm._FilterDatabase" localSheetId="12" hidden="1">절단!$A$1:$N$408</definedName>
    <definedName name="_xlnm._FilterDatabase" localSheetId="8" hidden="1">플랜지!$A$1:$N$170</definedName>
    <definedName name="_xlnm._FilterDatabase" hidden="1">#REF!</definedName>
    <definedName name="_JIP1">[4]집계표!$A$1:$K$65536</definedName>
    <definedName name="_K02">[3]일위대가!$732:$745=[3]일위대가!$A$732</definedName>
    <definedName name="_Key1" localSheetId="2" hidden="1">#REF!</definedName>
    <definedName name="_Key1" localSheetId="1" hidden="1">#REF!</definedName>
    <definedName name="_Key1" localSheetId="9" hidden="1">#REF!</definedName>
    <definedName name="_Key1" hidden="1">#REF!</definedName>
    <definedName name="_Key2" localSheetId="2" hidden="1">#REF!</definedName>
    <definedName name="_Key2" localSheetId="1" hidden="1">#REF!</definedName>
    <definedName name="_Key2" localSheetId="9" hidden="1">#REF!</definedName>
    <definedName name="_Key2" hidden="1">#REF!</definedName>
    <definedName name="_kfkf" localSheetId="2" hidden="1">#REF!</definedName>
    <definedName name="_kfkf" localSheetId="1" hidden="1">#REF!</definedName>
    <definedName name="_kfkf" localSheetId="9" hidden="1">#REF!</definedName>
    <definedName name="_kfkf" hidden="1">#REF!</definedName>
    <definedName name="_O03">[3]일위대가!$1516:$1529=[3]일위대가!$A$1516</definedName>
    <definedName name="_Order1" hidden="1">255</definedName>
    <definedName name="_Order2" hidden="1">255</definedName>
    <definedName name="_P3" localSheetId="2" hidden="1">{#N/A,#N/A,FALSE,"배수1"}</definedName>
    <definedName name="_P3" localSheetId="1" hidden="1">{#N/A,#N/A,FALSE,"배수1"}</definedName>
    <definedName name="_P3" hidden="1">{#N/A,#N/A,FALSE,"배수1"}</definedName>
    <definedName name="_P4" localSheetId="2" hidden="1">{#N/A,#N/A,FALSE,"혼합골재"}</definedName>
    <definedName name="_P4" localSheetId="1" hidden="1">{#N/A,#N/A,FALSE,"혼합골재"}</definedName>
    <definedName name="_P4" hidden="1">{#N/A,#N/A,FALSE,"혼합골재"}</definedName>
    <definedName name="_P5" localSheetId="2" hidden="1">{#N/A,#N/A,FALSE,"배수1"}</definedName>
    <definedName name="_P5" localSheetId="1" hidden="1">{#N/A,#N/A,FALSE,"배수1"}</definedName>
    <definedName name="_P5" hidden="1">{#N/A,#N/A,FALSE,"배수1"}</definedName>
    <definedName name="_P6" localSheetId="2" hidden="1">{#N/A,#N/A,FALSE,"2~8번"}</definedName>
    <definedName name="_P6" localSheetId="1" hidden="1">{#N/A,#N/A,FALSE,"2~8번"}</definedName>
    <definedName name="_P6" hidden="1">{#N/A,#N/A,FALSE,"2~8번"}</definedName>
    <definedName name="_QTY1">[7]SHEET2!$F$3:$F$101</definedName>
    <definedName name="_RAN5">[8]토목품셈!$D$1:$AI$146</definedName>
    <definedName name="_RAN6">[8]토목품셈!$BO$1:$BZ$25</definedName>
    <definedName name="_RAN7">[8]토목품셈!$CB$1:$CJ$24</definedName>
    <definedName name="_Regression_Int" hidden="1">1</definedName>
    <definedName name="_Regression_Out" localSheetId="2" hidden="1">#REF!</definedName>
    <definedName name="_Regression_Out" localSheetId="1" hidden="1">#REF!</definedName>
    <definedName name="_Regression_Out" localSheetId="9" hidden="1">#REF!</definedName>
    <definedName name="_Regression_Out" hidden="1">#REF!</definedName>
    <definedName name="_Regression_X" localSheetId="2" hidden="1">#REF!</definedName>
    <definedName name="_Regression_X" localSheetId="1" hidden="1">#REF!</definedName>
    <definedName name="_Regression_X" localSheetId="9" hidden="1">#REF!</definedName>
    <definedName name="_Regression_X" hidden="1">#REF!</definedName>
    <definedName name="_Regression_Y" localSheetId="2" hidden="1">#REF!</definedName>
    <definedName name="_Regression_Y" localSheetId="1" hidden="1">#REF!</definedName>
    <definedName name="_Regression_Y" localSheetId="9" hidden="1">#REF!</definedName>
    <definedName name="_Regression_Y" hidden="1">#REF!</definedName>
    <definedName name="_S3" localSheetId="2" hidden="1">{#N/A,#N/A,FALSE,"포장2"}</definedName>
    <definedName name="_S3" localSheetId="1" hidden="1">{#N/A,#N/A,FALSE,"포장2"}</definedName>
    <definedName name="_S3" hidden="1">{#N/A,#N/A,FALSE,"포장2"}</definedName>
    <definedName name="_Sort" localSheetId="2" hidden="1">#REF!</definedName>
    <definedName name="_Sort" localSheetId="1" hidden="1">#REF!</definedName>
    <definedName name="_Sort" localSheetId="9" hidden="1">#REF!</definedName>
    <definedName name="_Sort" hidden="1">#REF!</definedName>
    <definedName name="_Table1_In1" localSheetId="2" hidden="1">#REF!</definedName>
    <definedName name="_Table1_In1" localSheetId="1" hidden="1">#REF!</definedName>
    <definedName name="_Table1_In1" localSheetId="9" hidden="1">#REF!</definedName>
    <definedName name="_Table1_In1" hidden="1">#REF!</definedName>
    <definedName name="_Table1_Out" localSheetId="2" hidden="1">#REF!</definedName>
    <definedName name="_Table1_Out" localSheetId="1" hidden="1">#REF!</definedName>
    <definedName name="_Table1_Out" localSheetId="9" hidden="1">#REF!</definedName>
    <definedName name="_Table1_Out" hidden="1">#REF!</definedName>
    <definedName name="_woogi" localSheetId="2" hidden="1">#REF!</definedName>
    <definedName name="_woogi" localSheetId="1" hidden="1">#REF!</definedName>
    <definedName name="_woogi" localSheetId="9" hidden="1">#REF!</definedName>
    <definedName name="_woogi" hidden="1">#REF!</definedName>
    <definedName name="_woogi2" localSheetId="2" hidden="1">#REF!</definedName>
    <definedName name="_woogi2" localSheetId="1" hidden="1">#REF!</definedName>
    <definedName name="_woogi2" localSheetId="9" hidden="1">#REF!</definedName>
    <definedName name="_woogi2" hidden="1">#REF!</definedName>
    <definedName name="_woogi24" localSheetId="2" hidden="1">#REF!</definedName>
    <definedName name="_woogi24" localSheetId="1" hidden="1">#REF!</definedName>
    <definedName name="_woogi24" localSheetId="9" hidden="1">#REF!</definedName>
    <definedName name="_woogi24" hidden="1">#REF!</definedName>
    <definedName name="_woogi3" localSheetId="2" hidden="1">#REF!</definedName>
    <definedName name="_woogi3" localSheetId="1" hidden="1">#REF!</definedName>
    <definedName name="_woogi3" localSheetId="9" hidden="1">#REF!</definedName>
    <definedName name="_woogi3" hidden="1">#REF!</definedName>
    <definedName name="_재ㅐ햐" localSheetId="2" hidden="1">#REF!</definedName>
    <definedName name="_재ㅐ햐" localSheetId="1" hidden="1">#REF!</definedName>
    <definedName name="_재ㅐ햐" localSheetId="9" hidden="1">#REF!</definedName>
    <definedName name="_재ㅐ햐" hidden="1">#REF!</definedName>
    <definedName name="aaaaaa" localSheetId="2" hidden="1">{#N/A,#N/A,FALSE,"속도"}</definedName>
    <definedName name="aaaaaa" localSheetId="1" hidden="1">{#N/A,#N/A,FALSE,"속도"}</definedName>
    <definedName name="aaaaaa" hidden="1">{#N/A,#N/A,FALSE,"속도"}</definedName>
    <definedName name="AAAAAAAA" hidden="1">{"'도면'!$G$62:$H$63","'도면'!$G$62:$H$63"}</definedName>
    <definedName name="AAAAAQQQ" hidden="1">{"'도면'!$G$62:$H$63","'도면'!$G$62:$H$63"}</definedName>
    <definedName name="AAAAAQQQ_1" hidden="1">{"'도면'!$G$62:$H$63","'도면'!$G$62:$H$63"}</definedName>
    <definedName name="ABCD">[9]CABdata!$E$22:$F$46</definedName>
    <definedName name="AccessDatabase" hidden="1">"D:\공무jaje\98년품의-수불\98146.mdb"</definedName>
    <definedName name="adfvvv" hidden="1">{"'Firr(선)'!$AS$1:$AY$62","'Firr(사)'!$AS$1:$AY$62","'Firr(회)'!$AS$1:$AY$62","'Firr(선)'!$L$1:$V$62","'Firr(사)'!$L$1:$V$62","'Firr(회)'!$L$1:$V$62"}</definedName>
    <definedName name="adfvvv_1" hidden="1">{"'Firr(선)'!$AS$1:$AY$62","'Firr(사)'!$AS$1:$AY$62","'Firr(회)'!$AS$1:$AY$62","'Firr(선)'!$L$1:$V$62","'Firr(사)'!$L$1:$V$62","'Firr(회)'!$L$1:$V$62"}</definedName>
    <definedName name="anscount" hidden="1">1</definedName>
    <definedName name="AS2DocOpenMode" hidden="1">"AS2DocumentBrowse"</definedName>
    <definedName name="ASF" localSheetId="2" hidden="1">{#N/A,#N/A,FALSE,"2~8번"}</definedName>
    <definedName name="ASF" localSheetId="1" hidden="1">{#N/A,#N/A,FALSE,"2~8번"}</definedName>
    <definedName name="ASF" hidden="1">{#N/A,#N/A,FALSE,"2~8번"}</definedName>
    <definedName name="asfwe" hidden="1">{"'Firr(선)'!$AS$1:$AY$62","'Firr(사)'!$AS$1:$AY$62","'Firr(회)'!$AS$1:$AY$62","'Firr(선)'!$L$1:$V$62","'Firr(사)'!$L$1:$V$62","'Firr(회)'!$L$1:$V$62"}</definedName>
    <definedName name="asfwe_1" hidden="1">{"'Firr(선)'!$AS$1:$AY$62","'Firr(사)'!$AS$1:$AY$62","'Firr(회)'!$AS$1:$AY$62","'Firr(선)'!$L$1:$V$62","'Firr(사)'!$L$1:$V$62","'Firr(회)'!$L$1:$V$62"}</definedName>
    <definedName name="awer" hidden="1">{"'Firr(선)'!$AS$1:$AY$62","'Firr(사)'!$AS$1:$AY$62","'Firr(회)'!$AS$1:$AY$62","'Firr(선)'!$L$1:$V$62","'Firr(사)'!$L$1:$V$62","'Firr(회)'!$L$1:$V$62"}</definedName>
    <definedName name="awer_1" hidden="1">{"'Firr(선)'!$AS$1:$AY$62","'Firr(사)'!$AS$1:$AY$62","'Firr(회)'!$AS$1:$AY$62","'Firr(선)'!$L$1:$V$62","'Firr(사)'!$L$1:$V$62","'Firr(회)'!$L$1:$V$62"}</definedName>
    <definedName name="A노임단가">'[10]노무비(DB)'!$A$1:$D$208</definedName>
    <definedName name="BBBBB" hidden="1">{"'도면'!$G$62:$H$63","'도면'!$G$62:$H$63"}</definedName>
    <definedName name="BBBBB_1" hidden="1">{"'도면'!$G$62:$H$63","'도면'!$G$62:$H$63"}</definedName>
    <definedName name="bdfgdgr" localSheetId="10">[11]!Macro8</definedName>
    <definedName name="bdfgdgr" localSheetId="11">[11]!Macro8</definedName>
    <definedName name="bdfgdgr" localSheetId="6">[11]!Macro8</definedName>
    <definedName name="bdfgdgr" localSheetId="5">[11]!Macro8</definedName>
    <definedName name="bdfgdgr" localSheetId="7">[11]!Macro8</definedName>
    <definedName name="bdfgdgr" localSheetId="9">[11]!Macro8</definedName>
    <definedName name="bdfgdgr" localSheetId="13">[11]!Macro8</definedName>
    <definedName name="bdfgdgr" localSheetId="16">[11]!Macro8</definedName>
    <definedName name="bdfgdgr" localSheetId="15">[11]!Macro8</definedName>
    <definedName name="bdfgdgr" localSheetId="14">[11]!Macro8</definedName>
    <definedName name="bdfgdgr" localSheetId="12">[11]!Macro8</definedName>
    <definedName name="bdfgdgr" localSheetId="8">[11]!Macro8</definedName>
    <definedName name="bdfgdgr">[11]!Macro8</definedName>
    <definedName name="BLDG">[12]LEGEND!$D$8</definedName>
    <definedName name="CABDIA">[9]MOTOR!$A$86:$B$408</definedName>
    <definedName name="CABLEA">[9]MOTOR!$B$66:$C$82</definedName>
    <definedName name="CABLEB">[9]MOTOR!$D$66:$E$82</definedName>
    <definedName name="CABLED">[9]MOTOR!$F$66:$G$82</definedName>
    <definedName name="CABLEE">[9]MOTOR!$H$66:$I$82</definedName>
    <definedName name="CAB허용">[9]MOTOR!$J$66:$N$81</definedName>
    <definedName name="CC" hidden="1">{"'도면'!$G$62:$H$63","'도면'!$G$62:$H$63"}</definedName>
    <definedName name="CC_1" hidden="1">{"'도면'!$G$62:$H$63","'도면'!$G$62:$H$63"}</definedName>
    <definedName name="CCCC" hidden="1">{"'도면'!$G$62:$H$63","'도면'!$G$62:$H$63"}</definedName>
    <definedName name="cds">[0]!cds</definedName>
    <definedName name="cds가로등">[0]!cds가로등</definedName>
    <definedName name="CIRCUIT">[13]Sheet1!$C$4:$D$10</definedName>
    <definedName name="CLIENT">[12]LEGEND!$D$6</definedName>
    <definedName name="cnltn" hidden="1">{"'신흥취수펌프 검토'!$M$2","'신흥취수펌프 검토'!$A$1:$AE$87"}</definedName>
    <definedName name="cnltn_1" hidden="1">{"'신흥취수펌프 검토'!$M$2","'신흥취수펌프 검토'!$A$1:$AE$87"}</definedName>
    <definedName name="CTC">[14]DATA!$H$30:$I$57</definedName>
    <definedName name="cxee" hidden="1">{"'Firr(선)'!$AS$1:$AY$62","'Firr(사)'!$AS$1:$AY$62","'Firr(회)'!$AS$1:$AY$62","'Firr(선)'!$L$1:$V$62","'Firr(사)'!$L$1:$V$62","'Firr(회)'!$L$1:$V$62"}</definedName>
    <definedName name="cxee_1" hidden="1">{"'Firr(선)'!$AS$1:$AY$62","'Firr(사)'!$AS$1:$AY$62","'Firr(회)'!$AS$1:$AY$62","'Firr(선)'!$L$1:$V$62","'Firr(사)'!$L$1:$V$62","'Firr(회)'!$L$1:$V$62"}</definedName>
    <definedName name="DANGA_">'[15]Y-WORK'!$D$19:$D$19,'[15]Y-WORK'!$F$19:$BD$19</definedName>
    <definedName name="DAT">[16]MCC제원!$A$5:$AG$80</definedName>
    <definedName name="dataww" localSheetId="2" hidden="1">#REF!</definedName>
    <definedName name="dataww" localSheetId="1" hidden="1">#REF!</definedName>
    <definedName name="dataww" localSheetId="9" hidden="1">#REF!</definedName>
    <definedName name="dataww" hidden="1">#REF!</definedName>
    <definedName name="DBGUDTLR" hidden="1">{"'PC현황'!$A$1:$Z$29"}</definedName>
    <definedName name="DB형식" hidden="1">{"'PC현황'!$A$1:$Z$29"}</definedName>
    <definedName name="DDDD" hidden="1">{"'도면'!$G$62:$H$63","'도면'!$G$62:$H$63"}</definedName>
    <definedName name="ddddd" localSheetId="2" hidden="1">#REF!</definedName>
    <definedName name="ddddd" localSheetId="1" hidden="1">#REF!</definedName>
    <definedName name="ddddd" localSheetId="9" hidden="1">#REF!</definedName>
    <definedName name="ddddd" hidden="1">#REF!</definedName>
    <definedName name="DDDDD_1" hidden="1">{"'도면'!$G$62:$H$63","'도면'!$G$62:$H$63"}</definedName>
    <definedName name="dddddd" localSheetId="2" hidden="1">{#N/A,#N/A,FALSE,"이정표"}</definedName>
    <definedName name="dddddd" localSheetId="1" hidden="1">{#N/A,#N/A,FALSE,"이정표"}</definedName>
    <definedName name="dddddd" hidden="1">{#N/A,#N/A,FALSE,"이정표"}</definedName>
    <definedName name="ddd가로등">[0]!ddd가로등</definedName>
    <definedName name="derwr" hidden="1">{"'Firr(선)'!$AS$1:$AY$62","'Firr(사)'!$AS$1:$AY$62","'Firr(회)'!$AS$1:$AY$62","'Firr(선)'!$L$1:$V$62","'Firr(사)'!$L$1:$V$62","'Firr(회)'!$L$1:$V$62"}</definedName>
    <definedName name="derwr_1" hidden="1">{"'Firr(선)'!$AS$1:$AY$62","'Firr(사)'!$AS$1:$AY$62","'Firr(회)'!$AS$1:$AY$62","'Firr(선)'!$L$1:$V$62","'Firr(사)'!$L$1:$V$62","'Firr(회)'!$L$1:$V$62"}</definedName>
    <definedName name="DFASFD" localSheetId="2" hidden="1">{#N/A,#N/A,FALSE,"골재소요량";#N/A,#N/A,FALSE,"골재소요량"}</definedName>
    <definedName name="DFASFD" localSheetId="1" hidden="1">{#N/A,#N/A,FALSE,"골재소요량";#N/A,#N/A,FALSE,"골재소요량"}</definedName>
    <definedName name="DFASFD" hidden="1">{#N/A,#N/A,FALSE,"골재소요량";#N/A,#N/A,FALSE,"골재소요량"}</definedName>
    <definedName name="DFDASFGDASG" localSheetId="2" hidden="1">{#N/A,#N/A,FALSE,"단가표지"}</definedName>
    <definedName name="DFDASFGDASG" localSheetId="1" hidden="1">{#N/A,#N/A,FALSE,"단가표지"}</definedName>
    <definedName name="DFDASFGDASG" hidden="1">{#N/A,#N/A,FALSE,"단가표지"}</definedName>
    <definedName name="DFDF" localSheetId="2" hidden="1">{#N/A,#N/A,FALSE,"조골재"}</definedName>
    <definedName name="DFDF" localSheetId="1" hidden="1">{#N/A,#N/A,FALSE,"조골재"}</definedName>
    <definedName name="DFDF" hidden="1">{#N/A,#N/A,FALSE,"조골재"}</definedName>
    <definedName name="DFDFDF" localSheetId="2" hidden="1">{#N/A,#N/A,FALSE,"단가표지"}</definedName>
    <definedName name="DFDFDF" localSheetId="1" hidden="1">{#N/A,#N/A,FALSE,"단가표지"}</definedName>
    <definedName name="DFDFDF" hidden="1">{#N/A,#N/A,FALSE,"단가표지"}</definedName>
    <definedName name="DFDSADFADSF" localSheetId="2" hidden="1">{#N/A,#N/A,FALSE,"2~8번"}</definedName>
    <definedName name="DFDSADFADSF" localSheetId="1" hidden="1">{#N/A,#N/A,FALSE,"2~8번"}</definedName>
    <definedName name="DFDSADFADSF" hidden="1">{#N/A,#N/A,FALSE,"2~8번"}</definedName>
    <definedName name="DFDSAFDFD" localSheetId="2" hidden="1">{#N/A,#N/A,FALSE,"부대1"}</definedName>
    <definedName name="DFDSAFDFD" localSheetId="1" hidden="1">{#N/A,#N/A,FALSE,"부대1"}</definedName>
    <definedName name="DFDSAFDFD" hidden="1">{#N/A,#N/A,FALSE,"부대1"}</definedName>
    <definedName name="DFDSAFSFG" localSheetId="2" hidden="1">{#N/A,#N/A,FALSE,"구조2"}</definedName>
    <definedName name="DFDSAFSFG" localSheetId="1" hidden="1">{#N/A,#N/A,FALSE,"구조2"}</definedName>
    <definedName name="DFDSAFSFG" hidden="1">{#N/A,#N/A,FALSE,"구조2"}</definedName>
    <definedName name="DFDSAGFDSAG" localSheetId="2" hidden="1">{#N/A,#N/A,FALSE,"혼합골재"}</definedName>
    <definedName name="DFDSAGFDSAG" localSheetId="1" hidden="1">{#N/A,#N/A,FALSE,"혼합골재"}</definedName>
    <definedName name="DFDSAGFDSAG" hidden="1">{#N/A,#N/A,FALSE,"혼합골재"}</definedName>
    <definedName name="DFDSFD" localSheetId="2" hidden="1">{#N/A,#N/A,FALSE,"속도"}</definedName>
    <definedName name="DFDSFD" localSheetId="1" hidden="1">{#N/A,#N/A,FALSE,"속도"}</definedName>
    <definedName name="DFDSFD" hidden="1">{#N/A,#N/A,FALSE,"속도"}</definedName>
    <definedName name="DFDSFDFDFD" localSheetId="2" hidden="1">{#N/A,#N/A,FALSE,"구조1"}</definedName>
    <definedName name="DFDSFDFDFD" localSheetId="1" hidden="1">{#N/A,#N/A,FALSE,"구조1"}</definedName>
    <definedName name="DFDSFDFDFD" hidden="1">{#N/A,#N/A,FALSE,"구조1"}</definedName>
    <definedName name="DFDSFDS" localSheetId="2" hidden="1">{#N/A,#N/A,FALSE,"부대2"}</definedName>
    <definedName name="DFDSFDS" localSheetId="1" hidden="1">{#N/A,#N/A,FALSE,"부대2"}</definedName>
    <definedName name="DFDSFDS" hidden="1">{#N/A,#N/A,FALSE,"부대2"}</definedName>
    <definedName name="DFDSSF" localSheetId="2" hidden="1">{#N/A,#N/A,FALSE,"이정표"}</definedName>
    <definedName name="DFDSSF" localSheetId="1" hidden="1">{#N/A,#N/A,FALSE,"이정표"}</definedName>
    <definedName name="DFDSSF" hidden="1">{#N/A,#N/A,FALSE,"이정표"}</definedName>
    <definedName name="dfffffs">[0]!dfffffs</definedName>
    <definedName name="dffffs가로등">[0]!dffffs가로등</definedName>
    <definedName name="dfg" localSheetId="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ADSGAFDG" localSheetId="2" hidden="1">{#N/A,#N/A,FALSE,"운반시간"}</definedName>
    <definedName name="DFGADSGAFDG" localSheetId="1" hidden="1">{#N/A,#N/A,FALSE,"운반시간"}</definedName>
    <definedName name="DFGADSGAFDG" hidden="1">{#N/A,#N/A,FALSE,"운반시간"}</definedName>
    <definedName name="dfggh" localSheetId="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1" localSheetId="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1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s가로등">[0]!dfs가로등</definedName>
    <definedName name="dfwer" hidden="1">{"'Firr(선)'!$AS$1:$AY$62","'Firr(사)'!$AS$1:$AY$62","'Firr(회)'!$AS$1:$AY$62","'Firr(선)'!$L$1:$V$62","'Firr(사)'!$L$1:$V$62","'Firr(회)'!$L$1:$V$62"}</definedName>
    <definedName name="dfwer_1" hidden="1">{"'Firr(선)'!$AS$1:$AY$62","'Firr(사)'!$AS$1:$AY$62","'Firr(회)'!$AS$1:$AY$62","'Firr(선)'!$L$1:$V$62","'Firr(사)'!$L$1:$V$62","'Firr(회)'!$L$1:$V$62"}</definedName>
    <definedName name="df가로등">[0]!df가로등</definedName>
    <definedName name="DG" localSheetId="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DFFG" hidden="1">{"'도면'!$G$62:$H$63","'도면'!$G$62:$H$63"}</definedName>
    <definedName name="DGDFFG_1" hidden="1">{"'도면'!$G$62:$H$63","'도면'!$G$62:$H$63"}</definedName>
    <definedName name="DGDFGFGDG" localSheetId="2" hidden="1">{#N/A,#N/A,FALSE,"배수1"}</definedName>
    <definedName name="DGDFGFGDG" localSheetId="1" hidden="1">{#N/A,#N/A,FALSE,"배수1"}</definedName>
    <definedName name="DGDFGFGDG" hidden="1">{#N/A,#N/A,FALSE,"배수1"}</definedName>
    <definedName name="DGo" localSheetId="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o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o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S">[17]data!$S$4:$T$32</definedName>
    <definedName name="dj" localSheetId="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j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j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kdkd" hidden="1">{"'신흥취수펌프 검토'!$M$2","'신흥취수펌프 검토'!$A$1:$AE$87"}</definedName>
    <definedName name="dkdkd_1" hidden="1">{"'신흥취수펌프 검토'!$M$2","'신흥취수펌프 검토'!$A$1:$AE$87"}</definedName>
    <definedName name="DSA" localSheetId="2" hidden="1">{#N/A,#N/A,FALSE,"포장1";#N/A,#N/A,FALSE,"포장1"}</definedName>
    <definedName name="DSA" localSheetId="1" hidden="1">{#N/A,#N/A,FALSE,"포장1";#N/A,#N/A,FALSE,"포장1"}</definedName>
    <definedName name="DSA" hidden="1">{#N/A,#N/A,FALSE,"포장1";#N/A,#N/A,FALSE,"포장1"}</definedName>
    <definedName name="dsaf" localSheetId="2" hidden="1">{#N/A,#N/A,FALSE,"조골재"}</definedName>
    <definedName name="dsaf" localSheetId="1" hidden="1">{#N/A,#N/A,FALSE,"조골재"}</definedName>
    <definedName name="dsaf" hidden="1">{#N/A,#N/A,FALSE,"조골재"}</definedName>
    <definedName name="DSF" localSheetId="2" hidden="1">{#N/A,#N/A,FALSE,"골재소요량";#N/A,#N/A,FALSE,"골재소요량"}</definedName>
    <definedName name="DSF" localSheetId="1" hidden="1">{#N/A,#N/A,FALSE,"골재소요량";#N/A,#N/A,FALSE,"골재소요량"}</definedName>
    <definedName name="DSF" hidden="1">{#N/A,#N/A,FALSE,"골재소요량";#N/A,#N/A,FALSE,"골재소요량"}</definedName>
    <definedName name="dtrhgnb" localSheetId="2" hidden="1">{#N/A,#N/A,FALSE,"2~8번"}</definedName>
    <definedName name="dtrhgnb" localSheetId="1" hidden="1">{#N/A,#N/A,FALSE,"2~8번"}</definedName>
    <definedName name="dtrhgnb" hidden="1">{#N/A,#N/A,FALSE,"2~8번"}</definedName>
    <definedName name="DW" localSheetId="2" hidden="1">{#N/A,#N/A,FALSE,"배수2"}</definedName>
    <definedName name="DW" localSheetId="1" hidden="1">{#N/A,#N/A,FALSE,"배수2"}</definedName>
    <definedName name="DW" hidden="1">{#N/A,#N/A,FALSE,"배수2"}</definedName>
    <definedName name="ee" localSheetId="2" hidden="1">{#N/A,#N/A,FALSE,"단가표지"}</definedName>
    <definedName name="ee" localSheetId="1" hidden="1">{#N/A,#N/A,FALSE,"단가표지"}</definedName>
    <definedName name="ee" hidden="1">{#N/A,#N/A,FALSE,"단가표지"}</definedName>
    <definedName name="EEEEE" hidden="1">{"'도면'!$G$62:$H$63","'도면'!$G$62:$H$63"}</definedName>
    <definedName name="EJ">[18]소비자가!$I$46:$J$1593</definedName>
    <definedName name="EssAliasTable">"Default"</definedName>
    <definedName name="EssOptions">"A1100000000130001000001100000_0000"</definedName>
    <definedName name="ewq" hidden="1">{"'Firr(선)'!$AS$1:$AY$62","'Firr(사)'!$AS$1:$AY$62","'Firr(회)'!$AS$1:$AY$62","'Firr(선)'!$L$1:$V$62","'Firr(사)'!$L$1:$V$62","'Firr(회)'!$L$1:$V$62"}</definedName>
    <definedName name="ewq_1" hidden="1">{"'Firr(선)'!$AS$1:$AY$62","'Firr(사)'!$AS$1:$AY$62","'Firr(회)'!$AS$1:$AY$62","'Firr(선)'!$L$1:$V$62","'Firr(사)'!$L$1:$V$62","'Firr(회)'!$L$1:$V$62"}</definedName>
    <definedName name="FD" localSheetId="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GDFAGFD" localSheetId="2" hidden="1">{#N/A,#N/A,FALSE,"포장1";#N/A,#N/A,FALSE,"포장1"}</definedName>
    <definedName name="FDGDFAGFD" localSheetId="1" hidden="1">{#N/A,#N/A,FALSE,"포장1";#N/A,#N/A,FALSE,"포장1"}</definedName>
    <definedName name="FDGDFAGFD" hidden="1">{#N/A,#N/A,FALSE,"포장1";#N/A,#N/A,FALSE,"포장1"}</definedName>
    <definedName name="fdgfdg" localSheetId="2" hidden="1">{#N/A,#N/A,FALSE,"2~8번"}</definedName>
    <definedName name="fdgfdg" localSheetId="1" hidden="1">{#N/A,#N/A,FALSE,"2~8번"}</definedName>
    <definedName name="fdgfdg" hidden="1">{#N/A,#N/A,FALSE,"2~8번"}</definedName>
    <definedName name="fdgfgf" localSheetId="2" hidden="1">{#N/A,#N/A,FALSE,"운반시간"}</definedName>
    <definedName name="fdgfgf" localSheetId="1" hidden="1">{#N/A,#N/A,FALSE,"운반시간"}</definedName>
    <definedName name="fdgfgf" hidden="1">{#N/A,#N/A,FALSE,"운반시간"}</definedName>
    <definedName name="ffffff" localSheetId="2" hidden="1">{#N/A,#N/A,FALSE,"조골재"}</definedName>
    <definedName name="ffffff" localSheetId="1" hidden="1">{#N/A,#N/A,FALSE,"조골재"}</definedName>
    <definedName name="ffffff" hidden="1">{#N/A,#N/A,FALSE,"조골재"}</definedName>
    <definedName name="FGDAG" localSheetId="2" hidden="1">{#N/A,#N/A,FALSE,"포장2"}</definedName>
    <definedName name="FGDAG" localSheetId="1" hidden="1">{#N/A,#N/A,FALSE,"포장2"}</definedName>
    <definedName name="FGDAG" hidden="1">{#N/A,#N/A,FALSE,"포장2"}</definedName>
    <definedName name="FGDAGFG" localSheetId="2" hidden="1">{#N/A,#N/A,FALSE,"혼합골재"}</definedName>
    <definedName name="FGDAGFG" localSheetId="1" hidden="1">{#N/A,#N/A,FALSE,"혼합골재"}</definedName>
    <definedName name="FGDAGFG" hidden="1">{#N/A,#N/A,FALSE,"혼합골재"}</definedName>
    <definedName name="fgfadgf" localSheetId="2" hidden="1">{#N/A,#N/A,FALSE,"혼합골재"}</definedName>
    <definedName name="fgfadgf" localSheetId="1" hidden="1">{#N/A,#N/A,FALSE,"혼합골재"}</definedName>
    <definedName name="fgfadgf" hidden="1">{#N/A,#N/A,FALSE,"혼합골재"}</definedName>
    <definedName name="FGFDG" localSheetId="2" hidden="1">{#N/A,#N/A,FALSE,"표지목차"}</definedName>
    <definedName name="FGFDG" localSheetId="1" hidden="1">{#N/A,#N/A,FALSE,"표지목차"}</definedName>
    <definedName name="FGFDG" hidden="1">{#N/A,#N/A,FALSE,"표지목차"}</definedName>
    <definedName name="fgfdgffff" localSheetId="2" hidden="1">{#N/A,#N/A,FALSE,"부대2"}</definedName>
    <definedName name="fgfdgffff" localSheetId="1" hidden="1">{#N/A,#N/A,FALSE,"부대2"}</definedName>
    <definedName name="fgfdgffff" hidden="1">{#N/A,#N/A,FALSE,"부대2"}</definedName>
    <definedName name="fgfdsgdfg" localSheetId="2" hidden="1">{#N/A,#N/A,FALSE,"혼합골재"}</definedName>
    <definedName name="fgfdsgdfg" localSheetId="1" hidden="1">{#N/A,#N/A,FALSE,"혼합골재"}</definedName>
    <definedName name="fgfdsgdfg" hidden="1">{#N/A,#N/A,FALSE,"혼합골재"}</definedName>
    <definedName name="fghfdagfd" localSheetId="2" hidden="1">{#N/A,#N/A,FALSE,"표지목차"}</definedName>
    <definedName name="fghfdagfd" localSheetId="1" hidden="1">{#N/A,#N/A,FALSE,"표지목차"}</definedName>
    <definedName name="fghfdagfd" hidden="1">{#N/A,#N/A,FALSE,"표지목차"}</definedName>
    <definedName name="fhddg" localSheetId="2" hidden="1">{#N/A,#N/A,FALSE,"부대1"}</definedName>
    <definedName name="fhddg" localSheetId="1" hidden="1">{#N/A,#N/A,FALSE,"부대1"}</definedName>
    <definedName name="fhddg" hidden="1">{#N/A,#N/A,FALSE,"부대1"}</definedName>
    <definedName name="FJKSDJF" hidden="1">{"'도면'!$G$62:$H$63","'도면'!$G$62:$H$63"}</definedName>
    <definedName name="FS" localSheetId="2" hidden="1">{#N/A,#N/A,FALSE,"배수1"}</definedName>
    <definedName name="FS" localSheetId="1" hidden="1">{#N/A,#N/A,FALSE,"배수1"}</definedName>
    <definedName name="FS" hidden="1">{#N/A,#N/A,FALSE,"배수1"}</definedName>
    <definedName name="fx" localSheetId="2" hidden="1">{#N/A,#N/A,FALSE,"조골재"}</definedName>
    <definedName name="fx" localSheetId="1" hidden="1">{#N/A,#N/A,FALSE,"조골재"}</definedName>
    <definedName name="fx" hidden="1">{#N/A,#N/A,FALSE,"조골재"}</definedName>
    <definedName name="GDG" localSheetId="2" hidden="1">{#N/A,#N/A,FALSE,"포장2"}</definedName>
    <definedName name="GDG" localSheetId="1" hidden="1">{#N/A,#N/A,FALSE,"포장2"}</definedName>
    <definedName name="GDG" hidden="1">{#N/A,#N/A,FALSE,"포장2"}</definedName>
    <definedName name="GDGFD" localSheetId="2" hidden="1">{#N/A,#N/A,FALSE,"배수1"}</definedName>
    <definedName name="GDGFD" localSheetId="1" hidden="1">{#N/A,#N/A,FALSE,"배수1"}</definedName>
    <definedName name="GDGFD" hidden="1">{#N/A,#N/A,FALSE,"배수1"}</definedName>
    <definedName name="GFDG" localSheetId="2" hidden="1">{#N/A,#N/A,FALSE,"2~8번"}</definedName>
    <definedName name="GFDG" localSheetId="1" hidden="1">{#N/A,#N/A,FALSE,"2~8번"}</definedName>
    <definedName name="GFDG" hidden="1">{#N/A,#N/A,FALSE,"2~8번"}</definedName>
    <definedName name="GFDGDFGFG" localSheetId="2" hidden="1">{#N/A,#N/A,FALSE,"혼합골재"}</definedName>
    <definedName name="GFDGDFGFG" localSheetId="1" hidden="1">{#N/A,#N/A,FALSE,"혼합골재"}</definedName>
    <definedName name="GFDGDFGFG" hidden="1">{#N/A,#N/A,FALSE,"혼합골재"}</definedName>
    <definedName name="gfgdfg" localSheetId="9" hidden="1">[19]차액보증!#REF!</definedName>
    <definedName name="gfgdfg" hidden="1">[19]차액보증!#REF!</definedName>
    <definedName name="GFGFHGFHF" localSheetId="2" hidden="1">{#N/A,#N/A,FALSE,"토공2"}</definedName>
    <definedName name="GFGFHGFHF" localSheetId="1" hidden="1">{#N/A,#N/A,FALSE,"토공2"}</definedName>
    <definedName name="GFGFHGFHF" hidden="1">{#N/A,#N/A,FALSE,"토공2"}</definedName>
    <definedName name="gfhgh" localSheetId="2" hidden="1">{#N/A,#N/A,FALSE,"배수2"}</definedName>
    <definedName name="gfhgh" localSheetId="1" hidden="1">{#N/A,#N/A,FALSE,"배수2"}</definedName>
    <definedName name="gfhgh" hidden="1">{#N/A,#N/A,FALSE,"배수2"}</definedName>
    <definedName name="ggfhgfshgh" localSheetId="2" hidden="1">{#N/A,#N/A,FALSE,"포장2"}</definedName>
    <definedName name="ggfhgfshgh" localSheetId="1" hidden="1">{#N/A,#N/A,FALSE,"포장2"}</definedName>
    <definedName name="ggfhgfshgh" hidden="1">{#N/A,#N/A,FALSE,"포장2"}</definedName>
    <definedName name="ggggg" localSheetId="2" hidden="1">{#N/A,#N/A,FALSE,"구조1"}</definedName>
    <definedName name="ggggg" localSheetId="1" hidden="1">{#N/A,#N/A,FALSE,"구조1"}</definedName>
    <definedName name="ggggg" hidden="1">{#N/A,#N/A,FALSE,"구조1"}</definedName>
    <definedName name="ghgfh" localSheetId="2" hidden="1">{#N/A,#N/A,FALSE,"포장2"}</definedName>
    <definedName name="ghgfh" localSheetId="1" hidden="1">{#N/A,#N/A,FALSE,"포장2"}</definedName>
    <definedName name="ghgfh" hidden="1">{#N/A,#N/A,FALSE,"포장2"}</definedName>
    <definedName name="GJHGLI" localSheetId="2" hidden="1">{#N/A,#N/A,FALSE,"포장1";#N/A,#N/A,FALSE,"포장1"}</definedName>
    <definedName name="GJHGLI" localSheetId="1" hidden="1">{#N/A,#N/A,FALSE,"포장1";#N/A,#N/A,FALSE,"포장1"}</definedName>
    <definedName name="GJHGLI" hidden="1">{#N/A,#N/A,FALSE,"포장1";#N/A,#N/A,FALSE,"포장1"}</definedName>
    <definedName name="GS" localSheetId="2" hidden="1">{#N/A,#N/A,FALSE,"포장2"}</definedName>
    <definedName name="GS" localSheetId="1" hidden="1">{#N/A,#N/A,FALSE,"포장2"}</definedName>
    <definedName name="GS" hidden="1">{#N/A,#N/A,FALSE,"포장2"}</definedName>
    <definedName name="happy" hidden="1">{"'7'!$B$15:$D$32"}</definedName>
    <definedName name="hgd" localSheetId="2" hidden="1">{#N/A,#N/A,FALSE,"배수2"}</definedName>
    <definedName name="hgd" localSheetId="1" hidden="1">{#N/A,#N/A,FALSE,"배수2"}</definedName>
    <definedName name="hgd" hidden="1">{#N/A,#N/A,FALSE,"배수2"}</definedName>
    <definedName name="hgf" localSheetId="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gf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g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hhh_1" hidden="1">{"'도면'!$G$62:$H$63","'도면'!$G$62:$H$63"}</definedName>
    <definedName name="hhhhh" hidden="1">{"'도면'!$G$62:$H$63","'도면'!$G$62:$H$63"}</definedName>
    <definedName name="hhhhh_1" hidden="1">{"'도면'!$G$62:$H$63","'도면'!$G$62:$H$63"}</definedName>
    <definedName name="HHR" localSheetId="2" hidden="1">{#N/A,#N/A,FALSE,"포장2"}</definedName>
    <definedName name="HHR" localSheetId="1" hidden="1">{#N/A,#N/A,FALSE,"포장2"}</definedName>
    <definedName name="HHR" hidden="1">{#N/A,#N/A,FALSE,"포장2"}</definedName>
    <definedName name="hidden">[20]TABLE!$H$1,[20]TABLE!$J$1,[20]TABLE!$K$1</definedName>
    <definedName name="HIT">'[21]2F 회의실견적(5_14 일대)'!$J$31</definedName>
    <definedName name="HTML_CodePage" hidden="1">949</definedName>
    <definedName name="HTML_Control" localSheetId="2" hidden="1">{"'공사부문'!$A$6:$A$32"}</definedName>
    <definedName name="HTML_Control" localSheetId="1" hidden="1">{"'공사부문'!$A$6:$A$32"}</definedName>
    <definedName name="HTML_Control" hidden="1">{"'Firr(선)'!$AS$1:$AY$62","'Firr(사)'!$AS$1:$AY$62","'Firr(회)'!$AS$1:$AY$62","'Firr(선)'!$L$1:$V$62","'Firr(사)'!$L$1:$V$62","'Firr(회)'!$L$1:$V$62"}</definedName>
    <definedName name="HTML_Control_1" hidden="1">{"'Firr(선)'!$AS$1:$AY$62","'Firr(사)'!$AS$1:$AY$62","'Firr(회)'!$AS$1:$AY$62","'Firr(선)'!$L$1:$V$62","'Firr(사)'!$L$1:$V$62","'Firr(회)'!$L$1:$V$62"}</definedName>
    <definedName name="HTML_Description" hidden="1">""</definedName>
    <definedName name="HTML_Email" hidden="1">""</definedName>
    <definedName name="HTML_Header" localSheetId="2" hidden="1">"공사부문"</definedName>
    <definedName name="HTML_Header" localSheetId="1" hidden="1">"공사부문"</definedName>
    <definedName name="HTML_Header" hidden="1">"8%"</definedName>
    <definedName name="HTML_LastUpdate" localSheetId="2" hidden="1">"98-04-27"</definedName>
    <definedName name="HTML_LastUpdate" localSheetId="1" hidden="1">"98-04-27"</definedName>
    <definedName name="HTML_LastUpdate" hidden="1">"2000-11-08"</definedName>
    <definedName name="HTML_LineAfter" hidden="1">FALSE</definedName>
    <definedName name="HTML_LineBefore" hidden="1">FALSE</definedName>
    <definedName name="HTML_Name" localSheetId="2" hidden="1">"김준곤"</definedName>
    <definedName name="HTML_Name" localSheetId="1" hidden="1">"김준곤"</definedName>
    <definedName name="HTML_Name" hidden="1">"이제찬"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localSheetId="2" hidden="1">"C:\WINNT\Profiles\Administrator\Personal\MyHTML.htm"</definedName>
    <definedName name="HTML_PathFile" localSheetId="1" hidden="1">"C:\WINNT\Profiles\Administrator\Personal\MyHTML.htm"</definedName>
    <definedName name="HTML_PathFile" hidden="1">"C:\My Documents\MyHTML.htm"</definedName>
    <definedName name="HTML_PathTemplate" hidden="1">"C:\USERS\JHW\Kwangju\Distribution-Analysis\HTMLTemp.htm"</definedName>
    <definedName name="HTML_Title" localSheetId="2" hidden="1">"시중노임단가"</definedName>
    <definedName name="HTML_Title" localSheetId="1" hidden="1">"시중노임단가"</definedName>
    <definedName name="HTML_Title" hidden="1">"Firrsrwd"</definedName>
    <definedName name="HUJYUJUJ" hidden="1">{"'도면'!$G$62:$H$63","'도면'!$G$62:$H$63"}</definedName>
    <definedName name="HUJYUJUJ_1" hidden="1">{"'도면'!$G$62:$H$63","'도면'!$G$62:$H$63"}</definedName>
    <definedName name="IEC">'[16]허용전류-IEC DATA'!$A$1:$E$352</definedName>
    <definedName name="III" localSheetId="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lch">[22]ilch!$A$3:$M$25</definedName>
    <definedName name="IOIOIOIO" localSheetId="2" hidden="1">{#N/A,#N/A,FALSE,"표지목차"}</definedName>
    <definedName name="IOIOIOIO" localSheetId="1" hidden="1">{#N/A,#N/A,FALSE,"표지목차"}</definedName>
    <definedName name="IOIOIOIO" hidden="1">{#N/A,#N/A,FALSE,"표지목차"}</definedName>
    <definedName name="JJJ" localSheetId="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JJ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JJ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KJKJKJK" localSheetId="2" hidden="1">{#N/A,#N/A,FALSE,"포장1";#N/A,#N/A,FALSE,"포장1"}</definedName>
    <definedName name="JKJKJKJK" localSheetId="1" hidden="1">{#N/A,#N/A,FALSE,"포장1";#N/A,#N/A,FALSE,"포장1"}</definedName>
    <definedName name="JKJKJKJK" hidden="1">{#N/A,#N/A,FALSE,"포장1";#N/A,#N/A,FALSE,"포장1"}</definedName>
    <definedName name="JODO">[17]data!$AA$4:$AE$14</definedName>
    <definedName name="juhouho" hidden="1">{"'도면'!$G$62:$H$63","'도면'!$G$62:$H$63"}</definedName>
    <definedName name="juhouho_1" hidden="1">{"'도면'!$G$62:$H$63","'도면'!$G$62:$H$63"}</definedName>
    <definedName name="k" localSheetId="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d" localSheetId="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d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f" localSheetId="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f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hl" localSheetId="2" hidden="1">{#N/A,#N/A,FALSE,"2~8번"}</definedName>
    <definedName name="khl" localSheetId="1" hidden="1">{#N/A,#N/A,FALSE,"2~8번"}</definedName>
    <definedName name="khl" hidden="1">{#N/A,#N/A,FALSE,"2~8번"}</definedName>
    <definedName name="KIM" hidden="1">{"'도면'!$G$62:$H$63","'도면'!$G$62:$H$63"}</definedName>
    <definedName name="KLLKLKLK" localSheetId="2" hidden="1">{#N/A,#N/A,FALSE,"포장2"}</definedName>
    <definedName name="KLLKLKLK" localSheetId="1" hidden="1">{#N/A,#N/A,FALSE,"포장2"}</definedName>
    <definedName name="KLLKLKLK" hidden="1">{#N/A,#N/A,FALSE,"포장2"}</definedName>
    <definedName name="KO">'[23]D-RMIL'!$B$7:$C$19</definedName>
    <definedName name="ktf" localSheetId="2" hidden="1">#REF!</definedName>
    <definedName name="ktf" localSheetId="1" hidden="1">#REF!</definedName>
    <definedName name="ktf" localSheetId="9" hidden="1">#REF!</definedName>
    <definedName name="ktf" hidden="1">#REF!</definedName>
    <definedName name="kty" localSheetId="2" hidden="1">#REF!</definedName>
    <definedName name="kty" localSheetId="1" hidden="1">#REF!</definedName>
    <definedName name="kty" localSheetId="9" hidden="1">#REF!</definedName>
    <definedName name="kty" hidden="1">#REF!</definedName>
    <definedName name="KYNGSADO" localSheetId="10">[24]!KYNGSADO</definedName>
    <definedName name="KYNGSADO" localSheetId="11">[24]!KYNGSADO</definedName>
    <definedName name="KYNGSADO" localSheetId="6">[24]!KYNGSADO</definedName>
    <definedName name="KYNGSADO" localSheetId="5">[24]!KYNGSADO</definedName>
    <definedName name="KYNGSADO" localSheetId="7">[24]!KYNGSADO</definedName>
    <definedName name="KYNGSADO" localSheetId="9">[24]!KYNGSADO</definedName>
    <definedName name="KYNGSADO" localSheetId="13">[24]!KYNGSADO</definedName>
    <definedName name="KYNGSADO" localSheetId="16">[24]!KYNGSADO</definedName>
    <definedName name="KYNGSADO" localSheetId="15">[24]!KYNGSADO</definedName>
    <definedName name="KYNGSADO" localSheetId="14">[24]!KYNGSADO</definedName>
    <definedName name="KYNGSADO" localSheetId="12">[24]!KYNGSADO</definedName>
    <definedName name="KYNGSADO" localSheetId="8">[24]!KYNGSADO</definedName>
    <definedName name="KYNGSADO">[24]!KYNGSADO</definedName>
    <definedName name="KYNGSAYL" localSheetId="10">[25]!KYNGSAYL</definedName>
    <definedName name="KYNGSAYL" localSheetId="11">[25]!KYNGSAYL</definedName>
    <definedName name="KYNGSAYL" localSheetId="6">[25]!KYNGSAYL</definedName>
    <definedName name="KYNGSAYL" localSheetId="5">[25]!KYNGSAYL</definedName>
    <definedName name="KYNGSAYL" localSheetId="7">[25]!KYNGSAYL</definedName>
    <definedName name="KYNGSAYL" localSheetId="9">[25]!KYNGSAYL</definedName>
    <definedName name="KYNGSAYL" localSheetId="13">[25]!KYNGSAYL</definedName>
    <definedName name="KYNGSAYL" localSheetId="16">[25]!KYNGSAYL</definedName>
    <definedName name="KYNGSAYL" localSheetId="15">[25]!KYNGSAYL</definedName>
    <definedName name="KYNGSAYL" localSheetId="14">[25]!KYNGSAYL</definedName>
    <definedName name="KYNGSAYL" localSheetId="12">[25]!KYNGSAYL</definedName>
    <definedName name="KYNGSAYL" localSheetId="8">[25]!KYNGSAYL</definedName>
    <definedName name="KYNGSAYL">[25]!KYNGSAYL</definedName>
    <definedName name="LI">[26]Sheet2!$A$2:$B$48</definedName>
    <definedName name="list1">'[27]일위대가(원본)'!$A$159:$Q$1426</definedName>
    <definedName name="ListItem01">[28]발신정보!$C$4</definedName>
    <definedName name="ListItem02">[28]발신정보!$C$5</definedName>
    <definedName name="ListItem04">[28]발신정보!$C$7</definedName>
    <definedName name="ListItem07">[28]발신정보!$C$11</definedName>
    <definedName name="ljg" localSheetId="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jg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j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OCATION">[12]LEGEND!$D$7</definedName>
    <definedName name="LOP">[29]LOPCALC!$A$4:$J$8</definedName>
    <definedName name="LX">[7]SHEET2!$K$5:$N$23</definedName>
    <definedName name="Macro1" localSheetId="10">[30]!Macro1</definedName>
    <definedName name="Macro1" localSheetId="11">[30]!Macro1</definedName>
    <definedName name="Macro1" localSheetId="6">[30]!Macro1</definedName>
    <definedName name="Macro1" localSheetId="5">[30]!Macro1</definedName>
    <definedName name="Macro1" localSheetId="7">[30]!Macro1</definedName>
    <definedName name="Macro1" localSheetId="9">[30]!Macro1</definedName>
    <definedName name="Macro1" localSheetId="13">[30]!Macro1</definedName>
    <definedName name="Macro1" localSheetId="16">[30]!Macro1</definedName>
    <definedName name="Macro1" localSheetId="15">[30]!Macro1</definedName>
    <definedName name="Macro1" localSheetId="14">[30]!Macro1</definedName>
    <definedName name="Macro1" localSheetId="12">[30]!Macro1</definedName>
    <definedName name="Macro1" localSheetId="8">[30]!Macro1</definedName>
    <definedName name="Macro1">[30]!Macro1</definedName>
    <definedName name="Macro10" localSheetId="10">[31]!Macro10</definedName>
    <definedName name="Macro10" localSheetId="11">[31]!Macro10</definedName>
    <definedName name="Macro10" localSheetId="6">[31]!Macro10</definedName>
    <definedName name="Macro10" localSheetId="5">[31]!Macro10</definedName>
    <definedName name="Macro10" localSheetId="7">[31]!Macro10</definedName>
    <definedName name="Macro10" localSheetId="9">[31]!Macro10</definedName>
    <definedName name="Macro10" localSheetId="13">[31]!Macro10</definedName>
    <definedName name="Macro10" localSheetId="16">[31]!Macro10</definedName>
    <definedName name="Macro10" localSheetId="15">[31]!Macro10</definedName>
    <definedName name="Macro10" localSheetId="14">[31]!Macro10</definedName>
    <definedName name="Macro10" localSheetId="12">[31]!Macro10</definedName>
    <definedName name="Macro10" localSheetId="8">[31]!Macro10</definedName>
    <definedName name="Macro10">[31]!Macro10</definedName>
    <definedName name="Macro11" localSheetId="10">[30]!Macro11</definedName>
    <definedName name="Macro11" localSheetId="11">[30]!Macro11</definedName>
    <definedName name="Macro11" localSheetId="6">[30]!Macro11</definedName>
    <definedName name="Macro11" localSheetId="5">[30]!Macro11</definedName>
    <definedName name="Macro11" localSheetId="7">[30]!Macro11</definedName>
    <definedName name="Macro11" localSheetId="9">[30]!Macro11</definedName>
    <definedName name="Macro11" localSheetId="13">[30]!Macro11</definedName>
    <definedName name="Macro11" localSheetId="16">[30]!Macro11</definedName>
    <definedName name="Macro11" localSheetId="15">[30]!Macro11</definedName>
    <definedName name="Macro11" localSheetId="14">[30]!Macro11</definedName>
    <definedName name="Macro11" localSheetId="12">[30]!Macro11</definedName>
    <definedName name="Macro11" localSheetId="8">[30]!Macro11</definedName>
    <definedName name="Macro11">[30]!Macro11</definedName>
    <definedName name="Macro12" localSheetId="10">[31]!Macro12</definedName>
    <definedName name="Macro12" localSheetId="11">[31]!Macro12</definedName>
    <definedName name="Macro12" localSheetId="6">[31]!Macro12</definedName>
    <definedName name="Macro12" localSheetId="5">[31]!Macro12</definedName>
    <definedName name="Macro12" localSheetId="7">[31]!Macro12</definedName>
    <definedName name="Macro12" localSheetId="9">[31]!Macro12</definedName>
    <definedName name="Macro12" localSheetId="13">[31]!Macro12</definedName>
    <definedName name="Macro12" localSheetId="16">[31]!Macro12</definedName>
    <definedName name="Macro12" localSheetId="15">[31]!Macro12</definedName>
    <definedName name="Macro12" localSheetId="14">[31]!Macro12</definedName>
    <definedName name="Macro12" localSheetId="12">[31]!Macro12</definedName>
    <definedName name="Macro12" localSheetId="8">[31]!Macro12</definedName>
    <definedName name="Macro12">[31]!Macro12</definedName>
    <definedName name="Macro13" localSheetId="10">[31]!Macro13</definedName>
    <definedName name="Macro13" localSheetId="11">[31]!Macro13</definedName>
    <definedName name="Macro13" localSheetId="6">[31]!Macro13</definedName>
    <definedName name="Macro13" localSheetId="5">[31]!Macro13</definedName>
    <definedName name="Macro13" localSheetId="7">[31]!Macro13</definedName>
    <definedName name="Macro13" localSheetId="9">[31]!Macro13</definedName>
    <definedName name="Macro13" localSheetId="13">[31]!Macro13</definedName>
    <definedName name="Macro13" localSheetId="16">[31]!Macro13</definedName>
    <definedName name="Macro13" localSheetId="15">[31]!Macro13</definedName>
    <definedName name="Macro13" localSheetId="14">[31]!Macro13</definedName>
    <definedName name="Macro13" localSheetId="12">[31]!Macro13</definedName>
    <definedName name="Macro13" localSheetId="8">[31]!Macro13</definedName>
    <definedName name="Macro13">[31]!Macro13</definedName>
    <definedName name="Macro14" localSheetId="10">[31]!Macro14</definedName>
    <definedName name="Macro14" localSheetId="11">[31]!Macro14</definedName>
    <definedName name="Macro14" localSheetId="6">[31]!Macro14</definedName>
    <definedName name="Macro14" localSheetId="5">[31]!Macro14</definedName>
    <definedName name="Macro14" localSheetId="7">[31]!Macro14</definedName>
    <definedName name="Macro14" localSheetId="9">[31]!Macro14</definedName>
    <definedName name="Macro14" localSheetId="13">[31]!Macro14</definedName>
    <definedName name="Macro14" localSheetId="16">[31]!Macro14</definedName>
    <definedName name="Macro14" localSheetId="15">[31]!Macro14</definedName>
    <definedName name="Macro14" localSheetId="14">[31]!Macro14</definedName>
    <definedName name="Macro14" localSheetId="12">[31]!Macro14</definedName>
    <definedName name="Macro14" localSheetId="8">[31]!Macro14</definedName>
    <definedName name="Macro14">[31]!Macro14</definedName>
    <definedName name="Macro2" localSheetId="10">[31]!Macro2</definedName>
    <definedName name="Macro2" localSheetId="11">[31]!Macro2</definedName>
    <definedName name="Macro2" localSheetId="6">[31]!Macro2</definedName>
    <definedName name="Macro2" localSheetId="5">[31]!Macro2</definedName>
    <definedName name="Macro2" localSheetId="7">[31]!Macro2</definedName>
    <definedName name="Macro2" localSheetId="9">[31]!Macro2</definedName>
    <definedName name="Macro2" localSheetId="13">[31]!Macro2</definedName>
    <definedName name="Macro2" localSheetId="16">[31]!Macro2</definedName>
    <definedName name="Macro2" localSheetId="15">[31]!Macro2</definedName>
    <definedName name="Macro2" localSheetId="14">[31]!Macro2</definedName>
    <definedName name="Macro2" localSheetId="12">[31]!Macro2</definedName>
    <definedName name="Macro2" localSheetId="8">[31]!Macro2</definedName>
    <definedName name="Macro2">[31]!Macro2</definedName>
    <definedName name="MACRO20" localSheetId="10">[11]!Macro2</definedName>
    <definedName name="MACRO20" localSheetId="11">[11]!Macro2</definedName>
    <definedName name="MACRO20" localSheetId="6">[11]!Macro2</definedName>
    <definedName name="MACRO20" localSheetId="5">[11]!Macro2</definedName>
    <definedName name="MACRO20" localSheetId="7">[11]!Macro2</definedName>
    <definedName name="MACRO20" localSheetId="9">[11]!Macro2</definedName>
    <definedName name="MACRO20" localSheetId="13">[11]!Macro2</definedName>
    <definedName name="MACRO20" localSheetId="16">[11]!Macro2</definedName>
    <definedName name="MACRO20" localSheetId="15">[11]!Macro2</definedName>
    <definedName name="MACRO20" localSheetId="14">[11]!Macro2</definedName>
    <definedName name="MACRO20" localSheetId="12">[11]!Macro2</definedName>
    <definedName name="MACRO20" localSheetId="8">[11]!Macro2</definedName>
    <definedName name="MACRO20">[11]!Macro2</definedName>
    <definedName name="Macro3" localSheetId="10">[30]!Macro3</definedName>
    <definedName name="Macro3" localSheetId="11">[30]!Macro3</definedName>
    <definedName name="Macro3" localSheetId="6">[30]!Macro3</definedName>
    <definedName name="Macro3" localSheetId="5">[30]!Macro3</definedName>
    <definedName name="Macro3" localSheetId="7">[30]!Macro3</definedName>
    <definedName name="Macro3" localSheetId="9">[30]!Macro3</definedName>
    <definedName name="Macro3" localSheetId="13">[30]!Macro3</definedName>
    <definedName name="Macro3" localSheetId="16">[30]!Macro3</definedName>
    <definedName name="Macro3" localSheetId="15">[30]!Macro3</definedName>
    <definedName name="Macro3" localSheetId="14">[30]!Macro3</definedName>
    <definedName name="Macro3" localSheetId="12">[30]!Macro3</definedName>
    <definedName name="Macro3" localSheetId="8">[30]!Macro3</definedName>
    <definedName name="Macro3">[30]!Macro3</definedName>
    <definedName name="Macro4" localSheetId="10">[30]!Macro4</definedName>
    <definedName name="Macro4" localSheetId="11">[30]!Macro4</definedName>
    <definedName name="Macro4" localSheetId="6">[30]!Macro4</definedName>
    <definedName name="Macro4" localSheetId="5">[30]!Macro4</definedName>
    <definedName name="Macro4" localSheetId="7">[30]!Macro4</definedName>
    <definedName name="Macro4" localSheetId="9">[30]!Macro4</definedName>
    <definedName name="Macro4" localSheetId="13">[30]!Macro4</definedName>
    <definedName name="Macro4" localSheetId="16">[30]!Macro4</definedName>
    <definedName name="Macro4" localSheetId="15">[30]!Macro4</definedName>
    <definedName name="Macro4" localSheetId="14">[30]!Macro4</definedName>
    <definedName name="Macro4" localSheetId="12">[30]!Macro4</definedName>
    <definedName name="Macro4" localSheetId="8">[30]!Macro4</definedName>
    <definedName name="Macro4">[30]!Macro4</definedName>
    <definedName name="Macro5" localSheetId="10">[31]!Macro5</definedName>
    <definedName name="Macro5" localSheetId="11">[31]!Macro5</definedName>
    <definedName name="Macro5" localSheetId="6">[31]!Macro5</definedName>
    <definedName name="Macro5" localSheetId="5">[31]!Macro5</definedName>
    <definedName name="Macro5" localSheetId="7">[31]!Macro5</definedName>
    <definedName name="Macro5" localSheetId="9">[31]!Macro5</definedName>
    <definedName name="Macro5" localSheetId="13">[31]!Macro5</definedName>
    <definedName name="Macro5" localSheetId="16">[31]!Macro5</definedName>
    <definedName name="Macro5" localSheetId="15">[31]!Macro5</definedName>
    <definedName name="Macro5" localSheetId="14">[31]!Macro5</definedName>
    <definedName name="Macro5" localSheetId="12">[31]!Macro5</definedName>
    <definedName name="Macro5" localSheetId="8">[31]!Macro5</definedName>
    <definedName name="Macro5">[31]!Macro5</definedName>
    <definedName name="Macro6" localSheetId="10">[31]!Macro6</definedName>
    <definedName name="Macro6" localSheetId="11">[31]!Macro6</definedName>
    <definedName name="Macro6" localSheetId="6">[31]!Macro6</definedName>
    <definedName name="Macro6" localSheetId="5">[31]!Macro6</definedName>
    <definedName name="Macro6" localSheetId="7">[31]!Macro6</definedName>
    <definedName name="Macro6" localSheetId="9">[31]!Macro6</definedName>
    <definedName name="Macro6" localSheetId="13">[31]!Macro6</definedName>
    <definedName name="Macro6" localSheetId="16">[31]!Macro6</definedName>
    <definedName name="Macro6" localSheetId="15">[31]!Macro6</definedName>
    <definedName name="Macro6" localSheetId="14">[31]!Macro6</definedName>
    <definedName name="Macro6" localSheetId="12">[31]!Macro6</definedName>
    <definedName name="Macro6" localSheetId="8">[31]!Macro6</definedName>
    <definedName name="Macro6">[31]!Macro6</definedName>
    <definedName name="Macro7" localSheetId="10">[31]!Macro7</definedName>
    <definedName name="Macro7" localSheetId="11">[31]!Macro7</definedName>
    <definedName name="Macro7" localSheetId="6">[31]!Macro7</definedName>
    <definedName name="Macro7" localSheetId="5">[31]!Macro7</definedName>
    <definedName name="Macro7" localSheetId="7">[31]!Macro7</definedName>
    <definedName name="Macro7" localSheetId="9">[31]!Macro7</definedName>
    <definedName name="Macro7" localSheetId="13">[31]!Macro7</definedName>
    <definedName name="Macro7" localSheetId="16">[31]!Macro7</definedName>
    <definedName name="Macro7" localSheetId="15">[31]!Macro7</definedName>
    <definedName name="Macro7" localSheetId="14">[31]!Macro7</definedName>
    <definedName name="Macro7" localSheetId="12">[31]!Macro7</definedName>
    <definedName name="Macro7" localSheetId="8">[31]!Macro7</definedName>
    <definedName name="Macro7">[31]!Macro7</definedName>
    <definedName name="Macro8" localSheetId="10">[31]!Macro8</definedName>
    <definedName name="Macro8" localSheetId="11">[31]!Macro8</definedName>
    <definedName name="Macro8" localSheetId="6">[31]!Macro8</definedName>
    <definedName name="Macro8" localSheetId="5">[31]!Macro8</definedName>
    <definedName name="Macro8" localSheetId="7">[31]!Macro8</definedName>
    <definedName name="Macro8" localSheetId="9">[31]!Macro8</definedName>
    <definedName name="Macro8" localSheetId="13">[31]!Macro8</definedName>
    <definedName name="Macro8" localSheetId="16">[31]!Macro8</definedName>
    <definedName name="Macro8" localSheetId="15">[31]!Macro8</definedName>
    <definedName name="Macro8" localSheetId="14">[31]!Macro8</definedName>
    <definedName name="Macro8" localSheetId="12">[31]!Macro8</definedName>
    <definedName name="Macro8" localSheetId="8">[31]!Macro8</definedName>
    <definedName name="Macro8">[31]!Macro8</definedName>
    <definedName name="Macro9" localSheetId="10">[31]!Macro9</definedName>
    <definedName name="Macro9" localSheetId="11">[31]!Macro9</definedName>
    <definedName name="Macro9" localSheetId="6">[31]!Macro9</definedName>
    <definedName name="Macro9" localSheetId="5">[31]!Macro9</definedName>
    <definedName name="Macro9" localSheetId="7">[31]!Macro9</definedName>
    <definedName name="Macro9" localSheetId="9">[31]!Macro9</definedName>
    <definedName name="Macro9" localSheetId="13">[31]!Macro9</definedName>
    <definedName name="Macro9" localSheetId="16">[31]!Macro9</definedName>
    <definedName name="Macro9" localSheetId="15">[31]!Macro9</definedName>
    <definedName name="Macro9" localSheetId="14">[31]!Macro9</definedName>
    <definedName name="Macro9" localSheetId="12">[31]!Macro9</definedName>
    <definedName name="Macro9" localSheetId="8">[31]!Macro9</definedName>
    <definedName name="Macro9">[31]!Macro9</definedName>
    <definedName name="MCCB">[14]DATA!$A$30:$E$52</definedName>
    <definedName name="MNHL">[30]Sheet1!$A$4:$H$5</definedName>
    <definedName name="NHL">[32]터널조도!$AR$19:$AT$25</definedName>
    <definedName name="NNNNN">[0]!NNNNN</definedName>
    <definedName name="NOMU">[33]NOMUBI!$B$3:$H$39</definedName>
    <definedName name="OOOO" hidden="1">{"'도면'!$G$62:$H$63","'도면'!$G$62:$H$63"}</definedName>
    <definedName name="OOOO_1" hidden="1">{"'도면'!$G$62:$H$63","'도면'!$G$62:$H$63"}</definedName>
    <definedName name="PBL" hidden="1">{"'Firr(선)'!$AS$1:$AY$62","'Firr(사)'!$AS$1:$AY$62","'Firr(회)'!$AS$1:$AY$62","'Firr(선)'!$L$1:$V$62","'Firr(사)'!$L$1:$V$62","'Firr(회)'!$L$1:$V$62"}</definedName>
    <definedName name="PE전선관">[13]Sheet1!$N$4:$O$12</definedName>
    <definedName name="PPPPP" hidden="1">{"'도면'!$G$62:$H$63","'도면'!$G$62:$H$63"}</definedName>
    <definedName name="PPPPP_1" hidden="1">{"'도면'!$G$62:$H$63","'도면'!$G$62:$H$63"}</definedName>
    <definedName name="_xlnm.Print_Area" localSheetId="10">#REF!</definedName>
    <definedName name="_xlnm.Print_Area" localSheetId="11">#REF!</definedName>
    <definedName name="_xlnm.Print_Area" localSheetId="0">견적서!$B$2:$AP$38</definedName>
    <definedName name="_xlnm.Print_Area" localSheetId="2">'내역서(1350)'!$B$1:$O$269</definedName>
    <definedName name="_xlnm.Print_Area" localSheetId="1">'내역서(700)'!$B$1:$O$269</definedName>
    <definedName name="_xlnm.Print_Area" localSheetId="17">노임!$A$1:$E$30</definedName>
    <definedName name="_xlnm.Print_Area" localSheetId="3">'목록(강관)'!$A$1:$N$106</definedName>
    <definedName name="_xlnm.Print_Area" localSheetId="9">'목록(주철관)'!$A$1:$N$106</definedName>
    <definedName name="_xlnm.Print_Area" localSheetId="13">#REF!</definedName>
    <definedName name="_xlnm.Print_Area" localSheetId="16">#REF!</definedName>
    <definedName name="_xlnm.Print_Area" localSheetId="15">#REF!</definedName>
    <definedName name="_xlnm.Print_Area" localSheetId="14">#REF!</definedName>
    <definedName name="_xlnm.Print_Area" localSheetId="12">#REF!</definedName>
    <definedName name="_xlnm.Print_Area" localSheetId="8">#REF!</definedName>
    <definedName name="_xlnm.Print_Area">#REF!</definedName>
    <definedName name="_xlnm.Print_Titles" localSheetId="10">KP메카니컬접합부설!$1:$3</definedName>
    <definedName name="_xlnm.Print_Titles" localSheetId="11">KP접합!$1:$3</definedName>
    <definedName name="_xlnm.Print_Titles" localSheetId="6">강관도장!$1:$3</definedName>
    <definedName name="_xlnm.Print_Titles" localSheetId="5">강관용접!$1:$3</definedName>
    <definedName name="_xlnm.Print_Titles" localSheetId="7">'강관절단 및 절단(철거)'!$1:$3</definedName>
    <definedName name="_xlnm.Print_Titles" localSheetId="18">경비!$1:$2</definedName>
    <definedName name="_xlnm.Print_Titles" localSheetId="2">'내역서(1350)'!$20:$21</definedName>
    <definedName name="_xlnm.Print_Titles" localSheetId="1">'내역서(700)'!$20:$21</definedName>
    <definedName name="_xlnm.Print_Titles" localSheetId="17">노임!$1:$2</definedName>
    <definedName name="_xlnm.Print_Titles" localSheetId="3">'목록(강관)'!$1:$2</definedName>
    <definedName name="_xlnm.Print_Titles" localSheetId="9">'목록(주철관)'!$1:$2</definedName>
    <definedName name="_xlnm.Print_Titles" localSheetId="13">밸브!$1:$3</definedName>
    <definedName name="_xlnm.Print_Titles" localSheetId="16">보호공!$1:$3</definedName>
    <definedName name="_xlnm.Print_Titles" localSheetId="15">'보호공 계)'!$1:$3</definedName>
    <definedName name="_xlnm.Print_Titles" localSheetId="14">잡철물!$1:$3</definedName>
    <definedName name="_xlnm.Print_Titles" localSheetId="19">전역변수!$1:$2</definedName>
    <definedName name="_xlnm.Print_Titles" localSheetId="12">절단!$1:$3</definedName>
    <definedName name="_xlnm.Print_Titles" localSheetId="20">중기전역변수!$1:$2</definedName>
    <definedName name="_xlnm.Print_Titles" localSheetId="8">플랜지!$1:$3</definedName>
    <definedName name="_xlnm.Print_Titles">#N/A</definedName>
    <definedName name="PROJ">[12]LEGEND!$D$4</definedName>
    <definedName name="q00" localSheetId="2" hidden="1">{#N/A,#N/A,FALSE,"운반시간"}</definedName>
    <definedName name="q00" localSheetId="1" hidden="1">{#N/A,#N/A,FALSE,"운반시간"}</definedName>
    <definedName name="q00" hidden="1">{#N/A,#N/A,FALSE,"운반시간"}</definedName>
    <definedName name="Q3WEE" localSheetId="2" hidden="1">{#N/A,#N/A,FALSE,"조골재"}</definedName>
    <definedName name="Q3WEE" localSheetId="1" hidden="1">{#N/A,#N/A,FALSE,"조골재"}</definedName>
    <definedName name="Q3WEE" hidden="1">{#N/A,#N/A,FALSE,"조골재"}</definedName>
    <definedName name="QQ" hidden="1">{"'도면'!$G$62:$H$63","'도면'!$G$62:$H$63"}</definedName>
    <definedName name="qqqqq" hidden="1">{"'도면'!$G$62:$H$63","'도면'!$G$62:$H$63"}</definedName>
    <definedName name="qqqqq_1" hidden="1">{"'도면'!$G$62:$H$63","'도면'!$G$62:$H$63"}</definedName>
    <definedName name="qqqqqq" hidden="1">{"'도면'!$G$62:$H$63","'도면'!$G$62:$H$63"}</definedName>
    <definedName name="qqqqqq_1" hidden="1">{"'도면'!$G$62:$H$63","'도면'!$G$62:$H$63"}</definedName>
    <definedName name="qsdf" hidden="1">{"'Firr(선)'!$AS$1:$AY$62","'Firr(사)'!$AS$1:$AY$62","'Firr(회)'!$AS$1:$AY$62","'Firr(선)'!$L$1:$V$62","'Firr(사)'!$L$1:$V$62","'Firr(회)'!$L$1:$V$62"}</definedName>
    <definedName name="qsdf_1" hidden="1">{"'Firr(선)'!$AS$1:$AY$62","'Firr(사)'!$AS$1:$AY$62","'Firr(회)'!$AS$1:$AY$62","'Firr(선)'!$L$1:$V$62","'Firr(사)'!$L$1:$V$62","'Firr(회)'!$L$1:$V$62"}</definedName>
    <definedName name="qw" localSheetId="2" hidden="1">{#N/A,#N/A,FALSE,"단가표지"}</definedName>
    <definedName name="qw" localSheetId="1" hidden="1">{#N/A,#N/A,FALSE,"단가표지"}</definedName>
    <definedName name="qw" hidden="1">{#N/A,#N/A,FALSE,"단가표지"}</definedName>
    <definedName name="QWQ" localSheetId="2" hidden="1">{#N/A,#N/A,FALSE,"배수2"}</definedName>
    <definedName name="QWQ" localSheetId="1" hidden="1">{#N/A,#N/A,FALSE,"배수2"}</definedName>
    <definedName name="QWQ" hidden="1">{#N/A,#N/A,FALSE,"배수2"}</definedName>
    <definedName name="rhsk">[0]!rhsk</definedName>
    <definedName name="RR" hidden="1">{"'7'!$B$15:$D$32"}</definedName>
    <definedName name="RRR" hidden="1">{"'7'!$B$15:$D$32"}</definedName>
    <definedName name="RRTRENMKJKK" hidden="1">{"'도면'!$G$62:$H$63","'도면'!$G$62:$H$63"}</definedName>
    <definedName name="RRTRENMKJKK_1" hidden="1">{"'도면'!$G$62:$H$63","'도면'!$G$62:$H$63"}</definedName>
    <definedName name="SAAAA" hidden="1">{"'도면'!$G$62:$H$63","'도면'!$G$62:$H$63"}</definedName>
    <definedName name="SAAAA_1" hidden="1">{"'도면'!$G$62:$H$63","'도면'!$G$62:$H$63"}</definedName>
    <definedName name="SDAS" hidden="1">{"'Firr(선)'!$AS$1:$AY$62","'Firr(사)'!$AS$1:$AY$62","'Firr(회)'!$AS$1:$AY$62","'Firr(선)'!$L$1:$V$62","'Firr(사)'!$L$1:$V$62","'Firr(회)'!$L$1:$V$62"}</definedName>
    <definedName name="SDAS_1" hidden="1">{"'Firr(선)'!$AS$1:$AY$62","'Firr(사)'!$AS$1:$AY$62","'Firr(회)'!$AS$1:$AY$62","'Firr(선)'!$L$1:$V$62","'Firr(사)'!$L$1:$V$62","'Firr(회)'!$L$1:$V$62"}</definedName>
    <definedName name="SDCFG\" localSheetId="2" hidden="1">{#N/A,#N/A,FALSE,"운반시간"}</definedName>
    <definedName name="SDCFG\" localSheetId="1" hidden="1">{#N/A,#N/A,FALSE,"운반시간"}</definedName>
    <definedName name="SDCFG\" hidden="1">{#N/A,#N/A,FALSE,"운반시간"}</definedName>
    <definedName name="SDDFD" localSheetId="2" hidden="1">{#N/A,#N/A,FALSE,"배수1"}</definedName>
    <definedName name="SDDFD" localSheetId="1" hidden="1">{#N/A,#N/A,FALSE,"배수1"}</definedName>
    <definedName name="SDDFD" hidden="1">{#N/A,#N/A,FALSE,"배수1"}</definedName>
    <definedName name="SDF" localSheetId="2" hidden="1">{#N/A,#N/A,FALSE,"혼합골재"}</definedName>
    <definedName name="SDF" localSheetId="1" hidden="1">{#N/A,#N/A,FALSE,"혼합골재"}</definedName>
    <definedName name="SDF" hidden="1">{#N/A,#N/A,FALSE,"혼합골재"}</definedName>
    <definedName name="SDFDFD" localSheetId="2" hidden="1">{#N/A,#N/A,FALSE,"운반시간"}</definedName>
    <definedName name="SDFDFD" localSheetId="1" hidden="1">{#N/A,#N/A,FALSE,"운반시간"}</definedName>
    <definedName name="SDFDFD" hidden="1">{#N/A,#N/A,FALSE,"운반시간"}</definedName>
    <definedName name="SDS" localSheetId="2" hidden="1">{#N/A,#N/A,FALSE,"2~8번"}</definedName>
    <definedName name="SDS" localSheetId="1" hidden="1">{#N/A,#N/A,FALSE,"2~8번"}</definedName>
    <definedName name="SDS" hidden="1">{#N/A,#N/A,FALSE,"2~8번"}</definedName>
    <definedName name="sdsdddd" localSheetId="2" hidden="1">{#N/A,#N/A,FALSE,"토공2"}</definedName>
    <definedName name="sdsdddd" localSheetId="1" hidden="1">{#N/A,#N/A,FALSE,"토공2"}</definedName>
    <definedName name="sdsdddd" hidden="1">{#N/A,#N/A,FALSE,"토공2"}</definedName>
    <definedName name="SFA" localSheetId="2" hidden="1">{#N/A,#N/A,FALSE,"포장1";#N/A,#N/A,FALSE,"포장1"}</definedName>
    <definedName name="SFA" localSheetId="1" hidden="1">{#N/A,#N/A,FALSE,"포장1";#N/A,#N/A,FALSE,"포장1"}</definedName>
    <definedName name="SFA" hidden="1">{#N/A,#N/A,FALSE,"포장1";#N/A,#N/A,FALSE,"포장1"}</definedName>
    <definedName name="sfdbd" localSheetId="10">[11]!Macro9</definedName>
    <definedName name="sfdbd" localSheetId="11">[11]!Macro9</definedName>
    <definedName name="sfdbd" localSheetId="6">[11]!Macro9</definedName>
    <definedName name="sfdbd" localSheetId="5">[11]!Macro9</definedName>
    <definedName name="sfdbd" localSheetId="7">[11]!Macro9</definedName>
    <definedName name="sfdbd" localSheetId="9">[11]!Macro9</definedName>
    <definedName name="sfdbd" localSheetId="13">[11]!Macro9</definedName>
    <definedName name="sfdbd" localSheetId="16">[11]!Macro9</definedName>
    <definedName name="sfdbd" localSheetId="15">[11]!Macro9</definedName>
    <definedName name="sfdbd" localSheetId="14">[11]!Macro9</definedName>
    <definedName name="sfdbd" localSheetId="12">[11]!Macro9</definedName>
    <definedName name="sfdbd" localSheetId="8">[11]!Macro9</definedName>
    <definedName name="sfdbd">[11]!Macro9</definedName>
    <definedName name="sfggf" localSheetId="2" hidden="1">{#N/A,#N/A,FALSE,"배수1"}</definedName>
    <definedName name="sfggf" localSheetId="1" hidden="1">{#N/A,#N/A,FALSE,"배수1"}</definedName>
    <definedName name="sfggf" hidden="1">{#N/A,#N/A,FALSE,"배수1"}</definedName>
    <definedName name="SFSDFDSF" localSheetId="2" hidden="1">{#N/A,#N/A,FALSE,"운반시간"}</definedName>
    <definedName name="SFSDFDSF" localSheetId="1" hidden="1">{#N/A,#N/A,FALSE,"운반시간"}</definedName>
    <definedName name="SFSDFDSF" hidden="1">{#N/A,#N/A,FALSE,"운반시간"}</definedName>
    <definedName name="SJS">[17]data!$P$4:$Q$13</definedName>
    <definedName name="sssss" localSheetId="2" hidden="1">{#N/A,#N/A,FALSE,"운반시간"}</definedName>
    <definedName name="sssss" localSheetId="1" hidden="1">{#N/A,#N/A,FALSE,"운반시간"}</definedName>
    <definedName name="sssss" hidden="1">{#N/A,#N/A,FALSE,"운반시간"}</definedName>
    <definedName name="tttt_1" hidden="1">{"'도면'!$G$62:$H$63","'도면'!$G$62:$H$63"}</definedName>
    <definedName name="tttttt" hidden="1">{"'도면'!$G$62:$H$63","'도면'!$G$62:$H$63"}</definedName>
    <definedName name="tttttt_1" hidden="1">{"'도면'!$G$62:$H$63","'도면'!$G$62:$H$63"}</definedName>
    <definedName name="TYHFDGFD" localSheetId="2" hidden="1">{#N/A,#N/A,FALSE,"배수2"}</definedName>
    <definedName name="TYHFDGFD" localSheetId="1" hidden="1">{#N/A,#N/A,FALSE,"배수2"}</definedName>
    <definedName name="TYHFDGFD" hidden="1">{#N/A,#N/A,FALSE,"배수2"}</definedName>
    <definedName name="uu">[34]DATA!$B$4:$F$495</definedName>
    <definedName name="uy89ihbn" localSheetId="2" hidden="1">{#N/A,#N/A,FALSE,"2~8번"}</definedName>
    <definedName name="uy89ihbn" localSheetId="1" hidden="1">{#N/A,#N/A,FALSE,"2~8번"}</definedName>
    <definedName name="uy89ihbn" hidden="1">{#N/A,#N/A,FALSE,"2~8번"}</definedName>
    <definedName name="vbdfgg" localSheetId="10">[11]!Macro7</definedName>
    <definedName name="vbdfgg" localSheetId="11">[11]!Macro7</definedName>
    <definedName name="vbdfgg" localSheetId="6">[11]!Macro7</definedName>
    <definedName name="vbdfgg" localSheetId="5">[11]!Macro7</definedName>
    <definedName name="vbdfgg" localSheetId="7">[11]!Macro7</definedName>
    <definedName name="vbdfgg" localSheetId="9">[11]!Macro7</definedName>
    <definedName name="vbdfgg" localSheetId="13">[11]!Macro7</definedName>
    <definedName name="vbdfgg" localSheetId="16">[11]!Macro7</definedName>
    <definedName name="vbdfgg" localSheetId="15">[11]!Macro7</definedName>
    <definedName name="vbdfgg" localSheetId="14">[11]!Macro7</definedName>
    <definedName name="vbdfgg" localSheetId="12">[11]!Macro7</definedName>
    <definedName name="vbdfgg" localSheetId="8">[11]!Macro7</definedName>
    <definedName name="vbdfgg">[11]!Macro7</definedName>
    <definedName name="ve" hidden="1">{"'Firr(선)'!$AS$1:$AY$62","'Firr(사)'!$AS$1:$AY$62","'Firr(회)'!$AS$1:$AY$62","'Firr(선)'!$L$1:$V$62","'Firr(사)'!$L$1:$V$62","'Firr(회)'!$L$1:$V$62"}</definedName>
    <definedName name="ve_1" hidden="1">{"'Firr(선)'!$AS$1:$AY$62","'Firr(사)'!$AS$1:$AY$62","'Firr(회)'!$AS$1:$AY$62","'Firr(선)'!$L$1:$V$62","'Firr(사)'!$L$1:$V$62","'Firr(회)'!$L$1:$V$62"}</definedName>
    <definedName name="wer" localSheetId="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t" localSheetId="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t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t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JS">'[35]1.동력공사'!$1:$3</definedName>
    <definedName name="wm.조골재1" localSheetId="2" hidden="1">{#N/A,#N/A,FALSE,"조골재"}</definedName>
    <definedName name="wm.조골재1" localSheetId="1" hidden="1">{#N/A,#N/A,FALSE,"조골재"}</definedName>
    <definedName name="wm.조골재1" hidden="1">{#N/A,#N/A,FALSE,"조골재"}</definedName>
    <definedName name="wrn.2번." localSheetId="2" hidden="1">{#N/A,#N/A,FALSE,"2~8번"}</definedName>
    <definedName name="wrn.2번." localSheetId="1" hidden="1">{#N/A,#N/A,FALSE,"2~8번"}</definedName>
    <definedName name="wrn.2번." hidden="1">{#N/A,#N/A,FALSE,"2~8번"}</definedName>
    <definedName name="wrn.골재소요량." localSheetId="2" hidden="1">{#N/A,#N/A,FALSE,"골재소요량";#N/A,#N/A,FALSE,"골재소요량"}</definedName>
    <definedName name="wrn.골재소요량." localSheetId="1" hidden="1">{#N/A,#N/A,FALSE,"골재소요량";#N/A,#N/A,FALSE,"골재소요량"}</definedName>
    <definedName name="wrn.골재소요량." hidden="1">{#N/A,#N/A,FALSE,"골재소요량";#N/A,#N/A,FALSE,"골재소요량"}</definedName>
    <definedName name="wrn.교대." localSheetId="2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." localSheetId="1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.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구조계산." localSheetId="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교대구조계산.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교대구조계산.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구조2." localSheetId="2" hidden="1">{#N/A,#N/A,FALSE,"구조2"}</definedName>
    <definedName name="wrn.구조2." localSheetId="1" hidden="1">{#N/A,#N/A,FALSE,"구조2"}</definedName>
    <definedName name="wrn.구조2." hidden="1">{#N/A,#N/A,FALSE,"구조2"}</definedName>
    <definedName name="wrn.단가표지." localSheetId="2" hidden="1">{#N/A,#N/A,FALSE,"단가표지"}</definedName>
    <definedName name="wrn.단가표지." localSheetId="1" hidden="1">{#N/A,#N/A,FALSE,"단가표지"}</definedName>
    <definedName name="wrn.단가표지." hidden="1">{#N/A,#N/A,FALSE,"단가표지"}</definedName>
    <definedName name="wrn.배수1." localSheetId="2" hidden="1">{#N/A,#N/A,FALSE,"배수1"}</definedName>
    <definedName name="wrn.배수1." localSheetId="1" hidden="1">{#N/A,#N/A,FALSE,"배수1"}</definedName>
    <definedName name="wrn.배수1." hidden="1">{#N/A,#N/A,FALSE,"배수1"}</definedName>
    <definedName name="wrn.배수2." localSheetId="2" hidden="1">{#N/A,#N/A,FALSE,"배수2"}</definedName>
    <definedName name="wrn.배수2." localSheetId="1" hidden="1">{#N/A,#N/A,FALSE,"배수2"}</definedName>
    <definedName name="wrn.배수2." hidden="1">{#N/A,#N/A,FALSE,"배수2"}</definedName>
    <definedName name="wrn.부대1." localSheetId="2" hidden="1">{#N/A,#N/A,FALSE,"부대1"}</definedName>
    <definedName name="wrn.부대1." localSheetId="1" hidden="1">{#N/A,#N/A,FALSE,"부대1"}</definedName>
    <definedName name="wrn.부대1." hidden="1">{#N/A,#N/A,FALSE,"부대1"}</definedName>
    <definedName name="wrn.부대2." localSheetId="2" hidden="1">{#N/A,#N/A,FALSE,"부대2"}</definedName>
    <definedName name="wrn.부대2." localSheetId="1" hidden="1">{#N/A,#N/A,FALSE,"부대2"}</definedName>
    <definedName name="wrn.부대2." hidden="1">{#N/A,#N/A,FALSE,"부대2"}</definedName>
    <definedName name="wrn.속도." localSheetId="2" hidden="1">{#N/A,#N/A,FALSE,"속도"}</definedName>
    <definedName name="wrn.속도." localSheetId="1" hidden="1">{#N/A,#N/A,FALSE,"속도"}</definedName>
    <definedName name="wrn.속도." hidden="1">{#N/A,#N/A,FALSE,"속도"}</definedName>
    <definedName name="wrn.운반시간." localSheetId="2" hidden="1">{#N/A,#N/A,FALSE,"운반시간"}</definedName>
    <definedName name="wrn.운반시간." localSheetId="1" hidden="1">{#N/A,#N/A,FALSE,"운반시간"}</definedName>
    <definedName name="wrn.운반시간." hidden="1">{#N/A,#N/A,FALSE,"운반시간"}</definedName>
    <definedName name="wrn.이정표." localSheetId="2" hidden="1">{#N/A,#N/A,FALSE,"이정표"}</definedName>
    <definedName name="wrn.이정표." localSheetId="1" hidden="1">{#N/A,#N/A,FALSE,"이정표"}</definedName>
    <definedName name="wrn.이정표." hidden="1">{#N/A,#N/A,FALSE,"이정표"}</definedName>
    <definedName name="wrn.조골재." localSheetId="2" hidden="1">{#N/A,#N/A,FALSE,"조골재"}</definedName>
    <definedName name="wrn.조골재." localSheetId="1" hidden="1">{#N/A,#N/A,FALSE,"조골재"}</definedName>
    <definedName name="wrn.조골재." hidden="1">{#N/A,#N/A,FALSE,"조골재"}</definedName>
    <definedName name="wrn.토공1." localSheetId="2" hidden="1">{#N/A,#N/A,FALSE,"구조1"}</definedName>
    <definedName name="wrn.토공1." localSheetId="1" hidden="1">{#N/A,#N/A,FALSE,"구조1"}</definedName>
    <definedName name="wrn.토공1." hidden="1">{#N/A,#N/A,FALSE,"구조1"}</definedName>
    <definedName name="wrn.토공2." localSheetId="2" hidden="1">{#N/A,#N/A,FALSE,"토공2"}</definedName>
    <definedName name="wrn.토공2." localSheetId="1" hidden="1">{#N/A,#N/A,FALSE,"토공2"}</definedName>
    <definedName name="wrn.토공2." hidden="1">{#N/A,#N/A,FALSE,"토공2"}</definedName>
    <definedName name="wrn.포장1." localSheetId="2" hidden="1">{#N/A,#N/A,FALSE,"포장1";#N/A,#N/A,FALSE,"포장1"}</definedName>
    <definedName name="wrn.포장1." localSheetId="1" hidden="1">{#N/A,#N/A,FALSE,"포장1";#N/A,#N/A,FALSE,"포장1"}</definedName>
    <definedName name="wrn.포장1." hidden="1">{#N/A,#N/A,FALSE,"포장1";#N/A,#N/A,FALSE,"포장1"}</definedName>
    <definedName name="wrn.포장2." localSheetId="2" hidden="1">{#N/A,#N/A,FALSE,"포장2"}</definedName>
    <definedName name="wrn.포장2." localSheetId="1" hidden="1">{#N/A,#N/A,FALSE,"포장2"}</definedName>
    <definedName name="wrn.포장2." hidden="1">{#N/A,#N/A,FALSE,"포장2"}</definedName>
    <definedName name="wrn.표지목차." localSheetId="2" hidden="1">{#N/A,#N/A,FALSE,"표지목차"}</definedName>
    <definedName name="wrn.표지목차." localSheetId="1" hidden="1">{#N/A,#N/A,FALSE,"표지목차"}</definedName>
    <definedName name="wrn.표지목차." hidden="1">{#N/A,#N/A,FALSE,"표지목차"}</definedName>
    <definedName name="wrn.현장._.NCR._.분석." localSheetId="2" hidden="1">{#N/A,#N/A,FALSE,"현장 NCR 분석";#N/A,#N/A,FALSE,"현장품질감사";#N/A,#N/A,FALSE,"현장품질감사"}</definedName>
    <definedName name="wrn.현장._.NCR._.분석." localSheetId="1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rn.혼합골재." localSheetId="2" hidden="1">{#N/A,#N/A,FALSE,"혼합골재"}</definedName>
    <definedName name="wrn.혼합골재." localSheetId="1" hidden="1">{#N/A,#N/A,FALSE,"혼합골재"}</definedName>
    <definedName name="wrn.혼합골재." hidden="1">{#N/A,#N/A,FALSE,"혼합골재"}</definedName>
    <definedName name="WWW" hidden="1">{"'7'!$B$15:$D$32"}</definedName>
    <definedName name="WWW_1" hidden="1">{"'도면'!$G$62:$H$63","'도면'!$G$62:$H$63"}</definedName>
    <definedName name="WWWW" hidden="1">{"'도면'!$G$62:$H$63","'도면'!$G$62:$H$63"}</definedName>
    <definedName name="WWWW_1" hidden="1">{"'도면'!$G$62:$H$63","'도면'!$G$62:$H$63"}</definedName>
    <definedName name="xxca" hidden="1">{"'Firr(선)'!$AS$1:$AY$62","'Firr(사)'!$AS$1:$AY$62","'Firr(회)'!$AS$1:$AY$62","'Firr(선)'!$L$1:$V$62","'Firr(사)'!$L$1:$V$62","'Firr(회)'!$L$1:$V$62"}</definedName>
    <definedName name="xxca_1" hidden="1">{"'Firr(선)'!$AS$1:$AY$62","'Firr(사)'!$AS$1:$AY$62","'Firr(회)'!$AS$1:$AY$62","'Firr(선)'!$L$1:$V$62","'Firr(사)'!$L$1:$V$62","'Firr(회)'!$L$1:$V$62"}</definedName>
    <definedName name="XXXXXX" localSheetId="2" hidden="1">{"'공사부문'!$A$6:$A$32"}</definedName>
    <definedName name="XXXXXX" localSheetId="1" hidden="1">{"'공사부문'!$A$6:$A$32"}</definedName>
    <definedName name="XXXXXX" hidden="1">{"'공사부문'!$A$6:$A$32"}</definedName>
    <definedName name="y" hidden="1">{"'도면'!$G$62:$H$63","'도면'!$G$62:$H$63"}</definedName>
    <definedName name="YUYUY" localSheetId="2" hidden="1">{#N/A,#N/A,FALSE,"혼합골재"}</definedName>
    <definedName name="YUYUY" localSheetId="1" hidden="1">{#N/A,#N/A,FALSE,"혼합골재"}</definedName>
    <definedName name="YUYUY" hidden="1">{#N/A,#N/A,FALSE,"혼합골재"}</definedName>
    <definedName name="yyyyy" hidden="1">{"'도면'!$G$62:$H$63","'도면'!$G$62:$H$63"}</definedName>
    <definedName name="yyyyy_1" hidden="1">{"'도면'!$G$62:$H$63","'도면'!$G$62:$H$63"}</definedName>
    <definedName name="zhdk">'[36]일반문틀 설치'!$A$1:$L$25</definedName>
    <definedName name="ㄱㄱ" localSheetId="2" hidden="1">{#N/A,#N/A,FALSE,"운반시간"}</definedName>
    <definedName name="ㄱㄱ" localSheetId="1" hidden="1">{#N/A,#N/A,FALSE,"운반시간"}</definedName>
    <definedName name="ㄱㄱ" hidden="1">{#N/A,#N/A,FALSE,"운반시간"}</definedName>
    <definedName name="ㄱㄷㅂㄱㅈ" localSheetId="2" hidden="1">{#N/A,#N/A,FALSE,"2~8번"}</definedName>
    <definedName name="ㄱㄷㅂㄱㅈ" localSheetId="1" hidden="1">{#N/A,#N/A,FALSE,"2~8번"}</definedName>
    <definedName name="ㄱㄷㅂㄱㅈ" hidden="1">{#N/A,#N/A,FALSE,"2~8번"}</definedName>
    <definedName name="ㄱㄷㅈㄱ" hidden="1">{"'7'!$B$15:$D$32"}</definedName>
    <definedName name="가1" hidden="1">{"'Firr(선)'!$AS$1:$AY$62","'Firr(사)'!$AS$1:$AY$62","'Firr(회)'!$AS$1:$AY$62","'Firr(선)'!$L$1:$V$62","'Firr(사)'!$L$1:$V$62","'Firr(회)'!$L$1:$V$62"}</definedName>
    <definedName name="가1_1" hidden="1">{"'Firr(선)'!$AS$1:$AY$62","'Firr(사)'!$AS$1:$AY$62","'Firr(회)'!$AS$1:$AY$62","'Firr(선)'!$L$1:$V$62","'Firr(사)'!$L$1:$V$62","'Firr(회)'!$L$1:$V$62"}</definedName>
    <definedName name="가2" hidden="1">{"'Firr(선)'!$AS$1:$AY$62","'Firr(사)'!$AS$1:$AY$62","'Firr(회)'!$AS$1:$AY$62","'Firr(선)'!$L$1:$V$62","'Firr(사)'!$L$1:$V$62","'Firr(회)'!$L$1:$V$62"}</definedName>
    <definedName name="가2_1" hidden="1">{"'Firr(선)'!$AS$1:$AY$62","'Firr(사)'!$AS$1:$AY$62","'Firr(회)'!$AS$1:$AY$62","'Firr(선)'!$L$1:$V$62","'Firr(사)'!$L$1:$V$62","'Firr(회)'!$L$1:$V$62"}</definedName>
    <definedName name="가4" hidden="1">{"'Firr(선)'!$AS$1:$AY$62","'Firr(사)'!$AS$1:$AY$62","'Firr(회)'!$AS$1:$AY$62","'Firr(선)'!$L$1:$V$62","'Firr(사)'!$L$1:$V$62","'Firr(회)'!$L$1:$V$62"}</definedName>
    <definedName name="가4_1" hidden="1">{"'Firr(선)'!$AS$1:$AY$62","'Firr(사)'!$AS$1:$AY$62","'Firr(회)'!$AS$1:$AY$62","'Firr(선)'!$L$1:$V$62","'Firr(사)'!$L$1:$V$62","'Firr(회)'!$L$1:$V$62"}</definedName>
    <definedName name="가5" hidden="1">{"'Firr(선)'!$AS$1:$AY$62","'Firr(사)'!$AS$1:$AY$62","'Firr(회)'!$AS$1:$AY$62","'Firr(선)'!$L$1:$V$62","'Firr(사)'!$L$1:$V$62","'Firr(회)'!$L$1:$V$62"}</definedName>
    <definedName name="가5_1" hidden="1">{"'Firr(선)'!$AS$1:$AY$62","'Firr(사)'!$AS$1:$AY$62","'Firr(회)'!$AS$1:$AY$62","'Firr(선)'!$L$1:$V$62","'Firr(사)'!$L$1:$V$62","'Firr(회)'!$L$1:$V$62"}</definedName>
    <definedName name="가6" hidden="1">{"'Firr(선)'!$AS$1:$AY$62","'Firr(사)'!$AS$1:$AY$62","'Firr(회)'!$AS$1:$AY$62","'Firr(선)'!$L$1:$V$62","'Firr(사)'!$L$1:$V$62","'Firr(회)'!$L$1:$V$62"}</definedName>
    <definedName name="가6_1" hidden="1">{"'Firr(선)'!$AS$1:$AY$62","'Firr(사)'!$AS$1:$AY$62","'Firr(회)'!$AS$1:$AY$62","'Firr(선)'!$L$1:$V$62","'Firr(사)'!$L$1:$V$62","'Firr(회)'!$L$1:$V$62"}</definedName>
    <definedName name="가9" hidden="1">{"'Firr(선)'!$AS$1:$AY$62","'Firr(사)'!$AS$1:$AY$62","'Firr(회)'!$AS$1:$AY$62","'Firr(선)'!$L$1:$V$62","'Firr(사)'!$L$1:$V$62","'Firr(회)'!$L$1:$V$62"}</definedName>
    <definedName name="가9_1" hidden="1">{"'Firr(선)'!$AS$1:$AY$62","'Firr(사)'!$AS$1:$AY$62","'Firr(회)'!$AS$1:$AY$62","'Firr(선)'!$L$1:$V$62","'Firr(사)'!$L$1:$V$62","'Firr(회)'!$L$1:$V$62"}</definedName>
    <definedName name="가로등기초입력">[0]!가로등기초입력</definedName>
    <definedName name="가로등입력">[0]!가로등입력</definedName>
    <definedName name="감독2" localSheetId="2" hidden="1">{#N/A,#N/A,FALSE,"단가표지"}</definedName>
    <definedName name="감독2" localSheetId="1" hidden="1">{#N/A,#N/A,FALSE,"단가표지"}</definedName>
    <definedName name="감독2" hidden="1">{#N/A,#N/A,FALSE,"단가표지"}</definedName>
    <definedName name="감독3" localSheetId="2" hidden="1">{#N/A,#N/A,FALSE,"단가표지"}</definedName>
    <definedName name="감독3" localSheetId="1" hidden="1">{#N/A,#N/A,FALSE,"단가표지"}</definedName>
    <definedName name="감독3" hidden="1">{#N/A,#N/A,FALSE,"단가표지"}</definedName>
    <definedName name="강정근" hidden="1">{"'도면'!$G$62:$H$63","'도면'!$G$62:$H$63"}</definedName>
    <definedName name="강정근_1" hidden="1">{"'도면'!$G$62:$H$63","'도면'!$G$62:$H$63"}</definedName>
    <definedName name="건설기계운전사">56603</definedName>
    <definedName name="건설기계조수">43994</definedName>
    <definedName name="건설기계조장">68228</definedName>
    <definedName name="경비용역" hidden="1">{"'7'!$B$15:$D$32"}</definedName>
    <definedName name="고성" hidden="1">{"'도면'!$G$62:$H$63","'도면'!$G$62:$H$63"}</definedName>
    <definedName name="고성_1" hidden="1">{"'도면'!$G$62:$H$63","'도면'!$G$62:$H$63"}</definedName>
    <definedName name="고성1" hidden="1">{"'도면'!$G$62:$H$63","'도면'!$G$62:$H$63"}</definedName>
    <definedName name="고케">'[37]인건비 '!$B$5</definedName>
    <definedName name="곡동" hidden="1">{"'Firr(선)'!$AS$1:$AY$62","'Firr(사)'!$AS$1:$AY$62","'Firr(회)'!$AS$1:$AY$62","'Firr(선)'!$L$1:$V$62","'Firr(사)'!$L$1:$V$62","'Firr(회)'!$L$1:$V$62"}</definedName>
    <definedName name="곡동_1" hidden="1">{"'Firr(선)'!$AS$1:$AY$62","'Firr(사)'!$AS$1:$AY$62","'Firr(회)'!$AS$1:$AY$62","'Firr(선)'!$L$1:$V$62","'Firr(사)'!$L$1:$V$62","'Firr(회)'!$L$1:$V$62"}</definedName>
    <definedName name="공구">[0]!공구</definedName>
    <definedName name="공구손료">'[38]노무비(전기)뽑지마세요'!$C$49</definedName>
    <definedName name="공압축3.5간재">'[39]기계경비(시간당)'!$H$248</definedName>
    <definedName name="공압축3.5노무">'[39]기계경비(시간당)'!$H$244</definedName>
    <definedName name="공압축3.5노무야간">'[39]기계경비(시간당)'!$H$245</definedName>
    <definedName name="공압축3.5손료">'[39]기계경비(시간당)'!$H$243</definedName>
    <definedName name="공압축7.1간재">'[39]기계경비(시간당)'!$H$256</definedName>
    <definedName name="공압축7.1노무">'[39]기계경비(시간당)'!$H$252</definedName>
    <definedName name="공압축7.1노무야간">'[39]기계경비(시간당)'!$H$253</definedName>
    <definedName name="공압축7.1손료">'[39]기계경비(시간당)'!$H$251</definedName>
    <definedName name="공정">[0]!공정</definedName>
    <definedName name="곽동준" hidden="1">{"'Firr(선)'!$AS$1:$AY$62","'Firr(사)'!$AS$1:$AY$62","'Firr(회)'!$AS$1:$AY$62","'Firr(선)'!$L$1:$V$62","'Firr(사)'!$L$1:$V$62","'Firr(회)'!$L$1:$V$62"}</definedName>
    <definedName name="곽동준_1" hidden="1">{"'Firr(선)'!$AS$1:$AY$62","'Firr(사)'!$AS$1:$AY$62","'Firr(회)'!$AS$1:$AY$62","'Firr(선)'!$L$1:$V$62","'Firr(사)'!$L$1:$V$62","'Firr(회)'!$L$1:$V$62"}</definedName>
    <definedName name="곽동중" hidden="1">{"'Firr(선)'!$AS$1:$AY$62","'Firr(사)'!$AS$1:$AY$62","'Firr(회)'!$AS$1:$AY$62","'Firr(선)'!$L$1:$V$62","'Firr(사)'!$L$1:$V$62","'Firr(회)'!$L$1:$V$62"}</definedName>
    <definedName name="곽동중_1" hidden="1">{"'Firr(선)'!$AS$1:$AY$62","'Firr(사)'!$AS$1:$AY$62","'Firr(회)'!$AS$1:$AY$62","'Firr(선)'!$L$1:$V$62","'Firr(사)'!$L$1:$V$62","'Firr(회)'!$L$1:$V$62"}</definedName>
    <definedName name="교대구조계산" localSheetId="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교대구조계산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교대구조계산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교대펄근집계" localSheetId="2" hidden="1">{#N/A,#N/A,FALSE,"배수1"}</definedName>
    <definedName name="교대펄근집계" localSheetId="1" hidden="1">{#N/A,#N/A,FALSE,"배수1"}</definedName>
    <definedName name="교대펄근집계" hidden="1">{#N/A,#N/A,FALSE,"배수1"}</definedName>
    <definedName name="구매" hidden="1">{"'도면'!$G$62:$H$63","'도면'!$G$62:$H$63"}</definedName>
    <definedName name="구매_1" hidden="1">{"'도면'!$G$62:$H$63","'도면'!$G$62:$H$63"}</definedName>
    <definedName name="구산갑지" localSheetId="2" hidden="1">#REF!</definedName>
    <definedName name="구산갑지" localSheetId="1" hidden="1">#REF!</definedName>
    <definedName name="구산갑지" localSheetId="9" hidden="1">#REF!</definedName>
    <definedName name="구산갑지" hidden="1">#REF!</definedName>
    <definedName name="근" localSheetId="2" hidden="1">{#N/A,#N/A,FALSE,"조골재"}</definedName>
    <definedName name="근" localSheetId="1" hidden="1">{#N/A,#N/A,FALSE,"조골재"}</definedName>
    <definedName name="근" hidden="1">{#N/A,#N/A,FALSE,"조골재"}</definedName>
    <definedName name="기층포설">[40]단가!$C$83</definedName>
    <definedName name="기타">[41]집계표!$A$1:$M$2</definedName>
    <definedName name="기타자재">[0]!기타자재</definedName>
    <definedName name="김1" hidden="1">{"'Firr(선)'!$AS$1:$AY$62","'Firr(사)'!$AS$1:$AY$62","'Firr(회)'!$AS$1:$AY$62","'Firr(선)'!$L$1:$V$62","'Firr(사)'!$L$1:$V$62","'Firr(회)'!$L$1:$V$62"}</definedName>
    <definedName name="김1_1" hidden="1">{"'Firr(선)'!$AS$1:$AY$62","'Firr(사)'!$AS$1:$AY$62","'Firr(회)'!$AS$1:$AY$62","'Firr(선)'!$L$1:$V$62","'Firr(사)'!$L$1:$V$62","'Firr(회)'!$L$1:$V$62"}</definedName>
    <definedName name="김곽">[42]NOMUBI!$B$3:$H$39</definedName>
    <definedName name="김동" hidden="1">{"'Firr(선)'!$AS$1:$AY$62","'Firr(사)'!$AS$1:$AY$62","'Firr(회)'!$AS$1:$AY$62","'Firr(선)'!$L$1:$V$62","'Firr(사)'!$L$1:$V$62","'Firr(회)'!$L$1:$V$62"}</definedName>
    <definedName name="김동_1" hidden="1">{"'Firr(선)'!$AS$1:$AY$62","'Firr(사)'!$AS$1:$AY$62","'Firr(회)'!$AS$1:$AY$62","'Firr(선)'!$L$1:$V$62","'Firr(사)'!$L$1:$V$62","'Firr(회)'!$L$1:$V$62"}</definedName>
    <definedName name="김동준" hidden="1">{"'Firr(선)'!$AS$1:$AY$62","'Firr(사)'!$AS$1:$AY$62","'Firr(회)'!$AS$1:$AY$62","'Firr(선)'!$L$1:$V$62","'Firr(사)'!$L$1:$V$62","'Firr(회)'!$L$1:$V$62"}</definedName>
    <definedName name="김동준_1" hidden="1">{"'Firr(선)'!$AS$1:$AY$62","'Firr(사)'!$AS$1:$AY$62","'Firr(회)'!$AS$1:$AY$62","'Firr(선)'!$L$1:$V$62","'Firr(사)'!$L$1:$V$62","'Firr(회)'!$L$1:$V$62"}</definedName>
    <definedName name="김상묵" hidden="1">{"'도면'!$G$62:$H$63","'도면'!$G$62:$H$63"}</definedName>
    <definedName name="김상묵_1" hidden="1">{"'도면'!$G$62:$H$63","'도면'!$G$62:$H$63"}</definedName>
    <definedName name="김신희" hidden="1">{"'7'!$B$15:$D$32"}</definedName>
    <definedName name="김ㅈㅗㅊ리" hidden="1">{"'7'!$B$15:$D$32"}</definedName>
    <definedName name="김지원" hidden="1">{"'도면'!$G$62:$H$63","'도면'!$G$62:$H$63"}</definedName>
    <definedName name="김지원_1" hidden="1">{"'도면'!$G$62:$H$63","'도면'!$G$62:$H$63"}</definedName>
    <definedName name="ㄳㄳㄳㄳ" hidden="1">{"'용역비'!$A$4:$C$8"}</definedName>
    <definedName name="ㄴㄴㄴ" localSheetId="2" hidden="1">{#N/A,#N/A,FALSE,"배수1"}</definedName>
    <definedName name="ㄴㄴㄴ" localSheetId="1" hidden="1">{#N/A,#N/A,FALSE,"배수1"}</definedName>
    <definedName name="ㄴㄴㄴ" hidden="1">{#N/A,#N/A,FALSE,"배수1"}</definedName>
    <definedName name="ㄴㄴㅀㅇㅇㅀ" localSheetId="2" hidden="1">{#N/A,#N/A,FALSE,"부대1"}</definedName>
    <definedName name="ㄴㄴㅀㅇㅇㅀ" localSheetId="1" hidden="1">{#N/A,#N/A,FALSE,"부대1"}</definedName>
    <definedName name="ㄴㄴㅀㅇㅇㅀ" hidden="1">{#N/A,#N/A,FALSE,"부대1"}</definedName>
    <definedName name="ㄴㄹㄴ" localSheetId="2" hidden="1">{#N/A,#N/A,FALSE,"단가표지"}</definedName>
    <definedName name="ㄴㄹㄴ" localSheetId="1" hidden="1">{#N/A,#N/A,FALSE,"단가표지"}</definedName>
    <definedName name="ㄴㄹㄴ" hidden="1">{#N/A,#N/A,FALSE,"단가표지"}</definedName>
    <definedName name="ㄴㄹㅇ" localSheetId="2" hidden="1">{#N/A,#N/A,FALSE,"포장2"}</definedName>
    <definedName name="ㄴㄹㅇ" localSheetId="1" hidden="1">{#N/A,#N/A,FALSE,"포장2"}</definedName>
    <definedName name="ㄴㄹㅇ" hidden="1">{#N/A,#N/A,FALSE,"포장2"}</definedName>
    <definedName name="ㄴㅁㅇㄴㅁㅇ" localSheetId="2" hidden="1">{#N/A,#N/A,FALSE,"배수1"}</definedName>
    <definedName name="ㄴㅁㅇㄴㅁㅇ" localSheetId="1" hidden="1">{#N/A,#N/A,FALSE,"배수1"}</definedName>
    <definedName name="ㄴㅁㅇㄴㅁㅇ" hidden="1">{#N/A,#N/A,FALSE,"배수1"}</definedName>
    <definedName name="ㄴㅅㅎㅇㅎㄹㅇ" localSheetId="2" hidden="1">{#N/A,#N/A,FALSE,"배수2"}</definedName>
    <definedName name="ㄴㅅㅎㅇㅎㄹㅇ" localSheetId="1" hidden="1">{#N/A,#N/A,FALSE,"배수2"}</definedName>
    <definedName name="ㄴㅅㅎㅇㅎㄹㅇ" hidden="1">{#N/A,#N/A,FALSE,"배수2"}</definedName>
    <definedName name="나">[43]노임단가!$A$1:$B$132</definedName>
    <definedName name="나1" hidden="1">{"'Firr(선)'!$AS$1:$AY$62","'Firr(사)'!$AS$1:$AY$62","'Firr(회)'!$AS$1:$AY$62","'Firr(선)'!$L$1:$V$62","'Firr(사)'!$L$1:$V$62","'Firr(회)'!$L$1:$V$62"}</definedName>
    <definedName name="나1_1" hidden="1">{"'Firr(선)'!$AS$1:$AY$62","'Firr(사)'!$AS$1:$AY$62","'Firr(회)'!$AS$1:$AY$62","'Firr(선)'!$L$1:$V$62","'Firr(사)'!$L$1:$V$62","'Firr(회)'!$L$1:$V$62"}</definedName>
    <definedName name="나2" hidden="1">{"'Firr(선)'!$AS$1:$AY$62","'Firr(사)'!$AS$1:$AY$62","'Firr(회)'!$AS$1:$AY$62","'Firr(선)'!$L$1:$V$62","'Firr(사)'!$L$1:$V$62","'Firr(회)'!$L$1:$V$62"}</definedName>
    <definedName name="나2_1" hidden="1">{"'Firr(선)'!$AS$1:$AY$62","'Firr(사)'!$AS$1:$AY$62","'Firr(회)'!$AS$1:$AY$62","'Firr(선)'!$L$1:$V$62","'Firr(사)'!$L$1:$V$62","'Firr(회)'!$L$1:$V$62"}</definedName>
    <definedName name="남남" localSheetId="2" hidden="1">#REF!</definedName>
    <definedName name="남남" localSheetId="1" hidden="1">#REF!</definedName>
    <definedName name="남남" localSheetId="9" hidden="1">#REF!</definedName>
    <definedName name="남남" hidden="1">#REF!</definedName>
    <definedName name="내역2" localSheetId="2">[44]배관내역!#REF!</definedName>
    <definedName name="내역2" localSheetId="1">[44]배관내역!#REF!</definedName>
    <definedName name="내역2" localSheetId="9">[44]배관내역!#REF!</definedName>
    <definedName name="내역2">[44]배관내역!#REF!</definedName>
    <definedName name="내전">'[37]인건비 '!$B$12</definedName>
    <definedName name="노" hidden="1">{"'도면'!$G$62:$H$63","'도면'!$G$62:$H$63"}</definedName>
    <definedName name="노_1" hidden="1">{"'도면'!$G$62:$H$63","'도면'!$G$62:$H$63"}</definedName>
    <definedName name="노임단가1">[45]노임단가!$A$1:$B$132</definedName>
    <definedName name="ㄷㄳㅅㄷㄱ" localSheetId="2" hidden="1">{#N/A,#N/A,FALSE,"2~8번"}</definedName>
    <definedName name="ㄷㄳㅅㄷㄱ" localSheetId="1" hidden="1">{#N/A,#N/A,FALSE,"2~8번"}</definedName>
    <definedName name="ㄷㄳㅅㄷㄱ" hidden="1">{#N/A,#N/A,FALSE,"2~8번"}</definedName>
    <definedName name="ㄷㅈㄱㄷㅈ" localSheetId="2" hidden="1">{#N/A,#N/A,FALSE,"혼합골재"}</definedName>
    <definedName name="ㄷㅈㄱㄷㅈ" localSheetId="1" hidden="1">{#N/A,#N/A,FALSE,"혼합골재"}</definedName>
    <definedName name="ㄷㅈㄱㄷㅈ" hidden="1">{#N/A,#N/A,FALSE,"혼합골재"}</definedName>
    <definedName name="ㄷㅈㅂㄱㅈㅂㄷㄱ" localSheetId="2" hidden="1">{#N/A,#N/A,FALSE,"골재소요량";#N/A,#N/A,FALSE,"골재소요량"}</definedName>
    <definedName name="ㄷㅈㅂㄱㅈㅂㄷㄱ" localSheetId="1" hidden="1">{#N/A,#N/A,FALSE,"골재소요량";#N/A,#N/A,FALSE,"골재소요량"}</definedName>
    <definedName name="ㄷㅈㅂㄱㅈㅂㄷㄱ" hidden="1">{#N/A,#N/A,FALSE,"골재소요량";#N/A,#N/A,FALSE,"골재소요량"}</definedName>
    <definedName name="ㄷㅎㄹㅇ" localSheetId="2" hidden="1">#REF!</definedName>
    <definedName name="ㄷㅎㄹㅇ" localSheetId="1" hidden="1">#REF!</definedName>
    <definedName name="ㄷㅎㄹㅇ" localSheetId="9" hidden="1">#REF!</definedName>
    <definedName name="ㄷㅎㄹㅇ" hidden="1">#REF!</definedName>
    <definedName name="단가테이블">'[39]기계경비(시간당)'!$C$1:$F$58</definedName>
    <definedName name="단락전류2">[0]!단락전류2</definedName>
    <definedName name="단면특성1" localSheetId="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단면특성1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단면특성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단위중량" localSheetId="2">#REF!</definedName>
    <definedName name="단위중량" localSheetId="1">#REF!</definedName>
    <definedName name="단위중량" localSheetId="9">#REF!</definedName>
    <definedName name="단위중량">#REF!</definedName>
    <definedName name="대화상자표시">[0]!대화상자표시</definedName>
    <definedName name="동력케이블">[0]!동력케이블</definedName>
    <definedName name="동준" hidden="1">{"'Firr(선)'!$AS$1:$AY$62","'Firr(사)'!$AS$1:$AY$62","'Firr(회)'!$AS$1:$AY$62","'Firr(선)'!$L$1:$V$62","'Firr(사)'!$L$1:$V$62","'Firr(회)'!$L$1:$V$62"}</definedName>
    <definedName name="동준_1" hidden="1">{"'Firr(선)'!$AS$1:$AY$62","'Firr(사)'!$AS$1:$AY$62","'Firr(회)'!$AS$1:$AY$62","'Firr(선)'!$L$1:$V$62","'Firr(사)'!$L$1:$V$62","'Firr(회)'!$L$1:$V$62"}</definedName>
    <definedName name="동준친" hidden="1">{"'Firr(선)'!$AS$1:$AY$62","'Firr(사)'!$AS$1:$AY$62","'Firr(회)'!$AS$1:$AY$62","'Firr(선)'!$L$1:$V$62","'Firr(사)'!$L$1:$V$62","'Firr(회)'!$L$1:$V$62"}</definedName>
    <definedName name="동준친_1" hidden="1">{"'Firr(선)'!$AS$1:$AY$62","'Firr(사)'!$AS$1:$AY$62","'Firr(회)'!$AS$1:$AY$62","'Firr(선)'!$L$1:$V$62","'Firr(사)'!$L$1:$V$62","'Firr(회)'!$L$1:$V$62"}</definedName>
    <definedName name="동해설명서" hidden="1">{"'도면'!$G$62:$H$63","'도면'!$G$62:$H$63"}</definedName>
    <definedName name="동해설명서_1" hidden="1">{"'도면'!$G$62:$H$63","'도면'!$G$62:$H$63"}</definedName>
    <definedName name="ㄹ761" localSheetId="2">[44]배관내역!#REF!</definedName>
    <definedName name="ㄹ761" localSheetId="1">[44]배관내역!#REF!</definedName>
    <definedName name="ㄹ761" localSheetId="9">[44]배관내역!#REF!</definedName>
    <definedName name="ㄹ761">[44]배관내역!#REF!</definedName>
    <definedName name="ㄹㄹㄹ" localSheetId="2" hidden="1">#REF!</definedName>
    <definedName name="ㄹㄹㄹ" localSheetId="1" hidden="1">#REF!</definedName>
    <definedName name="ㄹㄹㄹ" localSheetId="9" hidden="1">#REF!</definedName>
    <definedName name="ㄹㄹㄹ" hidden="1">#REF!</definedName>
    <definedName name="ㄹㄹㄹㄹ" hidden="1">{"'Firr(선)'!$AS$1:$AY$62","'Firr(사)'!$AS$1:$AY$62","'Firr(회)'!$AS$1:$AY$62","'Firr(선)'!$L$1:$V$62","'Firr(사)'!$L$1:$V$62","'Firr(회)'!$L$1:$V$62"}</definedName>
    <definedName name="ㄹㄹㄹㄹ_1" hidden="1">{"'Firr(선)'!$AS$1:$AY$62","'Firr(사)'!$AS$1:$AY$62","'Firr(회)'!$AS$1:$AY$62","'Firr(선)'!$L$1:$V$62","'Firr(사)'!$L$1:$V$62","'Firr(회)'!$L$1:$V$62"}</definedName>
    <definedName name="ㄹㅇㅁㄴㄹ" localSheetId="2" hidden="1">{#N/A,#N/A,FALSE,"혼합골재"}</definedName>
    <definedName name="ㄹㅇㅁㄴㄹ" localSheetId="1" hidden="1">{#N/A,#N/A,FALSE,"혼합골재"}</definedName>
    <definedName name="ㄹㅇㅁㄴㄹ" hidden="1">{#N/A,#N/A,FALSE,"혼합골재"}</definedName>
    <definedName name="ㄹㅇ퓨ㅓㅜㅏㅗㅜㅠㅅ퐇휴ㅗㅎ" localSheetId="2" hidden="1">{#N/A,#N/A,FALSE,"조골재"}</definedName>
    <definedName name="ㄹㅇ퓨ㅓㅜㅏㅗㅜㅠㅅ퐇휴ㅗㅎ" localSheetId="1" hidden="1">{#N/A,#N/A,FALSE,"조골재"}</definedName>
    <definedName name="ㄹㅇ퓨ㅓㅜㅏㅗㅜㅠㅅ퐇휴ㅗㅎ" hidden="1">{#N/A,#N/A,FALSE,"조골재"}</definedName>
    <definedName name="ㄹㅇㅎㅇㅀ" localSheetId="2" hidden="1">{#N/A,#N/A,FALSE,"부대2"}</definedName>
    <definedName name="ㄹㅇㅎㅇㅀ" localSheetId="1" hidden="1">{#N/A,#N/A,FALSE,"부대2"}</definedName>
    <definedName name="ㄹㅇㅎㅇㅀ" hidden="1">{#N/A,#N/A,FALSE,"부대2"}</definedName>
    <definedName name="ㄹ허ㅗ" localSheetId="2" hidden="1">{#N/A,#N/A,FALSE,"이정표"}</definedName>
    <definedName name="ㄹ허ㅗ" localSheetId="1" hidden="1">{#N/A,#N/A,FALSE,"이정표"}</definedName>
    <definedName name="ㄹ허ㅗ" hidden="1">{#N/A,#N/A,FALSE,"이정표"}</definedName>
    <definedName name="ㄹ홓ㄹ" localSheetId="2" hidden="1">{#N/A,#N/A,FALSE,"조골재"}</definedName>
    <definedName name="ㄹ홓ㄹ" localSheetId="1" hidden="1">{#N/A,#N/A,FALSE,"조골재"}</definedName>
    <definedName name="ㄹ홓ㄹ" hidden="1">{#N/A,#N/A,FALSE,"조골재"}</definedName>
    <definedName name="램머Q간재">[39]램머!$D$20</definedName>
    <definedName name="램머Q간재10">[39]램머!$F$20</definedName>
    <definedName name="램머Q간재야간">[39]램머!$J$20</definedName>
    <definedName name="램머Q노무">[39]램머!$D$21</definedName>
    <definedName name="램머Q노무10">[39]램머!$F$21</definedName>
    <definedName name="램머Q노무야간">[39]램머!$J$21</definedName>
    <definedName name="램머Q손료">[39]램머!$D$22</definedName>
    <definedName name="램머Q손료10">[39]램머!$F$22</definedName>
    <definedName name="램머Q손료야간">[39]램머!$J$22</definedName>
    <definedName name="램머간재">'[39]기계경비(시간당)'!$H$170</definedName>
    <definedName name="램머노무">'[39]기계경비(시간당)'!$H$166</definedName>
    <definedName name="램머노무야간">'[39]기계경비(시간당)'!$H$167</definedName>
    <definedName name="램머손료">'[39]기계경비(시간당)'!$H$165</definedName>
    <definedName name="류효정" hidden="1">{"'Firr(선)'!$AS$1:$AY$62","'Firr(사)'!$AS$1:$AY$62","'Firr(회)'!$AS$1:$AY$62","'Firr(선)'!$L$1:$V$62","'Firr(사)'!$L$1:$V$62","'Firr(회)'!$L$1:$V$62"}</definedName>
    <definedName name="류효정_1" hidden="1">{"'Firr(선)'!$AS$1:$AY$62","'Firr(사)'!$AS$1:$AY$62","'Firr(회)'!$AS$1:$AY$62","'Firr(선)'!$L$1:$V$62","'Firr(사)'!$L$1:$V$62","'Firr(회)'!$L$1:$V$62"}</definedName>
    <definedName name="ㅀㅀ" hidden="1">{"'Firr(선)'!$AS$1:$AY$62","'Firr(사)'!$AS$1:$AY$62","'Firr(회)'!$AS$1:$AY$62","'Firr(선)'!$L$1:$V$62","'Firr(사)'!$L$1:$V$62","'Firr(회)'!$L$1:$V$62"}</definedName>
    <definedName name="ㅀㅀ_1" hidden="1">{"'Firr(선)'!$AS$1:$AY$62","'Firr(사)'!$AS$1:$AY$62","'Firr(회)'!$AS$1:$AY$62","'Firr(선)'!$L$1:$V$62","'Firr(사)'!$L$1:$V$62","'Firr(회)'!$L$1:$V$62"}</definedName>
    <definedName name="ㅁ" localSheetId="9" hidden="1">[46]차액보증!#REF!</definedName>
    <definedName name="ㅁ" hidden="1">[46]차액보증!#REF!</definedName>
    <definedName name="ㅁ388" localSheetId="2">[44]배관내역!#REF!</definedName>
    <definedName name="ㅁ388" localSheetId="1">[44]배관내역!#REF!</definedName>
    <definedName name="ㅁ388" localSheetId="9">[44]배관내역!#REF!</definedName>
    <definedName name="ㅁ388">[44]배관내역!#REF!</definedName>
    <definedName name="ㅁㄱㅂ" localSheetId="2" hidden="1">{#N/A,#N/A,FALSE,"단가표지"}</definedName>
    <definedName name="ㅁㄱㅂ" localSheetId="1" hidden="1">{#N/A,#N/A,FALSE,"단가표지"}</definedName>
    <definedName name="ㅁㄱㅂ" hidden="1">{#N/A,#N/A,FALSE,"단가표지"}</definedName>
    <definedName name="ㅁㄴ" localSheetId="2" hidden="1">{#N/A,#N/A,FALSE,"2~8번"}</definedName>
    <definedName name="ㅁㄴ" localSheetId="1" hidden="1">{#N/A,#N/A,FALSE,"2~8번"}</definedName>
    <definedName name="ㅁㄴ" hidden="1">{#N/A,#N/A,FALSE,"2~8번"}</definedName>
    <definedName name="ㅁㄴㅇ" localSheetId="2" hidden="1">{#N/A,#N/A,FALSE,"배수1"}</definedName>
    <definedName name="ㅁㄴㅇ" localSheetId="1" hidden="1">{#N/A,#N/A,FALSE,"배수1"}</definedName>
    <definedName name="ㅁㄴㅇ" hidden="1">{#N/A,#N/A,FALSE,"배수1"}</definedName>
    <definedName name="ㅁㄴㅇㅁ" localSheetId="2" hidden="1">{#N/A,#N/A,FALSE,"배수1"}</definedName>
    <definedName name="ㅁㄴㅇㅁ" localSheetId="1" hidden="1">{#N/A,#N/A,FALSE,"배수1"}</definedName>
    <definedName name="ㅁㄴㅇㅁ" hidden="1">{#N/A,#N/A,FALSE,"배수1"}</definedName>
    <definedName name="ㅁㄹㄹㄴㅇㄹㅇㄴㄹㄴㅇ" localSheetId="2" hidden="1">{#N/A,#N/A,FALSE,"포장1";#N/A,#N/A,FALSE,"포장1"}</definedName>
    <definedName name="ㅁㄹㄹㄴㅇㄹㅇㄴㄹㄴㅇ" localSheetId="1" hidden="1">{#N/A,#N/A,FALSE,"포장1";#N/A,#N/A,FALSE,"포장1"}</definedName>
    <definedName name="ㅁㄹㄹㄴㅇㄹㅇㄴㄹㄴㅇ" hidden="1">{#N/A,#N/A,FALSE,"포장1";#N/A,#N/A,FALSE,"포장1"}</definedName>
    <definedName name="ㅁㅁㅁㅁ" hidden="1">{"'도면'!$G$62:$H$63","'도면'!$G$62:$H$63"}</definedName>
    <definedName name="ㅁㅁㅁㅁㅂ" hidden="1">{"'도면'!$G$62:$H$63","'도면'!$G$62:$H$63"}</definedName>
    <definedName name="ㅁㅁㅁㅁㅂ_1" hidden="1">{"'도면'!$G$62:$H$63","'도면'!$G$62:$H$63"}</definedName>
    <definedName name="ㅁㅂㅂㅂㅂ" hidden="1">{"'도면'!$G$62:$H$63","'도면'!$G$62:$H$63"}</definedName>
    <definedName name="ㅁㅂㅂㅂㅂ_1" hidden="1">{"'도면'!$G$62:$H$63","'도면'!$G$62:$H$63"}</definedName>
    <definedName name="ㅁㅇㄴㅁㅇㅁ" localSheetId="2" hidden="1">{#N/A,#N/A,FALSE,"배수1"}</definedName>
    <definedName name="ㅁㅇㄴㅁㅇㅁ" localSheetId="1" hidden="1">{#N/A,#N/A,FALSE,"배수1"}</definedName>
    <definedName name="ㅁㅇㄴㅁㅇㅁ" hidden="1">{#N/A,#N/A,FALSE,"배수1"}</definedName>
    <definedName name="ㅁㅇㄹ" localSheetId="2" hidden="1">{#N/A,#N/A,FALSE,"포장2"}</definedName>
    <definedName name="ㅁㅇㄹ" localSheetId="1" hidden="1">{#N/A,#N/A,FALSE,"포장2"}</definedName>
    <definedName name="ㅁㅇㄹ" hidden="1">{#N/A,#N/A,FALSE,"포장2"}</definedName>
    <definedName name="ㅁㅊ">[47]OPGW기별!$A$3:$IV$7</definedName>
    <definedName name="목차번호">[48]일위목차!$U$4:$V$151</definedName>
    <definedName name="무선안테나공">95000</definedName>
    <definedName name="ㅂㅂㅂ" hidden="1">{"'용역비'!$A$4:$C$8"}</definedName>
    <definedName name="ㅂㅂㅂ_1" hidden="1">{"'도면'!$G$62:$H$63","'도면'!$G$62:$H$63"}</definedName>
    <definedName name="ㅂㅈ" localSheetId="2" hidden="1">{#N/A,#N/A,FALSE,"2~8번"}</definedName>
    <definedName name="ㅂㅈ" localSheetId="1" hidden="1">{#N/A,#N/A,FALSE,"2~8번"}</definedName>
    <definedName name="ㅂㅈ" hidden="1">{#N/A,#N/A,FALSE,"2~8번"}</definedName>
    <definedName name="ㅂㅈㄱㄷㅈㅂㄱㅈㄷㅂㄱ" localSheetId="2" hidden="1">{#N/A,#N/A,FALSE,"이정표"}</definedName>
    <definedName name="ㅂㅈㄱㄷㅈㅂㄱㅈㄷㅂㄱ" localSheetId="1" hidden="1">{#N/A,#N/A,FALSE,"이정표"}</definedName>
    <definedName name="ㅂㅈㄱㄷㅈㅂㄱㅈㄷㅂㄱ" hidden="1">{#N/A,#N/A,FALSE,"이정표"}</definedName>
    <definedName name="ㅂㅈㄷ" localSheetId="2" hidden="1">{#N/A,#N/A,FALSE,"골재소요량";#N/A,#N/A,FALSE,"골재소요량"}</definedName>
    <definedName name="ㅂㅈㄷ" localSheetId="1" hidden="1">{#N/A,#N/A,FALSE,"골재소요량";#N/A,#N/A,FALSE,"골재소요량"}</definedName>
    <definedName name="ㅂㅈㄷ" hidden="1">{#N/A,#N/A,FALSE,"골재소요량";#N/A,#N/A,FALSE,"골재소요량"}</definedName>
    <definedName name="바부" hidden="1">{"'용역비'!$A$4:$C$8"}</definedName>
    <definedName name="배관공수율" hidden="1">'[49]N賃率-職'!$I$5:$I$30</definedName>
    <definedName name="배관배선산출근거양식">[50]을지!$A$1:$IV$2</definedName>
    <definedName name="배전">'[37]인건비 '!$B$7</definedName>
    <definedName name="백02간재">'[39]기계경비(시간당)'!$H$161</definedName>
    <definedName name="백02간재티스제외">'[39]기계경비(시간당)'!$H$162</definedName>
    <definedName name="백02노무">'[39]기계경비(시간당)'!$H$153</definedName>
    <definedName name="백02노무야간">'[39]기계경비(시간당)'!$H$157</definedName>
    <definedName name="백02손료">'[39]기계경비(시간당)'!$H$149</definedName>
    <definedName name="백04간재">'[39]기계경비(시간당)'!$H$145</definedName>
    <definedName name="백04간재티스제외">'[39]기계경비(시간당)'!$H$146</definedName>
    <definedName name="백04노무">'[39]기계경비(시간당)'!$H$137</definedName>
    <definedName name="백04노무야간">'[39]기계경비(시간당)'!$H$141</definedName>
    <definedName name="백04손료">'[39]기계경비(시간당)'!$H$133</definedName>
    <definedName name="백07간재">'[39]기계경비(시간당)'!$H$129</definedName>
    <definedName name="백07노무">'[39]기계경비(시간당)'!$H$121</definedName>
    <definedName name="백07손료">'[39]기계경비(시간당)'!$H$117</definedName>
    <definedName name="백색페인트">[51]예측단가간지!$D$21</definedName>
    <definedName name="백호">'[36]샌딩 에폭시 도장'!$A$1:$L$25</definedName>
    <definedName name="별지">'[38]6.별지'!$B$1:$W$1000</definedName>
    <definedName name="보이기" localSheetId="10">[52]!보이기</definedName>
    <definedName name="보이기" localSheetId="11">[52]!보이기</definedName>
    <definedName name="보이기" localSheetId="6">[52]!보이기</definedName>
    <definedName name="보이기" localSheetId="5">[52]!보이기</definedName>
    <definedName name="보이기" localSheetId="7">[52]!보이기</definedName>
    <definedName name="보이기" localSheetId="9">[52]!보이기</definedName>
    <definedName name="보이기" localSheetId="13">[52]!보이기</definedName>
    <definedName name="보이기" localSheetId="16">[52]!보이기</definedName>
    <definedName name="보이기" localSheetId="15">[52]!보이기</definedName>
    <definedName name="보이기" localSheetId="14">[52]!보이기</definedName>
    <definedName name="보이기" localSheetId="12">[52]!보이기</definedName>
    <definedName name="보이기" localSheetId="8">[52]!보이기</definedName>
    <definedName name="보이기">[52]!보이기</definedName>
    <definedName name="보조기층포설">[40]단가!$C$86</definedName>
    <definedName name="부대원본" localSheetId="2" hidden="1">{#N/A,#N/A,FALSE,"토공2"}</definedName>
    <definedName name="부대원본" localSheetId="1" hidden="1">{#N/A,#N/A,FALSE,"토공2"}</definedName>
    <definedName name="부대원본" hidden="1">{#N/A,#N/A,FALSE,"토공2"}</definedName>
    <definedName name="부손익" localSheetId="2" hidden="1">{#N/A,#N/A,FALSE,"현장 NCR 분석";#N/A,#N/A,FALSE,"현장품질감사";#N/A,#N/A,FALSE,"현장품질감사"}</definedName>
    <definedName name="부손익" localSheetId="1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브02간재구조물">'[39]기계경비(시간당)'!$H$112</definedName>
    <definedName name="브02노무">'[39]기계경비(시간당)'!$H$110</definedName>
    <definedName name="브02노무야간">'[39]기계경비(시간당)'!$H$111</definedName>
    <definedName name="브02손료">'[39]기계경비(시간당)'!$H$109</definedName>
    <definedName name="브04간재구조물">'[39]기계경비(시간당)'!$H$105</definedName>
    <definedName name="브04노무">'[39]기계경비(시간당)'!$H$103</definedName>
    <definedName name="브04노무야간">'[39]기계경비(시간당)'!$H$104</definedName>
    <definedName name="브04손료">'[39]기계경비(시간당)'!$H$102</definedName>
    <definedName name="브레이드">'[39]기계경비(시간당)'!$D$28</definedName>
    <definedName name="비교" hidden="1">255</definedName>
    <definedName name="비교표1" hidden="1">255</definedName>
    <definedName name="비상부하계산">[0]!비상부하계산</definedName>
    <definedName name="ㅅㅅㅅㅅㅅㅅㅅ" hidden="1">{"'도면'!$G$62:$H$63","'도면'!$G$62:$H$63"}</definedName>
    <definedName name="ㅅㅅㅅㅅㅅㅅㅅ_1" hidden="1">{"'도면'!$G$62:$H$63","'도면'!$G$62:$H$63"}</definedName>
    <definedName name="ㅅㅎㄱㄷㅅㄷㄱ" localSheetId="2" hidden="1">{#N/A,#N/A,FALSE,"표지목차"}</definedName>
    <definedName name="ㅅㅎㄱㄷㅅㄷㄱ" localSheetId="1" hidden="1">{#N/A,#N/A,FALSE,"표지목차"}</definedName>
    <definedName name="ㅅㅎㄱㄷㅅㄷㄱ" hidden="1">{#N/A,#N/A,FALSE,"표지목차"}</definedName>
    <definedName name="사랑">'[53]인건비 '!$B$5</definedName>
    <definedName name="사본" hidden="1">{"'7'!$B$15:$D$32"}</definedName>
    <definedName name="산출">'[54]내역서 '!$A$22:$BE$356</definedName>
    <definedName name="산출근거44" hidden="1">{"'제10장(표)'!$A$5:$L$10"}</definedName>
    <definedName name="산출내역서1" hidden="1">{"'신흥취수펌프 검토'!$M$2","'신흥취수펌프 검토'!$A$1:$AE$87"}</definedName>
    <definedName name="산출내역서1_1" hidden="1">{"'신흥취수펌프 검토'!$M$2","'신흥취수펌프 검토'!$A$1:$AE$87"}</definedName>
    <definedName name="상" hidden="1">{"'도면'!$G$62:$H$63","'도면'!$G$62:$H$63"}</definedName>
    <definedName name="상권" hidden="1">{"'7'!$B$15:$D$32"}</definedName>
    <definedName name="상리설계설명서" hidden="1">{"'도면'!$G$62:$H$63","'도면'!$G$62:$H$63"}</definedName>
    <definedName name="상리설계설명서_1" hidden="1">{"'도면'!$G$62:$H$63","'도면'!$G$62:$H$63"}</definedName>
    <definedName name="상품개발" hidden="1">{"'7'!$B$15:$D$32"}</definedName>
    <definedName name="새로운이름" hidden="1">{"'7'!$B$15:$D$32"}</definedName>
    <definedName name="선택층포설다짐">[40]단가!$C$80</definedName>
    <definedName name="설명" hidden="1">{"'제10장(표)'!$A$5:$L$10"}</definedName>
    <definedName name="성근" localSheetId="2" hidden="1">{#N/A,#N/A,FALSE,"포장2"}</definedName>
    <definedName name="성근" localSheetId="1" hidden="1">{#N/A,#N/A,FALSE,"포장2"}</definedName>
    <definedName name="성근" hidden="1">{#N/A,#N/A,FALSE,"포장2"}</definedName>
    <definedName name="성토과재" localSheetId="2" hidden="1">{#N/A,#N/A,FALSE,"조골재"}</definedName>
    <definedName name="성토과재" localSheetId="1" hidden="1">{#N/A,#N/A,FALSE,"조골재"}</definedName>
    <definedName name="성토과재" hidden="1">{#N/A,#N/A,FALSE,"조골재"}</definedName>
    <definedName name="소형B손료">'[39]기계경비(시간당)'!$H$240</definedName>
    <definedName name="손영주" localSheetId="2" hidden="1">{#N/A,#N/A,FALSE,"조골재"}</definedName>
    <definedName name="손영주" localSheetId="1" hidden="1">{#N/A,#N/A,FALSE,"조골재"}</definedName>
    <definedName name="손영주" hidden="1">{#N/A,#N/A,FALSE,"조골재"}</definedName>
    <definedName name="손익총괄표3" hidden="1">{"'7'!$B$15:$D$32"}</definedName>
    <definedName name="순위결정" hidden="1">{"'제10장(표)'!$A$5:$L$10"}</definedName>
    <definedName name="숨기기비고" localSheetId="10">[52]!숨기기비고</definedName>
    <definedName name="숨기기비고" localSheetId="11">[52]!숨기기비고</definedName>
    <definedName name="숨기기비고" localSheetId="6">[52]!숨기기비고</definedName>
    <definedName name="숨기기비고" localSheetId="5">[52]!숨기기비고</definedName>
    <definedName name="숨기기비고" localSheetId="7">[52]!숨기기비고</definedName>
    <definedName name="숨기기비고" localSheetId="9">[52]!숨기기비고</definedName>
    <definedName name="숨기기비고" localSheetId="13">[52]!숨기기비고</definedName>
    <definedName name="숨기기비고" localSheetId="16">[52]!숨기기비고</definedName>
    <definedName name="숨기기비고" localSheetId="15">[52]!숨기기비고</definedName>
    <definedName name="숨기기비고" localSheetId="14">[52]!숨기기비고</definedName>
    <definedName name="숨기기비고" localSheetId="12">[52]!숨기기비고</definedName>
    <definedName name="숨기기비고" localSheetId="8">[52]!숨기기비고</definedName>
    <definedName name="숨기기비고">[52]!숨기기비고</definedName>
    <definedName name="숨기기총괄" localSheetId="10">[52]!숨기기총괄</definedName>
    <definedName name="숨기기총괄" localSheetId="11">[52]!숨기기총괄</definedName>
    <definedName name="숨기기총괄" localSheetId="6">[52]!숨기기총괄</definedName>
    <definedName name="숨기기총괄" localSheetId="5">[52]!숨기기총괄</definedName>
    <definedName name="숨기기총괄" localSheetId="7">[52]!숨기기총괄</definedName>
    <definedName name="숨기기총괄" localSheetId="9">[52]!숨기기총괄</definedName>
    <definedName name="숨기기총괄" localSheetId="13">[52]!숨기기총괄</definedName>
    <definedName name="숨기기총괄" localSheetId="16">[52]!숨기기총괄</definedName>
    <definedName name="숨기기총괄" localSheetId="15">[52]!숨기기총괄</definedName>
    <definedName name="숨기기총괄" localSheetId="14">[52]!숨기기총괄</definedName>
    <definedName name="숨기기총괄" localSheetId="12">[52]!숨기기총괄</definedName>
    <definedName name="숨기기총괄" localSheetId="8">[52]!숨기기총괄</definedName>
    <definedName name="숨기기총괄">[52]!숨기기총괄</definedName>
    <definedName name="숨기기팀별" localSheetId="10">[52]!숨기기팀별</definedName>
    <definedName name="숨기기팀별" localSheetId="11">[52]!숨기기팀별</definedName>
    <definedName name="숨기기팀별" localSheetId="6">[52]!숨기기팀별</definedName>
    <definedName name="숨기기팀별" localSheetId="5">[52]!숨기기팀별</definedName>
    <definedName name="숨기기팀별" localSheetId="7">[52]!숨기기팀별</definedName>
    <definedName name="숨기기팀별" localSheetId="9">[52]!숨기기팀별</definedName>
    <definedName name="숨기기팀별" localSheetId="13">[52]!숨기기팀별</definedName>
    <definedName name="숨기기팀별" localSheetId="16">[52]!숨기기팀별</definedName>
    <definedName name="숨기기팀별" localSheetId="15">[52]!숨기기팀별</definedName>
    <definedName name="숨기기팀별" localSheetId="14">[52]!숨기기팀별</definedName>
    <definedName name="숨기기팀별" localSheetId="12">[52]!숨기기팀별</definedName>
    <definedName name="숨기기팀별" localSheetId="8">[52]!숨기기팀별</definedName>
    <definedName name="숨기기팀별">[52]!숨기기팀별</definedName>
    <definedName name="시">[55]집계표!$A$1:$M$2</definedName>
    <definedName name="시운">[56]집계표!$A$1:$M$2</definedName>
    <definedName name="식재">[57]코드표!$A:$F</definedName>
    <definedName name="신호">[58]인건비!$B$23</definedName>
    <definedName name="신호기">[0]!신호기</definedName>
    <definedName name="신호기가로등">[0]!신호기가로등</definedName>
    <definedName name="ㅇㄴㄴㄴㄴㄴㄴㄴㄴㄴ" localSheetId="2" hidden="1">{#N/A,#N/A,FALSE,"혼합골재"}</definedName>
    <definedName name="ㅇㄴㄴㄴㄴㄴㄴㄴㄴㄴ" localSheetId="1" hidden="1">{#N/A,#N/A,FALSE,"혼합골재"}</definedName>
    <definedName name="ㅇㄴㄴㄴㄴㄴㄴㄴㄴㄴ" hidden="1">{#N/A,#N/A,FALSE,"혼합골재"}</definedName>
    <definedName name="ㅇㄴㅇ" hidden="1">{"'7'!$B$15:$D$32"}</definedName>
    <definedName name="ㅇㄹㄴㅀㄹㅇㅎㄹㅇㅎ" localSheetId="2" hidden="1">{#N/A,#N/A,FALSE,"2~8번"}</definedName>
    <definedName name="ㅇㄹㄴㅀㄹㅇㅎㄹㅇㅎ" localSheetId="1" hidden="1">{#N/A,#N/A,FALSE,"2~8번"}</definedName>
    <definedName name="ㅇㄹㄴㅀㄹㅇㅎㄹㅇㅎ" hidden="1">{#N/A,#N/A,FALSE,"2~8번"}</definedName>
    <definedName name="ㅇㄹㄹ" localSheetId="2" hidden="1">#REF!</definedName>
    <definedName name="ㅇㄹㄹ" localSheetId="1" hidden="1">#REF!</definedName>
    <definedName name="ㅇㄹㄹ" localSheetId="9" hidden="1">#REF!</definedName>
    <definedName name="ㅇㄹㄹ" hidden="1">#REF!</definedName>
    <definedName name="ㅇㄹㄹㅇ" localSheetId="2" hidden="1">{#N/A,#N/A,FALSE,"2~8번"}</definedName>
    <definedName name="ㅇㄹㄹㅇ" localSheetId="1" hidden="1">{#N/A,#N/A,FALSE,"2~8번"}</definedName>
    <definedName name="ㅇㄹㄹㅇ" hidden="1">{#N/A,#N/A,FALSE,"2~8번"}</definedName>
    <definedName name="ㅇㄹㅇ" localSheetId="2" hidden="1">{#N/A,#N/A,FALSE,"운반시간"}</definedName>
    <definedName name="ㅇㄹㅇ" localSheetId="1" hidden="1">{#N/A,#N/A,FALSE,"운반시간"}</definedName>
    <definedName name="ㅇㄹㅇ" hidden="1">{#N/A,#N/A,FALSE,"운반시간"}</definedName>
    <definedName name="ㅇㅀㅎㅎㅎㅎㅎㅎㅎㅎㅎㅎㅎㅎㅎㅎㅎ" localSheetId="2" hidden="1">{#N/A,#N/A,FALSE,"구조2"}</definedName>
    <definedName name="ㅇㅀㅎㅎㅎㅎㅎㅎㅎㅎㅎㅎㅎㅎㅎㅎㅎ" localSheetId="1" hidden="1">{#N/A,#N/A,FALSE,"구조2"}</definedName>
    <definedName name="ㅇㅀㅎㅎㅎㅎㅎㅎㅎㅎㅎㅎㅎㅎㅎㅎㅎ" hidden="1">{#N/A,#N/A,FALSE,"구조2"}</definedName>
    <definedName name="ㅇㅇㅇㅇ" localSheetId="2" hidden="1">#REF!</definedName>
    <definedName name="ㅇㅇㅇㅇ" localSheetId="1" hidden="1">#REF!</definedName>
    <definedName name="ㅇㅇㅇㅇ" hidden="1">{"'도면'!$G$62:$H$63","'도면'!$G$62:$H$63"}</definedName>
    <definedName name="아니다" hidden="1">{"'7'!$B$15:$D$32"}</definedName>
    <definedName name="아러ㅏ러" hidden="1">{"'Firr(선)'!$AS$1:$AY$62","'Firr(사)'!$AS$1:$AY$62","'Firr(회)'!$AS$1:$AY$62","'Firr(선)'!$L$1:$V$62","'Firr(사)'!$L$1:$V$62","'Firr(회)'!$L$1:$V$62"}</definedName>
    <definedName name="아러ㅏ러_1" hidden="1">{"'Firr(선)'!$AS$1:$AY$62","'Firr(사)'!$AS$1:$AY$62","'Firr(회)'!$AS$1:$AY$62","'Firr(선)'!$L$1:$V$62","'Firr(사)'!$L$1:$V$62","'Firr(회)'!$L$1:$V$62"}</definedName>
    <definedName name="아리랑">'[59]배관배선 단가조사'!$A$3:$P$190</definedName>
    <definedName name="아리랑2">[59]일위대가!$A$1:$P$990</definedName>
    <definedName name="아리랑3">[59]일위대가!$A$1:$O$1918</definedName>
    <definedName name="아리랑4">[59]일위대가집계!$A$1:$L$81</definedName>
    <definedName name="아스콘깨기" localSheetId="2" hidden="1">{#N/A,#N/A,FALSE,"골재소요량";#N/A,#N/A,FALSE,"골재소요량"}</definedName>
    <definedName name="아스콘깨기" localSheetId="1" hidden="1">{#N/A,#N/A,FALSE,"골재소요량";#N/A,#N/A,FALSE,"골재소요량"}</definedName>
    <definedName name="아스콘깨기" hidden="1">{#N/A,#N/A,FALSE,"골재소요량";#N/A,#N/A,FALSE,"골재소요량"}</definedName>
    <definedName name="아앙ㅇㅇ" hidden="1">{"'신흥취수펌프 검토'!$M$2","'신흥취수펌프 검토'!$A$1:$AE$87"}</definedName>
    <definedName name="아앙ㅇㅇ_1" hidden="1">{"'신흥취수펌프 검토'!$M$2","'신흥취수펌프 검토'!$A$1:$AE$87"}</definedName>
    <definedName name="앙아" hidden="1">{"'신흥취수펌프 검토'!$M$2","'신흥취수펌프 검토'!$A$1:$AE$87"}</definedName>
    <definedName name="앙아_1" hidden="1">{"'신흥취수펌프 검토'!$M$2","'신흥취수펌프 검토'!$A$1:$AE$87"}</definedName>
    <definedName name="업무배분3" hidden="1">{"'관경확장'!$A$79:$M$98","'관경확장'!$A$54:$M$78"}</definedName>
    <definedName name="연접물량">[0]!연접물량</definedName>
    <definedName name="연접물량가로등">[0]!연접물량가로등</definedName>
    <definedName name="연필H">'[60]2.재료비'!$D$13</definedName>
    <definedName name="연필HB">'[60]2.재료비'!$D$12</definedName>
    <definedName name="요" hidden="1">{"'7'!$B$15:$D$32"}</definedName>
    <definedName name="요마" hidden="1">{"'7'!$B$15:$D$32"}</definedName>
    <definedName name="요약1" hidden="1">{"'7'!$B$15:$D$32"}</definedName>
    <definedName name="요약2" hidden="1">{"'7'!$B$15:$D$32"}</definedName>
    <definedName name="용역" hidden="1">{"'7'!$B$15:$D$32"}</definedName>
    <definedName name="용접공">'[39]기계경비(시간당)'!$D$13</definedName>
    <definedName name="운반차운전사">55214</definedName>
    <definedName name="운전기사">[61]인건비!$B$13</definedName>
    <definedName name="운전사_운반">'[39]기계경비(시간당)'!$D$7</definedName>
    <definedName name="원가계산">[0]!원가계산</definedName>
    <definedName name="원가계산서1" hidden="1">{"'신흥취수펌프 검토'!$M$2","'신흥취수펌프 검토'!$A$1:$AE$87"}</definedName>
    <definedName name="원가계산서1_1" hidden="1">{"'신흥취수펌프 검토'!$M$2","'신흥취수펌프 검토'!$A$1:$AE$87"}</definedName>
    <definedName name="원가계산창">[0]!원가계산창</definedName>
    <definedName name="원동" hidden="1">{"'신흥취수펌프 검토'!$M$2","'신흥취수펌프 검토'!$A$1:$AE$87"}</definedName>
    <definedName name="원동_1" hidden="1">{"'신흥취수펌프 검토'!$M$2","'신흥취수펌프 검토'!$A$1:$AE$87"}</definedName>
    <definedName name="원표지" hidden="1">{"'관경확장'!$A$79:$M$98","'관경확장'!$A$54:$M$78"}</definedName>
    <definedName name="윤로">[62]공정집계_국별!$G:$G</definedName>
    <definedName name="이가" hidden="1">{"'Firr(선)'!$AS$1:$AY$62","'Firr(사)'!$AS$1:$AY$62","'Firr(회)'!$AS$1:$AY$62","'Firr(선)'!$L$1:$V$62","'Firr(사)'!$L$1:$V$62","'Firr(회)'!$L$1:$V$62"}</definedName>
    <definedName name="이가_1" hidden="1">{"'Firr(선)'!$AS$1:$AY$62","'Firr(사)'!$AS$1:$AY$62","'Firr(회)'!$AS$1:$AY$62","'Firr(선)'!$L$1:$V$62","'Firr(사)'!$L$1:$V$62","'Firr(회)'!$L$1:$V$62"}</definedName>
    <definedName name="이동" localSheetId="2" hidden="1">{#N/A,#N/A,FALSE,"조골재"}</definedName>
    <definedName name="이동" localSheetId="1" hidden="1">{#N/A,#N/A,FALSE,"조골재"}</definedName>
    <definedName name="이동" hidden="1">{#N/A,#N/A,FALSE,"조골재"}</definedName>
    <definedName name="이수남" hidden="1">{"'도면'!$G$62:$H$63","'도면'!$G$62:$H$63"}</definedName>
    <definedName name="이수남_1" hidden="1">{"'도면'!$G$62:$H$63","'도면'!$G$62:$H$63"}</definedName>
    <definedName name="이정" localSheetId="2" hidden="1">{#N/A,#N/A,FALSE,"2~8번"}</definedName>
    <definedName name="이정" localSheetId="1" hidden="1">{#N/A,#N/A,FALSE,"2~8번"}</definedName>
    <definedName name="이정" hidden="1">{#N/A,#N/A,FALSE,"2~8번"}</definedName>
    <definedName name="이학주" hidden="1">{"'도면'!$G$62:$H$63","'도면'!$G$62:$H$63"}</definedName>
    <definedName name="이학주_1" hidden="1">{"'도면'!$G$62:$H$63","'도면'!$G$62:$H$63"}</definedName>
    <definedName name="이학주2" hidden="1">{"'도면'!$G$62:$H$63","'도면'!$G$62:$H$63"}</definedName>
    <definedName name="이학주2_1" hidden="1">{"'도면'!$G$62:$H$63","'도면'!$G$62:$H$63"}</definedName>
    <definedName name="이학주A" hidden="1">{"'도면'!$G$62:$H$63","'도면'!$G$62:$H$63"}</definedName>
    <definedName name="이학주A_1" hidden="1">{"'도면'!$G$62:$H$63","'도면'!$G$62:$H$63"}</definedName>
    <definedName name="인쇄용" localSheetId="10">[52]!인쇄용</definedName>
    <definedName name="인쇄용" localSheetId="11">[52]!인쇄용</definedName>
    <definedName name="인쇄용" localSheetId="6">[52]!인쇄용</definedName>
    <definedName name="인쇄용" localSheetId="5">[52]!인쇄용</definedName>
    <definedName name="인쇄용" localSheetId="7">[52]!인쇄용</definedName>
    <definedName name="인쇄용" localSheetId="9">[52]!인쇄용</definedName>
    <definedName name="인쇄용" localSheetId="13">[52]!인쇄용</definedName>
    <definedName name="인쇄용" localSheetId="16">[52]!인쇄용</definedName>
    <definedName name="인쇄용" localSheetId="15">[52]!인쇄용</definedName>
    <definedName name="인쇄용" localSheetId="14">[52]!인쇄용</definedName>
    <definedName name="인쇄용" localSheetId="12">[52]!인쇄용</definedName>
    <definedName name="인쇄용" localSheetId="8">[52]!인쇄용</definedName>
    <definedName name="인쇄용">[52]!인쇄용</definedName>
    <definedName name="일반부" localSheetId="2" hidden="1">{#N/A,#N/A,FALSE,"조골재"}</definedName>
    <definedName name="일반부" localSheetId="1" hidden="1">{#N/A,#N/A,FALSE,"조골재"}</definedName>
    <definedName name="일반부" hidden="1">{#N/A,#N/A,FALSE,"조골재"}</definedName>
    <definedName name="일위1">[63]일위대가!$A$1:$P$519</definedName>
    <definedName name="일위대가아산" hidden="1">{"'도면'!$G$62:$H$63","'도면'!$G$62:$H$63"}</definedName>
    <definedName name="일위대가아산_1" hidden="1">{"'도면'!$G$62:$H$63","'도면'!$G$62:$H$63"}</definedName>
    <definedName name="일위대가코드">[64]일위대가!$A:$A</definedName>
    <definedName name="일위대가표_1" hidden="1">{"'도면'!$G$62:$H$63","'도면'!$G$62:$H$63"}</definedName>
    <definedName name="일위대가호표" localSheetId="2" hidden="1">#REF!</definedName>
    <definedName name="일위대가호표" localSheetId="1" hidden="1">#REF!</definedName>
    <definedName name="일위대가호표" localSheetId="9" hidden="1">#REF!</definedName>
    <definedName name="일위대가호표" hidden="1">#REF!</definedName>
    <definedName name="임ㄴ" localSheetId="2" hidden="1">{"'공사부문'!$A$6:$A$32"}</definedName>
    <definedName name="임ㄴ" localSheetId="1" hidden="1">{"'공사부문'!$A$6:$A$32"}</definedName>
    <definedName name="임ㄴ" hidden="1">{"'공사부문'!$A$6:$A$32"}</definedName>
    <definedName name="잉크">[51]예측단가간지!$D$20</definedName>
    <definedName name="ㅈㄱ" localSheetId="2" hidden="1">{#N/A,#N/A,FALSE,"조골재"}</definedName>
    <definedName name="ㅈㄱ" localSheetId="1" hidden="1">{#N/A,#N/A,FALSE,"조골재"}</definedName>
    <definedName name="ㅈㄱ" hidden="1">{#N/A,#N/A,FALSE,"조골재"}</definedName>
    <definedName name="ㅈㄷㄱㄷㄱㄷ" hidden="1">{"'용역비'!$A$4:$C$8"}</definedName>
    <definedName name="ㅈㄷㄱㄷㅈㄱㄷㅈ" localSheetId="2" hidden="1">{#N/A,#N/A,FALSE,"표지목차"}</definedName>
    <definedName name="ㅈㄷㄱㄷㅈㄱㄷㅈ" localSheetId="1" hidden="1">{#N/A,#N/A,FALSE,"표지목차"}</definedName>
    <definedName name="ㅈㄷㄱㄷㅈㄱㄷㅈ" hidden="1">{#N/A,#N/A,FALSE,"표지목차"}</definedName>
    <definedName name="자재1" hidden="1">{"'도면'!$G$62:$H$63","'도면'!$G$62:$H$63"}</definedName>
    <definedName name="자재1_1" hidden="1">{"'도면'!$G$62:$H$63","'도면'!$G$62:$H$63"}</definedName>
    <definedName name="자재구" hidden="1">{"'도면'!$G$62:$H$63","'도면'!$G$62:$H$63"}</definedName>
    <definedName name="자재구_1" hidden="1">{"'도면'!$G$62:$H$63","'도면'!$G$62:$H$63"}</definedName>
    <definedName name="자재구매" hidden="1">{"'도면'!$G$62:$H$63","'도면'!$G$62:$H$63"}</definedName>
    <definedName name="자재구매_1" hidden="1">{"'도면'!$G$62:$H$63","'도면'!$G$62:$H$63"}</definedName>
    <definedName name="자재구매3" hidden="1">{"'도면'!$G$62:$H$63","'도면'!$G$62:$H$63"}</definedName>
    <definedName name="자재구매3_1" hidden="1">{"'도면'!$G$62:$H$63","'도면'!$G$62:$H$63"}</definedName>
    <definedName name="자재총괄" localSheetId="2" hidden="1">{#N/A,#N/A,FALSE,"혼합골재"}</definedName>
    <definedName name="자재총괄" localSheetId="1" hidden="1">{#N/A,#N/A,FALSE,"혼합골재"}</definedName>
    <definedName name="자재총괄" hidden="1">{#N/A,#N/A,FALSE,"혼합골재"}</definedName>
    <definedName name="잡자재비">'[38]노무비(전기)뽑지마세요'!$C$48</definedName>
    <definedName name="장" hidden="1">{"'도면'!$G$62:$H$63","'도면'!$G$62:$H$63"}</definedName>
    <definedName name="장_1" hidden="1">{"'도면'!$G$62:$H$63","'도면'!$G$62:$H$63"}</definedName>
    <definedName name="장나진" hidden="1">{"'7'!$B$15:$D$32"}</definedName>
    <definedName name="장비1">'[65](2)전력사용량-(작업구 #01 ~ #11)'!$H$53</definedName>
    <definedName name="장비2" localSheetId="10">#REF!</definedName>
    <definedName name="장비2" localSheetId="11">#REF!</definedName>
    <definedName name="장비2" localSheetId="9">#REF!</definedName>
    <definedName name="장비2" localSheetId="13">#REF!</definedName>
    <definedName name="장비2" localSheetId="16">#REF!</definedName>
    <definedName name="장비2" localSheetId="15">#REF!</definedName>
    <definedName name="장비2" localSheetId="14">#REF!</definedName>
    <definedName name="장비2" localSheetId="12">#REF!</definedName>
    <definedName name="장비2" localSheetId="8">#REF!</definedName>
    <definedName name="장비2">#REF!</definedName>
    <definedName name="재경비근거" hidden="1">{"'신흥취수펌프 검토'!$M$2","'신흥취수펌프 검토'!$A$1:$AE$87"}</definedName>
    <definedName name="재경비근거_1" hidden="1">{"'신흥취수펌프 검토'!$M$2","'신흥취수펌프 검토'!$A$1:$AE$87"}</definedName>
    <definedName name="재경비근거1" hidden="1">{"'신흥취수펌프 검토'!$M$2","'신흥취수펌프 검토'!$A$1:$AE$87"}</definedName>
    <definedName name="재경비근거1_1" hidden="1">{"'신흥취수펌프 검토'!$M$2","'신흥취수펌프 검토'!$A$1:$AE$87"}</definedName>
    <definedName name="저압케이블공">73973</definedName>
    <definedName name="저케">'[37]인건비 '!$B$6</definedName>
    <definedName name="전기기사1급">64800</definedName>
    <definedName name="전기기사2급">62990</definedName>
    <definedName name="전선관부속품비">'[38]노무비(전기)뽑지마세요'!$C$47</definedName>
    <definedName name="전압25층">[0]!전압25층</definedName>
    <definedName name="점멸기입력">[0]!점멸기입력</definedName>
    <definedName name="점멸기입력가로등">[0]!점멸기입력가로등</definedName>
    <definedName name="정보통신" hidden="1">{"'Firr(선)'!$AS$1:$AY$62","'Firr(사)'!$AS$1:$AY$62","'Firr(회)'!$AS$1:$AY$62","'Firr(선)'!$L$1:$V$62","'Firr(사)'!$L$1:$V$62","'Firr(회)'!$L$1:$V$62"}</definedName>
    <definedName name="제경비">[66]산식3!$G$2</definedName>
    <definedName name="제조원가율">"database+전체!$A$4:$W$825"</definedName>
    <definedName name="조" hidden="1">{"'Firr(선)'!$AS$1:$AY$62","'Firr(사)'!$AS$1:$AY$62","'Firr(회)'!$AS$1:$AY$62","'Firr(선)'!$L$1:$V$62","'Firr(사)'!$L$1:$V$62","'Firr(회)'!$L$1:$V$62"}</definedName>
    <definedName name="조명율표">[67]조명율표!$B$4:$F$495</definedName>
    <definedName name="조효" hidden="1">{"'Firr(선)'!$AS$1:$AY$62","'Firr(사)'!$AS$1:$AY$62","'Firr(회)'!$AS$1:$AY$62","'Firr(선)'!$L$1:$V$62","'Firr(사)'!$L$1:$V$62","'Firr(회)'!$L$1:$V$62"}</definedName>
    <definedName name="조효_1" hidden="1">{"'Firr(선)'!$AS$1:$AY$62","'Firr(사)'!$AS$1:$AY$62","'Firr(회)'!$AS$1:$AY$62","'Firr(선)'!$L$1:$V$62","'Firr(사)'!$L$1:$V$62","'Firr(회)'!$L$1:$V$62"}</definedName>
    <definedName name="조효석" hidden="1">{"'Firr(선)'!$AS$1:$AY$62","'Firr(사)'!$AS$1:$AY$62","'Firr(회)'!$AS$1:$AY$62","'Firr(선)'!$L$1:$V$62","'Firr(사)'!$L$1:$V$62","'Firr(회)'!$L$1:$V$62"}</definedName>
    <definedName name="조효석_1" hidden="1">{"'Firr(선)'!$AS$1:$AY$62","'Firr(사)'!$AS$1:$AY$62","'Firr(회)'!$AS$1:$AY$62","'Firr(선)'!$L$1:$V$62","'Firr(사)'!$L$1:$V$62","'Firr(회)'!$L$1:$V$62"}</definedName>
    <definedName name="주간" localSheetId="2" hidden="1">{#N/A,#N/A,FALSE,"운반시간"}</definedName>
    <definedName name="주간" localSheetId="1" hidden="1">{#N/A,#N/A,FALSE,"운반시간"}</definedName>
    <definedName name="주간" hidden="1">{#N/A,#N/A,FALSE,"운반시간"}</definedName>
    <definedName name="지입수량">[64]일위대가!$M:$M</definedName>
    <definedName name="진짜중기단가표" hidden="1">{"'도면'!$G$62:$H$63","'도면'!$G$62:$H$63"}</definedName>
    <definedName name="진짜중기단가표_1" hidden="1">{"'도면'!$G$62:$H$63","'도면'!$G$62:$H$63"}</definedName>
    <definedName name="ㅊ퓿ㅍ" localSheetId="2" hidden="1">{#N/A,#N/A,FALSE,"혼합골재"}</definedName>
    <definedName name="ㅊ퓿ㅍ" localSheetId="1" hidden="1">{#N/A,#N/A,FALSE,"혼합골재"}</definedName>
    <definedName name="ㅊ퓿ㅍ" hidden="1">{#N/A,#N/A,FALSE,"혼합골재"}</definedName>
    <definedName name="차이내역_2" hidden="1">{"'7'!$B$15:$D$32"}</definedName>
    <definedName name="착암공">'[39]기계경비(시간당)'!$D$12</definedName>
    <definedName name="참고2" hidden="1">{"'도면'!$G$62:$H$63","'도면'!$G$62:$H$63"}</definedName>
    <definedName name="참고2_1" hidden="1">{"'도면'!$G$62:$H$63","'도면'!$G$62:$H$63"}</definedName>
    <definedName name="총_1" hidden="1">{"'도면'!$G$62:$H$63","'도면'!$G$62:$H$63"}</definedName>
    <definedName name="총공" localSheetId="2" hidden="1">{#N/A,#N/A,FALSE,"운반시간"}</definedName>
    <definedName name="총공" localSheetId="1" hidden="1">{#N/A,#N/A,FALSE,"운반시간"}</definedName>
    <definedName name="총공" hidden="1">{#N/A,#N/A,FALSE,"운반시간"}</definedName>
    <definedName name="총괄집계표" hidden="1">{"'도면'!$G$62:$H$63","'도면'!$G$62:$H$63"}</definedName>
    <definedName name="총괄집계표_1" hidden="1">{"'도면'!$G$62:$H$63","'도면'!$G$62:$H$63"}</definedName>
    <definedName name="측량고급기술자">'[60]1.인건비'!$C$15</definedName>
    <definedName name="측량중급기술자">'[60]1.인건비'!$C$16</definedName>
    <definedName name="측량초급기술자">'[60]1.인건비'!$C$17</definedName>
    <definedName name="ㅋㅇㅁㅇ" localSheetId="2" hidden="1">{"'공사부문'!$A$6:$A$32"}</definedName>
    <definedName name="ㅋㅇㅁㅇ" localSheetId="1" hidden="1">{"'공사부문'!$A$6:$A$32"}</definedName>
    <definedName name="ㅋㅇㅁㅇ" hidden="1">{"'공사부문'!$A$6:$A$32"}</definedName>
    <definedName name="ㅋㅋ" localSheetId="2" hidden="1">{#N/A,#N/A,FALSE,"조골재"}</definedName>
    <definedName name="ㅋㅋ" localSheetId="1" hidden="1">{#N/A,#N/A,FALSE,"조골재"}</definedName>
    <definedName name="ㅋㅋ" hidden="1">{"'7'!$B$15:$D$32"}</definedName>
    <definedName name="ㅋㅋㅋㅋ" hidden="1">{"'도면'!$G$62:$H$63","'도면'!$G$62:$H$63"}</definedName>
    <definedName name="ㅋㅋㅋㅋ_1" hidden="1">{"'도면'!$G$62:$H$63","'도면'!$G$62:$H$63"}</definedName>
    <definedName name="캇타간재">'[39]기계경비(시간당)'!$H$92</definedName>
    <definedName name="캇타노무">'[39]기계경비(시간당)'!$H$88</definedName>
    <definedName name="캇타손료">'[39]기계경비(시간당)'!$H$87</definedName>
    <definedName name="컨벤션" hidden="1">{"'7'!$B$15:$D$32"}</definedName>
    <definedName name="컴퓨터" hidden="1">{"'PC현황'!$A$1:$Z$29"}</definedName>
    <definedName name="코어">'[36]샌딩 에폭시 도장'!$A$1:$L$25</definedName>
    <definedName name="코어드릴">'[36]일반문틀 설치'!$A$1:$L$25</definedName>
    <definedName name="코어천공">[36]스텐문틀설치!$A$1:$L$25</definedName>
    <definedName name="콘크리트2" localSheetId="2" hidden="1">#REF!</definedName>
    <definedName name="콘크리트2" localSheetId="1" hidden="1">#REF!</definedName>
    <definedName name="콘크리트2" localSheetId="9" hidden="1">#REF!</definedName>
    <definedName name="콘크리트2" hidden="1">#REF!</definedName>
    <definedName name="택">[40]단가!$C$85</definedName>
    <definedName name="토목설계" localSheetId="2" hidden="1">{#N/A,#N/A,FALSE,"골재소요량";#N/A,#N/A,FALSE,"골재소요량"}</definedName>
    <definedName name="토목설계" localSheetId="1" hidden="1">{#N/A,#N/A,FALSE,"골재소요량";#N/A,#N/A,FALSE,"골재소요량"}</definedName>
    <definedName name="토목설계" hidden="1">{#N/A,#N/A,FALSE,"골재소요량";#N/A,#N/A,FALSE,"골재소요량"}</definedName>
    <definedName name="토목일위" hidden="1">{"'도면'!$G$62:$H$63","'도면'!$G$62:$H$63"}</definedName>
    <definedName name="토목일위_1" hidden="1">{"'도면'!$G$62:$H$63","'도면'!$G$62:$H$63"}</definedName>
    <definedName name="통신기사">92355</definedName>
    <definedName name="통신기사1급">92355</definedName>
    <definedName name="통신기사2급">91949</definedName>
    <definedName name="통신내선공">63806</definedName>
    <definedName name="통신산업기사">91949</definedName>
    <definedName name="통신설비공">77401</definedName>
    <definedName name="통신외선공">90961</definedName>
    <definedName name="통신케이블공">95424</definedName>
    <definedName name="파일" localSheetId="2" hidden="1">#REF!</definedName>
    <definedName name="파일" localSheetId="1" hidden="1">#REF!</definedName>
    <definedName name="파일" localSheetId="9" hidden="1">#REF!</definedName>
    <definedName name="파일" hidden="1">#REF!</definedName>
    <definedName name="페이지" hidden="1">{"'Firr(선)'!$AS$1:$AY$62","'Firr(사)'!$AS$1:$AY$62","'Firr(회)'!$AS$1:$AY$62","'Firr(선)'!$L$1:$V$62","'Firr(사)'!$L$1:$V$62","'Firr(회)'!$L$1:$V$62"}</definedName>
    <definedName name="페이지_1" hidden="1">{"'Firr(선)'!$AS$1:$AY$62","'Firr(사)'!$AS$1:$AY$62","'Firr(회)'!$AS$1:$AY$62","'Firr(선)'!$L$1:$V$62","'Firr(사)'!$L$1:$V$62","'Firr(회)'!$L$1:$V$62"}</definedName>
    <definedName name="포장절단">[40]단가!$C$79</definedName>
    <definedName name="포장파취">[40]단가!$C$81</definedName>
    <definedName name="표지" hidden="1">{"'제10장(표)'!$A$5:$L$10"}</definedName>
    <definedName name="표지11111" hidden="1">{"'신흥취수펌프 검토'!$M$2","'신흥취수펌프 검토'!$A$1:$AE$87"}</definedName>
    <definedName name="표지11111_1" hidden="1">{"'신흥취수펌프 검토'!$M$2","'신흥취수펌프 검토'!$A$1:$AE$87"}</definedName>
    <definedName name="표지222" hidden="1">{"'신흥취수펌프 검토'!$M$2","'신흥취수펌프 검토'!$A$1:$AE$87"}</definedName>
    <definedName name="표지222_1" hidden="1">{"'신흥취수펌프 검토'!$M$2","'신흥취수펌프 검토'!$A$1:$AE$87"}</definedName>
    <definedName name="표지3" hidden="1">{"'관경확장'!$A$79:$M$98","'관경확장'!$A$54:$M$78"}</definedName>
    <definedName name="표층포설">[40]단가!$C$82</definedName>
    <definedName name="프라임">[40]단가!$C$84</definedName>
    <definedName name="플로터용지2">'[60]2.재료비'!$D$44</definedName>
    <definedName name="ㅎ5" localSheetId="2" hidden="1">{#N/A,#N/A,FALSE,"골재소요량";#N/A,#N/A,FALSE,"골재소요량"}</definedName>
    <definedName name="ㅎ5" localSheetId="1" hidden="1">{#N/A,#N/A,FALSE,"골재소요량";#N/A,#N/A,FALSE,"골재소요량"}</definedName>
    <definedName name="ㅎ5" hidden="1">{#N/A,#N/A,FALSE,"골재소요량";#N/A,#N/A,FALSE,"골재소요량"}</definedName>
    <definedName name="ㅎㄹㅇㅀ" localSheetId="2" hidden="1">{#N/A,#N/A,FALSE,"부대1"}</definedName>
    <definedName name="ㅎㄹㅇㅀ" localSheetId="1" hidden="1">{#N/A,#N/A,FALSE,"부대1"}</definedName>
    <definedName name="ㅎㄹㅇㅀ" hidden="1">{#N/A,#N/A,FALSE,"부대1"}</definedName>
    <definedName name="ㅎ로ㅓ" localSheetId="2" hidden="1">{#N/A,#N/A,FALSE,"운반시간"}</definedName>
    <definedName name="ㅎ로ㅓ" localSheetId="1" hidden="1">{#N/A,#N/A,FALSE,"운반시간"}</definedName>
    <definedName name="ㅎ로ㅓ" hidden="1">{#N/A,#N/A,FALSE,"운반시간"}</definedName>
    <definedName name="ㅎㅇㅀㅇㅀㅇㅎ" localSheetId="2" hidden="1">{#N/A,#N/A,FALSE,"표지목차"}</definedName>
    <definedName name="ㅎㅇㅀㅇㅀㅇㅎ" localSheetId="1" hidden="1">{#N/A,#N/A,FALSE,"표지목차"}</definedName>
    <definedName name="ㅎㅇㅀㅇㅀㅇㅎ" hidden="1">{#N/A,#N/A,FALSE,"표지목차"}</definedName>
    <definedName name="ㅎㅇㅇㅀㅎㄹ" localSheetId="2" hidden="1">{#N/A,#N/A,FALSE,"속도"}</definedName>
    <definedName name="ㅎㅇㅇㅀㅎㄹ" localSheetId="1" hidden="1">{#N/A,#N/A,FALSE,"속도"}</definedName>
    <definedName name="ㅎㅇㅇㅀㅎㄹ" hidden="1">{#N/A,#N/A,FALSE,"속도"}</definedName>
    <definedName name="ㅎㅎㅎ" hidden="1">{"'7'!$B$15:$D$32"}</definedName>
    <definedName name="호" localSheetId="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호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호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호ㅓㅗ" localSheetId="2" hidden="1">{#N/A,#N/A,FALSE,"포장1";#N/A,#N/A,FALSE,"포장1"}</definedName>
    <definedName name="호ㅓㅗ" localSheetId="1" hidden="1">{#N/A,#N/A,FALSE,"포장1";#N/A,#N/A,FALSE,"포장1"}</definedName>
    <definedName name="호ㅓㅗ" hidden="1">{#N/A,#N/A,FALSE,"포장1";#N/A,#N/A,FALSE,"포장1"}</definedName>
    <definedName name="효석" hidden="1">{"'Firr(선)'!$AS$1:$AY$62","'Firr(사)'!$AS$1:$AY$62","'Firr(회)'!$AS$1:$AY$62","'Firr(선)'!$L$1:$V$62","'Firr(사)'!$L$1:$V$62","'Firr(회)'!$L$1:$V$62"}</definedName>
    <definedName name="효석_1" hidden="1">{"'Firr(선)'!$AS$1:$AY$62","'Firr(사)'!$AS$1:$AY$62","'Firr(회)'!$AS$1:$AY$62","'Firr(선)'!$L$1:$V$62","'Firr(사)'!$L$1:$V$62","'Firr(회)'!$L$1:$V$62"}</definedName>
    <definedName name="효제" hidden="1">{"'7'!$B$15:$D$32"}</definedName>
    <definedName name="히ㅏㅓㅣㅏㅓㅚㅏ" localSheetId="2" hidden="1">{#N/A,#N/A,FALSE,"구조1"}</definedName>
    <definedName name="히ㅏㅓㅣㅏㅓㅚㅏ" localSheetId="1" hidden="1">{#N/A,#N/A,FALSE,"구조1"}</definedName>
    <definedName name="히ㅏㅓㅣㅏㅓㅚㅏ" hidden="1">{#N/A,#N/A,FALSE,"구조1"}</definedName>
    <definedName name="ㅏ" hidden="1">{"'도면'!$G$62:$H$63","'도면'!$G$62:$H$63"}</definedName>
    <definedName name="ㅏㅏㅏ" hidden="1">{"'7'!$B$15:$D$32"}</definedName>
    <definedName name="ㅏㅏㅏ_1" hidden="1">{"'도면'!$G$62:$H$63","'도면'!$G$62:$H$63"}</definedName>
    <definedName name="ㅏㅏㅏㅏ" hidden="1">{"'도면'!$G$62:$H$63","'도면'!$G$62:$H$63"}</definedName>
    <definedName name="ㅏㅏㅏㅏ_1" hidden="1">{"'도면'!$G$62:$H$63","'도면'!$G$62:$H$63"}</definedName>
    <definedName name="ㅏㅓㅣㅏㅓㅣ" localSheetId="2" hidden="1">{#N/A,#N/A,FALSE,"부대2"}</definedName>
    <definedName name="ㅏㅓㅣㅏㅓㅣ" localSheetId="1" hidden="1">{#N/A,#N/A,FALSE,"부대2"}</definedName>
    <definedName name="ㅏㅓㅣㅏㅓㅣ" hidden="1">{#N/A,#N/A,FALSE,"부대2"}</definedName>
    <definedName name="ㅐOOOO" hidden="1">{"'도면'!$G$62:$H$63","'도면'!$G$62:$H$63"}</definedName>
    <definedName name="ㅐOOOO_1" hidden="1">{"'도면'!$G$62:$H$63","'도면'!$G$62:$H$63"}</definedName>
    <definedName name="ㅑ" localSheetId="2" hidden="1">{#N/A,#N/A,FALSE,"조골재"}</definedName>
    <definedName name="ㅑ" localSheetId="1" hidden="1">{#N/A,#N/A,FALSE,"조골재"}</definedName>
    <definedName name="ㅑ" hidden="1">{#N/A,#N/A,FALSE,"조골재"}</definedName>
    <definedName name="ㅓ7" localSheetId="2" hidden="1">{#N/A,#N/A,FALSE,"단가표지"}</definedName>
    <definedName name="ㅓ7" localSheetId="1" hidden="1">{#N/A,#N/A,FALSE,"단가표지"}</definedName>
    <definedName name="ㅓ7" hidden="1">{#N/A,#N/A,FALSE,"단가표지"}</definedName>
    <definedName name="ㅓㄴㅇ러" localSheetId="2" hidden="1">{#N/A,#N/A,FALSE,"골재소요량";#N/A,#N/A,FALSE,"골재소요량"}</definedName>
    <definedName name="ㅓㄴㅇ러" localSheetId="1" hidden="1">{#N/A,#N/A,FALSE,"골재소요량";#N/A,#N/A,FALSE,"골재소요량"}</definedName>
    <definedName name="ㅓㄴㅇ러" hidden="1">{#N/A,#N/A,FALSE,"골재소요량";#N/A,#N/A,FALSE,"골재소요량"}</definedName>
    <definedName name="ㅓㅏㅣㅓㅣㅓ" localSheetId="2" hidden="1">{#N/A,#N/A,FALSE,"혼합골재"}</definedName>
    <definedName name="ㅓㅏㅣㅓㅣㅓ" localSheetId="1" hidden="1">{#N/A,#N/A,FALSE,"혼합골재"}</definedName>
    <definedName name="ㅓㅏㅣㅓㅣㅓ" hidden="1">{#N/A,#N/A,FALSE,"혼합골재"}</definedName>
    <definedName name="ㅓㅗㅅㄹ" localSheetId="2" hidden="1">{#N/A,#N/A,FALSE,"조골재"}</definedName>
    <definedName name="ㅓㅗㅅㄹ" localSheetId="1" hidden="1">{#N/A,#N/A,FALSE,"조골재"}</definedName>
    <definedName name="ㅓㅗㅅㄹ" hidden="1">{#N/A,#N/A,FALSE,"조골재"}</definedName>
    <definedName name="ㅔ" hidden="1">{"'도면'!$G$62:$H$63","'도면'!$G$62:$H$63"}</definedName>
    <definedName name="ㅔ_1" hidden="1">{"'도면'!$G$62:$H$63","'도면'!$G$62:$H$63"}</definedName>
    <definedName name="ㅔ3" localSheetId="2" hidden="1">{#N/A,#N/A,FALSE,"배수1"}</definedName>
    <definedName name="ㅔ3" localSheetId="1" hidden="1">{#N/A,#N/A,FALSE,"배수1"}</definedName>
    <definedName name="ㅔ3" hidden="1">{#N/A,#N/A,FALSE,"배수1"}</definedName>
    <definedName name="ㅔㅔㅔㅔㅔㅔ" hidden="1">{"'도면'!$G$62:$H$63","'도면'!$G$62:$H$63"}</definedName>
    <definedName name="ㅔㅔㅔㅔㅔㅔ_1" hidden="1">{"'도면'!$G$62:$H$63","'도면'!$G$62:$H$63"}</definedName>
    <definedName name="ㅗㄹ호" localSheetId="2" hidden="1">{#N/A,#N/A,FALSE,"운반시간"}</definedName>
    <definedName name="ㅗㄹ호" localSheetId="1" hidden="1">{#N/A,#N/A,FALSE,"운반시간"}</definedName>
    <definedName name="ㅗㄹ호" hidden="1">{#N/A,#N/A,FALSE,"운반시간"}</definedName>
    <definedName name="ㅗㅎㅅ" localSheetId="2" hidden="1">{"'공사부문'!$A$6:$A$32"}</definedName>
    <definedName name="ㅗㅎㅅ" localSheetId="1" hidden="1">{"'공사부문'!$A$6:$A$32"}</definedName>
    <definedName name="ㅗㅎㅅ" hidden="1">{"'공사부문'!$A$6:$A$32"}</definedName>
    <definedName name="ㅜ_1" hidden="1">{"'도면'!$G$62:$H$63","'도면'!$G$62:$H$63"}</definedName>
    <definedName name="ㅜㅜㅜㅜ" hidden="1">{"'도면'!$G$62:$H$63","'도면'!$G$62:$H$63"}</definedName>
    <definedName name="ㅜㅜㅜㅜ_1" hidden="1">{"'도면'!$G$62:$H$63","'도면'!$G$62:$H$63"}</definedName>
    <definedName name="ㅠ뮤ㅐ" localSheetId="2" hidden="1">#REF!</definedName>
    <definedName name="ㅠ뮤ㅐ" localSheetId="1" hidden="1">#REF!</definedName>
    <definedName name="ㅠ뮤ㅐ" localSheetId="9" hidden="1">#REF!</definedName>
    <definedName name="ㅠ뮤ㅐ" hidden="1">#REF!</definedName>
    <definedName name="ㅡㅁㅊ개14" localSheetId="10">[11]!Macro13</definedName>
    <definedName name="ㅡㅁㅊ개14" localSheetId="11">[11]!Macro13</definedName>
    <definedName name="ㅡㅁㅊ개14" localSheetId="6">[11]!Macro13</definedName>
    <definedName name="ㅡㅁㅊ개14" localSheetId="5">[11]!Macro13</definedName>
    <definedName name="ㅡㅁㅊ개14" localSheetId="7">[11]!Macro13</definedName>
    <definedName name="ㅡㅁㅊ개14" localSheetId="9">[11]!Macro13</definedName>
    <definedName name="ㅡㅁㅊ개14" localSheetId="13">[11]!Macro13</definedName>
    <definedName name="ㅡㅁㅊ개14" localSheetId="16">[11]!Macro13</definedName>
    <definedName name="ㅡㅁㅊ개14" localSheetId="15">[11]!Macro13</definedName>
    <definedName name="ㅡㅁㅊ개14" localSheetId="14">[11]!Macro13</definedName>
    <definedName name="ㅡㅁㅊ개14" localSheetId="12">[11]!Macro13</definedName>
    <definedName name="ㅡㅁㅊ개14" localSheetId="8">[11]!Macro13</definedName>
    <definedName name="ㅡㅁㅊ개14">[11]!Macro13</definedName>
    <definedName name="ㅡㅡㅡㅡ" hidden="1">{"'7'!$B$15:$D$32"}</definedName>
    <definedName name="ㅣㅎㄹㅇㅇ" localSheetId="2" hidden="1">{#N/A,#N/A,FALSE,"토공2"}</definedName>
    <definedName name="ㅣㅎㄹㅇㅇ" localSheetId="1" hidden="1">{#N/A,#N/A,FALSE,"토공2"}</definedName>
    <definedName name="ㅣㅎㄹㅇㅇ" hidden="1">{#N/A,#N/A,FALSE,"토공2"}</definedName>
    <definedName name="ㅣㅏㅓ" localSheetId="2" hidden="1">{#N/A,#N/A,FALSE,"운반시간"}</definedName>
    <definedName name="ㅣㅏㅓ" localSheetId="1" hidden="1">{#N/A,#N/A,FALSE,"운반시간"}</definedName>
    <definedName name="ㅣㅏㅓ" hidden="1">{#N/A,#N/A,FALSE,"운반시간"}</definedName>
    <definedName name="ㅣㅏㅓㅣㅏㅓㅣ" localSheetId="2" hidden="1">{#N/A,#N/A,FALSE,"속도"}</definedName>
    <definedName name="ㅣㅏㅓㅣㅏㅓㅣ" localSheetId="1" hidden="1">{#N/A,#N/A,FALSE,"속도"}</definedName>
    <definedName name="ㅣㅏㅓㅣㅏㅓㅣ" hidden="1">{#N/A,#N/A,FALSE,"속도"}</definedName>
    <definedName name="ㅣㅑㅣㅣ" localSheetId="2" hidden="1">{#N/A,#N/A,FALSE,"혼합골재"}</definedName>
    <definedName name="ㅣㅑㅣㅣ" localSheetId="1" hidden="1">{#N/A,#N/A,FALSE,"혼합골재"}</definedName>
    <definedName name="ㅣㅑㅣㅣ" hidden="1">{#N/A,#N/A,FALSE,"혼합골재"}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5" i="32" l="1"/>
  <c r="I156" i="32"/>
  <c r="I51" i="32"/>
  <c r="I32" i="32"/>
  <c r="I58" i="32"/>
  <c r="I250" i="32"/>
  <c r="I244" i="32"/>
  <c r="I231" i="32"/>
  <c r="I225" i="32"/>
  <c r="I213" i="32"/>
  <c r="I197" i="32"/>
  <c r="I181" i="32"/>
  <c r="I164" i="32"/>
  <c r="I149" i="32"/>
  <c r="I132" i="32"/>
  <c r="I125" i="32"/>
  <c r="I113" i="32"/>
  <c r="I95" i="32"/>
  <c r="I73" i="32"/>
  <c r="I45" i="32"/>
  <c r="I106" i="32"/>
  <c r="I94" i="32"/>
  <c r="I224" i="32"/>
  <c r="I212" i="32"/>
  <c r="I196" i="32"/>
  <c r="I192" i="32"/>
  <c r="I180" i="32"/>
  <c r="I163" i="32"/>
  <c r="I148" i="32"/>
  <c r="I131" i="32"/>
  <c r="I124" i="32"/>
  <c r="I112" i="32"/>
  <c r="I267" i="32"/>
  <c r="I251" i="32"/>
  <c r="I245" i="32"/>
  <c r="I232" i="32"/>
  <c r="I226" i="32"/>
  <c r="I214" i="32"/>
  <c r="I198" i="32"/>
  <c r="I182" i="32"/>
  <c r="I165" i="32"/>
  <c r="I150" i="32"/>
  <c r="I133" i="32"/>
  <c r="I126" i="32"/>
  <c r="I114" i="32"/>
  <c r="I107" i="32"/>
  <c r="I96" i="32"/>
  <c r="I74" i="32"/>
  <c r="I59" i="32"/>
  <c r="I46" i="32"/>
  <c r="I28" i="32"/>
  <c r="I263" i="31"/>
  <c r="I238" i="31"/>
  <c r="I237" i="31"/>
  <c r="I206" i="31"/>
  <c r="I203" i="31"/>
  <c r="I174" i="31"/>
  <c r="I173" i="31"/>
  <c r="I170" i="31"/>
  <c r="I140" i="31"/>
  <c r="I139" i="31"/>
  <c r="I138" i="31"/>
  <c r="I87" i="31"/>
  <c r="I86" i="31"/>
  <c r="I83" i="31"/>
  <c r="I82" i="31"/>
  <c r="I79" i="31"/>
  <c r="I67" i="31"/>
  <c r="I40" i="31"/>
  <c r="I39" i="31"/>
  <c r="I38" i="31"/>
  <c r="I24" i="31"/>
  <c r="I23" i="31"/>
  <c r="I156" i="31"/>
  <c r="I51" i="31"/>
  <c r="I32" i="31"/>
  <c r="I58" i="31"/>
  <c r="I250" i="31"/>
  <c r="I244" i="31"/>
  <c r="I231" i="31"/>
  <c r="I225" i="31"/>
  <c r="I213" i="31"/>
  <c r="I197" i="31"/>
  <c r="I181" i="31"/>
  <c r="I164" i="31"/>
  <c r="I149" i="31"/>
  <c r="I132" i="31"/>
  <c r="I125" i="31"/>
  <c r="I113" i="31"/>
  <c r="I95" i="31"/>
  <c r="I73" i="31"/>
  <c r="I45" i="31"/>
  <c r="I106" i="31"/>
  <c r="I224" i="31"/>
  <c r="I212" i="31"/>
  <c r="I196" i="31"/>
  <c r="I192" i="31"/>
  <c r="I180" i="31"/>
  <c r="I163" i="31"/>
  <c r="I148" i="31"/>
  <c r="I131" i="31"/>
  <c r="I124" i="31"/>
  <c r="I112" i="31"/>
  <c r="I94" i="31"/>
  <c r="I267" i="31"/>
  <c r="I251" i="31"/>
  <c r="I245" i="31"/>
  <c r="I232" i="31"/>
  <c r="I226" i="31"/>
  <c r="I214" i="31"/>
  <c r="I198" i="31"/>
  <c r="I182" i="31"/>
  <c r="I165" i="31"/>
  <c r="I150" i="31"/>
  <c r="I133" i="31"/>
  <c r="I126" i="31"/>
  <c r="I114" i="31"/>
  <c r="I107" i="31"/>
  <c r="I96" i="31"/>
  <c r="I74" i="31"/>
  <c r="I59" i="31"/>
  <c r="I46" i="31"/>
  <c r="I28" i="31"/>
  <c r="M267" i="32" l="1"/>
  <c r="L267" i="32"/>
  <c r="L268" i="32" s="1"/>
  <c r="J267" i="32"/>
  <c r="J268" i="32" s="1"/>
  <c r="I263" i="32" s="1"/>
  <c r="M263" i="32" s="1"/>
  <c r="H267" i="32"/>
  <c r="H268" i="32" s="1"/>
  <c r="L263" i="32"/>
  <c r="L264" i="32" s="1"/>
  <c r="K17" i="32" s="1"/>
  <c r="L17" i="32" s="1"/>
  <c r="H263" i="32"/>
  <c r="M259" i="32"/>
  <c r="L259" i="32"/>
  <c r="L260" i="32" s="1"/>
  <c r="K16" i="32" s="1"/>
  <c r="L16" i="32" s="1"/>
  <c r="J259" i="32"/>
  <c r="J260" i="32" s="1"/>
  <c r="I16" i="32" s="1"/>
  <c r="J16" i="32" s="1"/>
  <c r="H259" i="32"/>
  <c r="M255" i="32"/>
  <c r="L255" i="32"/>
  <c r="L256" i="32" s="1"/>
  <c r="K15" i="32" s="1"/>
  <c r="L15" i="32" s="1"/>
  <c r="J255" i="32"/>
  <c r="J256" i="32" s="1"/>
  <c r="H255" i="32"/>
  <c r="H256" i="32" s="1"/>
  <c r="M251" i="32"/>
  <c r="L251" i="32"/>
  <c r="J251" i="32"/>
  <c r="H251" i="32"/>
  <c r="M250" i="32"/>
  <c r="L250" i="32"/>
  <c r="J250" i="32"/>
  <c r="H250" i="32"/>
  <c r="M246" i="32"/>
  <c r="L246" i="32"/>
  <c r="J246" i="32"/>
  <c r="H246" i="32"/>
  <c r="M245" i="32"/>
  <c r="L245" i="32"/>
  <c r="J245" i="32"/>
  <c r="H245" i="32"/>
  <c r="M244" i="32"/>
  <c r="L244" i="32"/>
  <c r="J244" i="32"/>
  <c r="H244" i="32"/>
  <c r="M240" i="32"/>
  <c r="L240" i="32"/>
  <c r="J240" i="32"/>
  <c r="H240" i="32"/>
  <c r="M239" i="32"/>
  <c r="L239" i="32"/>
  <c r="J239" i="32"/>
  <c r="H239" i="32"/>
  <c r="L238" i="32"/>
  <c r="H238" i="32"/>
  <c r="L237" i="32"/>
  <c r="H237" i="32"/>
  <c r="M233" i="32"/>
  <c r="L233" i="32"/>
  <c r="J233" i="32"/>
  <c r="H233" i="32"/>
  <c r="M232" i="32"/>
  <c r="L232" i="32"/>
  <c r="J232" i="32"/>
  <c r="H232" i="32"/>
  <c r="M231" i="32"/>
  <c r="L231" i="32"/>
  <c r="J231" i="32"/>
  <c r="H231" i="32"/>
  <c r="M227" i="32"/>
  <c r="L227" i="32"/>
  <c r="J227" i="32"/>
  <c r="H227" i="32"/>
  <c r="M226" i="32"/>
  <c r="L226" i="32"/>
  <c r="J226" i="32"/>
  <c r="H226" i="32"/>
  <c r="M225" i="32"/>
  <c r="L225" i="32"/>
  <c r="J225" i="32"/>
  <c r="H225" i="32"/>
  <c r="M224" i="32"/>
  <c r="L224" i="32"/>
  <c r="J224" i="32"/>
  <c r="H224" i="32"/>
  <c r="M220" i="32"/>
  <c r="L220" i="32"/>
  <c r="J220" i="32"/>
  <c r="H220" i="32"/>
  <c r="M219" i="32"/>
  <c r="L219" i="32"/>
  <c r="L221" i="32" s="1"/>
  <c r="J219" i="32"/>
  <c r="H219" i="32"/>
  <c r="M215" i="32"/>
  <c r="L215" i="32"/>
  <c r="J215" i="32"/>
  <c r="H215" i="32"/>
  <c r="M214" i="32"/>
  <c r="L214" i="32"/>
  <c r="J214" i="32"/>
  <c r="H214" i="32"/>
  <c r="M213" i="32"/>
  <c r="L213" i="32"/>
  <c r="J213" i="32"/>
  <c r="H213" i="32"/>
  <c r="M212" i="32"/>
  <c r="L212" i="32"/>
  <c r="J212" i="32"/>
  <c r="H212" i="32"/>
  <c r="M208" i="32"/>
  <c r="L208" i="32"/>
  <c r="J208" i="32"/>
  <c r="H208" i="32"/>
  <c r="M207" i="32"/>
  <c r="L207" i="32"/>
  <c r="J207" i="32"/>
  <c r="H207" i="32"/>
  <c r="L206" i="32"/>
  <c r="H206" i="32"/>
  <c r="M205" i="32"/>
  <c r="L205" i="32"/>
  <c r="J205" i="32"/>
  <c r="H205" i="32"/>
  <c r="M204" i="32"/>
  <c r="L204" i="32"/>
  <c r="J204" i="32"/>
  <c r="H204" i="32"/>
  <c r="L203" i="32"/>
  <c r="H203" i="32"/>
  <c r="M199" i="32"/>
  <c r="L199" i="32"/>
  <c r="J199" i="32"/>
  <c r="H199" i="32"/>
  <c r="M198" i="32"/>
  <c r="L198" i="32"/>
  <c r="J198" i="32"/>
  <c r="H198" i="32"/>
  <c r="M197" i="32"/>
  <c r="L197" i="32"/>
  <c r="J197" i="32"/>
  <c r="H197" i="32"/>
  <c r="M196" i="32"/>
  <c r="L196" i="32"/>
  <c r="J196" i="32"/>
  <c r="H196" i="32"/>
  <c r="M192" i="32"/>
  <c r="L192" i="32"/>
  <c r="L193" i="32" s="1"/>
  <c r="J192" i="32"/>
  <c r="J193" i="32" s="1"/>
  <c r="I173" i="32" s="1"/>
  <c r="H192" i="32"/>
  <c r="H193" i="32" s="1"/>
  <c r="M188" i="32"/>
  <c r="L188" i="32"/>
  <c r="J188" i="32"/>
  <c r="H188" i="32"/>
  <c r="M187" i="32"/>
  <c r="L187" i="32"/>
  <c r="J187" i="32"/>
  <c r="H187" i="32"/>
  <c r="M183" i="32"/>
  <c r="L183" i="32"/>
  <c r="J183" i="32"/>
  <c r="H183" i="32"/>
  <c r="M182" i="32"/>
  <c r="L182" i="32"/>
  <c r="J182" i="32"/>
  <c r="H182" i="32"/>
  <c r="M181" i="32"/>
  <c r="L181" i="32"/>
  <c r="J181" i="32"/>
  <c r="H181" i="32"/>
  <c r="M180" i="32"/>
  <c r="L180" i="32"/>
  <c r="J180" i="32"/>
  <c r="H180" i="32"/>
  <c r="M176" i="32"/>
  <c r="L176" i="32"/>
  <c r="J176" i="32"/>
  <c r="H176" i="32"/>
  <c r="M175" i="32"/>
  <c r="L175" i="32"/>
  <c r="J175" i="32"/>
  <c r="H175" i="32"/>
  <c r="L174" i="32"/>
  <c r="H174" i="32"/>
  <c r="L173" i="32"/>
  <c r="H173" i="32"/>
  <c r="M172" i="32"/>
  <c r="L172" i="32"/>
  <c r="J172" i="32"/>
  <c r="H172" i="32"/>
  <c r="M171" i="32"/>
  <c r="L171" i="32"/>
  <c r="J171" i="32"/>
  <c r="H171" i="32"/>
  <c r="L170" i="32"/>
  <c r="H170" i="32"/>
  <c r="M166" i="32"/>
  <c r="L166" i="32"/>
  <c r="J166" i="32"/>
  <c r="H166" i="32"/>
  <c r="M165" i="32"/>
  <c r="L165" i="32"/>
  <c r="J165" i="32"/>
  <c r="H165" i="32"/>
  <c r="M164" i="32"/>
  <c r="L164" i="32"/>
  <c r="J164" i="32"/>
  <c r="H164" i="32"/>
  <c r="M163" i="32"/>
  <c r="L163" i="32"/>
  <c r="J163" i="32"/>
  <c r="H163" i="32"/>
  <c r="M159" i="32"/>
  <c r="L159" i="32"/>
  <c r="J159" i="32"/>
  <c r="H159" i="32"/>
  <c r="M158" i="32"/>
  <c r="L158" i="32"/>
  <c r="J158" i="32"/>
  <c r="H158" i="32"/>
  <c r="M157" i="32"/>
  <c r="L157" i="32"/>
  <c r="J157" i="32"/>
  <c r="H157" i="32"/>
  <c r="M156" i="32"/>
  <c r="L156" i="32"/>
  <c r="J156" i="32"/>
  <c r="H156" i="32"/>
  <c r="M152" i="32"/>
  <c r="L152" i="32"/>
  <c r="J152" i="32"/>
  <c r="H152" i="32"/>
  <c r="M151" i="32"/>
  <c r="L151" i="32"/>
  <c r="J151" i="32"/>
  <c r="H151" i="32"/>
  <c r="M150" i="32"/>
  <c r="L150" i="32"/>
  <c r="J150" i="32"/>
  <c r="H150" i="32"/>
  <c r="M149" i="32"/>
  <c r="L149" i="32"/>
  <c r="J149" i="32"/>
  <c r="H149" i="32"/>
  <c r="M148" i="32"/>
  <c r="L148" i="32"/>
  <c r="J148" i="32"/>
  <c r="H148" i="32"/>
  <c r="M144" i="32"/>
  <c r="L144" i="32"/>
  <c r="J144" i="32"/>
  <c r="H144" i="32"/>
  <c r="M143" i="32"/>
  <c r="L143" i="32"/>
  <c r="J143" i="32"/>
  <c r="H143" i="32"/>
  <c r="M142" i="32"/>
  <c r="L142" i="32"/>
  <c r="J142" i="32"/>
  <c r="H142" i="32"/>
  <c r="M141" i="32"/>
  <c r="L141" i="32"/>
  <c r="J141" i="32"/>
  <c r="H141" i="32"/>
  <c r="L140" i="32"/>
  <c r="H140" i="32"/>
  <c r="L139" i="32"/>
  <c r="H139" i="32"/>
  <c r="L138" i="32"/>
  <c r="H138" i="32"/>
  <c r="M134" i="32"/>
  <c r="L134" i="32"/>
  <c r="J134" i="32"/>
  <c r="H134" i="32"/>
  <c r="M133" i="32"/>
  <c r="L133" i="32"/>
  <c r="J133" i="32"/>
  <c r="H133" i="32"/>
  <c r="M132" i="32"/>
  <c r="L132" i="32"/>
  <c r="J132" i="32"/>
  <c r="H132" i="32"/>
  <c r="M131" i="32"/>
  <c r="L131" i="32"/>
  <c r="J131" i="32"/>
  <c r="H131" i="32"/>
  <c r="M127" i="32"/>
  <c r="L127" i="32"/>
  <c r="J127" i="32"/>
  <c r="H127" i="32"/>
  <c r="M126" i="32"/>
  <c r="L126" i="32"/>
  <c r="J126" i="32"/>
  <c r="H126" i="32"/>
  <c r="M125" i="32"/>
  <c r="L125" i="32"/>
  <c r="J125" i="32"/>
  <c r="H125" i="32"/>
  <c r="M124" i="32"/>
  <c r="L124" i="32"/>
  <c r="J124" i="32"/>
  <c r="H124" i="32"/>
  <c r="M120" i="32"/>
  <c r="L120" i="32"/>
  <c r="J120" i="32"/>
  <c r="H120" i="32"/>
  <c r="M119" i="32"/>
  <c r="L119" i="32"/>
  <c r="J119" i="32"/>
  <c r="H119" i="32"/>
  <c r="M115" i="32"/>
  <c r="L115" i="32"/>
  <c r="J115" i="32"/>
  <c r="H115" i="32"/>
  <c r="M114" i="32"/>
  <c r="L114" i="32"/>
  <c r="J114" i="32"/>
  <c r="H114" i="32"/>
  <c r="M113" i="32"/>
  <c r="L113" i="32"/>
  <c r="J113" i="32"/>
  <c r="H113" i="32"/>
  <c r="M112" i="32"/>
  <c r="L112" i="32"/>
  <c r="J112" i="32"/>
  <c r="H112" i="32"/>
  <c r="M108" i="32"/>
  <c r="L108" i="32"/>
  <c r="J108" i="32"/>
  <c r="H108" i="32"/>
  <c r="M107" i="32"/>
  <c r="L107" i="32"/>
  <c r="J107" i="32"/>
  <c r="H107" i="32"/>
  <c r="M106" i="32"/>
  <c r="L106" i="32"/>
  <c r="J106" i="32"/>
  <c r="H106" i="32"/>
  <c r="M102" i="32"/>
  <c r="L102" i="32"/>
  <c r="J102" i="32"/>
  <c r="H102" i="32"/>
  <c r="M101" i="32"/>
  <c r="L101" i="32"/>
  <c r="L103" i="32" s="1"/>
  <c r="J101" i="32"/>
  <c r="H101" i="32"/>
  <c r="M97" i="32"/>
  <c r="L97" i="32"/>
  <c r="J97" i="32"/>
  <c r="H97" i="32"/>
  <c r="M96" i="32"/>
  <c r="L96" i="32"/>
  <c r="J96" i="32"/>
  <c r="H96" i="32"/>
  <c r="M95" i="32"/>
  <c r="L95" i="32"/>
  <c r="J95" i="32"/>
  <c r="H95" i="32"/>
  <c r="M94" i="32"/>
  <c r="L94" i="32"/>
  <c r="J94" i="32"/>
  <c r="H94" i="32"/>
  <c r="M90" i="32"/>
  <c r="L90" i="32"/>
  <c r="J90" i="32"/>
  <c r="H90" i="32"/>
  <c r="M89" i="32"/>
  <c r="L89" i="32"/>
  <c r="J89" i="32"/>
  <c r="H89" i="32"/>
  <c r="M88" i="32"/>
  <c r="L88" i="32"/>
  <c r="J88" i="32"/>
  <c r="H88" i="32"/>
  <c r="L87" i="32"/>
  <c r="H87" i="32"/>
  <c r="L86" i="32"/>
  <c r="H86" i="32"/>
  <c r="M85" i="32"/>
  <c r="L85" i="32"/>
  <c r="J85" i="32"/>
  <c r="H85" i="32"/>
  <c r="M84" i="32"/>
  <c r="L84" i="32"/>
  <c r="J84" i="32"/>
  <c r="H84" i="32"/>
  <c r="L83" i="32"/>
  <c r="H83" i="32"/>
  <c r="L82" i="32"/>
  <c r="H82" i="32"/>
  <c r="M81" i="32"/>
  <c r="L81" i="32"/>
  <c r="J81" i="32"/>
  <c r="H81" i="32"/>
  <c r="M80" i="32"/>
  <c r="L80" i="32"/>
  <c r="J80" i="32"/>
  <c r="H80" i="32"/>
  <c r="L79" i="32"/>
  <c r="H79" i="32"/>
  <c r="M75" i="32"/>
  <c r="L75" i="32"/>
  <c r="J75" i="32"/>
  <c r="H75" i="32"/>
  <c r="M74" i="32"/>
  <c r="L74" i="32"/>
  <c r="J74" i="32"/>
  <c r="H74" i="32"/>
  <c r="M73" i="32"/>
  <c r="L73" i="32"/>
  <c r="J73" i="32"/>
  <c r="H73" i="32"/>
  <c r="M69" i="32"/>
  <c r="L69" i="32"/>
  <c r="J69" i="32"/>
  <c r="H69" i="32"/>
  <c r="M68" i="32"/>
  <c r="L68" i="32"/>
  <c r="J68" i="32"/>
  <c r="H68" i="32"/>
  <c r="L67" i="32"/>
  <c r="H67" i="32"/>
  <c r="M63" i="32"/>
  <c r="L63" i="32"/>
  <c r="J63" i="32"/>
  <c r="H63" i="32"/>
  <c r="M62" i="32"/>
  <c r="L62" i="32"/>
  <c r="J62" i="32"/>
  <c r="H62" i="32"/>
  <c r="M61" i="32"/>
  <c r="L61" i="32"/>
  <c r="J61" i="32"/>
  <c r="H61" i="32"/>
  <c r="M60" i="32"/>
  <c r="L60" i="32"/>
  <c r="J60" i="32"/>
  <c r="H60" i="32"/>
  <c r="M59" i="32"/>
  <c r="L59" i="32"/>
  <c r="J59" i="32"/>
  <c r="H59" i="32"/>
  <c r="M58" i="32"/>
  <c r="L58" i="32"/>
  <c r="J58" i="32"/>
  <c r="H58" i="32"/>
  <c r="M54" i="32"/>
  <c r="L54" i="32"/>
  <c r="J54" i="32"/>
  <c r="H54" i="32"/>
  <c r="M53" i="32"/>
  <c r="L53" i="32"/>
  <c r="J53" i="32"/>
  <c r="H53" i="32"/>
  <c r="M52" i="32"/>
  <c r="L52" i="32"/>
  <c r="J52" i="32"/>
  <c r="H52" i="32"/>
  <c r="M51" i="32"/>
  <c r="L51" i="32"/>
  <c r="J51" i="32"/>
  <c r="H51" i="32"/>
  <c r="M47" i="32"/>
  <c r="L47" i="32"/>
  <c r="J47" i="32"/>
  <c r="H47" i="32"/>
  <c r="M46" i="32"/>
  <c r="L46" i="32"/>
  <c r="J46" i="32"/>
  <c r="H46" i="32"/>
  <c r="M45" i="32"/>
  <c r="L45" i="32"/>
  <c r="J45" i="32"/>
  <c r="H45" i="32"/>
  <c r="M41" i="32"/>
  <c r="L41" i="32"/>
  <c r="J41" i="32"/>
  <c r="H41" i="32"/>
  <c r="L40" i="32"/>
  <c r="H40" i="32"/>
  <c r="L39" i="32"/>
  <c r="H39" i="32"/>
  <c r="L38" i="32"/>
  <c r="H38" i="32"/>
  <c r="M34" i="32"/>
  <c r="L34" i="32"/>
  <c r="J34" i="32"/>
  <c r="H34" i="32"/>
  <c r="M33" i="32"/>
  <c r="L33" i="32"/>
  <c r="J33" i="32"/>
  <c r="H33" i="32"/>
  <c r="M32" i="32"/>
  <c r="L32" i="32"/>
  <c r="J32" i="32"/>
  <c r="H32" i="32"/>
  <c r="M28" i="32"/>
  <c r="L28" i="32"/>
  <c r="L29" i="32" s="1"/>
  <c r="J28" i="32"/>
  <c r="J29" i="32" s="1"/>
  <c r="I23" i="32" s="1"/>
  <c r="M23" i="32" s="1"/>
  <c r="H28" i="32"/>
  <c r="H29" i="32" s="1"/>
  <c r="B27" i="32"/>
  <c r="B31" i="32" s="1"/>
  <c r="O24" i="32" s="1"/>
  <c r="L24" i="32"/>
  <c r="H24" i="32"/>
  <c r="L23" i="32"/>
  <c r="H23" i="32"/>
  <c r="I15" i="32"/>
  <c r="J15" i="32" s="1"/>
  <c r="G15" i="32"/>
  <c r="M267" i="31"/>
  <c r="L267" i="31"/>
  <c r="L268" i="31" s="1"/>
  <c r="J267" i="31"/>
  <c r="J268" i="31" s="1"/>
  <c r="H267" i="31"/>
  <c r="H268" i="31" s="1"/>
  <c r="M263" i="31"/>
  <c r="L263" i="31"/>
  <c r="L264" i="31" s="1"/>
  <c r="K17" i="31" s="1"/>
  <c r="L17" i="31" s="1"/>
  <c r="J263" i="31"/>
  <c r="J264" i="31" s="1"/>
  <c r="I17" i="31" s="1"/>
  <c r="J17" i="31" s="1"/>
  <c r="H263" i="31"/>
  <c r="H264" i="31" s="1"/>
  <c r="M259" i="31"/>
  <c r="L259" i="31"/>
  <c r="L260" i="31" s="1"/>
  <c r="K16" i="31" s="1"/>
  <c r="L16" i="31" s="1"/>
  <c r="J259" i="31"/>
  <c r="J260" i="31" s="1"/>
  <c r="I16" i="31" s="1"/>
  <c r="J16" i="31" s="1"/>
  <c r="H259" i="31"/>
  <c r="H260" i="31" s="1"/>
  <c r="M255" i="31"/>
  <c r="L255" i="31"/>
  <c r="L256" i="31" s="1"/>
  <c r="K15" i="31" s="1"/>
  <c r="L15" i="31" s="1"/>
  <c r="J255" i="31"/>
  <c r="J256" i="31" s="1"/>
  <c r="I15" i="31" s="1"/>
  <c r="J15" i="31" s="1"/>
  <c r="H255" i="31"/>
  <c r="H256" i="31" s="1"/>
  <c r="M251" i="31"/>
  <c r="L251" i="31"/>
  <c r="J251" i="31"/>
  <c r="H251" i="31"/>
  <c r="M250" i="31"/>
  <c r="L250" i="31"/>
  <c r="J250" i="31"/>
  <c r="H250" i="31"/>
  <c r="M246" i="31"/>
  <c r="L246" i="31"/>
  <c r="J246" i="31"/>
  <c r="H246" i="31"/>
  <c r="M245" i="31"/>
  <c r="L245" i="31"/>
  <c r="J245" i="31"/>
  <c r="H245" i="31"/>
  <c r="M244" i="31"/>
  <c r="L244" i="31"/>
  <c r="J244" i="31"/>
  <c r="H244" i="31"/>
  <c r="M240" i="31"/>
  <c r="L240" i="31"/>
  <c r="J240" i="31"/>
  <c r="H240" i="31"/>
  <c r="M239" i="31"/>
  <c r="L239" i="31"/>
  <c r="J239" i="31"/>
  <c r="H239" i="31"/>
  <c r="M238" i="31"/>
  <c r="L238" i="31"/>
  <c r="J238" i="31"/>
  <c r="H238" i="31"/>
  <c r="L237" i="31"/>
  <c r="H237" i="31"/>
  <c r="M233" i="31"/>
  <c r="L233" i="31"/>
  <c r="J233" i="31"/>
  <c r="H233" i="31"/>
  <c r="M232" i="31"/>
  <c r="L232" i="31"/>
  <c r="J232" i="31"/>
  <c r="H232" i="31"/>
  <c r="M231" i="31"/>
  <c r="L231" i="31"/>
  <c r="J231" i="31"/>
  <c r="H231" i="31"/>
  <c r="M227" i="31"/>
  <c r="L227" i="31"/>
  <c r="J227" i="31"/>
  <c r="H227" i="31"/>
  <c r="M226" i="31"/>
  <c r="L226" i="31"/>
  <c r="J226" i="31"/>
  <c r="H226" i="31"/>
  <c r="M225" i="31"/>
  <c r="L225" i="31"/>
  <c r="J225" i="31"/>
  <c r="H225" i="31"/>
  <c r="M224" i="31"/>
  <c r="L224" i="31"/>
  <c r="J224" i="31"/>
  <c r="H224" i="31"/>
  <c r="M220" i="31"/>
  <c r="L220" i="31"/>
  <c r="J220" i="31"/>
  <c r="H220" i="31"/>
  <c r="M219" i="31"/>
  <c r="L219" i="31"/>
  <c r="J219" i="31"/>
  <c r="H219" i="31"/>
  <c r="M215" i="31"/>
  <c r="L215" i="31"/>
  <c r="J215" i="31"/>
  <c r="H215" i="31"/>
  <c r="M214" i="31"/>
  <c r="L214" i="31"/>
  <c r="J214" i="31"/>
  <c r="H214" i="31"/>
  <c r="M213" i="31"/>
  <c r="L213" i="31"/>
  <c r="J213" i="31"/>
  <c r="H213" i="31"/>
  <c r="M212" i="31"/>
  <c r="L212" i="31"/>
  <c r="J212" i="31"/>
  <c r="H212" i="31"/>
  <c r="M208" i="31"/>
  <c r="L208" i="31"/>
  <c r="J208" i="31"/>
  <c r="H208" i="31"/>
  <c r="M207" i="31"/>
  <c r="L207" i="31"/>
  <c r="J207" i="31"/>
  <c r="H207" i="31"/>
  <c r="M206" i="31"/>
  <c r="L206" i="31"/>
  <c r="J206" i="31"/>
  <c r="H206" i="31"/>
  <c r="M205" i="31"/>
  <c r="L205" i="31"/>
  <c r="J205" i="31"/>
  <c r="H205" i="31"/>
  <c r="M204" i="31"/>
  <c r="L204" i="31"/>
  <c r="J204" i="31"/>
  <c r="H204" i="31"/>
  <c r="M203" i="31"/>
  <c r="L203" i="31"/>
  <c r="J203" i="31"/>
  <c r="H203" i="31"/>
  <c r="M199" i="31"/>
  <c r="L199" i="31"/>
  <c r="J199" i="31"/>
  <c r="H199" i="31"/>
  <c r="M198" i="31"/>
  <c r="L198" i="31"/>
  <c r="J198" i="31"/>
  <c r="H198" i="31"/>
  <c r="M197" i="31"/>
  <c r="L197" i="31"/>
  <c r="J197" i="31"/>
  <c r="H197" i="31"/>
  <c r="M196" i="31"/>
  <c r="L196" i="31"/>
  <c r="J196" i="31"/>
  <c r="H196" i="31"/>
  <c r="M192" i="31"/>
  <c r="L192" i="31"/>
  <c r="L193" i="31" s="1"/>
  <c r="J192" i="31"/>
  <c r="J193" i="31" s="1"/>
  <c r="H192" i="31"/>
  <c r="H193" i="31" s="1"/>
  <c r="M188" i="31"/>
  <c r="L188" i="31"/>
  <c r="J188" i="31"/>
  <c r="H188" i="31"/>
  <c r="M187" i="31"/>
  <c r="L187" i="31"/>
  <c r="J187" i="31"/>
  <c r="H187" i="31"/>
  <c r="M183" i="31"/>
  <c r="L183" i="31"/>
  <c r="J183" i="31"/>
  <c r="H183" i="31"/>
  <c r="M182" i="31"/>
  <c r="L182" i="31"/>
  <c r="J182" i="31"/>
  <c r="H182" i="31"/>
  <c r="M181" i="31"/>
  <c r="L181" i="31"/>
  <c r="J181" i="31"/>
  <c r="H181" i="31"/>
  <c r="M180" i="31"/>
  <c r="L180" i="31"/>
  <c r="J180" i="31"/>
  <c r="H180" i="31"/>
  <c r="M176" i="31"/>
  <c r="L176" i="31"/>
  <c r="J176" i="31"/>
  <c r="H176" i="31"/>
  <c r="M175" i="31"/>
  <c r="L175" i="31"/>
  <c r="J175" i="31"/>
  <c r="H175" i="31"/>
  <c r="M174" i="31"/>
  <c r="L174" i="31"/>
  <c r="J174" i="31"/>
  <c r="H174" i="31"/>
  <c r="M173" i="31"/>
  <c r="L173" i="31"/>
  <c r="J173" i="31"/>
  <c r="H173" i="31"/>
  <c r="M172" i="31"/>
  <c r="L172" i="31"/>
  <c r="J172" i="31"/>
  <c r="H172" i="31"/>
  <c r="M171" i="31"/>
  <c r="L171" i="31"/>
  <c r="J171" i="31"/>
  <c r="H171" i="31"/>
  <c r="M170" i="31"/>
  <c r="L170" i="31"/>
  <c r="J170" i="31"/>
  <c r="H170" i="31"/>
  <c r="M166" i="31"/>
  <c r="L166" i="31"/>
  <c r="J166" i="31"/>
  <c r="H166" i="31"/>
  <c r="M165" i="31"/>
  <c r="L165" i="31"/>
  <c r="J165" i="31"/>
  <c r="H165" i="31"/>
  <c r="M164" i="31"/>
  <c r="L164" i="31"/>
  <c r="J164" i="31"/>
  <c r="H164" i="31"/>
  <c r="M163" i="31"/>
  <c r="L163" i="31"/>
  <c r="J163" i="31"/>
  <c r="H163" i="31"/>
  <c r="M159" i="31"/>
  <c r="L159" i="31"/>
  <c r="J159" i="31"/>
  <c r="H159" i="31"/>
  <c r="M158" i="31"/>
  <c r="L158" i="31"/>
  <c r="J158" i="31"/>
  <c r="H158" i="31"/>
  <c r="M157" i="31"/>
  <c r="L157" i="31"/>
  <c r="J157" i="31"/>
  <c r="H157" i="31"/>
  <c r="M156" i="31"/>
  <c r="L156" i="31"/>
  <c r="J156" i="31"/>
  <c r="H156" i="31"/>
  <c r="M152" i="31"/>
  <c r="L152" i="31"/>
  <c r="J152" i="31"/>
  <c r="H152" i="31"/>
  <c r="M151" i="31"/>
  <c r="L151" i="31"/>
  <c r="J151" i="31"/>
  <c r="H151" i="31"/>
  <c r="M150" i="31"/>
  <c r="L150" i="31"/>
  <c r="J150" i="31"/>
  <c r="H150" i="31"/>
  <c r="M149" i="31"/>
  <c r="L149" i="31"/>
  <c r="J149" i="31"/>
  <c r="H149" i="31"/>
  <c r="M148" i="31"/>
  <c r="L148" i="31"/>
  <c r="J148" i="31"/>
  <c r="H148" i="31"/>
  <c r="M144" i="31"/>
  <c r="L144" i="31"/>
  <c r="J144" i="31"/>
  <c r="H144" i="31"/>
  <c r="M143" i="31"/>
  <c r="L143" i="31"/>
  <c r="J143" i="31"/>
  <c r="H143" i="31"/>
  <c r="M142" i="31"/>
  <c r="L142" i="31"/>
  <c r="J142" i="31"/>
  <c r="H142" i="31"/>
  <c r="M141" i="31"/>
  <c r="L141" i="31"/>
  <c r="J141" i="31"/>
  <c r="H141" i="31"/>
  <c r="M140" i="31"/>
  <c r="L140" i="31"/>
  <c r="J140" i="31"/>
  <c r="H140" i="31"/>
  <c r="M139" i="31"/>
  <c r="L139" i="31"/>
  <c r="J139" i="31"/>
  <c r="H139" i="31"/>
  <c r="M138" i="31"/>
  <c r="L138" i="31"/>
  <c r="J138" i="31"/>
  <c r="H138" i="31"/>
  <c r="M134" i="31"/>
  <c r="L134" i="31"/>
  <c r="J134" i="31"/>
  <c r="H134" i="31"/>
  <c r="M133" i="31"/>
  <c r="L133" i="31"/>
  <c r="J133" i="31"/>
  <c r="H133" i="31"/>
  <c r="M132" i="31"/>
  <c r="L132" i="31"/>
  <c r="J132" i="31"/>
  <c r="H132" i="31"/>
  <c r="M131" i="31"/>
  <c r="L131" i="31"/>
  <c r="J131" i="31"/>
  <c r="H131" i="31"/>
  <c r="M127" i="31"/>
  <c r="L127" i="31"/>
  <c r="J127" i="31"/>
  <c r="H127" i="31"/>
  <c r="M126" i="31"/>
  <c r="L126" i="31"/>
  <c r="J126" i="31"/>
  <c r="H126" i="31"/>
  <c r="M125" i="31"/>
  <c r="L125" i="31"/>
  <c r="J125" i="31"/>
  <c r="H125" i="31"/>
  <c r="M124" i="31"/>
  <c r="L124" i="31"/>
  <c r="J124" i="31"/>
  <c r="H124" i="31"/>
  <c r="M120" i="31"/>
  <c r="L120" i="31"/>
  <c r="J120" i="31"/>
  <c r="H120" i="31"/>
  <c r="M119" i="31"/>
  <c r="L119" i="31"/>
  <c r="J119" i="31"/>
  <c r="H119" i="31"/>
  <c r="M115" i="31"/>
  <c r="L115" i="31"/>
  <c r="J115" i="31"/>
  <c r="H115" i="31"/>
  <c r="M114" i="31"/>
  <c r="L114" i="31"/>
  <c r="J114" i="31"/>
  <c r="H114" i="31"/>
  <c r="M113" i="31"/>
  <c r="L113" i="31"/>
  <c r="J113" i="31"/>
  <c r="H113" i="31"/>
  <c r="M112" i="31"/>
  <c r="L112" i="31"/>
  <c r="J112" i="31"/>
  <c r="H112" i="31"/>
  <c r="M108" i="31"/>
  <c r="L108" i="31"/>
  <c r="J108" i="31"/>
  <c r="H108" i="31"/>
  <c r="M107" i="31"/>
  <c r="L107" i="31"/>
  <c r="J107" i="31"/>
  <c r="H107" i="31"/>
  <c r="M106" i="31"/>
  <c r="L106" i="31"/>
  <c r="J106" i="31"/>
  <c r="H106" i="31"/>
  <c r="H109" i="31" s="1"/>
  <c r="M102" i="31"/>
  <c r="L102" i="31"/>
  <c r="J102" i="31"/>
  <c r="H102" i="31"/>
  <c r="M101" i="31"/>
  <c r="L101" i="31"/>
  <c r="J101" i="31"/>
  <c r="H101" i="31"/>
  <c r="M97" i="31"/>
  <c r="L97" i="31"/>
  <c r="J97" i="31"/>
  <c r="H97" i="31"/>
  <c r="M96" i="31"/>
  <c r="L96" i="31"/>
  <c r="J96" i="31"/>
  <c r="H96" i="31"/>
  <c r="M95" i="31"/>
  <c r="L95" i="31"/>
  <c r="J95" i="31"/>
  <c r="H95" i="31"/>
  <c r="M94" i="31"/>
  <c r="L94" i="31"/>
  <c r="J94" i="31"/>
  <c r="H94" i="31"/>
  <c r="M90" i="31"/>
  <c r="L90" i="31"/>
  <c r="J90" i="31"/>
  <c r="H90" i="31"/>
  <c r="M89" i="31"/>
  <c r="L89" i="31"/>
  <c r="J89" i="31"/>
  <c r="H89" i="31"/>
  <c r="M88" i="31"/>
  <c r="L88" i="31"/>
  <c r="J88" i="31"/>
  <c r="H88" i="31"/>
  <c r="M87" i="31"/>
  <c r="L87" i="31"/>
  <c r="J87" i="31"/>
  <c r="H87" i="31"/>
  <c r="M86" i="31"/>
  <c r="L86" i="31"/>
  <c r="J86" i="31"/>
  <c r="H86" i="31"/>
  <c r="M85" i="31"/>
  <c r="L85" i="31"/>
  <c r="J85" i="31"/>
  <c r="H85" i="31"/>
  <c r="M84" i="31"/>
  <c r="L84" i="31"/>
  <c r="J84" i="31"/>
  <c r="H84" i="31"/>
  <c r="M83" i="31"/>
  <c r="L83" i="31"/>
  <c r="J83" i="31"/>
  <c r="H83" i="31"/>
  <c r="M82" i="31"/>
  <c r="L82" i="31"/>
  <c r="J82" i="31"/>
  <c r="H82" i="31"/>
  <c r="M81" i="31"/>
  <c r="L81" i="31"/>
  <c r="J81" i="31"/>
  <c r="H81" i="31"/>
  <c r="M80" i="31"/>
  <c r="L80" i="31"/>
  <c r="J80" i="31"/>
  <c r="H80" i="31"/>
  <c r="M79" i="31"/>
  <c r="L79" i="31"/>
  <c r="J79" i="31"/>
  <c r="H79" i="31"/>
  <c r="M75" i="31"/>
  <c r="L75" i="31"/>
  <c r="J75" i="31"/>
  <c r="H75" i="31"/>
  <c r="M74" i="31"/>
  <c r="L74" i="31"/>
  <c r="J74" i="31"/>
  <c r="H74" i="31"/>
  <c r="M73" i="31"/>
  <c r="L73" i="31"/>
  <c r="J73" i="31"/>
  <c r="H73" i="31"/>
  <c r="M69" i="31"/>
  <c r="L69" i="31"/>
  <c r="J69" i="31"/>
  <c r="H69" i="31"/>
  <c r="M68" i="31"/>
  <c r="L68" i="31"/>
  <c r="J68" i="31"/>
  <c r="H68" i="31"/>
  <c r="M67" i="31"/>
  <c r="L67" i="31"/>
  <c r="J67" i="31"/>
  <c r="H67" i="31"/>
  <c r="M63" i="31"/>
  <c r="L63" i="31"/>
  <c r="J63" i="31"/>
  <c r="H63" i="31"/>
  <c r="M62" i="31"/>
  <c r="L62" i="31"/>
  <c r="J62" i="31"/>
  <c r="H62" i="31"/>
  <c r="M61" i="31"/>
  <c r="L61" i="31"/>
  <c r="J61" i="31"/>
  <c r="H61" i="31"/>
  <c r="M60" i="31"/>
  <c r="L60" i="31"/>
  <c r="J60" i="31"/>
  <c r="H60" i="31"/>
  <c r="M59" i="31"/>
  <c r="L59" i="31"/>
  <c r="J59" i="31"/>
  <c r="H59" i="31"/>
  <c r="M58" i="31"/>
  <c r="L58" i="31"/>
  <c r="J58" i="31"/>
  <c r="H58" i="31"/>
  <c r="M54" i="31"/>
  <c r="L54" i="31"/>
  <c r="J54" i="31"/>
  <c r="H54" i="31"/>
  <c r="M53" i="31"/>
  <c r="L53" i="31"/>
  <c r="J53" i="31"/>
  <c r="H53" i="31"/>
  <c r="M52" i="31"/>
  <c r="L52" i="31"/>
  <c r="J52" i="31"/>
  <c r="H52" i="31"/>
  <c r="M51" i="31"/>
  <c r="L51" i="31"/>
  <c r="J51" i="31"/>
  <c r="H51" i="31"/>
  <c r="M47" i="31"/>
  <c r="L47" i="31"/>
  <c r="J47" i="31"/>
  <c r="H47" i="31"/>
  <c r="M46" i="31"/>
  <c r="L46" i="31"/>
  <c r="J46" i="31"/>
  <c r="H46" i="31"/>
  <c r="M45" i="31"/>
  <c r="L45" i="31"/>
  <c r="J45" i="31"/>
  <c r="H45" i="31"/>
  <c r="M41" i="31"/>
  <c r="L41" i="31"/>
  <c r="J41" i="31"/>
  <c r="H41" i="31"/>
  <c r="M40" i="31"/>
  <c r="L40" i="31"/>
  <c r="J40" i="31"/>
  <c r="H40" i="31"/>
  <c r="M39" i="31"/>
  <c r="L39" i="31"/>
  <c r="J39" i="31"/>
  <c r="H39" i="31"/>
  <c r="M38" i="31"/>
  <c r="L38" i="31"/>
  <c r="J38" i="31"/>
  <c r="H38" i="31"/>
  <c r="M34" i="31"/>
  <c r="L34" i="31"/>
  <c r="J34" i="31"/>
  <c r="H34" i="31"/>
  <c r="M33" i="31"/>
  <c r="L33" i="31"/>
  <c r="J33" i="31"/>
  <c r="H33" i="31"/>
  <c r="M32" i="31"/>
  <c r="L32" i="31"/>
  <c r="J32" i="31"/>
  <c r="H32" i="31"/>
  <c r="M28" i="31"/>
  <c r="L28" i="31"/>
  <c r="L29" i="31" s="1"/>
  <c r="K23" i="31" s="1"/>
  <c r="L23" i="31" s="1"/>
  <c r="J28" i="31"/>
  <c r="J29" i="31" s="1"/>
  <c r="J23" i="31" s="1"/>
  <c r="H28" i="31"/>
  <c r="B27" i="31"/>
  <c r="B31" i="31" s="1"/>
  <c r="B37" i="31" s="1"/>
  <c r="M24" i="31"/>
  <c r="L24" i="31"/>
  <c r="J24" i="31"/>
  <c r="H24" i="31"/>
  <c r="N34" i="32" l="1"/>
  <c r="L76" i="32"/>
  <c r="L25" i="32"/>
  <c r="K6" i="32" s="1"/>
  <c r="L6" i="32" s="1"/>
  <c r="N32" i="32"/>
  <c r="H91" i="32"/>
  <c r="J263" i="32"/>
  <c r="J264" i="32" s="1"/>
  <c r="I17" i="32" s="1"/>
  <c r="J17" i="32" s="1"/>
  <c r="N126" i="32"/>
  <c r="N132" i="32"/>
  <c r="N63" i="32"/>
  <c r="N90" i="32"/>
  <c r="J252" i="32"/>
  <c r="I238" i="32" s="1"/>
  <c r="J238" i="32" s="1"/>
  <c r="N238" i="32" s="1"/>
  <c r="N152" i="32"/>
  <c r="H64" i="32"/>
  <c r="N94" i="32"/>
  <c r="N115" i="32"/>
  <c r="N127" i="32"/>
  <c r="N187" i="32"/>
  <c r="N150" i="32"/>
  <c r="L234" i="32"/>
  <c r="K13" i="32" s="1"/>
  <c r="L13" i="32" s="1"/>
  <c r="J173" i="32"/>
  <c r="M173" i="32"/>
  <c r="N33" i="32"/>
  <c r="N149" i="32"/>
  <c r="N182" i="32"/>
  <c r="N75" i="32"/>
  <c r="N81" i="32"/>
  <c r="N84" i="32"/>
  <c r="N227" i="32"/>
  <c r="J234" i="32"/>
  <c r="I13" i="32" s="1"/>
  <c r="J13" i="32" s="1"/>
  <c r="N263" i="32"/>
  <c r="N114" i="32"/>
  <c r="L121" i="32"/>
  <c r="N144" i="32"/>
  <c r="N225" i="32"/>
  <c r="N60" i="32"/>
  <c r="J121" i="32"/>
  <c r="N61" i="32"/>
  <c r="H264" i="32"/>
  <c r="L247" i="32"/>
  <c r="L42" i="32"/>
  <c r="K7" i="32" s="1"/>
  <c r="L7" i="32" s="1"/>
  <c r="H109" i="32"/>
  <c r="J23" i="32"/>
  <c r="L55" i="32"/>
  <c r="L64" i="32"/>
  <c r="J109" i="32"/>
  <c r="I82" i="32" s="1"/>
  <c r="J153" i="32"/>
  <c r="I138" i="32" s="1"/>
  <c r="J167" i="32"/>
  <c r="I140" i="32" s="1"/>
  <c r="N268" i="32"/>
  <c r="J64" i="32"/>
  <c r="I40" i="32" s="1"/>
  <c r="L109" i="32"/>
  <c r="L153" i="32"/>
  <c r="L228" i="32"/>
  <c r="N41" i="32"/>
  <c r="H76" i="32"/>
  <c r="N80" i="32"/>
  <c r="N68" i="32"/>
  <c r="J76" i="32"/>
  <c r="I67" i="32" s="1"/>
  <c r="N95" i="32"/>
  <c r="N119" i="32"/>
  <c r="H153" i="32"/>
  <c r="N164" i="32"/>
  <c r="N28" i="31"/>
  <c r="N119" i="31"/>
  <c r="N171" i="31"/>
  <c r="J64" i="31"/>
  <c r="N244" i="31"/>
  <c r="J252" i="31"/>
  <c r="H29" i="31"/>
  <c r="N29" i="31" s="1"/>
  <c r="N41" i="31"/>
  <c r="N149" i="31"/>
  <c r="N173" i="31"/>
  <c r="N176" i="31"/>
  <c r="H209" i="31"/>
  <c r="H216" i="31"/>
  <c r="N224" i="31"/>
  <c r="N227" i="31"/>
  <c r="N63" i="31"/>
  <c r="N87" i="31"/>
  <c r="H252" i="31"/>
  <c r="N95" i="31"/>
  <c r="J221" i="31"/>
  <c r="H177" i="31"/>
  <c r="G11" i="31" s="1"/>
  <c r="H11" i="31" s="1"/>
  <c r="J177" i="31"/>
  <c r="I11" i="31" s="1"/>
  <c r="J11" i="31" s="1"/>
  <c r="N152" i="31"/>
  <c r="L177" i="31"/>
  <c r="K11" i="31" s="1"/>
  <c r="L11" i="31" s="1"/>
  <c r="N114" i="31"/>
  <c r="N40" i="31"/>
  <c r="J121" i="31"/>
  <c r="H153" i="31"/>
  <c r="J35" i="31"/>
  <c r="N46" i="31"/>
  <c r="N58" i="31"/>
  <c r="N61" i="31"/>
  <c r="L121" i="31"/>
  <c r="J153" i="31"/>
  <c r="N138" i="31"/>
  <c r="N182" i="31"/>
  <c r="O23" i="31"/>
  <c r="L98" i="31"/>
  <c r="J116" i="31"/>
  <c r="N115" i="31"/>
  <c r="J216" i="31"/>
  <c r="J228" i="31"/>
  <c r="N68" i="31"/>
  <c r="N80" i="31"/>
  <c r="N86" i="31"/>
  <c r="L109" i="31"/>
  <c r="L116" i="31"/>
  <c r="H128" i="31"/>
  <c r="N127" i="31"/>
  <c r="N139" i="31"/>
  <c r="N142" i="31"/>
  <c r="N148" i="31"/>
  <c r="L209" i="31"/>
  <c r="K12" i="31" s="1"/>
  <c r="L12" i="31" s="1"/>
  <c r="L228" i="31"/>
  <c r="J76" i="31"/>
  <c r="N89" i="31"/>
  <c r="N174" i="31"/>
  <c r="L64" i="31"/>
  <c r="N198" i="31"/>
  <c r="N204" i="31"/>
  <c r="N207" i="31"/>
  <c r="L103" i="31"/>
  <c r="N187" i="31"/>
  <c r="L241" i="31"/>
  <c r="K14" i="31" s="1"/>
  <c r="L14" i="31" s="1"/>
  <c r="L42" i="31"/>
  <c r="K7" i="31" s="1"/>
  <c r="L7" i="31" s="1"/>
  <c r="N60" i="31"/>
  <c r="N90" i="31"/>
  <c r="L247" i="31"/>
  <c r="N256" i="31"/>
  <c r="N84" i="31"/>
  <c r="L153" i="31"/>
  <c r="N232" i="31"/>
  <c r="N238" i="31"/>
  <c r="N29" i="32"/>
  <c r="B44" i="31"/>
  <c r="B50" i="31" s="1"/>
  <c r="O7" i="31"/>
  <c r="N263" i="31"/>
  <c r="N193" i="32"/>
  <c r="N53" i="31"/>
  <c r="N59" i="31"/>
  <c r="H135" i="31"/>
  <c r="N134" i="31"/>
  <c r="J189" i="31"/>
  <c r="H228" i="31"/>
  <c r="J234" i="31"/>
  <c r="I13" i="31" s="1"/>
  <c r="J13" i="31" s="1"/>
  <c r="N268" i="31"/>
  <c r="N28" i="32"/>
  <c r="L48" i="32"/>
  <c r="N62" i="32"/>
  <c r="N151" i="32"/>
  <c r="N156" i="32"/>
  <c r="N159" i="32"/>
  <c r="J189" i="32"/>
  <c r="J200" i="32"/>
  <c r="I174" i="32" s="1"/>
  <c r="N214" i="32"/>
  <c r="J221" i="32"/>
  <c r="N226" i="32"/>
  <c r="N67" i="31"/>
  <c r="J128" i="31"/>
  <c r="N143" i="31"/>
  <c r="N245" i="31"/>
  <c r="H35" i="32"/>
  <c r="N73" i="32"/>
  <c r="N125" i="32"/>
  <c r="N131" i="32"/>
  <c r="N134" i="32"/>
  <c r="N165" i="32"/>
  <c r="L189" i="32"/>
  <c r="L200" i="32"/>
  <c r="N256" i="32"/>
  <c r="N144" i="31"/>
  <c r="N193" i="31"/>
  <c r="J48" i="31"/>
  <c r="N62" i="31"/>
  <c r="J135" i="31"/>
  <c r="N140" i="31"/>
  <c r="L189" i="31"/>
  <c r="L234" i="31"/>
  <c r="K13" i="31" s="1"/>
  <c r="L13" i="31" s="1"/>
  <c r="G15" i="31"/>
  <c r="M15" i="31" s="1"/>
  <c r="L48" i="31"/>
  <c r="N73" i="31"/>
  <c r="N82" i="31"/>
  <c r="N96" i="31"/>
  <c r="N102" i="31"/>
  <c r="N108" i="31"/>
  <c r="L128" i="31"/>
  <c r="L135" i="31"/>
  <c r="N157" i="31"/>
  <c r="N180" i="31"/>
  <c r="N183" i="31"/>
  <c r="N220" i="31"/>
  <c r="O23" i="32"/>
  <c r="J35" i="32"/>
  <c r="I24" i="32" s="1"/>
  <c r="N45" i="32"/>
  <c r="H55" i="32"/>
  <c r="N54" i="32"/>
  <c r="N85" i="32"/>
  <c r="N96" i="32"/>
  <c r="N102" i="32"/>
  <c r="N108" i="32"/>
  <c r="J128" i="32"/>
  <c r="I86" i="32" s="1"/>
  <c r="J135" i="32"/>
  <c r="I87" i="32" s="1"/>
  <c r="N143" i="32"/>
  <c r="H184" i="32"/>
  <c r="N183" i="32"/>
  <c r="N232" i="32"/>
  <c r="N244" i="32"/>
  <c r="H247" i="32"/>
  <c r="N33" i="31"/>
  <c r="N39" i="31"/>
  <c r="L70" i="31"/>
  <c r="K8" i="31" s="1"/>
  <c r="L8" i="31" s="1"/>
  <c r="J184" i="31"/>
  <c r="N197" i="31"/>
  <c r="N206" i="31"/>
  <c r="N226" i="31"/>
  <c r="N231" i="31"/>
  <c r="N240" i="31"/>
  <c r="L35" i="32"/>
  <c r="J55" i="32"/>
  <c r="I39" i="32" s="1"/>
  <c r="L91" i="32"/>
  <c r="K9" i="32" s="1"/>
  <c r="L9" i="32" s="1"/>
  <c r="L128" i="32"/>
  <c r="L135" i="32"/>
  <c r="J184" i="32"/>
  <c r="I170" i="32" s="1"/>
  <c r="N197" i="32"/>
  <c r="N212" i="32"/>
  <c r="N215" i="32"/>
  <c r="N250" i="32"/>
  <c r="J42" i="31"/>
  <c r="I7" i="31" s="1"/>
  <c r="J7" i="31" s="1"/>
  <c r="N45" i="31"/>
  <c r="H55" i="31"/>
  <c r="N54" i="31"/>
  <c r="L76" i="31"/>
  <c r="N88" i="31"/>
  <c r="N126" i="31"/>
  <c r="N132" i="31"/>
  <c r="N166" i="31"/>
  <c r="N172" i="31"/>
  <c r="N175" i="31"/>
  <c r="N203" i="31"/>
  <c r="J209" i="31"/>
  <c r="I12" i="31" s="1"/>
  <c r="J12" i="31" s="1"/>
  <c r="N157" i="32"/>
  <c r="L177" i="32"/>
  <c r="K11" i="32" s="1"/>
  <c r="L11" i="32" s="1"/>
  <c r="L184" i="32"/>
  <c r="J216" i="32"/>
  <c r="I203" i="32" s="1"/>
  <c r="L241" i="32"/>
  <c r="K14" i="32" s="1"/>
  <c r="L14" i="32" s="1"/>
  <c r="L216" i="32"/>
  <c r="N83" i="31"/>
  <c r="N97" i="31"/>
  <c r="N112" i="31"/>
  <c r="N150" i="31"/>
  <c r="N164" i="31"/>
  <c r="H167" i="31"/>
  <c r="N181" i="31"/>
  <c r="N215" i="31"/>
  <c r="N46" i="32"/>
  <c r="N97" i="32"/>
  <c r="N172" i="32"/>
  <c r="N175" i="32"/>
  <c r="N181" i="32"/>
  <c r="N239" i="32"/>
  <c r="N245" i="32"/>
  <c r="N52" i="32"/>
  <c r="N89" i="32"/>
  <c r="N141" i="32"/>
  <c r="N166" i="32"/>
  <c r="N192" i="32"/>
  <c r="N198" i="32"/>
  <c r="N204" i="32"/>
  <c r="N207" i="32"/>
  <c r="N213" i="32"/>
  <c r="N224" i="32"/>
  <c r="N192" i="31"/>
  <c r="L209" i="32"/>
  <c r="K12" i="32" s="1"/>
  <c r="L12" i="32" s="1"/>
  <c r="N52" i="31"/>
  <c r="N264" i="31"/>
  <c r="L252" i="32"/>
  <c r="N163" i="32"/>
  <c r="L35" i="31"/>
  <c r="H247" i="31"/>
  <c r="L116" i="32"/>
  <c r="H167" i="32"/>
  <c r="J228" i="32"/>
  <c r="I206" i="32" s="1"/>
  <c r="J25" i="31"/>
  <c r="I6" i="31" s="1"/>
  <c r="J6" i="31" s="1"/>
  <c r="L55" i="31"/>
  <c r="H64" i="31"/>
  <c r="N69" i="31"/>
  <c r="N75" i="31"/>
  <c r="N81" i="31"/>
  <c r="N107" i="31"/>
  <c r="N113" i="31"/>
  <c r="N133" i="31"/>
  <c r="J145" i="31"/>
  <c r="I10" i="31" s="1"/>
  <c r="J10" i="31" s="1"/>
  <c r="N151" i="31"/>
  <c r="H160" i="31"/>
  <c r="N159" i="31"/>
  <c r="N165" i="31"/>
  <c r="N213" i="31"/>
  <c r="N250" i="31"/>
  <c r="N23" i="32"/>
  <c r="H48" i="32"/>
  <c r="N53" i="32"/>
  <c r="H103" i="32"/>
  <c r="N107" i="32"/>
  <c r="N142" i="32"/>
  <c r="H145" i="32"/>
  <c r="H177" i="32"/>
  <c r="G11" i="32" s="1"/>
  <c r="H11" i="32" s="1"/>
  <c r="N173" i="32"/>
  <c r="N176" i="32"/>
  <c r="N231" i="32"/>
  <c r="N240" i="32"/>
  <c r="N32" i="31"/>
  <c r="N38" i="31"/>
  <c r="J103" i="31"/>
  <c r="L145" i="31"/>
  <c r="K10" i="31" s="1"/>
  <c r="L10" i="31" s="1"/>
  <c r="N199" i="31"/>
  <c r="N205" i="31"/>
  <c r="N208" i="31"/>
  <c r="N225" i="31"/>
  <c r="N239" i="31"/>
  <c r="H42" i="32"/>
  <c r="G7" i="32" s="1"/>
  <c r="H7" i="32" s="1"/>
  <c r="J48" i="32"/>
  <c r="I38" i="32" s="1"/>
  <c r="N59" i="32"/>
  <c r="J103" i="32"/>
  <c r="N113" i="32"/>
  <c r="N133" i="32"/>
  <c r="N148" i="32"/>
  <c r="N196" i="32"/>
  <c r="N199" i="32"/>
  <c r="N205" i="32"/>
  <c r="N208" i="32"/>
  <c r="J247" i="32"/>
  <c r="I237" i="32" s="1"/>
  <c r="H252" i="32"/>
  <c r="L25" i="31"/>
  <c r="K6" i="31" s="1"/>
  <c r="L6" i="31" s="1"/>
  <c r="H25" i="32"/>
  <c r="J116" i="32"/>
  <c r="I83" i="32" s="1"/>
  <c r="N158" i="32"/>
  <c r="M15" i="32"/>
  <c r="N219" i="32"/>
  <c r="N251" i="32"/>
  <c r="N47" i="32"/>
  <c r="N112" i="32"/>
  <c r="H116" i="32"/>
  <c r="H15" i="32"/>
  <c r="N15" i="32" s="1"/>
  <c r="N76" i="32"/>
  <c r="G9" i="32"/>
  <c r="N220" i="32"/>
  <c r="H221" i="32"/>
  <c r="N58" i="32"/>
  <c r="L70" i="32"/>
  <c r="K8" i="32" s="1"/>
  <c r="L8" i="32" s="1"/>
  <c r="N106" i="32"/>
  <c r="N171" i="32"/>
  <c r="N188" i="32"/>
  <c r="H189" i="32"/>
  <c r="H234" i="32"/>
  <c r="N233" i="32"/>
  <c r="G10" i="32"/>
  <c r="N88" i="32"/>
  <c r="N120" i="32"/>
  <c r="H121" i="32"/>
  <c r="N121" i="32" s="1"/>
  <c r="N74" i="32"/>
  <c r="J98" i="32"/>
  <c r="I79" i="32" s="1"/>
  <c r="L145" i="32"/>
  <c r="K10" i="32" s="1"/>
  <c r="L10" i="32" s="1"/>
  <c r="L98" i="32"/>
  <c r="H241" i="32"/>
  <c r="N246" i="32"/>
  <c r="H209" i="32"/>
  <c r="H228" i="32"/>
  <c r="H128" i="32"/>
  <c r="J160" i="32"/>
  <c r="I139" i="32" s="1"/>
  <c r="N69" i="32"/>
  <c r="N101" i="32"/>
  <c r="L160" i="32"/>
  <c r="L167" i="32"/>
  <c r="N259" i="32"/>
  <c r="H260" i="32"/>
  <c r="O6" i="32"/>
  <c r="H135" i="32"/>
  <c r="B37" i="32"/>
  <c r="H216" i="32"/>
  <c r="H98" i="32"/>
  <c r="N267" i="32"/>
  <c r="N255" i="32"/>
  <c r="H70" i="32"/>
  <c r="N180" i="32"/>
  <c r="H160" i="32"/>
  <c r="H200" i="32"/>
  <c r="N51" i="32"/>
  <c r="N124" i="32"/>
  <c r="N24" i="31"/>
  <c r="N120" i="31"/>
  <c r="H121" i="31"/>
  <c r="N79" i="31"/>
  <c r="J91" i="31"/>
  <c r="I9" i="31" s="1"/>
  <c r="J9" i="31" s="1"/>
  <c r="L91" i="31"/>
  <c r="K9" i="31" s="1"/>
  <c r="L9" i="31" s="1"/>
  <c r="H91" i="31"/>
  <c r="J160" i="31"/>
  <c r="L216" i="31"/>
  <c r="L160" i="31"/>
  <c r="H200" i="31"/>
  <c r="H234" i="31"/>
  <c r="N233" i="31"/>
  <c r="J70" i="31"/>
  <c r="I8" i="31" s="1"/>
  <c r="J8" i="31" s="1"/>
  <c r="N74" i="31"/>
  <c r="H76" i="31"/>
  <c r="J200" i="31"/>
  <c r="N34" i="31"/>
  <c r="H35" i="31"/>
  <c r="J167" i="31"/>
  <c r="N163" i="31"/>
  <c r="N219" i="31"/>
  <c r="L221" i="31"/>
  <c r="H103" i="31"/>
  <c r="N101" i="31"/>
  <c r="G17" i="31"/>
  <c r="J55" i="31"/>
  <c r="H42" i="31"/>
  <c r="N85" i="31"/>
  <c r="L200" i="31"/>
  <c r="J109" i="31"/>
  <c r="N106" i="31"/>
  <c r="H48" i="31"/>
  <c r="N47" i="31"/>
  <c r="L167" i="31"/>
  <c r="J98" i="31"/>
  <c r="L184" i="31"/>
  <c r="N246" i="31"/>
  <c r="J247" i="31"/>
  <c r="N141" i="31"/>
  <c r="L252" i="31"/>
  <c r="N252" i="31" s="1"/>
  <c r="N251" i="31"/>
  <c r="H98" i="31"/>
  <c r="N125" i="31"/>
  <c r="N158" i="31"/>
  <c r="N188" i="31"/>
  <c r="H189" i="31"/>
  <c r="N214" i="31"/>
  <c r="H241" i="31"/>
  <c r="N260" i="31"/>
  <c r="G16" i="31"/>
  <c r="N259" i="31"/>
  <c r="N131" i="31"/>
  <c r="H221" i="31"/>
  <c r="N94" i="31"/>
  <c r="N267" i="31"/>
  <c r="H70" i="31"/>
  <c r="H116" i="31"/>
  <c r="H184" i="31"/>
  <c r="N156" i="31"/>
  <c r="N196" i="31"/>
  <c r="N170" i="31"/>
  <c r="N255" i="31"/>
  <c r="H145" i="31"/>
  <c r="N212" i="31"/>
  <c r="N51" i="31"/>
  <c r="O24" i="31"/>
  <c r="O6" i="31"/>
  <c r="N124" i="31"/>
  <c r="N48" i="32" l="1"/>
  <c r="N109" i="32"/>
  <c r="N264" i="32"/>
  <c r="N167" i="32"/>
  <c r="N221" i="32"/>
  <c r="N128" i="32"/>
  <c r="M238" i="32"/>
  <c r="N135" i="32"/>
  <c r="N252" i="32"/>
  <c r="N153" i="32"/>
  <c r="G17" i="32"/>
  <c r="M17" i="32" s="1"/>
  <c r="N64" i="32"/>
  <c r="N200" i="32"/>
  <c r="N247" i="32"/>
  <c r="N103" i="32"/>
  <c r="J39" i="32"/>
  <c r="N39" i="32" s="1"/>
  <c r="M39" i="32"/>
  <c r="J40" i="32"/>
  <c r="N40" i="32" s="1"/>
  <c r="M40" i="32"/>
  <c r="M138" i="32"/>
  <c r="J138" i="32"/>
  <c r="J79" i="32"/>
  <c r="M79" i="32"/>
  <c r="M82" i="32"/>
  <c r="J82" i="32"/>
  <c r="N82" i="32" s="1"/>
  <c r="M140" i="32"/>
  <c r="J140" i="32"/>
  <c r="N140" i="32" s="1"/>
  <c r="N189" i="32"/>
  <c r="M203" i="32"/>
  <c r="J203" i="32"/>
  <c r="J170" i="32"/>
  <c r="M170" i="32"/>
  <c r="J24" i="32"/>
  <c r="M24" i="32"/>
  <c r="M139" i="32"/>
  <c r="J139" i="32"/>
  <c r="N139" i="32" s="1"/>
  <c r="N216" i="32"/>
  <c r="J38" i="32"/>
  <c r="M38" i="32"/>
  <c r="J87" i="32"/>
  <c r="N87" i="32" s="1"/>
  <c r="M87" i="32"/>
  <c r="M67" i="32"/>
  <c r="J67" i="32"/>
  <c r="J83" i="32"/>
  <c r="N83" i="32" s="1"/>
  <c r="M83" i="32"/>
  <c r="J86" i="32"/>
  <c r="N86" i="32" s="1"/>
  <c r="M86" i="32"/>
  <c r="M206" i="32"/>
  <c r="J206" i="32"/>
  <c r="N206" i="32" s="1"/>
  <c r="M237" i="32"/>
  <c r="J237" i="32"/>
  <c r="M174" i="32"/>
  <c r="J174" i="32"/>
  <c r="N174" i="32" s="1"/>
  <c r="N11" i="31"/>
  <c r="N209" i="31"/>
  <c r="G12" i="31"/>
  <c r="N55" i="31"/>
  <c r="G23" i="31"/>
  <c r="L5" i="31"/>
  <c r="Z19" i="29" s="1"/>
  <c r="M11" i="31"/>
  <c r="H15" i="31"/>
  <c r="N15" i="31" s="1"/>
  <c r="N189" i="31"/>
  <c r="N177" i="31"/>
  <c r="N153" i="31"/>
  <c r="N135" i="31"/>
  <c r="N184" i="31"/>
  <c r="N121" i="31"/>
  <c r="N116" i="31"/>
  <c r="N247" i="31"/>
  <c r="O38" i="31"/>
  <c r="N48" i="31"/>
  <c r="N167" i="31"/>
  <c r="N35" i="31"/>
  <c r="N216" i="31"/>
  <c r="N109" i="31"/>
  <c r="N128" i="31"/>
  <c r="N64" i="31"/>
  <c r="N228" i="31"/>
  <c r="L5" i="32"/>
  <c r="Z18" i="29" s="1"/>
  <c r="N228" i="32"/>
  <c r="N35" i="32"/>
  <c r="N160" i="31"/>
  <c r="H23" i="31"/>
  <c r="M23" i="31"/>
  <c r="N55" i="32"/>
  <c r="N184" i="32"/>
  <c r="N76" i="31"/>
  <c r="N221" i="31"/>
  <c r="N103" i="31"/>
  <c r="G8" i="32"/>
  <c r="G14" i="32"/>
  <c r="H9" i="32"/>
  <c r="N160" i="32"/>
  <c r="G13" i="32"/>
  <c r="N234" i="32"/>
  <c r="N116" i="32"/>
  <c r="G6" i="32"/>
  <c r="G16" i="32"/>
  <c r="N260" i="32"/>
  <c r="B44" i="32"/>
  <c r="O7" i="32"/>
  <c r="G12" i="32"/>
  <c r="H10" i="32"/>
  <c r="N98" i="32"/>
  <c r="M16" i="31"/>
  <c r="H16" i="31"/>
  <c r="N16" i="31" s="1"/>
  <c r="M17" i="31"/>
  <c r="H17" i="31"/>
  <c r="N17" i="31" s="1"/>
  <c r="G9" i="31"/>
  <c r="N91" i="31"/>
  <c r="N98" i="31"/>
  <c r="H12" i="31"/>
  <c r="N12" i="31" s="1"/>
  <c r="M12" i="31"/>
  <c r="G13" i="31"/>
  <c r="N234" i="31"/>
  <c r="G14" i="31"/>
  <c r="N145" i="31"/>
  <c r="G10" i="31"/>
  <c r="N200" i="31"/>
  <c r="O39" i="31"/>
  <c r="B57" i="31"/>
  <c r="N70" i="31"/>
  <c r="G8" i="31"/>
  <c r="N42" i="31"/>
  <c r="G7" i="31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17" i="8"/>
  <c r="H17" i="32" l="1"/>
  <c r="N17" i="32" s="1"/>
  <c r="N79" i="32"/>
  <c r="J91" i="32"/>
  <c r="J209" i="32"/>
  <c r="N203" i="32"/>
  <c r="N138" i="32"/>
  <c r="J145" i="32"/>
  <c r="J177" i="32"/>
  <c r="N170" i="32"/>
  <c r="J42" i="32"/>
  <c r="N38" i="32"/>
  <c r="N24" i="32"/>
  <c r="J25" i="32"/>
  <c r="J70" i="32"/>
  <c r="N67" i="32"/>
  <c r="N237" i="32"/>
  <c r="J241" i="32"/>
  <c r="N23" i="31"/>
  <c r="H25" i="31"/>
  <c r="M16" i="32"/>
  <c r="H16" i="32"/>
  <c r="N16" i="32" s="1"/>
  <c r="H13" i="32"/>
  <c r="N13" i="32" s="1"/>
  <c r="M13" i="32"/>
  <c r="H14" i="32"/>
  <c r="H6" i="32"/>
  <c r="H8" i="32"/>
  <c r="O38" i="32"/>
  <c r="B50" i="32"/>
  <c r="H12" i="32"/>
  <c r="H9" i="31"/>
  <c r="N9" i="31" s="1"/>
  <c r="M9" i="31"/>
  <c r="M8" i="31"/>
  <c r="H8" i="31"/>
  <c r="N8" i="31" s="1"/>
  <c r="H14" i="31"/>
  <c r="H13" i="31"/>
  <c r="N13" i="31" s="1"/>
  <c r="M13" i="31"/>
  <c r="M10" i="31"/>
  <c r="H10" i="31"/>
  <c r="N10" i="31" s="1"/>
  <c r="B66" i="31"/>
  <c r="O40" i="31"/>
  <c r="M7" i="31"/>
  <c r="H7" i="31"/>
  <c r="N7" i="31" s="1"/>
  <c r="I11" i="32" l="1"/>
  <c r="N177" i="32"/>
  <c r="I10" i="32"/>
  <c r="N145" i="32"/>
  <c r="I14" i="32"/>
  <c r="N241" i="32"/>
  <c r="I12" i="32"/>
  <c r="N209" i="32"/>
  <c r="I6" i="32"/>
  <c r="N25" i="32"/>
  <c r="I9" i="32"/>
  <c r="N91" i="32"/>
  <c r="I7" i="32"/>
  <c r="N42" i="32"/>
  <c r="I8" i="32"/>
  <c r="N70" i="32"/>
  <c r="N25" i="31"/>
  <c r="G6" i="31"/>
  <c r="O39" i="32"/>
  <c r="B57" i="32"/>
  <c r="H5" i="32"/>
  <c r="O8" i="31"/>
  <c r="B72" i="31"/>
  <c r="J12" i="32" l="1"/>
  <c r="N12" i="32" s="1"/>
  <c r="M12" i="32"/>
  <c r="J9" i="32"/>
  <c r="N9" i="32" s="1"/>
  <c r="M9" i="32"/>
  <c r="J6" i="32"/>
  <c r="M6" i="32"/>
  <c r="J8" i="32"/>
  <c r="N8" i="32" s="1"/>
  <c r="M8" i="32"/>
  <c r="J10" i="32"/>
  <c r="N10" i="32" s="1"/>
  <c r="M10" i="32"/>
  <c r="J14" i="32"/>
  <c r="N14" i="32" s="1"/>
  <c r="M14" i="32"/>
  <c r="J7" i="32"/>
  <c r="N7" i="32" s="1"/>
  <c r="M7" i="32"/>
  <c r="J11" i="32"/>
  <c r="N11" i="32" s="1"/>
  <c r="M11" i="32"/>
  <c r="P18" i="29"/>
  <c r="H6" i="31"/>
  <c r="M6" i="31"/>
  <c r="B66" i="32"/>
  <c r="O40" i="32"/>
  <c r="O67" i="31"/>
  <c r="B78" i="31"/>
  <c r="D10" i="24"/>
  <c r="I147" i="15"/>
  <c r="I143" i="15" s="1"/>
  <c r="I141" i="15"/>
  <c r="I137" i="15"/>
  <c r="I135" i="15"/>
  <c r="I131" i="15" s="1"/>
  <c r="I129" i="15"/>
  <c r="I125" i="15" s="1"/>
  <c r="I123" i="15"/>
  <c r="I119" i="15" s="1"/>
  <c r="I117" i="15"/>
  <c r="I113" i="15" s="1"/>
  <c r="I111" i="15"/>
  <c r="I107" i="15" s="1"/>
  <c r="J5" i="32" l="1"/>
  <c r="N6" i="32"/>
  <c r="H5" i="31"/>
  <c r="N6" i="31"/>
  <c r="O8" i="32"/>
  <c r="B72" i="32"/>
  <c r="B93" i="31"/>
  <c r="O9" i="31"/>
  <c r="H105" i="15"/>
  <c r="I105" i="15" s="1"/>
  <c r="I101" i="15" s="1"/>
  <c r="H99" i="15"/>
  <c r="I99" i="15" s="1"/>
  <c r="I95" i="15" s="1"/>
  <c r="H93" i="15"/>
  <c r="I93" i="15" s="1"/>
  <c r="I89" i="15" s="1"/>
  <c r="H87" i="15"/>
  <c r="I87" i="15" s="1"/>
  <c r="I83" i="15" s="1"/>
  <c r="H81" i="15"/>
  <c r="I81" i="15" s="1"/>
  <c r="I77" i="15" s="1"/>
  <c r="H75" i="15"/>
  <c r="I75" i="15" s="1"/>
  <c r="I71" i="15" s="1"/>
  <c r="H69" i="15"/>
  <c r="I69" i="15" s="1"/>
  <c r="I65" i="15" s="1"/>
  <c r="H63" i="15"/>
  <c r="I63" i="15" s="1"/>
  <c r="I59" i="15" s="1"/>
  <c r="H57" i="15"/>
  <c r="I57" i="15" s="1"/>
  <c r="I53" i="15" s="1"/>
  <c r="H51" i="15"/>
  <c r="I51" i="15" s="1"/>
  <c r="I47" i="15" s="1"/>
  <c r="H45" i="15"/>
  <c r="I45" i="15" s="1"/>
  <c r="I41" i="15" s="1"/>
  <c r="H39" i="15"/>
  <c r="I39" i="15" s="1"/>
  <c r="I35" i="15" s="1"/>
  <c r="H33" i="15"/>
  <c r="I33" i="15" s="1"/>
  <c r="I29" i="15" s="1"/>
  <c r="H27" i="15"/>
  <c r="I27" i="15" s="1"/>
  <c r="I23" i="15" s="1"/>
  <c r="H21" i="15"/>
  <c r="I21" i="15" s="1"/>
  <c r="I17" i="15" s="1"/>
  <c r="H15" i="15"/>
  <c r="I15" i="15" s="1"/>
  <c r="I11" i="15" s="1"/>
  <c r="H9" i="15"/>
  <c r="I9" i="15" s="1"/>
  <c r="I5" i="15" s="1"/>
  <c r="C59" i="28"/>
  <c r="B59" i="28"/>
  <c r="C58" i="28"/>
  <c r="B58" i="28"/>
  <c r="C57" i="28"/>
  <c r="B57" i="28"/>
  <c r="C56" i="28"/>
  <c r="B56" i="28"/>
  <c r="C55" i="28"/>
  <c r="B55" i="28"/>
  <c r="C54" i="28"/>
  <c r="B54" i="28"/>
  <c r="C53" i="28"/>
  <c r="B53" i="28"/>
  <c r="C52" i="28"/>
  <c r="B52" i="28"/>
  <c r="C51" i="28"/>
  <c r="B51" i="28"/>
  <c r="C50" i="28"/>
  <c r="B50" i="28"/>
  <c r="C49" i="28"/>
  <c r="B49" i="28"/>
  <c r="C48" i="28"/>
  <c r="B48" i="28"/>
  <c r="C47" i="28"/>
  <c r="B47" i="28"/>
  <c r="C46" i="28"/>
  <c r="B46" i="28"/>
  <c r="C45" i="28"/>
  <c r="B45" i="28"/>
  <c r="L44" i="28"/>
  <c r="C44" i="28"/>
  <c r="B44" i="28"/>
  <c r="C43" i="28"/>
  <c r="C42" i="28"/>
  <c r="C41" i="28"/>
  <c r="C40" i="28"/>
  <c r="C39" i="28"/>
  <c r="C38" i="28"/>
  <c r="C37" i="28"/>
  <c r="C36" i="28"/>
  <c r="C35" i="28"/>
  <c r="C34" i="28"/>
  <c r="C33" i="28"/>
  <c r="C32" i="28"/>
  <c r="C31" i="28"/>
  <c r="C30" i="28"/>
  <c r="C29" i="28"/>
  <c r="C28" i="28"/>
  <c r="C27" i="28"/>
  <c r="C26" i="28"/>
  <c r="C25" i="28"/>
  <c r="C24" i="28"/>
  <c r="C23" i="28"/>
  <c r="C22" i="28"/>
  <c r="C21" i="28"/>
  <c r="C20" i="28"/>
  <c r="C19" i="28"/>
  <c r="C18" i="28"/>
  <c r="C17" i="28"/>
  <c r="C16" i="28"/>
  <c r="C15" i="28"/>
  <c r="C14" i="28"/>
  <c r="C13" i="28"/>
  <c r="C12" i="28"/>
  <c r="C11" i="28"/>
  <c r="C10" i="28"/>
  <c r="C9" i="28"/>
  <c r="C8" i="28"/>
  <c r="C7" i="28"/>
  <c r="C6" i="28"/>
  <c r="B43" i="28"/>
  <c r="B42" i="28"/>
  <c r="B41" i="28"/>
  <c r="B40" i="28"/>
  <c r="B39" i="28"/>
  <c r="B38" i="28"/>
  <c r="B37" i="28"/>
  <c r="B36" i="28"/>
  <c r="B35" i="28"/>
  <c r="B34" i="28"/>
  <c r="B33" i="28"/>
  <c r="B32" i="28"/>
  <c r="B31" i="28"/>
  <c r="B30" i="28"/>
  <c r="B29" i="28"/>
  <c r="B28" i="28"/>
  <c r="B27" i="28"/>
  <c r="B26" i="28"/>
  <c r="B25" i="28"/>
  <c r="B24" i="28"/>
  <c r="B23" i="28"/>
  <c r="B22" i="28"/>
  <c r="B21" i="28"/>
  <c r="B20" i="28"/>
  <c r="B19" i="28"/>
  <c r="B18" i="28"/>
  <c r="B17" i="28"/>
  <c r="B16" i="28"/>
  <c r="B15" i="28"/>
  <c r="B14" i="28"/>
  <c r="B13" i="28"/>
  <c r="B12" i="28"/>
  <c r="B11" i="28"/>
  <c r="B10" i="28"/>
  <c r="B9" i="28"/>
  <c r="B8" i="28"/>
  <c r="B7" i="28"/>
  <c r="B6" i="28"/>
  <c r="C5" i="28"/>
  <c r="B5" i="28"/>
  <c r="C4" i="28"/>
  <c r="B4" i="28"/>
  <c r="A4" i="28"/>
  <c r="A12" i="14"/>
  <c r="A5" i="28" s="1"/>
  <c r="J111" i="14"/>
  <c r="K111" i="14" s="1"/>
  <c r="D302" i="14"/>
  <c r="J299" i="14"/>
  <c r="K299" i="14" s="1"/>
  <c r="G299" i="14" s="1"/>
  <c r="J298" i="14"/>
  <c r="K298" i="14" s="1"/>
  <c r="D295" i="14"/>
  <c r="D287" i="14"/>
  <c r="J284" i="14"/>
  <c r="K284" i="14" s="1"/>
  <c r="G284" i="14" s="1"/>
  <c r="J283" i="14"/>
  <c r="K283" i="14" s="1"/>
  <c r="D280" i="14"/>
  <c r="D272" i="14"/>
  <c r="J269" i="14"/>
  <c r="K269" i="14" s="1"/>
  <c r="G269" i="14" s="1"/>
  <c r="J268" i="14"/>
  <c r="K268" i="14" s="1"/>
  <c r="D265" i="14"/>
  <c r="D257" i="14"/>
  <c r="J254" i="14"/>
  <c r="K254" i="14" s="1"/>
  <c r="G254" i="14" s="1"/>
  <c r="J253" i="14"/>
  <c r="K253" i="14" s="1"/>
  <c r="D250" i="14"/>
  <c r="D242" i="14"/>
  <c r="J239" i="14"/>
  <c r="K239" i="14" s="1"/>
  <c r="G239" i="14" s="1"/>
  <c r="J238" i="14"/>
  <c r="F238" i="14" s="1"/>
  <c r="D235" i="14"/>
  <c r="D227" i="14"/>
  <c r="J224" i="14"/>
  <c r="K224" i="14" s="1"/>
  <c r="G224" i="14" s="1"/>
  <c r="J223" i="14"/>
  <c r="K223" i="14" s="1"/>
  <c r="D220" i="14"/>
  <c r="D212" i="14"/>
  <c r="J209" i="14"/>
  <c r="K209" i="14" s="1"/>
  <c r="G209" i="14" s="1"/>
  <c r="J208" i="14"/>
  <c r="K208" i="14" s="1"/>
  <c r="D205" i="14"/>
  <c r="D182" i="14"/>
  <c r="J179" i="14"/>
  <c r="K179" i="14" s="1"/>
  <c r="G179" i="14" s="1"/>
  <c r="J178" i="14"/>
  <c r="K178" i="14" s="1"/>
  <c r="D175" i="14"/>
  <c r="D167" i="14"/>
  <c r="J164" i="14"/>
  <c r="K164" i="14" s="1"/>
  <c r="G164" i="14" s="1"/>
  <c r="J163" i="14"/>
  <c r="F163" i="14" s="1"/>
  <c r="D160" i="14"/>
  <c r="D152" i="14"/>
  <c r="J149" i="14"/>
  <c r="K149" i="14" s="1"/>
  <c r="G149" i="14" s="1"/>
  <c r="J148" i="14"/>
  <c r="K148" i="14" s="1"/>
  <c r="D145" i="14"/>
  <c r="D137" i="14"/>
  <c r="J134" i="14"/>
  <c r="K134" i="14" s="1"/>
  <c r="G134" i="14" s="1"/>
  <c r="J133" i="14"/>
  <c r="F133" i="14" s="1"/>
  <c r="D130" i="14"/>
  <c r="D122" i="14"/>
  <c r="J119" i="14"/>
  <c r="K119" i="14" s="1"/>
  <c r="G119" i="14" s="1"/>
  <c r="J118" i="14"/>
  <c r="K118" i="14" s="1"/>
  <c r="D115" i="14"/>
  <c r="D107" i="14"/>
  <c r="J104" i="14"/>
  <c r="K104" i="14" s="1"/>
  <c r="G104" i="14" s="1"/>
  <c r="J103" i="14"/>
  <c r="F103" i="14" s="1"/>
  <c r="D100" i="14"/>
  <c r="D92" i="14"/>
  <c r="J89" i="14"/>
  <c r="K89" i="14" s="1"/>
  <c r="G89" i="14" s="1"/>
  <c r="J88" i="14"/>
  <c r="K88" i="14" s="1"/>
  <c r="D85" i="14"/>
  <c r="D77" i="14"/>
  <c r="J74" i="14"/>
  <c r="K74" i="14" s="1"/>
  <c r="G74" i="14" s="1"/>
  <c r="J73" i="14"/>
  <c r="K73" i="14" s="1"/>
  <c r="D70" i="14"/>
  <c r="D62" i="14"/>
  <c r="J59" i="14"/>
  <c r="K59" i="14" s="1"/>
  <c r="G59" i="14" s="1"/>
  <c r="J58" i="14"/>
  <c r="K58" i="14" s="1"/>
  <c r="D55" i="14"/>
  <c r="D47" i="14"/>
  <c r="J44" i="14"/>
  <c r="F44" i="14" s="1"/>
  <c r="J43" i="14"/>
  <c r="K43" i="14" s="1"/>
  <c r="G43" i="14" s="1"/>
  <c r="D40" i="14"/>
  <c r="D32" i="14"/>
  <c r="J29" i="14"/>
  <c r="K29" i="14" s="1"/>
  <c r="G29" i="14" s="1"/>
  <c r="J28" i="14"/>
  <c r="K28" i="14" s="1"/>
  <c r="D25" i="14"/>
  <c r="D17" i="14"/>
  <c r="J14" i="14"/>
  <c r="K14" i="14" s="1"/>
  <c r="G14" i="14" s="1"/>
  <c r="J13" i="14"/>
  <c r="K13" i="14" s="1"/>
  <c r="N12" i="14"/>
  <c r="D10" i="14"/>
  <c r="U18" i="29" l="1"/>
  <c r="N5" i="32"/>
  <c r="A20" i="14"/>
  <c r="A6" i="28" s="1"/>
  <c r="P19" i="29"/>
  <c r="B78" i="32"/>
  <c r="O67" i="32"/>
  <c r="B100" i="31"/>
  <c r="O79" i="31"/>
  <c r="F268" i="14"/>
  <c r="A27" i="14"/>
  <c r="F299" i="14"/>
  <c r="G298" i="14"/>
  <c r="M301" i="14"/>
  <c r="F284" i="14"/>
  <c r="F298" i="14"/>
  <c r="F253" i="14"/>
  <c r="G283" i="14"/>
  <c r="M286" i="14"/>
  <c r="F254" i="14"/>
  <c r="F283" i="14"/>
  <c r="M271" i="14"/>
  <c r="G268" i="14"/>
  <c r="K238" i="14"/>
  <c r="G238" i="14" s="1"/>
  <c r="F269" i="14"/>
  <c r="G253" i="14"/>
  <c r="M256" i="14"/>
  <c r="F224" i="14"/>
  <c r="F148" i="14"/>
  <c r="F239" i="14"/>
  <c r="F223" i="14"/>
  <c r="G223" i="14"/>
  <c r="M226" i="14"/>
  <c r="G208" i="14"/>
  <c r="M211" i="14"/>
  <c r="F208" i="14"/>
  <c r="K163" i="14"/>
  <c r="F209" i="14"/>
  <c r="F119" i="14"/>
  <c r="G178" i="14"/>
  <c r="M181" i="14"/>
  <c r="F178" i="14"/>
  <c r="F149" i="14"/>
  <c r="F179" i="14"/>
  <c r="F164" i="14"/>
  <c r="K133" i="14"/>
  <c r="G133" i="14" s="1"/>
  <c r="F134" i="14"/>
  <c r="M151" i="14"/>
  <c r="G148" i="14"/>
  <c r="G118" i="14"/>
  <c r="M121" i="14"/>
  <c r="K103" i="14"/>
  <c r="G103" i="14" s="1"/>
  <c r="F118" i="14"/>
  <c r="F89" i="14"/>
  <c r="F104" i="14"/>
  <c r="G88" i="14"/>
  <c r="M91" i="14"/>
  <c r="F88" i="14"/>
  <c r="G73" i="14"/>
  <c r="M76" i="14"/>
  <c r="F59" i="14"/>
  <c r="F73" i="14"/>
  <c r="F74" i="14"/>
  <c r="G58" i="14"/>
  <c r="M61" i="14"/>
  <c r="F43" i="14"/>
  <c r="F58" i="14"/>
  <c r="F29" i="14"/>
  <c r="K44" i="14"/>
  <c r="F14" i="14"/>
  <c r="G28" i="14"/>
  <c r="M31" i="14"/>
  <c r="F28" i="14"/>
  <c r="G13" i="14"/>
  <c r="M16" i="14"/>
  <c r="F13" i="14"/>
  <c r="B93" i="32" l="1"/>
  <c r="O9" i="32"/>
  <c r="O81" i="31"/>
  <c r="B105" i="31"/>
  <c r="A35" i="14"/>
  <c r="A7" i="28"/>
  <c r="G163" i="14"/>
  <c r="M241" i="14"/>
  <c r="M166" i="14"/>
  <c r="M136" i="14"/>
  <c r="M106" i="14"/>
  <c r="G44" i="14"/>
  <c r="M46" i="14"/>
  <c r="B100" i="32" l="1"/>
  <c r="O79" i="32"/>
  <c r="O82" i="31"/>
  <c r="B111" i="31"/>
  <c r="A42" i="14"/>
  <c r="A8" i="28"/>
  <c r="O81" i="32" l="1"/>
  <c r="B105" i="32"/>
  <c r="B118" i="31"/>
  <c r="O83" i="31"/>
  <c r="A50" i="14"/>
  <c r="A9" i="28"/>
  <c r="O82" i="32" l="1"/>
  <c r="B111" i="32"/>
  <c r="B123" i="31"/>
  <c r="O85" i="31"/>
  <c r="A57" i="14"/>
  <c r="A10" i="28"/>
  <c r="O83" i="32" l="1"/>
  <c r="B118" i="32"/>
  <c r="B130" i="31"/>
  <c r="O86" i="31"/>
  <c r="AE18" i="29"/>
  <c r="AJ18" i="29" s="1"/>
  <c r="A65" i="14"/>
  <c r="A11" i="28"/>
  <c r="B123" i="32" l="1"/>
  <c r="O85" i="32"/>
  <c r="B137" i="31"/>
  <c r="O87" i="31"/>
  <c r="A72" i="14"/>
  <c r="A12" i="28"/>
  <c r="L95" i="15"/>
  <c r="O86" i="32" l="1"/>
  <c r="B130" i="32"/>
  <c r="B147" i="31"/>
  <c r="O10" i="31"/>
  <c r="A13" i="28"/>
  <c r="A80" i="14"/>
  <c r="D391" i="20"/>
  <c r="D531" i="20"/>
  <c r="D524" i="20"/>
  <c r="D517" i="20"/>
  <c r="D510" i="20"/>
  <c r="D503" i="20"/>
  <c r="D496" i="20"/>
  <c r="D489" i="20"/>
  <c r="D482" i="20"/>
  <c r="D475" i="20"/>
  <c r="D468" i="20"/>
  <c r="D461" i="20"/>
  <c r="D454" i="20"/>
  <c r="D447" i="20"/>
  <c r="D440" i="20"/>
  <c r="D433" i="20"/>
  <c r="D426" i="20"/>
  <c r="D419" i="20"/>
  <c r="D412" i="20"/>
  <c r="D405" i="20"/>
  <c r="D398" i="20"/>
  <c r="D384" i="20"/>
  <c r="D377" i="20"/>
  <c r="D370" i="20"/>
  <c r="D363" i="20"/>
  <c r="D356" i="20"/>
  <c r="D349" i="20"/>
  <c r="D342" i="20"/>
  <c r="D335" i="20"/>
  <c r="D328" i="20"/>
  <c r="D321" i="20"/>
  <c r="D314" i="20"/>
  <c r="D307" i="20"/>
  <c r="D300" i="20"/>
  <c r="D293" i="20"/>
  <c r="D286" i="20"/>
  <c r="D279" i="20"/>
  <c r="D272" i="20"/>
  <c r="F535" i="20"/>
  <c r="J531" i="20"/>
  <c r="K531" i="20" s="1"/>
  <c r="K530" i="20" s="1"/>
  <c r="M530" i="20"/>
  <c r="M205" i="1" s="1"/>
  <c r="F528" i="20"/>
  <c r="J524" i="20"/>
  <c r="M523" i="20"/>
  <c r="F521" i="20"/>
  <c r="J517" i="20"/>
  <c r="M516" i="20"/>
  <c r="M204" i="1" s="1"/>
  <c r="F514" i="20"/>
  <c r="J510" i="20"/>
  <c r="M509" i="20"/>
  <c r="F507" i="20"/>
  <c r="J503" i="20"/>
  <c r="M502" i="20"/>
  <c r="M203" i="1" s="1"/>
  <c r="F500" i="20"/>
  <c r="J496" i="20"/>
  <c r="F496" i="20" s="1"/>
  <c r="M495" i="20"/>
  <c r="F493" i="20"/>
  <c r="J489" i="20"/>
  <c r="F489" i="20" s="1"/>
  <c r="M488" i="20"/>
  <c r="M202" i="1" s="1"/>
  <c r="F486" i="20"/>
  <c r="J482" i="20"/>
  <c r="F482" i="20" s="1"/>
  <c r="M481" i="20"/>
  <c r="F479" i="20"/>
  <c r="J475" i="20"/>
  <c r="M474" i="20"/>
  <c r="M201" i="1" s="1"/>
  <c r="F472" i="20"/>
  <c r="J468" i="20"/>
  <c r="F468" i="20" s="1"/>
  <c r="M467" i="20"/>
  <c r="F465" i="20"/>
  <c r="J461" i="20"/>
  <c r="M460" i="20"/>
  <c r="M200" i="1" s="1"/>
  <c r="F458" i="20"/>
  <c r="J454" i="20"/>
  <c r="M453" i="20"/>
  <c r="F451" i="20"/>
  <c r="J447" i="20"/>
  <c r="M446" i="20"/>
  <c r="L239" i="23" s="1"/>
  <c r="M239" i="23" s="1"/>
  <c r="F444" i="20"/>
  <c r="J440" i="20"/>
  <c r="F440" i="20" s="1"/>
  <c r="M439" i="20"/>
  <c r="F437" i="20"/>
  <c r="J433" i="20"/>
  <c r="F433" i="20" s="1"/>
  <c r="M432" i="20"/>
  <c r="L235" i="23" s="1"/>
  <c r="M235" i="23" s="1"/>
  <c r="F430" i="20"/>
  <c r="J426" i="20"/>
  <c r="F426" i="20" s="1"/>
  <c r="M425" i="20"/>
  <c r="F423" i="20"/>
  <c r="J419" i="20"/>
  <c r="M418" i="20"/>
  <c r="L231" i="23" s="1"/>
  <c r="M231" i="23" s="1"/>
  <c r="F416" i="20"/>
  <c r="J412" i="20"/>
  <c r="K412" i="20" s="1"/>
  <c r="K411" i="20" s="1"/>
  <c r="M411" i="20"/>
  <c r="F409" i="20"/>
  <c r="J405" i="20"/>
  <c r="M404" i="20"/>
  <c r="L227" i="23" s="1"/>
  <c r="M227" i="23" s="1"/>
  <c r="F402" i="20"/>
  <c r="J398" i="20"/>
  <c r="M397" i="20"/>
  <c r="F395" i="20"/>
  <c r="J391" i="20"/>
  <c r="K391" i="20" s="1"/>
  <c r="I395" i="20" s="1"/>
  <c r="G395" i="20" s="1"/>
  <c r="M390" i="20"/>
  <c r="L223" i="23" s="1"/>
  <c r="M223" i="23" s="1"/>
  <c r="F388" i="20"/>
  <c r="J384" i="20"/>
  <c r="M383" i="20"/>
  <c r="F381" i="20"/>
  <c r="J377" i="20"/>
  <c r="F377" i="20" s="1"/>
  <c r="M376" i="20"/>
  <c r="L219" i="23" s="1"/>
  <c r="M219" i="23" s="1"/>
  <c r="F374" i="20"/>
  <c r="J370" i="20"/>
  <c r="F370" i="20" s="1"/>
  <c r="M369" i="20"/>
  <c r="F367" i="20"/>
  <c r="J363" i="20"/>
  <c r="M362" i="20"/>
  <c r="M193" i="1" s="1"/>
  <c r="F360" i="20"/>
  <c r="J356" i="20"/>
  <c r="M355" i="20"/>
  <c r="F353" i="20"/>
  <c r="J349" i="20"/>
  <c r="M348" i="20"/>
  <c r="M192" i="1" s="1"/>
  <c r="F346" i="20"/>
  <c r="J342" i="20"/>
  <c r="M341" i="20"/>
  <c r="M191" i="1" s="1"/>
  <c r="F339" i="20"/>
  <c r="J335" i="20"/>
  <c r="F335" i="20" s="1"/>
  <c r="M334" i="20"/>
  <c r="M190" i="1" s="1"/>
  <c r="F332" i="20"/>
  <c r="J328" i="20"/>
  <c r="F328" i="20" s="1"/>
  <c r="M327" i="20"/>
  <c r="M189" i="1" s="1"/>
  <c r="F325" i="20"/>
  <c r="J321" i="20"/>
  <c r="F321" i="20" s="1"/>
  <c r="M320" i="20"/>
  <c r="M188" i="1" s="1"/>
  <c r="F318" i="20"/>
  <c r="J314" i="20"/>
  <c r="F314" i="20" s="1"/>
  <c r="M313" i="20"/>
  <c r="M187" i="1" s="1"/>
  <c r="F311" i="20"/>
  <c r="J307" i="20"/>
  <c r="K307" i="20" s="1"/>
  <c r="K306" i="20" s="1"/>
  <c r="M306" i="20"/>
  <c r="L187" i="23" s="1"/>
  <c r="M187" i="23" s="1"/>
  <c r="F304" i="20"/>
  <c r="J300" i="20"/>
  <c r="M299" i="20"/>
  <c r="L183" i="23" s="1"/>
  <c r="M183" i="23" s="1"/>
  <c r="F297" i="20"/>
  <c r="J293" i="20"/>
  <c r="K293" i="20" s="1"/>
  <c r="G293" i="20" s="1"/>
  <c r="M292" i="20"/>
  <c r="L179" i="23" s="1"/>
  <c r="M179" i="23" s="1"/>
  <c r="F290" i="20"/>
  <c r="J286" i="20"/>
  <c r="F286" i="20"/>
  <c r="M285" i="20"/>
  <c r="F283" i="20"/>
  <c r="J279" i="20"/>
  <c r="K279" i="20" s="1"/>
  <c r="N278" i="20"/>
  <c r="N285" i="20" s="1"/>
  <c r="N292" i="20" s="1"/>
  <c r="N299" i="20" s="1"/>
  <c r="N306" i="20" s="1"/>
  <c r="N313" i="20" s="1"/>
  <c r="N320" i="20" s="1"/>
  <c r="N327" i="20" s="1"/>
  <c r="N334" i="20" s="1"/>
  <c r="N341" i="20" s="1"/>
  <c r="N348" i="20" s="1"/>
  <c r="N355" i="20" s="1"/>
  <c r="N362" i="20" s="1"/>
  <c r="N369" i="20" s="1"/>
  <c r="N376" i="20" s="1"/>
  <c r="N383" i="20" s="1"/>
  <c r="N390" i="20" s="1"/>
  <c r="N397" i="20" s="1"/>
  <c r="N404" i="20" s="1"/>
  <c r="N411" i="20" s="1"/>
  <c r="N418" i="20" s="1"/>
  <c r="N425" i="20" s="1"/>
  <c r="N432" i="20" s="1"/>
  <c r="N439" i="20" s="1"/>
  <c r="N446" i="20" s="1"/>
  <c r="N453" i="20" s="1"/>
  <c r="N460" i="20" s="1"/>
  <c r="N467" i="20" s="1"/>
  <c r="N474" i="20" s="1"/>
  <c r="N481" i="20" s="1"/>
  <c r="N488" i="20" s="1"/>
  <c r="N495" i="20" s="1"/>
  <c r="N502" i="20" s="1"/>
  <c r="N509" i="20" s="1"/>
  <c r="N516" i="20" s="1"/>
  <c r="N523" i="20" s="1"/>
  <c r="N530" i="20" s="1"/>
  <c r="M278" i="20"/>
  <c r="L175" i="23" s="1"/>
  <c r="M175" i="23" s="1"/>
  <c r="F276" i="20"/>
  <c r="J272" i="20"/>
  <c r="K272" i="20" s="1"/>
  <c r="M271" i="20"/>
  <c r="M182" i="1" s="1"/>
  <c r="A271" i="20"/>
  <c r="A278" i="20" s="1"/>
  <c r="A285" i="20" s="1"/>
  <c r="A292" i="20" s="1"/>
  <c r="A299" i="20" s="1"/>
  <c r="A306" i="20" s="1"/>
  <c r="A313" i="20" s="1"/>
  <c r="A320" i="20" s="1"/>
  <c r="A327" i="20" s="1"/>
  <c r="A334" i="20" s="1"/>
  <c r="A341" i="20" s="1"/>
  <c r="A348" i="20" s="1"/>
  <c r="A355" i="20" s="1"/>
  <c r="A362" i="20" s="1"/>
  <c r="A369" i="20" s="1"/>
  <c r="A376" i="20" s="1"/>
  <c r="A383" i="20" s="1"/>
  <c r="A390" i="20" s="1"/>
  <c r="A397" i="20" s="1"/>
  <c r="A404" i="20" s="1"/>
  <c r="A411" i="20" s="1"/>
  <c r="A418" i="20" s="1"/>
  <c r="A425" i="20" s="1"/>
  <c r="A432" i="20" s="1"/>
  <c r="A439" i="20" s="1"/>
  <c r="A446" i="20" s="1"/>
  <c r="A453" i="20" s="1"/>
  <c r="A460" i="20" s="1"/>
  <c r="A467" i="20" s="1"/>
  <c r="A474" i="20" s="1"/>
  <c r="A481" i="20" s="1"/>
  <c r="A488" i="20" s="1"/>
  <c r="A495" i="20" s="1"/>
  <c r="A502" i="20" s="1"/>
  <c r="A509" i="20" s="1"/>
  <c r="A516" i="20" s="1"/>
  <c r="A523" i="20" s="1"/>
  <c r="A530" i="20" s="1"/>
  <c r="L271" i="23"/>
  <c r="M271" i="23" s="1"/>
  <c r="J271" i="23"/>
  <c r="K271" i="23" s="1"/>
  <c r="H271" i="23"/>
  <c r="I271" i="23" s="1"/>
  <c r="L270" i="23"/>
  <c r="M270" i="23" s="1"/>
  <c r="J270" i="23"/>
  <c r="K270" i="23" s="1"/>
  <c r="H270" i="23"/>
  <c r="I270" i="23" s="1"/>
  <c r="L267" i="23"/>
  <c r="M267" i="23" s="1"/>
  <c r="J267" i="23"/>
  <c r="K267" i="23" s="1"/>
  <c r="H267" i="23"/>
  <c r="I267" i="23" s="1"/>
  <c r="L266" i="23"/>
  <c r="M266" i="23" s="1"/>
  <c r="J266" i="23"/>
  <c r="K266" i="23" s="1"/>
  <c r="H266" i="23"/>
  <c r="I266" i="23" s="1"/>
  <c r="K524" i="20" l="1"/>
  <c r="G524" i="20" s="1"/>
  <c r="B137" i="32"/>
  <c r="O87" i="32"/>
  <c r="B155" i="31"/>
  <c r="O138" i="31"/>
  <c r="K405" i="20"/>
  <c r="K517" i="20"/>
  <c r="K300" i="20"/>
  <c r="K299" i="20" s="1"/>
  <c r="J183" i="23" s="1"/>
  <c r="K183" i="23" s="1"/>
  <c r="K419" i="20"/>
  <c r="K418" i="20" s="1"/>
  <c r="J231" i="23" s="1"/>
  <c r="K231" i="23" s="1"/>
  <c r="K454" i="20"/>
  <c r="G454" i="20" s="1"/>
  <c r="K384" i="20"/>
  <c r="G384" i="20" s="1"/>
  <c r="K349" i="20"/>
  <c r="K348" i="20" s="1"/>
  <c r="K461" i="20"/>
  <c r="K460" i="20" s="1"/>
  <c r="K356" i="20"/>
  <c r="K355" i="20" s="1"/>
  <c r="K398" i="20"/>
  <c r="K397" i="20" s="1"/>
  <c r="K447" i="20"/>
  <c r="K446" i="20" s="1"/>
  <c r="K269" i="23"/>
  <c r="K363" i="20"/>
  <c r="I367" i="20" s="1"/>
  <c r="G367" i="20" s="1"/>
  <c r="K475" i="20"/>
  <c r="I479" i="20" s="1"/>
  <c r="G479" i="20" s="1"/>
  <c r="A87" i="14"/>
  <c r="A14" i="28"/>
  <c r="K342" i="20"/>
  <c r="G342" i="20" s="1"/>
  <c r="M269" i="23"/>
  <c r="F517" i="20"/>
  <c r="F342" i="20"/>
  <c r="F454" i="20"/>
  <c r="K286" i="20"/>
  <c r="G286" i="20" s="1"/>
  <c r="K390" i="20"/>
  <c r="J223" i="23" s="1"/>
  <c r="K223" i="23" s="1"/>
  <c r="K314" i="20"/>
  <c r="K313" i="20" s="1"/>
  <c r="K187" i="1" s="1"/>
  <c r="F447" i="20"/>
  <c r="K468" i="20"/>
  <c r="I472" i="20" s="1"/>
  <c r="G472" i="20" s="1"/>
  <c r="F307" i="20"/>
  <c r="F356" i="20"/>
  <c r="F461" i="20"/>
  <c r="K503" i="20"/>
  <c r="K502" i="20" s="1"/>
  <c r="F279" i="20"/>
  <c r="F300" i="20"/>
  <c r="F419" i="20"/>
  <c r="F349" i="20"/>
  <c r="K510" i="20"/>
  <c r="K509" i="20" s="1"/>
  <c r="L191" i="23"/>
  <c r="M191" i="23" s="1"/>
  <c r="L195" i="23"/>
  <c r="M195" i="23" s="1"/>
  <c r="F384" i="20"/>
  <c r="F475" i="20"/>
  <c r="M184" i="1"/>
  <c r="F293" i="20"/>
  <c r="M194" i="1"/>
  <c r="F503" i="20"/>
  <c r="M196" i="1"/>
  <c r="K205" i="1"/>
  <c r="J263" i="23"/>
  <c r="K263" i="23" s="1"/>
  <c r="K186" i="1"/>
  <c r="J187" i="23"/>
  <c r="K187" i="23" s="1"/>
  <c r="F412" i="20"/>
  <c r="G412" i="20"/>
  <c r="K426" i="20"/>
  <c r="K425" i="20" s="1"/>
  <c r="F510" i="20"/>
  <c r="L243" i="23"/>
  <c r="M243" i="23" s="1"/>
  <c r="M183" i="1"/>
  <c r="M195" i="1"/>
  <c r="K496" i="20"/>
  <c r="K495" i="20" s="1"/>
  <c r="L199" i="23"/>
  <c r="M199" i="23" s="1"/>
  <c r="L247" i="23"/>
  <c r="M247" i="23" s="1"/>
  <c r="K185" i="1"/>
  <c r="M185" i="1"/>
  <c r="M197" i="1"/>
  <c r="F391" i="20"/>
  <c r="F398" i="20"/>
  <c r="F405" i="20"/>
  <c r="M186" i="1"/>
  <c r="M198" i="1"/>
  <c r="K335" i="20"/>
  <c r="I339" i="20" s="1"/>
  <c r="G339" i="20" s="1"/>
  <c r="F531" i="20"/>
  <c r="L203" i="23"/>
  <c r="M203" i="23" s="1"/>
  <c r="L251" i="23"/>
  <c r="M251" i="23" s="1"/>
  <c r="M199" i="1"/>
  <c r="K482" i="20"/>
  <c r="G482" i="20" s="1"/>
  <c r="L207" i="23"/>
  <c r="M207" i="23" s="1"/>
  <c r="L255" i="23"/>
  <c r="M255" i="23" s="1"/>
  <c r="G271" i="23"/>
  <c r="F363" i="20"/>
  <c r="L211" i="23"/>
  <c r="M211" i="23" s="1"/>
  <c r="L259" i="23"/>
  <c r="M259" i="23" s="1"/>
  <c r="F272" i="20"/>
  <c r="L215" i="23"/>
  <c r="M215" i="23" s="1"/>
  <c r="L263" i="23"/>
  <c r="M263" i="23" s="1"/>
  <c r="I416" i="20"/>
  <c r="G416" i="20" s="1"/>
  <c r="G391" i="20"/>
  <c r="I304" i="20"/>
  <c r="G304" i="20" s="1"/>
  <c r="G300" i="20"/>
  <c r="K383" i="20"/>
  <c r="I388" i="20"/>
  <c r="G388" i="20" s="1"/>
  <c r="K271" i="20"/>
  <c r="K182" i="1" s="1"/>
  <c r="G272" i="20"/>
  <c r="I276" i="20"/>
  <c r="G276" i="20" s="1"/>
  <c r="G279" i="20"/>
  <c r="I283" i="20"/>
  <c r="G283" i="20" s="1"/>
  <c r="K278" i="20"/>
  <c r="I297" i="20"/>
  <c r="G297" i="20" s="1"/>
  <c r="K292" i="20"/>
  <c r="I423" i="20"/>
  <c r="G423" i="20" s="1"/>
  <c r="G419" i="20"/>
  <c r="I458" i="20"/>
  <c r="G458" i="20" s="1"/>
  <c r="K453" i="20"/>
  <c r="K370" i="20"/>
  <c r="K377" i="20"/>
  <c r="I409" i="20"/>
  <c r="G409" i="20" s="1"/>
  <c r="G405" i="20"/>
  <c r="K404" i="20"/>
  <c r="I535" i="20"/>
  <c r="G535" i="20" s="1"/>
  <c r="G531" i="20"/>
  <c r="I430" i="20"/>
  <c r="G430" i="20" s="1"/>
  <c r="G426" i="20"/>
  <c r="K523" i="20"/>
  <c r="K489" i="20"/>
  <c r="I311" i="20"/>
  <c r="G311" i="20" s="1"/>
  <c r="G307" i="20"/>
  <c r="K440" i="20"/>
  <c r="F524" i="20"/>
  <c r="I528" i="20"/>
  <c r="G528" i="20" s="1"/>
  <c r="K328" i="20"/>
  <c r="K433" i="20"/>
  <c r="K321" i="20"/>
  <c r="G517" i="20"/>
  <c r="I521" i="20"/>
  <c r="G521" i="20" s="1"/>
  <c r="K516" i="20"/>
  <c r="K265" i="23"/>
  <c r="M265" i="23"/>
  <c r="I269" i="23"/>
  <c r="G270" i="23"/>
  <c r="G267" i="23"/>
  <c r="G266" i="23"/>
  <c r="I265" i="23"/>
  <c r="G349" i="20" l="1"/>
  <c r="I353" i="20"/>
  <c r="G353" i="20" s="1"/>
  <c r="K197" i="1"/>
  <c r="O10" i="32"/>
  <c r="B147" i="32"/>
  <c r="B162" i="31"/>
  <c r="O139" i="31"/>
  <c r="I465" i="20"/>
  <c r="G465" i="20" s="1"/>
  <c r="G461" i="20"/>
  <c r="K481" i="20"/>
  <c r="K362" i="20"/>
  <c r="J215" i="23" s="1"/>
  <c r="K215" i="23" s="1"/>
  <c r="G363" i="20"/>
  <c r="K467" i="20"/>
  <c r="G475" i="20"/>
  <c r="I290" i="20"/>
  <c r="G290" i="20" s="1"/>
  <c r="I402" i="20"/>
  <c r="G402" i="20" s="1"/>
  <c r="G398" i="20"/>
  <c r="G447" i="20"/>
  <c r="G314" i="20"/>
  <c r="I451" i="20"/>
  <c r="G451" i="20" s="1"/>
  <c r="K285" i="20"/>
  <c r="I318" i="20"/>
  <c r="G318" i="20" s="1"/>
  <c r="K195" i="1"/>
  <c r="A15" i="28"/>
  <c r="A95" i="14"/>
  <c r="G269" i="23"/>
  <c r="I486" i="20"/>
  <c r="G486" i="20" s="1"/>
  <c r="I346" i="20"/>
  <c r="G346" i="20" s="1"/>
  <c r="K474" i="20"/>
  <c r="K201" i="1" s="1"/>
  <c r="G356" i="20"/>
  <c r="K341" i="20"/>
  <c r="J207" i="23" s="1"/>
  <c r="K207" i="23" s="1"/>
  <c r="I360" i="20"/>
  <c r="G360" i="20" s="1"/>
  <c r="G510" i="20"/>
  <c r="J191" i="23"/>
  <c r="K191" i="23" s="1"/>
  <c r="I514" i="20"/>
  <c r="G514" i="20" s="1"/>
  <c r="G468" i="20"/>
  <c r="G265" i="23"/>
  <c r="I507" i="20"/>
  <c r="G507" i="20" s="1"/>
  <c r="G503" i="20"/>
  <c r="G335" i="20"/>
  <c r="J255" i="23"/>
  <c r="K255" i="23" s="1"/>
  <c r="K203" i="1"/>
  <c r="K334" i="20"/>
  <c r="K199" i="1"/>
  <c r="J239" i="23"/>
  <c r="K239" i="23" s="1"/>
  <c r="K200" i="1"/>
  <c r="J243" i="23"/>
  <c r="K243" i="23" s="1"/>
  <c r="J227" i="23"/>
  <c r="K227" i="23" s="1"/>
  <c r="K196" i="1"/>
  <c r="I500" i="20"/>
  <c r="G500" i="20" s="1"/>
  <c r="G496" i="20"/>
  <c r="K192" i="1"/>
  <c r="J211" i="23"/>
  <c r="K211" i="23" s="1"/>
  <c r="J179" i="23"/>
  <c r="K179" i="23" s="1"/>
  <c r="K184" i="1"/>
  <c r="J175" i="23"/>
  <c r="K175" i="23" s="1"/>
  <c r="K183" i="1"/>
  <c r="K204" i="1"/>
  <c r="J259" i="23"/>
  <c r="K259" i="23" s="1"/>
  <c r="G377" i="20"/>
  <c r="I381" i="20"/>
  <c r="G381" i="20" s="1"/>
  <c r="K376" i="20"/>
  <c r="I332" i="20"/>
  <c r="K327" i="20"/>
  <c r="G328" i="20"/>
  <c r="G370" i="20"/>
  <c r="K369" i="20"/>
  <c r="I374" i="20"/>
  <c r="I444" i="20"/>
  <c r="G440" i="20"/>
  <c r="K439" i="20"/>
  <c r="K320" i="20"/>
  <c r="G321" i="20"/>
  <c r="I325" i="20"/>
  <c r="K432" i="20"/>
  <c r="G433" i="20"/>
  <c r="I437" i="20"/>
  <c r="G437" i="20" s="1"/>
  <c r="G489" i="20"/>
  <c r="I493" i="20"/>
  <c r="K488" i="20"/>
  <c r="K193" i="1" l="1"/>
  <c r="B155" i="32"/>
  <c r="O138" i="32"/>
  <c r="O140" i="31"/>
  <c r="B169" i="31"/>
  <c r="K191" i="1"/>
  <c r="A102" i="14"/>
  <c r="A16" i="28"/>
  <c r="J247" i="23"/>
  <c r="K247" i="23" s="1"/>
  <c r="K190" i="1"/>
  <c r="J203" i="23"/>
  <c r="K203" i="23" s="1"/>
  <c r="K188" i="1"/>
  <c r="J195" i="23"/>
  <c r="K195" i="23" s="1"/>
  <c r="K198" i="1"/>
  <c r="J235" i="23"/>
  <c r="K235" i="23" s="1"/>
  <c r="K189" i="1"/>
  <c r="J199" i="23"/>
  <c r="K199" i="23" s="1"/>
  <c r="K202" i="1"/>
  <c r="J251" i="23"/>
  <c r="K251" i="23" s="1"/>
  <c r="J219" i="23"/>
  <c r="K219" i="23" s="1"/>
  <c r="K194" i="1"/>
  <c r="G493" i="20"/>
  <c r="G332" i="20"/>
  <c r="G325" i="20"/>
  <c r="G444" i="20"/>
  <c r="G374" i="20"/>
  <c r="B162" i="32" l="1"/>
  <c r="O139" i="32"/>
  <c r="O11" i="31"/>
  <c r="B179" i="31"/>
  <c r="A17" i="28"/>
  <c r="A110" i="14"/>
  <c r="O140" i="32" l="1"/>
  <c r="B169" i="32"/>
  <c r="O170" i="31"/>
  <c r="B186" i="31"/>
  <c r="A18" i="28"/>
  <c r="A117" i="14"/>
  <c r="B179" i="32" l="1"/>
  <c r="O11" i="32"/>
  <c r="O172" i="31"/>
  <c r="B191" i="31"/>
  <c r="A125" i="14"/>
  <c r="A19" i="28"/>
  <c r="D197" i="14"/>
  <c r="J194" i="14"/>
  <c r="K194" i="14" s="1"/>
  <c r="G194" i="14" s="1"/>
  <c r="J193" i="14"/>
  <c r="K193" i="14" s="1"/>
  <c r="D190" i="14"/>
  <c r="O170" i="32" l="1"/>
  <c r="B186" i="32"/>
  <c r="O173" i="31"/>
  <c r="B195" i="31"/>
  <c r="A132" i="14"/>
  <c r="A20" i="28"/>
  <c r="F193" i="14"/>
  <c r="M196" i="14"/>
  <c r="G193" i="14"/>
  <c r="F194" i="14"/>
  <c r="A10" i="26"/>
  <c r="A15" i="26" s="1"/>
  <c r="D12" i="26"/>
  <c r="D11" i="26"/>
  <c r="O172" i="32" l="1"/>
  <c r="B191" i="32"/>
  <c r="O174" i="31"/>
  <c r="B202" i="31"/>
  <c r="A140" i="14"/>
  <c r="A21" i="28"/>
  <c r="D26" i="26"/>
  <c r="D27" i="26"/>
  <c r="O173" i="32" l="1"/>
  <c r="B195" i="32"/>
  <c r="B211" i="31"/>
  <c r="O12" i="31"/>
  <c r="A22" i="28"/>
  <c r="A147" i="14"/>
  <c r="D21" i="26"/>
  <c r="D22" i="26"/>
  <c r="D16" i="26"/>
  <c r="D17" i="26"/>
  <c r="D7" i="26"/>
  <c r="A20" i="26"/>
  <c r="A25" i="26" s="1"/>
  <c r="B202" i="32" l="1"/>
  <c r="O174" i="32"/>
  <c r="B218" i="31"/>
  <c r="O203" i="31"/>
  <c r="A155" i="14"/>
  <c r="A23" i="28"/>
  <c r="D14" i="24"/>
  <c r="I14" i="24" s="1"/>
  <c r="D13" i="24"/>
  <c r="I13" i="24" s="1"/>
  <c r="I15" i="24" s="1"/>
  <c r="D17" i="24"/>
  <c r="D16" i="24"/>
  <c r="J16" i="24"/>
  <c r="O12" i="32" l="1"/>
  <c r="B211" i="32"/>
  <c r="O205" i="31"/>
  <c r="B223" i="31"/>
  <c r="A162" i="14"/>
  <c r="A24" i="28"/>
  <c r="M17" i="24"/>
  <c r="J17" i="24"/>
  <c r="K17" i="24" s="1"/>
  <c r="I17" i="24"/>
  <c r="L8" i="24"/>
  <c r="M8" i="24" s="1"/>
  <c r="O203" i="32" l="1"/>
  <c r="B218" i="32"/>
  <c r="O206" i="31"/>
  <c r="B230" i="31"/>
  <c r="A170" i="14"/>
  <c r="A25" i="28"/>
  <c r="G17" i="24"/>
  <c r="F17" i="24"/>
  <c r="H8" i="24"/>
  <c r="I8" i="24" s="1"/>
  <c r="O205" i="32" l="1"/>
  <c r="B223" i="32"/>
  <c r="B236" i="31"/>
  <c r="O13" i="31"/>
  <c r="A177" i="14"/>
  <c r="A26" i="28"/>
  <c r="J6" i="24"/>
  <c r="B230" i="32" l="1"/>
  <c r="O206" i="32"/>
  <c r="O14" i="31"/>
  <c r="B243" i="31"/>
  <c r="A185" i="14"/>
  <c r="A27" i="28"/>
  <c r="F25" i="24"/>
  <c r="M24" i="24"/>
  <c r="J24" i="24"/>
  <c r="K24" i="24" s="1"/>
  <c r="I24" i="24"/>
  <c r="I20" i="24" s="1"/>
  <c r="J23" i="24"/>
  <c r="F23" i="24" s="1"/>
  <c r="J22" i="24"/>
  <c r="K22" i="24" s="1"/>
  <c r="G22" i="24" s="1"/>
  <c r="J21" i="24"/>
  <c r="K21" i="24" s="1"/>
  <c r="F18" i="24"/>
  <c r="M16" i="24"/>
  <c r="F16" i="24"/>
  <c r="I16" i="24"/>
  <c r="I12" i="24" s="1"/>
  <c r="K15" i="24"/>
  <c r="G15" i="24" s="1"/>
  <c r="K14" i="24"/>
  <c r="G14" i="24" s="1"/>
  <c r="F13" i="24"/>
  <c r="F9" i="24"/>
  <c r="M7" i="24"/>
  <c r="J7" i="24"/>
  <c r="K7" i="24" s="1"/>
  <c r="I7" i="24"/>
  <c r="K6" i="24"/>
  <c r="F6" i="24"/>
  <c r="A12" i="24"/>
  <c r="A20" i="24" s="1"/>
  <c r="B236" i="32" l="1"/>
  <c r="O13" i="32"/>
  <c r="O237" i="31"/>
  <c r="B249" i="31"/>
  <c r="A192" i="14"/>
  <c r="A28" i="28"/>
  <c r="I10" i="24"/>
  <c r="I5" i="24" s="1"/>
  <c r="H16" i="26" s="1"/>
  <c r="I16" i="26" s="1"/>
  <c r="M9" i="24"/>
  <c r="M10" i="24" s="1"/>
  <c r="M5" i="24" s="1"/>
  <c r="G7" i="24"/>
  <c r="H12" i="26"/>
  <c r="I12" i="26" s="1"/>
  <c r="H27" i="26"/>
  <c r="I27" i="26" s="1"/>
  <c r="H22" i="26"/>
  <c r="I22" i="26" s="1"/>
  <c r="H7" i="26"/>
  <c r="I7" i="26" s="1"/>
  <c r="H17" i="26"/>
  <c r="I17" i="26" s="1"/>
  <c r="F21" i="24"/>
  <c r="G24" i="24"/>
  <c r="K23" i="24"/>
  <c r="G23" i="24" s="1"/>
  <c r="K13" i="24"/>
  <c r="G13" i="24" s="1"/>
  <c r="F14" i="24"/>
  <c r="F24" i="24"/>
  <c r="F7" i="24"/>
  <c r="G6" i="24"/>
  <c r="G21" i="24"/>
  <c r="F15" i="24"/>
  <c r="F22" i="24"/>
  <c r="K16" i="24"/>
  <c r="M18" i="24" s="1"/>
  <c r="D230" i="18"/>
  <c r="K229" i="18"/>
  <c r="I229" i="18"/>
  <c r="D224" i="18"/>
  <c r="K223" i="18"/>
  <c r="I223" i="18"/>
  <c r="D218" i="18"/>
  <c r="K217" i="18"/>
  <c r="I217" i="18"/>
  <c r="D212" i="18"/>
  <c r="K211" i="18"/>
  <c r="I211" i="18"/>
  <c r="D206" i="18"/>
  <c r="K205" i="18"/>
  <c r="I205" i="18"/>
  <c r="D200" i="18"/>
  <c r="K199" i="18"/>
  <c r="I199" i="18"/>
  <c r="D194" i="18"/>
  <c r="K193" i="18"/>
  <c r="I193" i="18"/>
  <c r="D188" i="18"/>
  <c r="K187" i="18"/>
  <c r="I187" i="18"/>
  <c r="D182" i="18"/>
  <c r="K181" i="18"/>
  <c r="I181" i="18"/>
  <c r="D176" i="18"/>
  <c r="K175" i="18"/>
  <c r="I175" i="18"/>
  <c r="D170" i="18"/>
  <c r="K169" i="18"/>
  <c r="I169" i="18"/>
  <c r="D164" i="18"/>
  <c r="K163" i="18"/>
  <c r="I163" i="18"/>
  <c r="D158" i="18"/>
  <c r="K157" i="18"/>
  <c r="I157" i="18"/>
  <c r="D152" i="18"/>
  <c r="K151" i="18"/>
  <c r="I151" i="18"/>
  <c r="D146" i="18"/>
  <c r="K145" i="18"/>
  <c r="I145" i="18"/>
  <c r="D140" i="18"/>
  <c r="K139" i="18"/>
  <c r="I139" i="18"/>
  <c r="D134" i="18"/>
  <c r="K133" i="18"/>
  <c r="I133" i="18"/>
  <c r="D128" i="18"/>
  <c r="K127" i="18"/>
  <c r="I127" i="18"/>
  <c r="D122" i="18"/>
  <c r="K121" i="18"/>
  <c r="I121" i="18"/>
  <c r="D116" i="18"/>
  <c r="K115" i="18"/>
  <c r="I115" i="18"/>
  <c r="D110" i="18"/>
  <c r="K109" i="18"/>
  <c r="I109" i="18"/>
  <c r="D104" i="18"/>
  <c r="K103" i="18"/>
  <c r="I103" i="18"/>
  <c r="D98" i="18"/>
  <c r="K97" i="18"/>
  <c r="I97" i="18"/>
  <c r="D92" i="18"/>
  <c r="K91" i="18"/>
  <c r="I91" i="18"/>
  <c r="D86" i="18"/>
  <c r="K85" i="18"/>
  <c r="I85" i="18"/>
  <c r="D80" i="18"/>
  <c r="K79" i="18"/>
  <c r="I79" i="18"/>
  <c r="D74" i="18"/>
  <c r="K73" i="18"/>
  <c r="I73" i="18"/>
  <c r="D68" i="18"/>
  <c r="K67" i="18"/>
  <c r="I67" i="18"/>
  <c r="D62" i="18"/>
  <c r="K61" i="18"/>
  <c r="I61" i="18"/>
  <c r="D56" i="18"/>
  <c r="K55" i="18"/>
  <c r="I55" i="18"/>
  <c r="D50" i="18"/>
  <c r="K49" i="18"/>
  <c r="I49" i="18"/>
  <c r="D44" i="18"/>
  <c r="K43" i="18"/>
  <c r="I43" i="18"/>
  <c r="D38" i="18"/>
  <c r="K37" i="18"/>
  <c r="I37" i="18"/>
  <c r="D32" i="18"/>
  <c r="K31" i="18"/>
  <c r="I31" i="18"/>
  <c r="D26" i="18"/>
  <c r="K25" i="18"/>
  <c r="I25" i="18"/>
  <c r="D20" i="18"/>
  <c r="K19" i="18"/>
  <c r="I19" i="18"/>
  <c r="D14" i="18"/>
  <c r="K13" i="18"/>
  <c r="I13" i="18"/>
  <c r="O14" i="32" l="1"/>
  <c r="B243" i="32"/>
  <c r="B254" i="31"/>
  <c r="O238" i="31"/>
  <c r="K20" i="24"/>
  <c r="M26" i="24"/>
  <c r="G26" i="24" s="1"/>
  <c r="A200" i="14"/>
  <c r="A29" i="28"/>
  <c r="H21" i="26"/>
  <c r="I21" i="26" s="1"/>
  <c r="I20" i="26" s="1"/>
  <c r="H26" i="26"/>
  <c r="I26" i="26" s="1"/>
  <c r="I25" i="26" s="1"/>
  <c r="H6" i="26"/>
  <c r="I6" i="26" s="1"/>
  <c r="I5" i="26" s="1"/>
  <c r="H11" i="26"/>
  <c r="I11" i="26" s="1"/>
  <c r="I10" i="26" s="1"/>
  <c r="M25" i="24"/>
  <c r="I15" i="26"/>
  <c r="G18" i="24"/>
  <c r="K12" i="24"/>
  <c r="G16" i="24"/>
  <c r="G9" i="24"/>
  <c r="I230" i="18"/>
  <c r="I224" i="18"/>
  <c r="I218" i="18"/>
  <c r="I212" i="18"/>
  <c r="I206" i="18"/>
  <c r="I200" i="18"/>
  <c r="I194" i="18"/>
  <c r="I188" i="18"/>
  <c r="I182" i="18"/>
  <c r="I176" i="18"/>
  <c r="I170" i="18"/>
  <c r="I164" i="18"/>
  <c r="I158" i="18"/>
  <c r="I152" i="18"/>
  <c r="I146" i="18"/>
  <c r="I140" i="18"/>
  <c r="I134" i="18"/>
  <c r="I128" i="18"/>
  <c r="I122" i="18"/>
  <c r="I116" i="18"/>
  <c r="I110" i="18"/>
  <c r="I104" i="18"/>
  <c r="I98" i="18"/>
  <c r="I92" i="18"/>
  <c r="I86" i="18"/>
  <c r="I80" i="18"/>
  <c r="I74" i="18"/>
  <c r="I68" i="18"/>
  <c r="I62" i="18"/>
  <c r="I56" i="18"/>
  <c r="I50" i="18"/>
  <c r="I44" i="18"/>
  <c r="I38" i="18"/>
  <c r="I32" i="18"/>
  <c r="I26" i="18"/>
  <c r="I20" i="18"/>
  <c r="I14" i="18"/>
  <c r="D8" i="18"/>
  <c r="J30" i="23"/>
  <c r="F30" i="23" s="1"/>
  <c r="D171" i="23"/>
  <c r="D165" i="23"/>
  <c r="D159" i="23"/>
  <c r="D153" i="23"/>
  <c r="D147" i="23"/>
  <c r="D141" i="23"/>
  <c r="D135" i="23"/>
  <c r="D129" i="23"/>
  <c r="D123" i="23"/>
  <c r="D117" i="23"/>
  <c r="D111" i="23"/>
  <c r="D105" i="23"/>
  <c r="D99" i="23"/>
  <c r="D93" i="23"/>
  <c r="D87" i="23"/>
  <c r="D81" i="23"/>
  <c r="D75" i="23"/>
  <c r="D69" i="23"/>
  <c r="D63" i="23"/>
  <c r="D57" i="23"/>
  <c r="D51" i="23"/>
  <c r="D45" i="23"/>
  <c r="D39" i="23"/>
  <c r="D33" i="23"/>
  <c r="D27" i="23"/>
  <c r="D21" i="23"/>
  <c r="D15" i="23"/>
  <c r="D9" i="23"/>
  <c r="M20" i="24" l="1"/>
  <c r="G20" i="24" s="1"/>
  <c r="O237" i="32"/>
  <c r="B249" i="32"/>
  <c r="O15" i="31"/>
  <c r="B258" i="31"/>
  <c r="A207" i="14"/>
  <c r="A30" i="28"/>
  <c r="G25" i="24"/>
  <c r="J12" i="26"/>
  <c r="J7" i="26"/>
  <c r="J17" i="26"/>
  <c r="J22" i="26"/>
  <c r="J27" i="26"/>
  <c r="L11" i="26"/>
  <c r="M11" i="26" s="1"/>
  <c r="L26" i="26"/>
  <c r="M26" i="26" s="1"/>
  <c r="L21" i="26"/>
  <c r="M21" i="26" s="1"/>
  <c r="L6" i="26"/>
  <c r="M6" i="26" s="1"/>
  <c r="L16" i="26"/>
  <c r="M16" i="26" s="1"/>
  <c r="M12" i="24"/>
  <c r="K30" i="23"/>
  <c r="G30" i="23" s="1"/>
  <c r="B254" i="32" l="1"/>
  <c r="O238" i="32"/>
  <c r="B262" i="31"/>
  <c r="O16" i="31"/>
  <c r="A31" i="28"/>
  <c r="A215" i="14"/>
  <c r="K7" i="26"/>
  <c r="G12" i="24"/>
  <c r="L12" i="26"/>
  <c r="M12" i="26" s="1"/>
  <c r="M10" i="26" s="1"/>
  <c r="L22" i="26"/>
  <c r="M22" i="26" s="1"/>
  <c r="M20" i="26" s="1"/>
  <c r="L17" i="26"/>
  <c r="M17" i="26" s="1"/>
  <c r="M15" i="26" s="1"/>
  <c r="L7" i="26"/>
  <c r="M7" i="26" s="1"/>
  <c r="M5" i="26" s="1"/>
  <c r="L27" i="26"/>
  <c r="M27" i="26" s="1"/>
  <c r="M25" i="26" s="1"/>
  <c r="K27" i="26"/>
  <c r="K22" i="26"/>
  <c r="K17" i="26"/>
  <c r="K12" i="26"/>
  <c r="O15" i="32" l="1"/>
  <c r="B258" i="32"/>
  <c r="O17" i="31"/>
  <c r="B266" i="31"/>
  <c r="O263" i="31" s="1"/>
  <c r="A222" i="14"/>
  <c r="A32" i="28"/>
  <c r="G22" i="26"/>
  <c r="G27" i="26"/>
  <c r="F27" i="26"/>
  <c r="G12" i="26"/>
  <c r="F7" i="26"/>
  <c r="F12" i="26"/>
  <c r="G17" i="26"/>
  <c r="G7" i="26"/>
  <c r="F17" i="26"/>
  <c r="F22" i="26"/>
  <c r="F345" i="16"/>
  <c r="J343" i="16"/>
  <c r="F343" i="16" s="1"/>
  <c r="J342" i="16"/>
  <c r="K342" i="16" s="1"/>
  <c r="F279" i="16"/>
  <c r="J277" i="16"/>
  <c r="F277" i="16" s="1"/>
  <c r="J276" i="16"/>
  <c r="K276" i="16" s="1"/>
  <c r="F267" i="16"/>
  <c r="J265" i="16"/>
  <c r="F265" i="16" s="1"/>
  <c r="J264" i="16"/>
  <c r="K264" i="16" s="1"/>
  <c r="F219" i="16"/>
  <c r="J217" i="16"/>
  <c r="K217" i="16" s="1"/>
  <c r="G217" i="16" s="1"/>
  <c r="J216" i="16"/>
  <c r="K216" i="16" s="1"/>
  <c r="F213" i="16"/>
  <c r="J211" i="16"/>
  <c r="F211" i="16" s="1"/>
  <c r="J210" i="16"/>
  <c r="K210" i="16" s="1"/>
  <c r="G210" i="16" s="1"/>
  <c r="F225" i="16"/>
  <c r="J223" i="16"/>
  <c r="F223" i="16" s="1"/>
  <c r="J222" i="16"/>
  <c r="K222" i="16" s="1"/>
  <c r="F243" i="16"/>
  <c r="J241" i="16"/>
  <c r="K241" i="16" s="1"/>
  <c r="G241" i="16" s="1"/>
  <c r="J240" i="16"/>
  <c r="K240" i="16" s="1"/>
  <c r="F231" i="16"/>
  <c r="J229" i="16"/>
  <c r="K229" i="16" s="1"/>
  <c r="G229" i="16" s="1"/>
  <c r="J228" i="16"/>
  <c r="K228" i="16" s="1"/>
  <c r="F249" i="16"/>
  <c r="J247" i="16"/>
  <c r="K247" i="16" s="1"/>
  <c r="G247" i="16" s="1"/>
  <c r="J246" i="16"/>
  <c r="K246" i="16" s="1"/>
  <c r="F261" i="16"/>
  <c r="J259" i="16"/>
  <c r="F259" i="16" s="1"/>
  <c r="J258" i="16"/>
  <c r="K258" i="16" s="1"/>
  <c r="F255" i="16"/>
  <c r="J253" i="16"/>
  <c r="F253" i="16" s="1"/>
  <c r="J252" i="16"/>
  <c r="F252" i="16" s="1"/>
  <c r="F273" i="16"/>
  <c r="J271" i="16"/>
  <c r="F271" i="16" s="1"/>
  <c r="J270" i="16"/>
  <c r="K270" i="16" s="1"/>
  <c r="F291" i="16"/>
  <c r="J289" i="16"/>
  <c r="F289" i="16" s="1"/>
  <c r="J288" i="16"/>
  <c r="K288" i="16" s="1"/>
  <c r="F321" i="16"/>
  <c r="J319" i="16"/>
  <c r="K319" i="16" s="1"/>
  <c r="G319" i="16" s="1"/>
  <c r="J318" i="16"/>
  <c r="K318" i="16" s="1"/>
  <c r="F339" i="16"/>
  <c r="J337" i="16"/>
  <c r="F337" i="16" s="1"/>
  <c r="J336" i="16"/>
  <c r="K336" i="16" s="1"/>
  <c r="F333" i="16"/>
  <c r="J331" i="16"/>
  <c r="F331" i="16" s="1"/>
  <c r="J330" i="16"/>
  <c r="K330" i="16" s="1"/>
  <c r="F207" i="16"/>
  <c r="J205" i="16"/>
  <c r="K205" i="16" s="1"/>
  <c r="G205" i="16" s="1"/>
  <c r="J204" i="16"/>
  <c r="F204" i="16" s="1"/>
  <c r="F201" i="16"/>
  <c r="J199" i="16"/>
  <c r="K199" i="16" s="1"/>
  <c r="G199" i="16" s="1"/>
  <c r="J198" i="16"/>
  <c r="K198" i="16" s="1"/>
  <c r="F195" i="16"/>
  <c r="J193" i="16"/>
  <c r="K193" i="16" s="1"/>
  <c r="G193" i="16" s="1"/>
  <c r="J192" i="16"/>
  <c r="K192" i="16" s="1"/>
  <c r="F189" i="16"/>
  <c r="J187" i="16"/>
  <c r="F187" i="16" s="1"/>
  <c r="J186" i="16"/>
  <c r="K186" i="16" s="1"/>
  <c r="F183" i="16"/>
  <c r="J181" i="16"/>
  <c r="F181" i="16" s="1"/>
  <c r="J180" i="16"/>
  <c r="K180" i="16" s="1"/>
  <c r="F171" i="16"/>
  <c r="J169" i="16"/>
  <c r="F169" i="16" s="1"/>
  <c r="J168" i="16"/>
  <c r="K168" i="16" s="1"/>
  <c r="F165" i="16"/>
  <c r="J163" i="16"/>
  <c r="K163" i="16" s="1"/>
  <c r="G163" i="16" s="1"/>
  <c r="J162" i="16"/>
  <c r="K162" i="16" s="1"/>
  <c r="F159" i="16"/>
  <c r="J157" i="16"/>
  <c r="F157" i="16" s="1"/>
  <c r="J156" i="16"/>
  <c r="K156" i="16" s="1"/>
  <c r="F153" i="16"/>
  <c r="J151" i="16"/>
  <c r="F151" i="16" s="1"/>
  <c r="J150" i="16"/>
  <c r="K150" i="16" s="1"/>
  <c r="F147" i="16"/>
  <c r="J145" i="16"/>
  <c r="F145" i="16" s="1"/>
  <c r="J144" i="16"/>
  <c r="K144" i="16" s="1"/>
  <c r="F141" i="16"/>
  <c r="J139" i="16"/>
  <c r="F139" i="16" s="1"/>
  <c r="J138" i="16"/>
  <c r="K138" i="16" s="1"/>
  <c r="F135" i="16"/>
  <c r="J133" i="16"/>
  <c r="K133" i="16" s="1"/>
  <c r="G133" i="16" s="1"/>
  <c r="J132" i="16"/>
  <c r="K132" i="16" s="1"/>
  <c r="F129" i="16"/>
  <c r="J127" i="16"/>
  <c r="K127" i="16" s="1"/>
  <c r="G127" i="16" s="1"/>
  <c r="J126" i="16"/>
  <c r="K126" i="16" s="1"/>
  <c r="F123" i="16"/>
  <c r="J121" i="16"/>
  <c r="K121" i="16" s="1"/>
  <c r="G121" i="16" s="1"/>
  <c r="J120" i="16"/>
  <c r="K120" i="16" s="1"/>
  <c r="F117" i="16"/>
  <c r="J115" i="16"/>
  <c r="F115" i="16" s="1"/>
  <c r="J114" i="16"/>
  <c r="K114" i="16" s="1"/>
  <c r="N11" i="16"/>
  <c r="N17" i="16" s="1"/>
  <c r="N23" i="16" s="1"/>
  <c r="N29" i="16" s="1"/>
  <c r="N35" i="16" s="1"/>
  <c r="N41" i="16" s="1"/>
  <c r="N47" i="16" s="1"/>
  <c r="N53" i="16" s="1"/>
  <c r="N59" i="16" s="1"/>
  <c r="N65" i="16" s="1"/>
  <c r="N71" i="16" s="1"/>
  <c r="N77" i="16" s="1"/>
  <c r="N83" i="16" s="1"/>
  <c r="N89" i="16" s="1"/>
  <c r="N95" i="16" s="1"/>
  <c r="N101" i="16" s="1"/>
  <c r="N107" i="16" s="1"/>
  <c r="N113" i="16" s="1"/>
  <c r="N119" i="16" s="1"/>
  <c r="N125" i="16" s="1"/>
  <c r="N131" i="16" s="1"/>
  <c r="N137" i="16" s="1"/>
  <c r="N143" i="16" s="1"/>
  <c r="N149" i="16" s="1"/>
  <c r="N155" i="16" s="1"/>
  <c r="C158" i="1"/>
  <c r="B158" i="1"/>
  <c r="C157" i="1"/>
  <c r="B157" i="1"/>
  <c r="C156" i="1"/>
  <c r="B156" i="1"/>
  <c r="C155" i="1"/>
  <c r="B155" i="1"/>
  <c r="C154" i="1"/>
  <c r="B154" i="1"/>
  <c r="C153" i="1"/>
  <c r="B153" i="1"/>
  <c r="C152" i="1"/>
  <c r="B152" i="1"/>
  <c r="C151" i="1"/>
  <c r="B151" i="1"/>
  <c r="C150" i="1"/>
  <c r="B150" i="1"/>
  <c r="C149" i="1"/>
  <c r="B149" i="1"/>
  <c r="C148" i="1"/>
  <c r="B148" i="1"/>
  <c r="C147" i="1"/>
  <c r="B147" i="1"/>
  <c r="C146" i="1"/>
  <c r="B146" i="1"/>
  <c r="C145" i="1"/>
  <c r="B145" i="1"/>
  <c r="C144" i="1"/>
  <c r="B144" i="1"/>
  <c r="C143" i="1"/>
  <c r="B143" i="1"/>
  <c r="C142" i="1"/>
  <c r="B142" i="1"/>
  <c r="C141" i="1"/>
  <c r="B141" i="1"/>
  <c r="C140" i="1"/>
  <c r="B140" i="1"/>
  <c r="C139" i="1"/>
  <c r="B139" i="1"/>
  <c r="C138" i="1"/>
  <c r="B138" i="1"/>
  <c r="C137" i="1"/>
  <c r="B137" i="1"/>
  <c r="C136" i="1"/>
  <c r="B136" i="1"/>
  <c r="C135" i="1"/>
  <c r="B135" i="1"/>
  <c r="F140" i="15"/>
  <c r="J139" i="15"/>
  <c r="K139" i="15" s="1"/>
  <c r="G139" i="15" s="1"/>
  <c r="J138" i="15"/>
  <c r="K138" i="15" s="1"/>
  <c r="L137" i="15"/>
  <c r="I157" i="1"/>
  <c r="N157" i="1" s="1"/>
  <c r="F116" i="15"/>
  <c r="J115" i="15"/>
  <c r="K115" i="15" s="1"/>
  <c r="G115" i="15" s="1"/>
  <c r="J114" i="15"/>
  <c r="K114" i="15" s="1"/>
  <c r="L113" i="15"/>
  <c r="I153" i="1"/>
  <c r="L143" i="15"/>
  <c r="I158" i="1"/>
  <c r="N158" i="1" s="1"/>
  <c r="L131" i="15"/>
  <c r="I156" i="1"/>
  <c r="N156" i="1" s="1"/>
  <c r="L125" i="15"/>
  <c r="I155" i="1"/>
  <c r="L119" i="15"/>
  <c r="I154" i="1"/>
  <c r="L107" i="15"/>
  <c r="I152" i="1"/>
  <c r="L101" i="15"/>
  <c r="I151" i="1"/>
  <c r="I150" i="1"/>
  <c r="L89" i="15"/>
  <c r="I149" i="1"/>
  <c r="L83" i="15"/>
  <c r="I148" i="1"/>
  <c r="L77" i="15"/>
  <c r="I147" i="1"/>
  <c r="L71" i="15"/>
  <c r="I146" i="1"/>
  <c r="L65" i="15"/>
  <c r="I145" i="1"/>
  <c r="L59" i="15"/>
  <c r="I144" i="1"/>
  <c r="L53" i="15"/>
  <c r="I143" i="1"/>
  <c r="L47" i="15"/>
  <c r="I142" i="1"/>
  <c r="L41" i="15"/>
  <c r="I141" i="1"/>
  <c r="N141" i="1" s="1"/>
  <c r="L35" i="15"/>
  <c r="I140" i="1"/>
  <c r="L29" i="15"/>
  <c r="I139" i="1"/>
  <c r="N139" i="1" s="1"/>
  <c r="L23" i="15"/>
  <c r="I138" i="1"/>
  <c r="N138" i="1" s="1"/>
  <c r="L17" i="15"/>
  <c r="I137" i="1"/>
  <c r="L11" i="15"/>
  <c r="I136" i="1"/>
  <c r="L5" i="15"/>
  <c r="I135" i="1"/>
  <c r="N135" i="1" s="1"/>
  <c r="N15" i="21"/>
  <c r="N20" i="21" s="1"/>
  <c r="N25" i="21" s="1"/>
  <c r="N30" i="21" s="1"/>
  <c r="N35" i="21" s="1"/>
  <c r="N40" i="21" s="1"/>
  <c r="N45" i="21" s="1"/>
  <c r="N50" i="21" s="1"/>
  <c r="N55" i="21" s="1"/>
  <c r="N60" i="21" s="1"/>
  <c r="N65" i="21" s="1"/>
  <c r="N70" i="21" s="1"/>
  <c r="N75" i="21" s="1"/>
  <c r="N80" i="21" s="1"/>
  <c r="N85" i="21" s="1"/>
  <c r="N96" i="21" s="1"/>
  <c r="N102" i="21" s="1"/>
  <c r="N108" i="21" s="1"/>
  <c r="N114" i="21" s="1"/>
  <c r="N120" i="21" s="1"/>
  <c r="N126" i="21" s="1"/>
  <c r="N132" i="21" s="1"/>
  <c r="N138" i="21" s="1"/>
  <c r="N144" i="21" s="1"/>
  <c r="N150" i="21" s="1"/>
  <c r="N156" i="21" s="1"/>
  <c r="N162" i="21" s="1"/>
  <c r="N168" i="21" s="1"/>
  <c r="N174" i="21" s="1"/>
  <c r="N180" i="21" s="1"/>
  <c r="N186" i="21" s="1"/>
  <c r="F35" i="22"/>
  <c r="J34" i="22"/>
  <c r="K34" i="22" s="1"/>
  <c r="I33" i="22"/>
  <c r="I51" i="28" s="1"/>
  <c r="F23" i="22"/>
  <c r="J22" i="22"/>
  <c r="K22" i="22" s="1"/>
  <c r="I21" i="22"/>
  <c r="I48" i="28" s="1"/>
  <c r="F63" i="22"/>
  <c r="J62" i="22"/>
  <c r="K62" i="22" s="1"/>
  <c r="I61" i="22"/>
  <c r="I58" i="28" s="1"/>
  <c r="F59" i="22"/>
  <c r="J58" i="22"/>
  <c r="K58" i="22" s="1"/>
  <c r="I57" i="22"/>
  <c r="I57" i="28" s="1"/>
  <c r="N13" i="22"/>
  <c r="N17" i="22" s="1"/>
  <c r="N25" i="22" s="1"/>
  <c r="N29" i="22" s="1"/>
  <c r="N37" i="22" s="1"/>
  <c r="N41" i="22" s="1"/>
  <c r="N45" i="22" s="1"/>
  <c r="N49" i="22" s="1"/>
  <c r="N53" i="22" s="1"/>
  <c r="J66" i="22"/>
  <c r="K66" i="22" s="1"/>
  <c r="I65" i="22"/>
  <c r="I59" i="28" s="1"/>
  <c r="J54" i="22"/>
  <c r="K54" i="22" s="1"/>
  <c r="I53" i="22"/>
  <c r="I56" i="28" s="1"/>
  <c r="J50" i="22"/>
  <c r="K50" i="22" s="1"/>
  <c r="I49" i="22"/>
  <c r="I55" i="28" s="1"/>
  <c r="J46" i="22"/>
  <c r="K46" i="22" s="1"/>
  <c r="I45" i="22"/>
  <c r="I54" i="28" s="1"/>
  <c r="J42" i="22"/>
  <c r="K42" i="22" s="1"/>
  <c r="I41" i="22"/>
  <c r="I53" i="28" s="1"/>
  <c r="J38" i="22"/>
  <c r="K38" i="22" s="1"/>
  <c r="I37" i="22"/>
  <c r="I52" i="28" s="1"/>
  <c r="J30" i="22"/>
  <c r="K30" i="22" s="1"/>
  <c r="I29" i="22"/>
  <c r="I50" i="28" s="1"/>
  <c r="J26" i="22"/>
  <c r="K26" i="22" s="1"/>
  <c r="I25" i="22"/>
  <c r="I49" i="28" s="1"/>
  <c r="J18" i="22"/>
  <c r="K18" i="22" s="1"/>
  <c r="I17" i="22"/>
  <c r="I47" i="28" s="1"/>
  <c r="J14" i="22"/>
  <c r="K14" i="22" s="1"/>
  <c r="I13" i="22"/>
  <c r="I46" i="28" s="1"/>
  <c r="J10" i="22"/>
  <c r="K10" i="22" s="1"/>
  <c r="I9" i="22"/>
  <c r="I45" i="28" s="1"/>
  <c r="I5" i="22"/>
  <c r="I44" i="28" s="1"/>
  <c r="F55" i="22"/>
  <c r="F51" i="22"/>
  <c r="I186" i="21"/>
  <c r="I180" i="21"/>
  <c r="I174" i="21"/>
  <c r="I168" i="21"/>
  <c r="I162" i="21"/>
  <c r="I156" i="21"/>
  <c r="I150" i="21"/>
  <c r="I144" i="21"/>
  <c r="I138" i="21"/>
  <c r="I132" i="21"/>
  <c r="I126" i="21"/>
  <c r="I120" i="21"/>
  <c r="I114" i="21"/>
  <c r="I108" i="21"/>
  <c r="I102" i="21"/>
  <c r="J103" i="21"/>
  <c r="I96" i="21"/>
  <c r="D188" i="21"/>
  <c r="D187" i="21"/>
  <c r="D182" i="21"/>
  <c r="D181" i="21"/>
  <c r="D176" i="21"/>
  <c r="D175" i="21"/>
  <c r="D170" i="21"/>
  <c r="D169" i="21"/>
  <c r="D164" i="21"/>
  <c r="D163" i="21"/>
  <c r="D158" i="21"/>
  <c r="D157" i="21"/>
  <c r="D152" i="21"/>
  <c r="D151" i="21"/>
  <c r="D146" i="21"/>
  <c r="D145" i="21"/>
  <c r="D140" i="21"/>
  <c r="D139" i="21"/>
  <c r="D134" i="21"/>
  <c r="D133" i="21"/>
  <c r="D128" i="21"/>
  <c r="D127" i="21"/>
  <c r="D122" i="21"/>
  <c r="D121" i="21"/>
  <c r="D116" i="21"/>
  <c r="D115" i="21"/>
  <c r="D110" i="21"/>
  <c r="D109" i="21"/>
  <c r="D104" i="21"/>
  <c r="D103" i="21"/>
  <c r="D98" i="21"/>
  <c r="D97" i="21"/>
  <c r="I85" i="21"/>
  <c r="I80" i="21"/>
  <c r="I75" i="21"/>
  <c r="I70" i="21"/>
  <c r="I65" i="21"/>
  <c r="I60" i="21"/>
  <c r="I55" i="21"/>
  <c r="I50" i="21"/>
  <c r="I45" i="21"/>
  <c r="I40" i="21"/>
  <c r="I35" i="21"/>
  <c r="I30" i="21"/>
  <c r="I25" i="21"/>
  <c r="I20" i="21"/>
  <c r="I15" i="21"/>
  <c r="I10" i="21"/>
  <c r="I5" i="21"/>
  <c r="I90" i="21"/>
  <c r="N35" i="14"/>
  <c r="N12" i="20"/>
  <c r="N19" i="20" s="1"/>
  <c r="N26" i="20" s="1"/>
  <c r="N33" i="20" s="1"/>
  <c r="N40" i="20" s="1"/>
  <c r="N47" i="20" s="1"/>
  <c r="N54" i="20" s="1"/>
  <c r="N61" i="20" s="1"/>
  <c r="N68" i="20" s="1"/>
  <c r="N75" i="20" s="1"/>
  <c r="N82" i="20" s="1"/>
  <c r="N89" i="20" s="1"/>
  <c r="N96" i="20" s="1"/>
  <c r="N103" i="20" s="1"/>
  <c r="N110" i="20" s="1"/>
  <c r="N117" i="20" s="1"/>
  <c r="N124" i="20" s="1"/>
  <c r="N131" i="20" s="1"/>
  <c r="N138" i="20" s="1"/>
  <c r="N145" i="20" s="1"/>
  <c r="N152" i="20" s="1"/>
  <c r="N159" i="20" s="1"/>
  <c r="N166" i="20" s="1"/>
  <c r="N173" i="20" s="1"/>
  <c r="N180" i="20" s="1"/>
  <c r="N187" i="20" s="1"/>
  <c r="N194" i="20" s="1"/>
  <c r="N201" i="20" s="1"/>
  <c r="N208" i="20" s="1"/>
  <c r="N215" i="20" s="1"/>
  <c r="N222" i="20" s="1"/>
  <c r="N229" i="20" s="1"/>
  <c r="N236" i="20" s="1"/>
  <c r="N243" i="20" s="1"/>
  <c r="N250" i="20" s="1"/>
  <c r="N257" i="20" s="1"/>
  <c r="N264" i="20" s="1"/>
  <c r="N20" i="19"/>
  <c r="N28" i="19" s="1"/>
  <c r="N36" i="19" s="1"/>
  <c r="N44" i="19" s="1"/>
  <c r="N52" i="19" s="1"/>
  <c r="N60" i="19" s="1"/>
  <c r="N68" i="19" s="1"/>
  <c r="N81" i="19" s="1"/>
  <c r="N94" i="19" s="1"/>
  <c r="N107" i="19" s="1"/>
  <c r="N120" i="19" s="1"/>
  <c r="N133" i="19" s="1"/>
  <c r="N146" i="19" s="1"/>
  <c r="N159" i="19" s="1"/>
  <c r="N172" i="19" s="1"/>
  <c r="N185" i="19" s="1"/>
  <c r="N198" i="19" s="1"/>
  <c r="N211" i="19" s="1"/>
  <c r="N224" i="19" s="1"/>
  <c r="N17" i="18"/>
  <c r="N23" i="18" s="1"/>
  <c r="N29" i="18" s="1"/>
  <c r="N35" i="18" s="1"/>
  <c r="N41" i="18" s="1"/>
  <c r="N47" i="18" s="1"/>
  <c r="N53" i="18" s="1"/>
  <c r="N59" i="18" s="1"/>
  <c r="N65" i="18" s="1"/>
  <c r="N71" i="18" s="1"/>
  <c r="N77" i="18" s="1"/>
  <c r="N89" i="18" s="1"/>
  <c r="N95" i="18" s="1"/>
  <c r="N101" i="18" s="1"/>
  <c r="N107" i="18" s="1"/>
  <c r="N113" i="18" s="1"/>
  <c r="N119" i="18" s="1"/>
  <c r="N125" i="18" s="1"/>
  <c r="N131" i="18" s="1"/>
  <c r="N137" i="18" s="1"/>
  <c r="N143" i="18" s="1"/>
  <c r="N149" i="18" s="1"/>
  <c r="N155" i="18" s="1"/>
  <c r="N161" i="18" s="1"/>
  <c r="N167" i="18" s="1"/>
  <c r="N173" i="18" s="1"/>
  <c r="N179" i="18" s="1"/>
  <c r="N185" i="18" s="1"/>
  <c r="N191" i="18" s="1"/>
  <c r="N197" i="18" s="1"/>
  <c r="N203" i="18" s="1"/>
  <c r="N209" i="18" s="1"/>
  <c r="N215" i="18" s="1"/>
  <c r="N221" i="18" s="1"/>
  <c r="N227" i="18" s="1"/>
  <c r="N83" i="23"/>
  <c r="N89" i="23" s="1"/>
  <c r="N95" i="23" s="1"/>
  <c r="N101" i="23" s="1"/>
  <c r="N107" i="23" s="1"/>
  <c r="N113" i="23" s="1"/>
  <c r="N119" i="23" s="1"/>
  <c r="N125" i="23" s="1"/>
  <c r="N131" i="23" s="1"/>
  <c r="N137" i="23" s="1"/>
  <c r="N143" i="23" s="1"/>
  <c r="N149" i="23" s="1"/>
  <c r="N155" i="23" s="1"/>
  <c r="N161" i="23" s="1"/>
  <c r="N167" i="23" s="1"/>
  <c r="N20" i="14"/>
  <c r="N27" i="14" s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C97" i="1"/>
  <c r="B97" i="1"/>
  <c r="B262" i="32" l="1"/>
  <c r="O16" i="32"/>
  <c r="N146" i="1"/>
  <c r="N145" i="1"/>
  <c r="N50" i="14"/>
  <c r="N57" i="14" s="1"/>
  <c r="N42" i="14"/>
  <c r="N155" i="1"/>
  <c r="N140" i="1"/>
  <c r="N142" i="1"/>
  <c r="N150" i="1"/>
  <c r="N151" i="1"/>
  <c r="N137" i="1"/>
  <c r="N148" i="1"/>
  <c r="N143" i="1"/>
  <c r="N154" i="1"/>
  <c r="N147" i="1"/>
  <c r="N153" i="1"/>
  <c r="N149" i="1"/>
  <c r="N152" i="1"/>
  <c r="N136" i="1"/>
  <c r="N144" i="1"/>
  <c r="A230" i="14"/>
  <c r="A33" i="28"/>
  <c r="K343" i="16"/>
  <c r="G343" i="16" s="1"/>
  <c r="G342" i="16"/>
  <c r="F276" i="16"/>
  <c r="F342" i="16"/>
  <c r="K265" i="16"/>
  <c r="G265" i="16" s="1"/>
  <c r="F217" i="16"/>
  <c r="G276" i="16"/>
  <c r="K277" i="16"/>
  <c r="G277" i="16" s="1"/>
  <c r="F210" i="16"/>
  <c r="G264" i="16"/>
  <c r="F264" i="16"/>
  <c r="K211" i="16"/>
  <c r="G211" i="16" s="1"/>
  <c r="F229" i="16"/>
  <c r="G216" i="16"/>
  <c r="F222" i="16"/>
  <c r="F216" i="16"/>
  <c r="K252" i="16"/>
  <c r="G252" i="16" s="1"/>
  <c r="K223" i="16"/>
  <c r="G223" i="16" s="1"/>
  <c r="F241" i="16"/>
  <c r="G222" i="16"/>
  <c r="K259" i="16"/>
  <c r="G259" i="16" s="1"/>
  <c r="G240" i="16"/>
  <c r="F240" i="16"/>
  <c r="F247" i="16"/>
  <c r="G228" i="16"/>
  <c r="F228" i="16"/>
  <c r="G246" i="16"/>
  <c r="K271" i="16"/>
  <c r="G271" i="16" s="1"/>
  <c r="F246" i="16"/>
  <c r="K253" i="16"/>
  <c r="G253" i="16" s="1"/>
  <c r="G258" i="16"/>
  <c r="F258" i="16"/>
  <c r="K289" i="16"/>
  <c r="G289" i="16" s="1"/>
  <c r="G270" i="16"/>
  <c r="F270" i="16"/>
  <c r="F319" i="16"/>
  <c r="G288" i="16"/>
  <c r="F288" i="16"/>
  <c r="F199" i="16"/>
  <c r="F336" i="16"/>
  <c r="G318" i="16"/>
  <c r="K331" i="16"/>
  <c r="G331" i="16" s="1"/>
  <c r="F318" i="16"/>
  <c r="G336" i="16"/>
  <c r="G330" i="16"/>
  <c r="K337" i="16"/>
  <c r="G337" i="16" s="1"/>
  <c r="F330" i="16"/>
  <c r="K204" i="16"/>
  <c r="G204" i="16" s="1"/>
  <c r="F192" i="16"/>
  <c r="F205" i="16"/>
  <c r="G198" i="16"/>
  <c r="F193" i="16"/>
  <c r="F198" i="16"/>
  <c r="F150" i="16"/>
  <c r="K187" i="16"/>
  <c r="G187" i="16" s="1"/>
  <c r="G186" i="16"/>
  <c r="G180" i="16"/>
  <c r="F163" i="16"/>
  <c r="K181" i="16"/>
  <c r="G181" i="16" s="1"/>
  <c r="K157" i="16"/>
  <c r="G157" i="16" s="1"/>
  <c r="F168" i="16"/>
  <c r="F186" i="16"/>
  <c r="G192" i="16"/>
  <c r="F180" i="16"/>
  <c r="K169" i="16"/>
  <c r="G169" i="16" s="1"/>
  <c r="G168" i="16"/>
  <c r="F138" i="16"/>
  <c r="G162" i="16"/>
  <c r="F156" i="16"/>
  <c r="F162" i="16"/>
  <c r="F144" i="16"/>
  <c r="K151" i="16"/>
  <c r="G151" i="16" s="1"/>
  <c r="G156" i="16"/>
  <c r="G150" i="16"/>
  <c r="F127" i="16"/>
  <c r="K145" i="16"/>
  <c r="G145" i="16" s="1"/>
  <c r="K139" i="16"/>
  <c r="G139" i="16" s="1"/>
  <c r="F133" i="16"/>
  <c r="F126" i="16"/>
  <c r="G138" i="16"/>
  <c r="G144" i="16"/>
  <c r="F121" i="16"/>
  <c r="G132" i="16"/>
  <c r="F132" i="16"/>
  <c r="G126" i="16"/>
  <c r="F120" i="16"/>
  <c r="G120" i="16"/>
  <c r="F114" i="16"/>
  <c r="G114" i="16"/>
  <c r="K115" i="16"/>
  <c r="G115" i="16" s="1"/>
  <c r="F139" i="15"/>
  <c r="G138" i="15"/>
  <c r="K137" i="15"/>
  <c r="K157" i="1" s="1"/>
  <c r="M140" i="15"/>
  <c r="F138" i="15"/>
  <c r="F114" i="15"/>
  <c r="M116" i="15"/>
  <c r="K113" i="15"/>
  <c r="K153" i="1" s="1"/>
  <c r="G114" i="15"/>
  <c r="F115" i="15"/>
  <c r="N33" i="22"/>
  <c r="N21" i="22"/>
  <c r="M35" i="22"/>
  <c r="K33" i="22"/>
  <c r="K51" i="28" s="1"/>
  <c r="G34" i="22"/>
  <c r="F34" i="22"/>
  <c r="M23" i="22"/>
  <c r="G22" i="22"/>
  <c r="K21" i="22"/>
  <c r="K48" i="28" s="1"/>
  <c r="F22" i="22"/>
  <c r="N57" i="22"/>
  <c r="N61" i="22" s="1"/>
  <c r="N65" i="22"/>
  <c r="M59" i="22"/>
  <c r="G58" i="22"/>
  <c r="K57" i="22"/>
  <c r="K57" i="28" s="1"/>
  <c r="M63" i="22"/>
  <c r="G62" i="22"/>
  <c r="K61" i="22"/>
  <c r="K58" i="28" s="1"/>
  <c r="F58" i="22"/>
  <c r="F62" i="22"/>
  <c r="M67" i="22"/>
  <c r="M65" i="22" s="1"/>
  <c r="M59" i="28" s="1"/>
  <c r="K65" i="22"/>
  <c r="K59" i="28" s="1"/>
  <c r="M55" i="22"/>
  <c r="M53" i="22" s="1"/>
  <c r="M56" i="28" s="1"/>
  <c r="K53" i="22"/>
  <c r="K56" i="28" s="1"/>
  <c r="M51" i="22"/>
  <c r="M49" i="22" s="1"/>
  <c r="M55" i="28" s="1"/>
  <c r="K49" i="22"/>
  <c r="K55" i="28" s="1"/>
  <c r="M47" i="22"/>
  <c r="M45" i="22" s="1"/>
  <c r="M54" i="28" s="1"/>
  <c r="K45" i="22"/>
  <c r="K54" i="28" s="1"/>
  <c r="M43" i="22"/>
  <c r="M41" i="22" s="1"/>
  <c r="M53" i="28" s="1"/>
  <c r="K41" i="22"/>
  <c r="K53" i="28" s="1"/>
  <c r="M39" i="22"/>
  <c r="M37" i="22" s="1"/>
  <c r="M52" i="28" s="1"/>
  <c r="K37" i="22"/>
  <c r="K52" i="28" s="1"/>
  <c r="M31" i="22"/>
  <c r="M29" i="22" s="1"/>
  <c r="M50" i="28" s="1"/>
  <c r="K29" i="22"/>
  <c r="K50" i="28" s="1"/>
  <c r="M27" i="22"/>
  <c r="M25" i="22" s="1"/>
  <c r="M49" i="28" s="1"/>
  <c r="K25" i="22"/>
  <c r="K49" i="28" s="1"/>
  <c r="M19" i="22"/>
  <c r="M17" i="22" s="1"/>
  <c r="M47" i="28" s="1"/>
  <c r="K17" i="22"/>
  <c r="K47" i="28" s="1"/>
  <c r="M15" i="22"/>
  <c r="M13" i="22" s="1"/>
  <c r="M46" i="28" s="1"/>
  <c r="K13" i="22"/>
  <c r="K46" i="28" s="1"/>
  <c r="M11" i="22"/>
  <c r="M9" i="22" s="1"/>
  <c r="M45" i="28" s="1"/>
  <c r="K9" i="22"/>
  <c r="K45" i="28" s="1"/>
  <c r="G54" i="22"/>
  <c r="F54" i="22"/>
  <c r="F50" i="22"/>
  <c r="G50" i="22"/>
  <c r="K103" i="21"/>
  <c r="O17" i="32" l="1"/>
  <c r="B266" i="32"/>
  <c r="O263" i="32" s="1"/>
  <c r="G55" i="28"/>
  <c r="G56" i="28"/>
  <c r="G47" i="28"/>
  <c r="G53" i="28"/>
  <c r="G45" i="28"/>
  <c r="G46" i="28"/>
  <c r="G59" i="28"/>
  <c r="G52" i="28"/>
  <c r="G49" i="28"/>
  <c r="G50" i="28"/>
  <c r="A237" i="14"/>
  <c r="A34" i="28"/>
  <c r="G54" i="28"/>
  <c r="G140" i="15"/>
  <c r="M137" i="15"/>
  <c r="G116" i="15"/>
  <c r="M113" i="15"/>
  <c r="G35" i="22"/>
  <c r="M33" i="22"/>
  <c r="M51" i="28" s="1"/>
  <c r="G51" i="28" s="1"/>
  <c r="G23" i="22"/>
  <c r="M21" i="22"/>
  <c r="M48" i="28" s="1"/>
  <c r="G48" i="28" s="1"/>
  <c r="G63" i="22"/>
  <c r="M61" i="22"/>
  <c r="M58" i="28" s="1"/>
  <c r="G58" i="28" s="1"/>
  <c r="G59" i="22"/>
  <c r="M57" i="22"/>
  <c r="M57" i="28" s="1"/>
  <c r="G57" i="28" s="1"/>
  <c r="G55" i="22"/>
  <c r="G53" i="22"/>
  <c r="G49" i="22"/>
  <c r="G51" i="22"/>
  <c r="A245" i="14" l="1"/>
  <c r="A35" i="28"/>
  <c r="G57" i="22"/>
  <c r="G61" i="22"/>
  <c r="G21" i="22"/>
  <c r="G33" i="22"/>
  <c r="G113" i="15"/>
  <c r="M153" i="1"/>
  <c r="G137" i="15"/>
  <c r="M157" i="1"/>
  <c r="G157" i="1" s="1"/>
  <c r="A252" i="14" l="1"/>
  <c r="A36" i="28"/>
  <c r="G153" i="1"/>
  <c r="F262" i="20"/>
  <c r="J258" i="20"/>
  <c r="K258" i="20" s="1"/>
  <c r="M257" i="20"/>
  <c r="M133" i="1" s="1"/>
  <c r="F220" i="20"/>
  <c r="J216" i="20"/>
  <c r="K216" i="20" s="1"/>
  <c r="M215" i="20"/>
  <c r="M127" i="1" s="1"/>
  <c r="F206" i="20"/>
  <c r="J202" i="20"/>
  <c r="K202" i="20" s="1"/>
  <c r="M201" i="20"/>
  <c r="M125" i="1" s="1"/>
  <c r="F192" i="20"/>
  <c r="J188" i="20"/>
  <c r="K188" i="20" s="1"/>
  <c r="M187" i="20"/>
  <c r="M123" i="1" s="1"/>
  <c r="F178" i="20"/>
  <c r="J174" i="20"/>
  <c r="K174" i="20" s="1"/>
  <c r="M173" i="20"/>
  <c r="M121" i="1" s="1"/>
  <c r="F164" i="20"/>
  <c r="J160" i="20"/>
  <c r="K160" i="20" s="1"/>
  <c r="M159" i="20"/>
  <c r="M119" i="1" s="1"/>
  <c r="F136" i="20"/>
  <c r="J132" i="20"/>
  <c r="K132" i="20" s="1"/>
  <c r="M131" i="20"/>
  <c r="M115" i="1" s="1"/>
  <c r="F122" i="20"/>
  <c r="J118" i="20"/>
  <c r="K118" i="20" s="1"/>
  <c r="M117" i="20"/>
  <c r="M113" i="1" s="1"/>
  <c r="F108" i="20"/>
  <c r="J104" i="20"/>
  <c r="K104" i="20" s="1"/>
  <c r="M103" i="20"/>
  <c r="M111" i="1" s="1"/>
  <c r="F24" i="20"/>
  <c r="J20" i="20"/>
  <c r="K20" i="20" s="1"/>
  <c r="M19" i="20"/>
  <c r="M99" i="1" s="1"/>
  <c r="C96" i="1"/>
  <c r="C95" i="1"/>
  <c r="C94" i="1"/>
  <c r="B96" i="1"/>
  <c r="B95" i="1"/>
  <c r="B94" i="1"/>
  <c r="C93" i="1"/>
  <c r="C92" i="1"/>
  <c r="C91" i="1"/>
  <c r="B93" i="1"/>
  <c r="B92" i="1"/>
  <c r="B91" i="1"/>
  <c r="C90" i="1"/>
  <c r="C89" i="1"/>
  <c r="C88" i="1"/>
  <c r="B90" i="1"/>
  <c r="B89" i="1"/>
  <c r="B88" i="1"/>
  <c r="C87" i="1"/>
  <c r="C86" i="1"/>
  <c r="C85" i="1"/>
  <c r="B87" i="1"/>
  <c r="B86" i="1"/>
  <c r="B85" i="1"/>
  <c r="C84" i="1"/>
  <c r="C83" i="1"/>
  <c r="C82" i="1"/>
  <c r="C81" i="1"/>
  <c r="B84" i="1"/>
  <c r="B83" i="1"/>
  <c r="B82" i="1"/>
  <c r="B81" i="1"/>
  <c r="L78" i="1"/>
  <c r="C80" i="1"/>
  <c r="C79" i="1"/>
  <c r="C78" i="1"/>
  <c r="C77" i="1"/>
  <c r="C76" i="1"/>
  <c r="C75" i="1"/>
  <c r="C74" i="1"/>
  <c r="B80" i="1"/>
  <c r="B79" i="1"/>
  <c r="B78" i="1"/>
  <c r="B77" i="1"/>
  <c r="B76" i="1"/>
  <c r="B75" i="1"/>
  <c r="B74" i="1"/>
  <c r="C73" i="1"/>
  <c r="B73" i="1"/>
  <c r="L72" i="1"/>
  <c r="C72" i="1"/>
  <c r="B72" i="1"/>
  <c r="J250" i="18"/>
  <c r="K250" i="18" s="1"/>
  <c r="G250" i="18" s="1"/>
  <c r="J249" i="18"/>
  <c r="F249" i="18" s="1"/>
  <c r="F251" i="18"/>
  <c r="M245" i="18"/>
  <c r="M72" i="1" s="1"/>
  <c r="C71" i="1"/>
  <c r="B71" i="1"/>
  <c r="F243" i="18"/>
  <c r="J242" i="18"/>
  <c r="K242" i="18" s="1"/>
  <c r="G242" i="18" s="1"/>
  <c r="J241" i="18"/>
  <c r="K241" i="18" s="1"/>
  <c r="M237" i="18"/>
  <c r="M71" i="1" s="1"/>
  <c r="C70" i="1"/>
  <c r="B70" i="1"/>
  <c r="C69" i="1"/>
  <c r="B69" i="1"/>
  <c r="C68" i="1"/>
  <c r="B68" i="1"/>
  <c r="C67" i="1"/>
  <c r="B67" i="1"/>
  <c r="C66" i="1"/>
  <c r="B66" i="1"/>
  <c r="C65" i="1"/>
  <c r="B65" i="1"/>
  <c r="C64" i="1"/>
  <c r="B64" i="1"/>
  <c r="C63" i="1"/>
  <c r="B63" i="1"/>
  <c r="C62" i="1"/>
  <c r="B62" i="1"/>
  <c r="C61" i="1"/>
  <c r="B61" i="1"/>
  <c r="C60" i="1"/>
  <c r="B60" i="1"/>
  <c r="C59" i="1"/>
  <c r="B59" i="1"/>
  <c r="C58" i="1"/>
  <c r="B58" i="1"/>
  <c r="C57" i="1"/>
  <c r="B57" i="1"/>
  <c r="C56" i="1"/>
  <c r="B56" i="1"/>
  <c r="C55" i="1"/>
  <c r="B55" i="1"/>
  <c r="C54" i="1"/>
  <c r="B54" i="1"/>
  <c r="C53" i="1"/>
  <c r="B53" i="1"/>
  <c r="C52" i="1"/>
  <c r="B52" i="1"/>
  <c r="C51" i="1"/>
  <c r="B51" i="1"/>
  <c r="C50" i="1"/>
  <c r="B50" i="1"/>
  <c r="C49" i="1"/>
  <c r="B49" i="1"/>
  <c r="C48" i="1"/>
  <c r="B48" i="1"/>
  <c r="C47" i="1"/>
  <c r="B47" i="1"/>
  <c r="C46" i="1"/>
  <c r="B46" i="1"/>
  <c r="C45" i="1"/>
  <c r="B45" i="1"/>
  <c r="C44" i="1"/>
  <c r="B44" i="1"/>
  <c r="C43" i="1"/>
  <c r="B43" i="1"/>
  <c r="C42" i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J222" i="18"/>
  <c r="K222" i="18" s="1"/>
  <c r="J174" i="18"/>
  <c r="K174" i="18" s="1"/>
  <c r="J150" i="18"/>
  <c r="K150" i="18" s="1"/>
  <c r="J138" i="18"/>
  <c r="K138" i="18" s="1"/>
  <c r="J114" i="18"/>
  <c r="F114" i="18" s="1"/>
  <c r="J90" i="18"/>
  <c r="K90" i="18" s="1"/>
  <c r="J18" i="18"/>
  <c r="K18" i="18" s="1"/>
  <c r="A260" i="14" l="1"/>
  <c r="A37" i="28"/>
  <c r="G222" i="18"/>
  <c r="L223" i="18"/>
  <c r="K224" i="18"/>
  <c r="K221" i="18" s="1"/>
  <c r="L175" i="18"/>
  <c r="K176" i="18"/>
  <c r="K173" i="18" s="1"/>
  <c r="L151" i="18"/>
  <c r="K152" i="18"/>
  <c r="K149" i="18" s="1"/>
  <c r="L139" i="18"/>
  <c r="K140" i="18"/>
  <c r="L91" i="18"/>
  <c r="K92" i="18"/>
  <c r="K89" i="18" s="1"/>
  <c r="L19" i="18"/>
  <c r="K20" i="18"/>
  <c r="I243" i="18"/>
  <c r="G243" i="18" s="1"/>
  <c r="F258" i="20"/>
  <c r="F241" i="18"/>
  <c r="F202" i="20"/>
  <c r="K257" i="20"/>
  <c r="K133" i="1" s="1"/>
  <c r="I262" i="20"/>
  <c r="G262" i="20" s="1"/>
  <c r="G258" i="20"/>
  <c r="I220" i="20"/>
  <c r="G220" i="20" s="1"/>
  <c r="G216" i="20"/>
  <c r="K215" i="20"/>
  <c r="K127" i="1" s="1"/>
  <c r="F216" i="20"/>
  <c r="I206" i="20"/>
  <c r="G206" i="20" s="1"/>
  <c r="K201" i="20"/>
  <c r="K125" i="1" s="1"/>
  <c r="G202" i="20"/>
  <c r="F174" i="20"/>
  <c r="I192" i="20"/>
  <c r="G192" i="20" s="1"/>
  <c r="G188" i="20"/>
  <c r="K187" i="20"/>
  <c r="K123" i="1" s="1"/>
  <c r="F188" i="20"/>
  <c r="F160" i="20"/>
  <c r="I178" i="20"/>
  <c r="G178" i="20" s="1"/>
  <c r="G174" i="20"/>
  <c r="K173" i="20"/>
  <c r="K121" i="1" s="1"/>
  <c r="I164" i="20"/>
  <c r="G164" i="20" s="1"/>
  <c r="G160" i="20"/>
  <c r="K159" i="20"/>
  <c r="K119" i="1" s="1"/>
  <c r="F104" i="20"/>
  <c r="G132" i="20"/>
  <c r="K131" i="20"/>
  <c r="K115" i="1" s="1"/>
  <c r="I136" i="20"/>
  <c r="G136" i="20" s="1"/>
  <c r="F132" i="20"/>
  <c r="I122" i="20"/>
  <c r="G122" i="20" s="1"/>
  <c r="K117" i="20"/>
  <c r="K113" i="1" s="1"/>
  <c r="G118" i="20"/>
  <c r="F118" i="20"/>
  <c r="I108" i="20"/>
  <c r="G108" i="20" s="1"/>
  <c r="G104" i="20"/>
  <c r="K103" i="20"/>
  <c r="K111" i="1" s="1"/>
  <c r="I24" i="20"/>
  <c r="G24" i="20" s="1"/>
  <c r="K19" i="20"/>
  <c r="K99" i="1" s="1"/>
  <c r="G20" i="20"/>
  <c r="F20" i="20"/>
  <c r="K249" i="18"/>
  <c r="I251" i="18" s="1"/>
  <c r="G251" i="18" s="1"/>
  <c r="F250" i="18"/>
  <c r="G241" i="18"/>
  <c r="K237" i="18"/>
  <c r="K71" i="1" s="1"/>
  <c r="F242" i="18"/>
  <c r="F222" i="18"/>
  <c r="G174" i="18"/>
  <c r="F174" i="18"/>
  <c r="G150" i="18"/>
  <c r="F150" i="18"/>
  <c r="G138" i="18"/>
  <c r="F138" i="18"/>
  <c r="K114" i="18"/>
  <c r="G90" i="18"/>
  <c r="F90" i="18"/>
  <c r="G18" i="18"/>
  <c r="F18" i="18"/>
  <c r="A267" i="14" l="1"/>
  <c r="A38" i="28"/>
  <c r="M223" i="18"/>
  <c r="F223" i="18"/>
  <c r="M175" i="18"/>
  <c r="F175" i="18"/>
  <c r="M151" i="18"/>
  <c r="F151" i="18"/>
  <c r="K137" i="18"/>
  <c r="M139" i="18"/>
  <c r="F139" i="18"/>
  <c r="L115" i="18"/>
  <c r="K116" i="18"/>
  <c r="K113" i="18" s="1"/>
  <c r="M91" i="18"/>
  <c r="F91" i="18"/>
  <c r="K17" i="18"/>
  <c r="M19" i="18"/>
  <c r="F19" i="18"/>
  <c r="G249" i="18"/>
  <c r="K245" i="18"/>
  <c r="K72" i="1" s="1"/>
  <c r="G114" i="18"/>
  <c r="A275" i="14" l="1"/>
  <c r="A39" i="28"/>
  <c r="G223" i="18"/>
  <c r="M224" i="18"/>
  <c r="G175" i="18"/>
  <c r="M176" i="18"/>
  <c r="G151" i="18"/>
  <c r="M152" i="18"/>
  <c r="G139" i="18"/>
  <c r="M140" i="18"/>
  <c r="M115" i="18"/>
  <c r="F115" i="18"/>
  <c r="G91" i="18"/>
  <c r="M92" i="18"/>
  <c r="G19" i="18"/>
  <c r="M20" i="18"/>
  <c r="A11" i="23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C10" i="1"/>
  <c r="C9" i="1"/>
  <c r="C8" i="1"/>
  <c r="C7" i="1"/>
  <c r="C6" i="1"/>
  <c r="C5" i="1"/>
  <c r="B10" i="1"/>
  <c r="B9" i="1"/>
  <c r="B8" i="1"/>
  <c r="B7" i="1"/>
  <c r="B6" i="1"/>
  <c r="B5" i="1"/>
  <c r="C4" i="1"/>
  <c r="B4" i="1"/>
  <c r="J19" i="23"/>
  <c r="K19" i="23" s="1"/>
  <c r="G19" i="23" s="1"/>
  <c r="J18" i="23"/>
  <c r="K18" i="23" s="1"/>
  <c r="J31" i="23"/>
  <c r="K31" i="23" s="1"/>
  <c r="G31" i="23" s="1"/>
  <c r="J55" i="23"/>
  <c r="K55" i="23" s="1"/>
  <c r="G55" i="23" s="1"/>
  <c r="J54" i="23"/>
  <c r="K54" i="23" s="1"/>
  <c r="A282" i="14" l="1"/>
  <c r="A40" i="28"/>
  <c r="G224" i="18"/>
  <c r="M221" i="18"/>
  <c r="G176" i="18"/>
  <c r="M173" i="18"/>
  <c r="G152" i="18"/>
  <c r="M149" i="18"/>
  <c r="M137" i="18"/>
  <c r="G140" i="18"/>
  <c r="G115" i="18"/>
  <c r="M116" i="18"/>
  <c r="G92" i="18"/>
  <c r="M89" i="18"/>
  <c r="M17" i="18"/>
  <c r="G20" i="18"/>
  <c r="F19" i="23"/>
  <c r="A17" i="23"/>
  <c r="G18" i="23"/>
  <c r="F18" i="23"/>
  <c r="F31" i="23"/>
  <c r="G54" i="23"/>
  <c r="F55" i="23"/>
  <c r="F54" i="23"/>
  <c r="A41" i="28" l="1"/>
  <c r="A290" i="14"/>
  <c r="G116" i="18"/>
  <c r="M113" i="18"/>
  <c r="A23" i="23"/>
  <c r="A29" i="23"/>
  <c r="N65" i="14"/>
  <c r="N80" i="14" l="1"/>
  <c r="N72" i="14"/>
  <c r="A297" i="14"/>
  <c r="A42" i="28"/>
  <c r="A35" i="23"/>
  <c r="A5" i="22" l="1"/>
  <c r="A44" i="28" s="1"/>
  <c r="A43" i="28"/>
  <c r="N95" i="14"/>
  <c r="N87" i="14"/>
  <c r="A41" i="23"/>
  <c r="J169" i="23"/>
  <c r="K169" i="23" s="1"/>
  <c r="G169" i="23" s="1"/>
  <c r="J168" i="23"/>
  <c r="F168" i="23" s="1"/>
  <c r="J163" i="23"/>
  <c r="F163" i="23" s="1"/>
  <c r="J162" i="23"/>
  <c r="K162" i="23" s="1"/>
  <c r="J157" i="23"/>
  <c r="F157" i="23" s="1"/>
  <c r="J156" i="23"/>
  <c r="F156" i="23" s="1"/>
  <c r="J151" i="23"/>
  <c r="K151" i="23" s="1"/>
  <c r="G151" i="23" s="1"/>
  <c r="J150" i="23"/>
  <c r="F150" i="23" s="1"/>
  <c r="J145" i="23"/>
  <c r="F145" i="23" s="1"/>
  <c r="J144" i="23"/>
  <c r="K144" i="23" s="1"/>
  <c r="J139" i="23"/>
  <c r="F139" i="23" s="1"/>
  <c r="J138" i="23"/>
  <c r="F138" i="23" s="1"/>
  <c r="J133" i="23"/>
  <c r="K133" i="23" s="1"/>
  <c r="G133" i="23" s="1"/>
  <c r="J132" i="23"/>
  <c r="F132" i="23" s="1"/>
  <c r="J127" i="23"/>
  <c r="F127" i="23" s="1"/>
  <c r="J126" i="23"/>
  <c r="K126" i="23" s="1"/>
  <c r="J121" i="23"/>
  <c r="K121" i="23" s="1"/>
  <c r="G121" i="23" s="1"/>
  <c r="J120" i="23"/>
  <c r="F120" i="23" s="1"/>
  <c r="J115" i="23"/>
  <c r="K115" i="23" s="1"/>
  <c r="G115" i="23" s="1"/>
  <c r="J114" i="23"/>
  <c r="F114" i="23" s="1"/>
  <c r="J109" i="23"/>
  <c r="F109" i="23" s="1"/>
  <c r="J108" i="23"/>
  <c r="K108" i="23" s="1"/>
  <c r="J103" i="23"/>
  <c r="F103" i="23" s="1"/>
  <c r="J102" i="23"/>
  <c r="F102" i="23" s="1"/>
  <c r="J97" i="23"/>
  <c r="K97" i="23" s="1"/>
  <c r="G97" i="23" s="1"/>
  <c r="J96" i="23"/>
  <c r="F96" i="23" s="1"/>
  <c r="J91" i="23"/>
  <c r="F91" i="23" s="1"/>
  <c r="J90" i="23"/>
  <c r="K90" i="23" s="1"/>
  <c r="J85" i="23"/>
  <c r="F85" i="23" s="1"/>
  <c r="J84" i="23"/>
  <c r="F84" i="23" s="1"/>
  <c r="J79" i="23"/>
  <c r="K79" i="23" s="1"/>
  <c r="G79" i="23" s="1"/>
  <c r="J78" i="23"/>
  <c r="K78" i="23" s="1"/>
  <c r="J73" i="23"/>
  <c r="F73" i="23" s="1"/>
  <c r="J72" i="23"/>
  <c r="K72" i="23" s="1"/>
  <c r="J67" i="23"/>
  <c r="K67" i="23" s="1"/>
  <c r="G67" i="23" s="1"/>
  <c r="J66" i="23"/>
  <c r="F66" i="23" s="1"/>
  <c r="J61" i="23"/>
  <c r="K61" i="23" s="1"/>
  <c r="G61" i="23" s="1"/>
  <c r="J60" i="23"/>
  <c r="K60" i="23" s="1"/>
  <c r="J49" i="23"/>
  <c r="F49" i="23" s="1"/>
  <c r="J48" i="23"/>
  <c r="K48" i="23" s="1"/>
  <c r="J43" i="23"/>
  <c r="F43" i="23" s="1"/>
  <c r="J42" i="23"/>
  <c r="F42" i="23" s="1"/>
  <c r="J37" i="23"/>
  <c r="K37" i="23" s="1"/>
  <c r="G37" i="23" s="1"/>
  <c r="J36" i="23"/>
  <c r="F36" i="23" s="1"/>
  <c r="J25" i="23"/>
  <c r="F25" i="23" s="1"/>
  <c r="J24" i="23"/>
  <c r="K24" i="23" s="1"/>
  <c r="J13" i="23"/>
  <c r="F13" i="23" s="1"/>
  <c r="J12" i="23"/>
  <c r="F12" i="23" s="1"/>
  <c r="J7" i="23"/>
  <c r="K7" i="23" s="1"/>
  <c r="G7" i="23" s="1"/>
  <c r="J6" i="23"/>
  <c r="F6" i="23" s="1"/>
  <c r="F67" i="22"/>
  <c r="F66" i="22"/>
  <c r="F47" i="22"/>
  <c r="F43" i="22"/>
  <c r="F39" i="22"/>
  <c r="F31" i="22"/>
  <c r="F27" i="22"/>
  <c r="F26" i="22"/>
  <c r="F19" i="22"/>
  <c r="F15" i="22"/>
  <c r="F11" i="22"/>
  <c r="F7" i="22"/>
  <c r="J6" i="22"/>
  <c r="K6" i="22" s="1"/>
  <c r="F190" i="21"/>
  <c r="J188" i="21"/>
  <c r="K188" i="21" s="1"/>
  <c r="G188" i="21" s="1"/>
  <c r="J187" i="21"/>
  <c r="F187" i="21" s="1"/>
  <c r="F184" i="21"/>
  <c r="J182" i="21"/>
  <c r="F182" i="21" s="1"/>
  <c r="J181" i="21"/>
  <c r="K181" i="21" s="1"/>
  <c r="F178" i="21"/>
  <c r="J176" i="21"/>
  <c r="K176" i="21" s="1"/>
  <c r="G176" i="21" s="1"/>
  <c r="J175" i="21"/>
  <c r="F175" i="21" s="1"/>
  <c r="F172" i="21"/>
  <c r="J170" i="21"/>
  <c r="F170" i="21" s="1"/>
  <c r="J169" i="21"/>
  <c r="F169" i="21" s="1"/>
  <c r="F166" i="21"/>
  <c r="J164" i="21"/>
  <c r="F164" i="21" s="1"/>
  <c r="J163" i="21"/>
  <c r="K163" i="21" s="1"/>
  <c r="F160" i="21"/>
  <c r="J158" i="21"/>
  <c r="K158" i="21" s="1"/>
  <c r="G158" i="21" s="1"/>
  <c r="J157" i="21"/>
  <c r="K157" i="21" s="1"/>
  <c r="F154" i="21"/>
  <c r="J152" i="21"/>
  <c r="K152" i="21" s="1"/>
  <c r="G152" i="21" s="1"/>
  <c r="J151" i="21"/>
  <c r="F151" i="21" s="1"/>
  <c r="F148" i="21"/>
  <c r="J146" i="21"/>
  <c r="F146" i="21" s="1"/>
  <c r="J145" i="21"/>
  <c r="F145" i="21" s="1"/>
  <c r="F142" i="21"/>
  <c r="J140" i="21"/>
  <c r="F140" i="21" s="1"/>
  <c r="J139" i="21"/>
  <c r="K139" i="21" s="1"/>
  <c r="F136" i="21"/>
  <c r="J134" i="21"/>
  <c r="F134" i="21" s="1"/>
  <c r="J133" i="21"/>
  <c r="F133" i="21" s="1"/>
  <c r="F130" i="21"/>
  <c r="J128" i="21"/>
  <c r="F128" i="21" s="1"/>
  <c r="J127" i="21"/>
  <c r="F127" i="21" s="1"/>
  <c r="F124" i="21"/>
  <c r="J122" i="21"/>
  <c r="K122" i="21" s="1"/>
  <c r="G122" i="21" s="1"/>
  <c r="J121" i="21"/>
  <c r="K121" i="21" s="1"/>
  <c r="F118" i="21"/>
  <c r="J116" i="21"/>
  <c r="F116" i="21" s="1"/>
  <c r="J115" i="21"/>
  <c r="F115" i="21" s="1"/>
  <c r="F112" i="21"/>
  <c r="J110" i="21"/>
  <c r="F110" i="21" s="1"/>
  <c r="J109" i="21"/>
  <c r="K109" i="21" s="1"/>
  <c r="F106" i="21"/>
  <c r="J104" i="21"/>
  <c r="F104" i="21" s="1"/>
  <c r="F100" i="21"/>
  <c r="J98" i="21"/>
  <c r="K98" i="21" s="1"/>
  <c r="G98" i="21" s="1"/>
  <c r="J97" i="21"/>
  <c r="F97" i="21" s="1"/>
  <c r="F94" i="21"/>
  <c r="J92" i="21"/>
  <c r="F92" i="21" s="1"/>
  <c r="J91" i="21"/>
  <c r="F91" i="21" s="1"/>
  <c r="F88" i="21"/>
  <c r="J87" i="21"/>
  <c r="K87" i="21" s="1"/>
  <c r="G87" i="21" s="1"/>
  <c r="J86" i="21"/>
  <c r="K86" i="21" s="1"/>
  <c r="F83" i="21"/>
  <c r="J82" i="21"/>
  <c r="K82" i="21" s="1"/>
  <c r="G82" i="21" s="1"/>
  <c r="J81" i="21"/>
  <c r="F81" i="21" s="1"/>
  <c r="F78" i="21"/>
  <c r="J77" i="21"/>
  <c r="F77" i="21" s="1"/>
  <c r="J76" i="21"/>
  <c r="K76" i="21" s="1"/>
  <c r="F73" i="21"/>
  <c r="J72" i="21"/>
  <c r="F72" i="21" s="1"/>
  <c r="J71" i="21"/>
  <c r="K71" i="21" s="1"/>
  <c r="F68" i="21"/>
  <c r="J67" i="21"/>
  <c r="K67" i="21" s="1"/>
  <c r="G67" i="21" s="1"/>
  <c r="J66" i="21"/>
  <c r="K66" i="21" s="1"/>
  <c r="F63" i="21"/>
  <c r="J62" i="21"/>
  <c r="K62" i="21" s="1"/>
  <c r="G62" i="21" s="1"/>
  <c r="J61" i="21"/>
  <c r="K61" i="21" s="1"/>
  <c r="F58" i="21"/>
  <c r="J57" i="21"/>
  <c r="K57" i="21" s="1"/>
  <c r="G57" i="21" s="1"/>
  <c r="J56" i="21"/>
  <c r="K56" i="21" s="1"/>
  <c r="F53" i="21"/>
  <c r="J52" i="21"/>
  <c r="K52" i="21" s="1"/>
  <c r="G52" i="21" s="1"/>
  <c r="J51" i="21"/>
  <c r="F51" i="21" s="1"/>
  <c r="F48" i="21"/>
  <c r="J47" i="21"/>
  <c r="K47" i="21" s="1"/>
  <c r="G47" i="21" s="1"/>
  <c r="J46" i="21"/>
  <c r="K46" i="21" s="1"/>
  <c r="F43" i="21"/>
  <c r="J42" i="21"/>
  <c r="K42" i="21" s="1"/>
  <c r="G42" i="21" s="1"/>
  <c r="J41" i="21"/>
  <c r="K41" i="21" s="1"/>
  <c r="F38" i="21"/>
  <c r="J37" i="21"/>
  <c r="F37" i="21" s="1"/>
  <c r="J36" i="21"/>
  <c r="K36" i="21" s="1"/>
  <c r="F33" i="21"/>
  <c r="J32" i="21"/>
  <c r="K32" i="21" s="1"/>
  <c r="G32" i="21" s="1"/>
  <c r="J31" i="21"/>
  <c r="F31" i="21" s="1"/>
  <c r="F28" i="21"/>
  <c r="J27" i="21"/>
  <c r="K27" i="21" s="1"/>
  <c r="G27" i="21" s="1"/>
  <c r="J26" i="21"/>
  <c r="K26" i="21" s="1"/>
  <c r="F23" i="21"/>
  <c r="J22" i="21"/>
  <c r="K22" i="21" s="1"/>
  <c r="G22" i="21" s="1"/>
  <c r="J21" i="21"/>
  <c r="K21" i="21" s="1"/>
  <c r="F18" i="21"/>
  <c r="J17" i="21"/>
  <c r="F17" i="21" s="1"/>
  <c r="J16" i="21"/>
  <c r="K16" i="21" s="1"/>
  <c r="F13" i="21"/>
  <c r="J12" i="21"/>
  <c r="K12" i="21" s="1"/>
  <c r="G12" i="21" s="1"/>
  <c r="J11" i="21"/>
  <c r="F11" i="21" s="1"/>
  <c r="F8" i="21"/>
  <c r="J7" i="21"/>
  <c r="F7" i="21" s="1"/>
  <c r="J6" i="21"/>
  <c r="K6" i="21" s="1"/>
  <c r="F269" i="20"/>
  <c r="J265" i="20"/>
  <c r="K265" i="20" s="1"/>
  <c r="M264" i="20"/>
  <c r="M134" i="1" s="1"/>
  <c r="F255" i="20"/>
  <c r="J251" i="20"/>
  <c r="K251" i="20" s="1"/>
  <c r="M250" i="20"/>
  <c r="M132" i="1" s="1"/>
  <c r="F248" i="20"/>
  <c r="J244" i="20"/>
  <c r="K244" i="20" s="1"/>
  <c r="M243" i="20"/>
  <c r="M131" i="1" s="1"/>
  <c r="F241" i="20"/>
  <c r="J237" i="20"/>
  <c r="K237" i="20" s="1"/>
  <c r="M236" i="20"/>
  <c r="M130" i="1" s="1"/>
  <c r="F234" i="20"/>
  <c r="J230" i="20"/>
  <c r="K230" i="20" s="1"/>
  <c r="M229" i="20"/>
  <c r="M129" i="1" s="1"/>
  <c r="F227" i="20"/>
  <c r="J223" i="20"/>
  <c r="K223" i="20" s="1"/>
  <c r="M222" i="20"/>
  <c r="M128" i="1" s="1"/>
  <c r="F213" i="20"/>
  <c r="J209" i="20"/>
  <c r="K209" i="20" s="1"/>
  <c r="M208" i="20"/>
  <c r="M126" i="1" s="1"/>
  <c r="F199" i="20"/>
  <c r="J195" i="20"/>
  <c r="M194" i="20"/>
  <c r="M124" i="1" s="1"/>
  <c r="F185" i="20"/>
  <c r="J181" i="20"/>
  <c r="F181" i="20" s="1"/>
  <c r="M180" i="20"/>
  <c r="M122" i="1" s="1"/>
  <c r="F171" i="20"/>
  <c r="J167" i="20"/>
  <c r="K167" i="20" s="1"/>
  <c r="G167" i="20" s="1"/>
  <c r="M166" i="20"/>
  <c r="M120" i="1" s="1"/>
  <c r="F157" i="20"/>
  <c r="J153" i="20"/>
  <c r="K153" i="20" s="1"/>
  <c r="M152" i="20"/>
  <c r="M118" i="1" s="1"/>
  <c r="F150" i="20"/>
  <c r="J146" i="20"/>
  <c r="K146" i="20" s="1"/>
  <c r="M145" i="20"/>
  <c r="M117" i="1" s="1"/>
  <c r="F143" i="20"/>
  <c r="J139" i="20"/>
  <c r="F139" i="20" s="1"/>
  <c r="M138" i="20"/>
  <c r="M116" i="1" s="1"/>
  <c r="F129" i="20"/>
  <c r="J125" i="20"/>
  <c r="K125" i="20" s="1"/>
  <c r="M124" i="20"/>
  <c r="M114" i="1" s="1"/>
  <c r="F115" i="20"/>
  <c r="J111" i="20"/>
  <c r="K111" i="20" s="1"/>
  <c r="M110" i="20"/>
  <c r="M112" i="1" s="1"/>
  <c r="F101" i="20"/>
  <c r="J97" i="20"/>
  <c r="K97" i="20" s="1"/>
  <c r="M96" i="20"/>
  <c r="M110" i="1" s="1"/>
  <c r="F94" i="20"/>
  <c r="J90" i="20"/>
  <c r="K90" i="20" s="1"/>
  <c r="M89" i="20"/>
  <c r="M109" i="1" s="1"/>
  <c r="F87" i="20"/>
  <c r="J83" i="20"/>
  <c r="F83" i="20" s="1"/>
  <c r="M82" i="20"/>
  <c r="M108" i="1" s="1"/>
  <c r="F80" i="20"/>
  <c r="J76" i="20"/>
  <c r="K76" i="20" s="1"/>
  <c r="G76" i="20" s="1"/>
  <c r="M75" i="20"/>
  <c r="M107" i="1" s="1"/>
  <c r="F73" i="20"/>
  <c r="J69" i="20"/>
  <c r="M68" i="20"/>
  <c r="M106" i="1" s="1"/>
  <c r="F66" i="20"/>
  <c r="J62" i="20"/>
  <c r="F62" i="20" s="1"/>
  <c r="M61" i="20"/>
  <c r="M105" i="1" s="1"/>
  <c r="F59" i="20"/>
  <c r="J55" i="20"/>
  <c r="K55" i="20" s="1"/>
  <c r="M54" i="20"/>
  <c r="M104" i="1" s="1"/>
  <c r="F52" i="20"/>
  <c r="J48" i="20"/>
  <c r="K48" i="20" s="1"/>
  <c r="M47" i="20"/>
  <c r="M103" i="1" s="1"/>
  <c r="F45" i="20"/>
  <c r="J41" i="20"/>
  <c r="K41" i="20" s="1"/>
  <c r="I45" i="20" s="1"/>
  <c r="G45" i="20" s="1"/>
  <c r="M40" i="20"/>
  <c r="M102" i="1" s="1"/>
  <c r="F38" i="20"/>
  <c r="J34" i="20"/>
  <c r="F34" i="20" s="1"/>
  <c r="M33" i="20"/>
  <c r="M101" i="1" s="1"/>
  <c r="F31" i="20"/>
  <c r="J27" i="20"/>
  <c r="K27" i="20" s="1"/>
  <c r="M26" i="20"/>
  <c r="M100" i="1" s="1"/>
  <c r="F17" i="20"/>
  <c r="J13" i="20"/>
  <c r="K13" i="20" s="1"/>
  <c r="M12" i="20"/>
  <c r="M98" i="1" s="1"/>
  <c r="F10" i="20"/>
  <c r="J6" i="20"/>
  <c r="F6" i="20" s="1"/>
  <c r="M5" i="20"/>
  <c r="M97" i="1" s="1"/>
  <c r="J235" i="19"/>
  <c r="K235" i="19" s="1"/>
  <c r="G235" i="19" s="1"/>
  <c r="J234" i="19"/>
  <c r="K234" i="19" s="1"/>
  <c r="G234" i="19" s="1"/>
  <c r="J229" i="19"/>
  <c r="K229" i="19" s="1"/>
  <c r="G229" i="19" s="1"/>
  <c r="J228" i="19"/>
  <c r="K228" i="19" s="1"/>
  <c r="M224" i="19"/>
  <c r="M96" i="1" s="1"/>
  <c r="J222" i="19"/>
  <c r="K222" i="19" s="1"/>
  <c r="G222" i="19" s="1"/>
  <c r="J221" i="19"/>
  <c r="K221" i="19" s="1"/>
  <c r="G221" i="19" s="1"/>
  <c r="J216" i="19"/>
  <c r="K216" i="19" s="1"/>
  <c r="J215" i="19"/>
  <c r="K215" i="19" s="1"/>
  <c r="G215" i="19" s="1"/>
  <c r="M211" i="19"/>
  <c r="M95" i="1" s="1"/>
  <c r="J209" i="19"/>
  <c r="K209" i="19" s="1"/>
  <c r="G209" i="19" s="1"/>
  <c r="J208" i="19"/>
  <c r="K208" i="19" s="1"/>
  <c r="G208" i="19" s="1"/>
  <c r="J203" i="19"/>
  <c r="F203" i="19" s="1"/>
  <c r="J202" i="19"/>
  <c r="K202" i="19" s="1"/>
  <c r="G202" i="19" s="1"/>
  <c r="M198" i="19"/>
  <c r="M94" i="1" s="1"/>
  <c r="J196" i="19"/>
  <c r="K196" i="19" s="1"/>
  <c r="G196" i="19" s="1"/>
  <c r="J195" i="19"/>
  <c r="K195" i="19" s="1"/>
  <c r="G195" i="19" s="1"/>
  <c r="J190" i="19"/>
  <c r="K190" i="19" s="1"/>
  <c r="G190" i="19" s="1"/>
  <c r="J189" i="19"/>
  <c r="K189" i="19" s="1"/>
  <c r="G189" i="19" s="1"/>
  <c r="M185" i="19"/>
  <c r="M93" i="1" s="1"/>
  <c r="J183" i="19"/>
  <c r="K183" i="19" s="1"/>
  <c r="G183" i="19" s="1"/>
  <c r="J182" i="19"/>
  <c r="K182" i="19" s="1"/>
  <c r="G182" i="19" s="1"/>
  <c r="J177" i="19"/>
  <c r="K177" i="19" s="1"/>
  <c r="J176" i="19"/>
  <c r="K176" i="19" s="1"/>
  <c r="G176" i="19" s="1"/>
  <c r="M172" i="19"/>
  <c r="M92" i="1" s="1"/>
  <c r="J170" i="19"/>
  <c r="F170" i="19" s="1"/>
  <c r="J169" i="19"/>
  <c r="K169" i="19" s="1"/>
  <c r="G169" i="19" s="1"/>
  <c r="J164" i="19"/>
  <c r="F164" i="19" s="1"/>
  <c r="J163" i="19"/>
  <c r="K163" i="19" s="1"/>
  <c r="G163" i="19" s="1"/>
  <c r="M159" i="19"/>
  <c r="M91" i="1" s="1"/>
  <c r="J157" i="19"/>
  <c r="K157" i="19" s="1"/>
  <c r="G157" i="19" s="1"/>
  <c r="J156" i="19"/>
  <c r="K156" i="19" s="1"/>
  <c r="G156" i="19" s="1"/>
  <c r="J151" i="19"/>
  <c r="F151" i="19" s="1"/>
  <c r="J150" i="19"/>
  <c r="K150" i="19" s="1"/>
  <c r="G150" i="19" s="1"/>
  <c r="M146" i="19"/>
  <c r="M90" i="1" s="1"/>
  <c r="J144" i="19"/>
  <c r="K144" i="19" s="1"/>
  <c r="G144" i="19" s="1"/>
  <c r="J143" i="19"/>
  <c r="K143" i="19" s="1"/>
  <c r="G143" i="19" s="1"/>
  <c r="J138" i="19"/>
  <c r="K138" i="19" s="1"/>
  <c r="G138" i="19" s="1"/>
  <c r="J137" i="19"/>
  <c r="K137" i="19" s="1"/>
  <c r="G137" i="19" s="1"/>
  <c r="M133" i="19"/>
  <c r="M89" i="1" s="1"/>
  <c r="J131" i="19"/>
  <c r="F131" i="19" s="1"/>
  <c r="J130" i="19"/>
  <c r="K130" i="19" s="1"/>
  <c r="G130" i="19" s="1"/>
  <c r="J125" i="19"/>
  <c r="F125" i="19" s="1"/>
  <c r="J124" i="19"/>
  <c r="K124" i="19" s="1"/>
  <c r="G124" i="19" s="1"/>
  <c r="M120" i="19"/>
  <c r="M88" i="1" s="1"/>
  <c r="J118" i="19"/>
  <c r="K118" i="19" s="1"/>
  <c r="G118" i="19" s="1"/>
  <c r="J117" i="19"/>
  <c r="K117" i="19" s="1"/>
  <c r="G117" i="19" s="1"/>
  <c r="J112" i="19"/>
  <c r="K112" i="19" s="1"/>
  <c r="G112" i="19" s="1"/>
  <c r="J111" i="19"/>
  <c r="K111" i="19" s="1"/>
  <c r="G111" i="19" s="1"/>
  <c r="M107" i="19"/>
  <c r="M87" i="1" s="1"/>
  <c r="J105" i="19"/>
  <c r="F105" i="19" s="1"/>
  <c r="J104" i="19"/>
  <c r="K104" i="19" s="1"/>
  <c r="G104" i="19" s="1"/>
  <c r="J99" i="19"/>
  <c r="F99" i="19" s="1"/>
  <c r="J98" i="19"/>
  <c r="K98" i="19" s="1"/>
  <c r="G98" i="19" s="1"/>
  <c r="M94" i="19"/>
  <c r="M86" i="1" s="1"/>
  <c r="J92" i="19"/>
  <c r="F92" i="19" s="1"/>
  <c r="J91" i="19"/>
  <c r="K91" i="19" s="1"/>
  <c r="G91" i="19" s="1"/>
  <c r="J86" i="19"/>
  <c r="K86" i="19" s="1"/>
  <c r="G86" i="19" s="1"/>
  <c r="J85" i="19"/>
  <c r="M81" i="19"/>
  <c r="M85" i="1" s="1"/>
  <c r="J79" i="19"/>
  <c r="F79" i="19" s="1"/>
  <c r="J78" i="19"/>
  <c r="K78" i="19" s="1"/>
  <c r="G78" i="19" s="1"/>
  <c r="J73" i="19"/>
  <c r="F73" i="19" s="1"/>
  <c r="J72" i="19"/>
  <c r="K72" i="19" s="1"/>
  <c r="G72" i="19" s="1"/>
  <c r="M68" i="19"/>
  <c r="M84" i="1" s="1"/>
  <c r="J66" i="19"/>
  <c r="K66" i="19" s="1"/>
  <c r="G66" i="19" s="1"/>
  <c r="J65" i="19"/>
  <c r="F65" i="19" s="1"/>
  <c r="M60" i="19"/>
  <c r="M83" i="1" s="1"/>
  <c r="J58" i="19"/>
  <c r="F58" i="19" s="1"/>
  <c r="J57" i="19"/>
  <c r="K57" i="19" s="1"/>
  <c r="M52" i="19"/>
  <c r="M82" i="1" s="1"/>
  <c r="J50" i="19"/>
  <c r="K50" i="19" s="1"/>
  <c r="G50" i="19" s="1"/>
  <c r="J49" i="19"/>
  <c r="K49" i="19" s="1"/>
  <c r="G49" i="19" s="1"/>
  <c r="M44" i="19"/>
  <c r="M81" i="1" s="1"/>
  <c r="J42" i="19"/>
  <c r="K42" i="19" s="1"/>
  <c r="G42" i="19" s="1"/>
  <c r="J41" i="19"/>
  <c r="F41" i="19" s="1"/>
  <c r="M36" i="19"/>
  <c r="M80" i="1" s="1"/>
  <c r="J34" i="19"/>
  <c r="F34" i="19" s="1"/>
  <c r="J33" i="19"/>
  <c r="F33" i="19" s="1"/>
  <c r="M28" i="19"/>
  <c r="M79" i="1" s="1"/>
  <c r="J26" i="19"/>
  <c r="K26" i="19" s="1"/>
  <c r="G26" i="19" s="1"/>
  <c r="J25" i="19"/>
  <c r="K25" i="19" s="1"/>
  <c r="M20" i="19"/>
  <c r="M78" i="1" s="1"/>
  <c r="D18" i="19"/>
  <c r="D15" i="19"/>
  <c r="D12" i="19"/>
  <c r="D9" i="19"/>
  <c r="D6" i="19"/>
  <c r="J235" i="18"/>
  <c r="K235" i="18" s="1"/>
  <c r="H235" i="18"/>
  <c r="I235" i="18" s="1"/>
  <c r="J228" i="18"/>
  <c r="J216" i="18"/>
  <c r="J210" i="18"/>
  <c r="K210" i="18" s="1"/>
  <c r="J204" i="18"/>
  <c r="J198" i="18"/>
  <c r="J192" i="18"/>
  <c r="K192" i="18" s="1"/>
  <c r="J186" i="18"/>
  <c r="J180" i="18"/>
  <c r="J168" i="18"/>
  <c r="J162" i="18"/>
  <c r="J156" i="18"/>
  <c r="J144" i="18"/>
  <c r="K144" i="18" s="1"/>
  <c r="J132" i="18"/>
  <c r="J126" i="18"/>
  <c r="J120" i="18"/>
  <c r="K120" i="18" s="1"/>
  <c r="J108" i="18"/>
  <c r="J102" i="18"/>
  <c r="J96" i="18"/>
  <c r="K96" i="18" s="1"/>
  <c r="J84" i="18"/>
  <c r="J78" i="18"/>
  <c r="J72" i="18"/>
  <c r="K72" i="18" s="1"/>
  <c r="J66" i="18"/>
  <c r="J60" i="18"/>
  <c r="J54" i="18"/>
  <c r="K54" i="18" s="1"/>
  <c r="J48" i="18"/>
  <c r="J42" i="18"/>
  <c r="J36" i="18"/>
  <c r="K36" i="18" s="1"/>
  <c r="J30" i="18"/>
  <c r="J24" i="18"/>
  <c r="J12" i="18"/>
  <c r="K12" i="18" s="1"/>
  <c r="J6" i="18"/>
  <c r="N110" i="14" l="1"/>
  <c r="N102" i="14"/>
  <c r="G210" i="18"/>
  <c r="L211" i="18"/>
  <c r="K212" i="18"/>
  <c r="K209" i="18" s="1"/>
  <c r="G192" i="18"/>
  <c r="L193" i="18"/>
  <c r="K194" i="18"/>
  <c r="K191" i="18" s="1"/>
  <c r="G144" i="18"/>
  <c r="L145" i="18"/>
  <c r="K146" i="18"/>
  <c r="K143" i="18" s="1"/>
  <c r="G120" i="18"/>
  <c r="L121" i="18"/>
  <c r="K122" i="18"/>
  <c r="K119" i="18" s="1"/>
  <c r="G96" i="18"/>
  <c r="L97" i="18"/>
  <c r="K98" i="18"/>
  <c r="K95" i="18" s="1"/>
  <c r="G72" i="18"/>
  <c r="L73" i="18"/>
  <c r="K74" i="18"/>
  <c r="K71" i="18" s="1"/>
  <c r="G54" i="18"/>
  <c r="L55" i="18"/>
  <c r="K56" i="18"/>
  <c r="K53" i="18" s="1"/>
  <c r="G36" i="18"/>
  <c r="L37" i="18"/>
  <c r="K38" i="18"/>
  <c r="K35" i="18" s="1"/>
  <c r="G12" i="18"/>
  <c r="L13" i="18"/>
  <c r="K14" i="18"/>
  <c r="G78" i="23"/>
  <c r="G60" i="23"/>
  <c r="F67" i="23"/>
  <c r="F118" i="19"/>
  <c r="G6" i="22"/>
  <c r="M7" i="22"/>
  <c r="M5" i="22" s="1"/>
  <c r="M44" i="28" s="1"/>
  <c r="K5" i="22"/>
  <c r="K44" i="28" s="1"/>
  <c r="G44" i="28" s="1"/>
  <c r="F30" i="22"/>
  <c r="F6" i="22"/>
  <c r="G14" i="22"/>
  <c r="F14" i="22"/>
  <c r="F18" i="22"/>
  <c r="F42" i="22"/>
  <c r="F10" i="22"/>
  <c r="F38" i="22"/>
  <c r="G26" i="22"/>
  <c r="G109" i="21"/>
  <c r="K25" i="21"/>
  <c r="K45" i="21"/>
  <c r="K65" i="21"/>
  <c r="K85" i="21"/>
  <c r="G56" i="21"/>
  <c r="K55" i="21"/>
  <c r="G16" i="21"/>
  <c r="G36" i="21"/>
  <c r="K20" i="21"/>
  <c r="K40" i="21"/>
  <c r="G61" i="21"/>
  <c r="K60" i="21"/>
  <c r="K116" i="21"/>
  <c r="G116" i="21" s="1"/>
  <c r="F87" i="21"/>
  <c r="F109" i="21"/>
  <c r="F22" i="21"/>
  <c r="F36" i="21"/>
  <c r="K37" i="21"/>
  <c r="G37" i="21" s="1"/>
  <c r="F61" i="21"/>
  <c r="K104" i="21"/>
  <c r="K134" i="21"/>
  <c r="G134" i="21" s="1"/>
  <c r="K151" i="21"/>
  <c r="K187" i="21"/>
  <c r="F82" i="21"/>
  <c r="K133" i="21"/>
  <c r="K164" i="21"/>
  <c r="G164" i="21" s="1"/>
  <c r="K182" i="21"/>
  <c r="G182" i="21" s="1"/>
  <c r="F16" i="21"/>
  <c r="F98" i="21"/>
  <c r="F57" i="21"/>
  <c r="K127" i="21"/>
  <c r="F56" i="21"/>
  <c r="K115" i="21"/>
  <c r="K175" i="21"/>
  <c r="F21" i="21"/>
  <c r="K72" i="21"/>
  <c r="G72" i="21" s="1"/>
  <c r="K97" i="21"/>
  <c r="F157" i="21"/>
  <c r="K169" i="21"/>
  <c r="F62" i="21"/>
  <c r="K123" i="21"/>
  <c r="F122" i="21"/>
  <c r="K145" i="21"/>
  <c r="K170" i="21"/>
  <c r="G170" i="21" s="1"/>
  <c r="K146" i="21"/>
  <c r="G146" i="21" s="1"/>
  <c r="F66" i="21"/>
  <c r="K17" i="21"/>
  <c r="G17" i="21" s="1"/>
  <c r="G71" i="21"/>
  <c r="K91" i="21"/>
  <c r="F46" i="21"/>
  <c r="K7" i="21"/>
  <c r="G7" i="21" s="1"/>
  <c r="F26" i="21"/>
  <c r="F76" i="21"/>
  <c r="F86" i="21"/>
  <c r="K92" i="21"/>
  <c r="G92" i="21" s="1"/>
  <c r="F71" i="21"/>
  <c r="F103" i="21"/>
  <c r="F121" i="21"/>
  <c r="F139" i="21"/>
  <c r="K110" i="21"/>
  <c r="G110" i="21" s="1"/>
  <c r="K128" i="21"/>
  <c r="G128" i="21" s="1"/>
  <c r="F42" i="21"/>
  <c r="K81" i="21"/>
  <c r="K140" i="21"/>
  <c r="G140" i="21" s="1"/>
  <c r="F152" i="21"/>
  <c r="F188" i="21"/>
  <c r="L15" i="19"/>
  <c r="L6" i="19"/>
  <c r="L18" i="19"/>
  <c r="L9" i="19"/>
  <c r="L12" i="19"/>
  <c r="A47" i="23"/>
  <c r="F223" i="20"/>
  <c r="F230" i="20"/>
  <c r="F244" i="20"/>
  <c r="F111" i="20"/>
  <c r="K6" i="20"/>
  <c r="I10" i="20" s="1"/>
  <c r="G10" i="20" s="1"/>
  <c r="F167" i="20"/>
  <c r="F13" i="20"/>
  <c r="K62" i="20"/>
  <c r="K61" i="20" s="1"/>
  <c r="K105" i="1" s="1"/>
  <c r="F265" i="20"/>
  <c r="F55" i="20"/>
  <c r="F97" i="20"/>
  <c r="F251" i="20"/>
  <c r="K83" i="20"/>
  <c r="K82" i="20" s="1"/>
  <c r="K108" i="1" s="1"/>
  <c r="K12" i="20"/>
  <c r="K98" i="1" s="1"/>
  <c r="G265" i="20"/>
  <c r="I269" i="20"/>
  <c r="G269" i="20" s="1"/>
  <c r="G55" i="20"/>
  <c r="K54" i="20"/>
  <c r="K104" i="1" s="1"/>
  <c r="G97" i="20"/>
  <c r="K96" i="20"/>
  <c r="K110" i="1" s="1"/>
  <c r="G146" i="20"/>
  <c r="I150" i="20"/>
  <c r="G150" i="20" s="1"/>
  <c r="K34" i="20"/>
  <c r="F41" i="20"/>
  <c r="K139" i="20"/>
  <c r="G230" i="20"/>
  <c r="F90" i="20"/>
  <c r="F146" i="20"/>
  <c r="F237" i="20"/>
  <c r="K181" i="20"/>
  <c r="G181" i="20" s="1"/>
  <c r="K110" i="20"/>
  <c r="K112" i="1" s="1"/>
  <c r="K229" i="20"/>
  <c r="K129" i="1" s="1"/>
  <c r="F49" i="19"/>
  <c r="F86" i="19"/>
  <c r="K33" i="19"/>
  <c r="G33" i="19" s="1"/>
  <c r="F66" i="19"/>
  <c r="F57" i="19"/>
  <c r="F78" i="19"/>
  <c r="F190" i="19"/>
  <c r="F50" i="19"/>
  <c r="F183" i="19"/>
  <c r="K151" i="19"/>
  <c r="G151" i="19" s="1"/>
  <c r="K170" i="19"/>
  <c r="G170" i="19" s="1"/>
  <c r="F222" i="19"/>
  <c r="K65" i="19"/>
  <c r="K60" i="19" s="1"/>
  <c r="K83" i="1" s="1"/>
  <c r="K73" i="19"/>
  <c r="G73" i="19" s="1"/>
  <c r="K131" i="19"/>
  <c r="G131" i="19" s="1"/>
  <c r="K164" i="19"/>
  <c r="G164" i="19" s="1"/>
  <c r="K203" i="19"/>
  <c r="G203" i="19" s="1"/>
  <c r="F42" i="19"/>
  <c r="K79" i="19"/>
  <c r="G79" i="19" s="1"/>
  <c r="K99" i="19"/>
  <c r="G99" i="19" s="1"/>
  <c r="F84" i="18"/>
  <c r="K84" i="18"/>
  <c r="K125" i="19"/>
  <c r="G125" i="19" s="1"/>
  <c r="F138" i="19"/>
  <c r="F216" i="19"/>
  <c r="F112" i="19"/>
  <c r="F209" i="19"/>
  <c r="K92" i="19"/>
  <c r="G92" i="19" s="1"/>
  <c r="G177" i="19"/>
  <c r="K172" i="19"/>
  <c r="K92" i="1" s="1"/>
  <c r="K20" i="19"/>
  <c r="K78" i="1" s="1"/>
  <c r="G25" i="19"/>
  <c r="G216" i="19"/>
  <c r="K211" i="19"/>
  <c r="K95" i="1" s="1"/>
  <c r="F26" i="19"/>
  <c r="F196" i="19"/>
  <c r="K105" i="19"/>
  <c r="G105" i="19" s="1"/>
  <c r="F72" i="19"/>
  <c r="K107" i="19"/>
  <c r="K87" i="1" s="1"/>
  <c r="F177" i="19"/>
  <c r="K185" i="19"/>
  <c r="K93" i="1" s="1"/>
  <c r="F157" i="19"/>
  <c r="F25" i="19"/>
  <c r="F144" i="19"/>
  <c r="F229" i="19"/>
  <c r="F235" i="19"/>
  <c r="K103" i="23"/>
  <c r="G103" i="23" s="1"/>
  <c r="K6" i="23"/>
  <c r="K102" i="23"/>
  <c r="K150" i="23"/>
  <c r="K157" i="23"/>
  <c r="G157" i="23" s="1"/>
  <c r="K120" i="23"/>
  <c r="K109" i="23"/>
  <c r="G109" i="23" s="1"/>
  <c r="K163" i="23"/>
  <c r="G163" i="23" s="1"/>
  <c r="K127" i="23"/>
  <c r="G127" i="23" s="1"/>
  <c r="K156" i="23"/>
  <c r="K91" i="23"/>
  <c r="G91" i="23" s="1"/>
  <c r="F121" i="23"/>
  <c r="K25" i="23"/>
  <c r="G25" i="23" s="1"/>
  <c r="K73" i="23"/>
  <c r="G73" i="23" s="1"/>
  <c r="K84" i="23"/>
  <c r="K85" i="23"/>
  <c r="G85" i="23" s="1"/>
  <c r="K36" i="23"/>
  <c r="K43" i="23"/>
  <c r="G43" i="23" s="1"/>
  <c r="K66" i="23"/>
  <c r="K114" i="23"/>
  <c r="K139" i="23"/>
  <c r="G139" i="23" s="1"/>
  <c r="F60" i="23"/>
  <c r="K132" i="23"/>
  <c r="K168" i="23"/>
  <c r="F78" i="23"/>
  <c r="K12" i="23"/>
  <c r="K49" i="23"/>
  <c r="G49" i="23" s="1"/>
  <c r="K145" i="23"/>
  <c r="G145" i="23" s="1"/>
  <c r="K13" i="23"/>
  <c r="G13" i="23" s="1"/>
  <c r="K42" i="23"/>
  <c r="K96" i="23"/>
  <c r="K138" i="23"/>
  <c r="F54" i="18"/>
  <c r="F96" i="18"/>
  <c r="F144" i="18"/>
  <c r="G90" i="23"/>
  <c r="G108" i="23"/>
  <c r="G24" i="23"/>
  <c r="G126" i="23"/>
  <c r="G48" i="23"/>
  <c r="G144" i="23"/>
  <c r="G162" i="23"/>
  <c r="G72" i="23"/>
  <c r="F7" i="23"/>
  <c r="F24" i="23"/>
  <c r="F37" i="23"/>
  <c r="F48" i="23"/>
  <c r="F61" i="23"/>
  <c r="F72" i="23"/>
  <c r="F79" i="23"/>
  <c r="F90" i="23"/>
  <c r="F97" i="23"/>
  <c r="F108" i="23"/>
  <c r="F115" i="23"/>
  <c r="F126" i="23"/>
  <c r="F133" i="23"/>
  <c r="F144" i="23"/>
  <c r="F151" i="23"/>
  <c r="F162" i="23"/>
  <c r="F169" i="23"/>
  <c r="G18" i="22"/>
  <c r="G15" i="22"/>
  <c r="G10" i="22"/>
  <c r="G38" i="22"/>
  <c r="G30" i="22"/>
  <c r="G42" i="22"/>
  <c r="G46" i="22"/>
  <c r="F46" i="22"/>
  <c r="M68" i="21"/>
  <c r="M65" i="21" s="1"/>
  <c r="G66" i="21"/>
  <c r="G6" i="21"/>
  <c r="G46" i="21"/>
  <c r="M48" i="21"/>
  <c r="M45" i="21" s="1"/>
  <c r="G181" i="21"/>
  <c r="G26" i="21"/>
  <c r="M28" i="21"/>
  <c r="M25" i="21" s="1"/>
  <c r="G76" i="21"/>
  <c r="M88" i="21"/>
  <c r="M85" i="21" s="1"/>
  <c r="G86" i="21"/>
  <c r="K159" i="21"/>
  <c r="G41" i="21"/>
  <c r="M43" i="21"/>
  <c r="M40" i="21" s="1"/>
  <c r="G163" i="21"/>
  <c r="G21" i="21"/>
  <c r="M23" i="21"/>
  <c r="M20" i="21" s="1"/>
  <c r="F27" i="21"/>
  <c r="F47" i="21"/>
  <c r="M58" i="21"/>
  <c r="M55" i="21" s="1"/>
  <c r="K11" i="21"/>
  <c r="K10" i="21" s="1"/>
  <c r="K31" i="21"/>
  <c r="K30" i="21" s="1"/>
  <c r="K51" i="21"/>
  <c r="K50" i="21" s="1"/>
  <c r="K77" i="21"/>
  <c r="G77" i="21" s="1"/>
  <c r="F12" i="21"/>
  <c r="F32" i="21"/>
  <c r="F52" i="21"/>
  <c r="G121" i="21"/>
  <c r="G139" i="21"/>
  <c r="G157" i="21"/>
  <c r="F41" i="21"/>
  <c r="F67" i="21"/>
  <c r="F6" i="21"/>
  <c r="F158" i="21"/>
  <c r="F163" i="21"/>
  <c r="F176" i="21"/>
  <c r="F181" i="21"/>
  <c r="M63" i="21"/>
  <c r="M60" i="21" s="1"/>
  <c r="K208" i="20"/>
  <c r="K126" i="1" s="1"/>
  <c r="I213" i="20"/>
  <c r="G213" i="20" s="1"/>
  <c r="G209" i="20"/>
  <c r="F195" i="20"/>
  <c r="K195" i="20"/>
  <c r="K222" i="20"/>
  <c r="K128" i="1" s="1"/>
  <c r="I227" i="20"/>
  <c r="G227" i="20" s="1"/>
  <c r="G223" i="20"/>
  <c r="G153" i="20"/>
  <c r="K152" i="20"/>
  <c r="K118" i="1" s="1"/>
  <c r="I157" i="20"/>
  <c r="G157" i="20" s="1"/>
  <c r="I248" i="20"/>
  <c r="G248" i="20" s="1"/>
  <c r="G244" i="20"/>
  <c r="K243" i="20"/>
  <c r="K131" i="1" s="1"/>
  <c r="G251" i="20"/>
  <c r="K250" i="20"/>
  <c r="K132" i="1" s="1"/>
  <c r="I255" i="20"/>
  <c r="G255" i="20" s="1"/>
  <c r="G41" i="20"/>
  <c r="K40" i="20"/>
  <c r="K102" i="1" s="1"/>
  <c r="G48" i="20"/>
  <c r="K47" i="20"/>
  <c r="K103" i="1" s="1"/>
  <c r="I52" i="20"/>
  <c r="G52" i="20" s="1"/>
  <c r="I129" i="20"/>
  <c r="G129" i="20" s="1"/>
  <c r="G125" i="20"/>
  <c r="K124" i="20"/>
  <c r="K114" i="1" s="1"/>
  <c r="I241" i="20"/>
  <c r="G237" i="20"/>
  <c r="K236" i="20"/>
  <c r="K130" i="1" s="1"/>
  <c r="F69" i="20"/>
  <c r="K69" i="20"/>
  <c r="K75" i="20"/>
  <c r="K107" i="1" s="1"/>
  <c r="I80" i="20"/>
  <c r="G80" i="20" s="1"/>
  <c r="I94" i="20"/>
  <c r="G94" i="20" s="1"/>
  <c r="G90" i="20"/>
  <c r="K89" i="20"/>
  <c r="K109" i="1" s="1"/>
  <c r="I31" i="20"/>
  <c r="G31" i="20" s="1"/>
  <c r="G27" i="20"/>
  <c r="K26" i="20"/>
  <c r="K100" i="1" s="1"/>
  <c r="F76" i="20"/>
  <c r="F209" i="20"/>
  <c r="I59" i="20"/>
  <c r="G59" i="20" s="1"/>
  <c r="I171" i="20"/>
  <c r="G171" i="20" s="1"/>
  <c r="G13" i="20"/>
  <c r="F27" i="20"/>
  <c r="G111" i="20"/>
  <c r="F125" i="20"/>
  <c r="K145" i="20"/>
  <c r="K117" i="1" s="1"/>
  <c r="K264" i="20"/>
  <c r="K134" i="1" s="1"/>
  <c r="K166" i="20"/>
  <c r="K120" i="1" s="1"/>
  <c r="F48" i="20"/>
  <c r="F153" i="20"/>
  <c r="I101" i="20"/>
  <c r="G101" i="20" s="1"/>
  <c r="I234" i="20"/>
  <c r="G234" i="20" s="1"/>
  <c r="I17" i="20"/>
  <c r="G17" i="20" s="1"/>
  <c r="I115" i="20"/>
  <c r="K44" i="19"/>
  <c r="K81" i="1" s="1"/>
  <c r="G57" i="19"/>
  <c r="K34" i="19"/>
  <c r="K41" i="19"/>
  <c r="K58" i="19"/>
  <c r="G58" i="19" s="1"/>
  <c r="G228" i="19"/>
  <c r="K224" i="19"/>
  <c r="K96" i="1" s="1"/>
  <c r="K85" i="19"/>
  <c r="F85" i="19"/>
  <c r="K133" i="19"/>
  <c r="K89" i="1" s="1"/>
  <c r="F91" i="19"/>
  <c r="F98" i="19"/>
  <c r="F104" i="19"/>
  <c r="F111" i="19"/>
  <c r="F117" i="19"/>
  <c r="F124" i="19"/>
  <c r="F130" i="19"/>
  <c r="F137" i="19"/>
  <c r="F143" i="19"/>
  <c r="F150" i="19"/>
  <c r="F156" i="19"/>
  <c r="F163" i="19"/>
  <c r="F169" i="19"/>
  <c r="F176" i="19"/>
  <c r="F182" i="19"/>
  <c r="F189" i="19"/>
  <c r="F195" i="19"/>
  <c r="F202" i="19"/>
  <c r="F208" i="19"/>
  <c r="F215" i="19"/>
  <c r="F221" i="19"/>
  <c r="F228" i="19"/>
  <c r="F234" i="19"/>
  <c r="K132" i="18"/>
  <c r="F132" i="18"/>
  <c r="K168" i="18"/>
  <c r="F168" i="18"/>
  <c r="K198" i="18"/>
  <c r="F198" i="18"/>
  <c r="K102" i="18"/>
  <c r="F102" i="18"/>
  <c r="K228" i="18"/>
  <c r="F228" i="18"/>
  <c r="F36" i="18"/>
  <c r="K42" i="18"/>
  <c r="F42" i="18"/>
  <c r="K48" i="18"/>
  <c r="F48" i="18"/>
  <c r="F12" i="18"/>
  <c r="K24" i="18"/>
  <c r="F24" i="18"/>
  <c r="K30" i="18"/>
  <c r="F30" i="18"/>
  <c r="F192" i="18"/>
  <c r="K6" i="18"/>
  <c r="F6" i="18"/>
  <c r="F72" i="18"/>
  <c r="K78" i="18"/>
  <c r="F78" i="18"/>
  <c r="F120" i="18"/>
  <c r="F210" i="18"/>
  <c r="K126" i="18"/>
  <c r="F126" i="18"/>
  <c r="K162" i="18"/>
  <c r="F162" i="18"/>
  <c r="K156" i="18"/>
  <c r="F156" i="18"/>
  <c r="K186" i="18"/>
  <c r="F186" i="18"/>
  <c r="K216" i="18"/>
  <c r="F216" i="18"/>
  <c r="K60" i="18"/>
  <c r="F60" i="18"/>
  <c r="K66" i="18"/>
  <c r="F66" i="18"/>
  <c r="K108" i="18"/>
  <c r="F108" i="18"/>
  <c r="K180" i="18"/>
  <c r="F180" i="18"/>
  <c r="K204" i="18"/>
  <c r="F204" i="18"/>
  <c r="N125" i="14" l="1"/>
  <c r="N117" i="14"/>
  <c r="G62" i="20"/>
  <c r="L229" i="18"/>
  <c r="K230" i="18"/>
  <c r="K227" i="18" s="1"/>
  <c r="L217" i="18"/>
  <c r="K218" i="18"/>
  <c r="K215" i="18" s="1"/>
  <c r="M211" i="18"/>
  <c r="F211" i="18"/>
  <c r="L205" i="18"/>
  <c r="K206" i="18"/>
  <c r="K203" i="18" s="1"/>
  <c r="L199" i="18"/>
  <c r="K200" i="18"/>
  <c r="K197" i="18" s="1"/>
  <c r="M193" i="18"/>
  <c r="F193" i="18"/>
  <c r="L187" i="18"/>
  <c r="K188" i="18"/>
  <c r="K185" i="18" s="1"/>
  <c r="L181" i="18"/>
  <c r="K182" i="18"/>
  <c r="K179" i="18" s="1"/>
  <c r="L169" i="18"/>
  <c r="K170" i="18"/>
  <c r="K167" i="18" s="1"/>
  <c r="L163" i="18"/>
  <c r="K164" i="18"/>
  <c r="K161" i="18" s="1"/>
  <c r="L157" i="18"/>
  <c r="K158" i="18"/>
  <c r="K155" i="18" s="1"/>
  <c r="F145" i="18"/>
  <c r="M145" i="18"/>
  <c r="L133" i="18"/>
  <c r="K134" i="18"/>
  <c r="K131" i="18" s="1"/>
  <c r="L127" i="18"/>
  <c r="K128" i="18"/>
  <c r="K125" i="18" s="1"/>
  <c r="M121" i="18"/>
  <c r="F121" i="18"/>
  <c r="L109" i="18"/>
  <c r="K110" i="18"/>
  <c r="K107" i="18" s="1"/>
  <c r="L103" i="18"/>
  <c r="K104" i="18"/>
  <c r="K101" i="18" s="1"/>
  <c r="F97" i="18"/>
  <c r="M97" i="18"/>
  <c r="G84" i="18"/>
  <c r="L85" i="18"/>
  <c r="K86" i="18"/>
  <c r="L79" i="18"/>
  <c r="K80" i="18"/>
  <c r="K77" i="18" s="1"/>
  <c r="M73" i="18"/>
  <c r="F73" i="18"/>
  <c r="L67" i="18"/>
  <c r="K68" i="18"/>
  <c r="K65" i="18" s="1"/>
  <c r="L61" i="18"/>
  <c r="K62" i="18"/>
  <c r="K59" i="18" s="1"/>
  <c r="M55" i="18"/>
  <c r="F55" i="18"/>
  <c r="L49" i="18"/>
  <c r="K50" i="18"/>
  <c r="L43" i="18"/>
  <c r="K44" i="18"/>
  <c r="K41" i="18" s="1"/>
  <c r="M37" i="18"/>
  <c r="F37" i="18"/>
  <c r="L31" i="18"/>
  <c r="K32" i="18"/>
  <c r="L25" i="18"/>
  <c r="K26" i="18"/>
  <c r="K11" i="18"/>
  <c r="M13" i="18"/>
  <c r="F13" i="18"/>
  <c r="L7" i="18"/>
  <c r="M7" i="18" s="1"/>
  <c r="M8" i="18" s="1"/>
  <c r="M5" i="18" s="1"/>
  <c r="G168" i="23"/>
  <c r="G156" i="23"/>
  <c r="G150" i="23"/>
  <c r="G138" i="23"/>
  <c r="G132" i="23"/>
  <c r="G120" i="23"/>
  <c r="G114" i="23"/>
  <c r="G102" i="23"/>
  <c r="G96" i="23"/>
  <c r="G84" i="23"/>
  <c r="G66" i="23"/>
  <c r="G42" i="23"/>
  <c r="G36" i="23"/>
  <c r="G12" i="23"/>
  <c r="G6" i="23"/>
  <c r="I66" i="20"/>
  <c r="G66" i="20" s="1"/>
  <c r="K146" i="19"/>
  <c r="K90" i="1" s="1"/>
  <c r="G65" i="19"/>
  <c r="K159" i="19"/>
  <c r="K91" i="1" s="1"/>
  <c r="K120" i="19"/>
  <c r="K88" i="1" s="1"/>
  <c r="G13" i="22"/>
  <c r="G43" i="22"/>
  <c r="G169" i="21"/>
  <c r="G97" i="21"/>
  <c r="G133" i="21"/>
  <c r="K120" i="21"/>
  <c r="G187" i="21"/>
  <c r="G151" i="21"/>
  <c r="G115" i="21"/>
  <c r="G104" i="21"/>
  <c r="K156" i="21"/>
  <c r="G145" i="21"/>
  <c r="G127" i="21"/>
  <c r="K93" i="21"/>
  <c r="K35" i="21"/>
  <c r="K15" i="21"/>
  <c r="G81" i="21"/>
  <c r="K80" i="21"/>
  <c r="K70" i="21"/>
  <c r="K75" i="21"/>
  <c r="K5" i="21"/>
  <c r="K117" i="21"/>
  <c r="K183" i="21"/>
  <c r="K189" i="21"/>
  <c r="K186" i="21" s="1"/>
  <c r="K153" i="21"/>
  <c r="K135" i="21"/>
  <c r="K132" i="21" s="1"/>
  <c r="K99" i="21"/>
  <c r="K96" i="21" s="1"/>
  <c r="M38" i="21"/>
  <c r="M18" i="21"/>
  <c r="K147" i="21"/>
  <c r="K144" i="21" s="1"/>
  <c r="K111" i="21"/>
  <c r="K165" i="21"/>
  <c r="K162" i="21" s="1"/>
  <c r="K129" i="21"/>
  <c r="G175" i="21"/>
  <c r="K177" i="21"/>
  <c r="K171" i="21"/>
  <c r="K168" i="21" s="1"/>
  <c r="M83" i="21"/>
  <c r="M80" i="21" s="1"/>
  <c r="M73" i="21"/>
  <c r="M70" i="21" s="1"/>
  <c r="G91" i="21"/>
  <c r="M8" i="21"/>
  <c r="K141" i="21"/>
  <c r="M78" i="21"/>
  <c r="M75" i="21" s="1"/>
  <c r="J9" i="19"/>
  <c r="J15" i="19"/>
  <c r="J18" i="19"/>
  <c r="J6" i="19"/>
  <c r="J12" i="19"/>
  <c r="K68" i="19"/>
  <c r="K84" i="1" s="1"/>
  <c r="K198" i="19"/>
  <c r="K94" i="1" s="1"/>
  <c r="A53" i="23"/>
  <c r="I87" i="20"/>
  <c r="G87" i="20" s="1"/>
  <c r="K5" i="20"/>
  <c r="K97" i="1" s="1"/>
  <c r="G6" i="20"/>
  <c r="G83" i="20"/>
  <c r="I185" i="20"/>
  <c r="G185" i="20" s="1"/>
  <c r="K180" i="20"/>
  <c r="K122" i="1" s="1"/>
  <c r="K138" i="20"/>
  <c r="K116" i="1" s="1"/>
  <c r="I143" i="20"/>
  <c r="G139" i="20"/>
  <c r="I38" i="20"/>
  <c r="G34" i="20"/>
  <c r="K33" i="20"/>
  <c r="K101" i="1" s="1"/>
  <c r="K94" i="19"/>
  <c r="K86" i="1" s="1"/>
  <c r="G17" i="22"/>
  <c r="G19" i="22"/>
  <c r="G66" i="22"/>
  <c r="G29" i="22"/>
  <c r="G31" i="22"/>
  <c r="G37" i="22"/>
  <c r="G39" i="22"/>
  <c r="G47" i="22"/>
  <c r="G7" i="22"/>
  <c r="G5" i="22"/>
  <c r="M53" i="21"/>
  <c r="M50" i="21" s="1"/>
  <c r="G51" i="21"/>
  <c r="G58" i="21"/>
  <c r="G55" i="21"/>
  <c r="G40" i="21"/>
  <c r="G43" i="21"/>
  <c r="G60" i="21"/>
  <c r="G63" i="21"/>
  <c r="G45" i="21"/>
  <c r="G48" i="21"/>
  <c r="M33" i="21"/>
  <c r="M30" i="21" s="1"/>
  <c r="G31" i="21"/>
  <c r="G88" i="21"/>
  <c r="G85" i="21"/>
  <c r="G25" i="21"/>
  <c r="G28" i="21"/>
  <c r="M13" i="21"/>
  <c r="M10" i="21" s="1"/>
  <c r="G11" i="21"/>
  <c r="G20" i="21"/>
  <c r="G23" i="21"/>
  <c r="G68" i="21"/>
  <c r="G65" i="21"/>
  <c r="G241" i="20"/>
  <c r="K194" i="20"/>
  <c r="K124" i="1" s="1"/>
  <c r="I199" i="20"/>
  <c r="G199" i="20" s="1"/>
  <c r="G195" i="20"/>
  <c r="K68" i="20"/>
  <c r="K106" i="1" s="1"/>
  <c r="I73" i="20"/>
  <c r="G73" i="20" s="1"/>
  <c r="G69" i="20"/>
  <c r="G115" i="20"/>
  <c r="G85" i="19"/>
  <c r="K81" i="19"/>
  <c r="K85" i="1" s="1"/>
  <c r="G41" i="19"/>
  <c r="K36" i="19"/>
  <c r="K80" i="1" s="1"/>
  <c r="K28" i="19"/>
  <c r="K79" i="1" s="1"/>
  <c r="G34" i="19"/>
  <c r="K52" i="19"/>
  <c r="K82" i="1" s="1"/>
  <c r="G216" i="18"/>
  <c r="G108" i="18"/>
  <c r="G156" i="18"/>
  <c r="G24" i="18"/>
  <c r="G78" i="18"/>
  <c r="G60" i="18"/>
  <c r="G42" i="18"/>
  <c r="G198" i="18"/>
  <c r="G168" i="18"/>
  <c r="G162" i="18"/>
  <c r="G102" i="18"/>
  <c r="G132" i="18"/>
  <c r="G48" i="18"/>
  <c r="G204" i="18"/>
  <c r="G126" i="18"/>
  <c r="G228" i="18"/>
  <c r="G66" i="18"/>
  <c r="G6" i="18"/>
  <c r="G180" i="18"/>
  <c r="G186" i="18"/>
  <c r="G30" i="18"/>
  <c r="N140" i="14" l="1"/>
  <c r="N132" i="14"/>
  <c r="M229" i="18"/>
  <c r="F229" i="18"/>
  <c r="M217" i="18"/>
  <c r="F217" i="18"/>
  <c r="G211" i="18"/>
  <c r="M212" i="18"/>
  <c r="M205" i="18"/>
  <c r="F205" i="18"/>
  <c r="M199" i="18"/>
  <c r="F199" i="18"/>
  <c r="G193" i="18"/>
  <c r="M194" i="18"/>
  <c r="M187" i="18"/>
  <c r="F187" i="18"/>
  <c r="M181" i="18"/>
  <c r="F181" i="18"/>
  <c r="M169" i="18"/>
  <c r="F169" i="18"/>
  <c r="M163" i="18"/>
  <c r="F163" i="18"/>
  <c r="M157" i="18"/>
  <c r="F157" i="18"/>
  <c r="G145" i="18"/>
  <c r="M146" i="18"/>
  <c r="M133" i="18"/>
  <c r="F133" i="18"/>
  <c r="M127" i="18"/>
  <c r="F127" i="18"/>
  <c r="G121" i="18"/>
  <c r="M122" i="18"/>
  <c r="F109" i="18"/>
  <c r="M109" i="18"/>
  <c r="M103" i="18"/>
  <c r="F103" i="18"/>
  <c r="G97" i="18"/>
  <c r="M98" i="18"/>
  <c r="K83" i="18"/>
  <c r="M85" i="18"/>
  <c r="F85" i="18"/>
  <c r="M79" i="18"/>
  <c r="F79" i="18"/>
  <c r="G73" i="18"/>
  <c r="M74" i="18"/>
  <c r="M67" i="18"/>
  <c r="F67" i="18"/>
  <c r="M61" i="18"/>
  <c r="F61" i="18"/>
  <c r="M56" i="18"/>
  <c r="G55" i="18"/>
  <c r="K47" i="18"/>
  <c r="M49" i="18"/>
  <c r="F49" i="18"/>
  <c r="M43" i="18"/>
  <c r="F43" i="18"/>
  <c r="G37" i="18"/>
  <c r="M38" i="18"/>
  <c r="K29" i="18"/>
  <c r="M31" i="18"/>
  <c r="F31" i="18"/>
  <c r="K23" i="18"/>
  <c r="M25" i="18"/>
  <c r="F25" i="18"/>
  <c r="G13" i="18"/>
  <c r="M14" i="18"/>
  <c r="M124" i="21"/>
  <c r="M120" i="21" s="1"/>
  <c r="M160" i="21"/>
  <c r="M156" i="21" s="1"/>
  <c r="G25" i="22"/>
  <c r="G27" i="22"/>
  <c r="G41" i="22"/>
  <c r="G45" i="22"/>
  <c r="M166" i="21"/>
  <c r="M162" i="21" s="1"/>
  <c r="M148" i="21"/>
  <c r="M144" i="21" s="1"/>
  <c r="K114" i="21"/>
  <c r="M100" i="21"/>
  <c r="M136" i="21"/>
  <c r="M132" i="21" s="1"/>
  <c r="K138" i="21"/>
  <c r="K174" i="21"/>
  <c r="K180" i="21"/>
  <c r="K108" i="21"/>
  <c r="K150" i="21"/>
  <c r="M172" i="21"/>
  <c r="M168" i="21" s="1"/>
  <c r="M190" i="21"/>
  <c r="M186" i="21" s="1"/>
  <c r="K126" i="21"/>
  <c r="G8" i="21"/>
  <c r="M5" i="21"/>
  <c r="G18" i="21"/>
  <c r="M15" i="21"/>
  <c r="G38" i="21"/>
  <c r="M35" i="21"/>
  <c r="G78" i="21"/>
  <c r="G80" i="21"/>
  <c r="G70" i="21"/>
  <c r="G83" i="21"/>
  <c r="G75" i="21"/>
  <c r="G73" i="21"/>
  <c r="A59" i="23"/>
  <c r="G143" i="20"/>
  <c r="G38" i="20"/>
  <c r="G65" i="22"/>
  <c r="G67" i="22"/>
  <c r="G9" i="22"/>
  <c r="G11" i="22"/>
  <c r="G30" i="21"/>
  <c r="G33" i="21"/>
  <c r="G10" i="21"/>
  <c r="G13" i="21"/>
  <c r="G50" i="21"/>
  <c r="G53" i="21"/>
  <c r="N155" i="14" l="1"/>
  <c r="N147" i="14"/>
  <c r="G229" i="18"/>
  <c r="M230" i="18"/>
  <c r="G217" i="18"/>
  <c r="M218" i="18"/>
  <c r="G212" i="18"/>
  <c r="M209" i="18"/>
  <c r="G205" i="18"/>
  <c r="M206" i="18"/>
  <c r="G199" i="18"/>
  <c r="M200" i="18"/>
  <c r="G194" i="18"/>
  <c r="M191" i="18"/>
  <c r="G187" i="18"/>
  <c r="M188" i="18"/>
  <c r="G181" i="18"/>
  <c r="M182" i="18"/>
  <c r="G169" i="18"/>
  <c r="M170" i="18"/>
  <c r="G163" i="18"/>
  <c r="M164" i="18"/>
  <c r="G157" i="18"/>
  <c r="M158" i="18"/>
  <c r="G146" i="18"/>
  <c r="M143" i="18"/>
  <c r="G133" i="18"/>
  <c r="M134" i="18"/>
  <c r="G127" i="18"/>
  <c r="M128" i="18"/>
  <c r="G122" i="18"/>
  <c r="M119" i="18"/>
  <c r="G109" i="18"/>
  <c r="M110" i="18"/>
  <c r="G103" i="18"/>
  <c r="M104" i="18"/>
  <c r="G98" i="18"/>
  <c r="M95" i="18"/>
  <c r="G85" i="18"/>
  <c r="M86" i="18"/>
  <c r="G79" i="18"/>
  <c r="M80" i="18"/>
  <c r="G74" i="18"/>
  <c r="M71" i="18"/>
  <c r="M68" i="18"/>
  <c r="G67" i="18"/>
  <c r="G61" i="18"/>
  <c r="M62" i="18"/>
  <c r="G56" i="18"/>
  <c r="M53" i="18"/>
  <c r="G49" i="18"/>
  <c r="M50" i="18"/>
  <c r="G43" i="18"/>
  <c r="M44" i="18"/>
  <c r="G38" i="18"/>
  <c r="M35" i="18"/>
  <c r="G31" i="18"/>
  <c r="M32" i="18"/>
  <c r="G25" i="18"/>
  <c r="M26" i="18"/>
  <c r="M11" i="18"/>
  <c r="G14" i="18"/>
  <c r="G148" i="21"/>
  <c r="G144" i="21"/>
  <c r="G190" i="21"/>
  <c r="G166" i="21"/>
  <c r="G186" i="21"/>
  <c r="G162" i="21"/>
  <c r="G168" i="21"/>
  <c r="G156" i="21"/>
  <c r="G35" i="21"/>
  <c r="M178" i="21"/>
  <c r="M174" i="21" s="1"/>
  <c r="M142" i="21"/>
  <c r="G142" i="21" s="1"/>
  <c r="M184" i="21"/>
  <c r="M180" i="21" s="1"/>
  <c r="G15" i="21"/>
  <c r="G132" i="21"/>
  <c r="G120" i="21"/>
  <c r="G5" i="21"/>
  <c r="M118" i="21"/>
  <c r="M114" i="21" s="1"/>
  <c r="M130" i="21"/>
  <c r="M126" i="21" s="1"/>
  <c r="G124" i="21"/>
  <c r="G160" i="21"/>
  <c r="M154" i="21"/>
  <c r="M150" i="21" s="1"/>
  <c r="M96" i="21"/>
  <c r="G136" i="21"/>
  <c r="M112" i="21"/>
  <c r="G100" i="21"/>
  <c r="G172" i="21"/>
  <c r="A65" i="23"/>
  <c r="F177" i="16"/>
  <c r="J175" i="16"/>
  <c r="K175" i="16" s="1"/>
  <c r="G175" i="16" s="1"/>
  <c r="J174" i="16"/>
  <c r="K174" i="16" s="1"/>
  <c r="F303" i="16"/>
  <c r="J301" i="16"/>
  <c r="F301" i="16" s="1"/>
  <c r="J300" i="16"/>
  <c r="F300" i="16" s="1"/>
  <c r="N170" i="14" l="1"/>
  <c r="N162" i="14"/>
  <c r="M138" i="21"/>
  <c r="G230" i="18"/>
  <c r="M227" i="18"/>
  <c r="G218" i="18"/>
  <c r="M215" i="18"/>
  <c r="G206" i="18"/>
  <c r="M203" i="18"/>
  <c r="G200" i="18"/>
  <c r="M197" i="18"/>
  <c r="G188" i="18"/>
  <c r="M185" i="18"/>
  <c r="G182" i="18"/>
  <c r="M179" i="18"/>
  <c r="G170" i="18"/>
  <c r="M167" i="18"/>
  <c r="G164" i="18"/>
  <c r="M161" i="18"/>
  <c r="G158" i="18"/>
  <c r="M155" i="18"/>
  <c r="G134" i="18"/>
  <c r="M131" i="18"/>
  <c r="G128" i="18"/>
  <c r="M125" i="18"/>
  <c r="G110" i="18"/>
  <c r="M107" i="18"/>
  <c r="G104" i="18"/>
  <c r="M101" i="18"/>
  <c r="M83" i="18"/>
  <c r="G86" i="18"/>
  <c r="G80" i="18"/>
  <c r="M77" i="18"/>
  <c r="G68" i="18"/>
  <c r="M65" i="18"/>
  <c r="G62" i="18"/>
  <c r="M59" i="18"/>
  <c r="M47" i="18"/>
  <c r="G50" i="18"/>
  <c r="G44" i="18"/>
  <c r="M41" i="18"/>
  <c r="M29" i="18"/>
  <c r="G32" i="18"/>
  <c r="M23" i="18"/>
  <c r="G26" i="18"/>
  <c r="G154" i="21"/>
  <c r="G114" i="21"/>
  <c r="G180" i="21"/>
  <c r="G174" i="21"/>
  <c r="G126" i="21"/>
  <c r="G138" i="21"/>
  <c r="G96" i="21"/>
  <c r="G184" i="21"/>
  <c r="G130" i="21"/>
  <c r="G178" i="21"/>
  <c r="G150" i="21"/>
  <c r="G118" i="21"/>
  <c r="F174" i="16"/>
  <c r="F175" i="16"/>
  <c r="M108" i="21"/>
  <c r="G112" i="21"/>
  <c r="A71" i="23"/>
  <c r="G174" i="16"/>
  <c r="K300" i="16"/>
  <c r="G300" i="16" s="1"/>
  <c r="K301" i="16"/>
  <c r="G301" i="16" s="1"/>
  <c r="F351" i="16"/>
  <c r="J349" i="16"/>
  <c r="K349" i="16" s="1"/>
  <c r="G349" i="16" s="1"/>
  <c r="J348" i="16"/>
  <c r="F348" i="16" s="1"/>
  <c r="N177" i="14" l="1"/>
  <c r="N185" i="14"/>
  <c r="G108" i="21"/>
  <c r="A77" i="23"/>
  <c r="F349" i="16"/>
  <c r="K348" i="16"/>
  <c r="N200" i="14" l="1"/>
  <c r="N192" i="14"/>
  <c r="G348" i="16"/>
  <c r="A83" i="23"/>
  <c r="N215" i="14" l="1"/>
  <c r="N207" i="14"/>
  <c r="A89" i="23"/>
  <c r="F134" i="15"/>
  <c r="J133" i="15"/>
  <c r="F133" i="15" s="1"/>
  <c r="J132" i="15"/>
  <c r="F132" i="15" s="1"/>
  <c r="F122" i="15"/>
  <c r="J121" i="15"/>
  <c r="K121" i="15" s="1"/>
  <c r="G121" i="15" s="1"/>
  <c r="J120" i="15"/>
  <c r="F120" i="15" s="1"/>
  <c r="F315" i="16"/>
  <c r="J313" i="16"/>
  <c r="F313" i="16" s="1"/>
  <c r="J312" i="16"/>
  <c r="K312" i="16" s="1"/>
  <c r="N230" i="14" l="1"/>
  <c r="N222" i="14"/>
  <c r="K132" i="15"/>
  <c r="K133" i="15"/>
  <c r="G133" i="15" s="1"/>
  <c r="A95" i="23"/>
  <c r="F121" i="15"/>
  <c r="K120" i="15"/>
  <c r="K119" i="15" s="1"/>
  <c r="K154" i="1" s="1"/>
  <c r="G312" i="16"/>
  <c r="K313" i="16"/>
  <c r="G313" i="16" s="1"/>
  <c r="F312" i="16"/>
  <c r="F146" i="15"/>
  <c r="J145" i="15"/>
  <c r="F145" i="15" s="1"/>
  <c r="J144" i="15"/>
  <c r="K144" i="15" s="1"/>
  <c r="F128" i="15"/>
  <c r="J127" i="15"/>
  <c r="F127" i="15" s="1"/>
  <c r="J126" i="15"/>
  <c r="K126" i="15" s="1"/>
  <c r="F357" i="16"/>
  <c r="J355" i="16"/>
  <c r="F355" i="16" s="1"/>
  <c r="J354" i="16"/>
  <c r="K354" i="16" s="1"/>
  <c r="F327" i="16"/>
  <c r="J325" i="16"/>
  <c r="K325" i="16" s="1"/>
  <c r="G325" i="16" s="1"/>
  <c r="J324" i="16"/>
  <c r="K324" i="16" s="1"/>
  <c r="N245" i="14" l="1"/>
  <c r="N237" i="14"/>
  <c r="L338" i="16"/>
  <c r="M338" i="16" s="1"/>
  <c r="M335" i="16" s="1"/>
  <c r="K131" i="15"/>
  <c r="K156" i="1" s="1"/>
  <c r="G132" i="15"/>
  <c r="M134" i="15"/>
  <c r="A101" i="23"/>
  <c r="M122" i="15"/>
  <c r="M119" i="15" s="1"/>
  <c r="M154" i="1" s="1"/>
  <c r="G120" i="15"/>
  <c r="F325" i="16"/>
  <c r="G144" i="15"/>
  <c r="F144" i="15"/>
  <c r="K127" i="15"/>
  <c r="G127" i="15" s="1"/>
  <c r="K145" i="15"/>
  <c r="G145" i="15" s="1"/>
  <c r="F126" i="15"/>
  <c r="G126" i="15"/>
  <c r="G354" i="16"/>
  <c r="F354" i="16"/>
  <c r="K355" i="16"/>
  <c r="G355" i="16" s="1"/>
  <c r="F324" i="16"/>
  <c r="G324" i="16"/>
  <c r="N260" i="14" l="1"/>
  <c r="N252" i="14"/>
  <c r="G154" i="1"/>
  <c r="L350" i="16"/>
  <c r="M350" i="16" s="1"/>
  <c r="M347" i="16" s="1"/>
  <c r="L356" i="16"/>
  <c r="M356" i="16" s="1"/>
  <c r="M353" i="16" s="1"/>
  <c r="L332" i="16"/>
  <c r="M332" i="16" s="1"/>
  <c r="M329" i="16" s="1"/>
  <c r="L320" i="16"/>
  <c r="M320" i="16" s="1"/>
  <c r="M317" i="16" s="1"/>
  <c r="L344" i="16"/>
  <c r="M344" i="16" s="1"/>
  <c r="M341" i="16" s="1"/>
  <c r="L194" i="16"/>
  <c r="M194" i="16" s="1"/>
  <c r="M191" i="16" s="1"/>
  <c r="L200" i="16"/>
  <c r="M200" i="16" s="1"/>
  <c r="M197" i="16" s="1"/>
  <c r="L206" i="16"/>
  <c r="M206" i="16" s="1"/>
  <c r="M203" i="16" s="1"/>
  <c r="G134" i="15"/>
  <c r="M131" i="15"/>
  <c r="K125" i="15"/>
  <c r="K155" i="1" s="1"/>
  <c r="K143" i="15"/>
  <c r="K158" i="1" s="1"/>
  <c r="A107" i="23"/>
  <c r="G122" i="15"/>
  <c r="G119" i="15"/>
  <c r="M128" i="15"/>
  <c r="M146" i="15"/>
  <c r="M143" i="15" s="1"/>
  <c r="M158" i="1" s="1"/>
  <c r="L326" i="16"/>
  <c r="N275" i="14" l="1"/>
  <c r="N267" i="14"/>
  <c r="G158" i="1"/>
  <c r="G131" i="15"/>
  <c r="M156" i="1"/>
  <c r="G156" i="1" s="1"/>
  <c r="H350" i="16"/>
  <c r="I350" i="16" s="1"/>
  <c r="H338" i="16"/>
  <c r="H344" i="16"/>
  <c r="H332" i="16"/>
  <c r="H320" i="16"/>
  <c r="H194" i="16"/>
  <c r="H200" i="16"/>
  <c r="H206" i="16"/>
  <c r="G128" i="15"/>
  <c r="M125" i="15"/>
  <c r="A113" i="23"/>
  <c r="H356" i="16"/>
  <c r="G146" i="15"/>
  <c r="G143" i="15"/>
  <c r="H326" i="16"/>
  <c r="N290" i="14" l="1"/>
  <c r="N297" i="14" s="1"/>
  <c r="N282" i="14"/>
  <c r="G125" i="15"/>
  <c r="M155" i="1"/>
  <c r="I344" i="16"/>
  <c r="I320" i="16"/>
  <c r="I338" i="16"/>
  <c r="I332" i="16"/>
  <c r="I200" i="16"/>
  <c r="I347" i="16"/>
  <c r="I206" i="16"/>
  <c r="I194" i="16"/>
  <c r="A119" i="23"/>
  <c r="I356" i="16"/>
  <c r="G155" i="1" l="1"/>
  <c r="I335" i="16"/>
  <c r="I317" i="16"/>
  <c r="I329" i="16"/>
  <c r="I341" i="16"/>
  <c r="I203" i="16"/>
  <c r="I191" i="16"/>
  <c r="I197" i="16"/>
  <c r="A125" i="23"/>
  <c r="I353" i="16"/>
  <c r="A131" i="23" l="1"/>
  <c r="F309" i="16"/>
  <c r="J307" i="16"/>
  <c r="F307" i="16" s="1"/>
  <c r="J306" i="16"/>
  <c r="F306" i="16" s="1"/>
  <c r="F297" i="16"/>
  <c r="J295" i="16"/>
  <c r="F295" i="16" s="1"/>
  <c r="J294" i="16"/>
  <c r="F294" i="16" s="1"/>
  <c r="F110" i="15"/>
  <c r="J109" i="15"/>
  <c r="K109" i="15" s="1"/>
  <c r="G109" i="15" s="1"/>
  <c r="J108" i="15"/>
  <c r="K108" i="15" s="1"/>
  <c r="K107" i="15" l="1"/>
  <c r="K152" i="1" s="1"/>
  <c r="A137" i="23"/>
  <c r="F108" i="15"/>
  <c r="F109" i="15"/>
  <c r="K295" i="16"/>
  <c r="G295" i="16" s="1"/>
  <c r="K306" i="16"/>
  <c r="K307" i="16"/>
  <c r="G307" i="16" s="1"/>
  <c r="K294" i="16"/>
  <c r="M110" i="15"/>
  <c r="M107" i="15" s="1"/>
  <c r="M152" i="1" s="1"/>
  <c r="G108" i="15"/>
  <c r="J25" i="17"/>
  <c r="K25" i="17" s="1"/>
  <c r="J24" i="17"/>
  <c r="F24" i="17" s="1"/>
  <c r="J23" i="17"/>
  <c r="K23" i="17" s="1"/>
  <c r="G23" i="17" s="1"/>
  <c r="J22" i="17"/>
  <c r="K22" i="17" s="1"/>
  <c r="J17" i="17"/>
  <c r="K17" i="17" s="1"/>
  <c r="J16" i="17"/>
  <c r="F16" i="17" s="1"/>
  <c r="J15" i="17"/>
  <c r="K15" i="17" s="1"/>
  <c r="G15" i="17" s="1"/>
  <c r="J14" i="17"/>
  <c r="K14" i="17" s="1"/>
  <c r="F26" i="17"/>
  <c r="M25" i="17"/>
  <c r="I25" i="17"/>
  <c r="F18" i="17"/>
  <c r="M17" i="17"/>
  <c r="I17" i="17"/>
  <c r="I13" i="17" s="1"/>
  <c r="J9" i="17"/>
  <c r="K9" i="17" s="1"/>
  <c r="J8" i="17"/>
  <c r="K8" i="17" s="1"/>
  <c r="G8" i="17" s="1"/>
  <c r="J7" i="17"/>
  <c r="K7" i="17" s="1"/>
  <c r="G7" i="17" s="1"/>
  <c r="J6" i="17"/>
  <c r="K6" i="17" s="1"/>
  <c r="G6" i="17" s="1"/>
  <c r="F10" i="17"/>
  <c r="M9" i="17"/>
  <c r="I9" i="17"/>
  <c r="I5" i="17" s="1"/>
  <c r="G152" i="1" l="1"/>
  <c r="F25" i="17"/>
  <c r="A143" i="23"/>
  <c r="F17" i="17"/>
  <c r="G306" i="16"/>
  <c r="G294" i="16"/>
  <c r="G110" i="15"/>
  <c r="G107" i="15"/>
  <c r="K24" i="17"/>
  <c r="G24" i="17" s="1"/>
  <c r="F22" i="17"/>
  <c r="G22" i="17"/>
  <c r="G25" i="17"/>
  <c r="F23" i="17"/>
  <c r="F9" i="17"/>
  <c r="F8" i="17"/>
  <c r="I21" i="17"/>
  <c r="K16" i="17"/>
  <c r="G16" i="17" s="1"/>
  <c r="F14" i="17"/>
  <c r="G14" i="17"/>
  <c r="M10" i="17"/>
  <c r="M11" i="17"/>
  <c r="G11" i="17" s="1"/>
  <c r="K5" i="17"/>
  <c r="F15" i="17"/>
  <c r="G17" i="17"/>
  <c r="G9" i="17"/>
  <c r="F6" i="17"/>
  <c r="F7" i="17"/>
  <c r="A149" i="23" l="1"/>
  <c r="K21" i="17"/>
  <c r="M27" i="17"/>
  <c r="G27" i="17" s="1"/>
  <c r="M26" i="17"/>
  <c r="G26" i="17" s="1"/>
  <c r="M19" i="17"/>
  <c r="G19" i="17" s="1"/>
  <c r="M18" i="17"/>
  <c r="G18" i="17" s="1"/>
  <c r="K13" i="17"/>
  <c r="M5" i="17"/>
  <c r="G10" i="17"/>
  <c r="G5" i="17" l="1"/>
  <c r="A155" i="23"/>
  <c r="M21" i="17"/>
  <c r="M13" i="17"/>
  <c r="G21" i="17" l="1"/>
  <c r="G13" i="17"/>
  <c r="A161" i="23"/>
  <c r="F285" i="16"/>
  <c r="J283" i="16"/>
  <c r="F283" i="16" s="1"/>
  <c r="J282" i="16"/>
  <c r="K282" i="16" s="1"/>
  <c r="A167" i="23" l="1"/>
  <c r="A173" i="23" s="1"/>
  <c r="A177" i="23" s="1"/>
  <c r="A181" i="23" s="1"/>
  <c r="A185" i="23" s="1"/>
  <c r="A189" i="23" s="1"/>
  <c r="A193" i="23" s="1"/>
  <c r="A197" i="23" s="1"/>
  <c r="A201" i="23" s="1"/>
  <c r="A205" i="23" s="1"/>
  <c r="A209" i="23" s="1"/>
  <c r="A213" i="23" s="1"/>
  <c r="A217" i="23" s="1"/>
  <c r="A221" i="23" s="1"/>
  <c r="A225" i="23" s="1"/>
  <c r="A229" i="23" s="1"/>
  <c r="A233" i="23" s="1"/>
  <c r="A237" i="23" s="1"/>
  <c r="A241" i="23" s="1"/>
  <c r="A245" i="23" s="1"/>
  <c r="A249" i="23" s="1"/>
  <c r="A253" i="23" s="1"/>
  <c r="A257" i="23" s="1"/>
  <c r="A261" i="23" s="1"/>
  <c r="G282" i="16"/>
  <c r="F282" i="16"/>
  <c r="K283" i="16"/>
  <c r="G283" i="16" s="1"/>
  <c r="A5" i="18" l="1"/>
  <c r="F237" i="16"/>
  <c r="J235" i="16"/>
  <c r="K235" i="16" s="1"/>
  <c r="G235" i="16" s="1"/>
  <c r="J234" i="16"/>
  <c r="K234" i="16" s="1"/>
  <c r="F111" i="16"/>
  <c r="F105" i="16"/>
  <c r="F99" i="16"/>
  <c r="F93" i="16"/>
  <c r="F87" i="16"/>
  <c r="F81" i="16"/>
  <c r="F75" i="16"/>
  <c r="F69" i="16"/>
  <c r="F63" i="16"/>
  <c r="F57" i="16"/>
  <c r="F51" i="16"/>
  <c r="F45" i="16"/>
  <c r="F39" i="16"/>
  <c r="F33" i="16"/>
  <c r="F27" i="16"/>
  <c r="F21" i="16"/>
  <c r="F15" i="16"/>
  <c r="F9" i="16"/>
  <c r="J109" i="16"/>
  <c r="J108" i="16"/>
  <c r="J103" i="16"/>
  <c r="J102" i="16"/>
  <c r="J97" i="16"/>
  <c r="J96" i="16"/>
  <c r="J91" i="16"/>
  <c r="J90" i="16"/>
  <c r="J85" i="16"/>
  <c r="J84" i="16"/>
  <c r="J79" i="16"/>
  <c r="J78" i="16"/>
  <c r="J73" i="16"/>
  <c r="J72" i="16"/>
  <c r="J67" i="16"/>
  <c r="J66" i="16"/>
  <c r="J61" i="16"/>
  <c r="J60" i="16"/>
  <c r="J55" i="16"/>
  <c r="J54" i="16"/>
  <c r="F54" i="16" s="1"/>
  <c r="J49" i="16"/>
  <c r="F49" i="16" s="1"/>
  <c r="J48" i="16"/>
  <c r="F48" i="16" s="1"/>
  <c r="J43" i="16"/>
  <c r="F43" i="16" s="1"/>
  <c r="J42" i="16"/>
  <c r="F42" i="16" s="1"/>
  <c r="J37" i="16"/>
  <c r="F37" i="16" s="1"/>
  <c r="J36" i="16"/>
  <c r="F36" i="16" s="1"/>
  <c r="J31" i="16"/>
  <c r="F31" i="16" s="1"/>
  <c r="J30" i="16"/>
  <c r="F30" i="16" s="1"/>
  <c r="J25" i="16"/>
  <c r="K25" i="16" s="1"/>
  <c r="G25" i="16" s="1"/>
  <c r="J24" i="16"/>
  <c r="F24" i="16" s="1"/>
  <c r="J19" i="16"/>
  <c r="K19" i="16" s="1"/>
  <c r="G19" i="16" s="1"/>
  <c r="J18" i="16"/>
  <c r="F18" i="16" s="1"/>
  <c r="J13" i="16"/>
  <c r="K13" i="16" s="1"/>
  <c r="G13" i="16" s="1"/>
  <c r="J12" i="16"/>
  <c r="F12" i="16" s="1"/>
  <c r="J7" i="16"/>
  <c r="F7" i="16" s="1"/>
  <c r="J6" i="16"/>
  <c r="K6" i="16" s="1"/>
  <c r="F104" i="15"/>
  <c r="J103" i="15"/>
  <c r="K103" i="15" s="1"/>
  <c r="G103" i="15" s="1"/>
  <c r="J102" i="15"/>
  <c r="K102" i="15" s="1"/>
  <c r="F98" i="15"/>
  <c r="J97" i="15"/>
  <c r="K97" i="15" s="1"/>
  <c r="J96" i="15"/>
  <c r="K96" i="15" s="1"/>
  <c r="F92" i="15"/>
  <c r="J91" i="15"/>
  <c r="F91" i="15" s="1"/>
  <c r="J90" i="15"/>
  <c r="F90" i="15" s="1"/>
  <c r="F86" i="15"/>
  <c r="J85" i="15"/>
  <c r="J84" i="15"/>
  <c r="F80" i="15"/>
  <c r="J79" i="15"/>
  <c r="K79" i="15" s="1"/>
  <c r="G79" i="15" s="1"/>
  <c r="J78" i="15"/>
  <c r="K78" i="15" s="1"/>
  <c r="F74" i="15"/>
  <c r="J73" i="15"/>
  <c r="F73" i="15" s="1"/>
  <c r="J72" i="15"/>
  <c r="F72" i="15" s="1"/>
  <c r="F68" i="15"/>
  <c r="J67" i="15"/>
  <c r="F67" i="15" s="1"/>
  <c r="J66" i="15"/>
  <c r="F62" i="15"/>
  <c r="J61" i="15"/>
  <c r="J60" i="15"/>
  <c r="F56" i="15"/>
  <c r="J55" i="15"/>
  <c r="K55" i="15" s="1"/>
  <c r="G55" i="15" s="1"/>
  <c r="J54" i="15"/>
  <c r="K54" i="15" s="1"/>
  <c r="F50" i="15"/>
  <c r="J49" i="15"/>
  <c r="K49" i="15" s="1"/>
  <c r="G49" i="15" s="1"/>
  <c r="J48" i="15"/>
  <c r="F48" i="15" s="1"/>
  <c r="F44" i="15"/>
  <c r="J43" i="15"/>
  <c r="J42" i="15"/>
  <c r="F42" i="15" s="1"/>
  <c r="F38" i="15"/>
  <c r="J37" i="15"/>
  <c r="J36" i="15"/>
  <c r="F32" i="15"/>
  <c r="J31" i="15"/>
  <c r="K31" i="15" s="1"/>
  <c r="G31" i="15" s="1"/>
  <c r="J30" i="15"/>
  <c r="K30" i="15" s="1"/>
  <c r="F26" i="15"/>
  <c r="J25" i="15"/>
  <c r="K25" i="15" s="1"/>
  <c r="G25" i="15" s="1"/>
  <c r="J24" i="15"/>
  <c r="K24" i="15" s="1"/>
  <c r="F20" i="15"/>
  <c r="J19" i="15"/>
  <c r="F19" i="15" s="1"/>
  <c r="J18" i="15"/>
  <c r="F18" i="15" s="1"/>
  <c r="F14" i="15"/>
  <c r="J13" i="15"/>
  <c r="K13" i="15" s="1"/>
  <c r="G13" i="15" s="1"/>
  <c r="J12" i="15"/>
  <c r="F8" i="15"/>
  <c r="J7" i="15"/>
  <c r="K7" i="15" s="1"/>
  <c r="J6" i="15"/>
  <c r="F6" i="15" s="1"/>
  <c r="K95" i="15" l="1"/>
  <c r="G102" i="15"/>
  <c r="K101" i="15"/>
  <c r="K151" i="1" s="1"/>
  <c r="K29" i="15"/>
  <c r="K139" i="1" s="1"/>
  <c r="G78" i="15"/>
  <c r="K77" i="15"/>
  <c r="K147" i="1" s="1"/>
  <c r="G54" i="15"/>
  <c r="K53" i="15"/>
  <c r="K143" i="1" s="1"/>
  <c r="K23" i="15"/>
  <c r="K138" i="1" s="1"/>
  <c r="G96" i="15"/>
  <c r="A11" i="18"/>
  <c r="F97" i="15"/>
  <c r="G97" i="15"/>
  <c r="F25" i="15"/>
  <c r="F235" i="16"/>
  <c r="F7" i="15"/>
  <c r="F234" i="16"/>
  <c r="K6" i="15"/>
  <c r="G234" i="16"/>
  <c r="K43" i="16"/>
  <c r="G43" i="16" s="1"/>
  <c r="K37" i="16"/>
  <c r="G37" i="16" s="1"/>
  <c r="K49" i="16"/>
  <c r="G49" i="16" s="1"/>
  <c r="K36" i="16"/>
  <c r="K42" i="16"/>
  <c r="K48" i="16"/>
  <c r="K54" i="16"/>
  <c r="G6" i="16"/>
  <c r="K7" i="16"/>
  <c r="G7" i="16" s="1"/>
  <c r="K12" i="16"/>
  <c r="K18" i="16"/>
  <c r="K24" i="16"/>
  <c r="K30" i="16"/>
  <c r="K31" i="16"/>
  <c r="G31" i="16" s="1"/>
  <c r="K61" i="16"/>
  <c r="G61" i="16" s="1"/>
  <c r="F61" i="16"/>
  <c r="K72" i="16"/>
  <c r="F72" i="16"/>
  <c r="K85" i="16"/>
  <c r="G85" i="16" s="1"/>
  <c r="F85" i="16"/>
  <c r="F6" i="16"/>
  <c r="F13" i="16"/>
  <c r="F19" i="16"/>
  <c r="F25" i="16"/>
  <c r="K55" i="16"/>
  <c r="F55" i="16"/>
  <c r="K66" i="16"/>
  <c r="F66" i="16"/>
  <c r="K79" i="16"/>
  <c r="G79" i="16" s="1"/>
  <c r="F79" i="16"/>
  <c r="K90" i="16"/>
  <c r="F90" i="16"/>
  <c r="K103" i="16"/>
  <c r="G103" i="16" s="1"/>
  <c r="F103" i="16"/>
  <c r="K60" i="16"/>
  <c r="F60" i="16"/>
  <c r="K73" i="16"/>
  <c r="G73" i="16" s="1"/>
  <c r="F73" i="16"/>
  <c r="K84" i="16"/>
  <c r="F84" i="16"/>
  <c r="K97" i="16"/>
  <c r="G97" i="16" s="1"/>
  <c r="F97" i="16"/>
  <c r="K108" i="16"/>
  <c r="F108" i="16"/>
  <c r="K67" i="16"/>
  <c r="G67" i="16" s="1"/>
  <c r="F67" i="16"/>
  <c r="K78" i="16"/>
  <c r="F78" i="16"/>
  <c r="K91" i="16"/>
  <c r="G91" i="16" s="1"/>
  <c r="F91" i="16"/>
  <c r="K102" i="16"/>
  <c r="F102" i="16"/>
  <c r="K96" i="16"/>
  <c r="F96" i="16"/>
  <c r="K109" i="16"/>
  <c r="G109" i="16" s="1"/>
  <c r="F109" i="16"/>
  <c r="K90" i="15"/>
  <c r="F49" i="15"/>
  <c r="K73" i="15"/>
  <c r="G73" i="15" s="1"/>
  <c r="K48" i="15"/>
  <c r="K67" i="15"/>
  <c r="G67" i="15" s="1"/>
  <c r="F78" i="15"/>
  <c r="F102" i="15"/>
  <c r="M32" i="15"/>
  <c r="M29" i="15" s="1"/>
  <c r="M139" i="1" s="1"/>
  <c r="G30" i="15"/>
  <c r="F55" i="15"/>
  <c r="K72" i="15"/>
  <c r="F30" i="15"/>
  <c r="F31" i="15"/>
  <c r="K42" i="15"/>
  <c r="F54" i="15"/>
  <c r="F79" i="15"/>
  <c r="F103" i="15"/>
  <c r="F13" i="15"/>
  <c r="F96" i="15"/>
  <c r="K19" i="15"/>
  <c r="G19" i="15" s="1"/>
  <c r="G24" i="15"/>
  <c r="M26" i="15"/>
  <c r="M23" i="15" s="1"/>
  <c r="M138" i="1" s="1"/>
  <c r="G7" i="15"/>
  <c r="F24" i="15"/>
  <c r="F43" i="15"/>
  <c r="K43" i="15"/>
  <c r="K36" i="15"/>
  <c r="F36" i="15"/>
  <c r="K12" i="15"/>
  <c r="K11" i="15" s="1"/>
  <c r="K136" i="1" s="1"/>
  <c r="F12" i="15"/>
  <c r="K37" i="15"/>
  <c r="G37" i="15" s="1"/>
  <c r="F37" i="15"/>
  <c r="K60" i="15"/>
  <c r="F60" i="15"/>
  <c r="F66" i="15"/>
  <c r="K66" i="15"/>
  <c r="K18" i="15"/>
  <c r="M56" i="15"/>
  <c r="M53" i="15" s="1"/>
  <c r="M143" i="1" s="1"/>
  <c r="M104" i="15"/>
  <c r="M101" i="15" s="1"/>
  <c r="M151" i="1" s="1"/>
  <c r="K85" i="15"/>
  <c r="G85" i="15" s="1"/>
  <c r="F85" i="15"/>
  <c r="M80" i="15"/>
  <c r="M77" i="15" s="1"/>
  <c r="M147" i="1" s="1"/>
  <c r="K61" i="15"/>
  <c r="G61" i="15" s="1"/>
  <c r="F61" i="15"/>
  <c r="K84" i="15"/>
  <c r="F84" i="15"/>
  <c r="K91" i="15"/>
  <c r="G91" i="15" s="1"/>
  <c r="J82" i="14"/>
  <c r="K82" i="14" s="1"/>
  <c r="G82" i="14" s="1"/>
  <c r="J81" i="14"/>
  <c r="K81" i="14" s="1"/>
  <c r="J52" i="14"/>
  <c r="K52" i="14" s="1"/>
  <c r="G52" i="14" s="1"/>
  <c r="J51" i="14"/>
  <c r="K51" i="14" s="1"/>
  <c r="J22" i="14"/>
  <c r="K22" i="14" s="1"/>
  <c r="G22" i="14" s="1"/>
  <c r="J21" i="14"/>
  <c r="K21" i="14" s="1"/>
  <c r="J292" i="14"/>
  <c r="F292" i="14" s="1"/>
  <c r="J291" i="14"/>
  <c r="F291" i="14" s="1"/>
  <c r="J277" i="14"/>
  <c r="F277" i="14" s="1"/>
  <c r="J276" i="14"/>
  <c r="F276" i="14" s="1"/>
  <c r="J262" i="14"/>
  <c r="F262" i="14" s="1"/>
  <c r="J261" i="14"/>
  <c r="F261" i="14" s="1"/>
  <c r="J247" i="14"/>
  <c r="F247" i="14" s="1"/>
  <c r="J246" i="14"/>
  <c r="F246" i="14" s="1"/>
  <c r="J232" i="14"/>
  <c r="F232" i="14" s="1"/>
  <c r="J231" i="14"/>
  <c r="F231" i="14" s="1"/>
  <c r="J217" i="14"/>
  <c r="F217" i="14" s="1"/>
  <c r="J216" i="14"/>
  <c r="F216" i="14" s="1"/>
  <c r="J202" i="14"/>
  <c r="F202" i="14" s="1"/>
  <c r="J201" i="14"/>
  <c r="F201" i="14" s="1"/>
  <c r="J187" i="14"/>
  <c r="F187" i="14" s="1"/>
  <c r="J186" i="14"/>
  <c r="F186" i="14" s="1"/>
  <c r="J172" i="14"/>
  <c r="F172" i="14" s="1"/>
  <c r="J171" i="14"/>
  <c r="F171" i="14" s="1"/>
  <c r="J157" i="14"/>
  <c r="F157" i="14" s="1"/>
  <c r="J156" i="14"/>
  <c r="F156" i="14" s="1"/>
  <c r="J142" i="14"/>
  <c r="F142" i="14" s="1"/>
  <c r="J141" i="14"/>
  <c r="F141" i="14" s="1"/>
  <c r="J127" i="14"/>
  <c r="F127" i="14" s="1"/>
  <c r="J126" i="14"/>
  <c r="F126" i="14" s="1"/>
  <c r="J112" i="14"/>
  <c r="F112" i="14" s="1"/>
  <c r="F111" i="14"/>
  <c r="J97" i="14"/>
  <c r="F97" i="14" s="1"/>
  <c r="J96" i="14"/>
  <c r="F96" i="14" s="1"/>
  <c r="J67" i="14"/>
  <c r="F67" i="14" s="1"/>
  <c r="J66" i="14"/>
  <c r="F66" i="14" s="1"/>
  <c r="J37" i="14"/>
  <c r="F37" i="14" s="1"/>
  <c r="J36" i="14"/>
  <c r="F36" i="14" s="1"/>
  <c r="J7" i="14"/>
  <c r="F7" i="14" s="1"/>
  <c r="J6" i="14"/>
  <c r="F6" i="14" s="1"/>
  <c r="M84" i="14" l="1"/>
  <c r="M54" i="14"/>
  <c r="M24" i="14"/>
  <c r="K35" i="15"/>
  <c r="K140" i="1" s="1"/>
  <c r="K59" i="15"/>
  <c r="K144" i="1" s="1"/>
  <c r="G138" i="1"/>
  <c r="K65" i="15"/>
  <c r="K145" i="1" s="1"/>
  <c r="G147" i="1"/>
  <c r="G143" i="1"/>
  <c r="K17" i="15"/>
  <c r="K137" i="1" s="1"/>
  <c r="G139" i="1"/>
  <c r="G151" i="1"/>
  <c r="L212" i="16"/>
  <c r="M212" i="16" s="1"/>
  <c r="M209" i="16" s="1"/>
  <c r="L242" i="16"/>
  <c r="M242" i="16" s="1"/>
  <c r="M239" i="16" s="1"/>
  <c r="L248" i="16"/>
  <c r="M248" i="16" s="1"/>
  <c r="M245" i="16" s="1"/>
  <c r="L254" i="16"/>
  <c r="M254" i="16" s="1"/>
  <c r="M251" i="16" s="1"/>
  <c r="L218" i="16"/>
  <c r="M218" i="16" s="1"/>
  <c r="M215" i="16" s="1"/>
  <c r="L224" i="16"/>
  <c r="M224" i="16" s="1"/>
  <c r="M221" i="16" s="1"/>
  <c r="L230" i="16"/>
  <c r="M230" i="16" s="1"/>
  <c r="M227" i="16" s="1"/>
  <c r="L266" i="16"/>
  <c r="M266" i="16" s="1"/>
  <c r="M263" i="16" s="1"/>
  <c r="H266" i="16"/>
  <c r="H212" i="16"/>
  <c r="H242" i="16"/>
  <c r="H248" i="16"/>
  <c r="H254" i="16"/>
  <c r="H218" i="16"/>
  <c r="H224" i="16"/>
  <c r="H230" i="16"/>
  <c r="L80" i="16"/>
  <c r="M80" i="16" s="1"/>
  <c r="L146" i="16"/>
  <c r="M146" i="16" s="1"/>
  <c r="M143" i="16" s="1"/>
  <c r="L140" i="16"/>
  <c r="M140" i="16" s="1"/>
  <c r="M137" i="16" s="1"/>
  <c r="H140" i="16"/>
  <c r="H146" i="16"/>
  <c r="G48" i="15"/>
  <c r="K47" i="15"/>
  <c r="K142" i="1" s="1"/>
  <c r="G42" i="15"/>
  <c r="K41" i="15"/>
  <c r="K141" i="1" s="1"/>
  <c r="G6" i="15"/>
  <c r="K5" i="15"/>
  <c r="G90" i="15"/>
  <c r="K89" i="15"/>
  <c r="K149" i="1" s="1"/>
  <c r="G72" i="15"/>
  <c r="K71" i="15"/>
  <c r="K146" i="1" s="1"/>
  <c r="K83" i="15"/>
  <c r="K148" i="1" s="1"/>
  <c r="K150" i="1"/>
  <c r="A17" i="18"/>
  <c r="L50" i="16"/>
  <c r="M50" i="16" s="1"/>
  <c r="M98" i="15"/>
  <c r="M95" i="15" s="1"/>
  <c r="L26" i="16"/>
  <c r="M26" i="16" s="1"/>
  <c r="L32" i="16"/>
  <c r="M32" i="16" s="1"/>
  <c r="L68" i="16"/>
  <c r="M68" i="16" s="1"/>
  <c r="L38" i="16"/>
  <c r="M38" i="16" s="1"/>
  <c r="L74" i="16"/>
  <c r="M74" i="16" s="1"/>
  <c r="L56" i="16"/>
  <c r="M56" i="16" s="1"/>
  <c r="L14" i="16"/>
  <c r="L236" i="16"/>
  <c r="M236" i="16" s="1"/>
  <c r="M233" i="16" s="1"/>
  <c r="L62" i="16"/>
  <c r="M62" i="16" s="1"/>
  <c r="L86" i="16"/>
  <c r="M86" i="16" s="1"/>
  <c r="L44" i="16"/>
  <c r="M44" i="16" s="1"/>
  <c r="L20" i="16"/>
  <c r="M20" i="16" s="1"/>
  <c r="M8" i="15"/>
  <c r="H14" i="16"/>
  <c r="H80" i="16"/>
  <c r="I80" i="16" s="1"/>
  <c r="H44" i="16"/>
  <c r="I44" i="16" s="1"/>
  <c r="H236" i="16"/>
  <c r="I236" i="16" s="1"/>
  <c r="I233" i="16" s="1"/>
  <c r="H26" i="16"/>
  <c r="I26" i="16" s="1"/>
  <c r="H74" i="16"/>
  <c r="I74" i="16" s="1"/>
  <c r="H38" i="16"/>
  <c r="I38" i="16" s="1"/>
  <c r="H20" i="16"/>
  <c r="I20" i="16" s="1"/>
  <c r="H68" i="16"/>
  <c r="I68" i="16" s="1"/>
  <c r="H32" i="16"/>
  <c r="I32" i="16" s="1"/>
  <c r="H62" i="16"/>
  <c r="I62" i="16" s="1"/>
  <c r="H56" i="16"/>
  <c r="I56" i="16" s="1"/>
  <c r="H86" i="16"/>
  <c r="I86" i="16" s="1"/>
  <c r="H50" i="16"/>
  <c r="I50" i="16" s="1"/>
  <c r="G54" i="16"/>
  <c r="G48" i="16"/>
  <c r="G42" i="16"/>
  <c r="G36" i="16"/>
  <c r="G66" i="16"/>
  <c r="G30" i="16"/>
  <c r="G18" i="16"/>
  <c r="G96" i="16"/>
  <c r="G78" i="16"/>
  <c r="G108" i="16"/>
  <c r="G60" i="16"/>
  <c r="G90" i="16"/>
  <c r="G55" i="16"/>
  <c r="G24" i="16"/>
  <c r="G12" i="16"/>
  <c r="G102" i="16"/>
  <c r="G84" i="16"/>
  <c r="G72" i="16"/>
  <c r="M74" i="15"/>
  <c r="M50" i="15"/>
  <c r="M47" i="15" s="1"/>
  <c r="M142" i="1" s="1"/>
  <c r="G29" i="15"/>
  <c r="G32" i="15"/>
  <c r="G84" i="15"/>
  <c r="M86" i="15"/>
  <c r="M83" i="15" s="1"/>
  <c r="M148" i="1" s="1"/>
  <c r="M20" i="15"/>
  <c r="M17" i="15" s="1"/>
  <c r="M137" i="1" s="1"/>
  <c r="G18" i="15"/>
  <c r="M38" i="15"/>
  <c r="M35" i="15" s="1"/>
  <c r="M140" i="1" s="1"/>
  <c r="G36" i="15"/>
  <c r="G43" i="15"/>
  <c r="M44" i="15"/>
  <c r="M41" i="15" s="1"/>
  <c r="M141" i="1" s="1"/>
  <c r="G53" i="15"/>
  <c r="G56" i="15"/>
  <c r="G26" i="15"/>
  <c r="G23" i="15"/>
  <c r="G77" i="15"/>
  <c r="G80" i="15"/>
  <c r="M92" i="15"/>
  <c r="M89" i="15" s="1"/>
  <c r="M149" i="1" s="1"/>
  <c r="G104" i="15"/>
  <c r="G101" i="15"/>
  <c r="G60" i="15"/>
  <c r="M62" i="15"/>
  <c r="M59" i="15" s="1"/>
  <c r="M144" i="1" s="1"/>
  <c r="M14" i="15"/>
  <c r="M11" i="15" s="1"/>
  <c r="M136" i="1" s="1"/>
  <c r="G12" i="15"/>
  <c r="G66" i="15"/>
  <c r="M68" i="15"/>
  <c r="M65" i="15" s="1"/>
  <c r="M145" i="1" s="1"/>
  <c r="G81" i="14"/>
  <c r="F81" i="14"/>
  <c r="F82" i="14"/>
  <c r="G51" i="14"/>
  <c r="F51" i="14"/>
  <c r="F52" i="14"/>
  <c r="G21" i="14"/>
  <c r="F21" i="14"/>
  <c r="F22" i="14"/>
  <c r="K157" i="14"/>
  <c r="G157" i="14" s="1"/>
  <c r="K277" i="14"/>
  <c r="G277" i="14" s="1"/>
  <c r="K97" i="14"/>
  <c r="G97" i="14" s="1"/>
  <c r="K202" i="14"/>
  <c r="G202" i="14" s="1"/>
  <c r="K216" i="14"/>
  <c r="K276" i="14"/>
  <c r="K96" i="14"/>
  <c r="K217" i="14"/>
  <c r="G217" i="14" s="1"/>
  <c r="K262" i="14"/>
  <c r="G262" i="14" s="1"/>
  <c r="K67" i="14"/>
  <c r="G67" i="14" s="1"/>
  <c r="K142" i="14"/>
  <c r="G142" i="14" s="1"/>
  <c r="K156" i="14"/>
  <c r="K37" i="14"/>
  <c r="G37" i="14" s="1"/>
  <c r="K112" i="14"/>
  <c r="G112" i="14" s="1"/>
  <c r="K126" i="14"/>
  <c r="K187" i="14"/>
  <c r="G187" i="14" s="1"/>
  <c r="K232" i="14"/>
  <c r="G232" i="14" s="1"/>
  <c r="K246" i="14"/>
  <c r="K7" i="14"/>
  <c r="G7" i="14" s="1"/>
  <c r="K36" i="14"/>
  <c r="K127" i="14"/>
  <c r="G127" i="14" s="1"/>
  <c r="K172" i="14"/>
  <c r="G172" i="14" s="1"/>
  <c r="K186" i="14"/>
  <c r="K247" i="14"/>
  <c r="G247" i="14" s="1"/>
  <c r="K292" i="14"/>
  <c r="G292" i="14" s="1"/>
  <c r="K66" i="14"/>
  <c r="K6" i="14"/>
  <c r="K141" i="14"/>
  <c r="K171" i="14"/>
  <c r="K201" i="14"/>
  <c r="K231" i="14"/>
  <c r="K261" i="14"/>
  <c r="K291" i="14"/>
  <c r="K135" i="1" l="1"/>
  <c r="G291" i="14"/>
  <c r="M294" i="14"/>
  <c r="G276" i="14"/>
  <c r="M279" i="14"/>
  <c r="G261" i="14"/>
  <c r="M264" i="14"/>
  <c r="G246" i="14"/>
  <c r="M249" i="14"/>
  <c r="G231" i="14"/>
  <c r="M234" i="14"/>
  <c r="G216" i="14"/>
  <c r="M219" i="14"/>
  <c r="G201" i="14"/>
  <c r="M204" i="14"/>
  <c r="G171" i="14"/>
  <c r="M174" i="14"/>
  <c r="G156" i="14"/>
  <c r="M159" i="14"/>
  <c r="G141" i="14"/>
  <c r="M144" i="14"/>
  <c r="G126" i="14"/>
  <c r="M129" i="14"/>
  <c r="G111" i="14"/>
  <c r="M114" i="14"/>
  <c r="G96" i="14"/>
  <c r="M99" i="14"/>
  <c r="G66" i="14"/>
  <c r="M69" i="14"/>
  <c r="G36" i="14"/>
  <c r="M39" i="14"/>
  <c r="G6" i="14"/>
  <c r="M9" i="14"/>
  <c r="G136" i="1"/>
  <c r="H322" i="20"/>
  <c r="H280" i="20"/>
  <c r="H469" i="20"/>
  <c r="H371" i="20"/>
  <c r="H301" i="20"/>
  <c r="H532" i="20"/>
  <c r="H525" i="20"/>
  <c r="H476" i="20"/>
  <c r="H441" i="20"/>
  <c r="H378" i="20"/>
  <c r="H483" i="20"/>
  <c r="H448" i="20"/>
  <c r="H399" i="20"/>
  <c r="H343" i="20"/>
  <c r="H336" i="20"/>
  <c r="H329" i="20"/>
  <c r="H490" i="20"/>
  <c r="H462" i="20"/>
  <c r="H392" i="20"/>
  <c r="H385" i="20"/>
  <c r="H455" i="20"/>
  <c r="H406" i="20"/>
  <c r="H504" i="20"/>
  <c r="H350" i="20"/>
  <c r="H511" i="20"/>
  <c r="H497" i="20"/>
  <c r="H427" i="20"/>
  <c r="H420" i="20"/>
  <c r="H413" i="20"/>
  <c r="H315" i="20"/>
  <c r="H518" i="20"/>
  <c r="H357" i="20"/>
  <c r="H294" i="20"/>
  <c r="H287" i="20"/>
  <c r="H364" i="20"/>
  <c r="H273" i="20"/>
  <c r="H434" i="20"/>
  <c r="H308" i="20"/>
  <c r="H477" i="20"/>
  <c r="H337" i="20"/>
  <c r="H484" i="20"/>
  <c r="H393" i="20"/>
  <c r="H379" i="20"/>
  <c r="H330" i="20"/>
  <c r="H463" i="20"/>
  <c r="H456" i="20"/>
  <c r="H449" i="20"/>
  <c r="H344" i="20"/>
  <c r="H512" i="20"/>
  <c r="H491" i="20"/>
  <c r="H407" i="20"/>
  <c r="H386" i="20"/>
  <c r="H505" i="20"/>
  <c r="H351" i="20"/>
  <c r="H421" i="20"/>
  <c r="H414" i="20"/>
  <c r="H288" i="20"/>
  <c r="H498" i="20"/>
  <c r="H428" i="20"/>
  <c r="H358" i="20"/>
  <c r="H519" i="20"/>
  <c r="H316" i="20"/>
  <c r="H365" i="20"/>
  <c r="H309" i="20"/>
  <c r="H295" i="20"/>
  <c r="H302" i="20"/>
  <c r="H281" i="20"/>
  <c r="H274" i="20"/>
  <c r="H470" i="20"/>
  <c r="H435" i="20"/>
  <c r="H533" i="20"/>
  <c r="H526" i="20"/>
  <c r="H442" i="20"/>
  <c r="H400" i="20"/>
  <c r="H372" i="20"/>
  <c r="H323" i="20"/>
  <c r="H492" i="20"/>
  <c r="H457" i="20"/>
  <c r="H450" i="20"/>
  <c r="H387" i="20"/>
  <c r="H345" i="20"/>
  <c r="H506" i="20"/>
  <c r="H464" i="20"/>
  <c r="H513" i="20"/>
  <c r="H415" i="20"/>
  <c r="H408" i="20"/>
  <c r="H499" i="20"/>
  <c r="H352" i="20"/>
  <c r="H429" i="20"/>
  <c r="H422" i="20"/>
  <c r="H289" i="20"/>
  <c r="H359" i="20"/>
  <c r="H317" i="20"/>
  <c r="H310" i="20"/>
  <c r="H520" i="20"/>
  <c r="H366" i="20"/>
  <c r="H296" i="20"/>
  <c r="H282" i="20"/>
  <c r="H373" i="20"/>
  <c r="H303" i="20"/>
  <c r="H275" i="20"/>
  <c r="H534" i="20"/>
  <c r="H436" i="20"/>
  <c r="H527" i="20"/>
  <c r="H485" i="20"/>
  <c r="H478" i="20"/>
  <c r="H471" i="20"/>
  <c r="H324" i="20"/>
  <c r="H443" i="20"/>
  <c r="H401" i="20"/>
  <c r="H394" i="20"/>
  <c r="H338" i="20"/>
  <c r="H331" i="20"/>
  <c r="H380" i="20"/>
  <c r="G145" i="1"/>
  <c r="M189" i="14"/>
  <c r="G186" i="14"/>
  <c r="G140" i="1"/>
  <c r="H48" i="19"/>
  <c r="H181" i="19"/>
  <c r="H90" i="19"/>
  <c r="H32" i="19"/>
  <c r="H129" i="19"/>
  <c r="H77" i="19"/>
  <c r="H194" i="19"/>
  <c r="H103" i="19"/>
  <c r="H116" i="19"/>
  <c r="H56" i="19"/>
  <c r="H207" i="19"/>
  <c r="H40" i="19"/>
  <c r="H220" i="19"/>
  <c r="H155" i="19"/>
  <c r="H142" i="19"/>
  <c r="H24" i="19"/>
  <c r="H168" i="19"/>
  <c r="H233" i="19"/>
  <c r="H64" i="19"/>
  <c r="H204" i="20"/>
  <c r="H260" i="20"/>
  <c r="H190" i="20"/>
  <c r="H134" i="20"/>
  <c r="H22" i="20"/>
  <c r="H106" i="20"/>
  <c r="H162" i="20"/>
  <c r="H218" i="20"/>
  <c r="H176" i="20"/>
  <c r="H120" i="20"/>
  <c r="H246" i="20"/>
  <c r="H225" i="20"/>
  <c r="H183" i="20"/>
  <c r="H148" i="20"/>
  <c r="H113" i="20"/>
  <c r="H85" i="20"/>
  <c r="H64" i="20"/>
  <c r="H43" i="20"/>
  <c r="H15" i="20"/>
  <c r="H267" i="20"/>
  <c r="H239" i="20"/>
  <c r="H211" i="20"/>
  <c r="H169" i="20"/>
  <c r="H141" i="20"/>
  <c r="H99" i="20"/>
  <c r="H78" i="20"/>
  <c r="H57" i="20"/>
  <c r="H36" i="20"/>
  <c r="H8" i="20"/>
  <c r="H253" i="20"/>
  <c r="H232" i="20"/>
  <c r="H197" i="20"/>
  <c r="H155" i="20"/>
  <c r="H127" i="20"/>
  <c r="H92" i="20"/>
  <c r="H71" i="20"/>
  <c r="H50" i="20"/>
  <c r="H29" i="20"/>
  <c r="H93" i="18"/>
  <c r="H225" i="18"/>
  <c r="H21" i="18"/>
  <c r="H177" i="18"/>
  <c r="H153" i="18"/>
  <c r="H117" i="18"/>
  <c r="H141" i="18"/>
  <c r="H129" i="18"/>
  <c r="H213" i="18"/>
  <c r="H171" i="18"/>
  <c r="H123" i="18"/>
  <c r="H75" i="18"/>
  <c r="H39" i="18"/>
  <c r="H105" i="18"/>
  <c r="H63" i="18"/>
  <c r="H183" i="18"/>
  <c r="H207" i="18"/>
  <c r="H165" i="18"/>
  <c r="H111" i="18"/>
  <c r="H69" i="18"/>
  <c r="H33" i="18"/>
  <c r="H201" i="18"/>
  <c r="H159" i="18"/>
  <c r="H27" i="18"/>
  <c r="H219" i="18"/>
  <c r="H81" i="18"/>
  <c r="H195" i="18"/>
  <c r="H147" i="18"/>
  <c r="H99" i="18"/>
  <c r="H57" i="18"/>
  <c r="H15" i="18"/>
  <c r="H45" i="18"/>
  <c r="H231" i="18"/>
  <c r="H189" i="18"/>
  <c r="H135" i="18"/>
  <c r="H87" i="18"/>
  <c r="H51" i="18"/>
  <c r="H9" i="18"/>
  <c r="H123" i="19"/>
  <c r="H71" i="19"/>
  <c r="H110" i="19"/>
  <c r="H214" i="19"/>
  <c r="H136" i="19"/>
  <c r="H162" i="19"/>
  <c r="H201" i="19"/>
  <c r="H227" i="19"/>
  <c r="H149" i="19"/>
  <c r="H175" i="19"/>
  <c r="H84" i="19"/>
  <c r="H188" i="19"/>
  <c r="H97" i="19"/>
  <c r="H230" i="19"/>
  <c r="H61" i="19"/>
  <c r="H191" i="19"/>
  <c r="H152" i="19"/>
  <c r="H21" i="19"/>
  <c r="H74" i="19"/>
  <c r="H45" i="19"/>
  <c r="H165" i="19"/>
  <c r="H178" i="19"/>
  <c r="H87" i="19"/>
  <c r="H29" i="19"/>
  <c r="H100" i="19"/>
  <c r="H139" i="19"/>
  <c r="H53" i="19"/>
  <c r="H204" i="19"/>
  <c r="H113" i="19"/>
  <c r="H217" i="19"/>
  <c r="H126" i="19"/>
  <c r="H37" i="19"/>
  <c r="H153" i="19"/>
  <c r="H75" i="19"/>
  <c r="H46" i="19"/>
  <c r="H101" i="19"/>
  <c r="H166" i="19"/>
  <c r="H192" i="19"/>
  <c r="H54" i="19"/>
  <c r="H179" i="19"/>
  <c r="H88" i="19"/>
  <c r="H30" i="19"/>
  <c r="H231" i="19"/>
  <c r="H62" i="19"/>
  <c r="H205" i="19"/>
  <c r="H114" i="19"/>
  <c r="H140" i="19"/>
  <c r="H22" i="19"/>
  <c r="H127" i="19"/>
  <c r="H38" i="19"/>
  <c r="H218" i="19"/>
  <c r="H76" i="19"/>
  <c r="H47" i="19"/>
  <c r="H167" i="19"/>
  <c r="H55" i="19"/>
  <c r="H154" i="19"/>
  <c r="H180" i="19"/>
  <c r="H89" i="19"/>
  <c r="H31" i="19"/>
  <c r="H206" i="19"/>
  <c r="H193" i="19"/>
  <c r="H102" i="19"/>
  <c r="H115" i="19"/>
  <c r="H128" i="19"/>
  <c r="H39" i="19"/>
  <c r="H219" i="19"/>
  <c r="H232" i="19"/>
  <c r="H63" i="19"/>
  <c r="H141" i="19"/>
  <c r="H23" i="19"/>
  <c r="H173" i="19"/>
  <c r="H160" i="19"/>
  <c r="H186" i="19"/>
  <c r="H199" i="19"/>
  <c r="H212" i="19"/>
  <c r="H225" i="19"/>
  <c r="H69" i="19"/>
  <c r="H82" i="19"/>
  <c r="H95" i="19"/>
  <c r="H121" i="19"/>
  <c r="H108" i="19"/>
  <c r="H134" i="19"/>
  <c r="H147" i="19"/>
  <c r="H226" i="19"/>
  <c r="H213" i="19"/>
  <c r="H200" i="19"/>
  <c r="H187" i="19"/>
  <c r="H174" i="19"/>
  <c r="H161" i="19"/>
  <c r="H148" i="19"/>
  <c r="H135" i="19"/>
  <c r="H122" i="19"/>
  <c r="H109" i="19"/>
  <c r="H96" i="19"/>
  <c r="H83" i="19"/>
  <c r="H70" i="19"/>
  <c r="H247" i="18"/>
  <c r="H239" i="18"/>
  <c r="H133" i="20"/>
  <c r="H175" i="20"/>
  <c r="H21" i="20"/>
  <c r="H203" i="20"/>
  <c r="H119" i="20"/>
  <c r="H238" i="18"/>
  <c r="H259" i="20"/>
  <c r="H161" i="20"/>
  <c r="H189" i="20"/>
  <c r="H105" i="20"/>
  <c r="H217" i="20"/>
  <c r="H246" i="18"/>
  <c r="H147" i="20"/>
  <c r="H42" i="20"/>
  <c r="H231" i="20"/>
  <c r="H91" i="20"/>
  <c r="H168" i="20"/>
  <c r="H56" i="20"/>
  <c r="H245" i="20"/>
  <c r="H112" i="20"/>
  <c r="H14" i="20"/>
  <c r="H196" i="20"/>
  <c r="H70" i="20"/>
  <c r="H266" i="20"/>
  <c r="H140" i="20"/>
  <c r="H35" i="20"/>
  <c r="H224" i="20"/>
  <c r="H84" i="20"/>
  <c r="H154" i="20"/>
  <c r="H49" i="20"/>
  <c r="H238" i="20"/>
  <c r="H98" i="20"/>
  <c r="H7" i="20"/>
  <c r="H182" i="20"/>
  <c r="H63" i="20"/>
  <c r="H252" i="20"/>
  <c r="H126" i="20"/>
  <c r="H28" i="20"/>
  <c r="H210" i="20"/>
  <c r="H77" i="20"/>
  <c r="H240" i="18"/>
  <c r="H248" i="18"/>
  <c r="H261" i="20"/>
  <c r="H177" i="20"/>
  <c r="H107" i="20"/>
  <c r="H205" i="20"/>
  <c r="H135" i="20"/>
  <c r="H219" i="20"/>
  <c r="H163" i="20"/>
  <c r="H191" i="20"/>
  <c r="H121" i="20"/>
  <c r="H23" i="20"/>
  <c r="H268" i="20"/>
  <c r="H247" i="20"/>
  <c r="H233" i="20"/>
  <c r="H212" i="20"/>
  <c r="H184" i="20"/>
  <c r="H156" i="20"/>
  <c r="H142" i="20"/>
  <c r="H114" i="20"/>
  <c r="H93" i="20"/>
  <c r="H79" i="20"/>
  <c r="H65" i="20"/>
  <c r="H51" i="20"/>
  <c r="H37" i="20"/>
  <c r="H16" i="20"/>
  <c r="H254" i="20"/>
  <c r="H240" i="20"/>
  <c r="H226" i="20"/>
  <c r="H198" i="20"/>
  <c r="H170" i="20"/>
  <c r="H149" i="20"/>
  <c r="H128" i="20"/>
  <c r="H100" i="20"/>
  <c r="H86" i="20"/>
  <c r="H72" i="20"/>
  <c r="H58" i="20"/>
  <c r="H44" i="20"/>
  <c r="H30" i="20"/>
  <c r="H9" i="20"/>
  <c r="G144" i="1"/>
  <c r="G141" i="1"/>
  <c r="G142" i="1"/>
  <c r="G148" i="1"/>
  <c r="G149" i="1"/>
  <c r="G137" i="1"/>
  <c r="I248" i="16"/>
  <c r="I242" i="16"/>
  <c r="I212" i="16"/>
  <c r="I266" i="16"/>
  <c r="I230" i="16"/>
  <c r="I224" i="16"/>
  <c r="I218" i="16"/>
  <c r="I254" i="16"/>
  <c r="I146" i="16"/>
  <c r="I140" i="16"/>
  <c r="G8" i="15"/>
  <c r="M5" i="15"/>
  <c r="M135" i="1" s="1"/>
  <c r="G74" i="15"/>
  <c r="M71" i="15"/>
  <c r="M146" i="1" s="1"/>
  <c r="G98" i="15"/>
  <c r="A23" i="18"/>
  <c r="G47" i="15"/>
  <c r="G50" i="15"/>
  <c r="G92" i="15"/>
  <c r="G89" i="15"/>
  <c r="G59" i="15"/>
  <c r="G62" i="15"/>
  <c r="G44" i="15"/>
  <c r="G41" i="15"/>
  <c r="G83" i="15"/>
  <c r="G86" i="15"/>
  <c r="G35" i="15"/>
  <c r="G38" i="15"/>
  <c r="G68" i="15"/>
  <c r="G65" i="15"/>
  <c r="G17" i="15"/>
  <c r="G20" i="15"/>
  <c r="G14" i="15"/>
  <c r="G11" i="15"/>
  <c r="G135" i="1" l="1"/>
  <c r="G146" i="1"/>
  <c r="I324" i="20"/>
  <c r="G324" i="20" s="1"/>
  <c r="F324" i="20"/>
  <c r="I366" i="20"/>
  <c r="G366" i="20" s="1"/>
  <c r="F366" i="20"/>
  <c r="F513" i="20"/>
  <c r="I513" i="20"/>
  <c r="G513" i="20" s="1"/>
  <c r="F526" i="20"/>
  <c r="I526" i="20"/>
  <c r="G526" i="20" s="1"/>
  <c r="I358" i="20"/>
  <c r="G358" i="20" s="1"/>
  <c r="F358" i="20"/>
  <c r="F344" i="20"/>
  <c r="I344" i="20"/>
  <c r="G344" i="20" s="1"/>
  <c r="I273" i="20"/>
  <c r="F273" i="20"/>
  <c r="F350" i="20"/>
  <c r="I350" i="20"/>
  <c r="I448" i="20"/>
  <c r="F448" i="20"/>
  <c r="F471" i="20"/>
  <c r="I471" i="20"/>
  <c r="G471" i="20" s="1"/>
  <c r="F520" i="20"/>
  <c r="I520" i="20"/>
  <c r="G520" i="20" s="1"/>
  <c r="F464" i="20"/>
  <c r="I464" i="20"/>
  <c r="G464" i="20" s="1"/>
  <c r="I533" i="20"/>
  <c r="G533" i="20" s="1"/>
  <c r="F533" i="20"/>
  <c r="F428" i="20"/>
  <c r="I428" i="20"/>
  <c r="G428" i="20" s="1"/>
  <c r="I449" i="20"/>
  <c r="G449" i="20" s="1"/>
  <c r="F449" i="20"/>
  <c r="I364" i="20"/>
  <c r="F364" i="20"/>
  <c r="I504" i="20"/>
  <c r="F504" i="20"/>
  <c r="I483" i="20"/>
  <c r="F483" i="20"/>
  <c r="I478" i="20"/>
  <c r="G478" i="20" s="1"/>
  <c r="F478" i="20"/>
  <c r="I310" i="20"/>
  <c r="G310" i="20" s="1"/>
  <c r="F310" i="20"/>
  <c r="I506" i="20"/>
  <c r="G506" i="20" s="1"/>
  <c r="F506" i="20"/>
  <c r="F435" i="20"/>
  <c r="I435" i="20"/>
  <c r="G435" i="20" s="1"/>
  <c r="F498" i="20"/>
  <c r="I498" i="20"/>
  <c r="G498" i="20" s="1"/>
  <c r="I456" i="20"/>
  <c r="G456" i="20" s="1"/>
  <c r="F456" i="20"/>
  <c r="I287" i="20"/>
  <c r="F287" i="20"/>
  <c r="F406" i="20"/>
  <c r="I406" i="20"/>
  <c r="I378" i="20"/>
  <c r="F378" i="20"/>
  <c r="I485" i="20"/>
  <c r="G485" i="20" s="1"/>
  <c r="F485" i="20"/>
  <c r="I317" i="20"/>
  <c r="G317" i="20" s="1"/>
  <c r="F317" i="20"/>
  <c r="F345" i="20"/>
  <c r="I345" i="20"/>
  <c r="G345" i="20" s="1"/>
  <c r="I470" i="20"/>
  <c r="G470" i="20" s="1"/>
  <c r="F470" i="20"/>
  <c r="I288" i="20"/>
  <c r="G288" i="20" s="1"/>
  <c r="F288" i="20"/>
  <c r="I463" i="20"/>
  <c r="G463" i="20" s="1"/>
  <c r="F463" i="20"/>
  <c r="F294" i="20"/>
  <c r="I294" i="20"/>
  <c r="F455" i="20"/>
  <c r="I455" i="20"/>
  <c r="I441" i="20"/>
  <c r="F441" i="20"/>
  <c r="I527" i="20"/>
  <c r="G527" i="20" s="1"/>
  <c r="F527" i="20"/>
  <c r="F359" i="20"/>
  <c r="I359" i="20"/>
  <c r="G359" i="20" s="1"/>
  <c r="F387" i="20"/>
  <c r="I387" i="20"/>
  <c r="G387" i="20" s="1"/>
  <c r="F274" i="20"/>
  <c r="I274" i="20"/>
  <c r="G274" i="20" s="1"/>
  <c r="I414" i="20"/>
  <c r="G414" i="20" s="1"/>
  <c r="F414" i="20"/>
  <c r="I330" i="20"/>
  <c r="G330" i="20" s="1"/>
  <c r="F330" i="20"/>
  <c r="F357" i="20"/>
  <c r="I357" i="20"/>
  <c r="I385" i="20"/>
  <c r="F385" i="20"/>
  <c r="I476" i="20"/>
  <c r="F476" i="20"/>
  <c r="I436" i="20"/>
  <c r="G436" i="20" s="1"/>
  <c r="F436" i="20"/>
  <c r="F289" i="20"/>
  <c r="I289" i="20"/>
  <c r="G289" i="20" s="1"/>
  <c r="F450" i="20"/>
  <c r="I450" i="20"/>
  <c r="G450" i="20" s="1"/>
  <c r="I281" i="20"/>
  <c r="G281" i="20" s="1"/>
  <c r="F281" i="20"/>
  <c r="I421" i="20"/>
  <c r="G421" i="20" s="1"/>
  <c r="F421" i="20"/>
  <c r="F379" i="20"/>
  <c r="I379" i="20"/>
  <c r="G379" i="20" s="1"/>
  <c r="F518" i="20"/>
  <c r="I518" i="20"/>
  <c r="I392" i="20"/>
  <c r="F392" i="20"/>
  <c r="F525" i="20"/>
  <c r="I525" i="20"/>
  <c r="I380" i="20"/>
  <c r="G380" i="20" s="1"/>
  <c r="F380" i="20"/>
  <c r="I534" i="20"/>
  <c r="G534" i="20" s="1"/>
  <c r="F534" i="20"/>
  <c r="I422" i="20"/>
  <c r="G422" i="20" s="1"/>
  <c r="F422" i="20"/>
  <c r="F457" i="20"/>
  <c r="I457" i="20"/>
  <c r="G457" i="20" s="1"/>
  <c r="I302" i="20"/>
  <c r="G302" i="20" s="1"/>
  <c r="F302" i="20"/>
  <c r="I351" i="20"/>
  <c r="G351" i="20" s="1"/>
  <c r="F351" i="20"/>
  <c r="I393" i="20"/>
  <c r="G393" i="20" s="1"/>
  <c r="F393" i="20"/>
  <c r="I315" i="20"/>
  <c r="F315" i="20"/>
  <c r="F462" i="20"/>
  <c r="I462" i="20"/>
  <c r="I532" i="20"/>
  <c r="F532" i="20"/>
  <c r="I331" i="20"/>
  <c r="G331" i="20" s="1"/>
  <c r="F331" i="20"/>
  <c r="I275" i="20"/>
  <c r="G275" i="20" s="1"/>
  <c r="F275" i="20"/>
  <c r="I429" i="20"/>
  <c r="G429" i="20" s="1"/>
  <c r="F429" i="20"/>
  <c r="I492" i="20"/>
  <c r="G492" i="20" s="1"/>
  <c r="F492" i="20"/>
  <c r="I295" i="20"/>
  <c r="G295" i="20" s="1"/>
  <c r="F295" i="20"/>
  <c r="F505" i="20"/>
  <c r="I505" i="20"/>
  <c r="G505" i="20" s="1"/>
  <c r="I484" i="20"/>
  <c r="G484" i="20" s="1"/>
  <c r="F484" i="20"/>
  <c r="F413" i="20"/>
  <c r="I413" i="20"/>
  <c r="I490" i="20"/>
  <c r="F490" i="20"/>
  <c r="F301" i="20"/>
  <c r="I301" i="20"/>
  <c r="I338" i="20"/>
  <c r="G338" i="20" s="1"/>
  <c r="F338" i="20"/>
  <c r="F303" i="20"/>
  <c r="I303" i="20"/>
  <c r="G303" i="20" s="1"/>
  <c r="F352" i="20"/>
  <c r="I352" i="20"/>
  <c r="G352" i="20" s="1"/>
  <c r="F323" i="20"/>
  <c r="I323" i="20"/>
  <c r="G323" i="20" s="1"/>
  <c r="I309" i="20"/>
  <c r="G309" i="20" s="1"/>
  <c r="F309" i="20"/>
  <c r="F386" i="20"/>
  <c r="I386" i="20"/>
  <c r="G386" i="20" s="1"/>
  <c r="I337" i="20"/>
  <c r="G337" i="20" s="1"/>
  <c r="F337" i="20"/>
  <c r="I420" i="20"/>
  <c r="F420" i="20"/>
  <c r="I329" i="20"/>
  <c r="F329" i="20"/>
  <c r="I371" i="20"/>
  <c r="F371" i="20"/>
  <c r="I394" i="20"/>
  <c r="G394" i="20" s="1"/>
  <c r="F394" i="20"/>
  <c r="I373" i="20"/>
  <c r="G373" i="20" s="1"/>
  <c r="F373" i="20"/>
  <c r="I499" i="20"/>
  <c r="G499" i="20" s="1"/>
  <c r="F499" i="20"/>
  <c r="F372" i="20"/>
  <c r="I372" i="20"/>
  <c r="G372" i="20" s="1"/>
  <c r="I365" i="20"/>
  <c r="G365" i="20" s="1"/>
  <c r="F365" i="20"/>
  <c r="I407" i="20"/>
  <c r="G407" i="20" s="1"/>
  <c r="F407" i="20"/>
  <c r="F477" i="20"/>
  <c r="I477" i="20"/>
  <c r="G477" i="20" s="1"/>
  <c r="I427" i="20"/>
  <c r="F427" i="20"/>
  <c r="I336" i="20"/>
  <c r="F336" i="20"/>
  <c r="I469" i="20"/>
  <c r="F469" i="20"/>
  <c r="F401" i="20"/>
  <c r="I401" i="20"/>
  <c r="G401" i="20" s="1"/>
  <c r="I282" i="20"/>
  <c r="G282" i="20" s="1"/>
  <c r="F282" i="20"/>
  <c r="F408" i="20"/>
  <c r="I408" i="20"/>
  <c r="G408" i="20" s="1"/>
  <c r="I400" i="20"/>
  <c r="G400" i="20" s="1"/>
  <c r="F400" i="20"/>
  <c r="F316" i="20"/>
  <c r="I316" i="20"/>
  <c r="G316" i="20" s="1"/>
  <c r="F491" i="20"/>
  <c r="I491" i="20"/>
  <c r="G491" i="20" s="1"/>
  <c r="I308" i="20"/>
  <c r="F308" i="20"/>
  <c r="I497" i="20"/>
  <c r="F497" i="20"/>
  <c r="F343" i="20"/>
  <c r="I343" i="20"/>
  <c r="F280" i="20"/>
  <c r="I280" i="20"/>
  <c r="I443" i="20"/>
  <c r="G443" i="20" s="1"/>
  <c r="F443" i="20"/>
  <c r="I296" i="20"/>
  <c r="G296" i="20" s="1"/>
  <c r="F296" i="20"/>
  <c r="I415" i="20"/>
  <c r="G415" i="20" s="1"/>
  <c r="F415" i="20"/>
  <c r="I442" i="20"/>
  <c r="G442" i="20" s="1"/>
  <c r="F442" i="20"/>
  <c r="I519" i="20"/>
  <c r="G519" i="20" s="1"/>
  <c r="F519" i="20"/>
  <c r="I512" i="20"/>
  <c r="G512" i="20" s="1"/>
  <c r="F512" i="20"/>
  <c r="I434" i="20"/>
  <c r="F434" i="20"/>
  <c r="I511" i="20"/>
  <c r="F511" i="20"/>
  <c r="I399" i="20"/>
  <c r="F399" i="20"/>
  <c r="I322" i="20"/>
  <c r="F322" i="20"/>
  <c r="I219" i="19"/>
  <c r="G219" i="19" s="1"/>
  <c r="F219" i="19"/>
  <c r="I37" i="19"/>
  <c r="F37" i="19"/>
  <c r="I87" i="18"/>
  <c r="F87" i="18"/>
  <c r="F27" i="18"/>
  <c r="I27" i="18"/>
  <c r="I57" i="20"/>
  <c r="G57" i="20" s="1"/>
  <c r="F57" i="20"/>
  <c r="I113" i="20"/>
  <c r="G113" i="20" s="1"/>
  <c r="F113" i="20"/>
  <c r="I47" i="19"/>
  <c r="G47" i="19" s="1"/>
  <c r="F47" i="19"/>
  <c r="F159" i="18"/>
  <c r="I159" i="18"/>
  <c r="F128" i="19"/>
  <c r="I128" i="19"/>
  <c r="G128" i="19" s="1"/>
  <c r="I76" i="19"/>
  <c r="G76" i="19" s="1"/>
  <c r="F76" i="19"/>
  <c r="I88" i="19"/>
  <c r="G88" i="19" s="1"/>
  <c r="F88" i="19"/>
  <c r="I217" i="19"/>
  <c r="G217" i="19" s="1"/>
  <c r="F217" i="19"/>
  <c r="F21" i="19"/>
  <c r="I21" i="19"/>
  <c r="I201" i="19"/>
  <c r="G201" i="19" s="1"/>
  <c r="F201" i="19"/>
  <c r="I189" i="18"/>
  <c r="F189" i="18"/>
  <c r="F201" i="18"/>
  <c r="I201" i="18"/>
  <c r="I171" i="18"/>
  <c r="F171" i="18"/>
  <c r="I50" i="20"/>
  <c r="G50" i="20" s="1"/>
  <c r="F50" i="20"/>
  <c r="I99" i="20"/>
  <c r="G99" i="20" s="1"/>
  <c r="F99" i="20"/>
  <c r="I183" i="20"/>
  <c r="G183" i="20" s="1"/>
  <c r="F183" i="20"/>
  <c r="F204" i="20"/>
  <c r="I204" i="20"/>
  <c r="G204" i="20" s="1"/>
  <c r="I116" i="19"/>
  <c r="G116" i="19" s="1"/>
  <c r="F116" i="19"/>
  <c r="I231" i="19"/>
  <c r="G231" i="19" s="1"/>
  <c r="F231" i="19"/>
  <c r="I149" i="19"/>
  <c r="G149" i="19" s="1"/>
  <c r="F149" i="19"/>
  <c r="I190" i="20"/>
  <c r="G190" i="20" s="1"/>
  <c r="F190" i="20"/>
  <c r="I39" i="19"/>
  <c r="G39" i="19" s="1"/>
  <c r="F39" i="19"/>
  <c r="I126" i="19"/>
  <c r="G126" i="19" s="1"/>
  <c r="F126" i="19"/>
  <c r="I227" i="19"/>
  <c r="G227" i="19" s="1"/>
  <c r="F227" i="19"/>
  <c r="I123" i="18"/>
  <c r="F123" i="18"/>
  <c r="I78" i="20"/>
  <c r="G78" i="20" s="1"/>
  <c r="F78" i="20"/>
  <c r="I56" i="19"/>
  <c r="G56" i="19" s="1"/>
  <c r="F56" i="19"/>
  <c r="I115" i="19"/>
  <c r="G115" i="19" s="1"/>
  <c r="F115" i="19"/>
  <c r="I179" i="19"/>
  <c r="G179" i="19" s="1"/>
  <c r="F179" i="19"/>
  <c r="I113" i="19"/>
  <c r="G113" i="19" s="1"/>
  <c r="F113" i="19"/>
  <c r="I152" i="19"/>
  <c r="G152" i="19" s="1"/>
  <c r="F152" i="19"/>
  <c r="I162" i="19"/>
  <c r="G162" i="19" s="1"/>
  <c r="F162" i="19"/>
  <c r="I231" i="18"/>
  <c r="F231" i="18"/>
  <c r="I33" i="18"/>
  <c r="F33" i="18"/>
  <c r="I213" i="18"/>
  <c r="F213" i="18"/>
  <c r="I71" i="20"/>
  <c r="G71" i="20" s="1"/>
  <c r="F71" i="20"/>
  <c r="I141" i="20"/>
  <c r="G141" i="20" s="1"/>
  <c r="F141" i="20"/>
  <c r="F225" i="20"/>
  <c r="I225" i="20"/>
  <c r="G225" i="20" s="1"/>
  <c r="F103" i="19"/>
  <c r="I103" i="19"/>
  <c r="G103" i="19" s="1"/>
  <c r="F167" i="19"/>
  <c r="I167" i="19"/>
  <c r="G167" i="19" s="1"/>
  <c r="F45" i="19"/>
  <c r="I45" i="19"/>
  <c r="I75" i="18"/>
  <c r="F75" i="18"/>
  <c r="I207" i="19"/>
  <c r="G207" i="19" s="1"/>
  <c r="F207" i="19"/>
  <c r="I30" i="19"/>
  <c r="G30" i="19" s="1"/>
  <c r="F30" i="19"/>
  <c r="I74" i="19"/>
  <c r="G74" i="19" s="1"/>
  <c r="F74" i="19"/>
  <c r="I135" i="18"/>
  <c r="F135" i="18"/>
  <c r="F29" i="20"/>
  <c r="I29" i="20"/>
  <c r="G29" i="20" s="1"/>
  <c r="I148" i="20"/>
  <c r="G148" i="20" s="1"/>
  <c r="F148" i="20"/>
  <c r="F260" i="20"/>
  <c r="I260" i="20"/>
  <c r="G260" i="20" s="1"/>
  <c r="I102" i="19"/>
  <c r="G102" i="19" s="1"/>
  <c r="F102" i="19"/>
  <c r="I218" i="19"/>
  <c r="G218" i="19" s="1"/>
  <c r="F218" i="19"/>
  <c r="I54" i="19"/>
  <c r="G54" i="19" s="1"/>
  <c r="F54" i="19"/>
  <c r="I204" i="19"/>
  <c r="G204" i="19" s="1"/>
  <c r="F204" i="19"/>
  <c r="I191" i="19"/>
  <c r="G191" i="19" s="1"/>
  <c r="F191" i="19"/>
  <c r="I136" i="19"/>
  <c r="G136" i="19" s="1"/>
  <c r="F136" i="19"/>
  <c r="I45" i="18"/>
  <c r="F45" i="18"/>
  <c r="I69" i="18"/>
  <c r="F69" i="18"/>
  <c r="F129" i="18"/>
  <c r="I129" i="18"/>
  <c r="F92" i="20"/>
  <c r="I92" i="20"/>
  <c r="G92" i="20" s="1"/>
  <c r="I169" i="20"/>
  <c r="G169" i="20" s="1"/>
  <c r="F169" i="20"/>
  <c r="I246" i="20"/>
  <c r="G246" i="20" s="1"/>
  <c r="F246" i="20"/>
  <c r="I64" i="19"/>
  <c r="G64" i="19" s="1"/>
  <c r="F64" i="19"/>
  <c r="I194" i="19"/>
  <c r="G194" i="19" s="1"/>
  <c r="F194" i="19"/>
  <c r="I214" i="19"/>
  <c r="G214" i="19" s="1"/>
  <c r="F214" i="19"/>
  <c r="I233" i="19"/>
  <c r="G233" i="19" s="1"/>
  <c r="F233" i="19"/>
  <c r="I166" i="19"/>
  <c r="G166" i="19" s="1"/>
  <c r="F166" i="19"/>
  <c r="I165" i="18"/>
  <c r="F165" i="18"/>
  <c r="F176" i="20"/>
  <c r="I176" i="20"/>
  <c r="G176" i="20" s="1"/>
  <c r="F31" i="19"/>
  <c r="I31" i="19"/>
  <c r="G31" i="19" s="1"/>
  <c r="F22" i="19"/>
  <c r="I22" i="19"/>
  <c r="G22" i="19" s="1"/>
  <c r="I101" i="19"/>
  <c r="G101" i="19" s="1"/>
  <c r="F101" i="19"/>
  <c r="F100" i="19"/>
  <c r="I100" i="19"/>
  <c r="G100" i="19" s="1"/>
  <c r="I71" i="19"/>
  <c r="G71" i="19" s="1"/>
  <c r="F71" i="19"/>
  <c r="F99" i="18"/>
  <c r="I99" i="18"/>
  <c r="I207" i="18"/>
  <c r="F207" i="18"/>
  <c r="F153" i="18"/>
  <c r="I153" i="18"/>
  <c r="F197" i="20"/>
  <c r="I197" i="20"/>
  <c r="G197" i="20" s="1"/>
  <c r="I267" i="20"/>
  <c r="G267" i="20" s="1"/>
  <c r="F267" i="20"/>
  <c r="I218" i="20"/>
  <c r="G218" i="20" s="1"/>
  <c r="F218" i="20"/>
  <c r="F24" i="19"/>
  <c r="I24" i="19"/>
  <c r="G24" i="19" s="1"/>
  <c r="I32" i="19"/>
  <c r="G32" i="19" s="1"/>
  <c r="F32" i="19"/>
  <c r="F38" i="19"/>
  <c r="I38" i="19"/>
  <c r="G38" i="19" s="1"/>
  <c r="I61" i="19"/>
  <c r="F61" i="19"/>
  <c r="F141" i="18"/>
  <c r="I141" i="18"/>
  <c r="I77" i="19"/>
  <c r="G77" i="19" s="1"/>
  <c r="F77" i="19"/>
  <c r="I139" i="19"/>
  <c r="G139" i="19" s="1"/>
  <c r="F139" i="19"/>
  <c r="I168" i="19"/>
  <c r="G168" i="19" s="1"/>
  <c r="F168" i="19"/>
  <c r="I23" i="19"/>
  <c r="G23" i="19" s="1"/>
  <c r="F23" i="19"/>
  <c r="I89" i="19"/>
  <c r="G89" i="19" s="1"/>
  <c r="F89" i="19"/>
  <c r="I140" i="19"/>
  <c r="G140" i="19" s="1"/>
  <c r="F140" i="19"/>
  <c r="I46" i="19"/>
  <c r="G46" i="19" s="1"/>
  <c r="F46" i="19"/>
  <c r="I29" i="19"/>
  <c r="F29" i="19"/>
  <c r="I97" i="19"/>
  <c r="G97" i="19" s="1"/>
  <c r="F97" i="19"/>
  <c r="I123" i="19"/>
  <c r="G123" i="19" s="1"/>
  <c r="F123" i="19"/>
  <c r="I147" i="18"/>
  <c r="F147" i="18"/>
  <c r="F183" i="18"/>
  <c r="I183" i="18"/>
  <c r="I177" i="18"/>
  <c r="F177" i="18"/>
  <c r="F232" i="20"/>
  <c r="I232" i="20"/>
  <c r="G232" i="20" s="1"/>
  <c r="I15" i="20"/>
  <c r="G15" i="20" s="1"/>
  <c r="F15" i="20"/>
  <c r="F162" i="20"/>
  <c r="I162" i="20"/>
  <c r="G162" i="20" s="1"/>
  <c r="I142" i="19"/>
  <c r="G142" i="19" s="1"/>
  <c r="F142" i="19"/>
  <c r="I90" i="19"/>
  <c r="G90" i="19" s="1"/>
  <c r="F90" i="19"/>
  <c r="F53" i="19"/>
  <c r="I53" i="19"/>
  <c r="I111" i="18"/>
  <c r="F111" i="18"/>
  <c r="F127" i="20"/>
  <c r="I127" i="20"/>
  <c r="G127" i="20" s="1"/>
  <c r="F120" i="20"/>
  <c r="I120" i="20"/>
  <c r="G120" i="20" s="1"/>
  <c r="F206" i="19"/>
  <c r="I206" i="19"/>
  <c r="G206" i="19" s="1"/>
  <c r="I230" i="19"/>
  <c r="G230" i="19" s="1"/>
  <c r="F230" i="19"/>
  <c r="I57" i="18"/>
  <c r="F57" i="18"/>
  <c r="F117" i="18"/>
  <c r="I117" i="18"/>
  <c r="I129" i="19"/>
  <c r="G129" i="19" s="1"/>
  <c r="F129" i="19"/>
  <c r="I141" i="19"/>
  <c r="G141" i="19" s="1"/>
  <c r="F141" i="19"/>
  <c r="I180" i="19"/>
  <c r="G180" i="19" s="1"/>
  <c r="F180" i="19"/>
  <c r="I114" i="19"/>
  <c r="G114" i="19" s="1"/>
  <c r="F114" i="19"/>
  <c r="F75" i="19"/>
  <c r="I75" i="19"/>
  <c r="G75" i="19" s="1"/>
  <c r="F87" i="19"/>
  <c r="I87" i="19"/>
  <c r="G87" i="19" s="1"/>
  <c r="I188" i="19"/>
  <c r="G188" i="19" s="1"/>
  <c r="F188" i="19"/>
  <c r="F195" i="18"/>
  <c r="I195" i="18"/>
  <c r="I63" i="18"/>
  <c r="F63" i="18"/>
  <c r="I21" i="18"/>
  <c r="F21" i="18"/>
  <c r="I253" i="20"/>
  <c r="G253" i="20" s="1"/>
  <c r="F253" i="20"/>
  <c r="F43" i="20"/>
  <c r="I43" i="20"/>
  <c r="G43" i="20" s="1"/>
  <c r="F106" i="20"/>
  <c r="I106" i="20"/>
  <c r="G106" i="20" s="1"/>
  <c r="I155" i="19"/>
  <c r="G155" i="19" s="1"/>
  <c r="F155" i="19"/>
  <c r="I181" i="19"/>
  <c r="G181" i="19" s="1"/>
  <c r="F181" i="19"/>
  <c r="I192" i="19"/>
  <c r="G192" i="19" s="1"/>
  <c r="F192" i="19"/>
  <c r="F15" i="18"/>
  <c r="I15" i="18"/>
  <c r="I211" i="20"/>
  <c r="G211" i="20" s="1"/>
  <c r="F211" i="20"/>
  <c r="I110" i="19"/>
  <c r="G110" i="19" s="1"/>
  <c r="F110" i="19"/>
  <c r="I239" i="20"/>
  <c r="G239" i="20" s="1"/>
  <c r="F239" i="20"/>
  <c r="I63" i="19"/>
  <c r="G63" i="19" s="1"/>
  <c r="F63" i="19"/>
  <c r="I154" i="19"/>
  <c r="G154" i="19" s="1"/>
  <c r="F154" i="19"/>
  <c r="I205" i="19"/>
  <c r="G205" i="19" s="1"/>
  <c r="F205" i="19"/>
  <c r="I153" i="19"/>
  <c r="G153" i="19" s="1"/>
  <c r="F153" i="19"/>
  <c r="I178" i="19"/>
  <c r="G178" i="19" s="1"/>
  <c r="F178" i="19"/>
  <c r="I84" i="19"/>
  <c r="G84" i="19" s="1"/>
  <c r="F84" i="19"/>
  <c r="I9" i="18"/>
  <c r="G9" i="18" s="1"/>
  <c r="F9" i="18"/>
  <c r="F81" i="18"/>
  <c r="I81" i="18"/>
  <c r="I105" i="18"/>
  <c r="F105" i="18"/>
  <c r="I225" i="18"/>
  <c r="F225" i="18"/>
  <c r="F8" i="20"/>
  <c r="I8" i="20"/>
  <c r="G8" i="20" s="1"/>
  <c r="I64" i="20"/>
  <c r="G64" i="20" s="1"/>
  <c r="F64" i="20"/>
  <c r="F22" i="20"/>
  <c r="I22" i="20"/>
  <c r="G22" i="20" s="1"/>
  <c r="I220" i="19"/>
  <c r="G220" i="19" s="1"/>
  <c r="F220" i="19"/>
  <c r="F48" i="19"/>
  <c r="I48" i="19"/>
  <c r="G48" i="19" s="1"/>
  <c r="F193" i="19"/>
  <c r="I193" i="19"/>
  <c r="G193" i="19" s="1"/>
  <c r="I127" i="19"/>
  <c r="G127" i="19" s="1"/>
  <c r="F127" i="19"/>
  <c r="I155" i="20"/>
  <c r="G155" i="20" s="1"/>
  <c r="F155" i="20"/>
  <c r="F232" i="19"/>
  <c r="I232" i="19"/>
  <c r="G232" i="19" s="1"/>
  <c r="F55" i="19"/>
  <c r="I55" i="19"/>
  <c r="G55" i="19" s="1"/>
  <c r="I62" i="19"/>
  <c r="G62" i="19" s="1"/>
  <c r="F62" i="19"/>
  <c r="I165" i="19"/>
  <c r="G165" i="19" s="1"/>
  <c r="F165" i="19"/>
  <c r="I175" i="19"/>
  <c r="G175" i="19" s="1"/>
  <c r="F175" i="19"/>
  <c r="I51" i="18"/>
  <c r="F51" i="18"/>
  <c r="I219" i="18"/>
  <c r="F219" i="18"/>
  <c r="I39" i="18"/>
  <c r="F39" i="18"/>
  <c r="F93" i="18"/>
  <c r="I93" i="18"/>
  <c r="I36" i="20"/>
  <c r="G36" i="20" s="1"/>
  <c r="F36" i="20"/>
  <c r="I85" i="20"/>
  <c r="G85" i="20" s="1"/>
  <c r="F85" i="20"/>
  <c r="I134" i="20"/>
  <c r="G134" i="20" s="1"/>
  <c r="F134" i="20"/>
  <c r="I40" i="19"/>
  <c r="G40" i="19" s="1"/>
  <c r="F40" i="19"/>
  <c r="I108" i="19"/>
  <c r="G108" i="19" s="1"/>
  <c r="F108" i="19"/>
  <c r="I121" i="19"/>
  <c r="G121" i="19" s="1"/>
  <c r="F121" i="19"/>
  <c r="I95" i="19"/>
  <c r="G95" i="19" s="1"/>
  <c r="F95" i="19"/>
  <c r="I82" i="19"/>
  <c r="G82" i="19" s="1"/>
  <c r="F82" i="19"/>
  <c r="I69" i="19"/>
  <c r="G69" i="19" s="1"/>
  <c r="F69" i="19"/>
  <c r="I225" i="19"/>
  <c r="G225" i="19" s="1"/>
  <c r="F225" i="19"/>
  <c r="I212" i="19"/>
  <c r="G212" i="19" s="1"/>
  <c r="F212" i="19"/>
  <c r="I199" i="19"/>
  <c r="G199" i="19" s="1"/>
  <c r="F199" i="19"/>
  <c r="I186" i="19"/>
  <c r="G186" i="19" s="1"/>
  <c r="F186" i="19"/>
  <c r="I160" i="19"/>
  <c r="G160" i="19" s="1"/>
  <c r="F160" i="19"/>
  <c r="I147" i="19"/>
  <c r="G147" i="19" s="1"/>
  <c r="F147" i="19"/>
  <c r="I173" i="19"/>
  <c r="G173" i="19" s="1"/>
  <c r="F173" i="19"/>
  <c r="I134" i="19"/>
  <c r="G134" i="19" s="1"/>
  <c r="F134" i="19"/>
  <c r="I96" i="19"/>
  <c r="F96" i="19"/>
  <c r="F109" i="19"/>
  <c r="I109" i="19"/>
  <c r="I122" i="19"/>
  <c r="F122" i="19"/>
  <c r="I135" i="19"/>
  <c r="F135" i="19"/>
  <c r="I148" i="19"/>
  <c r="F148" i="19"/>
  <c r="F161" i="19"/>
  <c r="I161" i="19"/>
  <c r="F174" i="19"/>
  <c r="I174" i="19"/>
  <c r="I187" i="19"/>
  <c r="F187" i="19"/>
  <c r="F200" i="19"/>
  <c r="I200" i="19"/>
  <c r="F213" i="19"/>
  <c r="I213" i="19"/>
  <c r="F70" i="19"/>
  <c r="I70" i="19"/>
  <c r="F226" i="19"/>
  <c r="I226" i="19"/>
  <c r="I83" i="19"/>
  <c r="F83" i="19"/>
  <c r="I98" i="20"/>
  <c r="G98" i="20" s="1"/>
  <c r="F98" i="20"/>
  <c r="I112" i="20"/>
  <c r="G112" i="20" s="1"/>
  <c r="F112" i="20"/>
  <c r="I161" i="20"/>
  <c r="G161" i="20" s="1"/>
  <c r="F161" i="20"/>
  <c r="F259" i="20"/>
  <c r="I259" i="20"/>
  <c r="G259" i="20" s="1"/>
  <c r="I238" i="18"/>
  <c r="F238" i="18"/>
  <c r="I154" i="20"/>
  <c r="G154" i="20" s="1"/>
  <c r="F154" i="20"/>
  <c r="I168" i="20"/>
  <c r="G168" i="20" s="1"/>
  <c r="F168" i="20"/>
  <c r="F119" i="20"/>
  <c r="I119" i="20"/>
  <c r="G119" i="20" s="1"/>
  <c r="I77" i="20"/>
  <c r="G77" i="20" s="1"/>
  <c r="F77" i="20"/>
  <c r="I84" i="20"/>
  <c r="G84" i="20" s="1"/>
  <c r="F84" i="20"/>
  <c r="I91" i="20"/>
  <c r="G91" i="20" s="1"/>
  <c r="F91" i="20"/>
  <c r="I203" i="20"/>
  <c r="G203" i="20" s="1"/>
  <c r="F203" i="20"/>
  <c r="F245" i="20"/>
  <c r="I245" i="20"/>
  <c r="G245" i="20" s="1"/>
  <c r="I210" i="20"/>
  <c r="G210" i="20" s="1"/>
  <c r="F210" i="20"/>
  <c r="I224" i="20"/>
  <c r="G224" i="20" s="1"/>
  <c r="F224" i="20"/>
  <c r="I231" i="20"/>
  <c r="G231" i="20" s="1"/>
  <c r="F231" i="20"/>
  <c r="F21" i="20"/>
  <c r="I21" i="20"/>
  <c r="G21" i="20" s="1"/>
  <c r="I56" i="20"/>
  <c r="G56" i="20" s="1"/>
  <c r="F56" i="20"/>
  <c r="I28" i="20"/>
  <c r="G28" i="20" s="1"/>
  <c r="F28" i="20"/>
  <c r="F35" i="20"/>
  <c r="I35" i="20"/>
  <c r="G35" i="20" s="1"/>
  <c r="F42" i="20"/>
  <c r="I42" i="20"/>
  <c r="G42" i="20" s="1"/>
  <c r="I175" i="20"/>
  <c r="G175" i="20" s="1"/>
  <c r="F175" i="20"/>
  <c r="I49" i="20"/>
  <c r="G49" i="20" s="1"/>
  <c r="F49" i="20"/>
  <c r="F126" i="20"/>
  <c r="I126" i="20"/>
  <c r="G126" i="20" s="1"/>
  <c r="F140" i="20"/>
  <c r="I140" i="20"/>
  <c r="G140" i="20" s="1"/>
  <c r="F147" i="20"/>
  <c r="I147" i="20"/>
  <c r="G147" i="20" s="1"/>
  <c r="F133" i="20"/>
  <c r="I133" i="20"/>
  <c r="G133" i="20" s="1"/>
  <c r="F252" i="20"/>
  <c r="I252" i="20"/>
  <c r="G252" i="20" s="1"/>
  <c r="F266" i="20"/>
  <c r="I266" i="20"/>
  <c r="G266" i="20" s="1"/>
  <c r="I246" i="18"/>
  <c r="F246" i="18"/>
  <c r="I248" i="18"/>
  <c r="G248" i="18" s="1"/>
  <c r="F248" i="18"/>
  <c r="I63" i="20"/>
  <c r="G63" i="20" s="1"/>
  <c r="F63" i="20"/>
  <c r="I70" i="20"/>
  <c r="G70" i="20" s="1"/>
  <c r="F70" i="20"/>
  <c r="F217" i="20"/>
  <c r="I217" i="20"/>
  <c r="G217" i="20" s="1"/>
  <c r="I239" i="18"/>
  <c r="G239" i="18" s="1"/>
  <c r="F239" i="18"/>
  <c r="I240" i="18"/>
  <c r="G240" i="18" s="1"/>
  <c r="F240" i="18"/>
  <c r="I182" i="20"/>
  <c r="G182" i="20" s="1"/>
  <c r="F182" i="20"/>
  <c r="I196" i="20"/>
  <c r="G196" i="20" s="1"/>
  <c r="F196" i="20"/>
  <c r="F105" i="20"/>
  <c r="I105" i="20"/>
  <c r="G105" i="20" s="1"/>
  <c r="I247" i="18"/>
  <c r="G247" i="18" s="1"/>
  <c r="F247" i="18"/>
  <c r="I238" i="20"/>
  <c r="G238" i="20" s="1"/>
  <c r="F238" i="20"/>
  <c r="I7" i="20"/>
  <c r="G7" i="20" s="1"/>
  <c r="F7" i="20"/>
  <c r="I14" i="20"/>
  <c r="G14" i="20" s="1"/>
  <c r="F14" i="20"/>
  <c r="I189" i="20"/>
  <c r="G189" i="20" s="1"/>
  <c r="F189" i="20"/>
  <c r="I268" i="20"/>
  <c r="F268" i="20"/>
  <c r="F72" i="20"/>
  <c r="I72" i="20"/>
  <c r="I163" i="20"/>
  <c r="F163" i="20"/>
  <c r="I23" i="20"/>
  <c r="F23" i="20"/>
  <c r="I114" i="20"/>
  <c r="F114" i="20"/>
  <c r="I219" i="20"/>
  <c r="F219" i="20"/>
  <c r="I86" i="20"/>
  <c r="F86" i="20"/>
  <c r="I135" i="20"/>
  <c r="F135" i="20"/>
  <c r="I51" i="20"/>
  <c r="F51" i="20"/>
  <c r="I79" i="20"/>
  <c r="F79" i="20"/>
  <c r="I156" i="20"/>
  <c r="F156" i="20"/>
  <c r="I205" i="20"/>
  <c r="F205" i="20"/>
  <c r="I191" i="20"/>
  <c r="F191" i="20"/>
  <c r="I149" i="20"/>
  <c r="F149" i="20"/>
  <c r="I226" i="20"/>
  <c r="F226" i="20"/>
  <c r="F184" i="20"/>
  <c r="I184" i="20"/>
  <c r="I107" i="20"/>
  <c r="F107" i="20"/>
  <c r="F65" i="20"/>
  <c r="I65" i="20"/>
  <c r="I128" i="20"/>
  <c r="F128" i="20"/>
  <c r="F170" i="20"/>
  <c r="I170" i="20"/>
  <c r="F9" i="20"/>
  <c r="I9" i="20"/>
  <c r="I240" i="20"/>
  <c r="F240" i="20"/>
  <c r="I212" i="20"/>
  <c r="F212" i="20"/>
  <c r="I177" i="20"/>
  <c r="F177" i="20"/>
  <c r="I58" i="20"/>
  <c r="F58" i="20"/>
  <c r="I121" i="20"/>
  <c r="F121" i="20"/>
  <c r="I93" i="20"/>
  <c r="F93" i="20"/>
  <c r="I142" i="20"/>
  <c r="F142" i="20"/>
  <c r="I30" i="20"/>
  <c r="F30" i="20"/>
  <c r="I254" i="20"/>
  <c r="F254" i="20"/>
  <c r="F233" i="20"/>
  <c r="I233" i="20"/>
  <c r="I261" i="20"/>
  <c r="F261" i="20"/>
  <c r="I37" i="20"/>
  <c r="F37" i="20"/>
  <c r="F100" i="20"/>
  <c r="I100" i="20"/>
  <c r="F198" i="20"/>
  <c r="I198" i="20"/>
  <c r="I44" i="20"/>
  <c r="F44" i="20"/>
  <c r="F16" i="20"/>
  <c r="I16" i="20"/>
  <c r="I247" i="20"/>
  <c r="F247" i="20"/>
  <c r="G71" i="15"/>
  <c r="G5" i="15"/>
  <c r="G95" i="15"/>
  <c r="M150" i="1"/>
  <c r="I221" i="16"/>
  <c r="I227" i="16"/>
  <c r="I209" i="16"/>
  <c r="I263" i="16"/>
  <c r="I251" i="16"/>
  <c r="I239" i="16"/>
  <c r="I245" i="16"/>
  <c r="I215" i="16"/>
  <c r="I143" i="16"/>
  <c r="I137" i="16"/>
  <c r="A29" i="18"/>
  <c r="G150" i="1" l="1"/>
  <c r="I411" i="20"/>
  <c r="G411" i="20" s="1"/>
  <c r="G413" i="20"/>
  <c r="G525" i="20"/>
  <c r="I523" i="20"/>
  <c r="G523" i="20" s="1"/>
  <c r="G322" i="20"/>
  <c r="I320" i="20"/>
  <c r="G497" i="20"/>
  <c r="I495" i="20"/>
  <c r="G495" i="20" s="1"/>
  <c r="G371" i="20"/>
  <c r="I369" i="20"/>
  <c r="G369" i="20" s="1"/>
  <c r="G441" i="20"/>
  <c r="I439" i="20"/>
  <c r="G439" i="20" s="1"/>
  <c r="G483" i="20"/>
  <c r="I481" i="20"/>
  <c r="G481" i="20" s="1"/>
  <c r="G455" i="20"/>
  <c r="I453" i="20"/>
  <c r="G453" i="20" s="1"/>
  <c r="G399" i="20"/>
  <c r="I397" i="20"/>
  <c r="G397" i="20" s="1"/>
  <c r="G308" i="20"/>
  <c r="I306" i="20"/>
  <c r="G329" i="20"/>
  <c r="I327" i="20"/>
  <c r="G392" i="20"/>
  <c r="I390" i="20"/>
  <c r="G504" i="20"/>
  <c r="I502" i="20"/>
  <c r="G518" i="20"/>
  <c r="I516" i="20"/>
  <c r="I292" i="20"/>
  <c r="G294" i="20"/>
  <c r="G511" i="20"/>
  <c r="I509" i="20"/>
  <c r="G509" i="20" s="1"/>
  <c r="G469" i="20"/>
  <c r="I467" i="20"/>
  <c r="G467" i="20" s="1"/>
  <c r="I418" i="20"/>
  <c r="G420" i="20"/>
  <c r="G532" i="20"/>
  <c r="I530" i="20"/>
  <c r="G364" i="20"/>
  <c r="I362" i="20"/>
  <c r="I460" i="20"/>
  <c r="G462" i="20"/>
  <c r="G434" i="20"/>
  <c r="I432" i="20"/>
  <c r="G336" i="20"/>
  <c r="I334" i="20"/>
  <c r="G476" i="20"/>
  <c r="I474" i="20"/>
  <c r="G378" i="20"/>
  <c r="I376" i="20"/>
  <c r="G448" i="20"/>
  <c r="I446" i="20"/>
  <c r="G280" i="20"/>
  <c r="I278" i="20"/>
  <c r="G301" i="20"/>
  <c r="I299" i="20"/>
  <c r="I404" i="20"/>
  <c r="G406" i="20"/>
  <c r="I348" i="20"/>
  <c r="G350" i="20"/>
  <c r="G427" i="20"/>
  <c r="I425" i="20"/>
  <c r="G425" i="20" s="1"/>
  <c r="G315" i="20"/>
  <c r="I313" i="20"/>
  <c r="G385" i="20"/>
  <c r="I383" i="20"/>
  <c r="G383" i="20" s="1"/>
  <c r="G343" i="20"/>
  <c r="I341" i="20"/>
  <c r="G357" i="20"/>
  <c r="I355" i="20"/>
  <c r="G355" i="20" s="1"/>
  <c r="G231" i="18"/>
  <c r="I227" i="18"/>
  <c r="G227" i="18" s="1"/>
  <c r="G490" i="20"/>
  <c r="I488" i="20"/>
  <c r="G287" i="20"/>
  <c r="I285" i="20"/>
  <c r="G285" i="20" s="1"/>
  <c r="G273" i="20"/>
  <c r="I271" i="20"/>
  <c r="G225" i="18"/>
  <c r="I221" i="18"/>
  <c r="G221" i="18" s="1"/>
  <c r="G219" i="18"/>
  <c r="I215" i="18"/>
  <c r="G215" i="18" s="1"/>
  <c r="G213" i="18"/>
  <c r="I209" i="18"/>
  <c r="G209" i="18" s="1"/>
  <c r="G207" i="18"/>
  <c r="I203" i="18"/>
  <c r="G203" i="18" s="1"/>
  <c r="G201" i="18"/>
  <c r="I197" i="18"/>
  <c r="G197" i="18" s="1"/>
  <c r="G195" i="18"/>
  <c r="I191" i="18"/>
  <c r="G191" i="18" s="1"/>
  <c r="G189" i="18"/>
  <c r="I185" i="18"/>
  <c r="G185" i="18" s="1"/>
  <c r="G183" i="18"/>
  <c r="I179" i="18"/>
  <c r="G179" i="18" s="1"/>
  <c r="G177" i="18"/>
  <c r="I173" i="18"/>
  <c r="G173" i="18" s="1"/>
  <c r="G171" i="18"/>
  <c r="I167" i="18"/>
  <c r="G167" i="18" s="1"/>
  <c r="G165" i="18"/>
  <c r="I161" i="18"/>
  <c r="G161" i="18" s="1"/>
  <c r="G159" i="18"/>
  <c r="I155" i="18"/>
  <c r="G155" i="18" s="1"/>
  <c r="G153" i="18"/>
  <c r="I149" i="18"/>
  <c r="G149" i="18" s="1"/>
  <c r="G147" i="18"/>
  <c r="I143" i="18"/>
  <c r="G143" i="18" s="1"/>
  <c r="G141" i="18"/>
  <c r="I137" i="18"/>
  <c r="G137" i="18" s="1"/>
  <c r="G135" i="18"/>
  <c r="I131" i="18"/>
  <c r="G131" i="18" s="1"/>
  <c r="G129" i="18"/>
  <c r="I125" i="18"/>
  <c r="G125" i="18" s="1"/>
  <c r="G123" i="18"/>
  <c r="I119" i="18"/>
  <c r="G119" i="18" s="1"/>
  <c r="G117" i="18"/>
  <c r="I113" i="18"/>
  <c r="G113" i="18" s="1"/>
  <c r="G111" i="18"/>
  <c r="I107" i="18"/>
  <c r="G107" i="18" s="1"/>
  <c r="G105" i="18"/>
  <c r="I101" i="18"/>
  <c r="G101" i="18" s="1"/>
  <c r="G99" i="18"/>
  <c r="I95" i="18"/>
  <c r="G95" i="18" s="1"/>
  <c r="G93" i="18"/>
  <c r="I89" i="18"/>
  <c r="G89" i="18" s="1"/>
  <c r="G87" i="18"/>
  <c r="I83" i="18"/>
  <c r="G83" i="18" s="1"/>
  <c r="G81" i="18"/>
  <c r="I77" i="18"/>
  <c r="G77" i="18" s="1"/>
  <c r="G75" i="18"/>
  <c r="I71" i="18"/>
  <c r="G71" i="18" s="1"/>
  <c r="G69" i="18"/>
  <c r="I65" i="18"/>
  <c r="G65" i="18" s="1"/>
  <c r="G63" i="18"/>
  <c r="I59" i="18"/>
  <c r="G59" i="18" s="1"/>
  <c r="G57" i="18"/>
  <c r="I53" i="18"/>
  <c r="G53" i="18" s="1"/>
  <c r="G51" i="18"/>
  <c r="I47" i="18"/>
  <c r="G47" i="18" s="1"/>
  <c r="G45" i="18"/>
  <c r="I41" i="18"/>
  <c r="G41" i="18" s="1"/>
  <c r="G39" i="18"/>
  <c r="I35" i="18"/>
  <c r="G35" i="18" s="1"/>
  <c r="G33" i="18"/>
  <c r="I29" i="18"/>
  <c r="G29" i="18" s="1"/>
  <c r="G27" i="18"/>
  <c r="I23" i="18"/>
  <c r="G23" i="18" s="1"/>
  <c r="G21" i="18"/>
  <c r="I17" i="18"/>
  <c r="G17" i="18" s="1"/>
  <c r="G15" i="18"/>
  <c r="I11" i="18"/>
  <c r="G11" i="18" s="1"/>
  <c r="G29" i="19"/>
  <c r="I28" i="19"/>
  <c r="G53" i="19"/>
  <c r="I52" i="19"/>
  <c r="G61" i="19"/>
  <c r="I60" i="19"/>
  <c r="G45" i="19"/>
  <c r="I44" i="19"/>
  <c r="G37" i="19"/>
  <c r="I36" i="19"/>
  <c r="I20" i="19"/>
  <c r="G21" i="19"/>
  <c r="G226" i="19"/>
  <c r="I224" i="19"/>
  <c r="G161" i="19"/>
  <c r="I159" i="19"/>
  <c r="G70" i="19"/>
  <c r="I68" i="19"/>
  <c r="G148" i="19"/>
  <c r="I146" i="19"/>
  <c r="G213" i="19"/>
  <c r="I211" i="19"/>
  <c r="G135" i="19"/>
  <c r="I133" i="19"/>
  <c r="G200" i="19"/>
  <c r="I198" i="19"/>
  <c r="G122" i="19"/>
  <c r="I120" i="19"/>
  <c r="G109" i="19"/>
  <c r="I107" i="19"/>
  <c r="G187" i="19"/>
  <c r="I185" i="19"/>
  <c r="G174" i="19"/>
  <c r="I172" i="19"/>
  <c r="G83" i="19"/>
  <c r="I81" i="19"/>
  <c r="G96" i="19"/>
  <c r="I94" i="19"/>
  <c r="G246" i="18"/>
  <c r="I245" i="18"/>
  <c r="G238" i="18"/>
  <c r="I237" i="18"/>
  <c r="G65" i="20"/>
  <c r="I61" i="20"/>
  <c r="G177" i="20"/>
  <c r="I173" i="20"/>
  <c r="G205" i="20"/>
  <c r="I201" i="20"/>
  <c r="G219" i="20"/>
  <c r="I215" i="20"/>
  <c r="G30" i="20"/>
  <c r="I26" i="20"/>
  <c r="G107" i="20"/>
  <c r="I103" i="20"/>
  <c r="G156" i="20"/>
  <c r="I152" i="20"/>
  <c r="G114" i="20"/>
  <c r="I110" i="20"/>
  <c r="G254" i="20"/>
  <c r="I250" i="20"/>
  <c r="G212" i="20"/>
  <c r="I208" i="20"/>
  <c r="G100" i="20"/>
  <c r="I96" i="20"/>
  <c r="G184" i="20"/>
  <c r="I180" i="20"/>
  <c r="G142" i="20"/>
  <c r="I138" i="20"/>
  <c r="G240" i="20"/>
  <c r="I236" i="20"/>
  <c r="G79" i="20"/>
  <c r="I75" i="20"/>
  <c r="G23" i="20"/>
  <c r="I19" i="20"/>
  <c r="G198" i="20"/>
  <c r="I194" i="20"/>
  <c r="G9" i="20"/>
  <c r="I5" i="20"/>
  <c r="G37" i="20"/>
  <c r="I33" i="20"/>
  <c r="G93" i="20"/>
  <c r="I89" i="20"/>
  <c r="G226" i="20"/>
  <c r="I222" i="20"/>
  <c r="G51" i="20"/>
  <c r="I47" i="20"/>
  <c r="G163" i="20"/>
  <c r="I159" i="20"/>
  <c r="G170" i="20"/>
  <c r="I166" i="20"/>
  <c r="G72" i="20"/>
  <c r="I68" i="20"/>
  <c r="G261" i="20"/>
  <c r="I257" i="20"/>
  <c r="G121" i="20"/>
  <c r="I117" i="20"/>
  <c r="G149" i="20"/>
  <c r="I145" i="20"/>
  <c r="G135" i="20"/>
  <c r="I131" i="20"/>
  <c r="G247" i="20"/>
  <c r="I243" i="20"/>
  <c r="G16" i="20"/>
  <c r="I12" i="20"/>
  <c r="G233" i="20"/>
  <c r="I229" i="20"/>
  <c r="G44" i="20"/>
  <c r="I40" i="20"/>
  <c r="G58" i="20"/>
  <c r="I54" i="20"/>
  <c r="G128" i="20"/>
  <c r="I124" i="20"/>
  <c r="G191" i="20"/>
  <c r="I187" i="20"/>
  <c r="G86" i="20"/>
  <c r="I82" i="20"/>
  <c r="G268" i="20"/>
  <c r="I264" i="20"/>
  <c r="A35" i="18"/>
  <c r="I201" i="1" l="1"/>
  <c r="H247" i="23"/>
  <c r="G474" i="20"/>
  <c r="G390" i="20"/>
  <c r="I195" i="1"/>
  <c r="G195" i="1" s="1"/>
  <c r="H223" i="23"/>
  <c r="G348" i="20"/>
  <c r="I192" i="1"/>
  <c r="G192" i="1" s="1"/>
  <c r="H211" i="23"/>
  <c r="G418" i="20"/>
  <c r="H231" i="23"/>
  <c r="I197" i="1"/>
  <c r="G197" i="1" s="1"/>
  <c r="G334" i="20"/>
  <c r="I190" i="1"/>
  <c r="G190" i="1" s="1"/>
  <c r="H203" i="23"/>
  <c r="G327" i="20"/>
  <c r="I189" i="1"/>
  <c r="G189" i="1" s="1"/>
  <c r="H199" i="23"/>
  <c r="G404" i="20"/>
  <c r="H227" i="23"/>
  <c r="I196" i="1"/>
  <c r="G196" i="1" s="1"/>
  <c r="G341" i="20"/>
  <c r="I191" i="1"/>
  <c r="G191" i="1" s="1"/>
  <c r="H207" i="23"/>
  <c r="G299" i="20"/>
  <c r="H183" i="23"/>
  <c r="I185" i="1"/>
  <c r="G185" i="1" s="1"/>
  <c r="G432" i="20"/>
  <c r="H235" i="23"/>
  <c r="I198" i="1"/>
  <c r="G198" i="1" s="1"/>
  <c r="G306" i="20"/>
  <c r="H187" i="23"/>
  <c r="I186" i="1"/>
  <c r="G271" i="20"/>
  <c r="I182" i="1"/>
  <c r="G182" i="1" s="1"/>
  <c r="H175" i="23"/>
  <c r="I183" i="1"/>
  <c r="G183" i="1" s="1"/>
  <c r="G278" i="20"/>
  <c r="G320" i="20"/>
  <c r="I188" i="1"/>
  <c r="G188" i="1" s="1"/>
  <c r="H195" i="23"/>
  <c r="G460" i="20"/>
  <c r="I200" i="1"/>
  <c r="G200" i="1" s="1"/>
  <c r="H243" i="23"/>
  <c r="G292" i="20"/>
  <c r="H179" i="23"/>
  <c r="I184" i="1"/>
  <c r="G184" i="1" s="1"/>
  <c r="G313" i="20"/>
  <c r="H191" i="23"/>
  <c r="I187" i="1"/>
  <c r="G187" i="1" s="1"/>
  <c r="G446" i="20"/>
  <c r="H239" i="23"/>
  <c r="I199" i="1"/>
  <c r="G199" i="1" s="1"/>
  <c r="G362" i="20"/>
  <c r="H215" i="23"/>
  <c r="I193" i="1"/>
  <c r="G193" i="1" s="1"/>
  <c r="G516" i="20"/>
  <c r="I204" i="1"/>
  <c r="G204" i="1" s="1"/>
  <c r="H259" i="23"/>
  <c r="G488" i="20"/>
  <c r="I202" i="1"/>
  <c r="G202" i="1" s="1"/>
  <c r="H251" i="23"/>
  <c r="H219" i="23"/>
  <c r="I194" i="1"/>
  <c r="G194" i="1" s="1"/>
  <c r="G376" i="20"/>
  <c r="G530" i="20"/>
  <c r="I205" i="1"/>
  <c r="G205" i="1" s="1"/>
  <c r="H263" i="23"/>
  <c r="G502" i="20"/>
  <c r="I203" i="1"/>
  <c r="G203" i="1" s="1"/>
  <c r="H255" i="23"/>
  <c r="I80" i="1"/>
  <c r="G80" i="1" s="1"/>
  <c r="G36" i="19"/>
  <c r="G44" i="19"/>
  <c r="I81" i="1"/>
  <c r="G81" i="1" s="1"/>
  <c r="G20" i="19"/>
  <c r="I78" i="1"/>
  <c r="I83" i="1"/>
  <c r="G83" i="1" s="1"/>
  <c r="G60" i="19"/>
  <c r="I82" i="1"/>
  <c r="G82" i="1" s="1"/>
  <c r="G52" i="19"/>
  <c r="I79" i="1"/>
  <c r="G28" i="19"/>
  <c r="I89" i="1"/>
  <c r="G89" i="1" s="1"/>
  <c r="G133" i="19"/>
  <c r="I95" i="1"/>
  <c r="G95" i="1" s="1"/>
  <c r="G211" i="19"/>
  <c r="I90" i="1"/>
  <c r="G90" i="1" s="1"/>
  <c r="G146" i="19"/>
  <c r="I84" i="1"/>
  <c r="G84" i="1" s="1"/>
  <c r="G68" i="19"/>
  <c r="G185" i="19"/>
  <c r="I93" i="1"/>
  <c r="G93" i="1" s="1"/>
  <c r="G172" i="19"/>
  <c r="I92" i="1"/>
  <c r="G92" i="1" s="1"/>
  <c r="I88" i="1"/>
  <c r="G88" i="1" s="1"/>
  <c r="G120" i="19"/>
  <c r="G159" i="19"/>
  <c r="I91" i="1"/>
  <c r="G91" i="1" s="1"/>
  <c r="I85" i="1"/>
  <c r="G85" i="1" s="1"/>
  <c r="G81" i="19"/>
  <c r="I87" i="1"/>
  <c r="G87" i="1" s="1"/>
  <c r="G107" i="19"/>
  <c r="G94" i="19"/>
  <c r="I86" i="1"/>
  <c r="G86" i="1" s="1"/>
  <c r="I94" i="1"/>
  <c r="G94" i="1" s="1"/>
  <c r="G198" i="19"/>
  <c r="I96" i="1"/>
  <c r="G96" i="1" s="1"/>
  <c r="G224" i="19"/>
  <c r="I71" i="1"/>
  <c r="G71" i="1" s="1"/>
  <c r="G237" i="18"/>
  <c r="I72" i="1"/>
  <c r="G72" i="1" s="1"/>
  <c r="G245" i="18"/>
  <c r="G5" i="20"/>
  <c r="I97" i="1"/>
  <c r="G97" i="1" s="1"/>
  <c r="G180" i="20"/>
  <c r="I122" i="1"/>
  <c r="G103" i="20"/>
  <c r="I111" i="1"/>
  <c r="G111" i="1" s="1"/>
  <c r="I110" i="1"/>
  <c r="G110" i="1" s="1"/>
  <c r="G96" i="20"/>
  <c r="G26" i="20"/>
  <c r="I100" i="1"/>
  <c r="G131" i="20"/>
  <c r="I115" i="1"/>
  <c r="G115" i="1" s="1"/>
  <c r="G47" i="20"/>
  <c r="I103" i="1"/>
  <c r="G208" i="20"/>
  <c r="I126" i="1"/>
  <c r="G215" i="20"/>
  <c r="O215" i="20" s="1"/>
  <c r="I127" i="1"/>
  <c r="G127" i="1" s="1"/>
  <c r="I131" i="1"/>
  <c r="G131" i="1" s="1"/>
  <c r="G243" i="20"/>
  <c r="G19" i="20"/>
  <c r="I99" i="1"/>
  <c r="G99" i="1" s="1"/>
  <c r="G40" i="20"/>
  <c r="I102" i="1"/>
  <c r="G102" i="1" s="1"/>
  <c r="I128" i="1"/>
  <c r="G222" i="20"/>
  <c r="O222" i="20" s="1"/>
  <c r="G250" i="20"/>
  <c r="I132" i="1"/>
  <c r="G132" i="1" s="1"/>
  <c r="G201" i="20"/>
  <c r="I125" i="1"/>
  <c r="G125" i="1" s="1"/>
  <c r="G166" i="20"/>
  <c r="I120" i="1"/>
  <c r="G54" i="20"/>
  <c r="I104" i="1"/>
  <c r="G104" i="1" s="1"/>
  <c r="G75" i="20"/>
  <c r="I107" i="1"/>
  <c r="I119" i="1"/>
  <c r="G119" i="1" s="1"/>
  <c r="G159" i="20"/>
  <c r="G264" i="20"/>
  <c r="I134" i="1"/>
  <c r="G134" i="1" s="1"/>
  <c r="G257" i="20"/>
  <c r="I133" i="1"/>
  <c r="G133" i="1" s="1"/>
  <c r="G236" i="20"/>
  <c r="I130" i="1"/>
  <c r="G130" i="1" s="1"/>
  <c r="I112" i="1"/>
  <c r="G110" i="20"/>
  <c r="G173" i="20"/>
  <c r="I121" i="1"/>
  <c r="G121" i="1" s="1"/>
  <c r="G194" i="20"/>
  <c r="I124" i="1"/>
  <c r="G229" i="20"/>
  <c r="I129" i="1"/>
  <c r="G89" i="20"/>
  <c r="I109" i="1"/>
  <c r="G124" i="20"/>
  <c r="I114" i="1"/>
  <c r="G117" i="20"/>
  <c r="I113" i="1"/>
  <c r="G113" i="1" s="1"/>
  <c r="G12" i="20"/>
  <c r="I98" i="1"/>
  <c r="I101" i="1"/>
  <c r="G33" i="20"/>
  <c r="G138" i="20"/>
  <c r="I116" i="1"/>
  <c r="G152" i="20"/>
  <c r="I118" i="1"/>
  <c r="G61" i="20"/>
  <c r="I105" i="1"/>
  <c r="G187" i="20"/>
  <c r="I123" i="1"/>
  <c r="G123" i="1" s="1"/>
  <c r="G145" i="20"/>
  <c r="I117" i="1"/>
  <c r="G117" i="1" s="1"/>
  <c r="G82" i="20"/>
  <c r="I108" i="1"/>
  <c r="G68" i="20"/>
  <c r="I106" i="1"/>
  <c r="L290" i="16"/>
  <c r="M290" i="16" s="1"/>
  <c r="M287" i="16" s="1"/>
  <c r="L278" i="16"/>
  <c r="M278" i="16" s="1"/>
  <c r="M275" i="16" s="1"/>
  <c r="H290" i="16"/>
  <c r="H278" i="16"/>
  <c r="L128" i="16"/>
  <c r="M128" i="16" s="1"/>
  <c r="M125" i="16" s="1"/>
  <c r="L116" i="16"/>
  <c r="M116" i="16" s="1"/>
  <c r="M113" i="16" s="1"/>
  <c r="L170" i="16"/>
  <c r="M170" i="16" s="1"/>
  <c r="M167" i="16" s="1"/>
  <c r="L134" i="16"/>
  <c r="M134" i="16" s="1"/>
  <c r="M131" i="16" s="1"/>
  <c r="L182" i="16"/>
  <c r="M182" i="16" s="1"/>
  <c r="M179" i="16" s="1"/>
  <c r="L122" i="16"/>
  <c r="M122" i="16" s="1"/>
  <c r="M119" i="16" s="1"/>
  <c r="L164" i="16"/>
  <c r="M164" i="16" s="1"/>
  <c r="M161" i="16" s="1"/>
  <c r="L188" i="16"/>
  <c r="M188" i="16" s="1"/>
  <c r="M185" i="16" s="1"/>
  <c r="L146" i="23"/>
  <c r="M146" i="23" s="1"/>
  <c r="L116" i="23"/>
  <c r="M116" i="23" s="1"/>
  <c r="L158" i="23"/>
  <c r="M158" i="23" s="1"/>
  <c r="L128" i="23"/>
  <c r="M128" i="23" s="1"/>
  <c r="L170" i="23"/>
  <c r="M170" i="23" s="1"/>
  <c r="L140" i="23"/>
  <c r="M140" i="23" s="1"/>
  <c r="L152" i="23"/>
  <c r="M152" i="23" s="1"/>
  <c r="L122" i="23"/>
  <c r="M122" i="23" s="1"/>
  <c r="L134" i="23"/>
  <c r="M134" i="23" s="1"/>
  <c r="L164" i="23"/>
  <c r="M164" i="23" s="1"/>
  <c r="L176" i="16"/>
  <c r="M176" i="16" s="1"/>
  <c r="M173" i="16" s="1"/>
  <c r="L302" i="16"/>
  <c r="M302" i="16" s="1"/>
  <c r="M299" i="16" s="1"/>
  <c r="H314" i="16"/>
  <c r="I314" i="16" s="1"/>
  <c r="H188" i="16"/>
  <c r="H128" i="16"/>
  <c r="H116" i="16"/>
  <c r="H170" i="16"/>
  <c r="H134" i="16"/>
  <c r="H122" i="16"/>
  <c r="H182" i="16"/>
  <c r="H164" i="16"/>
  <c r="H134" i="23"/>
  <c r="H146" i="23"/>
  <c r="H116" i="23"/>
  <c r="H158" i="23"/>
  <c r="H128" i="23"/>
  <c r="H170" i="23"/>
  <c r="H122" i="23"/>
  <c r="H140" i="23"/>
  <c r="H152" i="23"/>
  <c r="H164" i="23"/>
  <c r="H302" i="16"/>
  <c r="H176" i="16"/>
  <c r="A41" i="18"/>
  <c r="M326" i="16"/>
  <c r="M323" i="16" s="1"/>
  <c r="L314" i="16"/>
  <c r="M314" i="16" s="1"/>
  <c r="M311" i="16" s="1"/>
  <c r="I326" i="16"/>
  <c r="H308" i="16"/>
  <c r="I308" i="16" s="1"/>
  <c r="I305" i="16" s="1"/>
  <c r="H296" i="16"/>
  <c r="I296" i="16" s="1"/>
  <c r="I293" i="16" s="1"/>
  <c r="L308" i="16"/>
  <c r="M308" i="16" s="1"/>
  <c r="M305" i="16" s="1"/>
  <c r="L296" i="16"/>
  <c r="M296" i="16" s="1"/>
  <c r="M293" i="16" s="1"/>
  <c r="H233" i="14"/>
  <c r="I233" i="14" s="1"/>
  <c r="I235" i="14" s="1"/>
  <c r="I230" i="14" s="1"/>
  <c r="I34" i="28" s="1"/>
  <c r="H263" i="14"/>
  <c r="I263" i="14" s="1"/>
  <c r="I265" i="14" s="1"/>
  <c r="I260" i="14" s="1"/>
  <c r="I38" i="28" s="1"/>
  <c r="H218" i="14"/>
  <c r="I218" i="14" s="1"/>
  <c r="H248" i="14"/>
  <c r="I248" i="14" s="1"/>
  <c r="I250" i="14" s="1"/>
  <c r="I245" i="14" s="1"/>
  <c r="I36" i="28" s="1"/>
  <c r="H278" i="14"/>
  <c r="I278" i="14" s="1"/>
  <c r="I280" i="14" s="1"/>
  <c r="I275" i="14" s="1"/>
  <c r="I40" i="28" s="1"/>
  <c r="H104" i="16"/>
  <c r="I104" i="16" s="1"/>
  <c r="H293" i="14"/>
  <c r="I293" i="14" s="1"/>
  <c r="I295" i="14" s="1"/>
  <c r="I290" i="14" s="1"/>
  <c r="I42" i="28" s="1"/>
  <c r="H110" i="16"/>
  <c r="I110" i="16" s="1"/>
  <c r="L110" i="16"/>
  <c r="M110" i="16" s="1"/>
  <c r="M107" i="16" s="1"/>
  <c r="L104" i="16"/>
  <c r="M104" i="16" s="1"/>
  <c r="M101" i="16" s="1"/>
  <c r="L248" i="14"/>
  <c r="M248" i="14" s="1"/>
  <c r="M250" i="14" s="1"/>
  <c r="M245" i="14" s="1"/>
  <c r="M36" i="28" s="1"/>
  <c r="L218" i="14"/>
  <c r="L293" i="14"/>
  <c r="M293" i="14" s="1"/>
  <c r="L233" i="14"/>
  <c r="M233" i="14" s="1"/>
  <c r="M235" i="14" s="1"/>
  <c r="M230" i="14" s="1"/>
  <c r="M34" i="28" s="1"/>
  <c r="L263" i="14"/>
  <c r="M263" i="14" s="1"/>
  <c r="L278" i="14"/>
  <c r="M278" i="14" s="1"/>
  <c r="G79" i="1" l="1"/>
  <c r="G129" i="1"/>
  <c r="G186" i="1"/>
  <c r="G201" i="1"/>
  <c r="M295" i="14"/>
  <c r="M290" i="14" s="1"/>
  <c r="M42" i="28" s="1"/>
  <c r="M280" i="14"/>
  <c r="M275" i="14" s="1"/>
  <c r="M40" i="28" s="1"/>
  <c r="M265" i="14"/>
  <c r="M260" i="14" s="1"/>
  <c r="M38" i="28" s="1"/>
  <c r="I220" i="14"/>
  <c r="I215" i="14" s="1"/>
  <c r="I32" i="28" s="1"/>
  <c r="G103" i="1"/>
  <c r="G116" i="1"/>
  <c r="G122" i="1"/>
  <c r="G101" i="1"/>
  <c r="G98" i="1"/>
  <c r="G107" i="1"/>
  <c r="G100" i="1"/>
  <c r="G112" i="1"/>
  <c r="G105" i="1"/>
  <c r="G114" i="1"/>
  <c r="G108" i="1"/>
  <c r="G118" i="1"/>
  <c r="G109" i="1"/>
  <c r="I175" i="23"/>
  <c r="G175" i="23" s="1"/>
  <c r="F175" i="23"/>
  <c r="I207" i="23"/>
  <c r="G207" i="23" s="1"/>
  <c r="F207" i="23"/>
  <c r="I227" i="23"/>
  <c r="G227" i="23" s="1"/>
  <c r="F227" i="23"/>
  <c r="F255" i="23"/>
  <c r="I255" i="23"/>
  <c r="G255" i="23" s="1"/>
  <c r="I259" i="23"/>
  <c r="G259" i="23" s="1"/>
  <c r="F259" i="23"/>
  <c r="I231" i="23"/>
  <c r="G231" i="23" s="1"/>
  <c r="F231" i="23"/>
  <c r="I179" i="23"/>
  <c r="G179" i="23" s="1"/>
  <c r="F179" i="23"/>
  <c r="G126" i="1"/>
  <c r="I211" i="23"/>
  <c r="G211" i="23" s="1"/>
  <c r="F211" i="23"/>
  <c r="I263" i="23"/>
  <c r="G263" i="23" s="1"/>
  <c r="F263" i="23"/>
  <c r="G124" i="1"/>
  <c r="I215" i="23"/>
  <c r="G215" i="23" s="1"/>
  <c r="F215" i="23"/>
  <c r="I199" i="23"/>
  <c r="G199" i="23" s="1"/>
  <c r="F199" i="23"/>
  <c r="I223" i="23"/>
  <c r="G223" i="23" s="1"/>
  <c r="F223" i="23"/>
  <c r="I195" i="23"/>
  <c r="G195" i="23" s="1"/>
  <c r="F195" i="23"/>
  <c r="I235" i="23"/>
  <c r="G235" i="23" s="1"/>
  <c r="F235" i="23"/>
  <c r="I243" i="23"/>
  <c r="G243" i="23" s="1"/>
  <c r="F243" i="23"/>
  <c r="I239" i="23"/>
  <c r="G239" i="23" s="1"/>
  <c r="F239" i="23"/>
  <c r="I187" i="23"/>
  <c r="G187" i="23" s="1"/>
  <c r="F187" i="23"/>
  <c r="I219" i="23"/>
  <c r="G219" i="23" s="1"/>
  <c r="F219" i="23"/>
  <c r="I203" i="23"/>
  <c r="G203" i="23" s="1"/>
  <c r="F203" i="23"/>
  <c r="I251" i="23"/>
  <c r="G251" i="23" s="1"/>
  <c r="F251" i="23"/>
  <c r="I183" i="23"/>
  <c r="G183" i="23" s="1"/>
  <c r="F183" i="23"/>
  <c r="I247" i="23"/>
  <c r="G247" i="23" s="1"/>
  <c r="F247" i="23"/>
  <c r="G120" i="1"/>
  <c r="I191" i="23"/>
  <c r="G191" i="23" s="1"/>
  <c r="F191" i="23"/>
  <c r="G128" i="1"/>
  <c r="M171" i="23"/>
  <c r="M167" i="23" s="1"/>
  <c r="M165" i="23"/>
  <c r="M161" i="23" s="1"/>
  <c r="M159" i="23"/>
  <c r="M155" i="23" s="1"/>
  <c r="M153" i="23"/>
  <c r="M149" i="23" s="1"/>
  <c r="M147" i="23"/>
  <c r="M143" i="23" s="1"/>
  <c r="M141" i="23"/>
  <c r="M137" i="23" s="1"/>
  <c r="M135" i="23"/>
  <c r="M131" i="23" s="1"/>
  <c r="M129" i="23"/>
  <c r="M125" i="23" s="1"/>
  <c r="M123" i="23"/>
  <c r="M119" i="23" s="1"/>
  <c r="M117" i="23"/>
  <c r="M113" i="23" s="1"/>
  <c r="H9" i="19"/>
  <c r="H6" i="19"/>
  <c r="H12" i="19"/>
  <c r="H15" i="19"/>
  <c r="G78" i="1"/>
  <c r="H18" i="19"/>
  <c r="G106" i="1"/>
  <c r="I278" i="16"/>
  <c r="I290" i="16"/>
  <c r="I122" i="23"/>
  <c r="I123" i="23" s="1"/>
  <c r="I119" i="23" s="1"/>
  <c r="H230" i="23" s="1"/>
  <c r="I116" i="16"/>
  <c r="I128" i="23"/>
  <c r="I129" i="23" s="1"/>
  <c r="I125" i="23" s="1"/>
  <c r="H234" i="23" s="1"/>
  <c r="I188" i="16"/>
  <c r="I116" i="23"/>
  <c r="I117" i="23" s="1"/>
  <c r="I113" i="23" s="1"/>
  <c r="H226" i="23" s="1"/>
  <c r="I146" i="23"/>
  <c r="I147" i="23" s="1"/>
  <c r="I143" i="23" s="1"/>
  <c r="H246" i="23" s="1"/>
  <c r="I134" i="23"/>
  <c r="I135" i="23" s="1"/>
  <c r="I131" i="23" s="1"/>
  <c r="H238" i="23" s="1"/>
  <c r="I176" i="16"/>
  <c r="I164" i="16"/>
  <c r="I302" i="16"/>
  <c r="I182" i="16"/>
  <c r="I164" i="23"/>
  <c r="I165" i="23" s="1"/>
  <c r="I161" i="23" s="1"/>
  <c r="H258" i="23" s="1"/>
  <c r="I122" i="16"/>
  <c r="I152" i="23"/>
  <c r="I153" i="23" s="1"/>
  <c r="I149" i="23" s="1"/>
  <c r="H250" i="23" s="1"/>
  <c r="I134" i="16"/>
  <c r="I170" i="23"/>
  <c r="I171" i="23" s="1"/>
  <c r="I167" i="23" s="1"/>
  <c r="H262" i="23" s="1"/>
  <c r="I128" i="16"/>
  <c r="I158" i="23"/>
  <c r="I159" i="23" s="1"/>
  <c r="I155" i="23" s="1"/>
  <c r="H254" i="23" s="1"/>
  <c r="I140" i="23"/>
  <c r="I141" i="23" s="1"/>
  <c r="I137" i="23" s="1"/>
  <c r="H242" i="23" s="1"/>
  <c r="I170" i="16"/>
  <c r="A47" i="18"/>
  <c r="I311" i="16"/>
  <c r="I323" i="16"/>
  <c r="I101" i="16"/>
  <c r="I107" i="16"/>
  <c r="M27" i="1" l="1"/>
  <c r="L246" i="23"/>
  <c r="M246" i="23" s="1"/>
  <c r="M245" i="23" s="1"/>
  <c r="M177" i="1" s="1"/>
  <c r="M26" i="1"/>
  <c r="L242" i="23"/>
  <c r="M242" i="23" s="1"/>
  <c r="M241" i="23" s="1"/>
  <c r="M176" i="1" s="1"/>
  <c r="M30" i="1"/>
  <c r="L258" i="23"/>
  <c r="M258" i="23" s="1"/>
  <c r="M257" i="23" s="1"/>
  <c r="M180" i="1" s="1"/>
  <c r="M31" i="1"/>
  <c r="L262" i="23"/>
  <c r="M262" i="23" s="1"/>
  <c r="M261" i="23" s="1"/>
  <c r="M181" i="1" s="1"/>
  <c r="I242" i="23"/>
  <c r="I238" i="23"/>
  <c r="I234" i="23"/>
  <c r="M22" i="1"/>
  <c r="L226" i="23"/>
  <c r="M226" i="23" s="1"/>
  <c r="M225" i="23" s="1"/>
  <c r="M172" i="1" s="1"/>
  <c r="M28" i="1"/>
  <c r="L250" i="23"/>
  <c r="M250" i="23" s="1"/>
  <c r="M249" i="23" s="1"/>
  <c r="M178" i="1" s="1"/>
  <c r="I246" i="23"/>
  <c r="M23" i="1"/>
  <c r="L230" i="23"/>
  <c r="M230" i="23" s="1"/>
  <c r="M229" i="23" s="1"/>
  <c r="M173" i="1" s="1"/>
  <c r="I262" i="23"/>
  <c r="I230" i="23"/>
  <c r="M24" i="1"/>
  <c r="L234" i="23"/>
  <c r="M234" i="23" s="1"/>
  <c r="M233" i="23" s="1"/>
  <c r="M174" i="1" s="1"/>
  <c r="M29" i="1"/>
  <c r="L254" i="23"/>
  <c r="M254" i="23" s="1"/>
  <c r="M253" i="23" s="1"/>
  <c r="M179" i="1" s="1"/>
  <c r="I254" i="23"/>
  <c r="I226" i="23"/>
  <c r="I250" i="23"/>
  <c r="I258" i="23"/>
  <c r="M25" i="1"/>
  <c r="L238" i="23"/>
  <c r="M238" i="23" s="1"/>
  <c r="M237" i="23" s="1"/>
  <c r="M175" i="1" s="1"/>
  <c r="I287" i="16"/>
  <c r="I275" i="16"/>
  <c r="I125" i="16"/>
  <c r="I179" i="16"/>
  <c r="I299" i="16"/>
  <c r="I185" i="16"/>
  <c r="I131" i="16"/>
  <c r="I161" i="16"/>
  <c r="I173" i="16"/>
  <c r="I167" i="16"/>
  <c r="I113" i="16"/>
  <c r="I119" i="16"/>
  <c r="A53" i="18"/>
  <c r="I241" i="23" l="1"/>
  <c r="I229" i="23"/>
  <c r="I249" i="23"/>
  <c r="I225" i="23"/>
  <c r="I261" i="23"/>
  <c r="I233" i="23"/>
  <c r="I245" i="23"/>
  <c r="I257" i="23"/>
  <c r="I253" i="23"/>
  <c r="I237" i="23"/>
  <c r="I25" i="1"/>
  <c r="I24" i="1"/>
  <c r="I22" i="1"/>
  <c r="I26" i="1"/>
  <c r="I30" i="1"/>
  <c r="I29" i="1"/>
  <c r="I23" i="1"/>
  <c r="I27" i="1"/>
  <c r="I28" i="1"/>
  <c r="I31" i="1"/>
  <c r="A59" i="18"/>
  <c r="I175" i="1" l="1"/>
  <c r="I172" i="1"/>
  <c r="I179" i="1"/>
  <c r="I180" i="1"/>
  <c r="I173" i="1"/>
  <c r="I177" i="1"/>
  <c r="I174" i="1"/>
  <c r="I178" i="1"/>
  <c r="I181" i="1"/>
  <c r="I176" i="1"/>
  <c r="A65" i="18"/>
  <c r="A71" i="18" l="1"/>
  <c r="A77" i="18" l="1"/>
  <c r="A83" i="18" l="1"/>
  <c r="A89" i="18" l="1"/>
  <c r="A95" i="18" l="1"/>
  <c r="A101" i="18" l="1"/>
  <c r="C18" i="12"/>
  <c r="C19" i="12"/>
  <c r="C20" i="12"/>
  <c r="C21" i="12"/>
  <c r="C22" i="12"/>
  <c r="C23" i="12"/>
  <c r="G3" i="9"/>
  <c r="G4" i="9"/>
  <c r="H234" i="18"/>
  <c r="J234" i="18"/>
  <c r="K234" i="18" s="1"/>
  <c r="K233" i="18" s="1"/>
  <c r="K70" i="1" s="1"/>
  <c r="K68" i="1" l="1"/>
  <c r="K54" i="1"/>
  <c r="K60" i="1"/>
  <c r="K56" i="1"/>
  <c r="K34" i="1"/>
  <c r="K50" i="1"/>
  <c r="K46" i="1"/>
  <c r="I234" i="18"/>
  <c r="A107" i="18"/>
  <c r="L195" i="14" l="1"/>
  <c r="M195" i="14" s="1"/>
  <c r="M197" i="14" s="1"/>
  <c r="M198" i="14" s="1"/>
  <c r="M192" i="14" s="1"/>
  <c r="M29" i="28" s="1"/>
  <c r="L165" i="14"/>
  <c r="M165" i="14" s="1"/>
  <c r="M167" i="14" s="1"/>
  <c r="M168" i="14" s="1"/>
  <c r="M162" i="14" s="1"/>
  <c r="M25" i="28" s="1"/>
  <c r="L135" i="14"/>
  <c r="M135" i="14" s="1"/>
  <c r="M137" i="14" s="1"/>
  <c r="M138" i="14" s="1"/>
  <c r="M132" i="14" s="1"/>
  <c r="M21" i="28" s="1"/>
  <c r="L45" i="14"/>
  <c r="M45" i="14" s="1"/>
  <c r="M47" i="14" s="1"/>
  <c r="M48" i="14" s="1"/>
  <c r="M42" i="14" s="1"/>
  <c r="L270" i="14"/>
  <c r="M270" i="14" s="1"/>
  <c r="M272" i="14" s="1"/>
  <c r="M273" i="14" s="1"/>
  <c r="M267" i="14" s="1"/>
  <c r="M39" i="28" s="1"/>
  <c r="L75" i="14"/>
  <c r="M75" i="14" s="1"/>
  <c r="M77" i="14" s="1"/>
  <c r="M78" i="14" s="1"/>
  <c r="M72" i="14" s="1"/>
  <c r="M13" i="28" s="1"/>
  <c r="L285" i="14"/>
  <c r="M285" i="14" s="1"/>
  <c r="M287" i="14" s="1"/>
  <c r="M288" i="14" s="1"/>
  <c r="M282" i="14" s="1"/>
  <c r="M41" i="28" s="1"/>
  <c r="L240" i="14"/>
  <c r="M240" i="14" s="1"/>
  <c r="M242" i="14" s="1"/>
  <c r="M243" i="14" s="1"/>
  <c r="M237" i="14" s="1"/>
  <c r="M35" i="28" s="1"/>
  <c r="L15" i="14"/>
  <c r="M15" i="14" s="1"/>
  <c r="M17" i="14" s="1"/>
  <c r="M18" i="14" s="1"/>
  <c r="M12" i="14" s="1"/>
  <c r="M5" i="28" s="1"/>
  <c r="L300" i="14"/>
  <c r="M300" i="14" s="1"/>
  <c r="M302" i="14" s="1"/>
  <c r="L105" i="14"/>
  <c r="M105" i="14" s="1"/>
  <c r="M107" i="14" s="1"/>
  <c r="L255" i="14"/>
  <c r="M255" i="14" s="1"/>
  <c r="M257" i="14" s="1"/>
  <c r="M258" i="14" s="1"/>
  <c r="M252" i="14" s="1"/>
  <c r="M37" i="28" s="1"/>
  <c r="L225" i="14"/>
  <c r="M225" i="14" s="1"/>
  <c r="M227" i="14" s="1"/>
  <c r="M228" i="14" s="1"/>
  <c r="M222" i="14" s="1"/>
  <c r="M33" i="28" s="1"/>
  <c r="L180" i="14"/>
  <c r="M180" i="14" s="1"/>
  <c r="M182" i="14" s="1"/>
  <c r="M183" i="14" s="1"/>
  <c r="M177" i="14" s="1"/>
  <c r="M27" i="28" s="1"/>
  <c r="L150" i="14"/>
  <c r="M150" i="14" s="1"/>
  <c r="M152" i="14" s="1"/>
  <c r="M153" i="14" s="1"/>
  <c r="M147" i="14" s="1"/>
  <c r="M23" i="28" s="1"/>
  <c r="L120" i="14"/>
  <c r="M120" i="14" s="1"/>
  <c r="M122" i="14" s="1"/>
  <c r="M123" i="14" s="1"/>
  <c r="M117" i="14" s="1"/>
  <c r="M19" i="28" s="1"/>
  <c r="L90" i="14"/>
  <c r="M90" i="14" s="1"/>
  <c r="M92" i="14" s="1"/>
  <c r="M93" i="14" s="1"/>
  <c r="M87" i="14" s="1"/>
  <c r="M15" i="28" s="1"/>
  <c r="L60" i="14"/>
  <c r="M60" i="14" s="1"/>
  <c r="L30" i="14"/>
  <c r="M30" i="14" s="1"/>
  <c r="M32" i="14" s="1"/>
  <c r="M33" i="14" s="1"/>
  <c r="M27" i="14" s="1"/>
  <c r="M7" i="28" s="1"/>
  <c r="L210" i="14"/>
  <c r="M210" i="14" s="1"/>
  <c r="M212" i="14" s="1"/>
  <c r="M213" i="14" s="1"/>
  <c r="M207" i="14" s="1"/>
  <c r="M31" i="28" s="1"/>
  <c r="J195" i="14"/>
  <c r="K195" i="14" s="1"/>
  <c r="J240" i="14"/>
  <c r="K240" i="14" s="1"/>
  <c r="K242" i="14" s="1"/>
  <c r="K243" i="14" s="1"/>
  <c r="K237" i="14" s="1"/>
  <c r="K35" i="28" s="1"/>
  <c r="J210" i="14"/>
  <c r="K210" i="14" s="1"/>
  <c r="K212" i="14" s="1"/>
  <c r="K213" i="14" s="1"/>
  <c r="K207" i="14" s="1"/>
  <c r="K31" i="28" s="1"/>
  <c r="J165" i="14"/>
  <c r="K165" i="14" s="1"/>
  <c r="K167" i="14" s="1"/>
  <c r="K168" i="14" s="1"/>
  <c r="K162" i="14" s="1"/>
  <c r="K25" i="28" s="1"/>
  <c r="J135" i="14"/>
  <c r="K135" i="14" s="1"/>
  <c r="K137" i="14" s="1"/>
  <c r="J105" i="14"/>
  <c r="K105" i="14" s="1"/>
  <c r="K107" i="14" s="1"/>
  <c r="K108" i="14" s="1"/>
  <c r="K102" i="14" s="1"/>
  <c r="K17" i="28" s="1"/>
  <c r="J75" i="14"/>
  <c r="K75" i="14" s="1"/>
  <c r="K77" i="14" s="1"/>
  <c r="K78" i="14" s="1"/>
  <c r="K72" i="14" s="1"/>
  <c r="K13" i="28" s="1"/>
  <c r="J45" i="14"/>
  <c r="K45" i="14" s="1"/>
  <c r="K47" i="14" s="1"/>
  <c r="K48" i="14" s="1"/>
  <c r="K42" i="14" s="1"/>
  <c r="K9" i="28" s="1"/>
  <c r="J15" i="14"/>
  <c r="K15" i="14" s="1"/>
  <c r="K17" i="14" s="1"/>
  <c r="K18" i="14" s="1"/>
  <c r="K12" i="14" s="1"/>
  <c r="K5" i="28" s="1"/>
  <c r="J90" i="14"/>
  <c r="K90" i="14" s="1"/>
  <c r="K92" i="14" s="1"/>
  <c r="K93" i="14" s="1"/>
  <c r="K87" i="14" s="1"/>
  <c r="K15" i="28" s="1"/>
  <c r="J120" i="14"/>
  <c r="K120" i="14" s="1"/>
  <c r="K122" i="14" s="1"/>
  <c r="K123" i="14" s="1"/>
  <c r="K117" i="14" s="1"/>
  <c r="K19" i="28" s="1"/>
  <c r="J255" i="14"/>
  <c r="K255" i="14" s="1"/>
  <c r="K257" i="14" s="1"/>
  <c r="K258" i="14" s="1"/>
  <c r="K252" i="14" s="1"/>
  <c r="K37" i="28" s="1"/>
  <c r="J30" i="14"/>
  <c r="K30" i="14" s="1"/>
  <c r="K32" i="14" s="1"/>
  <c r="K33" i="14" s="1"/>
  <c r="K27" i="14" s="1"/>
  <c r="K7" i="28" s="1"/>
  <c r="J150" i="14"/>
  <c r="K150" i="14" s="1"/>
  <c r="K152" i="14" s="1"/>
  <c r="J60" i="14"/>
  <c r="K60" i="14" s="1"/>
  <c r="K62" i="14" s="1"/>
  <c r="K63" i="14" s="1"/>
  <c r="K57" i="14" s="1"/>
  <c r="K11" i="28" s="1"/>
  <c r="J285" i="14"/>
  <c r="K285" i="14" s="1"/>
  <c r="K287" i="14" s="1"/>
  <c r="K288" i="14" s="1"/>
  <c r="K282" i="14" s="1"/>
  <c r="K41" i="28" s="1"/>
  <c r="J225" i="14"/>
  <c r="K225" i="14" s="1"/>
  <c r="K227" i="14" s="1"/>
  <c r="K228" i="14" s="1"/>
  <c r="K222" i="14" s="1"/>
  <c r="K33" i="28" s="1"/>
  <c r="J270" i="14"/>
  <c r="K270" i="14" s="1"/>
  <c r="K272" i="14" s="1"/>
  <c r="K273" i="14" s="1"/>
  <c r="K267" i="14" s="1"/>
  <c r="K39" i="28" s="1"/>
  <c r="J180" i="14"/>
  <c r="K180" i="14" s="1"/>
  <c r="K182" i="14" s="1"/>
  <c r="K183" i="14" s="1"/>
  <c r="K177" i="14" s="1"/>
  <c r="K27" i="28" s="1"/>
  <c r="J300" i="14"/>
  <c r="J8" i="24"/>
  <c r="J260" i="16"/>
  <c r="K260" i="16" s="1"/>
  <c r="J272" i="16"/>
  <c r="K272" i="16" s="1"/>
  <c r="L272" i="16"/>
  <c r="M272" i="16" s="1"/>
  <c r="M269" i="16" s="1"/>
  <c r="L260" i="16"/>
  <c r="M260" i="16" s="1"/>
  <c r="M257" i="16" s="1"/>
  <c r="J158" i="16"/>
  <c r="K158" i="16" s="1"/>
  <c r="J152" i="16"/>
  <c r="K152" i="16" s="1"/>
  <c r="J32" i="23"/>
  <c r="K32" i="23" s="1"/>
  <c r="J56" i="23"/>
  <c r="K56" i="23" s="1"/>
  <c r="J20" i="23"/>
  <c r="K20" i="23" s="1"/>
  <c r="J104" i="23"/>
  <c r="K104" i="23" s="1"/>
  <c r="J44" i="23"/>
  <c r="K44" i="23" s="1"/>
  <c r="J74" i="23"/>
  <c r="K74" i="23" s="1"/>
  <c r="J62" i="23"/>
  <c r="K62" i="23" s="1"/>
  <c r="J86" i="23"/>
  <c r="K86" i="23" s="1"/>
  <c r="J14" i="23"/>
  <c r="K14" i="23" s="1"/>
  <c r="J98" i="23"/>
  <c r="K98" i="23" s="1"/>
  <c r="J38" i="23"/>
  <c r="K38" i="23" s="1"/>
  <c r="J110" i="23"/>
  <c r="K110" i="23" s="1"/>
  <c r="J68" i="23"/>
  <c r="K68" i="23" s="1"/>
  <c r="J50" i="23"/>
  <c r="K50" i="23" s="1"/>
  <c r="J80" i="23"/>
  <c r="K80" i="23" s="1"/>
  <c r="J8" i="23"/>
  <c r="K8" i="23" s="1"/>
  <c r="J92" i="23"/>
  <c r="K92" i="23" s="1"/>
  <c r="J26" i="23"/>
  <c r="K26" i="23" s="1"/>
  <c r="L158" i="16"/>
  <c r="M158" i="16" s="1"/>
  <c r="M155" i="16" s="1"/>
  <c r="L152" i="16"/>
  <c r="M152" i="16" s="1"/>
  <c r="M149" i="16" s="1"/>
  <c r="L32" i="23"/>
  <c r="M32" i="23" s="1"/>
  <c r="L56" i="23"/>
  <c r="M56" i="23" s="1"/>
  <c r="L20" i="23"/>
  <c r="M20" i="23" s="1"/>
  <c r="L44" i="23"/>
  <c r="M44" i="23" s="1"/>
  <c r="L26" i="23"/>
  <c r="M26" i="23" s="1"/>
  <c r="L74" i="23"/>
  <c r="M74" i="23" s="1"/>
  <c r="L62" i="23"/>
  <c r="M62" i="23" s="1"/>
  <c r="L86" i="23"/>
  <c r="M86" i="23" s="1"/>
  <c r="L14" i="23"/>
  <c r="M14" i="23" s="1"/>
  <c r="L98" i="23"/>
  <c r="M98" i="23" s="1"/>
  <c r="L38" i="23"/>
  <c r="M38" i="23" s="1"/>
  <c r="L110" i="23"/>
  <c r="M110" i="23" s="1"/>
  <c r="L68" i="23"/>
  <c r="M68" i="23" s="1"/>
  <c r="L50" i="23"/>
  <c r="M50" i="23" s="1"/>
  <c r="L80" i="23"/>
  <c r="M80" i="23" s="1"/>
  <c r="L8" i="23"/>
  <c r="M8" i="23" s="1"/>
  <c r="L92" i="23"/>
  <c r="M92" i="23" s="1"/>
  <c r="L104" i="23"/>
  <c r="M104" i="23" s="1"/>
  <c r="I233" i="18"/>
  <c r="A113" i="18"/>
  <c r="K41" i="1"/>
  <c r="K36" i="1"/>
  <c r="K33" i="1"/>
  <c r="K58" i="1"/>
  <c r="K55" i="1"/>
  <c r="K52" i="1"/>
  <c r="K49" i="1"/>
  <c r="K47" i="1"/>
  <c r="K39" i="1"/>
  <c r="K61" i="1"/>
  <c r="K67" i="1"/>
  <c r="K65" i="1"/>
  <c r="K63" i="1"/>
  <c r="K44" i="1"/>
  <c r="K42" i="1"/>
  <c r="K37" i="1"/>
  <c r="K48" i="1"/>
  <c r="K40" i="1"/>
  <c r="K35" i="1"/>
  <c r="K7" i="18"/>
  <c r="K53" i="1"/>
  <c r="K64" i="1"/>
  <c r="K62" i="1"/>
  <c r="K59" i="1"/>
  <c r="K51" i="1"/>
  <c r="K38" i="1"/>
  <c r="K69" i="1"/>
  <c r="K43" i="1"/>
  <c r="K57" i="1"/>
  <c r="K66" i="1"/>
  <c r="L284" i="16"/>
  <c r="M284" i="16" s="1"/>
  <c r="M281" i="16" s="1"/>
  <c r="J38" i="14"/>
  <c r="K38" i="14" s="1"/>
  <c r="K40" i="14" s="1"/>
  <c r="K35" i="14" s="1"/>
  <c r="K8" i="28" s="1"/>
  <c r="J284" i="16"/>
  <c r="K284" i="16" s="1"/>
  <c r="J98" i="14"/>
  <c r="K98" i="14" s="1"/>
  <c r="K100" i="14" s="1"/>
  <c r="K95" i="14" s="1"/>
  <c r="K16" i="28" s="1"/>
  <c r="J68" i="14"/>
  <c r="K68" i="14" s="1"/>
  <c r="K70" i="14" s="1"/>
  <c r="K65" i="14" s="1"/>
  <c r="K12" i="28" s="1"/>
  <c r="J113" i="14"/>
  <c r="K113" i="14" s="1"/>
  <c r="K115" i="14" s="1"/>
  <c r="K110" i="14" s="1"/>
  <c r="K18" i="28" s="1"/>
  <c r="J8" i="14"/>
  <c r="K8" i="14" s="1"/>
  <c r="K10" i="14" s="1"/>
  <c r="K5" i="14" s="1"/>
  <c r="K4" i="28" s="1"/>
  <c r="J128" i="14"/>
  <c r="K128" i="14" s="1"/>
  <c r="K130" i="14" s="1"/>
  <c r="K125" i="14" s="1"/>
  <c r="K20" i="28" s="1"/>
  <c r="J173" i="14"/>
  <c r="K173" i="14" s="1"/>
  <c r="K175" i="14" s="1"/>
  <c r="K170" i="14" s="1"/>
  <c r="K26" i="28" s="1"/>
  <c r="J83" i="14"/>
  <c r="K83" i="14" s="1"/>
  <c r="J98" i="16"/>
  <c r="K98" i="16" s="1"/>
  <c r="J92" i="16"/>
  <c r="K92" i="16" s="1"/>
  <c r="J143" i="14"/>
  <c r="K143" i="14" s="1"/>
  <c r="K145" i="14" s="1"/>
  <c r="K140" i="14" s="1"/>
  <c r="K22" i="28" s="1"/>
  <c r="J23" i="14"/>
  <c r="K23" i="14" s="1"/>
  <c r="J188" i="14"/>
  <c r="K188" i="14" s="1"/>
  <c r="K190" i="14" s="1"/>
  <c r="K185" i="14" s="1"/>
  <c r="K28" i="28" s="1"/>
  <c r="J53" i="14"/>
  <c r="K53" i="14" s="1"/>
  <c r="J8" i="16"/>
  <c r="K8" i="16" s="1"/>
  <c r="K5" i="16" s="1"/>
  <c r="J158" i="14"/>
  <c r="K158" i="14" s="1"/>
  <c r="K160" i="14" s="1"/>
  <c r="K155" i="14" s="1"/>
  <c r="K24" i="28" s="1"/>
  <c r="J203" i="14"/>
  <c r="K203" i="14" s="1"/>
  <c r="K205" i="14" s="1"/>
  <c r="K200" i="14" s="1"/>
  <c r="K30" i="28" s="1"/>
  <c r="L92" i="16"/>
  <c r="M92" i="16" s="1"/>
  <c r="M89" i="16" s="1"/>
  <c r="L98" i="16"/>
  <c r="M98" i="16" s="1"/>
  <c r="M95" i="16" s="1"/>
  <c r="M83" i="16"/>
  <c r="M59" i="16"/>
  <c r="M35" i="16"/>
  <c r="M14" i="16"/>
  <c r="M11" i="16" s="1"/>
  <c r="M71" i="16"/>
  <c r="M47" i="16"/>
  <c r="M65" i="16"/>
  <c r="M77" i="16"/>
  <c r="M53" i="16"/>
  <c r="M29" i="16"/>
  <c r="L8" i="16"/>
  <c r="M8" i="16" s="1"/>
  <c r="M5" i="16" s="1"/>
  <c r="M23" i="16"/>
  <c r="M41" i="16"/>
  <c r="M17" i="16"/>
  <c r="L53" i="14"/>
  <c r="M53" i="14" s="1"/>
  <c r="L23" i="14"/>
  <c r="M23" i="14" s="1"/>
  <c r="L83" i="14"/>
  <c r="M83" i="14" s="1"/>
  <c r="L143" i="14"/>
  <c r="M143" i="14" s="1"/>
  <c r="L128" i="14"/>
  <c r="M128" i="14" s="1"/>
  <c r="M218" i="14"/>
  <c r="L113" i="14"/>
  <c r="M113" i="14" s="1"/>
  <c r="L98" i="14"/>
  <c r="M98" i="14" s="1"/>
  <c r="L173" i="14"/>
  <c r="M173" i="14" s="1"/>
  <c r="L8" i="14"/>
  <c r="M8" i="14" s="1"/>
  <c r="L203" i="14"/>
  <c r="M203" i="14" s="1"/>
  <c r="L188" i="14"/>
  <c r="M188" i="14" s="1"/>
  <c r="M190" i="14" s="1"/>
  <c r="M185" i="14" s="1"/>
  <c r="M28" i="28" s="1"/>
  <c r="L68" i="14"/>
  <c r="M68" i="14" s="1"/>
  <c r="L38" i="14"/>
  <c r="M38" i="14" s="1"/>
  <c r="L158" i="14"/>
  <c r="M158" i="14" s="1"/>
  <c r="L235" i="18"/>
  <c r="M303" i="14" l="1"/>
  <c r="M297" i="14" s="1"/>
  <c r="M43" i="28" s="1"/>
  <c r="K138" i="14"/>
  <c r="K132" i="14" s="1"/>
  <c r="K300" i="14"/>
  <c r="K302" i="14" s="1"/>
  <c r="K303" i="14" s="1"/>
  <c r="K297" i="14" s="1"/>
  <c r="K43" i="28" s="1"/>
  <c r="M9" i="28"/>
  <c r="H195" i="14"/>
  <c r="I195" i="14" s="1"/>
  <c r="I197" i="14" s="1"/>
  <c r="I198" i="14" s="1"/>
  <c r="I192" i="14" s="1"/>
  <c r="I29" i="28" s="1"/>
  <c r="H270" i="14"/>
  <c r="H90" i="14"/>
  <c r="H240" i="14"/>
  <c r="H210" i="14"/>
  <c r="H165" i="14"/>
  <c r="H135" i="14"/>
  <c r="H105" i="14"/>
  <c r="H75" i="14"/>
  <c r="H45" i="14"/>
  <c r="H15" i="14"/>
  <c r="H60" i="14"/>
  <c r="H180" i="14"/>
  <c r="H225" i="14"/>
  <c r="H285" i="14"/>
  <c r="H255" i="14"/>
  <c r="H120" i="14"/>
  <c r="H30" i="14"/>
  <c r="H150" i="14"/>
  <c r="H300" i="14"/>
  <c r="I300" i="14" s="1"/>
  <c r="M108" i="14"/>
  <c r="M102" i="14" s="1"/>
  <c r="M17" i="28" s="1"/>
  <c r="K153" i="14"/>
  <c r="K147" i="14" s="1"/>
  <c r="K23" i="28" s="1"/>
  <c r="M62" i="14"/>
  <c r="M63" i="14" s="1"/>
  <c r="M57" i="14" s="1"/>
  <c r="M11" i="28" s="1"/>
  <c r="M220" i="14"/>
  <c r="M215" i="14" s="1"/>
  <c r="M32" i="28" s="1"/>
  <c r="M205" i="14"/>
  <c r="M200" i="14" s="1"/>
  <c r="M30" i="28" s="1"/>
  <c r="M175" i="14"/>
  <c r="M170" i="14" s="1"/>
  <c r="M26" i="28" s="1"/>
  <c r="M160" i="14"/>
  <c r="M155" i="14" s="1"/>
  <c r="M24" i="28" s="1"/>
  <c r="M145" i="14"/>
  <c r="M140" i="14" s="1"/>
  <c r="M22" i="28" s="1"/>
  <c r="M130" i="14"/>
  <c r="M125" i="14" s="1"/>
  <c r="M20" i="28" s="1"/>
  <c r="M115" i="14"/>
  <c r="M110" i="14" s="1"/>
  <c r="M18" i="28" s="1"/>
  <c r="M100" i="14"/>
  <c r="M95" i="14" s="1"/>
  <c r="M16" i="28" s="1"/>
  <c r="M85" i="14"/>
  <c r="M80" i="14" s="1"/>
  <c r="M14" i="28" s="1"/>
  <c r="K85" i="14"/>
  <c r="K80" i="14" s="1"/>
  <c r="K14" i="28" s="1"/>
  <c r="M70" i="14"/>
  <c r="M65" i="14" s="1"/>
  <c r="M12" i="28" s="1"/>
  <c r="M55" i="14"/>
  <c r="M50" i="14" s="1"/>
  <c r="M10" i="28" s="1"/>
  <c r="K55" i="14"/>
  <c r="K50" i="14" s="1"/>
  <c r="K10" i="28" s="1"/>
  <c r="M40" i="14"/>
  <c r="M35" i="14" s="1"/>
  <c r="M8" i="28" s="1"/>
  <c r="M25" i="14"/>
  <c r="M20" i="14" s="1"/>
  <c r="M6" i="28" s="1"/>
  <c r="K25" i="14"/>
  <c r="K20" i="14" s="1"/>
  <c r="K6" i="28" s="1"/>
  <c r="M10" i="14"/>
  <c r="M5" i="14" s="1"/>
  <c r="M4" i="28" s="1"/>
  <c r="F8" i="24"/>
  <c r="K8" i="24"/>
  <c r="K10" i="24" s="1"/>
  <c r="K197" i="14"/>
  <c r="G195" i="14"/>
  <c r="K8" i="18"/>
  <c r="K111" i="23"/>
  <c r="K107" i="23" s="1"/>
  <c r="J222" i="23" s="1"/>
  <c r="K222" i="23" s="1"/>
  <c r="K221" i="23" s="1"/>
  <c r="K171" i="1" s="1"/>
  <c r="M111" i="23"/>
  <c r="M107" i="23" s="1"/>
  <c r="M105" i="23"/>
  <c r="M101" i="23" s="1"/>
  <c r="K105" i="23"/>
  <c r="K101" i="23" s="1"/>
  <c r="J218" i="23" s="1"/>
  <c r="K218" i="23" s="1"/>
  <c r="K217" i="23" s="1"/>
  <c r="K170" i="1" s="1"/>
  <c r="K99" i="23"/>
  <c r="K95" i="23" s="1"/>
  <c r="J214" i="23" s="1"/>
  <c r="K214" i="23" s="1"/>
  <c r="K213" i="23" s="1"/>
  <c r="K169" i="1" s="1"/>
  <c r="M99" i="23"/>
  <c r="M95" i="23" s="1"/>
  <c r="M93" i="23"/>
  <c r="M89" i="23" s="1"/>
  <c r="K93" i="23"/>
  <c r="K89" i="23" s="1"/>
  <c r="J210" i="23" s="1"/>
  <c r="K210" i="23" s="1"/>
  <c r="K209" i="23" s="1"/>
  <c r="K168" i="1" s="1"/>
  <c r="K87" i="23"/>
  <c r="K83" i="23" s="1"/>
  <c r="J206" i="23" s="1"/>
  <c r="K206" i="23" s="1"/>
  <c r="K205" i="23" s="1"/>
  <c r="K167" i="1" s="1"/>
  <c r="M87" i="23"/>
  <c r="M83" i="23" s="1"/>
  <c r="M81" i="23"/>
  <c r="M77" i="23" s="1"/>
  <c r="L202" i="23" s="1"/>
  <c r="K81" i="23"/>
  <c r="K77" i="23" s="1"/>
  <c r="J202" i="23" s="1"/>
  <c r="K202" i="23" s="1"/>
  <c r="K201" i="23" s="1"/>
  <c r="K166" i="1" s="1"/>
  <c r="M75" i="23"/>
  <c r="M71" i="23" s="1"/>
  <c r="K75" i="23"/>
  <c r="K71" i="23" s="1"/>
  <c r="K69" i="23"/>
  <c r="K65" i="23" s="1"/>
  <c r="J194" i="23" s="1"/>
  <c r="K194" i="23" s="1"/>
  <c r="K193" i="23" s="1"/>
  <c r="K164" i="1" s="1"/>
  <c r="M69" i="23"/>
  <c r="M65" i="23" s="1"/>
  <c r="K63" i="23"/>
  <c r="K59" i="23" s="1"/>
  <c r="J190" i="23" s="1"/>
  <c r="K190" i="23" s="1"/>
  <c r="K189" i="23" s="1"/>
  <c r="K163" i="1" s="1"/>
  <c r="M63" i="23"/>
  <c r="M59" i="23" s="1"/>
  <c r="K57" i="23"/>
  <c r="K53" i="23" s="1"/>
  <c r="J186" i="23" s="1"/>
  <c r="K186" i="23" s="1"/>
  <c r="K185" i="23" s="1"/>
  <c r="K162" i="1" s="1"/>
  <c r="M57" i="23"/>
  <c r="M53" i="23" s="1"/>
  <c r="K51" i="23"/>
  <c r="K47" i="23" s="1"/>
  <c r="M51" i="23"/>
  <c r="M47" i="23" s="1"/>
  <c r="M11" i="1" s="1"/>
  <c r="M45" i="23"/>
  <c r="M41" i="23" s="1"/>
  <c r="K45" i="23"/>
  <c r="K41" i="23" s="1"/>
  <c r="K39" i="23"/>
  <c r="K35" i="23" s="1"/>
  <c r="M39" i="23"/>
  <c r="M35" i="23" s="1"/>
  <c r="M9" i="1" s="1"/>
  <c r="K33" i="23"/>
  <c r="K29" i="23" s="1"/>
  <c r="J178" i="23" s="1"/>
  <c r="K178" i="23" s="1"/>
  <c r="K177" i="23" s="1"/>
  <c r="K160" i="1" s="1"/>
  <c r="M33" i="23"/>
  <c r="M29" i="23" s="1"/>
  <c r="M27" i="23"/>
  <c r="M23" i="23" s="1"/>
  <c r="M7" i="1" s="1"/>
  <c r="K27" i="23"/>
  <c r="K23" i="23" s="1"/>
  <c r="M21" i="23"/>
  <c r="M17" i="23" s="1"/>
  <c r="K21" i="23"/>
  <c r="K17" i="23" s="1"/>
  <c r="J174" i="23" s="1"/>
  <c r="K174" i="23" s="1"/>
  <c r="K173" i="23" s="1"/>
  <c r="K159" i="1" s="1"/>
  <c r="K15" i="23"/>
  <c r="K11" i="23" s="1"/>
  <c r="K5" i="1" s="1"/>
  <c r="M15" i="23"/>
  <c r="M11" i="23" s="1"/>
  <c r="M5" i="1" s="1"/>
  <c r="M9" i="23"/>
  <c r="M5" i="23" s="1"/>
  <c r="M4" i="1" s="1"/>
  <c r="K9" i="23"/>
  <c r="K5" i="23" s="1"/>
  <c r="K4" i="1" s="1"/>
  <c r="J290" i="16"/>
  <c r="J278" i="16"/>
  <c r="H272" i="16"/>
  <c r="H260" i="16"/>
  <c r="J332" i="16"/>
  <c r="J320" i="16"/>
  <c r="J344" i="16"/>
  <c r="J350" i="16"/>
  <c r="K350" i="16" s="1"/>
  <c r="J338" i="16"/>
  <c r="J266" i="16"/>
  <c r="J212" i="16"/>
  <c r="J242" i="16"/>
  <c r="J248" i="16"/>
  <c r="J254" i="16"/>
  <c r="J218" i="16"/>
  <c r="J224" i="16"/>
  <c r="J230" i="16"/>
  <c r="M273" i="16"/>
  <c r="G273" i="16" s="1"/>
  <c r="K269" i="16"/>
  <c r="M261" i="16"/>
  <c r="G261" i="16" s="1"/>
  <c r="K257" i="16"/>
  <c r="J146" i="16"/>
  <c r="J140" i="16"/>
  <c r="H158" i="16"/>
  <c r="H152" i="16"/>
  <c r="H20" i="23"/>
  <c r="H32" i="23"/>
  <c r="H56" i="23"/>
  <c r="H92" i="23"/>
  <c r="H26" i="23"/>
  <c r="H104" i="23"/>
  <c r="H44" i="23"/>
  <c r="H74" i="23"/>
  <c r="H62" i="23"/>
  <c r="H86" i="23"/>
  <c r="H14" i="23"/>
  <c r="H98" i="23"/>
  <c r="H38" i="23"/>
  <c r="H110" i="23"/>
  <c r="H68" i="23"/>
  <c r="H50" i="23"/>
  <c r="H80" i="23"/>
  <c r="H8" i="23"/>
  <c r="J314" i="16"/>
  <c r="K314" i="16" s="1"/>
  <c r="J188" i="16"/>
  <c r="J128" i="16"/>
  <c r="J116" i="16"/>
  <c r="J122" i="16"/>
  <c r="J170" i="16"/>
  <c r="J134" i="16"/>
  <c r="J182" i="16"/>
  <c r="J164" i="16"/>
  <c r="J146" i="23"/>
  <c r="J116" i="23"/>
  <c r="J158" i="23"/>
  <c r="J128" i="23"/>
  <c r="J170" i="23"/>
  <c r="J140" i="23"/>
  <c r="J152" i="23"/>
  <c r="J122" i="23"/>
  <c r="J164" i="23"/>
  <c r="J134" i="23"/>
  <c r="J176" i="16"/>
  <c r="J302" i="16"/>
  <c r="I70" i="1"/>
  <c r="J194" i="16"/>
  <c r="J200" i="16"/>
  <c r="J206" i="16"/>
  <c r="M235" i="18"/>
  <c r="G235" i="18" s="1"/>
  <c r="F235" i="18"/>
  <c r="K149" i="16"/>
  <c r="M153" i="16"/>
  <c r="G153" i="16" s="1"/>
  <c r="L234" i="18"/>
  <c r="M159" i="16"/>
  <c r="G159" i="16" s="1"/>
  <c r="K155" i="16"/>
  <c r="A119" i="18"/>
  <c r="K45" i="1"/>
  <c r="K12" i="19"/>
  <c r="K11" i="19" s="1"/>
  <c r="K75" i="1" s="1"/>
  <c r="K9" i="19"/>
  <c r="K8" i="19" s="1"/>
  <c r="K74" i="1" s="1"/>
  <c r="K18" i="19"/>
  <c r="K17" i="19" s="1"/>
  <c r="K77" i="1" s="1"/>
  <c r="K15" i="19"/>
  <c r="K14" i="19" s="1"/>
  <c r="K76" i="1" s="1"/>
  <c r="K6" i="19"/>
  <c r="K5" i="19" s="1"/>
  <c r="K73" i="1" s="1"/>
  <c r="J326" i="16"/>
  <c r="K326" i="16" s="1"/>
  <c r="J356" i="16"/>
  <c r="H284" i="16"/>
  <c r="I284" i="16" s="1"/>
  <c r="J296" i="16"/>
  <c r="J308" i="16"/>
  <c r="M9" i="16"/>
  <c r="G9" i="16" s="1"/>
  <c r="K281" i="16"/>
  <c r="M285" i="16"/>
  <c r="G285" i="16" s="1"/>
  <c r="J80" i="16"/>
  <c r="J86" i="16"/>
  <c r="J56" i="16"/>
  <c r="J62" i="16"/>
  <c r="J26" i="16"/>
  <c r="J14" i="16"/>
  <c r="K14" i="16" s="1"/>
  <c r="J32" i="16"/>
  <c r="J236" i="16"/>
  <c r="J50" i="16"/>
  <c r="J68" i="16"/>
  <c r="J44" i="16"/>
  <c r="J38" i="16"/>
  <c r="J74" i="16"/>
  <c r="J20" i="16"/>
  <c r="J278" i="14"/>
  <c r="J233" i="14"/>
  <c r="J218" i="14"/>
  <c r="K218" i="14" s="1"/>
  <c r="J263" i="14"/>
  <c r="J104" i="16"/>
  <c r="J110" i="16"/>
  <c r="J293" i="14"/>
  <c r="J248" i="14"/>
  <c r="H98" i="16"/>
  <c r="H92" i="16"/>
  <c r="H8" i="16"/>
  <c r="H38" i="14"/>
  <c r="I38" i="14" s="1"/>
  <c r="H143" i="14"/>
  <c r="I143" i="14" s="1"/>
  <c r="H68" i="14"/>
  <c r="I68" i="14" s="1"/>
  <c r="H83" i="14"/>
  <c r="H158" i="14"/>
  <c r="I158" i="14" s="1"/>
  <c r="H98" i="14"/>
  <c r="I98" i="14" s="1"/>
  <c r="H128" i="14"/>
  <c r="I128" i="14" s="1"/>
  <c r="H53" i="14"/>
  <c r="H173" i="14"/>
  <c r="I173" i="14" s="1"/>
  <c r="H113" i="14"/>
  <c r="I113" i="14" s="1"/>
  <c r="H8" i="14"/>
  <c r="I8" i="14" s="1"/>
  <c r="H23" i="14"/>
  <c r="H188" i="14"/>
  <c r="I188" i="14" s="1"/>
  <c r="I190" i="14" s="1"/>
  <c r="I185" i="14" s="1"/>
  <c r="I28" i="28" s="1"/>
  <c r="G28" i="28" s="1"/>
  <c r="H203" i="14"/>
  <c r="I203" i="14" s="1"/>
  <c r="M99" i="16"/>
  <c r="G99" i="16" s="1"/>
  <c r="K95" i="16"/>
  <c r="K89" i="16"/>
  <c r="M93" i="16"/>
  <c r="G93" i="16" s="1"/>
  <c r="I285" i="14" l="1"/>
  <c r="F285" i="14"/>
  <c r="I302" i="14"/>
  <c r="G300" i="14"/>
  <c r="F195" i="14"/>
  <c r="F180" i="14"/>
  <c r="I180" i="14"/>
  <c r="I240" i="14"/>
  <c r="F240" i="14"/>
  <c r="I60" i="14"/>
  <c r="F60" i="14"/>
  <c r="F120" i="14"/>
  <c r="I120" i="14"/>
  <c r="F45" i="14"/>
  <c r="I45" i="14"/>
  <c r="F300" i="14"/>
  <c r="I255" i="14"/>
  <c r="F255" i="14"/>
  <c r="I75" i="14"/>
  <c r="F75" i="14"/>
  <c r="F150" i="14"/>
  <c r="I150" i="14"/>
  <c r="I15" i="14"/>
  <c r="F15" i="14"/>
  <c r="I105" i="14"/>
  <c r="F105" i="14"/>
  <c r="K21" i="28"/>
  <c r="I90" i="14"/>
  <c r="F90" i="14"/>
  <c r="I225" i="14"/>
  <c r="F225" i="14"/>
  <c r="I135" i="14"/>
  <c r="F135" i="14"/>
  <c r="I270" i="14"/>
  <c r="F270" i="14"/>
  <c r="I165" i="14"/>
  <c r="F165" i="14"/>
  <c r="I30" i="14"/>
  <c r="F30" i="14"/>
  <c r="I210" i="14"/>
  <c r="F210" i="14"/>
  <c r="G10" i="24"/>
  <c r="K5" i="24"/>
  <c r="G218" i="14"/>
  <c r="K220" i="14"/>
  <c r="I205" i="14"/>
  <c r="I175" i="14"/>
  <c r="I160" i="14"/>
  <c r="I145" i="14"/>
  <c r="I130" i="14"/>
  <c r="I115" i="14"/>
  <c r="I100" i="14"/>
  <c r="I70" i="14"/>
  <c r="I40" i="14"/>
  <c r="I10" i="14"/>
  <c r="M12" i="1"/>
  <c r="L186" i="23"/>
  <c r="M186" i="23" s="1"/>
  <c r="M185" i="23" s="1"/>
  <c r="M162" i="1" s="1"/>
  <c r="M6" i="1"/>
  <c r="L174" i="23"/>
  <c r="M174" i="23" s="1"/>
  <c r="M173" i="23" s="1"/>
  <c r="M159" i="1" s="1"/>
  <c r="M18" i="1"/>
  <c r="L210" i="23"/>
  <c r="M210" i="23" s="1"/>
  <c r="M209" i="23" s="1"/>
  <c r="M168" i="1" s="1"/>
  <c r="M13" i="1"/>
  <c r="L190" i="23"/>
  <c r="M190" i="23" s="1"/>
  <c r="M189" i="23" s="1"/>
  <c r="M163" i="1" s="1"/>
  <c r="M19" i="1"/>
  <c r="L214" i="23"/>
  <c r="M214" i="23" s="1"/>
  <c r="M213" i="23" s="1"/>
  <c r="M169" i="1" s="1"/>
  <c r="M8" i="1"/>
  <c r="L178" i="23"/>
  <c r="M178" i="23" s="1"/>
  <c r="M177" i="23" s="1"/>
  <c r="M160" i="1" s="1"/>
  <c r="M14" i="1"/>
  <c r="L194" i="23"/>
  <c r="M194" i="23" s="1"/>
  <c r="M193" i="23" s="1"/>
  <c r="M164" i="1" s="1"/>
  <c r="M20" i="1"/>
  <c r="L218" i="23"/>
  <c r="M218" i="23" s="1"/>
  <c r="M217" i="23" s="1"/>
  <c r="M170" i="1" s="1"/>
  <c r="M21" i="1"/>
  <c r="L222" i="23"/>
  <c r="M222" i="23" s="1"/>
  <c r="M221" i="23" s="1"/>
  <c r="M171" i="1" s="1"/>
  <c r="G8" i="24"/>
  <c r="K10" i="1"/>
  <c r="J182" i="23"/>
  <c r="K182" i="23" s="1"/>
  <c r="K181" i="23" s="1"/>
  <c r="K161" i="1" s="1"/>
  <c r="M10" i="1"/>
  <c r="L182" i="23"/>
  <c r="M182" i="23" s="1"/>
  <c r="M181" i="23" s="1"/>
  <c r="M161" i="1" s="1"/>
  <c r="M16" i="1"/>
  <c r="M202" i="23"/>
  <c r="M201" i="23" s="1"/>
  <c r="M166" i="1" s="1"/>
  <c r="M17" i="1"/>
  <c r="L206" i="23"/>
  <c r="M206" i="23" s="1"/>
  <c r="M205" i="23" s="1"/>
  <c r="M167" i="1" s="1"/>
  <c r="M15" i="1"/>
  <c r="L198" i="23"/>
  <c r="M198" i="23" s="1"/>
  <c r="M197" i="23" s="1"/>
  <c r="M165" i="1" s="1"/>
  <c r="K15" i="1"/>
  <c r="J198" i="23"/>
  <c r="K198" i="23" s="1"/>
  <c r="K197" i="23" s="1"/>
  <c r="K165" i="1" s="1"/>
  <c r="K198" i="14"/>
  <c r="G197" i="14"/>
  <c r="K5" i="18"/>
  <c r="K32" i="1" s="1"/>
  <c r="K21" i="1"/>
  <c r="K20" i="1"/>
  <c r="K19" i="1"/>
  <c r="K18" i="1"/>
  <c r="K17" i="1"/>
  <c r="K16" i="1"/>
  <c r="K14" i="1"/>
  <c r="K13" i="1"/>
  <c r="K12" i="1"/>
  <c r="K11" i="1"/>
  <c r="K9" i="1"/>
  <c r="K8" i="1"/>
  <c r="K7" i="1"/>
  <c r="K6" i="1"/>
  <c r="I63" i="1"/>
  <c r="I52" i="1"/>
  <c r="I66" i="1"/>
  <c r="I48" i="1"/>
  <c r="I38" i="1"/>
  <c r="I62" i="1"/>
  <c r="I51" i="1"/>
  <c r="I44" i="1"/>
  <c r="I65" i="1"/>
  <c r="I58" i="1"/>
  <c r="I43" i="1"/>
  <c r="I33" i="1"/>
  <c r="I61" i="1"/>
  <c r="I36" i="1"/>
  <c r="I57" i="1"/>
  <c r="I53" i="1"/>
  <c r="I67" i="1"/>
  <c r="I49" i="1"/>
  <c r="I42" i="1"/>
  <c r="I59" i="1"/>
  <c r="I69" i="1"/>
  <c r="I55" i="1"/>
  <c r="I41" i="1"/>
  <c r="I47" i="1"/>
  <c r="I40" i="1"/>
  <c r="I64" i="1"/>
  <c r="I39" i="1"/>
  <c r="I7" i="18"/>
  <c r="F350" i="16"/>
  <c r="K242" i="16"/>
  <c r="F242" i="16"/>
  <c r="K266" i="16"/>
  <c r="F266" i="16"/>
  <c r="K338" i="16"/>
  <c r="F338" i="16"/>
  <c r="K344" i="16"/>
  <c r="F344" i="16"/>
  <c r="K320" i="16"/>
  <c r="F320" i="16"/>
  <c r="K230" i="16"/>
  <c r="F230" i="16"/>
  <c r="K332" i="16"/>
  <c r="F332" i="16"/>
  <c r="K224" i="16"/>
  <c r="F224" i="16"/>
  <c r="I260" i="16"/>
  <c r="F260" i="16"/>
  <c r="K218" i="16"/>
  <c r="F218" i="16"/>
  <c r="I272" i="16"/>
  <c r="F272" i="16"/>
  <c r="K212" i="16"/>
  <c r="F212" i="16"/>
  <c r="K254" i="16"/>
  <c r="F254" i="16"/>
  <c r="K278" i="16"/>
  <c r="F278" i="16"/>
  <c r="K248" i="16"/>
  <c r="F248" i="16"/>
  <c r="K290" i="16"/>
  <c r="F290" i="16"/>
  <c r="F326" i="16"/>
  <c r="F314" i="16"/>
  <c r="K116" i="23"/>
  <c r="K117" i="23" s="1"/>
  <c r="F116" i="23"/>
  <c r="F8" i="23"/>
  <c r="I8" i="23"/>
  <c r="I9" i="23" s="1"/>
  <c r="I104" i="23"/>
  <c r="I105" i="23" s="1"/>
  <c r="F104" i="23"/>
  <c r="K176" i="16"/>
  <c r="F176" i="16"/>
  <c r="K182" i="16"/>
  <c r="F182" i="16"/>
  <c r="I68" i="23"/>
  <c r="I69" i="23" s="1"/>
  <c r="F68" i="23"/>
  <c r="I56" i="23"/>
  <c r="I57" i="23" s="1"/>
  <c r="F56" i="23"/>
  <c r="K134" i="23"/>
  <c r="K135" i="23" s="1"/>
  <c r="F134" i="23"/>
  <c r="I32" i="23"/>
  <c r="I33" i="23" s="1"/>
  <c r="F32" i="23"/>
  <c r="K164" i="16"/>
  <c r="F164" i="16"/>
  <c r="K164" i="23"/>
  <c r="K165" i="23" s="1"/>
  <c r="F164" i="23"/>
  <c r="I92" i="23"/>
  <c r="I93" i="23" s="1"/>
  <c r="F92" i="23"/>
  <c r="K302" i="16"/>
  <c r="F302" i="16"/>
  <c r="I110" i="23"/>
  <c r="I111" i="23" s="1"/>
  <c r="F110" i="23"/>
  <c r="M351" i="16"/>
  <c r="G351" i="16" s="1"/>
  <c r="K347" i="16"/>
  <c r="G350" i="16"/>
  <c r="K122" i="23"/>
  <c r="K123" i="23" s="1"/>
  <c r="F122" i="23"/>
  <c r="I152" i="16"/>
  <c r="F152" i="16"/>
  <c r="M234" i="18"/>
  <c r="F234" i="18"/>
  <c r="K194" i="16"/>
  <c r="F194" i="16"/>
  <c r="K152" i="23"/>
  <c r="K153" i="23" s="1"/>
  <c r="F152" i="23"/>
  <c r="K116" i="16"/>
  <c r="F116" i="16"/>
  <c r="I14" i="23"/>
  <c r="I15" i="23" s="1"/>
  <c r="F14" i="23"/>
  <c r="I158" i="16"/>
  <c r="F158" i="16"/>
  <c r="I50" i="23"/>
  <c r="I51" i="23" s="1"/>
  <c r="F50" i="23"/>
  <c r="K206" i="16"/>
  <c r="F206" i="16"/>
  <c r="I20" i="23"/>
  <c r="I21" i="23" s="1"/>
  <c r="F20" i="23"/>
  <c r="K200" i="16"/>
  <c r="F200" i="16"/>
  <c r="K122" i="16"/>
  <c r="F122" i="16"/>
  <c r="I98" i="23"/>
  <c r="I99" i="23" s="1"/>
  <c r="F98" i="23"/>
  <c r="K140" i="23"/>
  <c r="K141" i="23" s="1"/>
  <c r="F140" i="23"/>
  <c r="K128" i="16"/>
  <c r="F128" i="16"/>
  <c r="I86" i="23"/>
  <c r="I87" i="23" s="1"/>
  <c r="F86" i="23"/>
  <c r="K146" i="23"/>
  <c r="K147" i="23" s="1"/>
  <c r="F146" i="23"/>
  <c r="K170" i="16"/>
  <c r="F170" i="16"/>
  <c r="K170" i="23"/>
  <c r="K171" i="23" s="1"/>
  <c r="F170" i="23"/>
  <c r="K188" i="16"/>
  <c r="F188" i="16"/>
  <c r="F62" i="23"/>
  <c r="I62" i="23"/>
  <c r="I63" i="23" s="1"/>
  <c r="K140" i="16"/>
  <c r="F140" i="16"/>
  <c r="I80" i="23"/>
  <c r="I81" i="23" s="1"/>
  <c r="F80" i="23"/>
  <c r="K134" i="16"/>
  <c r="F134" i="16"/>
  <c r="I38" i="23"/>
  <c r="I39" i="23" s="1"/>
  <c r="F38" i="23"/>
  <c r="K128" i="23"/>
  <c r="K129" i="23" s="1"/>
  <c r="F128" i="23"/>
  <c r="I74" i="23"/>
  <c r="I75" i="23" s="1"/>
  <c r="F74" i="23"/>
  <c r="K146" i="16"/>
  <c r="F146" i="16"/>
  <c r="F26" i="23"/>
  <c r="I26" i="23"/>
  <c r="I27" i="23" s="1"/>
  <c r="K158" i="23"/>
  <c r="K159" i="23" s="1"/>
  <c r="F158" i="23"/>
  <c r="I44" i="23"/>
  <c r="I45" i="23" s="1"/>
  <c r="F44" i="23"/>
  <c r="A125" i="18"/>
  <c r="I35" i="1"/>
  <c r="I37" i="1"/>
  <c r="I45" i="1"/>
  <c r="K311" i="16"/>
  <c r="M315" i="16"/>
  <c r="G315" i="16" s="1"/>
  <c r="G314" i="16"/>
  <c r="F113" i="14"/>
  <c r="F356" i="16"/>
  <c r="K356" i="16"/>
  <c r="F284" i="16"/>
  <c r="K323" i="16"/>
  <c r="M327" i="16"/>
  <c r="G327" i="16" s="1"/>
  <c r="G326" i="16"/>
  <c r="F218" i="14"/>
  <c r="G68" i="14"/>
  <c r="K308" i="16"/>
  <c r="F308" i="16"/>
  <c r="K296" i="16"/>
  <c r="F296" i="16"/>
  <c r="G203" i="14"/>
  <c r="G143" i="14"/>
  <c r="G38" i="14"/>
  <c r="G284" i="16"/>
  <c r="I281" i="16"/>
  <c r="F143" i="14"/>
  <c r="F158" i="14"/>
  <c r="K50" i="16"/>
  <c r="F50" i="16"/>
  <c r="G128" i="14"/>
  <c r="K32" i="16"/>
  <c r="F32" i="16"/>
  <c r="K293" i="14"/>
  <c r="K295" i="14" s="1"/>
  <c r="F293" i="14"/>
  <c r="K233" i="14"/>
  <c r="K235" i="14" s="1"/>
  <c r="F233" i="14"/>
  <c r="M15" i="16"/>
  <c r="G15" i="16" s="1"/>
  <c r="K11" i="16"/>
  <c r="F26" i="16"/>
  <c r="K26" i="16"/>
  <c r="G98" i="14"/>
  <c r="F128" i="14"/>
  <c r="K110" i="16"/>
  <c r="F110" i="16"/>
  <c r="K278" i="14"/>
  <c r="K280" i="14" s="1"/>
  <c r="F278" i="14"/>
  <c r="K62" i="16"/>
  <c r="F62" i="16"/>
  <c r="K236" i="16"/>
  <c r="F236" i="16"/>
  <c r="K104" i="16"/>
  <c r="F104" i="16"/>
  <c r="K20" i="16"/>
  <c r="F20" i="16"/>
  <c r="K56" i="16"/>
  <c r="F56" i="16"/>
  <c r="K263" i="14"/>
  <c r="K265" i="14" s="1"/>
  <c r="F263" i="14"/>
  <c r="K74" i="16"/>
  <c r="F74" i="16"/>
  <c r="K86" i="16"/>
  <c r="F86" i="16"/>
  <c r="G158" i="14"/>
  <c r="K38" i="16"/>
  <c r="F38" i="16"/>
  <c r="K80" i="16"/>
  <c r="F80" i="16"/>
  <c r="F248" i="14"/>
  <c r="K248" i="14"/>
  <c r="K250" i="14" s="1"/>
  <c r="G188" i="14"/>
  <c r="I92" i="16"/>
  <c r="F92" i="16"/>
  <c r="K44" i="16"/>
  <c r="F44" i="16"/>
  <c r="I98" i="16"/>
  <c r="F98" i="16"/>
  <c r="F68" i="16"/>
  <c r="K68" i="16"/>
  <c r="G8" i="14"/>
  <c r="G113" i="14"/>
  <c r="F68" i="14"/>
  <c r="F203" i="14"/>
  <c r="F98" i="14"/>
  <c r="G173" i="14"/>
  <c r="F38" i="14"/>
  <c r="F8" i="14"/>
  <c r="I8" i="16"/>
  <c r="F8" i="16"/>
  <c r="F173" i="14"/>
  <c r="I23" i="14"/>
  <c r="I25" i="14" s="1"/>
  <c r="F23" i="14"/>
  <c r="I53" i="14"/>
  <c r="I55" i="14" s="1"/>
  <c r="F53" i="14"/>
  <c r="I83" i="14"/>
  <c r="I85" i="14" s="1"/>
  <c r="F83" i="14"/>
  <c r="F14" i="16"/>
  <c r="I14" i="16"/>
  <c r="F188" i="14"/>
  <c r="G210" i="14" l="1"/>
  <c r="I212" i="14"/>
  <c r="G105" i="14"/>
  <c r="I107" i="14"/>
  <c r="I62" i="14"/>
  <c r="G60" i="14"/>
  <c r="G100" i="14"/>
  <c r="I95" i="14"/>
  <c r="G30" i="14"/>
  <c r="I32" i="14"/>
  <c r="G240" i="14"/>
  <c r="I242" i="14"/>
  <c r="G145" i="14"/>
  <c r="I140" i="14"/>
  <c r="G15" i="14"/>
  <c r="I17" i="14"/>
  <c r="G180" i="14"/>
  <c r="I182" i="14"/>
  <c r="I92" i="14"/>
  <c r="G90" i="14"/>
  <c r="G55" i="14"/>
  <c r="I50" i="14"/>
  <c r="I10" i="28" s="1"/>
  <c r="G10" i="28" s="1"/>
  <c r="G115" i="14"/>
  <c r="I110" i="14"/>
  <c r="G250" i="14"/>
  <c r="K245" i="14"/>
  <c r="K36" i="28" s="1"/>
  <c r="G36" i="28" s="1"/>
  <c r="G160" i="14"/>
  <c r="I155" i="14"/>
  <c r="G265" i="14"/>
  <c r="K260" i="14"/>
  <c r="K38" i="28" s="1"/>
  <c r="G38" i="28" s="1"/>
  <c r="G270" i="14"/>
  <c r="I272" i="14"/>
  <c r="G70" i="14"/>
  <c r="I65" i="14"/>
  <c r="G120" i="14"/>
  <c r="I122" i="14"/>
  <c r="G25" i="14"/>
  <c r="I20" i="14"/>
  <c r="I6" i="28" s="1"/>
  <c r="G6" i="28" s="1"/>
  <c r="G165" i="14"/>
  <c r="I167" i="14"/>
  <c r="G10" i="14"/>
  <c r="I5" i="14"/>
  <c r="G175" i="14"/>
  <c r="I170" i="14"/>
  <c r="I77" i="14"/>
  <c r="G75" i="14"/>
  <c r="G302" i="14"/>
  <c r="I303" i="14"/>
  <c r="G45" i="14"/>
  <c r="I47" i="14"/>
  <c r="I152" i="14"/>
  <c r="G150" i="14"/>
  <c r="G295" i="14"/>
  <c r="K290" i="14"/>
  <c r="K42" i="28" s="1"/>
  <c r="G42" i="28" s="1"/>
  <c r="I137" i="14"/>
  <c r="G135" i="14"/>
  <c r="G85" i="14"/>
  <c r="I80" i="14"/>
  <c r="I14" i="28" s="1"/>
  <c r="G14" i="28" s="1"/>
  <c r="G280" i="14"/>
  <c r="K275" i="14"/>
  <c r="K40" i="28" s="1"/>
  <c r="G40" i="28" s="1"/>
  <c r="G40" i="14"/>
  <c r="I35" i="14"/>
  <c r="G205" i="14"/>
  <c r="I200" i="14"/>
  <c r="I257" i="14"/>
  <c r="G255" i="14"/>
  <c r="G285" i="14"/>
  <c r="I287" i="14"/>
  <c r="G220" i="14"/>
  <c r="K215" i="14"/>
  <c r="K32" i="28" s="1"/>
  <c r="G32" i="28" s="1"/>
  <c r="G130" i="14"/>
  <c r="I125" i="14"/>
  <c r="G235" i="14"/>
  <c r="K230" i="14"/>
  <c r="K34" i="28" s="1"/>
  <c r="G34" i="28" s="1"/>
  <c r="G225" i="14"/>
  <c r="I227" i="14"/>
  <c r="G5" i="24"/>
  <c r="J11" i="26"/>
  <c r="J6" i="26"/>
  <c r="J21" i="26"/>
  <c r="J26" i="26"/>
  <c r="J16" i="26"/>
  <c r="K192" i="14"/>
  <c r="G198" i="14"/>
  <c r="G190" i="14"/>
  <c r="G185" i="14"/>
  <c r="I8" i="18"/>
  <c r="I5" i="18" s="1"/>
  <c r="G171" i="23"/>
  <c r="K167" i="23"/>
  <c r="G165" i="23"/>
  <c r="K161" i="23"/>
  <c r="G159" i="23"/>
  <c r="K155" i="23"/>
  <c r="G153" i="23"/>
  <c r="K149" i="23"/>
  <c r="G147" i="23"/>
  <c r="K143" i="23"/>
  <c r="G141" i="23"/>
  <c r="K137" i="23"/>
  <c r="G135" i="23"/>
  <c r="K131" i="23"/>
  <c r="G129" i="23"/>
  <c r="K125" i="23"/>
  <c r="G123" i="23"/>
  <c r="K119" i="23"/>
  <c r="G117" i="23"/>
  <c r="K113" i="23"/>
  <c r="G111" i="23"/>
  <c r="I107" i="23"/>
  <c r="G105" i="23"/>
  <c r="I101" i="23"/>
  <c r="G99" i="23"/>
  <c r="I95" i="23"/>
  <c r="G93" i="23"/>
  <c r="I89" i="23"/>
  <c r="G87" i="23"/>
  <c r="I83" i="23"/>
  <c r="G75" i="23"/>
  <c r="I71" i="23"/>
  <c r="G81" i="23"/>
  <c r="I77" i="23"/>
  <c r="G69" i="23"/>
  <c r="I65" i="23"/>
  <c r="G63" i="23"/>
  <c r="I59" i="23"/>
  <c r="G57" i="23"/>
  <c r="I53" i="23"/>
  <c r="G51" i="23"/>
  <c r="I47" i="23"/>
  <c r="G47" i="23" s="1"/>
  <c r="G45" i="23"/>
  <c r="I41" i="23"/>
  <c r="G39" i="23"/>
  <c r="I35" i="23"/>
  <c r="G35" i="23" s="1"/>
  <c r="G33" i="23"/>
  <c r="I29" i="23"/>
  <c r="G27" i="23"/>
  <c r="I23" i="23"/>
  <c r="G23" i="23" s="1"/>
  <c r="G21" i="23"/>
  <c r="I17" i="23"/>
  <c r="G15" i="23"/>
  <c r="I11" i="23"/>
  <c r="G11" i="23" s="1"/>
  <c r="I5" i="23"/>
  <c r="G9" i="23"/>
  <c r="M321" i="16"/>
  <c r="G321" i="16" s="1"/>
  <c r="K317" i="16"/>
  <c r="G320" i="16"/>
  <c r="I269" i="16"/>
  <c r="G272" i="16"/>
  <c r="K287" i="16"/>
  <c r="M291" i="16"/>
  <c r="G291" i="16" s="1"/>
  <c r="G290" i="16"/>
  <c r="K215" i="16"/>
  <c r="M219" i="16"/>
  <c r="G219" i="16" s="1"/>
  <c r="G218" i="16"/>
  <c r="K341" i="16"/>
  <c r="M345" i="16"/>
  <c r="G345" i="16" s="1"/>
  <c r="G344" i="16"/>
  <c r="M249" i="16"/>
  <c r="G249" i="16" s="1"/>
  <c r="K245" i="16"/>
  <c r="G248" i="16"/>
  <c r="I257" i="16"/>
  <c r="G260" i="16"/>
  <c r="K275" i="16"/>
  <c r="M279" i="16"/>
  <c r="G279" i="16" s="1"/>
  <c r="G278" i="16"/>
  <c r="K221" i="16"/>
  <c r="M225" i="16"/>
  <c r="G225" i="16" s="1"/>
  <c r="G224" i="16"/>
  <c r="K335" i="16"/>
  <c r="M339" i="16"/>
  <c r="G339" i="16" s="1"/>
  <c r="G338" i="16"/>
  <c r="M255" i="16"/>
  <c r="G255" i="16" s="1"/>
  <c r="K251" i="16"/>
  <c r="G254" i="16"/>
  <c r="K329" i="16"/>
  <c r="M333" i="16"/>
  <c r="G333" i="16" s="1"/>
  <c r="G332" i="16"/>
  <c r="K263" i="16"/>
  <c r="M267" i="16"/>
  <c r="G267" i="16" s="1"/>
  <c r="G266" i="16"/>
  <c r="M213" i="16"/>
  <c r="G213" i="16" s="1"/>
  <c r="K209" i="16"/>
  <c r="G212" i="16"/>
  <c r="M231" i="16"/>
  <c r="G231" i="16" s="1"/>
  <c r="K227" i="16"/>
  <c r="G230" i="16"/>
  <c r="M243" i="16"/>
  <c r="G243" i="16" s="1"/>
  <c r="K239" i="16"/>
  <c r="G242" i="16"/>
  <c r="G311" i="16"/>
  <c r="G281" i="16"/>
  <c r="G323" i="16"/>
  <c r="G347" i="16"/>
  <c r="G26" i="23"/>
  <c r="M171" i="16"/>
  <c r="G171" i="16" s="1"/>
  <c r="K167" i="16"/>
  <c r="G170" i="16"/>
  <c r="I149" i="16"/>
  <c r="G152" i="16"/>
  <c r="K143" i="16"/>
  <c r="M147" i="16"/>
  <c r="G147" i="16" s="1"/>
  <c r="G146" i="16"/>
  <c r="G80" i="23"/>
  <c r="M123" i="16"/>
  <c r="G123" i="16" s="1"/>
  <c r="K119" i="16"/>
  <c r="G122" i="16"/>
  <c r="G14" i="23"/>
  <c r="G164" i="23"/>
  <c r="M183" i="16"/>
  <c r="G183" i="16" s="1"/>
  <c r="K179" i="16"/>
  <c r="G182" i="16"/>
  <c r="G92" i="23"/>
  <c r="G122" i="23"/>
  <c r="G98" i="23"/>
  <c r="G74" i="23"/>
  <c r="M141" i="16"/>
  <c r="G141" i="16" s="1"/>
  <c r="K137" i="16"/>
  <c r="G140" i="16"/>
  <c r="G146" i="23"/>
  <c r="K197" i="16"/>
  <c r="M201" i="16"/>
  <c r="G201" i="16" s="1"/>
  <c r="G200" i="16"/>
  <c r="M117" i="16"/>
  <c r="G117" i="16" s="1"/>
  <c r="K113" i="16"/>
  <c r="G116" i="16"/>
  <c r="M165" i="16"/>
  <c r="G165" i="16" s="1"/>
  <c r="K161" i="16"/>
  <c r="G164" i="16"/>
  <c r="M177" i="16"/>
  <c r="G177" i="16" s="1"/>
  <c r="K173" i="16"/>
  <c r="G176" i="16"/>
  <c r="M135" i="16"/>
  <c r="G135" i="16" s="1"/>
  <c r="K131" i="16"/>
  <c r="G134" i="16"/>
  <c r="G62" i="23"/>
  <c r="G44" i="23"/>
  <c r="G128" i="23"/>
  <c r="G86" i="23"/>
  <c r="G20" i="23"/>
  <c r="G152" i="23"/>
  <c r="G32" i="23"/>
  <c r="G104" i="23"/>
  <c r="G8" i="23"/>
  <c r="I155" i="16"/>
  <c r="G158" i="16"/>
  <c r="G158" i="23"/>
  <c r="M189" i="16"/>
  <c r="G189" i="16" s="1"/>
  <c r="K185" i="16"/>
  <c r="G188" i="16"/>
  <c r="K125" i="16"/>
  <c r="M129" i="16"/>
  <c r="G129" i="16" s="1"/>
  <c r="G128" i="16"/>
  <c r="M207" i="16"/>
  <c r="G207" i="16" s="1"/>
  <c r="K203" i="16"/>
  <c r="G206" i="16"/>
  <c r="M195" i="16"/>
  <c r="G195" i="16" s="1"/>
  <c r="K191" i="16"/>
  <c r="G194" i="16"/>
  <c r="G110" i="23"/>
  <c r="G134" i="23"/>
  <c r="G215" i="14"/>
  <c r="G68" i="23"/>
  <c r="G38" i="23"/>
  <c r="G170" i="23"/>
  <c r="G140" i="23"/>
  <c r="G50" i="23"/>
  <c r="M233" i="18"/>
  <c r="G234" i="18"/>
  <c r="M303" i="16"/>
  <c r="G303" i="16" s="1"/>
  <c r="K299" i="16"/>
  <c r="G302" i="16"/>
  <c r="G56" i="23"/>
  <c r="G116" i="23"/>
  <c r="A131" i="18"/>
  <c r="M357" i="16"/>
  <c r="G357" i="16" s="1"/>
  <c r="K353" i="16"/>
  <c r="G356" i="16"/>
  <c r="G296" i="16"/>
  <c r="K293" i="16"/>
  <c r="M297" i="16"/>
  <c r="G297" i="16" s="1"/>
  <c r="K305" i="16"/>
  <c r="M309" i="16"/>
  <c r="G309" i="16" s="1"/>
  <c r="G308" i="16"/>
  <c r="G248" i="14"/>
  <c r="G74" i="16"/>
  <c r="M75" i="16"/>
  <c r="G75" i="16" s="1"/>
  <c r="K71" i="16"/>
  <c r="G263" i="14"/>
  <c r="G80" i="16"/>
  <c r="K77" i="16"/>
  <c r="M81" i="16"/>
  <c r="G81" i="16" s="1"/>
  <c r="G62" i="16"/>
  <c r="M63" i="16"/>
  <c r="G63" i="16" s="1"/>
  <c r="K59" i="16"/>
  <c r="G44" i="16"/>
  <c r="K41" i="16"/>
  <c r="M45" i="16"/>
  <c r="G45" i="16" s="1"/>
  <c r="G38" i="16"/>
  <c r="K35" i="16"/>
  <c r="M39" i="16"/>
  <c r="G39" i="16" s="1"/>
  <c r="G278" i="14"/>
  <c r="G68" i="16"/>
  <c r="M69" i="16"/>
  <c r="G69" i="16" s="1"/>
  <c r="K65" i="16"/>
  <c r="G50" i="16"/>
  <c r="M51" i="16"/>
  <c r="G51" i="16" s="1"/>
  <c r="K47" i="16"/>
  <c r="G56" i="16"/>
  <c r="M57" i="16"/>
  <c r="G57" i="16" s="1"/>
  <c r="K53" i="16"/>
  <c r="K107" i="16"/>
  <c r="M111" i="16"/>
  <c r="G111" i="16" s="1"/>
  <c r="G110" i="16"/>
  <c r="G32" i="16"/>
  <c r="K29" i="16"/>
  <c r="M33" i="16"/>
  <c r="G33" i="16" s="1"/>
  <c r="K233" i="16"/>
  <c r="G236" i="16"/>
  <c r="M237" i="16"/>
  <c r="G237" i="16" s="1"/>
  <c r="I89" i="16"/>
  <c r="G92" i="16"/>
  <c r="G20" i="16"/>
  <c r="M21" i="16"/>
  <c r="G21" i="16" s="1"/>
  <c r="K17" i="16"/>
  <c r="G233" i="14"/>
  <c r="G86" i="16"/>
  <c r="M87" i="16"/>
  <c r="G87" i="16" s="1"/>
  <c r="K83" i="16"/>
  <c r="G26" i="16"/>
  <c r="M27" i="16"/>
  <c r="G27" i="16" s="1"/>
  <c r="K23" i="16"/>
  <c r="I95" i="16"/>
  <c r="G98" i="16"/>
  <c r="M105" i="16"/>
  <c r="G105" i="16" s="1"/>
  <c r="K101" i="16"/>
  <c r="G104" i="16"/>
  <c r="G293" i="14"/>
  <c r="I71" i="16"/>
  <c r="I65" i="16"/>
  <c r="G53" i="14"/>
  <c r="I23" i="16"/>
  <c r="I17" i="16"/>
  <c r="I47" i="16"/>
  <c r="I41" i="16"/>
  <c r="I5" i="16"/>
  <c r="G8" i="16"/>
  <c r="I59" i="16"/>
  <c r="I77" i="16"/>
  <c r="G83" i="14"/>
  <c r="G23" i="14"/>
  <c r="I29" i="16"/>
  <c r="I83" i="16"/>
  <c r="I11" i="16"/>
  <c r="G14" i="16"/>
  <c r="I53" i="16"/>
  <c r="I35" i="16"/>
  <c r="I8" i="28" l="1"/>
  <c r="G8" i="28" s="1"/>
  <c r="G35" i="14"/>
  <c r="I30" i="28"/>
  <c r="G30" i="28" s="1"/>
  <c r="G200" i="14"/>
  <c r="I297" i="14"/>
  <c r="G303" i="14"/>
  <c r="G272" i="14"/>
  <c r="I273" i="14"/>
  <c r="G273" i="14" s="1"/>
  <c r="I18" i="14"/>
  <c r="G18" i="14" s="1"/>
  <c r="G17" i="14"/>
  <c r="I4" i="28"/>
  <c r="G4" i="28" s="1"/>
  <c r="G5" i="14"/>
  <c r="G32" i="14"/>
  <c r="I33" i="14"/>
  <c r="G33" i="14" s="1"/>
  <c r="I243" i="14"/>
  <c r="G243" i="14" s="1"/>
  <c r="G242" i="14"/>
  <c r="I20" i="28"/>
  <c r="G20" i="28" s="1"/>
  <c r="G125" i="14"/>
  <c r="I168" i="14"/>
  <c r="G167" i="14"/>
  <c r="I18" i="28"/>
  <c r="G18" i="28" s="1"/>
  <c r="G110" i="14"/>
  <c r="I16" i="28"/>
  <c r="G16" i="28" s="1"/>
  <c r="G95" i="14"/>
  <c r="I228" i="14"/>
  <c r="G228" i="14" s="1"/>
  <c r="G227" i="14"/>
  <c r="I222" i="14"/>
  <c r="I138" i="14"/>
  <c r="G138" i="14" s="1"/>
  <c r="G137" i="14"/>
  <c r="I22" i="28"/>
  <c r="G22" i="28" s="1"/>
  <c r="G140" i="14"/>
  <c r="I24" i="28"/>
  <c r="G24" i="28" s="1"/>
  <c r="G155" i="14"/>
  <c r="G192" i="14"/>
  <c r="K29" i="28"/>
  <c r="G29" i="28" s="1"/>
  <c r="G287" i="14"/>
  <c r="I288" i="14"/>
  <c r="G288" i="14" s="1"/>
  <c r="I123" i="14"/>
  <c r="G123" i="14" s="1"/>
  <c r="G122" i="14"/>
  <c r="I108" i="14"/>
  <c r="G108" i="14" s="1"/>
  <c r="G107" i="14"/>
  <c r="I78" i="14"/>
  <c r="G77" i="14"/>
  <c r="I153" i="14"/>
  <c r="G153" i="14" s="1"/>
  <c r="G152" i="14"/>
  <c r="I93" i="14"/>
  <c r="G93" i="14" s="1"/>
  <c r="G92" i="14"/>
  <c r="I48" i="14"/>
  <c r="G47" i="14"/>
  <c r="I12" i="28"/>
  <c r="G12" i="28" s="1"/>
  <c r="G65" i="14"/>
  <c r="I183" i="14"/>
  <c r="G183" i="14" s="1"/>
  <c r="G182" i="14"/>
  <c r="I177" i="14"/>
  <c r="G212" i="14"/>
  <c r="I213" i="14"/>
  <c r="G213" i="14" s="1"/>
  <c r="I207" i="14"/>
  <c r="I26" i="28"/>
  <c r="G26" i="28" s="1"/>
  <c r="G170" i="14"/>
  <c r="I63" i="14"/>
  <c r="G62" i="14"/>
  <c r="I258" i="14"/>
  <c r="G257" i="14"/>
  <c r="G17" i="23"/>
  <c r="H174" i="23"/>
  <c r="G53" i="23"/>
  <c r="H186" i="23"/>
  <c r="G89" i="23"/>
  <c r="H210" i="23"/>
  <c r="G125" i="23"/>
  <c r="J234" i="23"/>
  <c r="G161" i="23"/>
  <c r="J258" i="23"/>
  <c r="G59" i="23"/>
  <c r="H190" i="23"/>
  <c r="G95" i="23"/>
  <c r="H214" i="23"/>
  <c r="G131" i="23"/>
  <c r="J238" i="23"/>
  <c r="G167" i="23"/>
  <c r="J262" i="23"/>
  <c r="G29" i="23"/>
  <c r="H178" i="23"/>
  <c r="G65" i="23"/>
  <c r="H194" i="23"/>
  <c r="G101" i="23"/>
  <c r="H218" i="23"/>
  <c r="G137" i="23"/>
  <c r="J242" i="23"/>
  <c r="K16" i="26"/>
  <c r="F16" i="26"/>
  <c r="K26" i="26"/>
  <c r="F26" i="26"/>
  <c r="G77" i="23"/>
  <c r="H202" i="23"/>
  <c r="G107" i="23"/>
  <c r="H222" i="23"/>
  <c r="G143" i="23"/>
  <c r="J246" i="23"/>
  <c r="F21" i="26"/>
  <c r="K21" i="26"/>
  <c r="K6" i="26"/>
  <c r="F6" i="26"/>
  <c r="G41" i="23"/>
  <c r="H182" i="23"/>
  <c r="G113" i="23"/>
  <c r="J226" i="23"/>
  <c r="G149" i="23"/>
  <c r="J250" i="23"/>
  <c r="K11" i="26"/>
  <c r="F11" i="26"/>
  <c r="G83" i="23"/>
  <c r="H206" i="23"/>
  <c r="G119" i="23"/>
  <c r="J230" i="23"/>
  <c r="G155" i="23"/>
  <c r="J254" i="23"/>
  <c r="G71" i="23"/>
  <c r="H198" i="23"/>
  <c r="G8" i="18"/>
  <c r="G341" i="16"/>
  <c r="G239" i="16"/>
  <c r="G215" i="16"/>
  <c r="G221" i="16"/>
  <c r="G329" i="16"/>
  <c r="G275" i="16"/>
  <c r="G227" i="16"/>
  <c r="G251" i="16"/>
  <c r="G257" i="16"/>
  <c r="G287" i="16"/>
  <c r="G263" i="16"/>
  <c r="G245" i="16"/>
  <c r="G269" i="16"/>
  <c r="G209" i="16"/>
  <c r="G335" i="16"/>
  <c r="G317" i="16"/>
  <c r="G125" i="16"/>
  <c r="G113" i="16"/>
  <c r="G167" i="16"/>
  <c r="G233" i="16"/>
  <c r="G185" i="16"/>
  <c r="G119" i="16"/>
  <c r="G131" i="16"/>
  <c r="G305" i="16"/>
  <c r="G197" i="16"/>
  <c r="G191" i="16"/>
  <c r="G293" i="16"/>
  <c r="G173" i="16"/>
  <c r="G107" i="16"/>
  <c r="G155" i="16"/>
  <c r="G179" i="16"/>
  <c r="G101" i="16"/>
  <c r="G11" i="16"/>
  <c r="G299" i="16"/>
  <c r="G203" i="16"/>
  <c r="G137" i="16"/>
  <c r="G143" i="16"/>
  <c r="G95" i="16"/>
  <c r="G353" i="16"/>
  <c r="G161" i="16"/>
  <c r="G5" i="16"/>
  <c r="G89" i="16"/>
  <c r="G149" i="16"/>
  <c r="K22" i="1"/>
  <c r="K29" i="1"/>
  <c r="G29" i="1" s="1"/>
  <c r="I9" i="1"/>
  <c r="G9" i="1" s="1"/>
  <c r="I17" i="1"/>
  <c r="K27" i="1"/>
  <c r="I12" i="1"/>
  <c r="G260" i="14"/>
  <c r="I16" i="1"/>
  <c r="I14" i="1"/>
  <c r="G14" i="1" s="1"/>
  <c r="I4" i="1"/>
  <c r="G5" i="23"/>
  <c r="I6" i="1"/>
  <c r="K24" i="1"/>
  <c r="G20" i="14"/>
  <c r="I20" i="1"/>
  <c r="I10" i="1"/>
  <c r="K30" i="1"/>
  <c r="G30" i="1" s="1"/>
  <c r="K31" i="1"/>
  <c r="G31" i="1" s="1"/>
  <c r="M70" i="1"/>
  <c r="G233" i="18"/>
  <c r="I15" i="1"/>
  <c r="G50" i="14"/>
  <c r="G290" i="14"/>
  <c r="G245" i="14"/>
  <c r="I13" i="1"/>
  <c r="I19" i="1"/>
  <c r="I5" i="1"/>
  <c r="G5" i="1" s="1"/>
  <c r="I11" i="1"/>
  <c r="G11" i="1" s="1"/>
  <c r="K25" i="1"/>
  <c r="I8" i="1"/>
  <c r="I18" i="1"/>
  <c r="G80" i="14"/>
  <c r="G230" i="14"/>
  <c r="G275" i="14"/>
  <c r="I7" i="1"/>
  <c r="G7" i="1" s="1"/>
  <c r="K26" i="1"/>
  <c r="I21" i="1"/>
  <c r="K28" i="1"/>
  <c r="K23" i="1"/>
  <c r="A137" i="18"/>
  <c r="I9" i="19"/>
  <c r="I6" i="19"/>
  <c r="I12" i="19"/>
  <c r="I15" i="19"/>
  <c r="I18" i="19"/>
  <c r="G53" i="16"/>
  <c r="G77" i="16"/>
  <c r="G35" i="16"/>
  <c r="G47" i="16"/>
  <c r="G71" i="16"/>
  <c r="G59" i="16"/>
  <c r="G23" i="16"/>
  <c r="G41" i="16"/>
  <c r="G83" i="16"/>
  <c r="G17" i="16"/>
  <c r="G29" i="16"/>
  <c r="G65" i="16"/>
  <c r="I267" i="14" l="1"/>
  <c r="I282" i="14"/>
  <c r="I147" i="14"/>
  <c r="I23" i="28" s="1"/>
  <c r="G23" i="28" s="1"/>
  <c r="I12" i="14"/>
  <c r="G12" i="14" s="1"/>
  <c r="I237" i="14"/>
  <c r="I117" i="14"/>
  <c r="G117" i="14" s="1"/>
  <c r="G222" i="14"/>
  <c r="I33" i="28"/>
  <c r="G33" i="28" s="1"/>
  <c r="G282" i="14"/>
  <c r="I41" i="28"/>
  <c r="G41" i="28" s="1"/>
  <c r="I42" i="14"/>
  <c r="G48" i="14"/>
  <c r="I87" i="14"/>
  <c r="G267" i="14"/>
  <c r="I39" i="28"/>
  <c r="G39" i="28" s="1"/>
  <c r="I252" i="14"/>
  <c r="G258" i="14"/>
  <c r="G177" i="14"/>
  <c r="I27" i="28"/>
  <c r="G27" i="28" s="1"/>
  <c r="I162" i="14"/>
  <c r="G168" i="14"/>
  <c r="I57" i="14"/>
  <c r="G63" i="14"/>
  <c r="G147" i="14"/>
  <c r="I43" i="28"/>
  <c r="G43" i="28" s="1"/>
  <c r="G297" i="14"/>
  <c r="G237" i="14"/>
  <c r="I35" i="28"/>
  <c r="G35" i="28" s="1"/>
  <c r="G207" i="14"/>
  <c r="I31" i="28"/>
  <c r="G31" i="28" s="1"/>
  <c r="I72" i="14"/>
  <c r="G78" i="14"/>
  <c r="I102" i="14"/>
  <c r="I132" i="14"/>
  <c r="I27" i="14"/>
  <c r="G16" i="1"/>
  <c r="G8" i="1"/>
  <c r="G12" i="1"/>
  <c r="G25" i="1"/>
  <c r="G23" i="1"/>
  <c r="G20" i="1"/>
  <c r="G10" i="1"/>
  <c r="G17" i="1"/>
  <c r="G19" i="1"/>
  <c r="G21" i="1"/>
  <c r="G13" i="1"/>
  <c r="G22" i="1"/>
  <c r="G6" i="1"/>
  <c r="G18" i="1"/>
  <c r="G15" i="1"/>
  <c r="G24" i="1"/>
  <c r="K250" i="23"/>
  <c r="F250" i="23"/>
  <c r="I222" i="23"/>
  <c r="F222" i="23"/>
  <c r="I194" i="23"/>
  <c r="F194" i="23"/>
  <c r="I190" i="23"/>
  <c r="F190" i="23"/>
  <c r="G26" i="1"/>
  <c r="K226" i="23"/>
  <c r="F226" i="23"/>
  <c r="I202" i="23"/>
  <c r="F202" i="23"/>
  <c r="I178" i="23"/>
  <c r="F178" i="23"/>
  <c r="K258" i="23"/>
  <c r="F258" i="23"/>
  <c r="K254" i="23"/>
  <c r="F254" i="23"/>
  <c r="I182" i="23"/>
  <c r="F182" i="23"/>
  <c r="K234" i="23"/>
  <c r="F234" i="23"/>
  <c r="K25" i="26"/>
  <c r="G25" i="26" s="1"/>
  <c r="G26" i="26"/>
  <c r="K230" i="23"/>
  <c r="F230" i="23"/>
  <c r="K262" i="23"/>
  <c r="F262" i="23"/>
  <c r="I210" i="23"/>
  <c r="F210" i="23"/>
  <c r="K5" i="26"/>
  <c r="G5" i="26" s="1"/>
  <c r="G6" i="26"/>
  <c r="K15" i="26"/>
  <c r="G15" i="26" s="1"/>
  <c r="G16" i="26"/>
  <c r="G27" i="1"/>
  <c r="I206" i="23"/>
  <c r="F206" i="23"/>
  <c r="K20" i="26"/>
  <c r="G20" i="26" s="1"/>
  <c r="G21" i="26"/>
  <c r="K242" i="23"/>
  <c r="F242" i="23"/>
  <c r="K238" i="23"/>
  <c r="F238" i="23"/>
  <c r="I186" i="23"/>
  <c r="F186" i="23"/>
  <c r="K246" i="23"/>
  <c r="F246" i="23"/>
  <c r="I218" i="23"/>
  <c r="F218" i="23"/>
  <c r="I214" i="23"/>
  <c r="F214" i="23"/>
  <c r="I174" i="23"/>
  <c r="F174" i="23"/>
  <c r="K10" i="26"/>
  <c r="G10" i="26" s="1"/>
  <c r="G11" i="26"/>
  <c r="I198" i="23"/>
  <c r="F198" i="23"/>
  <c r="G28" i="1"/>
  <c r="G5" i="18"/>
  <c r="I32" i="1"/>
  <c r="I56" i="1"/>
  <c r="I50" i="1"/>
  <c r="I34" i="1"/>
  <c r="I54" i="1"/>
  <c r="I60" i="1"/>
  <c r="I46" i="1"/>
  <c r="G70" i="1"/>
  <c r="F7" i="18"/>
  <c r="I68" i="1"/>
  <c r="A143" i="18"/>
  <c r="I17" i="19"/>
  <c r="I77" i="1" s="1"/>
  <c r="I11" i="19"/>
  <c r="I75" i="1" s="1"/>
  <c r="I5" i="19"/>
  <c r="I73" i="1" s="1"/>
  <c r="I14" i="19"/>
  <c r="I76" i="1" s="1"/>
  <c r="I8" i="19"/>
  <c r="I74" i="1" s="1"/>
  <c r="I5" i="28" l="1"/>
  <c r="G5" i="28" s="1"/>
  <c r="I19" i="28"/>
  <c r="G19" i="28" s="1"/>
  <c r="I37" i="28"/>
  <c r="G37" i="28" s="1"/>
  <c r="G252" i="14"/>
  <c r="G102" i="14"/>
  <c r="I17" i="28"/>
  <c r="G17" i="28" s="1"/>
  <c r="I9" i="28"/>
  <c r="G9" i="28" s="1"/>
  <c r="G42" i="14"/>
  <c r="G87" i="14"/>
  <c r="I15" i="28"/>
  <c r="G15" i="28" s="1"/>
  <c r="I25" i="28"/>
  <c r="G25" i="28" s="1"/>
  <c r="G162" i="14"/>
  <c r="G27" i="14"/>
  <c r="I7" i="28"/>
  <c r="G7" i="28" s="1"/>
  <c r="I11" i="28"/>
  <c r="G11" i="28" s="1"/>
  <c r="G57" i="14"/>
  <c r="I13" i="28"/>
  <c r="G13" i="28" s="1"/>
  <c r="G72" i="14"/>
  <c r="I21" i="28"/>
  <c r="G21" i="28" s="1"/>
  <c r="G132" i="14"/>
  <c r="I173" i="23"/>
  <c r="G174" i="23"/>
  <c r="K241" i="23"/>
  <c r="G242" i="23"/>
  <c r="I209" i="23"/>
  <c r="G210" i="23"/>
  <c r="K253" i="23"/>
  <c r="G254" i="23"/>
  <c r="G190" i="23"/>
  <c r="I189" i="23"/>
  <c r="K257" i="23"/>
  <c r="G258" i="23"/>
  <c r="I217" i="23"/>
  <c r="G218" i="23"/>
  <c r="K229" i="23"/>
  <c r="G230" i="23"/>
  <c r="I193" i="23"/>
  <c r="G194" i="23"/>
  <c r="I177" i="23"/>
  <c r="G178" i="23"/>
  <c r="K261" i="23"/>
  <c r="G262" i="23"/>
  <c r="I221" i="23"/>
  <c r="G222" i="23"/>
  <c r="I201" i="23"/>
  <c r="G202" i="23"/>
  <c r="K233" i="23"/>
  <c r="G234" i="23"/>
  <c r="K249" i="23"/>
  <c r="G250" i="23"/>
  <c r="I213" i="23"/>
  <c r="G214" i="23"/>
  <c r="K225" i="23"/>
  <c r="G226" i="23"/>
  <c r="K237" i="23"/>
  <c r="G238" i="23"/>
  <c r="I205" i="23"/>
  <c r="G206" i="23"/>
  <c r="K245" i="23"/>
  <c r="G246" i="23"/>
  <c r="I185" i="23"/>
  <c r="G186" i="23"/>
  <c r="I181" i="23"/>
  <c r="G182" i="23"/>
  <c r="G198" i="23"/>
  <c r="I197" i="23"/>
  <c r="A149" i="18"/>
  <c r="I162" i="1" l="1"/>
  <c r="G162" i="1" s="1"/>
  <c r="G185" i="23"/>
  <c r="K179" i="1"/>
  <c r="G179" i="1" s="1"/>
  <c r="G253" i="23"/>
  <c r="I163" i="1"/>
  <c r="G189" i="23"/>
  <c r="I161" i="1"/>
  <c r="G181" i="23"/>
  <c r="I169" i="1"/>
  <c r="G213" i="23"/>
  <c r="K178" i="1"/>
  <c r="G249" i="23"/>
  <c r="K174" i="1"/>
  <c r="G233" i="23"/>
  <c r="I168" i="1"/>
  <c r="G209" i="23"/>
  <c r="I171" i="1"/>
  <c r="G221" i="23"/>
  <c r="K172" i="1"/>
  <c r="G225" i="23"/>
  <c r="K176" i="1"/>
  <c r="G241" i="23"/>
  <c r="K181" i="1"/>
  <c r="G181" i="1" s="1"/>
  <c r="G261" i="23"/>
  <c r="K177" i="1"/>
  <c r="G245" i="23"/>
  <c r="I167" i="1"/>
  <c r="G205" i="23"/>
  <c r="K180" i="1"/>
  <c r="G180" i="1" s="1"/>
  <c r="G257" i="23"/>
  <c r="I160" i="1"/>
  <c r="G177" i="23"/>
  <c r="I164" i="1"/>
  <c r="G164" i="1" s="1"/>
  <c r="G193" i="23"/>
  <c r="K173" i="1"/>
  <c r="G229" i="23"/>
  <c r="K175" i="1"/>
  <c r="G237" i="23"/>
  <c r="I166" i="1"/>
  <c r="G201" i="23"/>
  <c r="I170" i="1"/>
  <c r="G217" i="23"/>
  <c r="G173" i="23"/>
  <c r="I159" i="1"/>
  <c r="I165" i="1"/>
  <c r="G197" i="23"/>
  <c r="G7" i="18"/>
  <c r="A155" i="18"/>
  <c r="M48" i="1"/>
  <c r="G48" i="1" s="1"/>
  <c r="M66" i="1"/>
  <c r="G66" i="1" s="1"/>
  <c r="M63" i="1"/>
  <c r="M43" i="1"/>
  <c r="M39" i="1"/>
  <c r="G39" i="1" s="1"/>
  <c r="M61" i="1"/>
  <c r="M36" i="1"/>
  <c r="M42" i="1"/>
  <c r="M52" i="1"/>
  <c r="G52" i="1" s="1"/>
  <c r="M44" i="1"/>
  <c r="M59" i="1"/>
  <c r="M40" i="1"/>
  <c r="M55" i="1"/>
  <c r="M69" i="1"/>
  <c r="G69" i="1" s="1"/>
  <c r="M35" i="1"/>
  <c r="M38" i="1"/>
  <c r="M41" i="1"/>
  <c r="M67" i="1"/>
  <c r="G67" i="1" s="1"/>
  <c r="M37" i="1"/>
  <c r="G37" i="1" s="1"/>
  <c r="M47" i="1"/>
  <c r="M57" i="1"/>
  <c r="M49" i="1"/>
  <c r="M58" i="1"/>
  <c r="G58" i="1" s="1"/>
  <c r="M64" i="1"/>
  <c r="M51" i="1"/>
  <c r="M65" i="1"/>
  <c r="G65" i="1" s="1"/>
  <c r="M53" i="1"/>
  <c r="M62" i="1"/>
  <c r="G62" i="1" s="1"/>
  <c r="M45" i="1"/>
  <c r="G45" i="1" s="1"/>
  <c r="M32" i="1"/>
  <c r="G32" i="1" s="1"/>
  <c r="M33" i="1"/>
  <c r="G4" i="1"/>
  <c r="G64" i="1" l="1"/>
  <c r="G163" i="1"/>
  <c r="G175" i="1"/>
  <c r="G167" i="1"/>
  <c r="G171" i="1"/>
  <c r="G40" i="1"/>
  <c r="G166" i="1"/>
  <c r="G168" i="1"/>
  <c r="G44" i="1"/>
  <c r="G159" i="1"/>
  <c r="G169" i="1"/>
  <c r="G51" i="1"/>
  <c r="G173" i="1"/>
  <c r="G165" i="1"/>
  <c r="G41" i="1"/>
  <c r="G160" i="1"/>
  <c r="G49" i="1"/>
  <c r="G57" i="1"/>
  <c r="G47" i="1"/>
  <c r="G42" i="1"/>
  <c r="G33" i="1"/>
  <c r="G36" i="1"/>
  <c r="G38" i="1"/>
  <c r="G43" i="1"/>
  <c r="G170" i="1"/>
  <c r="G53" i="1"/>
  <c r="G35" i="1"/>
  <c r="G172" i="1"/>
  <c r="G161" i="1"/>
  <c r="G178" i="1"/>
  <c r="G176" i="1"/>
  <c r="G59" i="1"/>
  <c r="G55" i="1"/>
  <c r="G177" i="1"/>
  <c r="G174" i="1"/>
  <c r="G63" i="1"/>
  <c r="M50" i="1"/>
  <c r="G50" i="1" s="1"/>
  <c r="M34" i="1"/>
  <c r="G34" i="1" s="1"/>
  <c r="M54" i="1"/>
  <c r="G54" i="1" s="1"/>
  <c r="M68" i="1"/>
  <c r="G68" i="1" s="1"/>
  <c r="M60" i="1"/>
  <c r="G60" i="1" s="1"/>
  <c r="M46" i="1"/>
  <c r="G46" i="1" s="1"/>
  <c r="M56" i="1"/>
  <c r="G56" i="1" s="1"/>
  <c r="A161" i="18"/>
  <c r="G61" i="1"/>
  <c r="A167" i="18" l="1"/>
  <c r="M18" i="19"/>
  <c r="F18" i="19"/>
  <c r="M12" i="19"/>
  <c r="F12" i="19"/>
  <c r="M9" i="19"/>
  <c r="F9" i="19"/>
  <c r="M6" i="19"/>
  <c r="F6" i="19"/>
  <c r="M15" i="19"/>
  <c r="F15" i="19"/>
  <c r="A173" i="18" l="1"/>
  <c r="M11" i="19"/>
  <c r="G12" i="19"/>
  <c r="M5" i="19"/>
  <c r="G6" i="19"/>
  <c r="M14" i="19"/>
  <c r="G15" i="19"/>
  <c r="M8" i="19"/>
  <c r="G9" i="19"/>
  <c r="M17" i="19"/>
  <c r="G18" i="19"/>
  <c r="A179" i="18" l="1"/>
  <c r="G17" i="19"/>
  <c r="M77" i="1"/>
  <c r="G77" i="1" s="1"/>
  <c r="G5" i="19"/>
  <c r="M73" i="1"/>
  <c r="G73" i="1" s="1"/>
  <c r="G8" i="19"/>
  <c r="M74" i="1"/>
  <c r="G74" i="1" s="1"/>
  <c r="G14" i="19"/>
  <c r="M76" i="1"/>
  <c r="G76" i="1" s="1"/>
  <c r="G11" i="19"/>
  <c r="M75" i="1"/>
  <c r="G75" i="1" s="1"/>
  <c r="A185" i="18" l="1"/>
  <c r="A191" i="18" l="1"/>
  <c r="A197" i="18" l="1"/>
  <c r="A203" i="18" l="1"/>
  <c r="A209" i="18" l="1"/>
  <c r="A215" i="18" l="1"/>
  <c r="A221" i="18" l="1"/>
  <c r="A227" i="18" l="1"/>
  <c r="A233" i="18" l="1"/>
  <c r="A237" i="18" l="1"/>
  <c r="A245" i="18" l="1"/>
  <c r="A5" i="19" l="1"/>
  <c r="A8" i="19" l="1"/>
  <c r="A11" i="19" l="1"/>
  <c r="A14" i="19" l="1"/>
  <c r="A17" i="19" l="1"/>
  <c r="A20" i="19" l="1"/>
  <c r="A28" i="19" l="1"/>
  <c r="A36" i="19" l="1"/>
  <c r="A44" i="19" l="1"/>
  <c r="A52" i="19" l="1"/>
  <c r="A60" i="19" l="1"/>
  <c r="A68" i="19" l="1"/>
  <c r="A81" i="19" l="1"/>
  <c r="A94" i="19" l="1"/>
  <c r="A107" i="19" l="1"/>
  <c r="A120" i="19" l="1"/>
  <c r="A133" i="19" l="1"/>
  <c r="A146" i="19" l="1"/>
  <c r="A159" i="19" l="1"/>
  <c r="A172" i="19" l="1"/>
  <c r="A185" i="19" l="1"/>
  <c r="A198" i="19" l="1"/>
  <c r="A211" i="19" l="1"/>
  <c r="A224" i="19" l="1"/>
  <c r="A5" i="20" l="1"/>
  <c r="A12" i="20" l="1"/>
  <c r="A19" i="20" l="1"/>
  <c r="A26" i="20" l="1"/>
  <c r="A33" i="20" l="1"/>
  <c r="A40" i="20" l="1"/>
  <c r="A47" i="20" l="1"/>
  <c r="A54" i="20" l="1"/>
  <c r="A61" i="20" l="1"/>
  <c r="A68" i="20" l="1"/>
  <c r="A75" i="20" l="1"/>
  <c r="A82" i="20" l="1"/>
  <c r="A89" i="20" l="1"/>
  <c r="A96" i="20" l="1"/>
  <c r="A103" i="20" l="1"/>
  <c r="A110" i="20" l="1"/>
  <c r="A117" i="20" l="1"/>
  <c r="A124" i="20" l="1"/>
  <c r="A131" i="20" l="1"/>
  <c r="A138" i="20" l="1"/>
  <c r="A145" i="20" l="1"/>
  <c r="A152" i="20" l="1"/>
  <c r="A159" i="20" l="1"/>
  <c r="A166" i="20" l="1"/>
  <c r="A173" i="20" l="1"/>
  <c r="A180" i="20" l="1"/>
  <c r="A187" i="20" l="1"/>
  <c r="A194" i="20" l="1"/>
  <c r="A201" i="20" l="1"/>
  <c r="A208" i="20" l="1"/>
  <c r="A215" i="20" l="1"/>
  <c r="A222" i="20" l="1"/>
  <c r="A229" i="20" l="1"/>
  <c r="A236" i="20" l="1"/>
  <c r="A243" i="20" l="1"/>
  <c r="A250" i="20" l="1"/>
  <c r="A257" i="20" l="1"/>
  <c r="A264" i="20" l="1"/>
  <c r="K90" i="21"/>
  <c r="M94" i="21" l="1"/>
  <c r="M90" i="21" l="1"/>
  <c r="G94" i="21"/>
  <c r="G103" i="21"/>
  <c r="K105" i="21"/>
  <c r="K102" i="21" s="1"/>
  <c r="G90" i="21" l="1"/>
  <c r="M106" i="21"/>
  <c r="M102" i="21" s="1"/>
  <c r="G106" i="21" l="1"/>
  <c r="G102" i="21"/>
  <c r="A5" i="21" l="1"/>
  <c r="A10" i="21" l="1"/>
  <c r="A15" i="21" l="1"/>
  <c r="A20" i="21" l="1"/>
  <c r="A25" i="21" l="1"/>
  <c r="A30" i="21" l="1"/>
  <c r="A35" i="21" l="1"/>
  <c r="A40" i="21" l="1"/>
  <c r="A45" i="21" l="1"/>
  <c r="A50" i="21" l="1"/>
  <c r="A55" i="21" l="1"/>
  <c r="A60" i="21" l="1"/>
  <c r="A65" i="21" l="1"/>
  <c r="A70" i="21" l="1"/>
  <c r="A75" i="21" l="1"/>
  <c r="A80" i="21" l="1"/>
  <c r="A85" i="21" l="1"/>
  <c r="A90" i="21" l="1"/>
  <c r="A96" i="21" l="1"/>
  <c r="A102" i="21" l="1"/>
  <c r="A108" i="21" l="1"/>
  <c r="A114" i="21" l="1"/>
  <c r="A120" i="21" l="1"/>
  <c r="A126" i="21" l="1"/>
  <c r="A132" i="21" l="1"/>
  <c r="A138" i="21" l="1"/>
  <c r="A144" i="21" l="1"/>
  <c r="A150" i="21" l="1"/>
  <c r="A156" i="21" l="1"/>
  <c r="A162" i="21" l="1"/>
  <c r="A168" i="21" l="1"/>
  <c r="A174" i="21" l="1"/>
  <c r="A180" i="21" l="1"/>
  <c r="A186" i="21" l="1"/>
  <c r="A9" i="22" l="1"/>
  <c r="A45" i="28" s="1"/>
  <c r="A13" i="22" l="1"/>
  <c r="A46" i="28" s="1"/>
  <c r="A17" i="22" l="1"/>
  <c r="A47" i="28" s="1"/>
  <c r="A21" i="22" l="1"/>
  <c r="A48" i="28" s="1"/>
  <c r="A25" i="22" l="1"/>
  <c r="A49" i="28" s="1"/>
  <c r="A29" i="22" l="1"/>
  <c r="A50" i="28" s="1"/>
  <c r="A33" i="22" l="1"/>
  <c r="A51" i="28" s="1"/>
  <c r="A37" i="22" l="1"/>
  <c r="A52" i="28" s="1"/>
  <c r="A41" i="22" l="1"/>
  <c r="A53" i="28" s="1"/>
  <c r="A45" i="22" l="1"/>
  <c r="A54" i="28" s="1"/>
  <c r="A49" i="22" l="1"/>
  <c r="A55" i="28" s="1"/>
  <c r="A53" i="22" l="1"/>
  <c r="A56" i="28" s="1"/>
  <c r="A57" i="22" l="1"/>
  <c r="A57" i="28" s="1"/>
  <c r="A61" i="22" l="1"/>
  <c r="A58" i="28" s="1"/>
  <c r="A65" i="22" l="1"/>
  <c r="A59" i="28" s="1"/>
  <c r="A5" i="15" l="1"/>
  <c r="A11" i="15" l="1"/>
  <c r="A17" i="15" l="1"/>
  <c r="A23" i="15" l="1"/>
  <c r="A29" i="15" l="1"/>
  <c r="A35" i="15" l="1"/>
  <c r="A41" i="15" l="1"/>
  <c r="A47" i="15" l="1"/>
  <c r="A53" i="15" l="1"/>
  <c r="A59" i="15" l="1"/>
  <c r="A65" i="15" l="1"/>
  <c r="A71" i="15" l="1"/>
  <c r="A77" i="15" l="1"/>
  <c r="A83" i="15" l="1"/>
  <c r="A89" i="15" l="1"/>
  <c r="A95" i="15" l="1"/>
  <c r="A101" i="15" l="1"/>
  <c r="A107" i="15" l="1"/>
  <c r="A113" i="15" l="1"/>
  <c r="A119" i="15" l="1"/>
  <c r="A125" i="15" l="1"/>
  <c r="A131" i="15" l="1"/>
  <c r="A137" i="15" l="1"/>
  <c r="A143" i="15" l="1"/>
  <c r="A5" i="16" l="1"/>
  <c r="A11" i="16" l="1"/>
  <c r="A17" i="16" l="1"/>
  <c r="A23" i="16" l="1"/>
  <c r="A29" i="16" l="1"/>
  <c r="A35" i="16" l="1"/>
  <c r="A41" i="16" l="1"/>
  <c r="A47" i="16" l="1"/>
  <c r="A53" i="16" l="1"/>
  <c r="A59" i="16" l="1"/>
  <c r="A65" i="16" l="1"/>
  <c r="A71" i="16" l="1"/>
  <c r="A77" i="16" l="1"/>
  <c r="A83" i="16" l="1"/>
  <c r="A89" i="16" l="1"/>
  <c r="A95" i="16" l="1"/>
  <c r="A101" i="16" l="1"/>
  <c r="A107" i="16" l="1"/>
  <c r="A113" i="16" l="1"/>
  <c r="A119" i="16" l="1"/>
  <c r="A125" i="16" l="1"/>
  <c r="A131" i="16" l="1"/>
  <c r="A137" i="16" l="1"/>
  <c r="A143" i="16" l="1"/>
  <c r="A149" i="16" l="1"/>
  <c r="A155" i="16" l="1"/>
  <c r="A161" i="16" l="1"/>
  <c r="A167" i="16" l="1"/>
  <c r="A173" i="16" l="1"/>
  <c r="A179" i="16" l="1"/>
  <c r="A185" i="16" l="1"/>
  <c r="A191" i="16" l="1"/>
  <c r="A197" i="16" l="1"/>
  <c r="A203" i="16" l="1"/>
  <c r="A209" i="16" l="1"/>
  <c r="A215" i="16" l="1"/>
  <c r="A221" i="16" l="1"/>
  <c r="A227" i="16" l="1"/>
  <c r="A233" i="16" l="1"/>
  <c r="A239" i="16" l="1"/>
  <c r="A245" i="16" l="1"/>
  <c r="A251" i="16" l="1"/>
  <c r="A257" i="16" l="1"/>
  <c r="A263" i="16" l="1"/>
  <c r="A269" i="16" l="1"/>
  <c r="A275" i="16" l="1"/>
  <c r="A281" i="16" l="1"/>
  <c r="A287" i="16" l="1"/>
  <c r="A293" i="16" l="1"/>
  <c r="A299" i="16" l="1"/>
  <c r="A305" i="16" l="1"/>
  <c r="A311" i="16" l="1"/>
  <c r="A317" i="16" l="1"/>
  <c r="A323" i="16" l="1"/>
  <c r="A329" i="16" l="1"/>
  <c r="A335" i="16" l="1"/>
  <c r="A341" i="16" l="1"/>
  <c r="A347" i="16" l="1"/>
  <c r="A353" i="16" l="1"/>
  <c r="A5" i="17" l="1"/>
  <c r="A13" i="17" l="1"/>
  <c r="A21" i="17" l="1"/>
  <c r="AJ32" i="29" l="1"/>
  <c r="AB14" i="29" l="1"/>
  <c r="I14" i="29" s="1"/>
  <c r="M237" i="31"/>
  <c r="J237" i="31"/>
  <c r="N237" i="31" s="1"/>
  <c r="J241" i="31" l="1"/>
  <c r="N241" i="31" s="1"/>
  <c r="I14" i="31"/>
  <c r="J14" i="31" l="1"/>
  <c r="M14" i="31"/>
  <c r="N14" i="31" l="1"/>
  <c r="J5" i="31"/>
  <c r="U19" i="29" l="1"/>
  <c r="AE19" i="29" s="1"/>
  <c r="AJ19" i="29" s="1"/>
  <c r="N5" i="31"/>
</calcChain>
</file>

<file path=xl/sharedStrings.xml><?xml version="1.0" encoding="utf-8"?>
<sst xmlns="http://schemas.openxmlformats.org/spreadsheetml/2006/main" count="9184" uniqueCount="838">
  <si>
    <t/>
  </si>
  <si>
    <t>식</t>
  </si>
  <si>
    <t>M</t>
  </si>
  <si>
    <t>개소</t>
  </si>
  <si>
    <t>본</t>
  </si>
  <si>
    <t>토목6-3-2</t>
  </si>
  <si>
    <t>m</t>
  </si>
  <si>
    <t>HR</t>
  </si>
  <si>
    <t>발전기(50kw)+용접기(200Amp)</t>
  </si>
  <si>
    <t>토목6-3-1</t>
  </si>
  <si>
    <t>개</t>
  </si>
  <si>
    <t>토목6-3-4</t>
  </si>
  <si>
    <t>토목6-3-3</t>
  </si>
  <si>
    <t>수공설계기준</t>
  </si>
  <si>
    <t>㎡</t>
  </si>
  <si>
    <t>비 고</t>
  </si>
  <si>
    <t>경    비</t>
  </si>
  <si>
    <t>노 무 비</t>
  </si>
  <si>
    <t>재 료 비</t>
  </si>
  <si>
    <t>합    계</t>
  </si>
  <si>
    <t>단 위</t>
  </si>
  <si>
    <t>수 량</t>
  </si>
  <si>
    <t>규    격</t>
  </si>
  <si>
    <t>공 종 명</t>
  </si>
  <si>
    <t>인</t>
  </si>
  <si>
    <t xml:space="preserve">   보통인부</t>
  </si>
  <si>
    <t xml:space="preserve">   배 관 공</t>
  </si>
  <si>
    <t>kg</t>
  </si>
  <si>
    <t>%</t>
  </si>
  <si>
    <t>인력품의</t>
  </si>
  <si>
    <t>L</t>
  </si>
  <si>
    <t>KG</t>
  </si>
  <si>
    <t>수도</t>
  </si>
  <si>
    <t>200Amp</t>
  </si>
  <si>
    <t>50Kw</t>
  </si>
  <si>
    <t>355x3.5mm</t>
  </si>
  <si>
    <t>98% (용접용) 1kg=853ℓ</t>
  </si>
  <si>
    <t>99% 6000ℓ(기체) 40ℓ</t>
  </si>
  <si>
    <t>ℓ</t>
  </si>
  <si>
    <t>조합페인트용</t>
  </si>
  <si>
    <t>인건비의 3%</t>
  </si>
  <si>
    <t>KSM6020 1급 백색 4ℓ</t>
  </si>
  <si>
    <t>금 액</t>
  </si>
  <si>
    <t>단 가</t>
  </si>
  <si>
    <t>단위</t>
  </si>
  <si>
    <t>수량</t>
  </si>
  <si>
    <t>규 격</t>
  </si>
  <si>
    <t>일반기계운전사</t>
  </si>
  <si>
    <t>명    칭</t>
  </si>
  <si>
    <t>바깥층테이프</t>
  </si>
  <si>
    <t>안쪽층테이프</t>
  </si>
  <si>
    <t>매스틱</t>
  </si>
  <si>
    <t xml:space="preserve">TON   </t>
  </si>
  <si>
    <t>단    가</t>
  </si>
  <si>
    <t>고급기술자</t>
  </si>
  <si>
    <t>배 관 공</t>
  </si>
  <si>
    <t>용 접 공(일 반)</t>
  </si>
  <si>
    <t>고급품질관리원</t>
  </si>
  <si>
    <t>보통인부</t>
  </si>
  <si>
    <t>특별인부</t>
  </si>
  <si>
    <t>도 장 공</t>
  </si>
  <si>
    <t>노임</t>
  </si>
  <si>
    <t xml:space="preserve">원    </t>
  </si>
  <si>
    <t>GTR105020</t>
  </si>
  <si>
    <t>20km이내</t>
  </si>
  <si>
    <t>구역화물(10.5ton)</t>
  </si>
  <si>
    <t>G002800</t>
  </si>
  <si>
    <t>도착료</t>
  </si>
  <si>
    <t>하차비(기계하역료)</t>
  </si>
  <si>
    <t>경비</t>
  </si>
  <si>
    <t>0</t>
  </si>
  <si>
    <t>2</t>
  </si>
  <si>
    <t>적용단위</t>
  </si>
  <si>
    <t>비    고</t>
  </si>
  <si>
    <t xml:space="preserve">   값   </t>
  </si>
  <si>
    <t>형    식</t>
  </si>
  <si>
    <t>변 수 명</t>
  </si>
  <si>
    <t>전역변수</t>
  </si>
  <si>
    <t>환율(사용자 환율2)</t>
  </si>
  <si>
    <t>숫자</t>
  </si>
  <si>
    <t>QUS2WON3</t>
  </si>
  <si>
    <t>환율(사용자 환율1)</t>
  </si>
  <si>
    <t>QUS2WON2</t>
  </si>
  <si>
    <t>재료비계금액소숫점</t>
  </si>
  <si>
    <t>문자</t>
  </si>
  <si>
    <t>QDECMA</t>
  </si>
  <si>
    <t>재료비금액소숫점</t>
  </si>
  <si>
    <t>QDECCMA</t>
  </si>
  <si>
    <t>재료비단가소숫점</t>
  </si>
  <si>
    <t>QDECPMA</t>
  </si>
  <si>
    <t>재료비할증계수(주야간)</t>
  </si>
  <si>
    <t>QMINC3</t>
  </si>
  <si>
    <t>재료비할증계수(야간)</t>
  </si>
  <si>
    <t>QMINC2</t>
  </si>
  <si>
    <t>노임계금액소숫점</t>
  </si>
  <si>
    <t>QDECLA</t>
  </si>
  <si>
    <t>노임금액소숫점</t>
  </si>
  <si>
    <t>QDECCLA</t>
  </si>
  <si>
    <t>노임단가소숫점</t>
  </si>
  <si>
    <t>QDECPLA</t>
  </si>
  <si>
    <t>노임할증계수(해상장비:주야간)</t>
  </si>
  <si>
    <t>QLINCZ</t>
  </si>
  <si>
    <t>노임할증계수(해상장비:야간)</t>
  </si>
  <si>
    <t>QLINCY</t>
  </si>
  <si>
    <t>노임할증계수(해상장비:주간)</t>
  </si>
  <si>
    <t>QLINCX</t>
  </si>
  <si>
    <t>노임할증계수(장대터널:주야간)</t>
  </si>
  <si>
    <t>QLINCF</t>
  </si>
  <si>
    <t>노임할증계수(장대터널:야간)</t>
  </si>
  <si>
    <t>QLINCE</t>
  </si>
  <si>
    <t>노임할증계수(장대터널:주간)</t>
  </si>
  <si>
    <t>QLINCD</t>
  </si>
  <si>
    <t>노임할증계수(터널구간:주야간)</t>
  </si>
  <si>
    <t>QLINCC</t>
  </si>
  <si>
    <t>노임할증계수(터널구간:야간)</t>
  </si>
  <si>
    <t>QLINCB</t>
  </si>
  <si>
    <t>노임할증계수(터널구간:주간)</t>
  </si>
  <si>
    <t>QLINCA</t>
  </si>
  <si>
    <t>노임할증계수(일반구간:주야간)</t>
  </si>
  <si>
    <t>QLINC3</t>
  </si>
  <si>
    <t>노임할증계수(일반구간:야간)</t>
  </si>
  <si>
    <t>QLINC2</t>
  </si>
  <si>
    <t>노임할증계수(일반구간:주간)</t>
  </si>
  <si>
    <t>QLINC1</t>
  </si>
  <si>
    <t>시간당노임산출계수(해상장비:버켓준설선)</t>
  </si>
  <si>
    <t>QH33</t>
  </si>
  <si>
    <t>시간당노임산출계수(해상장비:GRAB준설선)</t>
  </si>
  <si>
    <t>QH32</t>
  </si>
  <si>
    <t>시간당노임산출계수(해상장비:펌프준설선)</t>
  </si>
  <si>
    <t>QH31</t>
  </si>
  <si>
    <t>시간당노임산출계수(장대터널)</t>
  </si>
  <si>
    <t>QH21</t>
  </si>
  <si>
    <t>시간당노임산출계수(터널구간)</t>
  </si>
  <si>
    <t>QH2</t>
  </si>
  <si>
    <t>시간당노임산출계수(일반구간)</t>
  </si>
  <si>
    <t>QH1</t>
  </si>
  <si>
    <t>경비계금액소숫점</t>
  </si>
  <si>
    <t>QDECEQ</t>
  </si>
  <si>
    <t>경비금액소숫점</t>
  </si>
  <si>
    <t>QDECCEQ</t>
  </si>
  <si>
    <t>경비단가소숫점</t>
  </si>
  <si>
    <t>QDECPEQ</t>
  </si>
  <si>
    <t>중기주야간할증계수</t>
  </si>
  <si>
    <t>QEINC3</t>
  </si>
  <si>
    <t>중기야간할증계수</t>
  </si>
  <si>
    <t>QEINC2</t>
  </si>
  <si>
    <t>중기주야간경비산출계수</t>
  </si>
  <si>
    <t>(SANG + JUNG + int(KWAN/3))*10^-4</t>
  </si>
  <si>
    <t>QEQTY3</t>
  </si>
  <si>
    <t>중기야간경비산출계수</t>
  </si>
  <si>
    <t>(SANG + JUNG + KWAN)*10^-4</t>
  </si>
  <si>
    <t>QEQTY2</t>
  </si>
  <si>
    <t>중기주간경비산출계수</t>
  </si>
  <si>
    <t>QEQTY1</t>
  </si>
  <si>
    <t>환율(유로화)</t>
  </si>
  <si>
    <t>QECU2WON</t>
  </si>
  <si>
    <t>환율(IMF특별인출권)</t>
  </si>
  <si>
    <t>QSDR2WON</t>
  </si>
  <si>
    <t>환율(마르크화)</t>
  </si>
  <si>
    <t>QDM2WON</t>
  </si>
  <si>
    <t>환율(엔화)</t>
  </si>
  <si>
    <t>QYEN2WON</t>
  </si>
  <si>
    <t>환율(장비가격10만불이상)</t>
  </si>
  <si>
    <t>QUS2WON1</t>
  </si>
  <si>
    <t>환율(장비가격10만불이하)</t>
  </si>
  <si>
    <t>QUS2WON</t>
  </si>
  <si>
    <t>100000000001</t>
  </si>
  <si>
    <t>QCODE</t>
  </si>
  <si>
    <t>중기전역변수</t>
  </si>
  <si>
    <t>건설기계운전사</t>
    <phoneticPr fontId="2" type="noConversion"/>
  </si>
  <si>
    <t>화물차운전사</t>
    <phoneticPr fontId="2" type="noConversion"/>
  </si>
  <si>
    <t>D900㎜</t>
    <phoneticPr fontId="2" type="noConversion"/>
  </si>
  <si>
    <t>10 TON</t>
    <phoneticPr fontId="2" type="noConversion"/>
  </si>
  <si>
    <t xml:space="preserve">   트럭탑제형 크레인</t>
    <phoneticPr fontId="2" type="noConversion"/>
  </si>
  <si>
    <t>4.0㎜  KSD5316</t>
  </si>
  <si>
    <t>D1500㎜이하</t>
    <phoneticPr fontId="2" type="noConversion"/>
  </si>
  <si>
    <t>7MM(KSM-6609)</t>
    <phoneticPr fontId="2" type="noConversion"/>
  </si>
  <si>
    <t>D100㎜</t>
    <phoneticPr fontId="2" type="noConversion"/>
  </si>
  <si>
    <t>D150㎜</t>
    <phoneticPr fontId="2" type="noConversion"/>
  </si>
  <si>
    <t>D200㎜</t>
    <phoneticPr fontId="2" type="noConversion"/>
  </si>
  <si>
    <t>D250㎜</t>
    <phoneticPr fontId="2" type="noConversion"/>
  </si>
  <si>
    <t>D300㎜</t>
    <phoneticPr fontId="2" type="noConversion"/>
  </si>
  <si>
    <t>D350㎜</t>
    <phoneticPr fontId="2" type="noConversion"/>
  </si>
  <si>
    <t>D400㎜</t>
    <phoneticPr fontId="2" type="noConversion"/>
  </si>
  <si>
    <t>D500㎜</t>
    <phoneticPr fontId="2" type="noConversion"/>
  </si>
  <si>
    <t>D450㎜</t>
    <phoneticPr fontId="2" type="noConversion"/>
  </si>
  <si>
    <t>D600㎜</t>
    <phoneticPr fontId="2" type="noConversion"/>
  </si>
  <si>
    <t>D700㎜</t>
    <phoneticPr fontId="2" type="noConversion"/>
  </si>
  <si>
    <t>D800㎜</t>
    <phoneticPr fontId="2" type="noConversion"/>
  </si>
  <si>
    <t>D1000㎜</t>
    <phoneticPr fontId="2" type="noConversion"/>
  </si>
  <si>
    <t>D1100㎜</t>
    <phoneticPr fontId="2" type="noConversion"/>
  </si>
  <si>
    <t>D1200㎜</t>
    <phoneticPr fontId="2" type="noConversion"/>
  </si>
  <si>
    <t>D1350㎜</t>
    <phoneticPr fontId="2" type="noConversion"/>
  </si>
  <si>
    <t>D1500㎜</t>
    <phoneticPr fontId="2" type="noConversion"/>
  </si>
  <si>
    <t>D1650㎜</t>
    <phoneticPr fontId="2" type="noConversion"/>
  </si>
  <si>
    <t>D1800㎜</t>
    <phoneticPr fontId="2" type="noConversion"/>
  </si>
  <si>
    <t>D2000㎜</t>
    <phoneticPr fontId="2" type="noConversion"/>
  </si>
  <si>
    <t>D2200㎜</t>
    <phoneticPr fontId="2" type="noConversion"/>
  </si>
  <si>
    <t>D2400㎜</t>
    <phoneticPr fontId="2" type="noConversion"/>
  </si>
  <si>
    <t>15 TON</t>
    <phoneticPr fontId="2" type="noConversion"/>
  </si>
  <si>
    <t>D80㎜</t>
    <phoneticPr fontId="2" type="noConversion"/>
  </si>
  <si>
    <t>15kg(18ℓ)/can</t>
  </si>
  <si>
    <t>3T x 40 x 6m</t>
  </si>
  <si>
    <t>0.508mm x 100mm x 30m</t>
  </si>
  <si>
    <t>0.381mm x 100mm x 30m</t>
  </si>
  <si>
    <t>D300㎜적용(80/300=0.2667)</t>
    <phoneticPr fontId="2" type="noConversion"/>
  </si>
  <si>
    <t>D300㎜적용(100/300=0.3333)</t>
    <phoneticPr fontId="2" type="noConversion"/>
  </si>
  <si>
    <t>D300㎜적용(200/300=0.6667)</t>
    <phoneticPr fontId="2" type="noConversion"/>
  </si>
  <si>
    <t>D300㎜적용(250/300=0.8333)</t>
    <phoneticPr fontId="2" type="noConversion"/>
  </si>
  <si>
    <t>D300㎜적용(150/300=0.5000)</t>
    <phoneticPr fontId="2" type="noConversion"/>
  </si>
  <si>
    <t>D700</t>
    <phoneticPr fontId="2" type="noConversion"/>
  </si>
  <si>
    <t>D900</t>
    <phoneticPr fontId="2" type="noConversion"/>
  </si>
  <si>
    <t>D1350</t>
    <phoneticPr fontId="2" type="noConversion"/>
  </si>
  <si>
    <t>D1500</t>
    <phoneticPr fontId="2" type="noConversion"/>
  </si>
  <si>
    <t>D1800</t>
    <phoneticPr fontId="2" type="noConversion"/>
  </si>
  <si>
    <t>D80㎜(인력)</t>
    <phoneticPr fontId="2" type="noConversion"/>
  </si>
  <si>
    <t>D100㎜(인력)</t>
    <phoneticPr fontId="2" type="noConversion"/>
  </si>
  <si>
    <t>D150㎜(인력)</t>
    <phoneticPr fontId="2" type="noConversion"/>
  </si>
  <si>
    <t xml:space="preserve">   공구손료 및 잡재료</t>
    <phoneticPr fontId="2" type="noConversion"/>
  </si>
  <si>
    <t>노무비의 %</t>
  </si>
  <si>
    <t>노무비의 %</t>
    <phoneticPr fontId="2" type="noConversion"/>
  </si>
  <si>
    <t>%</t>
    <phoneticPr fontId="2" type="noConversion"/>
  </si>
  <si>
    <t>D150㎜</t>
    <phoneticPr fontId="2" type="noConversion"/>
  </si>
  <si>
    <t>D80㎜, 이탈방지압륜</t>
    <phoneticPr fontId="2" type="noConversion"/>
  </si>
  <si>
    <t>D150㎜, 이탈방지압륜</t>
    <phoneticPr fontId="2" type="noConversion"/>
  </si>
  <si>
    <t>D200㎜, 이탈방지압륜</t>
    <phoneticPr fontId="2" type="noConversion"/>
  </si>
  <si>
    <t>D250㎜, 이탈방지압륜</t>
    <phoneticPr fontId="2" type="noConversion"/>
  </si>
  <si>
    <t>D300㎜, 이탈방지압륜</t>
    <phoneticPr fontId="2" type="noConversion"/>
  </si>
  <si>
    <t>D350㎜, 이탈방지압륜</t>
    <phoneticPr fontId="2" type="noConversion"/>
  </si>
  <si>
    <t>D400㎜, 이탈방지압륜</t>
    <phoneticPr fontId="2" type="noConversion"/>
  </si>
  <si>
    <t>D450㎜, 이탈방지압륜</t>
    <phoneticPr fontId="2" type="noConversion"/>
  </si>
  <si>
    <t>D500㎜, 이탈방지압륜</t>
    <phoneticPr fontId="2" type="noConversion"/>
  </si>
  <si>
    <t>D600㎜, 이탈방지압륜</t>
    <phoneticPr fontId="2" type="noConversion"/>
  </si>
  <si>
    <t>D700㎜, 이탈방지압륜</t>
    <phoneticPr fontId="2" type="noConversion"/>
  </si>
  <si>
    <t>D800㎜, 이탈방지압륜</t>
    <phoneticPr fontId="2" type="noConversion"/>
  </si>
  <si>
    <t>D900㎜, 이탈방지압륜</t>
    <phoneticPr fontId="2" type="noConversion"/>
  </si>
  <si>
    <t>D1000㎜, 이탈방지압륜</t>
    <phoneticPr fontId="2" type="noConversion"/>
  </si>
  <si>
    <t>D1100㎜, 이탈방지압륜</t>
    <phoneticPr fontId="2" type="noConversion"/>
  </si>
  <si>
    <t>D1200㎜, 이탈방지압륜</t>
    <phoneticPr fontId="2" type="noConversion"/>
  </si>
  <si>
    <t>5 TON</t>
    <phoneticPr fontId="2" type="noConversion"/>
  </si>
  <si>
    <t>10 TON</t>
    <phoneticPr fontId="2" type="noConversion"/>
  </si>
  <si>
    <t>배 관 공</t>
    <phoneticPr fontId="2" type="noConversion"/>
  </si>
  <si>
    <t>철    공</t>
    <phoneticPr fontId="2" type="noConversion"/>
  </si>
  <si>
    <t>ton</t>
    <phoneticPr fontId="2" type="noConversion"/>
  </si>
  <si>
    <t>제품 설치</t>
    <phoneticPr fontId="2" type="noConversion"/>
  </si>
  <si>
    <t>규격철물 설치</t>
    <phoneticPr fontId="2" type="noConversion"/>
  </si>
  <si>
    <t>현장제작 설치</t>
    <phoneticPr fontId="2" type="noConversion"/>
  </si>
  <si>
    <t>18 TON</t>
    <phoneticPr fontId="2" type="noConversion"/>
  </si>
  <si>
    <t>20 TON</t>
    <phoneticPr fontId="2" type="noConversion"/>
  </si>
  <si>
    <t>토목6-8-7</t>
    <phoneticPr fontId="2" type="noConversion"/>
  </si>
  <si>
    <t>강관부설(인력)</t>
    <phoneticPr fontId="2" type="noConversion"/>
  </si>
  <si>
    <t>강관부설(기계)</t>
  </si>
  <si>
    <t>강관부설(기계)</t>
    <phoneticPr fontId="2" type="noConversion"/>
  </si>
  <si>
    <t>nr</t>
    <phoneticPr fontId="2" type="noConversion"/>
  </si>
  <si>
    <t>hr</t>
    <phoneticPr fontId="2" type="noConversion"/>
  </si>
  <si>
    <t>강관접합(A종)</t>
    <phoneticPr fontId="2" type="noConversion"/>
  </si>
  <si>
    <t>발전기(1대)+용접기(2대)조합</t>
    <phoneticPr fontId="2" type="noConversion"/>
  </si>
  <si>
    <t>강관접합(B종)</t>
    <phoneticPr fontId="2" type="noConversion"/>
  </si>
  <si>
    <t>D125㎜</t>
    <phoneticPr fontId="2" type="noConversion"/>
  </si>
  <si>
    <t>삭제</t>
    <phoneticPr fontId="2" type="noConversion"/>
  </si>
  <si>
    <t>강관도장(외부)</t>
    <phoneticPr fontId="2" type="noConversion"/>
  </si>
  <si>
    <t xml:space="preserve"> 배 관 공</t>
    <phoneticPr fontId="2" type="noConversion"/>
  </si>
  <si>
    <t xml:space="preserve"> 보통인부</t>
    <phoneticPr fontId="2" type="noConversion"/>
  </si>
  <si>
    <t xml:space="preserve"> 트럭탑제형 크레인</t>
    <phoneticPr fontId="2" type="noConversion"/>
  </si>
  <si>
    <t xml:space="preserve"> 용접봉(고장력강용)</t>
    <phoneticPr fontId="2" type="noConversion"/>
  </si>
  <si>
    <t xml:space="preserve"> 용 접 공(일 반)</t>
    <phoneticPr fontId="2" type="noConversion"/>
  </si>
  <si>
    <t xml:space="preserve"> 발전기</t>
    <phoneticPr fontId="2" type="noConversion"/>
  </si>
  <si>
    <t xml:space="preserve"> 용접기(교류)</t>
    <phoneticPr fontId="2" type="noConversion"/>
  </si>
  <si>
    <t xml:space="preserve"> 강관도장(외부)</t>
    <phoneticPr fontId="2" type="noConversion"/>
  </si>
  <si>
    <t xml:space="preserve"> 액상접착재</t>
    <phoneticPr fontId="2" type="noConversion"/>
  </si>
  <si>
    <t xml:space="preserve"> 매스틱</t>
    <phoneticPr fontId="2" type="noConversion"/>
  </si>
  <si>
    <t xml:space="preserve"> 안쪽층테이프</t>
    <phoneticPr fontId="2" type="noConversion"/>
  </si>
  <si>
    <t xml:space="preserve"> 바깥층테이프</t>
    <phoneticPr fontId="2" type="noConversion"/>
  </si>
  <si>
    <t xml:space="preserve"> 도 장 공</t>
    <phoneticPr fontId="2" type="noConversion"/>
  </si>
  <si>
    <t>강관도장(내,외부)</t>
    <phoneticPr fontId="2" type="noConversion"/>
  </si>
  <si>
    <t xml:space="preserve"> 프라이머</t>
    <phoneticPr fontId="2" type="noConversion"/>
  </si>
  <si>
    <t xml:space="preserve"> 에폭시</t>
    <phoneticPr fontId="2" type="noConversion"/>
  </si>
  <si>
    <t xml:space="preserve"> 신너</t>
    <phoneticPr fontId="2" type="noConversion"/>
  </si>
  <si>
    <t>강관용접부 산소압축시험</t>
    <phoneticPr fontId="2" type="noConversion"/>
  </si>
  <si>
    <t xml:space="preserve"> 산소</t>
    <phoneticPr fontId="2" type="noConversion"/>
  </si>
  <si>
    <t xml:space="preserve"> 조합페인트</t>
    <phoneticPr fontId="2" type="noConversion"/>
  </si>
  <si>
    <t xml:space="preserve"> 고압호스</t>
    <phoneticPr fontId="2" type="noConversion"/>
  </si>
  <si>
    <t xml:space="preserve"> 고급품질관리원</t>
    <phoneticPr fontId="2" type="noConversion"/>
  </si>
  <si>
    <t xml:space="preserve"> 기구손료</t>
    <phoneticPr fontId="2" type="noConversion"/>
  </si>
  <si>
    <t>D1650㎜이상</t>
  </si>
  <si>
    <t>강관절단(A종)</t>
    <phoneticPr fontId="2" type="noConversion"/>
  </si>
  <si>
    <t xml:space="preserve"> 아세칠렌</t>
    <phoneticPr fontId="2" type="noConversion"/>
  </si>
  <si>
    <t xml:space="preserve"> 연마숫돌</t>
    <phoneticPr fontId="2" type="noConversion"/>
  </si>
  <si>
    <t xml:space="preserve"> 공구손료 및 경장비</t>
    <phoneticPr fontId="2" type="noConversion"/>
  </si>
  <si>
    <t>강관절단(B종)</t>
    <phoneticPr fontId="2" type="noConversion"/>
  </si>
  <si>
    <t>수공일위대가</t>
    <phoneticPr fontId="2" type="noConversion"/>
  </si>
  <si>
    <t>일위대가_호표_주철관부설</t>
    <phoneticPr fontId="2" type="noConversion"/>
  </si>
  <si>
    <t>일위대가_호표_강관용접(용접봉-2010년 표준품셈 기준)</t>
    <phoneticPr fontId="2" type="noConversion"/>
  </si>
  <si>
    <t>일위대가_호표_강관도장(재료비-2010년 표준품셈 기준)</t>
    <phoneticPr fontId="2" type="noConversion"/>
  </si>
  <si>
    <t>일위대가_호표_강관절단(재료비-2010년 표준품셈 기준)</t>
    <phoneticPr fontId="2" type="noConversion"/>
  </si>
  <si>
    <t>D100㎜이하</t>
    <phoneticPr fontId="2" type="noConversion"/>
  </si>
  <si>
    <t>KP메카니컬접합</t>
    <phoneticPr fontId="2" type="noConversion"/>
  </si>
  <si>
    <t xml:space="preserve"> 공구손료 및 잡재료</t>
    <phoneticPr fontId="2" type="noConversion"/>
  </si>
  <si>
    <t xml:space="preserve"> 이탈방지압륜 할증</t>
    <phoneticPr fontId="2" type="noConversion"/>
  </si>
  <si>
    <t>D100㎜이하, 이탈방지압륜</t>
    <phoneticPr fontId="2" type="noConversion"/>
  </si>
  <si>
    <t>주철관 절단</t>
    <phoneticPr fontId="2" type="noConversion"/>
  </si>
  <si>
    <t>토목6-2-4</t>
  </si>
  <si>
    <t>토목6-2-3</t>
    <phoneticPr fontId="2" type="noConversion"/>
  </si>
  <si>
    <t>일위대가_호표_플랜지접합(접합부속 별도)</t>
    <phoneticPr fontId="2" type="noConversion"/>
  </si>
  <si>
    <t>플랜지조인트접합</t>
    <phoneticPr fontId="2" type="noConversion"/>
  </si>
  <si>
    <t>일위대가목록</t>
    <phoneticPr fontId="2" type="noConversion"/>
  </si>
  <si>
    <t>토목6-8-1</t>
    <phoneticPr fontId="2" type="noConversion"/>
  </si>
  <si>
    <t>토목6-8-2</t>
    <phoneticPr fontId="2" type="noConversion"/>
  </si>
  <si>
    <t>토목6-8-3</t>
    <phoneticPr fontId="2" type="noConversion"/>
  </si>
  <si>
    <t>버터플라이 제수밸브 부설 및 접합</t>
    <phoneticPr fontId="2" type="noConversion"/>
  </si>
  <si>
    <t>주철제 게이트 제수밸브 부설 및 접합</t>
    <phoneticPr fontId="2" type="noConversion"/>
  </si>
  <si>
    <t>강관제 게이트 제수밸브 부설 및 접합</t>
    <phoneticPr fontId="2" type="noConversion"/>
  </si>
  <si>
    <t>D200㎜, 주철제·강관제</t>
    <phoneticPr fontId="2" type="noConversion"/>
  </si>
  <si>
    <t>D250㎜, 주철제·강관제</t>
    <phoneticPr fontId="2" type="noConversion"/>
  </si>
  <si>
    <t>D300㎜, 주철제·강관제</t>
    <phoneticPr fontId="2" type="noConversion"/>
  </si>
  <si>
    <t>D350㎜, 주철제·강관제</t>
    <phoneticPr fontId="2" type="noConversion"/>
  </si>
  <si>
    <t>D400㎜, 주철제·강관제</t>
    <phoneticPr fontId="2" type="noConversion"/>
  </si>
  <si>
    <t>D450㎜, 주철제·강관제</t>
    <phoneticPr fontId="2" type="noConversion"/>
  </si>
  <si>
    <t>D500㎜, 주철제·강관제</t>
    <phoneticPr fontId="2" type="noConversion"/>
  </si>
  <si>
    <t>D600㎜, 주철제·강관제</t>
    <phoneticPr fontId="2" type="noConversion"/>
  </si>
  <si>
    <t>D700㎜, 강관제</t>
    <phoneticPr fontId="2" type="noConversion"/>
  </si>
  <si>
    <t>D700㎜, 주철제</t>
    <phoneticPr fontId="2" type="noConversion"/>
  </si>
  <si>
    <t>D800㎜, 주철제·강관제</t>
    <phoneticPr fontId="2" type="noConversion"/>
  </si>
  <si>
    <t>D900㎜, 주철제</t>
    <phoneticPr fontId="2" type="noConversion"/>
  </si>
  <si>
    <t>D900㎜, 강관제</t>
    <phoneticPr fontId="2" type="noConversion"/>
  </si>
  <si>
    <t>D1000㎜, 주철제·강관제</t>
    <phoneticPr fontId="2" type="noConversion"/>
  </si>
  <si>
    <t>D1100㎜, 주철제·강관제</t>
    <phoneticPr fontId="2" type="noConversion"/>
  </si>
  <si>
    <t>D1200㎜, 주철제·강관제</t>
    <phoneticPr fontId="2" type="noConversion"/>
  </si>
  <si>
    <t>D1350㎜, 주철제·강관제</t>
    <phoneticPr fontId="2" type="noConversion"/>
  </si>
  <si>
    <t>D1500㎜, 주철제·강관제</t>
    <phoneticPr fontId="2" type="noConversion"/>
  </si>
  <si>
    <t>D1650㎜, 주철제·강관제</t>
    <phoneticPr fontId="2" type="noConversion"/>
  </si>
  <si>
    <t>D1800㎜, 주철제·강관제</t>
    <phoneticPr fontId="2" type="noConversion"/>
  </si>
  <si>
    <t>D2000㎜, 주철제·강관제</t>
    <phoneticPr fontId="2" type="noConversion"/>
  </si>
  <si>
    <t>D2100㎜, 주철제</t>
    <phoneticPr fontId="2" type="noConversion"/>
  </si>
  <si>
    <t>D2100㎜, 강관제</t>
    <phoneticPr fontId="2" type="noConversion"/>
  </si>
  <si>
    <t>일위대가_호표_KP메커니컬접합</t>
    <phoneticPr fontId="2" type="noConversion"/>
  </si>
  <si>
    <t>일위대가_호표_주철관절단</t>
    <phoneticPr fontId="2" type="noConversion"/>
  </si>
  <si>
    <t>일위대가_호표_밸브</t>
    <phoneticPr fontId="2" type="noConversion"/>
  </si>
  <si>
    <t>D2200㎜, 주철제·강관제</t>
    <phoneticPr fontId="2" type="noConversion"/>
  </si>
  <si>
    <t>D2400㎜, 주철제·강관제</t>
    <phoneticPr fontId="2" type="noConversion"/>
  </si>
  <si>
    <t>건축8-3-1</t>
    <phoneticPr fontId="2" type="noConversion"/>
  </si>
  <si>
    <t>일위대가_호표_잡철물</t>
    <phoneticPr fontId="2" type="noConversion"/>
  </si>
  <si>
    <t>잡철물 제작 및 설치</t>
    <phoneticPr fontId="2" type="noConversion"/>
  </si>
  <si>
    <t xml:space="preserve"> 철    공</t>
    <phoneticPr fontId="2" type="noConversion"/>
  </si>
  <si>
    <t xml:space="preserve"> 용 접 공</t>
    <phoneticPr fontId="2" type="noConversion"/>
  </si>
  <si>
    <t xml:space="preserve"> 특별인부</t>
    <phoneticPr fontId="2" type="noConversion"/>
  </si>
  <si>
    <t xml:space="preserve"> 공구손료 및 기계경비</t>
    <phoneticPr fontId="2" type="noConversion"/>
  </si>
  <si>
    <t xml:space="preserve"> 잡재료</t>
    <phoneticPr fontId="2" type="noConversion"/>
  </si>
  <si>
    <t>㎡</t>
    <phoneticPr fontId="2" type="noConversion"/>
  </si>
  <si>
    <t>인</t>
    <phoneticPr fontId="2" type="noConversion"/>
  </si>
  <si>
    <t xml:space="preserve"> 크레인(타이어)</t>
    <phoneticPr fontId="2" type="noConversion"/>
  </si>
  <si>
    <t>D800㎜, 내·외부용접</t>
    <phoneticPr fontId="2" type="noConversion"/>
  </si>
  <si>
    <t>D900㎜, 내·외부용접</t>
    <phoneticPr fontId="2" type="noConversion"/>
  </si>
  <si>
    <t>D1000㎜, 내·외부용접</t>
    <phoneticPr fontId="2" type="noConversion"/>
  </si>
  <si>
    <t>D1100㎜, 내·외부용접</t>
    <phoneticPr fontId="2" type="noConversion"/>
  </si>
  <si>
    <t>D1200㎜, 내·외부용접</t>
    <phoneticPr fontId="2" type="noConversion"/>
  </si>
  <si>
    <t>D1350㎜, 내·외부용접</t>
    <phoneticPr fontId="2" type="noConversion"/>
  </si>
  <si>
    <t>D1500㎜, 내·외부용접</t>
    <phoneticPr fontId="2" type="noConversion"/>
  </si>
  <si>
    <t>D1650㎜, 내·외부용접</t>
    <phoneticPr fontId="2" type="noConversion"/>
  </si>
  <si>
    <t>D1800㎜, 내·외부용접</t>
    <phoneticPr fontId="2" type="noConversion"/>
  </si>
  <si>
    <t>D2000㎜, 내·외부용접</t>
    <phoneticPr fontId="2" type="noConversion"/>
  </si>
  <si>
    <t>D2200㎜, 내·외부용접</t>
    <phoneticPr fontId="2" type="noConversion"/>
  </si>
  <si>
    <t>D2400㎜, 내·외부용접</t>
    <phoneticPr fontId="2" type="noConversion"/>
  </si>
  <si>
    <t>D700㎜, 외부용접</t>
    <phoneticPr fontId="2" type="noConversion"/>
  </si>
  <si>
    <t>D600㎜, 외부용접</t>
    <phoneticPr fontId="2" type="noConversion"/>
  </si>
  <si>
    <t>D500㎜, 외부용접</t>
    <phoneticPr fontId="2" type="noConversion"/>
  </si>
  <si>
    <t>D450㎜, 외부용접</t>
    <phoneticPr fontId="2" type="noConversion"/>
  </si>
  <si>
    <t>D400㎜, 외부용접</t>
    <phoneticPr fontId="2" type="noConversion"/>
  </si>
  <si>
    <t>D350㎜, 외부용접</t>
    <phoneticPr fontId="2" type="noConversion"/>
  </si>
  <si>
    <t>D300㎜, 외부용접</t>
    <phoneticPr fontId="2" type="noConversion"/>
  </si>
  <si>
    <t>D250㎜, 외부용접</t>
    <phoneticPr fontId="2" type="noConversion"/>
  </si>
  <si>
    <t>D200㎜, 외부용접</t>
    <phoneticPr fontId="2" type="noConversion"/>
  </si>
  <si>
    <t>D150㎜, 외부용접</t>
    <phoneticPr fontId="2" type="noConversion"/>
  </si>
  <si>
    <t>D125㎜, 외부용접</t>
    <phoneticPr fontId="2" type="noConversion"/>
  </si>
  <si>
    <t>D100㎜ 이하, 외부용접</t>
    <phoneticPr fontId="2" type="noConversion"/>
  </si>
  <si>
    <t>일/본</t>
    <phoneticPr fontId="2" type="noConversion"/>
  </si>
  <si>
    <t xml:space="preserve"> 일 시공량</t>
    <phoneticPr fontId="2" type="noConversion"/>
  </si>
  <si>
    <t>일위대가_호표_강관부설(2025년)</t>
    <phoneticPr fontId="2" type="noConversion"/>
  </si>
  <si>
    <t>일/개소</t>
    <phoneticPr fontId="2" type="noConversion"/>
  </si>
  <si>
    <t>인력품의</t>
    <phoneticPr fontId="2" type="noConversion"/>
  </si>
  <si>
    <t>합판거푸집</t>
    <phoneticPr fontId="2" type="noConversion"/>
  </si>
  <si>
    <t>장비 타설</t>
    <phoneticPr fontId="2" type="noConversion"/>
  </si>
  <si>
    <t xml:space="preserve"> 콘크리트공</t>
    <phoneticPr fontId="2" type="noConversion"/>
  </si>
  <si>
    <t>콘크리트공</t>
    <phoneticPr fontId="2" type="noConversion"/>
  </si>
  <si>
    <t>3인×(63㎥/일×50%)</t>
    <phoneticPr fontId="2" type="noConversion"/>
  </si>
  <si>
    <t>1인×(63㎥/일×50%)</t>
    <phoneticPr fontId="2" type="noConversion"/>
  </si>
  <si>
    <t xml:space="preserve"> 굴삭기(타이어)</t>
    <phoneticPr fontId="2" type="noConversion"/>
  </si>
  <si>
    <t>토목6-1-1</t>
    <phoneticPr fontId="2" type="noConversion"/>
  </si>
  <si>
    <t>6회, 간단</t>
    <phoneticPr fontId="2" type="noConversion"/>
  </si>
  <si>
    <t xml:space="preserve"> 합판</t>
    <phoneticPr fontId="2" type="noConversion"/>
  </si>
  <si>
    <t xml:space="preserve"> 각재</t>
    <phoneticPr fontId="2" type="noConversion"/>
  </si>
  <si>
    <t xml:space="preserve"> 소모자재</t>
    <phoneticPr fontId="2" type="noConversion"/>
  </si>
  <si>
    <t xml:space="preserve"> 형틀목공</t>
    <phoneticPr fontId="2" type="noConversion"/>
  </si>
  <si>
    <t>형틀목공</t>
    <phoneticPr fontId="2" type="noConversion"/>
  </si>
  <si>
    <t>5인×(50㎡/일)</t>
    <phoneticPr fontId="2" type="noConversion"/>
  </si>
  <si>
    <t>2인×(50㎡/일)</t>
    <phoneticPr fontId="2" type="noConversion"/>
  </si>
  <si>
    <t>주자재비의 %</t>
    <phoneticPr fontId="2" type="noConversion"/>
  </si>
  <si>
    <t>내수합판(4"*8")</t>
    <phoneticPr fontId="2" type="noConversion"/>
  </si>
  <si>
    <t>미송각재</t>
    <phoneticPr fontId="2" type="noConversion"/>
  </si>
  <si>
    <t xml:space="preserve"> 콘크리트 타설</t>
    <phoneticPr fontId="2" type="noConversion"/>
  </si>
  <si>
    <t xml:space="preserve"> 합판거푸집</t>
    <phoneticPr fontId="2" type="noConversion"/>
  </si>
  <si>
    <t>장비 타설</t>
  </si>
  <si>
    <t>6회, 간단</t>
  </si>
  <si>
    <t>피팅보호공</t>
    <phoneticPr fontId="2" type="noConversion"/>
  </si>
  <si>
    <t>㎥</t>
  </si>
  <si>
    <t>㎥</t>
    <phoneticPr fontId="2" type="noConversion"/>
  </si>
  <si>
    <t>0.6 M3, 1대×(63㎥/8시간×50%)</t>
    <phoneticPr fontId="2" type="noConversion"/>
  </si>
  <si>
    <t>개소</t>
    <phoneticPr fontId="2" type="noConversion"/>
  </si>
  <si>
    <t>K.P메카니컬 접합 및 부설</t>
    <phoneticPr fontId="2" type="noConversion"/>
  </si>
  <si>
    <t xml:space="preserve"> 공구손료 및 잡재료</t>
  </si>
  <si>
    <t>토목6-2-2</t>
    <phoneticPr fontId="2" type="noConversion"/>
  </si>
  <si>
    <t>강관철거</t>
  </si>
  <si>
    <t>강관절단(철거)</t>
  </si>
  <si>
    <t>D80㎜</t>
  </si>
  <si>
    <t>D100㎜</t>
  </si>
  <si>
    <t>D150㎜</t>
  </si>
  <si>
    <t>D200㎜</t>
  </si>
  <si>
    <t>D250㎜</t>
  </si>
  <si>
    <t>D300㎜</t>
  </si>
  <si>
    <t>D350㎜</t>
  </si>
  <si>
    <t>D400㎜</t>
  </si>
  <si>
    <t>D450㎜</t>
  </si>
  <si>
    <t>D500㎜</t>
  </si>
  <si>
    <t>D600㎜</t>
  </si>
  <si>
    <t>D700㎜</t>
  </si>
  <si>
    <t>D800㎜</t>
  </si>
  <si>
    <t>D900㎜</t>
  </si>
  <si>
    <t>D1000㎜</t>
  </si>
  <si>
    <t>D1100㎜</t>
  </si>
  <si>
    <t>D1200㎜</t>
  </si>
  <si>
    <t>D1350㎜</t>
  </si>
  <si>
    <t>D1500㎜</t>
  </si>
  <si>
    <t>D1650㎜</t>
  </si>
  <si>
    <t>D1800㎜</t>
  </si>
  <si>
    <t>D2000㎜</t>
  </si>
  <si>
    <t>D2200㎜</t>
  </si>
  <si>
    <t>D2400㎜</t>
  </si>
  <si>
    <t>강관철거</t>
    <phoneticPr fontId="2" type="noConversion"/>
  </si>
  <si>
    <t>개소</t>
    <phoneticPr fontId="2" type="noConversion"/>
  </si>
  <si>
    <t>부설의 50%</t>
    <phoneticPr fontId="2" type="noConversion"/>
  </si>
  <si>
    <t>nr</t>
    <phoneticPr fontId="2" type="noConversion"/>
  </si>
  <si>
    <t>절단(철거)</t>
    <phoneticPr fontId="2" type="noConversion"/>
  </si>
  <si>
    <t>개소</t>
    <phoneticPr fontId="2" type="noConversion"/>
  </si>
  <si>
    <t>부설의 50%</t>
    <phoneticPr fontId="2" type="noConversion"/>
  </si>
  <si>
    <t>절단(철거)</t>
    <phoneticPr fontId="2" type="noConversion"/>
  </si>
  <si>
    <t>개소</t>
    <phoneticPr fontId="2" type="noConversion"/>
  </si>
  <si>
    <t>nr</t>
    <phoneticPr fontId="2" type="noConversion"/>
  </si>
  <si>
    <t>절단(철거)</t>
    <phoneticPr fontId="2" type="noConversion"/>
  </si>
  <si>
    <t>강관철거</t>
    <phoneticPr fontId="2" type="noConversion"/>
  </si>
  <si>
    <t>nr</t>
    <phoneticPr fontId="2" type="noConversion"/>
  </si>
  <si>
    <t>강관철거</t>
    <phoneticPr fontId="2" type="noConversion"/>
  </si>
  <si>
    <t>부설의 50%</t>
    <phoneticPr fontId="2" type="noConversion"/>
  </si>
  <si>
    <t>강관철거</t>
    <phoneticPr fontId="2" type="noConversion"/>
  </si>
  <si>
    <t>nr</t>
    <phoneticPr fontId="2" type="noConversion"/>
  </si>
  <si>
    <t>강관철거</t>
    <phoneticPr fontId="2" type="noConversion"/>
  </si>
  <si>
    <t>개소</t>
    <phoneticPr fontId="2" type="noConversion"/>
  </si>
  <si>
    <t>부설의 50%</t>
    <phoneticPr fontId="2" type="noConversion"/>
  </si>
  <si>
    <t>nr</t>
    <phoneticPr fontId="2" type="noConversion"/>
  </si>
  <si>
    <t>절단(철거)</t>
    <phoneticPr fontId="2" type="noConversion"/>
  </si>
  <si>
    <t>부설의 50%</t>
    <phoneticPr fontId="2" type="noConversion"/>
  </si>
  <si>
    <t>강관철거</t>
    <phoneticPr fontId="2" type="noConversion"/>
  </si>
  <si>
    <t>부설의 50%</t>
    <phoneticPr fontId="2" type="noConversion"/>
  </si>
  <si>
    <t>nr</t>
    <phoneticPr fontId="2" type="noConversion"/>
  </si>
  <si>
    <t>절단(철거)</t>
    <phoneticPr fontId="2" type="noConversion"/>
  </si>
  <si>
    <t>nr</t>
    <phoneticPr fontId="2" type="noConversion"/>
  </si>
  <si>
    <t>부설의 50%</t>
    <phoneticPr fontId="2" type="noConversion"/>
  </si>
  <si>
    <t>nr</t>
    <phoneticPr fontId="2" type="noConversion"/>
  </si>
  <si>
    <t>절단(철거)</t>
    <phoneticPr fontId="2" type="noConversion"/>
  </si>
  <si>
    <t>강관철거</t>
    <phoneticPr fontId="2" type="noConversion"/>
  </si>
  <si>
    <t>개소</t>
    <phoneticPr fontId="2" type="noConversion"/>
  </si>
  <si>
    <t>절단(철거)</t>
    <phoneticPr fontId="2" type="noConversion"/>
  </si>
  <si>
    <t>강관철거</t>
    <phoneticPr fontId="2" type="noConversion"/>
  </si>
  <si>
    <t>부설의 50%</t>
    <phoneticPr fontId="2" type="noConversion"/>
  </si>
  <si>
    <t>강관철거</t>
    <phoneticPr fontId="2" type="noConversion"/>
  </si>
  <si>
    <t>개소</t>
    <phoneticPr fontId="2" type="noConversion"/>
  </si>
  <si>
    <t>nr</t>
    <phoneticPr fontId="2" type="noConversion"/>
  </si>
  <si>
    <t>nr</t>
    <phoneticPr fontId="2" type="noConversion"/>
  </si>
  <si>
    <t>절단(철거)</t>
    <phoneticPr fontId="2" type="noConversion"/>
  </si>
  <si>
    <t>강관철거</t>
    <phoneticPr fontId="2" type="noConversion"/>
  </si>
  <si>
    <t>nr</t>
    <phoneticPr fontId="2" type="noConversion"/>
  </si>
  <si>
    <t>절단(철거)</t>
    <phoneticPr fontId="2" type="noConversion"/>
  </si>
  <si>
    <t>강관철거</t>
    <phoneticPr fontId="2" type="noConversion"/>
  </si>
  <si>
    <t>부설의 50%</t>
    <phoneticPr fontId="2" type="noConversion"/>
  </si>
  <si>
    <t>nr</t>
    <phoneticPr fontId="2" type="noConversion"/>
  </si>
  <si>
    <t>절단(철거)</t>
    <phoneticPr fontId="2" type="noConversion"/>
  </si>
  <si>
    <t>D1650㎜</t>
    <phoneticPr fontId="2" type="noConversion"/>
  </si>
  <si>
    <t>개소</t>
    <phoneticPr fontId="2" type="noConversion"/>
  </si>
  <si>
    <t>부설의 50%</t>
    <phoneticPr fontId="2" type="noConversion"/>
  </si>
  <si>
    <t>nr</t>
    <phoneticPr fontId="2" type="noConversion"/>
  </si>
  <si>
    <t>D100㎜ 이하</t>
    <phoneticPr fontId="2" type="noConversion"/>
  </si>
  <si>
    <t>D150㎜</t>
    <phoneticPr fontId="2" type="noConversion"/>
  </si>
  <si>
    <t>D200㎜</t>
    <phoneticPr fontId="2" type="noConversion"/>
  </si>
  <si>
    <t>D250㎜</t>
    <phoneticPr fontId="2" type="noConversion"/>
  </si>
  <si>
    <t>D300㎜</t>
    <phoneticPr fontId="2" type="noConversion"/>
  </si>
  <si>
    <t>D350㎜</t>
    <phoneticPr fontId="2" type="noConversion"/>
  </si>
  <si>
    <t>D400㎜</t>
    <phoneticPr fontId="2" type="noConversion"/>
  </si>
  <si>
    <t>D450㎜</t>
    <phoneticPr fontId="2" type="noConversion"/>
  </si>
  <si>
    <t>D500㎜</t>
    <phoneticPr fontId="2" type="noConversion"/>
  </si>
  <si>
    <t>D600㎜</t>
    <phoneticPr fontId="2" type="noConversion"/>
  </si>
  <si>
    <t>D700㎜</t>
    <phoneticPr fontId="2" type="noConversion"/>
  </si>
  <si>
    <t>D800㎜</t>
    <phoneticPr fontId="2" type="noConversion"/>
  </si>
  <si>
    <t>D900㎜</t>
    <phoneticPr fontId="2" type="noConversion"/>
  </si>
  <si>
    <t>D1000㎜</t>
    <phoneticPr fontId="2" type="noConversion"/>
  </si>
  <si>
    <t>D1350㎜</t>
    <phoneticPr fontId="2" type="noConversion"/>
  </si>
  <si>
    <t>개소</t>
    <phoneticPr fontId="2" type="noConversion"/>
  </si>
  <si>
    <t>부설의 50%</t>
    <phoneticPr fontId="2" type="noConversion"/>
  </si>
  <si>
    <t>절단(철거)</t>
    <phoneticPr fontId="2" type="noConversion"/>
  </si>
  <si>
    <t>D2200㎜</t>
    <phoneticPr fontId="2" type="noConversion"/>
  </si>
  <si>
    <t>강관절단(철거, A종)</t>
    <phoneticPr fontId="2" type="noConversion"/>
  </si>
  <si>
    <t>강관절단(철거, B종)</t>
    <phoneticPr fontId="2" type="noConversion"/>
  </si>
  <si>
    <t>70% 적용</t>
    <phoneticPr fontId="2" type="noConversion"/>
  </si>
  <si>
    <t>D80㎜(인력), 이탈방지압륜</t>
    <phoneticPr fontId="2" type="noConversion"/>
  </si>
  <si>
    <t>D80㎜, 이탈방지압륜</t>
    <phoneticPr fontId="2" type="noConversion"/>
  </si>
  <si>
    <t>D100㎜(인력), 이탈방지압륜</t>
    <phoneticPr fontId="2" type="noConversion"/>
  </si>
  <si>
    <t>D100㎜, 이탈방지압륜</t>
    <phoneticPr fontId="2" type="noConversion"/>
  </si>
  <si>
    <t>D150㎜(인력), 이탈방지압륜</t>
    <phoneticPr fontId="2" type="noConversion"/>
  </si>
  <si>
    <t>D150㎜, 이탈방지압륜</t>
    <phoneticPr fontId="2" type="noConversion"/>
  </si>
  <si>
    <t>D200㎜, 이탈방지압륜</t>
    <phoneticPr fontId="2" type="noConversion"/>
  </si>
  <si>
    <t>D250㎜, 이탈방지압륜</t>
    <phoneticPr fontId="2" type="noConversion"/>
  </si>
  <si>
    <t>D300㎜, 이탈방지압륜</t>
    <phoneticPr fontId="2" type="noConversion"/>
  </si>
  <si>
    <t>D350㎜, 이탈방지압륜</t>
    <phoneticPr fontId="2" type="noConversion"/>
  </si>
  <si>
    <t>D400㎜, 이탈방지압륜</t>
    <phoneticPr fontId="2" type="noConversion"/>
  </si>
  <si>
    <t>D450㎜, 이탈방지압륜</t>
    <phoneticPr fontId="2" type="noConversion"/>
  </si>
  <si>
    <t>D600㎜, 이탈방지압륜</t>
    <phoneticPr fontId="2" type="noConversion"/>
  </si>
  <si>
    <t>D700㎜, 이탈방지압륜</t>
    <phoneticPr fontId="2" type="noConversion"/>
  </si>
  <si>
    <t>D800㎜, 이탈방지압륜</t>
    <phoneticPr fontId="2" type="noConversion"/>
  </si>
  <si>
    <t>D900㎜, 이탈방지압륜</t>
    <phoneticPr fontId="2" type="noConversion"/>
  </si>
  <si>
    <t>D1000㎜, 이탈방지압륜</t>
    <phoneticPr fontId="2" type="noConversion"/>
  </si>
  <si>
    <t>D1100㎜, 이탈방지압륜</t>
    <phoneticPr fontId="2" type="noConversion"/>
  </si>
  <si>
    <t>D1200㎜, 이탈방지압륜</t>
    <phoneticPr fontId="2" type="noConversion"/>
  </si>
  <si>
    <t>플랜지접합부속</t>
  </si>
  <si>
    <t>조</t>
    <phoneticPr fontId="2" type="noConversion"/>
  </si>
  <si>
    <t xml:space="preserve"> 플랜지접합부속</t>
    <phoneticPr fontId="2" type="noConversion"/>
  </si>
  <si>
    <t xml:space="preserve"> 일 시공량 (12㎥ 이하)</t>
    <phoneticPr fontId="2" type="noConversion"/>
  </si>
  <si>
    <t>콘크리트 타설(무근)</t>
    <phoneticPr fontId="2" type="noConversion"/>
  </si>
  <si>
    <t>토목6-3-1</t>
    <phoneticPr fontId="2" type="noConversion"/>
  </si>
  <si>
    <t>건축8-3-1</t>
    <phoneticPr fontId="2" type="noConversion"/>
  </si>
  <si>
    <t>견   적   서</t>
    <phoneticPr fontId="6" type="noConversion"/>
  </si>
  <si>
    <t>문 서 번 호</t>
    <phoneticPr fontId="6" type="noConversion"/>
  </si>
  <si>
    <t>공 급 자</t>
    <phoneticPr fontId="6" type="noConversion"/>
  </si>
  <si>
    <t>등록번호</t>
    <phoneticPr fontId="6" type="noConversion"/>
  </si>
  <si>
    <t>140-81-34127</t>
    <phoneticPr fontId="6" type="noConversion"/>
  </si>
  <si>
    <t>수      신</t>
    <phoneticPr fontId="6" type="noConversion"/>
  </si>
  <si>
    <t>상      호</t>
    <phoneticPr fontId="6" type="noConversion"/>
  </si>
  <si>
    <t>(주)대호스토퍼</t>
    <phoneticPr fontId="6" type="noConversion"/>
  </si>
  <si>
    <t>대표</t>
    <phoneticPr fontId="6" type="noConversion"/>
  </si>
  <si>
    <t>이 영 호</t>
    <phoneticPr fontId="6" type="noConversion"/>
  </si>
  <si>
    <t>(인)</t>
    <phoneticPr fontId="6" type="noConversion"/>
  </si>
  <si>
    <t>소  재  지</t>
    <phoneticPr fontId="6" type="noConversion"/>
  </si>
  <si>
    <t>경기도 안산시 단원구 시우로 114(초지동)</t>
    <phoneticPr fontId="6" type="noConversion"/>
  </si>
  <si>
    <t>담  당  자</t>
    <phoneticPr fontId="6" type="noConversion"/>
  </si>
  <si>
    <t>귀중</t>
    <phoneticPr fontId="6" type="noConversion"/>
  </si>
  <si>
    <t>업      태</t>
    <phoneticPr fontId="6" type="noConversion"/>
  </si>
  <si>
    <t>제조업 외</t>
    <phoneticPr fontId="6" type="noConversion"/>
  </si>
  <si>
    <t>종목</t>
    <phoneticPr fontId="6" type="noConversion"/>
  </si>
  <si>
    <t>상하수도설비공사 외</t>
    <phoneticPr fontId="6" type="noConversion"/>
  </si>
  <si>
    <t>연  락  처</t>
    <phoneticPr fontId="6" type="noConversion"/>
  </si>
  <si>
    <t>회사전화</t>
    <phoneticPr fontId="6" type="noConversion"/>
  </si>
  <si>
    <t>031-496-9488</t>
    <phoneticPr fontId="6" type="noConversion"/>
  </si>
  <si>
    <t>회사팩스</t>
    <phoneticPr fontId="6" type="noConversion"/>
  </si>
  <si>
    <t>031-496-9349</t>
    <phoneticPr fontId="6" type="noConversion"/>
  </si>
  <si>
    <t>작   성   일</t>
    <phoneticPr fontId="6" type="noConversion"/>
  </si>
  <si>
    <t>담 당 자</t>
    <phoneticPr fontId="6" type="noConversion"/>
  </si>
  <si>
    <t>백승리 차장</t>
    <phoneticPr fontId="6" type="noConversion"/>
  </si>
  <si>
    <t>휴대전화</t>
    <phoneticPr fontId="6" type="noConversion"/>
  </si>
  <si>
    <t>010-5013-7776</t>
    <phoneticPr fontId="6" type="noConversion"/>
  </si>
  <si>
    <t>유 효 기 간</t>
    <phoneticPr fontId="6" type="noConversion"/>
  </si>
  <si>
    <t>E-Mail</t>
    <phoneticPr fontId="6" type="noConversion"/>
  </si>
  <si>
    <t>dhcstopper@hanmail.net</t>
    <phoneticPr fontId="6" type="noConversion"/>
  </si>
  <si>
    <t>견  적  명</t>
    <phoneticPr fontId="6" type="noConversion"/>
  </si>
  <si>
    <t>합 계 금 액</t>
    <phoneticPr fontId="6" type="noConversion"/>
  </si>
  <si>
    <t>일금</t>
    <phoneticPr fontId="6" type="noConversion"/>
  </si>
  <si>
    <t xml:space="preserve">원정 </t>
    <phoneticPr fontId="6" type="noConversion"/>
  </si>
  <si>
    <t>(</t>
    <phoneticPr fontId="6" type="noConversion"/>
  </si>
  <si>
    <t>)</t>
    <phoneticPr fontId="6" type="noConversion"/>
  </si>
  <si>
    <t>(VAT포함)</t>
    <phoneticPr fontId="6" type="noConversion"/>
  </si>
  <si>
    <t>아래와 같이 견적을 제출합니다.</t>
    <phoneticPr fontId="6" type="noConversion"/>
  </si>
  <si>
    <t>품       명</t>
    <phoneticPr fontId="6" type="noConversion"/>
  </si>
  <si>
    <t>규       격</t>
    <phoneticPr fontId="6" type="noConversion"/>
  </si>
  <si>
    <t>수량</t>
    <phoneticPr fontId="6" type="noConversion"/>
  </si>
  <si>
    <t>단
위</t>
    <phoneticPr fontId="6" type="noConversion"/>
  </si>
  <si>
    <t>재 료 비</t>
    <phoneticPr fontId="6" type="noConversion"/>
  </si>
  <si>
    <t>노 무 비</t>
    <phoneticPr fontId="6" type="noConversion"/>
  </si>
  <si>
    <t>경       비</t>
    <phoneticPr fontId="6" type="noConversion"/>
  </si>
  <si>
    <t>소       계</t>
    <phoneticPr fontId="6" type="noConversion"/>
  </si>
  <si>
    <t>금       액</t>
    <phoneticPr fontId="6" type="noConversion"/>
  </si>
  <si>
    <t>비고</t>
    <phoneticPr fontId="6" type="noConversion"/>
  </si>
  <si>
    <t>MEMO</t>
    <phoneticPr fontId="6" type="noConversion"/>
  </si>
  <si>
    <t>바탕처리(강관제)</t>
  </si>
  <si>
    <t>부단수 할정자관 부설 및 접합(강관제)</t>
  </si>
  <si>
    <t>샌드위치 밸브 부설 및 접합</t>
  </si>
  <si>
    <t>부단수천공 분기점 분기/철거</t>
  </si>
  <si>
    <t>등압관 설치/철거</t>
  </si>
  <si>
    <t>부단수차단/철거</t>
  </si>
  <si>
    <t>플러깅/철거</t>
  </si>
  <si>
    <t>샌드위치 밸브 철거</t>
  </si>
  <si>
    <t>마개플랜지 부설 및 접합</t>
  </si>
  <si>
    <t>사전조사</t>
  </si>
  <si>
    <t>장비운반비</t>
  </si>
  <si>
    <t>밸브개폐비</t>
  </si>
  <si>
    <t>nr</t>
  </si>
  <si>
    <t>강관 도복장 제거</t>
  </si>
  <si>
    <t>표면정리</t>
  </si>
  <si>
    <t>도장공</t>
  </si>
  <si>
    <t>연마지</t>
  </si>
  <si>
    <t>공구손료</t>
  </si>
  <si>
    <t>부단수 할정자관 부설(강관제)</t>
  </si>
  <si>
    <t>부단수 할정자관 접합(강관제)</t>
  </si>
  <si>
    <t>부단수 할정자관 접합부 도장</t>
  </si>
  <si>
    <t>배관공(수도)</t>
  </si>
  <si>
    <t>용접공</t>
  </si>
  <si>
    <t>발전기(50KW)</t>
  </si>
  <si>
    <t>용접기(200AMP)</t>
  </si>
  <si>
    <t>용접봉(3.2㎜  KSE4301)</t>
  </si>
  <si>
    <t>액상접착제</t>
  </si>
  <si>
    <t>샌드위치 밸브 부설 및 접합(손료제외)</t>
  </si>
  <si>
    <t>부단수천공 분기점 분기(손료제외)</t>
  </si>
  <si>
    <t>부단수천공기 운전경비</t>
  </si>
  <si>
    <t>기밀시험</t>
  </si>
  <si>
    <t>칩제거(손료제외)</t>
  </si>
  <si>
    <t>칩제거기 운전경비</t>
  </si>
  <si>
    <t>부단수천공기 철거</t>
  </si>
  <si>
    <t>칩제거기 철거</t>
  </si>
  <si>
    <t>컷터</t>
  </si>
  <si>
    <t>드릴</t>
  </si>
  <si>
    <t>주연료</t>
  </si>
  <si>
    <t>잡재료</t>
  </si>
  <si>
    <t>트럭탑재형크레인</t>
  </si>
  <si>
    <t>등압관 부단수 천공</t>
  </si>
  <si>
    <t>등압관 피팅 접합</t>
  </si>
  <si>
    <t>등압관 플러깅</t>
  </si>
  <si>
    <t>등압관 피팅</t>
  </si>
  <si>
    <t>볼밸브</t>
  </si>
  <si>
    <t>플러그(등압관용)</t>
  </si>
  <si>
    <t>CAP(등압관용)</t>
  </si>
  <si>
    <t>천공기</t>
  </si>
  <si>
    <t>플러깅장비</t>
  </si>
  <si>
    <t>부단수차단(손료제외)</t>
  </si>
  <si>
    <t>부단수차단기 운전경비</t>
  </si>
  <si>
    <t>현장대기</t>
  </si>
  <si>
    <t>부단수차단기 철거</t>
  </si>
  <si>
    <t>Sealing Element</t>
  </si>
  <si>
    <t>천공관 플러깅(손료제외)</t>
  </si>
  <si>
    <t>플러깅장비 운전경비</t>
  </si>
  <si>
    <t>플러깅 장비 철거</t>
  </si>
  <si>
    <t>플러그(천공관용)</t>
  </si>
  <si>
    <t>마개플랜지 부설</t>
  </si>
  <si>
    <t>플랜지조인트관 접합</t>
  </si>
  <si>
    <t>마개플랜지</t>
  </si>
  <si>
    <t>12개월</t>
    <phoneticPr fontId="6" type="noConversion"/>
  </si>
  <si>
    <t>부단수 차단</t>
    <phoneticPr fontId="6" type="noConversion"/>
  </si>
  <si>
    <t>야간</t>
    <phoneticPr fontId="2" type="noConversion"/>
  </si>
  <si>
    <t>고급기술자</t>
    <phoneticPr fontId="2" type="noConversion"/>
  </si>
  <si>
    <r>
      <t>2026년 상반기</t>
    </r>
    <r>
      <rPr>
        <b/>
        <sz val="9"/>
        <color indexed="8"/>
        <rFont val="굴림체"/>
        <family val="3"/>
        <charset val="129"/>
      </rPr>
      <t>(야간)</t>
    </r>
    <phoneticPr fontId="2" type="noConversion"/>
  </si>
  <si>
    <t>2026년 상반기(주간)</t>
    <phoneticPr fontId="2" type="noConversion"/>
  </si>
  <si>
    <t>2026년단가(기계 설비,주간)</t>
    <phoneticPr fontId="2" type="noConversion"/>
  </si>
  <si>
    <r>
      <t xml:space="preserve">2026년단가(기계 설비, </t>
    </r>
    <r>
      <rPr>
        <b/>
        <sz val="9"/>
        <color indexed="8"/>
        <rFont val="굴림체"/>
        <family val="3"/>
        <charset val="129"/>
      </rPr>
      <t>야간</t>
    </r>
    <r>
      <rPr>
        <sz val="9"/>
        <color indexed="8"/>
        <rFont val="굴림체"/>
        <family val="3"/>
        <charset val="129"/>
      </rPr>
      <t>)</t>
    </r>
    <phoneticPr fontId="2" type="noConversion"/>
  </si>
  <si>
    <t>1. 토공, 가시설공, 피팅부 관보호공(H빔보강)등 부단수 차단 외 공종에 대한 공통 공사비 제외
2. '26년 기준 단가 적용(야간 시공비 적용)
3. 가배관 자재 및 보강 별도(단, 부설비 포함)
4. 납품방법 : 현장설치도
5. 설계가 견적 기준</t>
    <phoneticPr fontId="6" type="noConversion"/>
  </si>
  <si>
    <t>2026년 아차산역 일대 장기사용 배수관 정비공사 부단수 차단공법 선정</t>
    <phoneticPr fontId="6" type="noConversion"/>
  </si>
  <si>
    <t>서울특별시 동부수도사업소</t>
    <phoneticPr fontId="2" type="noConversion"/>
  </si>
  <si>
    <t>DH18-260403-01</t>
    <phoneticPr fontId="6" type="noConversion"/>
  </si>
  <si>
    <t>"</t>
    <phoneticPr fontId="2" type="noConversion"/>
  </si>
  <si>
    <t>개소</t>
    <phoneticPr fontId="6" type="noConversion"/>
  </si>
  <si>
    <t>부단수 차단공사 설계서</t>
    <phoneticPr fontId="232" type="noConversion"/>
  </si>
  <si>
    <t>&lt;순공사비내역서&gt;</t>
    <phoneticPr fontId="232" type="noConversion"/>
  </si>
  <si>
    <t>금 액</t>
    <phoneticPr fontId="232" type="noConversion"/>
  </si>
  <si>
    <t>라인스토핑(강관제)</t>
    <phoneticPr fontId="232" type="noConversion"/>
  </si>
  <si>
    <t>nr</t>
    <phoneticPr fontId="232" type="noConversion"/>
  </si>
  <si>
    <t>nr</t>
    <phoneticPr fontId="232" type="noConversion"/>
  </si>
  <si>
    <t>set</t>
    <phoneticPr fontId="232" type="noConversion"/>
  </si>
  <si>
    <t>&lt;일위대가표&gt;</t>
    <phoneticPr fontId="232" type="noConversion"/>
  </si>
  <si>
    <t>바탕처리(강관제)</t>
    <phoneticPr fontId="232" type="noConversion"/>
  </si>
  <si>
    <t>#180</t>
    <phoneticPr fontId="232" type="noConversion"/>
  </si>
  <si>
    <t>계</t>
    <phoneticPr fontId="232" type="noConversion"/>
  </si>
  <si>
    <t>강관 도복장 제거</t>
    <phoneticPr fontId="232" type="noConversion"/>
  </si>
  <si>
    <t>인</t>
    <phoneticPr fontId="232" type="noConversion"/>
  </si>
  <si>
    <t>계</t>
    <phoneticPr fontId="232" type="noConversion"/>
  </si>
  <si>
    <t>표면정리</t>
    <phoneticPr fontId="232" type="noConversion"/>
  </si>
  <si>
    <t>인</t>
    <phoneticPr fontId="232" type="noConversion"/>
  </si>
  <si>
    <t>#180</t>
    <phoneticPr fontId="232" type="noConversion"/>
  </si>
  <si>
    <t>매</t>
    <phoneticPr fontId="232" type="noConversion"/>
  </si>
  <si>
    <t>도장공 인력품의</t>
    <phoneticPr fontId="232" type="noConversion"/>
  </si>
  <si>
    <t>계</t>
    <phoneticPr fontId="232" type="noConversion"/>
  </si>
  <si>
    <t>부단수 할정자관 부설 및 접합(강관제)</t>
    <phoneticPr fontId="232" type="noConversion"/>
  </si>
  <si>
    <t>nr</t>
    <phoneticPr fontId="232" type="noConversion"/>
  </si>
  <si>
    <t>부단수 할정자관</t>
    <phoneticPr fontId="232" type="noConversion"/>
  </si>
  <si>
    <t>부단수 할정자관 부설(강관제)</t>
    <phoneticPr fontId="232" type="noConversion"/>
  </si>
  <si>
    <t>트럭탑재형크레인</t>
    <phoneticPr fontId="232" type="noConversion"/>
  </si>
  <si>
    <t>hr</t>
    <phoneticPr fontId="232" type="noConversion"/>
  </si>
  <si>
    <t>부단수 할정자관 접합(강관제)</t>
    <phoneticPr fontId="232" type="noConversion"/>
  </si>
  <si>
    <t>kg</t>
    <phoneticPr fontId="232" type="noConversion"/>
  </si>
  <si>
    <t>부단수 할정자관 접합부 도장</t>
    <phoneticPr fontId="232" type="noConversion"/>
  </si>
  <si>
    <t>(16.8kg/18.9ℓ) CAN</t>
    <phoneticPr fontId="232" type="noConversion"/>
  </si>
  <si>
    <t>3T x 40 x 6m</t>
    <phoneticPr fontId="232" type="noConversion"/>
  </si>
  <si>
    <t>m</t>
    <phoneticPr fontId="232" type="noConversion"/>
  </si>
  <si>
    <t>0.508㎜ x 100㎜ x 30m</t>
    <phoneticPr fontId="232" type="noConversion"/>
  </si>
  <si>
    <t>㎡</t>
    <phoneticPr fontId="232" type="noConversion"/>
  </si>
  <si>
    <t>0.381㎜ x 100㎜ x 30m</t>
    <phoneticPr fontId="232" type="noConversion"/>
  </si>
  <si>
    <t>계</t>
    <phoneticPr fontId="232" type="noConversion"/>
  </si>
  <si>
    <t>샌드위치 밸브 부설 및 접합</t>
    <phoneticPr fontId="232" type="noConversion"/>
  </si>
  <si>
    <t>nr</t>
    <phoneticPr fontId="232" type="noConversion"/>
  </si>
  <si>
    <t>샌드위치 밸브 손료</t>
    <phoneticPr fontId="232" type="noConversion"/>
  </si>
  <si>
    <t>플랜지접합부속</t>
    <phoneticPr fontId="232" type="noConversion"/>
  </si>
  <si>
    <t>샌드위치 밸브 부설 및 접합(손료제외)</t>
    <phoneticPr fontId="232" type="noConversion"/>
  </si>
  <si>
    <t>인</t>
    <phoneticPr fontId="232" type="noConversion"/>
  </si>
  <si>
    <t>트럭탑재형크레인</t>
    <phoneticPr fontId="232" type="noConversion"/>
  </si>
  <si>
    <t>hr</t>
    <phoneticPr fontId="232" type="noConversion"/>
  </si>
  <si>
    <t>부단수천공 분기점 분기/철거</t>
    <phoneticPr fontId="232" type="noConversion"/>
  </si>
  <si>
    <t>부단수천공기 손료</t>
    <phoneticPr fontId="232" type="noConversion"/>
  </si>
  <si>
    <t>칩제거기 손료</t>
    <phoneticPr fontId="232" type="noConversion"/>
  </si>
  <si>
    <t>부단수천공 분기점 분기(손료제외)</t>
    <phoneticPr fontId="232" type="noConversion"/>
  </si>
  <si>
    <t>부단수천공기 운전경비</t>
    <phoneticPr fontId="232" type="noConversion"/>
  </si>
  <si>
    <t>경유</t>
    <phoneticPr fontId="232" type="noConversion"/>
  </si>
  <si>
    <t>ℓ</t>
    <phoneticPr fontId="232" type="noConversion"/>
  </si>
  <si>
    <t>주연료의</t>
    <phoneticPr fontId="232" type="noConversion"/>
  </si>
  <si>
    <t>기밀시험</t>
    <phoneticPr fontId="232" type="noConversion"/>
  </si>
  <si>
    <t>잡재료 및 공구손료</t>
    <phoneticPr fontId="232" type="noConversion"/>
  </si>
  <si>
    <t>인건비의</t>
    <phoneticPr fontId="232" type="noConversion"/>
  </si>
  <si>
    <t>칩제거(손료제외)</t>
    <phoneticPr fontId="232" type="noConversion"/>
  </si>
  <si>
    <t>칩제거기 운전경비</t>
    <phoneticPr fontId="232" type="noConversion"/>
  </si>
  <si>
    <t>경유</t>
    <phoneticPr fontId="232" type="noConversion"/>
  </si>
  <si>
    <t>주연료의</t>
    <phoneticPr fontId="232" type="noConversion"/>
  </si>
  <si>
    <t>부단수천공기 철거</t>
    <phoneticPr fontId="232" type="noConversion"/>
  </si>
  <si>
    <t>칩제거기 철거</t>
    <phoneticPr fontId="232" type="noConversion"/>
  </si>
  <si>
    <t>등압관 설치/철거</t>
    <phoneticPr fontId="232" type="noConversion"/>
  </si>
  <si>
    <t>등압관 부단수 천공</t>
    <phoneticPr fontId="232" type="noConversion"/>
  </si>
  <si>
    <t>등압관 피팅 접합</t>
    <phoneticPr fontId="232" type="noConversion"/>
  </si>
  <si>
    <t>kg</t>
    <phoneticPr fontId="232" type="noConversion"/>
  </si>
  <si>
    <t>등압관 플러깅</t>
    <phoneticPr fontId="232" type="noConversion"/>
  </si>
  <si>
    <t>부단수차단/철거</t>
    <phoneticPr fontId="232" type="noConversion"/>
  </si>
  <si>
    <t>부단수차단기 손료</t>
    <phoneticPr fontId="232" type="noConversion"/>
  </si>
  <si>
    <t>부단수차단(손료제외)</t>
    <phoneticPr fontId="232" type="noConversion"/>
  </si>
  <si>
    <t>부단수차단기 운전경비</t>
    <phoneticPr fontId="232" type="noConversion"/>
  </si>
  <si>
    <t>ℓ</t>
    <phoneticPr fontId="232" type="noConversion"/>
  </si>
  <si>
    <t>현장대기</t>
    <phoneticPr fontId="232" type="noConversion"/>
  </si>
  <si>
    <t>부단수차단기 철거</t>
    <phoneticPr fontId="232" type="noConversion"/>
  </si>
  <si>
    <t>플러깅/철거</t>
    <phoneticPr fontId="232" type="noConversion"/>
  </si>
  <si>
    <t>플러깅 손료</t>
    <phoneticPr fontId="232" type="noConversion"/>
  </si>
  <si>
    <t>천공관 플러깅(손료제외)</t>
    <phoneticPr fontId="232" type="noConversion"/>
  </si>
  <si>
    <t>플러깅장비 운전경비</t>
    <phoneticPr fontId="232" type="noConversion"/>
  </si>
  <si>
    <t>플러깅 장비 철거</t>
    <phoneticPr fontId="232" type="noConversion"/>
  </si>
  <si>
    <t>샌드위치 밸브 철거</t>
    <phoneticPr fontId="232" type="noConversion"/>
  </si>
  <si>
    <t>마개플랜지 부설 및 접합</t>
    <phoneticPr fontId="232" type="noConversion"/>
  </si>
  <si>
    <t>마개플랜지 부설</t>
    <phoneticPr fontId="232" type="noConversion"/>
  </si>
  <si>
    <t>플랜지조인트관 접합</t>
    <phoneticPr fontId="232" type="noConversion"/>
  </si>
  <si>
    <t>사전조사</t>
    <phoneticPr fontId="232" type="noConversion"/>
  </si>
  <si>
    <t>장비운반비</t>
    <phoneticPr fontId="232" type="noConversion"/>
  </si>
  <si>
    <t>운반비</t>
    <phoneticPr fontId="232" type="noConversion"/>
  </si>
  <si>
    <t>set</t>
    <phoneticPr fontId="232" type="noConversion"/>
  </si>
  <si>
    <t>밸브개폐비</t>
    <phoneticPr fontId="232" type="noConversion"/>
  </si>
  <si>
    <t>단위 밸브개폐비</t>
    <phoneticPr fontId="232" type="noConversion"/>
  </si>
  <si>
    <t>회</t>
    <phoneticPr fontId="232" type="noConversion"/>
  </si>
  <si>
    <t>단위 밸브개폐비</t>
    <phoneticPr fontId="232" type="noConversion"/>
  </si>
  <si>
    <t>부단수 차단공사 설계서</t>
    <phoneticPr fontId="232" type="noConversion"/>
  </si>
  <si>
    <t>&lt;순공사비내역서&gt;</t>
    <phoneticPr fontId="232" type="noConversion"/>
  </si>
  <si>
    <t>금 액</t>
    <phoneticPr fontId="232" type="noConversion"/>
  </si>
  <si>
    <t>라인스토핑(강관제)</t>
    <phoneticPr fontId="232" type="noConversion"/>
  </si>
  <si>
    <t>nr</t>
    <phoneticPr fontId="232" type="noConversion"/>
  </si>
  <si>
    <t>set</t>
    <phoneticPr fontId="232" type="noConversion"/>
  </si>
  <si>
    <t>nr</t>
    <phoneticPr fontId="232" type="noConversion"/>
  </si>
  <si>
    <t>&lt;일위대가표&gt;</t>
    <phoneticPr fontId="232" type="noConversion"/>
  </si>
  <si>
    <t>바탕처리(강관제)</t>
    <phoneticPr fontId="232" type="noConversion"/>
  </si>
  <si>
    <t>#180</t>
    <phoneticPr fontId="232" type="noConversion"/>
  </si>
  <si>
    <t>계</t>
    <phoneticPr fontId="232" type="noConversion"/>
  </si>
  <si>
    <t>강관 도복장 제거</t>
    <phoneticPr fontId="232" type="noConversion"/>
  </si>
  <si>
    <t>인</t>
    <phoneticPr fontId="232" type="noConversion"/>
  </si>
  <si>
    <t>표면정리</t>
    <phoneticPr fontId="232" type="noConversion"/>
  </si>
  <si>
    <t>매</t>
    <phoneticPr fontId="232" type="noConversion"/>
  </si>
  <si>
    <t>도장공 인력품의</t>
    <phoneticPr fontId="232" type="noConversion"/>
  </si>
  <si>
    <t>부단수 할정자관 부설 및 접합(강관제)</t>
    <phoneticPr fontId="232" type="noConversion"/>
  </si>
  <si>
    <t>부단수 할정자관</t>
    <phoneticPr fontId="232" type="noConversion"/>
  </si>
  <si>
    <t>부단수 할정자관 부설(강관제)</t>
    <phoneticPr fontId="232" type="noConversion"/>
  </si>
  <si>
    <t>트럭탑재형크레인</t>
    <phoneticPr fontId="232" type="noConversion"/>
  </si>
  <si>
    <t>hr</t>
    <phoneticPr fontId="232" type="noConversion"/>
  </si>
  <si>
    <t>부단수 할정자관 접합(강관제)</t>
    <phoneticPr fontId="232" type="noConversion"/>
  </si>
  <si>
    <t>kg</t>
    <phoneticPr fontId="232" type="noConversion"/>
  </si>
  <si>
    <t>부단수 할정자관 접합부 도장</t>
    <phoneticPr fontId="232" type="noConversion"/>
  </si>
  <si>
    <t>(16.8kg/18.9ℓ) CAN</t>
    <phoneticPr fontId="232" type="noConversion"/>
  </si>
  <si>
    <t>3T x 40 x 6m</t>
    <phoneticPr fontId="232" type="noConversion"/>
  </si>
  <si>
    <t>m</t>
    <phoneticPr fontId="232" type="noConversion"/>
  </si>
  <si>
    <t>0.508㎜ x 100㎜ x 30m</t>
    <phoneticPr fontId="232" type="noConversion"/>
  </si>
  <si>
    <t>㎡</t>
    <phoneticPr fontId="232" type="noConversion"/>
  </si>
  <si>
    <t>샌드위치 밸브 부설 및 접합</t>
    <phoneticPr fontId="232" type="noConversion"/>
  </si>
  <si>
    <t>플랜지접합부속</t>
    <phoneticPr fontId="232" type="noConversion"/>
  </si>
  <si>
    <t>샌드위치 밸브 부설 및 접합(손료제외)</t>
    <phoneticPr fontId="232" type="noConversion"/>
  </si>
  <si>
    <t>부단수천공 분기점 분기/철거</t>
    <phoneticPr fontId="232" type="noConversion"/>
  </si>
  <si>
    <t>칩제거기 손료</t>
    <phoneticPr fontId="232" type="noConversion"/>
  </si>
  <si>
    <t>부단수천공 분기점 분기(손료제외)</t>
    <phoneticPr fontId="232" type="noConversion"/>
  </si>
  <si>
    <t>부단수천공기 운전경비</t>
    <phoneticPr fontId="232" type="noConversion"/>
  </si>
  <si>
    <t>경유</t>
    <phoneticPr fontId="232" type="noConversion"/>
  </si>
  <si>
    <t>ℓ</t>
    <phoneticPr fontId="232" type="noConversion"/>
  </si>
  <si>
    <t>주연료의</t>
    <phoneticPr fontId="232" type="noConversion"/>
  </si>
  <si>
    <t>기밀시험</t>
    <phoneticPr fontId="232" type="noConversion"/>
  </si>
  <si>
    <t>잡재료 및 공구손료</t>
    <phoneticPr fontId="232" type="noConversion"/>
  </si>
  <si>
    <t>인건비의</t>
    <phoneticPr fontId="232" type="noConversion"/>
  </si>
  <si>
    <t>칩제거(손료제외)</t>
    <phoneticPr fontId="232" type="noConversion"/>
  </si>
  <si>
    <t>칩제거기 운전경비</t>
    <phoneticPr fontId="232" type="noConversion"/>
  </si>
  <si>
    <t>부단수천공기 철거</t>
    <phoneticPr fontId="232" type="noConversion"/>
  </si>
  <si>
    <t>칩제거기 철거</t>
    <phoneticPr fontId="232" type="noConversion"/>
  </si>
  <si>
    <t>등압관 설치/철거</t>
    <phoneticPr fontId="232" type="noConversion"/>
  </si>
  <si>
    <t>등압관 부단수 천공</t>
    <phoneticPr fontId="232" type="noConversion"/>
  </si>
  <si>
    <t>등압관 피팅 접합</t>
    <phoneticPr fontId="232" type="noConversion"/>
  </si>
  <si>
    <t>등압관 플러깅</t>
    <phoneticPr fontId="232" type="noConversion"/>
  </si>
  <si>
    <t>부단수차단/철거</t>
    <phoneticPr fontId="232" type="noConversion"/>
  </si>
  <si>
    <t>부단수차단기 손료</t>
    <phoneticPr fontId="232" type="noConversion"/>
  </si>
  <si>
    <t>부단수차단(손료제외)</t>
    <phoneticPr fontId="232" type="noConversion"/>
  </si>
  <si>
    <t>부단수차단기 운전경비</t>
    <phoneticPr fontId="232" type="noConversion"/>
  </si>
  <si>
    <t>현장대기</t>
    <phoneticPr fontId="232" type="noConversion"/>
  </si>
  <si>
    <t>부단수차단기 철거</t>
    <phoneticPr fontId="232" type="noConversion"/>
  </si>
  <si>
    <t>인</t>
    <phoneticPr fontId="232" type="noConversion"/>
  </si>
  <si>
    <t>트럭탑재형크레인</t>
    <phoneticPr fontId="232" type="noConversion"/>
  </si>
  <si>
    <t>hr</t>
    <phoneticPr fontId="232" type="noConversion"/>
  </si>
  <si>
    <t>계</t>
    <phoneticPr fontId="232" type="noConversion"/>
  </si>
  <si>
    <t>플러깅/철거</t>
    <phoneticPr fontId="232" type="noConversion"/>
  </si>
  <si>
    <t>플러깅 손료</t>
    <phoneticPr fontId="232" type="noConversion"/>
  </si>
  <si>
    <t>hr</t>
    <phoneticPr fontId="232" type="noConversion"/>
  </si>
  <si>
    <t>천공관 플러깅(손료제외)</t>
    <phoneticPr fontId="232" type="noConversion"/>
  </si>
  <si>
    <t>계</t>
    <phoneticPr fontId="232" type="noConversion"/>
  </si>
  <si>
    <t>플러깅장비 운전경비</t>
    <phoneticPr fontId="232" type="noConversion"/>
  </si>
  <si>
    <t>ℓ</t>
    <phoneticPr fontId="232" type="noConversion"/>
  </si>
  <si>
    <t>주연료의</t>
    <phoneticPr fontId="232" type="noConversion"/>
  </si>
  <si>
    <t>플러깅 장비 철거</t>
    <phoneticPr fontId="232" type="noConversion"/>
  </si>
  <si>
    <t>샌드위치 밸브 철거</t>
    <phoneticPr fontId="232" type="noConversion"/>
  </si>
  <si>
    <t>인</t>
    <phoneticPr fontId="232" type="noConversion"/>
  </si>
  <si>
    <t>마개플랜지 부설 및 접합</t>
    <phoneticPr fontId="232" type="noConversion"/>
  </si>
  <si>
    <t>nr</t>
    <phoneticPr fontId="232" type="noConversion"/>
  </si>
  <si>
    <t>마개플랜지 부설</t>
    <phoneticPr fontId="232" type="noConversion"/>
  </si>
  <si>
    <t>플랜지조인트관 접합</t>
    <phoneticPr fontId="232" type="noConversion"/>
  </si>
  <si>
    <t>사전조사</t>
    <phoneticPr fontId="232" type="noConversion"/>
  </si>
  <si>
    <t>장비운반비</t>
    <phoneticPr fontId="232" type="noConversion"/>
  </si>
  <si>
    <t>운반비</t>
    <phoneticPr fontId="232" type="noConversion"/>
  </si>
  <si>
    <t>set</t>
    <phoneticPr fontId="232" type="noConversion"/>
  </si>
  <si>
    <t>단위 밸브개폐비</t>
    <phoneticPr fontId="232" type="noConversion"/>
  </si>
  <si>
    <t>회</t>
    <phoneticPr fontId="232" type="noConversion"/>
  </si>
  <si>
    <t>단위 밸브개폐비</t>
    <phoneticPr fontId="232" type="noConversion"/>
  </si>
  <si>
    <t>회</t>
    <phoneticPr fontId="232" type="noConversion"/>
  </si>
  <si>
    <t>합                계(TOTAL)</t>
    <phoneticPr fontId="6" type="noConversion"/>
  </si>
  <si>
    <t>단수정리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</si>
</sst>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1">
    <numFmt numFmtId="5" formatCode="&quot;₩&quot;#,##0;\-&quot;₩&quot;#,##0"/>
    <numFmt numFmtId="6" formatCode="&quot;₩&quot;#,##0;[Red]\-&quot;₩&quot;#,##0"/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24" formatCode="\$#,##0_);[Red]\(\$#,##0\)"/>
    <numFmt numFmtId="176" formatCode="#,###;\-#,###;&quot;&quot;;@"/>
    <numFmt numFmtId="177" formatCode="General;\-General\,&quot;&quot;;@"/>
    <numFmt numFmtId="178" formatCode="#,###.0;\-#,###.0;&quot;&quot;;@"/>
    <numFmt numFmtId="179" formatCode="#,###.00;\-#,###.00;&quot;&quot;;@"/>
    <numFmt numFmtId="180" formatCode="#,###.000;\-#,###.000;&quot;&quot;;@"/>
    <numFmt numFmtId="181" formatCode="#,##0_ "/>
    <numFmt numFmtId="182" formatCode="0.000%"/>
    <numFmt numFmtId="183" formatCode="\ "/>
    <numFmt numFmtId="184" formatCode="_ * #,##0.00_ ;_ * \-#,##0.00_ ;_ * &quot;-&quot;??_ ;_ @_ "/>
    <numFmt numFmtId="185" formatCode="_ &quot;kr&quot;\ * #,##0.00_ ;_ &quot;kr&quot;\ * \-#,##0.00_ ;_ &quot;kr&quot;\ * &quot;-&quot;??_ ;_ @_ "/>
    <numFmt numFmtId="186" formatCode="0.00_ "/>
    <numFmt numFmtId="187" formatCode="_-* #,##0.0_-;\-* #,##0.0_-;_-* &quot;-&quot;_-;_-@_-"/>
    <numFmt numFmtId="188" formatCode="0.0"/>
    <numFmt numFmtId="189" formatCode="[Red]&quot;@ &quot;#,##0_ ;[Red]&quot;@ &quot;\-#,##0\ "/>
    <numFmt numFmtId="190" formatCode="#,###&quot; 부&quot;"/>
    <numFmt numFmtId="191" formatCode="_-* #,##0\ &quot;FB&quot;_-;\-* #,##0\ &quot;FB&quot;_-;_-* &quot;-&quot;\ &quot;FB&quot;_-;_-@_-"/>
    <numFmt numFmtId="192" formatCode="#."/>
    <numFmt numFmtId="193" formatCode="mm&quot;월&quot;\ dd&quot;일&quot;"/>
    <numFmt numFmtId="194" formatCode="_-* #,##0.0_-;\-* #,##0.0_-;_-* &quot;-&quot;??_-;_-@_-"/>
    <numFmt numFmtId="195" formatCode="_-* #,##0_-;\-* #,##0_-;_-* &quot;-&quot;??_-;_-@_-"/>
    <numFmt numFmtId="196" formatCode="0.0%"/>
    <numFmt numFmtId="197" formatCode="_ * #,##0_ ;_ * &quot;₩&quot;&quot;₩&quot;&quot;₩&quot;&quot;₩&quot;&quot;₩&quot;&quot;₩&quot;\-#,##0_ ;_ * &quot;-&quot;_ ;_ @_ "/>
    <numFmt numFmtId="198" formatCode="&quot;₩&quot;#,##0;&quot;₩&quot;&quot;₩&quot;&quot;₩&quot;&quot;₩&quot;&quot;₩&quot;\-#,##0"/>
    <numFmt numFmtId="199" formatCode="_ * #,##0_ ;_ * \-#,##0_ ;_ * &quot;-&quot;_ ;_ @_ "/>
    <numFmt numFmtId="200" formatCode="#,##0.00;[Red]&quot;-&quot;#,##0.00"/>
    <numFmt numFmtId="201" formatCode="#,##0;&quot;-&quot;#,##0"/>
    <numFmt numFmtId="202" formatCode="yyyy&quot;년&quot;\ m&quot;월&quot;\ d&quot;일&quot;"/>
    <numFmt numFmtId="203" formatCode="#,##0;[Red]&quot;-&quot;#,##0"/>
    <numFmt numFmtId="204" formatCode="#,##0.0;[Red]#,##0.0;&quot; &quot;"/>
    <numFmt numFmtId="205" formatCode="0.0000%"/>
    <numFmt numFmtId="206" formatCode="#,##0.0000"/>
    <numFmt numFmtId="207" formatCode="#,###&quot; 회&quot;"/>
    <numFmt numFmtId="208" formatCode="0.000"/>
    <numFmt numFmtId="209" formatCode="#,##0.00;[Red]#,##0.00;&quot; &quot;"/>
    <numFmt numFmtId="210" formatCode="#,##0.0"/>
    <numFmt numFmtId="211" formatCode="_ &quot;₩&quot;* #,##0_ ;_ &quot;₩&quot;* &quot;₩&quot;\!\-#,##0_ ;_ &quot;₩&quot;* &quot;-&quot;_ ;_ @_ "/>
    <numFmt numFmtId="212" formatCode="_ &quot;₩&quot;* #,##0_ ;_ &quot;₩&quot;* \-#,##0_ ;_ &quot;₩&quot;* &quot;-&quot;_ ;_ @_ "/>
    <numFmt numFmtId="213" formatCode="&quot;₩&quot;#,##0.00;[Red]&quot;₩&quot;\-#,##0.00"/>
    <numFmt numFmtId="214" formatCode="_ &quot;₩&quot;* #,##0_ ;_ &quot;₩&quot;* &quot;₩&quot;&quot;₩&quot;&quot;₩&quot;&quot;₩&quot;&quot;₩&quot;&quot;₩&quot;&quot;₩&quot;&quot;₩&quot;&quot;₩&quot;&quot;₩&quot;&quot;₩&quot;&quot;₩&quot;&quot;₩&quot;\-#,##0_ ;_ &quot;₩&quot;* &quot;-&quot;_ ;_ @_ "/>
    <numFmt numFmtId="215" formatCode="_(&quot;₩&quot;* #,##0_);_(&quot;₩&quot;* \(#,##0\);_(&quot;₩&quot;* &quot;-&quot;_);_(@_)"/>
    <numFmt numFmtId="216" formatCode="_(&quot;RM&quot;* #,##0_);_(&quot;RM&quot;* \(#,##0\);_(&quot;RM&quot;* &quot;-&quot;_);_(@_)"/>
    <numFmt numFmtId="217" formatCode="_ &quot;₩&quot;* #,##0.00_ ;_ &quot;₩&quot;* &quot;₩&quot;\!\-#,##0.00_ ;_ &quot;₩&quot;* &quot;-&quot;??_ ;_ @_ "/>
    <numFmt numFmtId="218" formatCode="_ &quot;₩&quot;* #,##0.00_ ;_ &quot;₩&quot;* \-#,##0.00_ ;_ &quot;₩&quot;* &quot;-&quot;??_ ;_ @_ "/>
    <numFmt numFmtId="219" formatCode="&quot;₩&quot;#,##0;[Red]&quot;₩&quot;\-#,##0"/>
    <numFmt numFmtId="220" formatCode="_ &quot;₩&quot;* #,##0.00_ ;_ &quot;₩&quot;* &quot;₩&quot;&quot;₩&quot;&quot;₩&quot;&quot;₩&quot;&quot;₩&quot;&quot;₩&quot;&quot;₩&quot;&quot;₩&quot;&quot;₩&quot;&quot;₩&quot;&quot;₩&quot;&quot;₩&quot;&quot;₩&quot;\-#,##0.00_ ;_ &quot;₩&quot;* &quot;-&quot;??_ ;_ @_ "/>
    <numFmt numFmtId="221" formatCode="_(&quot;₩&quot;* #,##0.00_);_(&quot;₩&quot;* \(#,##0.00\);_(&quot;₩&quot;* &quot;-&quot;??_);_(@_)"/>
    <numFmt numFmtId="222" formatCode="_(&quot;RM&quot;* #,##0.00_);_(&quot;RM&quot;* \(#,##0.00\);_(&quot;RM&quot;* &quot;-&quot;??_);_(@_)"/>
    <numFmt numFmtId="223" formatCode="_-* #,##0\ _F_B_-;\-* #,##0\ _F_B_-;_-* &quot;-&quot;\ _F_B_-;_-@_-"/>
    <numFmt numFmtId="224" formatCode="_-* #,##0.00_-;&quot;₩&quot;&quot;₩&quot;&quot;₩&quot;\-* #,##0.00_-;_-* &quot;-&quot;??_-;_-@_-"/>
    <numFmt numFmtId="225" formatCode="_ * #,##0_ ;_ * &quot;₩&quot;&quot;₩&quot;&quot;₩&quot;&quot;₩&quot;&quot;₩&quot;&quot;₩&quot;&quot;₩&quot;&quot;₩&quot;&quot;₩&quot;&quot;₩&quot;&quot;₩&quot;&quot;₩&quot;&quot;₩&quot;\-#,##0_ ;_ * &quot;-&quot;_ ;_ @_ "/>
    <numFmt numFmtId="226" formatCode="#,##0\ &quot;F&quot;;[Red]\-#,##0\ &quot;F&quot;"/>
    <numFmt numFmtId="227" formatCode="_ * #,##0.00_ ;_ * &quot;₩&quot;\!\-#,##0.00_ ;_ * &quot;-&quot;??_ ;_ @_ "/>
    <numFmt numFmtId="228" formatCode="_ * #,##0.00_ ;_ * &quot;₩&quot;&quot;₩&quot;&quot;₩&quot;&quot;₩&quot;&quot;₩&quot;&quot;₩&quot;&quot;₩&quot;&quot;₩&quot;&quot;₩&quot;&quot;₩&quot;&quot;₩&quot;&quot;₩&quot;&quot;₩&quot;\-#,##0.00_ ;_ * &quot;-&quot;??_ ;_ @_ "/>
    <numFmt numFmtId="229" formatCode="#,##0.00\ &quot;F&quot;;[Red]\-#,##0.00\ &quot;F&quot;"/>
    <numFmt numFmtId="230" formatCode="_-* #,##0.00\ _F_B_-;\-* #,##0.00\ _F_B_-;_-* &quot;-&quot;??\ _F_B_-;_-@_-"/>
    <numFmt numFmtId="231" formatCode="_ * #,##0.000000_ ;_ * \-#,##0.000000_ ;_ * &quot;-&quot;_ ;_ @_ "/>
    <numFmt numFmtId="232" formatCode="&quot;₩&quot;#,##0;[Red]&quot;₩&quot;&quot;₩&quot;&quot;₩&quot;&quot;₩&quot;&quot;₩&quot;\-#,##0"/>
    <numFmt numFmtId="233" formatCode="#,##0;\-#,##0;&quot;-&quot;"/>
    <numFmt numFmtId="234" formatCode="&quot;₩&quot;&quot;₩&quot;&quot;₩&quot;\$#,##0_);[Red]&quot;₩&quot;&quot;₩&quot;&quot;₩&quot;\(&quot;₩&quot;&quot;₩&quot;&quot;₩&quot;\$#,##0&quot;₩&quot;&quot;₩&quot;&quot;₩&quot;\)"/>
    <numFmt numFmtId="235" formatCode="#,##0.0_);\(#,##0.0\)"/>
    <numFmt numFmtId="236" formatCode="_(* #,##0.0000_);_(* \(#,##0.0000\);_(* &quot;-&quot;??_);_(@_)"/>
    <numFmt numFmtId="237" formatCode="dd&quot;₩&quot;\-mmm&quot;₩&quot;\-yy"/>
    <numFmt numFmtId="238" formatCode="dd&quot;₩&quot;\-mmm"/>
    <numFmt numFmtId="239" formatCode="_ * #,##0.00_ ;_ * &quot;₩&quot;\-#,##0.00_ ;_ * &quot;-&quot;??_ ;_ @_ "/>
    <numFmt numFmtId="240" formatCode="mm/dd/yyyy&quot;₩&quot;\ h:mm"/>
    <numFmt numFmtId="241" formatCode="0.0%;\(0.0%\)"/>
    <numFmt numFmtId="242" formatCode="0.00&quot; ㎠&quot;"/>
    <numFmt numFmtId="243" formatCode="#,##0.00_ "/>
    <numFmt numFmtId="244" formatCode="_-* #,##0.00\ _B_F_-;\-* #,##0.00\ _B_F_-;_-* &quot;-&quot;??\ _B_F_-;_-@_-"/>
    <numFmt numFmtId="245" formatCode="&quot;RM&quot;#,##0.00_);\(&quot;RM&quot;#,##0.00\)"/>
    <numFmt numFmtId="246" formatCode="yyyy\.mm\.dd"/>
    <numFmt numFmtId="247" formatCode="_-&quot;S&quot;&quot;₩&quot;\!\ * #,##0_-;&quot;₩&quot;\!\-&quot;S&quot;&quot;₩&quot;\!\ * #,##0_-;_-&quot;S&quot;&quot;₩&quot;\!\ * &quot;-&quot;_-;_-@_-"/>
    <numFmt numFmtId="248" formatCode="_ * #,##0_ ;_ * &quot;₩&quot;&quot;₩&quot;&quot;₩&quot;\-#,##0_ ;_ * &quot;-&quot;_ ;_ @_ "/>
    <numFmt numFmtId="249" formatCode="&quot;$&quot;#,##0.00_);[Red]\(&quot;$&quot;#,##0.00\)"/>
    <numFmt numFmtId="250" formatCode="&quot;$&quot;#,##0_);[Red]\(&quot;$&quot;#,##0\)"/>
    <numFmt numFmtId="251" formatCode="#,##0_);\(#,##0\)\ \ \ "/>
    <numFmt numFmtId="252" formatCode="_-* #,##0&quot;₩&quot;\ _D_M_-;&quot;₩&quot;\-* #,##0&quot;₩&quot;\ _D_M_-;_-* &quot;-&quot;&quot;₩&quot;\ _D_M_-;_-@_-"/>
    <numFmt numFmtId="253" formatCode="0.000000"/>
    <numFmt numFmtId="254" formatCode="_ &quot;₩&quot;* #,##0.00_ ;_ &quot;₩&quot;* &quot;₩&quot;&quot;₩&quot;&quot;₩&quot;&quot;₩&quot;\-#,##0.00_ ;_ &quot;₩&quot;* &quot;-&quot;??_ ;_ @_ "/>
    <numFmt numFmtId="255" formatCode="#,##0.00\ &quot;Pts&quot;;\-#,##0.00\ &quot;Pts&quot;"/>
    <numFmt numFmtId="256" formatCode="&quot;₩&quot;#\!\,##0;&quot;₩&quot;\!\-&quot;₩&quot;#\!\,##0"/>
    <numFmt numFmtId="257" formatCode="&quot;₩&quot;\!\$#,##0&quot;₩&quot;\!\ ;&quot;₩&quot;\!\(&quot;₩&quot;\!\$#,##0&quot;₩&quot;\!\)"/>
    <numFmt numFmtId="258" formatCode="_ * #,##0.00_ ;_ * &quot;₩&quot;&quot;₩&quot;&quot;₩&quot;&quot;₩&quot;&quot;₩&quot;&quot;₩&quot;&quot;₩&quot;&quot;₩&quot;&quot;₩&quot;\-#,##0.00_ ;_ * &quot;-&quot;??_ ;_ @_ "/>
    <numFmt numFmtId="259" formatCode="&quot;$&quot;#,##0.00;;"/>
    <numFmt numFmtId="260" formatCode="#,##0\ &quot;DM&quot;;\-#,##0\ &quot;DM&quot;"/>
    <numFmt numFmtId="261" formatCode="&quot;SFr.&quot;#,##0;&quot;SFr.&quot;\-#,##0"/>
    <numFmt numFmtId="262" formatCode="#,##0.00;[Red]#,##0.00"/>
    <numFmt numFmtId="263" formatCode="0\ &quot;EA&quot;"/>
    <numFmt numFmtId="264" formatCode="_ * #,##0_ ;_ * \-#,##0_ ;_ * &quot;-&quot;??_ ;_ @_ "/>
    <numFmt numFmtId="265" formatCode="_ * #,##0.0000_ ;_ * \-#,##0.0000_ ;_ * &quot;-&quot;_ ;_ @_ "/>
    <numFmt numFmtId="266" formatCode="_-&quot;₩&quot;* #,##0.00_-;&quot;₩&quot;&quot;₩&quot;&quot;₩&quot;\-&quot;₩&quot;* #,##0.00_-;_-&quot;₩&quot;* &quot;-&quot;??_-;_-@_-"/>
    <numFmt numFmtId="267" formatCode="0.0000000000000"/>
    <numFmt numFmtId="268" formatCode="_ * #,##0.00_ ;_ * &quot;₩&quot;&quot;₩&quot;&quot;₩&quot;&quot;₩&quot;&quot;₩&quot;&quot;₩&quot;\-#,##0.00_ ;_ * &quot;-&quot;??_ ;_ @_ "/>
    <numFmt numFmtId="269" formatCode="&quot;₩&quot;#,##0.00;&quot;₩&quot;&quot;₩&quot;&quot;₩&quot;&quot;₩&quot;&quot;₩&quot;\-#,##0.00"/>
    <numFmt numFmtId="270" formatCode="0.0%;[Red]&quot;△&quot;0.0%"/>
    <numFmt numFmtId="271" formatCode="0.00000000"/>
    <numFmt numFmtId="272" formatCode="_-[$€-2]* #,##0.00_-;\-[$€-2]* #,##0.00_-;_-[$€-2]* &quot;-&quot;??_-"/>
    <numFmt numFmtId="273" formatCode="_-[$€-2]* #,##0.00_-;&quot;₩&quot;\!\-[$€-2]* #,##0.00_-;_-[$€-2]* &quot;-&quot;??_-"/>
    <numFmt numFmtId="274" formatCode=";;"/>
    <numFmt numFmtId="275" formatCode="_ * #,##0_ ;_ * &quot;₩&quot;&quot;₩&quot;&quot;₩&quot;&quot;₩&quot;&quot;₩&quot;\-#,##0_ ;_ * &quot;-&quot;_ ;_ @_ "/>
    <numFmt numFmtId="276" formatCode="#,##0.000\ &quot;㎏ &quot;"/>
    <numFmt numFmtId="277" formatCode="###,###,"/>
    <numFmt numFmtId="278" formatCode="#,##0.000\ &quot;m  &quot;"/>
    <numFmt numFmtId="279" formatCode="#,##0.000\ &quot;㎡ &quot;"/>
    <numFmt numFmtId="280" formatCode="#,##0.000\ &quot;㎥ &quot;"/>
    <numFmt numFmtId="281" formatCode="General_)"/>
    <numFmt numFmtId="282" formatCode="&quot;Fr.&quot;\ #,##0;[Red]&quot;Fr.&quot;\ \-#,##0"/>
    <numFmt numFmtId="283" formatCode="&quot;Fr.&quot;\ #,##0.00;[Red]&quot;Fr.&quot;\ \-#,##0.00"/>
    <numFmt numFmtId="284" formatCode="&quot;₩&quot;#,##0;&quot;₩&quot;&quot;₩&quot;&quot;₩&quot;&quot;₩&quot;&quot;₩&quot;&quot;₩&quot;&quot;₩&quot;&quot;₩&quot;&quot;₩&quot;&quot;₩&quot;&quot;₩&quot;&quot;₩&quot;\-&quot;₩&quot;#,##0"/>
    <numFmt numFmtId="285" formatCode="hh:mm:ss&quot;₩&quot;&quot;₩&quot;&quot;₩&quot;&quot;₩&quot;&quot;₩&quot;&quot;₩&quot;&quot;₩&quot;&quot;₩&quot;\ AM/PM_)"/>
    <numFmt numFmtId="286" formatCode="#,000"/>
    <numFmt numFmtId="287" formatCode="&quot;$&quot;#,##0.00"/>
    <numFmt numFmtId="288" formatCode="_ * #,##0_ ;_ * &quot;₩&quot;\-#,##0_ ;_ * &quot;-&quot;??_ ;_ @_ "/>
    <numFmt numFmtId="289" formatCode="0.00000%"/>
    <numFmt numFmtId="290" formatCode="#,##0.0000_);\(#,##0.0000\)"/>
    <numFmt numFmtId="291" formatCode="0.00_);[Red]\(0.00\)"/>
    <numFmt numFmtId="292" formatCode="_*\ ??_-"/>
    <numFmt numFmtId="293" formatCode="0.0_)"/>
    <numFmt numFmtId="294" formatCode="_ &quot;₩&quot;* #,##0.0000000_ ;_ &quot;₩&quot;* &quot;₩&quot;\-#,##0.0000000_ ;_ &quot;₩&quot;* &quot;-&quot;??_ ;_ @_ "/>
    <numFmt numFmtId="295" formatCode="#,##0;[Red]&quot;△&quot;#,##0"/>
    <numFmt numFmtId="296" formatCode="0\ &quot;t&quot;"/>
    <numFmt numFmtId="297" formatCode="_ * #,##0.000000_ ;_ * &quot;₩&quot;\-#,##0.000000_ ;_ * &quot;-&quot;??_ ;_ @_ "/>
    <numFmt numFmtId="298" formatCode=";;;"/>
    <numFmt numFmtId="299" formatCode="&quot;₩&quot;#,##0;&quot;₩&quot;&quot;₩&quot;&quot;₩&quot;&quot;₩&quot;\-#,##0"/>
    <numFmt numFmtId="300" formatCode="#,##0.000&quot; ton&quot;"/>
    <numFmt numFmtId="301" formatCode="_ &quot;SFr.&quot;* #,##0_ ;_ &quot;SFr.&quot;* &quot;₩&quot;&quot;₩&quot;&quot;₩&quot;&quot;₩&quot;&quot;₩&quot;&quot;₩&quot;&quot;₩&quot;&quot;₩&quot;&quot;₩&quot;&quot;₩&quot;&quot;₩&quot;&quot;₩&quot;&quot;₩&quot;\-#,##0_ ;_ &quot;SFr.&quot;* &quot;-&quot;_ ;_ @_ "/>
    <numFmt numFmtId="302" formatCode="_ * #,##0.0000000000_ ;_ * \-#,##0.0000000000_ ;_ * &quot;-&quot;_ ;_ @_ "/>
    <numFmt numFmtId="303" formatCode="#,##0;[Red]#,##0"/>
    <numFmt numFmtId="304" formatCode="0.0_);[Red]\(0.0\)"/>
    <numFmt numFmtId="305" formatCode="_-* #,##0.000_-;\-* #,##0.000_-;_-* &quot;-&quot;_-;_-@_-"/>
    <numFmt numFmtId="306" formatCode="_-* #,##0.00_-;\-* #,##0.00_-;_-* &quot;-&quot;_-;_-@_-"/>
    <numFmt numFmtId="307" formatCode="@&quot; LINE&quot;"/>
    <numFmt numFmtId="308" formatCode="&quot;₩&quot;#,##0_);\(&quot;₩&quot;#,##0\)"/>
    <numFmt numFmtId="309" formatCode="m&quot;/&quot;d"/>
    <numFmt numFmtId="310" formatCode="m&quot;월&quot;\ d&quot;일&quot;"/>
    <numFmt numFmtId="311" formatCode="&quot;US$&quot;#,##0_);\(&quot;US$&quot;#,##0\)"/>
    <numFmt numFmtId="312" formatCode="0_);\(0\)"/>
    <numFmt numFmtId="313" formatCode="?/?#"/>
    <numFmt numFmtId="314" formatCode="0.000_ "/>
    <numFmt numFmtId="315" formatCode="0_ "/>
    <numFmt numFmtId="316" formatCode="0.0%;[Red]\-0.0%"/>
    <numFmt numFmtId="317" formatCode="0.0000"/>
    <numFmt numFmtId="318" formatCode="[Red]#,##0.000;[Red]&quot;-&quot;#,##0.000"/>
    <numFmt numFmtId="319" formatCode="#,###&quot; 통&quot;"/>
    <numFmt numFmtId="320" formatCode="_-* #,##0;\-* #,##0;_-* &quot;-&quot;;_-@"/>
    <numFmt numFmtId="321" formatCode="0.00000"/>
    <numFmt numFmtId="322" formatCode="0.000\ "/>
    <numFmt numFmtId="323" formatCode="#,##0.00_);[Red]\(#,##0.00\)"/>
    <numFmt numFmtId="324" formatCode="_(* #,##0.00_);_(* \(#,##0.00\);_(* &quot;-&quot;??_);_(@_)"/>
    <numFmt numFmtId="325" formatCode="_(* #,##0_);_(* \(#,##0\);_(* &quot;-&quot;_);_(@_)"/>
    <numFmt numFmtId="326" formatCode="&quot;  &quot;@"/>
    <numFmt numFmtId="327" formatCode="0.00\ &quot;)&quot;"/>
    <numFmt numFmtId="328" formatCode="0.00\ &quot;)]&quot;"/>
    <numFmt numFmtId="329" formatCode="#.00"/>
    <numFmt numFmtId="330" formatCode="&quot;₩&quot;#,##0;[Red]&quot;₩&quot;&quot;₩&quot;&quot;₩&quot;&quot;₩&quot;\-#,##0"/>
    <numFmt numFmtId="331" formatCode="0.000\ &quot;²&quot;"/>
    <numFmt numFmtId="332" formatCode="&quot;(&quot;\ 0.00"/>
    <numFmt numFmtId="333" formatCode="&quot;[(&quot;\ 0.00"/>
    <numFmt numFmtId="334" formatCode="_-#,##0;\-#,##0;&quot;-&quot;_-;_-@_-"/>
    <numFmt numFmtId="335" formatCode="0.0_ "/>
    <numFmt numFmtId="336" formatCode="&quot;US$&quot;#,##0_);[Red]\(&quot;US$&quot;#,##0\)"/>
    <numFmt numFmtId="337" formatCode="#,##0\ \ \ \ "/>
    <numFmt numFmtId="338" formatCode="_-* #,##0_-;&quot;₩&quot;\!\!\-* #,##0_-;_-* &quot;-&quot;_-;_-@_-"/>
    <numFmt numFmtId="339" formatCode="_ * #,##0_ ;_ * &quot;₩&quot;&quot;₩&quot;&quot;₩&quot;&quot;₩&quot;\-#,##0_ ;_ * &quot;-&quot;_ ;_ @_ "/>
    <numFmt numFmtId="340" formatCode="&quot;₩&quot;#,##0;[Red]&quot;₩&quot;&quot;₩&quot;&quot;₩&quot;\-#,##0"/>
    <numFmt numFmtId="341" formatCode="_ * #,##0_ ;_ * &quot;₩&quot;\!\-#,##0_ ;_ * &quot;-&quot;_ ;_ @_ "/>
    <numFmt numFmtId="342" formatCode="#,##0_ ;\-#,##0.0_ ;"/>
    <numFmt numFmtId="343" formatCode="#,##0&quot; &quot;;[Red]&quot;△&quot;#,##0&quot; &quot;"/>
    <numFmt numFmtId="344" formatCode="* #,##0&quot; &quot;;[Red]* &quot;△&quot;#,##0&quot; &quot;;* @"/>
    <numFmt numFmtId="345" formatCode="#,##0.####;[Red]&quot;△&quot;#,##0.####"/>
    <numFmt numFmtId="346" formatCode="#,##0.00##;[Red]&quot;△&quot;#,##0.00##"/>
    <numFmt numFmtId="347" formatCode="_-* #,##0.00_-;&quot;₩&quot;&quot;₩&quot;\-* #,##0.00_-;_-* &quot;-&quot;??_-;_-@_-"/>
    <numFmt numFmtId="348" formatCode="#,##0.000&quot; KG&quot;"/>
    <numFmt numFmtId="349" formatCode="&quot;$&quot;#,##0_);\(&quot;$&quot;#,##0\)"/>
    <numFmt numFmtId="350" formatCode="_-&quot;$&quot;* #,##0_-;\-&quot;$&quot;* #,##0_-;_-&quot;$&quot;* &quot;-&quot;_-;_-@_-"/>
    <numFmt numFmtId="351" formatCode="_-&quot;₩&quot;* #,##0.00_-;&quot;₩&quot;&quot;₩&quot;\-&quot;₩&quot;* #,##0.00_-;_-&quot;₩&quot;* &quot;-&quot;??_-;_-@_-"/>
    <numFmt numFmtId="352" formatCode="0.00&quot; M &quot;"/>
    <numFmt numFmtId="353" formatCode="&quot;₩&quot;#,##0.00;&quot;₩&quot;&quot;₩&quot;&quot;₩&quot;&quot;₩&quot;\-#,##0.00"/>
    <numFmt numFmtId="354" formatCode="0.000&quot;M&quot;"/>
    <numFmt numFmtId="355" formatCode="&quot;No.&quot;0"/>
    <numFmt numFmtId="356" formatCode="0.0&quot; 본 / 일&quot;"/>
    <numFmt numFmtId="357" formatCode="0.0&quot; 개소 / 일&quot;"/>
    <numFmt numFmtId="358" formatCode="0.0&quot; ㎥ / 일&quot;"/>
    <numFmt numFmtId="359" formatCode="[$-F800]dddd\,\ mmmm\ dd\,\ yyyy"/>
    <numFmt numFmtId="360" formatCode="yyyy&quot;년&quot;\ m&quot;월&quot;\ d&quot;일&quot;;@"/>
    <numFmt numFmtId="361" formatCode="[DBNum4][$-412]General"/>
    <numFmt numFmtId="362" formatCode="#,###\ "/>
    <numFmt numFmtId="363" formatCode="&quot;D&quot;###&quot;mm&quot;"/>
    <numFmt numFmtId="364" formatCode="&quot;차단관경, D&quot;#,###&quot;㎜&quot;"/>
    <numFmt numFmtId="365" formatCode="&quot;NO.&quot;##"/>
    <numFmt numFmtId="366" formatCode="&quot;천공관경, D&quot;#,###&quot;㎜&quot;"/>
    <numFmt numFmtId="367" formatCode="&quot;등압관경, D&quot;#,###&quot;㎜&quot;"/>
    <numFmt numFmtId="368" formatCode="&quot;강관제, D&quot;#,###&quot;㎜&quot;"/>
    <numFmt numFmtId="369" formatCode="##&quot;ton&quot;"/>
  </numFmts>
  <fonts count="238">
    <font>
      <sz val="9"/>
      <color indexed="8"/>
      <name val="굴림체"/>
      <family val="3"/>
      <charset val="129"/>
    </font>
    <font>
      <sz val="11"/>
      <color theme="1"/>
      <name val="맑은 고딕"/>
      <family val="2"/>
      <charset val="129"/>
      <scheme val="minor"/>
    </font>
    <font>
      <sz val="8"/>
      <name val="굴림체"/>
      <family val="3"/>
      <charset val="129"/>
    </font>
    <font>
      <sz val="9"/>
      <color indexed="8"/>
      <name val="굴림체"/>
      <family val="3"/>
      <charset val="129"/>
    </font>
    <font>
      <sz val="9"/>
      <name val="굴림체"/>
      <family val="3"/>
      <charset val="129"/>
    </font>
    <font>
      <sz val="10"/>
      <name val="Arial"/>
      <family val="2"/>
    </font>
    <font>
      <sz val="8"/>
      <name val="돋움"/>
      <family val="3"/>
      <charset val="129"/>
    </font>
    <font>
      <sz val="10"/>
      <name val="굴림체"/>
      <family val="3"/>
      <charset val="129"/>
    </font>
    <font>
      <sz val="11"/>
      <color indexed="8"/>
      <name val="돋움"/>
      <family val="3"/>
      <charset val="129"/>
    </font>
    <font>
      <b/>
      <sz val="10"/>
      <name val="굴림체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10"/>
      <name val="Times New Roman"/>
      <family val="1"/>
    </font>
    <font>
      <sz val="12"/>
      <name val="굴림체"/>
      <family val="3"/>
      <charset val="129"/>
    </font>
    <font>
      <sz val="10"/>
      <name val="MS Sans Serif"/>
      <family val="2"/>
    </font>
    <font>
      <b/>
      <sz val="22"/>
      <name val="바탕체"/>
      <family val="1"/>
      <charset val="129"/>
    </font>
    <font>
      <sz val="12"/>
      <name val="돋움체"/>
      <family val="3"/>
      <charset val="129"/>
    </font>
    <font>
      <sz val="11"/>
      <name val="돋움"/>
      <family val="3"/>
      <charset val="129"/>
    </font>
    <font>
      <i/>
      <sz val="12"/>
      <name val="굴림체"/>
      <family val="3"/>
      <charset val="129"/>
    </font>
    <font>
      <sz val="14"/>
      <name val="뼻뮝"/>
      <family val="3"/>
      <charset val="129"/>
    </font>
    <font>
      <sz val="10"/>
      <name val="Helv"/>
      <family val="2"/>
    </font>
    <font>
      <sz val="8"/>
      <name val="바탕체"/>
      <family val="1"/>
      <charset val="129"/>
    </font>
    <font>
      <sz val="10"/>
      <name val="Arial Narrow"/>
      <family val="2"/>
    </font>
    <font>
      <sz val="12"/>
      <name val="뼻뮝"/>
      <family val="3"/>
      <charset val="129"/>
    </font>
    <font>
      <sz val="11"/>
      <name val="Arial"/>
      <family val="2"/>
    </font>
    <font>
      <sz val="10"/>
      <name val="Geneva"/>
      <family val="2"/>
    </font>
    <font>
      <sz val="11"/>
      <name val="￥i￠￢￠?o"/>
      <family val="3"/>
      <charset val="129"/>
    </font>
    <font>
      <sz val="1"/>
      <color indexed="16"/>
      <name val="Courier"/>
      <family val="3"/>
    </font>
    <font>
      <sz val="1"/>
      <color indexed="8"/>
      <name val="Courier"/>
      <family val="3"/>
    </font>
    <font>
      <sz val="12"/>
      <name val="Times New Roman"/>
      <family val="1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b/>
      <sz val="1"/>
      <color indexed="8"/>
      <name val="Courier"/>
      <family val="3"/>
    </font>
    <font>
      <sz val="11"/>
      <name val="바탕체"/>
      <family val="1"/>
      <charset val="129"/>
    </font>
    <font>
      <b/>
      <sz val="10"/>
      <name val="MS Sans Serif"/>
      <family val="2"/>
    </font>
    <font>
      <sz val="9"/>
      <name val="돋움체"/>
      <family val="3"/>
      <charset val="129"/>
    </font>
    <font>
      <b/>
      <sz val="12"/>
      <color indexed="16"/>
      <name val="±¼¸²A¼"/>
      <family val="1"/>
      <charset val="129"/>
    </font>
    <font>
      <sz val="10"/>
      <name val="¸iA¶"/>
      <family val="3"/>
      <charset val="129"/>
    </font>
    <font>
      <sz val="10"/>
      <name val="¸íÁ¶"/>
      <family val="3"/>
      <charset val="129"/>
    </font>
    <font>
      <sz val="12"/>
      <name val="돋움"/>
      <family val="3"/>
      <charset val="129"/>
    </font>
    <font>
      <sz val="10"/>
      <name val="Courier New"/>
      <family val="3"/>
    </font>
    <font>
      <sz val="11"/>
      <name val="굴림체"/>
      <family val="3"/>
      <charset val="129"/>
    </font>
    <font>
      <sz val="12"/>
      <name val="견명조"/>
      <family val="1"/>
      <charset val="129"/>
    </font>
    <font>
      <sz val="10"/>
      <name val="돋움체"/>
      <family val="3"/>
      <charset val="129"/>
    </font>
    <font>
      <sz val="1"/>
      <color indexed="0"/>
      <name val="Courier"/>
      <family val="3"/>
    </font>
    <font>
      <b/>
      <sz val="12"/>
      <name val="바탕체"/>
      <family val="1"/>
      <charset val="129"/>
    </font>
    <font>
      <sz val="11"/>
      <color indexed="8"/>
      <name val="맑은 고딕"/>
      <family val="3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9"/>
      <name val="맑은 고딕"/>
      <family val="3"/>
    </font>
    <font>
      <sz val="11"/>
      <color theme="0"/>
      <name val="맑은 고딕"/>
      <family val="3"/>
      <charset val="129"/>
      <scheme val="minor"/>
    </font>
    <font>
      <sz val="11"/>
      <color indexed="9"/>
      <name val="맑은 고딕"/>
      <family val="3"/>
      <charset val="129"/>
    </font>
    <font>
      <sz val="12"/>
      <name val="Arial"/>
      <family val="2"/>
    </font>
    <font>
      <sz val="12"/>
      <name val="ⓒoUAAA¨u"/>
      <family val="1"/>
      <charset val="129"/>
    </font>
    <font>
      <sz val="11"/>
      <color indexed="9"/>
      <name val="돋움"/>
      <family val="3"/>
      <charset val="129"/>
    </font>
    <font>
      <sz val="11"/>
      <name val="µ¸¿ò"/>
      <family val="3"/>
      <charset val="129"/>
    </font>
    <font>
      <sz val="11"/>
      <name val="μ¸¿o"/>
      <family val="3"/>
      <charset val="129"/>
    </font>
    <font>
      <sz val="11"/>
      <name val="μ¸¿o"/>
      <family val="1"/>
      <charset val="129"/>
    </font>
    <font>
      <sz val="12"/>
      <name val="¸íÁ¶"/>
      <family val="3"/>
      <charset val="129"/>
    </font>
    <font>
      <sz val="10"/>
      <name val="±¼¸²A¼"/>
      <family val="3"/>
      <charset val="129"/>
    </font>
    <font>
      <sz val="12"/>
      <name val="¹UAAA¼"/>
      <family val="3"/>
    </font>
    <font>
      <sz val="12"/>
      <name val="¹UAAA¼"/>
      <family val="1"/>
      <charset val="129"/>
    </font>
    <font>
      <sz val="8"/>
      <name val="Times New Roman"/>
      <family val="1"/>
    </font>
    <font>
      <sz val="10"/>
      <name val="μ¸¿oA¼"/>
      <family val="3"/>
      <charset val="129"/>
    </font>
    <font>
      <b/>
      <sz val="11"/>
      <name val="돋움"/>
      <family val="3"/>
      <charset val="129"/>
    </font>
    <font>
      <sz val="11"/>
      <color indexed="20"/>
      <name val="맑은 고딕"/>
      <family val="3"/>
    </font>
    <font>
      <b/>
      <sz val="12"/>
      <name val="Arial MT"/>
      <family val="2"/>
    </font>
    <font>
      <sz val="9"/>
      <name val="Arial"/>
      <family val="2"/>
    </font>
    <font>
      <b/>
      <sz val="8"/>
      <name val="Arial"/>
      <family val="2"/>
    </font>
    <font>
      <sz val="12"/>
      <name val="System"/>
      <family val="2"/>
      <charset val="129"/>
    </font>
    <font>
      <sz val="8"/>
      <name val="¹UAAA¼"/>
      <family val="1"/>
      <charset val="129"/>
    </font>
    <font>
      <sz val="10"/>
      <name val="±¼¸²Ã¼"/>
      <family val="3"/>
      <charset val="129"/>
    </font>
    <font>
      <sz val="11"/>
      <name val="¹ÙÅÁÃ¼"/>
      <family val="3"/>
      <charset val="129"/>
    </font>
    <font>
      <sz val="8"/>
      <name val="¹UAAA¼"/>
      <family val="3"/>
      <charset val="129"/>
    </font>
    <font>
      <sz val="8"/>
      <name val="¹ÙÅÁÃ¼"/>
      <family val="1"/>
      <charset val="129"/>
    </font>
    <font>
      <sz val="10"/>
      <name val="µ¸¿ò"/>
      <family val="3"/>
      <charset val="129"/>
    </font>
    <font>
      <sz val="12"/>
      <name val="±¼¸²Ã¼"/>
      <family val="3"/>
      <charset val="129"/>
    </font>
    <font>
      <sz val="12"/>
      <name val="±¼¸²A¼"/>
      <family val="3"/>
      <charset val="129"/>
    </font>
    <font>
      <sz val="11"/>
      <name val="±¼¸²Ã¼"/>
      <family val="3"/>
      <charset val="129"/>
    </font>
    <font>
      <sz val="11"/>
      <name val="±¼¸²A¼"/>
      <family val="3"/>
      <charset val="129"/>
    </font>
    <font>
      <sz val="12"/>
      <name val="μ¸¿oA¼"/>
      <family val="3"/>
      <charset val="129"/>
    </font>
    <font>
      <sz val="12"/>
      <name val="µ¸¿òÃ¼"/>
      <family val="3"/>
      <charset val="129"/>
    </font>
    <font>
      <sz val="12"/>
      <name val="μ¸¿oA¼"/>
      <family val="1"/>
      <charset val="129"/>
    </font>
    <font>
      <sz val="10"/>
      <name val="¹ÙÅÁÃ¼"/>
      <family val="1"/>
      <charset val="129"/>
    </font>
    <font>
      <sz val="10"/>
      <color indexed="8"/>
      <name val="Arial"/>
      <family val="2"/>
    </font>
    <font>
      <sz val="9"/>
      <name val="Times New Roman"/>
      <family val="1"/>
    </font>
    <font>
      <b/>
      <sz val="11"/>
      <color indexed="52"/>
      <name val="맑은 고딕"/>
      <family val="3"/>
    </font>
    <font>
      <b/>
      <sz val="10"/>
      <name val="Helv"/>
      <family val="2"/>
    </font>
    <font>
      <b/>
      <sz val="11"/>
      <color indexed="9"/>
      <name val="맑은 고딕"/>
      <family val="3"/>
    </font>
    <font>
      <u/>
      <sz val="10"/>
      <color indexed="12"/>
      <name val="Arial"/>
      <family val="2"/>
    </font>
    <font>
      <sz val="10"/>
      <color indexed="8"/>
      <name val="Impact"/>
      <family val="2"/>
    </font>
    <font>
      <sz val="10"/>
      <color indexed="9"/>
      <name val="Arial"/>
      <family val="2"/>
    </font>
    <font>
      <sz val="12"/>
      <name val="Arial MT"/>
      <family val="2"/>
    </font>
    <font>
      <sz val="10"/>
      <color indexed="24"/>
      <name val="Arial"/>
      <family val="2"/>
    </font>
    <font>
      <b/>
      <sz val="11"/>
      <color indexed="16"/>
      <name val="Arial"/>
      <family val="2"/>
    </font>
    <font>
      <b/>
      <sz val="10"/>
      <color indexed="17"/>
      <name val="Arial"/>
      <family val="2"/>
    </font>
    <font>
      <b/>
      <sz val="9"/>
      <name val="Arial"/>
      <family val="2"/>
    </font>
    <font>
      <sz val="10"/>
      <name val="MS Serif"/>
      <family val="1"/>
    </font>
    <font>
      <b/>
      <i/>
      <sz val="14"/>
      <name val="Times New Roman"/>
      <family val="1"/>
    </font>
    <font>
      <sz val="8"/>
      <name val="Arial"/>
      <family val="2"/>
    </font>
    <font>
      <b/>
      <sz val="11"/>
      <color indexed="8"/>
      <name val="돋움"/>
      <family val="3"/>
      <charset val="129"/>
    </font>
    <font>
      <sz val="10"/>
      <color indexed="16"/>
      <name val="MS Serif"/>
      <family val="1"/>
    </font>
    <font>
      <i/>
      <sz val="11"/>
      <color indexed="23"/>
      <name val="맑은 고딕"/>
      <family val="3"/>
    </font>
    <font>
      <sz val="12"/>
      <color indexed="24"/>
      <name val="Arial"/>
      <family val="2"/>
    </font>
    <font>
      <i/>
      <sz val="1"/>
      <color indexed="8"/>
      <name val="Courier"/>
      <family val="3"/>
    </font>
    <font>
      <u/>
      <sz val="12"/>
      <color indexed="36"/>
      <name val="바탕체"/>
      <family val="1"/>
      <charset val="129"/>
    </font>
    <font>
      <sz val="11"/>
      <color indexed="17"/>
      <name val="맑은 고딕"/>
      <family val="3"/>
    </font>
    <font>
      <b/>
      <i/>
      <sz val="11"/>
      <name val="Times New Roman"/>
      <family val="1"/>
    </font>
    <font>
      <b/>
      <sz val="10"/>
      <name val="Arial"/>
      <family val="2"/>
    </font>
    <font>
      <b/>
      <i/>
      <sz val="10"/>
      <name val="Times New Roman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9"/>
      <color indexed="9"/>
      <name val="Arial"/>
      <family val="2"/>
    </font>
    <font>
      <b/>
      <sz val="18"/>
      <color indexed="24"/>
      <name val="Arial"/>
      <family val="2"/>
    </font>
    <font>
      <b/>
      <sz val="18"/>
      <name val="Arial"/>
      <family val="2"/>
    </font>
    <font>
      <b/>
      <sz val="12"/>
      <color indexed="24"/>
      <name val="Arial"/>
      <family val="2"/>
    </font>
    <font>
      <b/>
      <i/>
      <sz val="12"/>
      <color indexed="16"/>
      <name val="Times New Roman"/>
      <family val="1"/>
    </font>
    <font>
      <sz val="10"/>
      <name val="Univers (WN)"/>
      <family val="2"/>
    </font>
    <font>
      <u/>
      <sz val="8"/>
      <color indexed="12"/>
      <name val="Times New Roman"/>
      <family val="1"/>
    </font>
    <font>
      <u/>
      <sz val="10"/>
      <color indexed="12"/>
      <name val="MS Sans Serif"/>
      <family val="2"/>
    </font>
    <font>
      <sz val="11"/>
      <color indexed="62"/>
      <name val="맑은 고딕"/>
      <family val="3"/>
    </font>
    <font>
      <sz val="11"/>
      <color indexed="52"/>
      <name val="맑은 고딕"/>
      <family val="3"/>
    </font>
    <font>
      <b/>
      <i/>
      <sz val="12"/>
      <name val="Times New Roman"/>
      <family val="1"/>
    </font>
    <font>
      <b/>
      <sz val="11"/>
      <name val="Helv"/>
      <family val="2"/>
    </font>
    <font>
      <sz val="11"/>
      <color indexed="60"/>
      <name val="맑은 고딕"/>
      <family val="3"/>
    </font>
    <font>
      <sz val="7"/>
      <name val="Small Fonts"/>
      <family val="2"/>
    </font>
    <font>
      <sz val="12"/>
      <name val="Helv"/>
      <family val="2"/>
    </font>
    <font>
      <sz val="12"/>
      <name val="굴림"/>
      <family val="3"/>
      <charset val="129"/>
    </font>
    <font>
      <sz val="1"/>
      <color indexed="18"/>
      <name val="Courier"/>
      <family val="3"/>
    </font>
    <font>
      <b/>
      <sz val="11"/>
      <color indexed="63"/>
      <name val="맑은 고딕"/>
      <family val="3"/>
    </font>
    <font>
      <b/>
      <sz val="12"/>
      <name val="Book Antiqua"/>
      <family val="1"/>
    </font>
    <font>
      <b/>
      <sz val="16"/>
      <name val="Times New Roman"/>
      <family val="1"/>
    </font>
    <font>
      <sz val="8"/>
      <name val="Helv"/>
      <family val="2"/>
    </font>
    <font>
      <b/>
      <sz val="12"/>
      <color indexed="16"/>
      <name val="Arial"/>
      <family val="2"/>
    </font>
    <font>
      <b/>
      <sz val="18"/>
      <color indexed="56"/>
      <name val="맑은 고딕"/>
      <family val="3"/>
      <charset val="129"/>
    </font>
    <font>
      <sz val="9"/>
      <name val="돋움"/>
      <family val="3"/>
      <charset val="129"/>
    </font>
    <font>
      <b/>
      <sz val="16"/>
      <name val="돋움"/>
      <family val="3"/>
      <charset val="129"/>
    </font>
    <font>
      <b/>
      <sz val="8"/>
      <name val="Times New Roman"/>
      <family val="1"/>
    </font>
    <font>
      <b/>
      <i/>
      <sz val="14"/>
      <name val="Arial"/>
      <family val="2"/>
    </font>
    <font>
      <b/>
      <i/>
      <sz val="18"/>
      <color indexed="16"/>
      <name val="Times New Roman"/>
      <family val="1"/>
    </font>
    <font>
      <b/>
      <sz val="8"/>
      <color indexed="8"/>
      <name val="Helv"/>
      <family val="2"/>
    </font>
    <font>
      <b/>
      <i/>
      <sz val="9"/>
      <name val="Times New Roman"/>
      <family val="1"/>
    </font>
    <font>
      <sz val="18"/>
      <color indexed="12"/>
      <name val="MS Sans Serif"/>
      <family val="2"/>
    </font>
    <font>
      <b/>
      <u/>
      <sz val="13"/>
      <name val="굴림체"/>
      <family val="3"/>
      <charset val="129"/>
    </font>
    <font>
      <b/>
      <sz val="18"/>
      <color indexed="56"/>
      <name val="맑은 고딕"/>
      <family val="3"/>
    </font>
    <font>
      <b/>
      <sz val="24"/>
      <name val="Arial"/>
      <family val="2"/>
    </font>
    <font>
      <b/>
      <sz val="14"/>
      <name val="Arial"/>
      <family val="2"/>
    </font>
    <font>
      <b/>
      <sz val="8"/>
      <color indexed="32"/>
      <name val="Arial"/>
      <family val="2"/>
    </font>
    <font>
      <sz val="11"/>
      <color indexed="10"/>
      <name val="맑은 고딕"/>
      <family val="3"/>
    </font>
    <font>
      <sz val="10"/>
      <name val="굴림"/>
      <family val="3"/>
      <charset val="129"/>
    </font>
    <font>
      <u/>
      <sz val="10"/>
      <color indexed="36"/>
      <name val="Arial"/>
      <family val="2"/>
    </font>
    <font>
      <u/>
      <sz val="11"/>
      <color indexed="12"/>
      <name val="ＭＳ Ｐゴシック"/>
      <family val="2"/>
      <charset val="129"/>
    </font>
    <font>
      <i/>
      <outline/>
      <shadow/>
      <u/>
      <sz val="1"/>
      <color indexed="24"/>
      <name val="Courier"/>
      <family val="3"/>
    </font>
    <font>
      <sz val="10"/>
      <name val="바탕"/>
      <family val="1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2"/>
      <name val="명조"/>
      <family val="3"/>
      <charset val="129"/>
    </font>
    <font>
      <sz val="11"/>
      <name val="돋움체"/>
      <family val="3"/>
      <charset val="129"/>
    </font>
    <font>
      <sz val="11"/>
      <name val="HY신명조"/>
      <family val="1"/>
      <charset val="129"/>
    </font>
    <font>
      <sz val="12"/>
      <name val="Courier"/>
      <family val="3"/>
    </font>
    <font>
      <sz val="9.5"/>
      <name val="돋움"/>
      <family val="3"/>
      <charset val="129"/>
    </font>
    <font>
      <sz val="11"/>
      <color indexed="20"/>
      <name val="맑은 고딕"/>
      <family val="3"/>
      <charset val="129"/>
    </font>
    <font>
      <sz val="11"/>
      <name val="굴림"/>
      <family val="3"/>
      <charset val="129"/>
    </font>
    <font>
      <b/>
      <sz val="14"/>
      <color indexed="12"/>
      <name val="바탕체"/>
      <family val="1"/>
      <charset val="129"/>
    </font>
    <font>
      <sz val="14"/>
      <name val="뼥?ⓒ"/>
      <family val="3"/>
      <charset val="129"/>
    </font>
    <font>
      <sz val="10"/>
      <color indexed="12"/>
      <name val="돋움"/>
      <family val="3"/>
      <charset val="129"/>
    </font>
    <font>
      <sz val="11"/>
      <name val="뼻뮝"/>
      <family val="1"/>
      <charset val="129"/>
    </font>
    <font>
      <sz val="11"/>
      <color indexed="60"/>
      <name val="맑은 고딕"/>
      <family val="3"/>
      <charset val="129"/>
    </font>
    <font>
      <sz val="9"/>
      <name val="MS Sans Serif"/>
      <family val="2"/>
    </font>
    <font>
      <sz val="10"/>
      <name val="굃굍 굊긕긘긞긏"/>
      <family val="1"/>
      <charset val="129"/>
    </font>
    <font>
      <sz val="10"/>
      <color indexed="10"/>
      <name val="돋움체"/>
      <family val="3"/>
      <charset val="129"/>
    </font>
    <font>
      <sz val="12"/>
      <name val="宋体"/>
      <family val="3"/>
      <charset val="129"/>
    </font>
    <font>
      <sz val="9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b/>
      <sz val="12"/>
      <name val="돋움체"/>
      <family val="3"/>
      <charset val="129"/>
    </font>
    <font>
      <b/>
      <sz val="11"/>
      <color indexed="10"/>
      <name val="굴림"/>
      <family val="3"/>
      <charset val="129"/>
    </font>
    <font>
      <sz val="12"/>
      <name val="궁서체"/>
      <family val="1"/>
      <charset val="129"/>
    </font>
    <font>
      <sz val="18"/>
      <name val="궁서체"/>
      <family val="1"/>
      <charset val="129"/>
    </font>
    <font>
      <sz val="10"/>
      <name val="돋움"/>
      <family val="3"/>
      <charset val="129"/>
    </font>
    <font>
      <sz val="10"/>
      <name val="HY견고딕"/>
      <family val="1"/>
      <charset val="129"/>
    </font>
    <font>
      <b/>
      <sz val="12"/>
      <color indexed="16"/>
      <name val="굴림체"/>
      <family val="3"/>
      <charset val="129"/>
    </font>
    <font>
      <sz val="10"/>
      <color indexed="8"/>
      <name val="맑은 고딕"/>
      <family val="3"/>
      <charset val="129"/>
    </font>
    <font>
      <sz val="9"/>
      <color indexed="8"/>
      <name val="Arial"/>
      <family val="2"/>
    </font>
    <font>
      <sz val="10"/>
      <color indexed="8"/>
      <name val="돋움체"/>
      <family val="3"/>
      <charset val="129"/>
    </font>
    <font>
      <sz val="9"/>
      <color indexed="8"/>
      <name val="맑은 고딕"/>
      <family val="3"/>
      <charset val="129"/>
    </font>
    <font>
      <sz val="11"/>
      <name val="새굴림"/>
      <family val="1"/>
      <charset val="129"/>
    </font>
    <font>
      <sz val="7"/>
      <color indexed="8"/>
      <name val="굴림체"/>
      <family val="2"/>
      <charset val="1"/>
    </font>
    <font>
      <sz val="10"/>
      <name val="명조"/>
      <family val="3"/>
      <charset val="129"/>
    </font>
    <font>
      <b/>
      <sz val="12"/>
      <color indexed="12"/>
      <name val="돋움체"/>
      <family val="3"/>
      <charset val="129"/>
    </font>
    <font>
      <sz val="11"/>
      <color indexed="52"/>
      <name val="맑은 고딕"/>
      <family val="3"/>
      <charset val="129"/>
    </font>
    <font>
      <u/>
      <sz val="7.2"/>
      <color indexed="36"/>
      <name val="바탕체"/>
      <family val="1"/>
      <charset val="129"/>
    </font>
    <font>
      <u/>
      <sz val="11"/>
      <color indexed="20"/>
      <name val="돋움"/>
      <family val="3"/>
      <charset val="129"/>
    </font>
    <font>
      <b/>
      <sz val="11"/>
      <color indexed="8"/>
      <name val="맑은 고딕"/>
      <family val="3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1"/>
      <color indexed="62"/>
      <name val="맑은 고딕"/>
      <family val="3"/>
      <charset val="129"/>
    </font>
    <font>
      <sz val="12"/>
      <name val="明朝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6"/>
      <name val="돋움체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9"/>
      <name val="새굴림"/>
      <family val="1"/>
      <charset val="129"/>
    </font>
    <font>
      <sz val="8"/>
      <color indexed="10"/>
      <name val="돋움체"/>
      <family val="3"/>
      <charset val="129"/>
    </font>
    <font>
      <b/>
      <u/>
      <sz val="14"/>
      <name val="굴림체"/>
      <family val="3"/>
      <charset val="129"/>
    </font>
    <font>
      <b/>
      <sz val="12"/>
      <name val="돋움"/>
      <family val="3"/>
      <charset val="129"/>
    </font>
    <font>
      <sz val="11"/>
      <name val="明朝"/>
      <family val="3"/>
      <charset val="129"/>
    </font>
    <font>
      <sz val="10"/>
      <color theme="1"/>
      <name val="맑은 고딕"/>
      <family val="3"/>
      <charset val="129"/>
      <scheme val="minor"/>
    </font>
    <font>
      <sz val="8"/>
      <color indexed="8"/>
      <name val="굴림체"/>
      <family val="3"/>
      <charset val="129"/>
    </font>
    <font>
      <sz val="7"/>
      <color indexed="8"/>
      <name val="굴림체"/>
      <family val="3"/>
      <charset val="129"/>
    </font>
    <font>
      <sz val="9"/>
      <color indexed="8"/>
      <name val="굴림체"/>
      <family val="2"/>
      <charset val="129"/>
    </font>
    <font>
      <sz val="9"/>
      <color theme="1"/>
      <name val="Arial"/>
      <family val="2"/>
    </font>
    <font>
      <sz val="11"/>
      <color theme="1"/>
      <name val="돋움"/>
      <family val="3"/>
      <charset val="129"/>
    </font>
    <font>
      <sz val="11"/>
      <name val="맑은 고딕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가는으뜸체"/>
      <family val="1"/>
      <charset val="129"/>
    </font>
    <font>
      <sz val="9"/>
      <color theme="1"/>
      <name val="맑은 고딕"/>
      <family val="3"/>
      <charset val="129"/>
    </font>
    <font>
      <sz val="12"/>
      <name val="ＭＳ ゴシック"/>
      <family val="3"/>
      <charset val="129"/>
    </font>
    <font>
      <u/>
      <sz val="11"/>
      <color indexed="12"/>
      <name val="돋움"/>
      <family val="3"/>
      <charset val="129"/>
    </font>
    <font>
      <b/>
      <sz val="9"/>
      <color indexed="8"/>
      <name val="굴림체"/>
      <family val="3"/>
      <charset val="129"/>
    </font>
    <font>
      <b/>
      <sz val="9"/>
      <name val="굴림체"/>
      <family val="3"/>
      <charset val="129"/>
    </font>
    <font>
      <b/>
      <sz val="24"/>
      <name val="함초롬바탕"/>
      <family val="1"/>
      <charset val="129"/>
    </font>
    <font>
      <sz val="10"/>
      <name val="함초롬바탕"/>
      <family val="1"/>
      <charset val="129"/>
    </font>
    <font>
      <sz val="11"/>
      <name val="함초롬바탕"/>
      <family val="1"/>
      <charset val="129"/>
    </font>
    <font>
      <b/>
      <sz val="11"/>
      <name val="함초롬바탕"/>
      <family val="1"/>
      <charset val="129"/>
    </font>
    <font>
      <b/>
      <sz val="10"/>
      <name val="함초롬바탕"/>
      <family val="1"/>
      <charset val="129"/>
    </font>
    <font>
      <sz val="12"/>
      <name val="함초롬바탕"/>
      <family val="1"/>
      <charset val="129"/>
    </font>
    <font>
      <b/>
      <sz val="18"/>
      <color theme="1"/>
      <name val="맑은 고딕"/>
      <family val="3"/>
      <charset val="129"/>
      <scheme val="major"/>
    </font>
    <font>
      <b/>
      <sz val="18"/>
      <color theme="0"/>
      <name val="맑은 고딕"/>
      <family val="3"/>
      <charset val="129"/>
      <scheme val="major"/>
    </font>
    <font>
      <sz val="8"/>
      <name val="맑은 고딕"/>
      <family val="3"/>
      <charset val="129"/>
    </font>
    <font>
      <b/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ajor"/>
    </font>
  </fonts>
  <fills count="6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30"/>
        <bgColor indexed="30"/>
      </patternFill>
    </fill>
    <fill>
      <patternFill patternType="solid">
        <fgColor indexed="10"/>
      </patternFill>
    </fill>
    <fill>
      <patternFill patternType="solid">
        <fgColor indexed="45"/>
        <bgColor indexed="45"/>
      </patternFill>
    </fill>
    <fill>
      <patternFill patternType="solid">
        <fgColor indexed="29"/>
        <bgColor indexed="29"/>
      </patternFill>
    </fill>
    <fill>
      <patternFill patternType="solid">
        <fgColor indexed="57"/>
      </patternFill>
    </fill>
    <fill>
      <patternFill patternType="solid">
        <fgColor indexed="42"/>
        <bgColor indexed="42"/>
      </patternFill>
    </fill>
    <fill>
      <patternFill patternType="solid">
        <fgColor indexed="11"/>
        <bgColor indexed="11"/>
      </patternFill>
    </fill>
    <fill>
      <patternFill patternType="solid">
        <fgColor indexed="46"/>
        <bgColor indexed="46"/>
      </patternFill>
    </fill>
    <fill>
      <patternFill patternType="solid">
        <fgColor indexed="36"/>
        <bgColor indexed="36"/>
      </patternFill>
    </fill>
    <fill>
      <patternFill patternType="solid">
        <fgColor indexed="27"/>
        <bgColor indexed="27"/>
      </patternFill>
    </fill>
    <fill>
      <patternFill patternType="solid">
        <fgColor indexed="49"/>
        <bgColor indexed="49"/>
      </patternFill>
    </fill>
    <fill>
      <patternFill patternType="solid">
        <fgColor indexed="53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52"/>
        <bgColor indexed="52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1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7"/>
        <bgColor indexed="64"/>
      </patternFill>
    </fill>
    <fill>
      <patternFill patternType="lightUp">
        <fgColor indexed="9"/>
        <bgColor indexed="49"/>
      </patternFill>
    </fill>
    <fill>
      <patternFill patternType="lightUp">
        <fgColor indexed="9"/>
        <bgColor indexed="10"/>
      </patternFill>
    </fill>
    <fill>
      <patternFill patternType="lightUp">
        <fgColor indexed="9"/>
        <bgColor indexed="57"/>
      </patternFill>
    </fill>
    <fill>
      <patternFill patternType="solid">
        <fgColor indexed="16"/>
        <bgColor indexed="64"/>
      </patternFill>
    </fill>
    <fill>
      <patternFill patternType="gray0625">
        <fgColor indexed="11"/>
        <bgColor indexed="15"/>
      </patternFill>
    </fill>
    <fill>
      <patternFill patternType="solid">
        <fgColor indexed="41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8"/>
      </patternFill>
    </fill>
    <fill>
      <patternFill patternType="solid">
        <fgColor indexed="20"/>
        <bgColor indexed="2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ck">
        <color indexed="51"/>
      </left>
      <right/>
      <top style="thick">
        <color indexed="51"/>
      </top>
      <bottom style="thick">
        <color indexed="51"/>
      </bottom>
      <diagonal/>
    </border>
    <border>
      <left style="thick">
        <color indexed="9"/>
      </left>
      <right/>
      <top style="thick">
        <color indexed="9"/>
      </top>
      <bottom style="thick">
        <color indexed="23"/>
      </bottom>
      <diagonal/>
    </border>
    <border>
      <left style="thin">
        <color indexed="23"/>
      </left>
      <right style="thin">
        <color indexed="9"/>
      </right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23"/>
      </left>
      <right style="thin">
        <color indexed="9"/>
      </right>
      <top style="thin">
        <color indexed="9"/>
      </top>
      <bottom style="thin">
        <color indexed="23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3"/>
      </left>
      <right style="thin">
        <color indexed="9"/>
      </right>
      <top style="thin">
        <color indexed="23"/>
      </top>
      <bottom style="thin">
        <color indexed="9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10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12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/>
      <bottom style="medium">
        <color indexed="9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5039">
    <xf numFmtId="0" fontId="0" fillId="0" borderId="0"/>
    <xf numFmtId="0" fontId="5" fillId="0" borderId="0"/>
    <xf numFmtId="0" fontId="10" fillId="0" borderId="0"/>
    <xf numFmtId="0" fontId="11" fillId="0" borderId="0">
      <protection locked="0"/>
    </xf>
    <xf numFmtId="183" fontId="11" fillId="0" borderId="0" applyFill="0" applyBorder="0" applyProtection="0"/>
    <xf numFmtId="0" fontId="12" fillId="0" borderId="0"/>
    <xf numFmtId="184" fontId="13" fillId="0" borderId="0" applyFont="0" applyFill="0" applyBorder="0" applyAlignment="0" applyProtection="0"/>
    <xf numFmtId="184" fontId="13" fillId="0" borderId="0" applyFont="0" applyFill="0" applyBorder="0" applyAlignment="0" applyProtection="0"/>
    <xf numFmtId="184" fontId="13" fillId="0" borderId="0" applyFont="0" applyFill="0" applyBorder="0" applyAlignment="0" applyProtection="0"/>
    <xf numFmtId="184" fontId="13" fillId="0" borderId="0" applyFont="0" applyFill="0" applyBorder="0" applyAlignment="0" applyProtection="0"/>
    <xf numFmtId="184" fontId="13" fillId="0" borderId="0" applyFont="0" applyFill="0" applyBorder="0" applyAlignment="0" applyProtection="0"/>
    <xf numFmtId="184" fontId="13" fillId="0" borderId="0" applyFont="0" applyFill="0" applyBorder="0" applyAlignment="0" applyProtection="0"/>
    <xf numFmtId="184" fontId="13" fillId="0" borderId="0" applyFont="0" applyFill="0" applyBorder="0" applyAlignment="0" applyProtection="0"/>
    <xf numFmtId="184" fontId="13" fillId="0" borderId="0" applyFont="0" applyFill="0" applyBorder="0" applyAlignment="0" applyProtection="0"/>
    <xf numFmtId="184" fontId="13" fillId="0" borderId="0" applyFont="0" applyFill="0" applyBorder="0" applyAlignment="0" applyProtection="0"/>
    <xf numFmtId="184" fontId="13" fillId="0" borderId="0" applyFont="0" applyFill="0" applyBorder="0" applyAlignment="0" applyProtection="0"/>
    <xf numFmtId="184" fontId="13" fillId="0" borderId="0" applyFont="0" applyFill="0" applyBorder="0" applyAlignment="0" applyProtection="0"/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184" fontId="13" fillId="0" borderId="0" applyFont="0" applyFill="0" applyBorder="0" applyAlignment="0" applyProtection="0"/>
    <xf numFmtId="184" fontId="13" fillId="0" borderId="0" applyFont="0" applyFill="0" applyBorder="0" applyAlignment="0" applyProtection="0"/>
    <xf numFmtId="184" fontId="13" fillId="0" borderId="0" applyFont="0" applyFill="0" applyBorder="0" applyAlignment="0" applyProtection="0"/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5" fillId="0" borderId="0" applyFont="0" applyFill="0" applyBorder="0" applyAlignment="0" applyProtection="0"/>
    <xf numFmtId="0" fontId="14" fillId="0" borderId="0"/>
    <xf numFmtId="0" fontId="15" fillId="0" borderId="10">
      <alignment horizontal="center"/>
    </xf>
    <xf numFmtId="0" fontId="15" fillId="0" borderId="10">
      <alignment horizontal="center"/>
    </xf>
    <xf numFmtId="0" fontId="15" fillId="0" borderId="10">
      <alignment horizontal="center"/>
    </xf>
    <xf numFmtId="0" fontId="15" fillId="0" borderId="10">
      <alignment horizontal="center"/>
    </xf>
    <xf numFmtId="0" fontId="15" fillId="0" borderId="10">
      <alignment horizontal="center"/>
    </xf>
    <xf numFmtId="0" fontId="15" fillId="0" borderId="10">
      <alignment horizontal="center"/>
    </xf>
    <xf numFmtId="0" fontId="15" fillId="0" borderId="10">
      <alignment horizontal="center"/>
    </xf>
    <xf numFmtId="0" fontId="16" fillId="0" borderId="0">
      <alignment vertical="center"/>
    </xf>
    <xf numFmtId="3" fontId="17" fillId="0" borderId="1"/>
    <xf numFmtId="3" fontId="17" fillId="0" borderId="1"/>
    <xf numFmtId="3" fontId="17" fillId="0" borderId="1"/>
    <xf numFmtId="3" fontId="17" fillId="0" borderId="1"/>
    <xf numFmtId="3" fontId="17" fillId="0" borderId="1"/>
    <xf numFmtId="3" fontId="17" fillId="0" borderId="1"/>
    <xf numFmtId="3" fontId="17" fillId="0" borderId="1"/>
    <xf numFmtId="3" fontId="17" fillId="0" borderId="1"/>
    <xf numFmtId="3" fontId="17" fillId="0" borderId="1"/>
    <xf numFmtId="3" fontId="17" fillId="0" borderId="1"/>
    <xf numFmtId="3" fontId="17" fillId="0" borderId="1"/>
    <xf numFmtId="3" fontId="17" fillId="0" borderId="1"/>
    <xf numFmtId="3" fontId="17" fillId="0" borderId="1"/>
    <xf numFmtId="3" fontId="17" fillId="0" borderId="1"/>
    <xf numFmtId="24" fontId="15" fillId="0" borderId="0" applyFont="0" applyFill="0" applyBorder="0" applyAlignment="0" applyProtection="0"/>
    <xf numFmtId="185" fontId="11" fillId="0" borderId="0" applyNumberFormat="0" applyFont="0" applyFill="0" applyBorder="0" applyAlignment="0" applyProtection="0"/>
    <xf numFmtId="186" fontId="11" fillId="0" borderId="0" applyNumberFormat="0" applyFont="0" applyFill="0" applyBorder="0" applyAlignment="0" applyProtection="0"/>
    <xf numFmtId="185" fontId="11" fillId="0" borderId="0" applyNumberFormat="0" applyFont="0" applyFill="0" applyBorder="0" applyAlignment="0" applyProtection="0"/>
    <xf numFmtId="186" fontId="11" fillId="0" borderId="0" applyNumberFormat="0" applyFont="0" applyFill="0" applyBorder="0" applyAlignment="0" applyProtection="0"/>
    <xf numFmtId="187" fontId="5" fillId="0" borderId="0" applyFont="0" applyFill="0" applyBorder="0" applyAlignment="0" applyProtection="0">
      <alignment vertical="center"/>
    </xf>
    <xf numFmtId="188" fontId="18" fillId="0" borderId="0" applyFont="0" applyFill="0" applyBorder="0" applyAlignment="0" applyProtection="0">
      <alignment vertical="center"/>
    </xf>
    <xf numFmtId="188" fontId="18" fillId="0" borderId="0" applyFont="0" applyFill="0" applyBorder="0" applyAlignment="0" applyProtection="0">
      <alignment vertical="center"/>
    </xf>
    <xf numFmtId="188" fontId="18" fillId="0" borderId="0" applyFont="0" applyFill="0" applyBorder="0" applyAlignment="0" applyProtection="0">
      <alignment vertical="center"/>
    </xf>
    <xf numFmtId="188" fontId="18" fillId="0" borderId="0" applyFont="0" applyFill="0" applyBorder="0" applyAlignment="0" applyProtection="0">
      <alignment vertical="center"/>
    </xf>
    <xf numFmtId="188" fontId="18" fillId="0" borderId="0" applyFont="0" applyFill="0" applyBorder="0" applyAlignment="0" applyProtection="0">
      <alignment vertical="center"/>
    </xf>
    <xf numFmtId="188" fontId="18" fillId="0" borderId="0" applyFont="0" applyFill="0" applyBorder="0" applyAlignment="0" applyProtection="0">
      <alignment vertical="center"/>
    </xf>
    <xf numFmtId="188" fontId="18" fillId="0" borderId="0" applyFont="0" applyFill="0" applyBorder="0" applyAlignment="0" applyProtection="0">
      <alignment vertical="center"/>
    </xf>
    <xf numFmtId="188" fontId="18" fillId="0" borderId="0" applyFont="0" applyFill="0" applyBorder="0" applyAlignment="0" applyProtection="0">
      <alignment vertical="center"/>
    </xf>
    <xf numFmtId="188" fontId="18" fillId="0" borderId="0" applyFont="0" applyFill="0" applyBorder="0" applyAlignment="0" applyProtection="0">
      <alignment vertical="center"/>
    </xf>
    <xf numFmtId="188" fontId="18" fillId="0" borderId="0" applyFont="0" applyFill="0" applyBorder="0" applyAlignment="0" applyProtection="0">
      <alignment vertical="center"/>
    </xf>
    <xf numFmtId="188" fontId="18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0" fontId="19" fillId="0" borderId="0">
      <alignment vertical="center"/>
    </xf>
    <xf numFmtId="0" fontId="14" fillId="0" borderId="0">
      <alignment vertical="center"/>
    </xf>
    <xf numFmtId="38" fontId="20" fillId="0" borderId="11">
      <alignment horizontal="right"/>
    </xf>
    <xf numFmtId="38" fontId="11" fillId="0" borderId="11">
      <alignment horizontal="right"/>
    </xf>
    <xf numFmtId="38" fontId="11" fillId="0" borderId="11">
      <alignment horizontal="right"/>
    </xf>
    <xf numFmtId="38" fontId="20" fillId="0" borderId="11">
      <alignment horizontal="right"/>
    </xf>
    <xf numFmtId="38" fontId="20" fillId="0" borderId="11">
      <alignment horizontal="right"/>
    </xf>
    <xf numFmtId="38" fontId="20" fillId="0" borderId="11">
      <alignment horizontal="right"/>
    </xf>
    <xf numFmtId="38" fontId="20" fillId="0" borderId="11">
      <alignment horizontal="right"/>
    </xf>
    <xf numFmtId="38" fontId="20" fillId="0" borderId="11">
      <alignment horizontal="right"/>
    </xf>
    <xf numFmtId="38" fontId="20" fillId="0" borderId="11">
      <alignment horizontal="right"/>
    </xf>
    <xf numFmtId="38" fontId="20" fillId="0" borderId="11">
      <alignment horizontal="right"/>
    </xf>
    <xf numFmtId="38" fontId="20" fillId="0" borderId="11">
      <alignment horizontal="right"/>
    </xf>
    <xf numFmtId="38" fontId="20" fillId="0" borderId="11">
      <alignment horizontal="right"/>
    </xf>
    <xf numFmtId="38" fontId="20" fillId="0" borderId="11">
      <alignment horizontal="right"/>
    </xf>
    <xf numFmtId="38" fontId="20" fillId="0" borderId="11">
      <alignment horizontal="right"/>
    </xf>
    <xf numFmtId="38" fontId="20" fillId="0" borderId="11">
      <alignment horizontal="right"/>
    </xf>
    <xf numFmtId="38" fontId="20" fillId="0" borderId="11">
      <alignment horizontal="right"/>
    </xf>
    <xf numFmtId="38" fontId="20" fillId="0" borderId="11">
      <alignment horizontal="right"/>
    </xf>
    <xf numFmtId="38" fontId="20" fillId="0" borderId="11">
      <alignment horizontal="right"/>
    </xf>
    <xf numFmtId="38" fontId="11" fillId="0" borderId="11">
      <alignment horizontal="right"/>
    </xf>
    <xf numFmtId="38" fontId="11" fillId="0" borderId="11">
      <alignment horizontal="right"/>
    </xf>
    <xf numFmtId="38" fontId="11" fillId="0" borderId="11">
      <alignment horizontal="right"/>
    </xf>
    <xf numFmtId="38" fontId="11" fillId="0" borderId="11">
      <alignment horizontal="right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 applyFont="0" applyFill="0" applyBorder="0" applyAlignment="0" applyProtection="0"/>
    <xf numFmtId="0" fontId="5" fillId="0" borderId="0"/>
    <xf numFmtId="0" fontId="5" fillId="0" borderId="0" applyNumberFormat="0" applyFill="0" applyBorder="0" applyAlignment="0" applyProtection="0"/>
    <xf numFmtId="0" fontId="14" fillId="0" borderId="0"/>
    <xf numFmtId="189" fontId="13" fillId="0" borderId="0" applyFill="0" applyBorder="0" applyProtection="0">
      <alignment vertical="center"/>
    </xf>
    <xf numFmtId="190" fontId="18" fillId="0" borderId="0" applyFill="0" applyBorder="0" applyProtection="0">
      <alignment vertical="center"/>
    </xf>
    <xf numFmtId="190" fontId="18" fillId="0" borderId="0" applyFill="0" applyBorder="0" applyProtection="0">
      <alignment vertical="center"/>
    </xf>
    <xf numFmtId="190" fontId="18" fillId="0" borderId="0" applyFill="0" applyBorder="0" applyProtection="0">
      <alignment vertical="center"/>
    </xf>
    <xf numFmtId="190" fontId="18" fillId="0" borderId="0" applyFill="0" applyBorder="0" applyProtection="0">
      <alignment vertical="center"/>
    </xf>
    <xf numFmtId="190" fontId="18" fillId="0" borderId="0" applyFill="0" applyBorder="0" applyProtection="0">
      <alignment vertical="center"/>
    </xf>
    <xf numFmtId="190" fontId="18" fillId="0" borderId="0" applyFill="0" applyBorder="0" applyProtection="0">
      <alignment vertical="center"/>
    </xf>
    <xf numFmtId="190" fontId="18" fillId="0" borderId="0" applyFill="0" applyBorder="0" applyProtection="0">
      <alignment vertical="center"/>
    </xf>
    <xf numFmtId="190" fontId="18" fillId="0" borderId="0" applyFill="0" applyBorder="0" applyProtection="0">
      <alignment vertical="center"/>
    </xf>
    <xf numFmtId="190" fontId="18" fillId="0" borderId="0" applyFill="0" applyBorder="0" applyProtection="0">
      <alignment vertical="center"/>
    </xf>
    <xf numFmtId="190" fontId="18" fillId="0" borderId="0" applyFill="0" applyBorder="0" applyProtection="0">
      <alignment vertical="center"/>
    </xf>
    <xf numFmtId="190" fontId="18" fillId="0" borderId="0" applyFill="0" applyBorder="0" applyProtection="0">
      <alignment vertical="center"/>
    </xf>
    <xf numFmtId="190" fontId="18" fillId="0" borderId="0" applyFill="0" applyBorder="0" applyProtection="0">
      <alignment vertical="center"/>
    </xf>
    <xf numFmtId="190" fontId="18" fillId="0" borderId="0" applyFill="0" applyBorder="0" applyProtection="0">
      <alignment vertical="center"/>
    </xf>
    <xf numFmtId="190" fontId="18" fillId="0" borderId="0" applyFill="0" applyBorder="0" applyProtection="0">
      <alignment vertical="center"/>
    </xf>
    <xf numFmtId="190" fontId="18" fillId="0" borderId="0" applyFill="0" applyBorder="0" applyProtection="0">
      <alignment vertical="center"/>
    </xf>
    <xf numFmtId="190" fontId="18" fillId="0" borderId="0" applyFill="0" applyBorder="0" applyProtection="0">
      <alignment vertical="center"/>
    </xf>
    <xf numFmtId="0" fontId="5" fillId="0" borderId="0" applyFont="0" applyFill="0" applyBorder="0" applyAlignment="0" applyProtection="0"/>
    <xf numFmtId="38" fontId="15" fillId="0" borderId="0" applyFont="0" applyFill="0" applyBorder="0" applyAlignment="0" applyProtection="0"/>
    <xf numFmtId="0" fontId="5" fillId="0" borderId="0"/>
    <xf numFmtId="0" fontId="7" fillId="0" borderId="0" applyFont="0" applyFill="0" applyBorder="0" applyAlignment="0" applyProtection="0"/>
    <xf numFmtId="0" fontId="18" fillId="0" borderId="0"/>
    <xf numFmtId="0" fontId="5" fillId="0" borderId="0"/>
    <xf numFmtId="0" fontId="18" fillId="0" borderId="0"/>
    <xf numFmtId="0" fontId="21" fillId="0" borderId="0"/>
    <xf numFmtId="0" fontId="5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5" fillId="0" borderId="0"/>
    <xf numFmtId="0" fontId="18" fillId="0" borderId="0"/>
    <xf numFmtId="0" fontId="21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5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 applyFont="0" applyFill="0" applyBorder="0" applyAlignment="0" applyProtection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1" fillId="0" borderId="0"/>
    <xf numFmtId="184" fontId="5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 applyFont="0" applyFill="0" applyBorder="0" applyAlignment="0" applyProtection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5" fillId="0" borderId="0"/>
    <xf numFmtId="0" fontId="5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" fillId="0" borderId="0"/>
    <xf numFmtId="0" fontId="21" fillId="0" borderId="0"/>
    <xf numFmtId="0" fontId="20" fillId="0" borderId="0"/>
    <xf numFmtId="0" fontId="11" fillId="0" borderId="0"/>
    <xf numFmtId="0" fontId="1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1" fillId="0" borderId="0"/>
    <xf numFmtId="0" fontId="2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5" fillId="0" borderId="0"/>
    <xf numFmtId="0" fontId="11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5" fillId="0" borderId="0"/>
    <xf numFmtId="0" fontId="15" fillId="0" borderId="0"/>
    <xf numFmtId="0" fontId="15" fillId="0" borderId="0"/>
    <xf numFmtId="0" fontId="21" fillId="0" borderId="0"/>
    <xf numFmtId="0" fontId="5" fillId="0" borderId="0"/>
    <xf numFmtId="0" fontId="5" fillId="0" borderId="0"/>
    <xf numFmtId="0" fontId="5" fillId="0" borderId="0"/>
    <xf numFmtId="0" fontId="2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1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23" fillId="0" borderId="0" applyFont="0" applyFill="0" applyBorder="0" applyAlignment="0" applyProtection="0"/>
    <xf numFmtId="0" fontId="18" fillId="0" borderId="0"/>
    <xf numFmtId="0" fontId="11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5" fillId="0" borderId="0"/>
    <xf numFmtId="0" fontId="5" fillId="0" borderId="0"/>
    <xf numFmtId="0" fontId="7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 applyFont="0" applyFill="0" applyBorder="0" applyAlignment="0" applyProtection="0"/>
    <xf numFmtId="0" fontId="11" fillId="0" borderId="0"/>
    <xf numFmtId="0" fontId="18" fillId="0" borderId="0"/>
    <xf numFmtId="0" fontId="18" fillId="0" borderId="0"/>
    <xf numFmtId="0" fontId="5" fillId="0" borderId="0"/>
    <xf numFmtId="0" fontId="21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1" fillId="0" borderId="0"/>
    <xf numFmtId="0" fontId="21" fillId="0" borderId="0"/>
    <xf numFmtId="0" fontId="21" fillId="0" borderId="0"/>
    <xf numFmtId="0" fontId="2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24" fillId="0" borderId="0"/>
    <xf numFmtId="0" fontId="10" fillId="0" borderId="0"/>
    <xf numFmtId="0" fontId="5" fillId="0" borderId="0"/>
    <xf numFmtId="0" fontId="5" fillId="0" borderId="0"/>
    <xf numFmtId="0" fontId="21" fillId="0" borderId="0"/>
    <xf numFmtId="0" fontId="5" fillId="0" borderId="0"/>
    <xf numFmtId="0" fontId="21" fillId="0" borderId="0"/>
    <xf numFmtId="0" fontId="25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21" fillId="0" borderId="0"/>
    <xf numFmtId="0" fontId="11" fillId="0" borderId="0"/>
    <xf numFmtId="0" fontId="1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5" fillId="0" borderId="0"/>
    <xf numFmtId="0" fontId="5" fillId="0" borderId="0"/>
    <xf numFmtId="0" fontId="21" fillId="0" borderId="0"/>
    <xf numFmtId="0" fontId="21" fillId="0" borderId="0"/>
    <xf numFmtId="0" fontId="21" fillId="0" borderId="0"/>
    <xf numFmtId="0" fontId="5" fillId="0" borderId="0"/>
    <xf numFmtId="9" fontId="23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7" fillId="0" borderId="0" applyFont="0" applyFill="0" applyBorder="0" applyAlignment="0" applyProtection="0"/>
    <xf numFmtId="0" fontId="5" fillId="0" borderId="0"/>
    <xf numFmtId="0" fontId="11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5" fillId="0" borderId="0"/>
    <xf numFmtId="0" fontId="7" fillId="0" borderId="0" applyFont="0" applyFill="0" applyBorder="0" applyAlignment="0" applyProtection="0"/>
    <xf numFmtId="0" fontId="18" fillId="0" borderId="0"/>
    <xf numFmtId="0" fontId="18" fillId="0" borderId="0"/>
    <xf numFmtId="0" fontId="11" fillId="0" borderId="0"/>
    <xf numFmtId="0" fontId="18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 applyFont="0" applyFill="0" applyBorder="0" applyAlignment="0" applyProtection="0"/>
    <xf numFmtId="0" fontId="5" fillId="0" borderId="0"/>
    <xf numFmtId="0" fontId="11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1" fillId="0" borderId="0"/>
    <xf numFmtId="0" fontId="7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1" fillId="0" borderId="0"/>
    <xf numFmtId="0" fontId="7" fillId="0" borderId="0" applyFont="0" applyFill="0" applyBorder="0" applyAlignment="0" applyProtection="0"/>
    <xf numFmtId="0" fontId="5" fillId="0" borderId="0"/>
    <xf numFmtId="0" fontId="13" fillId="0" borderId="0"/>
    <xf numFmtId="0" fontId="5" fillId="0" borderId="0"/>
    <xf numFmtId="0" fontId="15" fillId="0" borderId="0"/>
    <xf numFmtId="0" fontId="15" fillId="0" borderId="0"/>
    <xf numFmtId="0" fontId="5" fillId="0" borderId="0"/>
    <xf numFmtId="0" fontId="11" fillId="0" borderId="0"/>
    <xf numFmtId="0" fontId="5" fillId="0" borderId="0" applyFont="0" applyFill="0" applyBorder="0" applyAlignment="0" applyProtection="0"/>
    <xf numFmtId="0" fontId="2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0" fontId="18" fillId="0" borderId="0"/>
    <xf numFmtId="0" fontId="11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26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 applyFont="0" applyFill="0" applyBorder="0" applyAlignment="0" applyProtection="0"/>
    <xf numFmtId="0" fontId="18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 applyFont="0" applyFill="0" applyBorder="0" applyAlignment="0" applyProtection="0"/>
    <xf numFmtId="0" fontId="21" fillId="0" borderId="0"/>
    <xf numFmtId="0" fontId="18" fillId="0" borderId="0"/>
    <xf numFmtId="0" fontId="5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5" fillId="0" borderId="0"/>
    <xf numFmtId="0" fontId="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1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1" fillId="0" borderId="0"/>
    <xf numFmtId="0" fontId="21" fillId="0" borderId="0"/>
    <xf numFmtId="0" fontId="13" fillId="0" borderId="0"/>
    <xf numFmtId="0" fontId="11" fillId="0" borderId="0"/>
    <xf numFmtId="0" fontId="20" fillId="0" borderId="0"/>
    <xf numFmtId="0" fontId="1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21" fillId="0" borderId="0"/>
    <xf numFmtId="0" fontId="21" fillId="0" borderId="0"/>
    <xf numFmtId="0" fontId="21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7" fillId="0" borderId="0" applyFont="0" applyFill="0" applyBorder="0" applyAlignment="0" applyProtection="0"/>
    <xf numFmtId="0" fontId="5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5" fillId="0" borderId="0"/>
    <xf numFmtId="0" fontId="2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1" fillId="0" borderId="0"/>
    <xf numFmtId="0" fontId="13" fillId="0" borderId="0"/>
    <xf numFmtId="0" fontId="7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1" fillId="0" borderId="0"/>
    <xf numFmtId="0" fontId="21" fillId="0" borderId="0"/>
    <xf numFmtId="0" fontId="7" fillId="0" borderId="0" applyFont="0" applyFill="0" applyBorder="0" applyAlignment="0" applyProtection="0"/>
    <xf numFmtId="0" fontId="20" fillId="0" borderId="0"/>
    <xf numFmtId="0" fontId="11" fillId="0" borderId="0"/>
    <xf numFmtId="0" fontId="7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5" fillId="0" borderId="0"/>
    <xf numFmtId="0" fontId="7" fillId="0" borderId="0" applyFont="0" applyFill="0" applyBorder="0" applyAlignment="0" applyProtection="0"/>
    <xf numFmtId="0" fontId="21" fillId="0" borderId="0"/>
    <xf numFmtId="0" fontId="5" fillId="0" borderId="0"/>
    <xf numFmtId="0" fontId="13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18" fillId="0" borderId="0"/>
    <xf numFmtId="0" fontId="13" fillId="0" borderId="0"/>
    <xf numFmtId="0" fontId="18" fillId="0" borderId="0"/>
    <xf numFmtId="0" fontId="13" fillId="0" borderId="0"/>
    <xf numFmtId="0" fontId="11" fillId="0" borderId="0"/>
    <xf numFmtId="0" fontId="5" fillId="0" borderId="0"/>
    <xf numFmtId="0" fontId="21" fillId="0" borderId="0"/>
    <xf numFmtId="0" fontId="21" fillId="0" borderId="0"/>
    <xf numFmtId="0" fontId="5" fillId="0" borderId="0"/>
    <xf numFmtId="0" fontId="18" fillId="0" borderId="0"/>
    <xf numFmtId="0" fontId="5" fillId="0" borderId="0"/>
    <xf numFmtId="0" fontId="5" fillId="0" borderId="0"/>
    <xf numFmtId="0" fontId="5" fillId="0" borderId="0"/>
    <xf numFmtId="0" fontId="18" fillId="0" borderId="0"/>
    <xf numFmtId="0" fontId="5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1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1" fillId="0" borderId="0"/>
    <xf numFmtId="0" fontId="20" fillId="0" borderId="0"/>
    <xf numFmtId="0" fontId="11" fillId="0" borderId="0"/>
    <xf numFmtId="0" fontId="24" fillId="0" borderId="0"/>
    <xf numFmtId="0" fontId="10" fillId="0" borderId="0"/>
    <xf numFmtId="0" fontId="5" fillId="0" borderId="0"/>
    <xf numFmtId="0" fontId="5" fillId="0" borderId="0"/>
    <xf numFmtId="0" fontId="1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21" fillId="0" borderId="0"/>
    <xf numFmtId="0" fontId="21" fillId="0" borderId="0"/>
    <xf numFmtId="0" fontId="18" fillId="0" borderId="0"/>
    <xf numFmtId="0" fontId="5" fillId="0" borderId="0"/>
    <xf numFmtId="0" fontId="5" fillId="0" borderId="0"/>
    <xf numFmtId="9" fontId="23" fillId="0" borderId="0" applyFont="0" applyFill="0" applyBorder="0" applyAlignment="0" applyProtection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1" fillId="0" borderId="0"/>
    <xf numFmtId="0" fontId="13" fillId="0" borderId="0"/>
    <xf numFmtId="0" fontId="13" fillId="0" borderId="0"/>
    <xf numFmtId="0" fontId="20" fillId="0" borderId="0"/>
    <xf numFmtId="0" fontId="11" fillId="0" borderId="0"/>
    <xf numFmtId="0" fontId="24" fillId="0" borderId="0"/>
    <xf numFmtId="0" fontId="10" fillId="0" borderId="0"/>
    <xf numFmtId="0" fontId="5" fillId="0" borderId="0"/>
    <xf numFmtId="0" fontId="5" fillId="0" borderId="0"/>
    <xf numFmtId="0" fontId="24" fillId="0" borderId="0"/>
    <xf numFmtId="0" fontId="10" fillId="0" borderId="0"/>
    <xf numFmtId="0" fontId="5" fillId="0" borderId="0"/>
    <xf numFmtId="0" fontId="18" fillId="0" borderId="0"/>
    <xf numFmtId="9" fontId="23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1" fillId="0" borderId="0"/>
    <xf numFmtId="0" fontId="21" fillId="0" borderId="0"/>
    <xf numFmtId="0" fontId="5" fillId="0" borderId="0"/>
    <xf numFmtId="0" fontId="21" fillId="0" borderId="0"/>
    <xf numFmtId="0" fontId="5" fillId="0" borderId="0"/>
    <xf numFmtId="0" fontId="11" fillId="0" borderId="0"/>
    <xf numFmtId="0" fontId="5" fillId="0" borderId="0"/>
    <xf numFmtId="0" fontId="5" fillId="0" borderId="0"/>
    <xf numFmtId="0" fontId="7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1" fillId="0" borderId="0"/>
    <xf numFmtId="0" fontId="11" fillId="0" borderId="0"/>
    <xf numFmtId="0" fontId="7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0" fillId="0" borderId="0"/>
    <xf numFmtId="0" fontId="11" fillId="0" borderId="0"/>
    <xf numFmtId="0" fontId="5" fillId="0" borderId="0"/>
    <xf numFmtId="0" fontId="22" fillId="0" borderId="0"/>
    <xf numFmtId="0" fontId="21" fillId="0" borderId="0"/>
    <xf numFmtId="0" fontId="21" fillId="0" borderId="0"/>
    <xf numFmtId="0" fontId="5" fillId="0" borderId="0"/>
    <xf numFmtId="0" fontId="5" fillId="0" borderId="0"/>
    <xf numFmtId="0" fontId="24" fillId="0" borderId="0"/>
    <xf numFmtId="0" fontId="10" fillId="0" borderId="0"/>
    <xf numFmtId="0" fontId="5" fillId="0" borderId="0"/>
    <xf numFmtId="0" fontId="21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1" fillId="0" borderId="0"/>
    <xf numFmtId="0" fontId="9" fillId="0" borderId="0" applyFont="0" applyFill="0" applyBorder="0" applyAlignment="0" applyProtection="0"/>
    <xf numFmtId="0" fontId="11" fillId="0" borderId="0"/>
    <xf numFmtId="0" fontId="7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1" fillId="0" borderId="0"/>
    <xf numFmtId="0" fontId="21" fillId="0" borderId="0"/>
    <xf numFmtId="0" fontId="5" fillId="0" borderId="0"/>
    <xf numFmtId="0" fontId="7" fillId="0" borderId="0"/>
    <xf numFmtId="0" fontId="5" fillId="0" borderId="0"/>
    <xf numFmtId="0" fontId="21" fillId="0" borderId="0"/>
    <xf numFmtId="0" fontId="21" fillId="0" borderId="0"/>
    <xf numFmtId="0" fontId="5" fillId="0" borderId="0"/>
    <xf numFmtId="0" fontId="11" fillId="0" borderId="0"/>
    <xf numFmtId="0" fontId="5" fillId="0" borderId="0"/>
    <xf numFmtId="0" fontId="1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8" fillId="0" borderId="0"/>
    <xf numFmtId="0" fontId="7" fillId="0" borderId="0" applyFont="0" applyFill="0" applyBorder="0" applyAlignment="0" applyProtection="0"/>
    <xf numFmtId="0" fontId="5" fillId="0" borderId="0"/>
    <xf numFmtId="0" fontId="1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0" fontId="1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40" fontId="15" fillId="0" borderId="0" applyFont="0" applyFill="0" applyBorder="0" applyAlignment="0" applyProtection="0"/>
    <xf numFmtId="184" fontId="5" fillId="0" borderId="0" applyFont="0" applyFill="0" applyBorder="0" applyAlignment="0" applyProtection="0"/>
    <xf numFmtId="40" fontId="15" fillId="0" borderId="0" applyFont="0" applyFill="0" applyBorder="0" applyAlignment="0" applyProtection="0"/>
    <xf numFmtId="184" fontId="5" fillId="0" borderId="0" applyFont="0" applyFill="0" applyBorder="0" applyAlignment="0" applyProtection="0"/>
    <xf numFmtId="40" fontId="1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5" fillId="0" borderId="0"/>
    <xf numFmtId="0" fontId="18" fillId="0" borderId="0"/>
    <xf numFmtId="0" fontId="5" fillId="0" borderId="0"/>
    <xf numFmtId="0" fontId="5" fillId="0" borderId="0"/>
    <xf numFmtId="0" fontId="24" fillId="0" borderId="0"/>
    <xf numFmtId="0" fontId="10" fillId="0" borderId="0"/>
    <xf numFmtId="0" fontId="5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1" fillId="0" borderId="0"/>
    <xf numFmtId="0" fontId="5" fillId="0" borderId="0"/>
    <xf numFmtId="0" fontId="21" fillId="0" borderId="0"/>
    <xf numFmtId="0" fontId="1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5" fillId="0" borderId="0"/>
    <xf numFmtId="0" fontId="18" fillId="0" borderId="0"/>
    <xf numFmtId="0" fontId="5" fillId="0" borderId="0"/>
    <xf numFmtId="0" fontId="11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23" fillId="0" borderId="0" applyFont="0" applyFill="0" applyBorder="0" applyAlignment="0" applyProtection="0"/>
    <xf numFmtId="0" fontId="11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0" fillId="0" borderId="0"/>
    <xf numFmtId="0" fontId="11" fillId="0" borderId="0"/>
    <xf numFmtId="0" fontId="5" fillId="0" borderId="0"/>
    <xf numFmtId="0" fontId="15" fillId="0" borderId="0"/>
    <xf numFmtId="0" fontId="13" fillId="0" borderId="0"/>
    <xf numFmtId="0" fontId="21" fillId="0" borderId="0"/>
    <xf numFmtId="0" fontId="11" fillId="0" borderId="0"/>
    <xf numFmtId="0" fontId="5" fillId="0" borderId="0"/>
    <xf numFmtId="0" fontId="11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 applyFont="0" applyFill="0" applyBorder="0" applyAlignment="0" applyProtection="0"/>
    <xf numFmtId="0" fontId="21" fillId="0" borderId="0"/>
    <xf numFmtId="0" fontId="11" fillId="0" borderId="0"/>
    <xf numFmtId="0" fontId="11" fillId="0" borderId="0"/>
    <xf numFmtId="0" fontId="5" fillId="0" borderId="0"/>
    <xf numFmtId="0" fontId="13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24" fillId="0" borderId="0"/>
    <xf numFmtId="0" fontId="10" fillId="0" borderId="0"/>
    <xf numFmtId="0" fontId="5" fillId="0" borderId="0"/>
    <xf numFmtId="0" fontId="5" fillId="0" borderId="0"/>
    <xf numFmtId="0" fontId="7" fillId="0" borderId="0" applyFont="0" applyFill="0" applyBorder="0" applyAlignment="0" applyProtection="0"/>
    <xf numFmtId="0" fontId="18" fillId="0" borderId="0"/>
    <xf numFmtId="0" fontId="5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5" fillId="0" borderId="0"/>
    <xf numFmtId="0" fontId="11" fillId="0" borderId="0"/>
    <xf numFmtId="0" fontId="24" fillId="0" borderId="0"/>
    <xf numFmtId="0" fontId="10" fillId="0" borderId="0"/>
    <xf numFmtId="0" fontId="5" fillId="0" borderId="0"/>
    <xf numFmtId="0" fontId="5" fillId="0" borderId="0"/>
    <xf numFmtId="0" fontId="24" fillId="0" borderId="0"/>
    <xf numFmtId="0" fontId="10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1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5" fillId="0" borderId="0"/>
    <xf numFmtId="0" fontId="20" fillId="0" borderId="0"/>
    <xf numFmtId="0" fontId="11" fillId="0" borderId="0"/>
    <xf numFmtId="0" fontId="21" fillId="0" borderId="0"/>
    <xf numFmtId="0" fontId="11" fillId="0" borderId="0"/>
    <xf numFmtId="0" fontId="18" fillId="0" borderId="0"/>
    <xf numFmtId="0" fontId="2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23" fillId="0" borderId="0" applyFont="0" applyFill="0" applyBorder="0" applyAlignment="0" applyProtection="0"/>
    <xf numFmtId="0" fontId="5" fillId="0" borderId="0"/>
    <xf numFmtId="0" fontId="13" fillId="0" borderId="0"/>
    <xf numFmtId="0" fontId="13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 applyFont="0" applyFill="0" applyBorder="0" applyAlignment="0" applyProtection="0"/>
    <xf numFmtId="0" fontId="2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1" fillId="0" borderId="0"/>
    <xf numFmtId="0" fontId="21" fillId="0" borderId="0"/>
    <xf numFmtId="0" fontId="7" fillId="0" borderId="0" applyFont="0" applyFill="0" applyBorder="0" applyAlignment="0" applyProtection="0"/>
    <xf numFmtId="0" fontId="5" fillId="0" borderId="0"/>
    <xf numFmtId="0" fontId="18" fillId="0" borderId="0"/>
    <xf numFmtId="0" fontId="20" fillId="0" borderId="0"/>
    <xf numFmtId="0" fontId="11" fillId="0" borderId="0"/>
    <xf numFmtId="0" fontId="5" fillId="0" borderId="0"/>
    <xf numFmtId="0" fontId="5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1" fillId="0" borderId="0"/>
    <xf numFmtId="0" fontId="21" fillId="0" borderId="0"/>
    <xf numFmtId="0" fontId="5" fillId="0" borderId="0"/>
    <xf numFmtId="0" fontId="5" fillId="0" borderId="0"/>
    <xf numFmtId="0" fontId="5" fillId="0" borderId="0"/>
    <xf numFmtId="0" fontId="21" fillId="0" borderId="0"/>
    <xf numFmtId="0" fontId="7" fillId="0" borderId="0" applyFont="0" applyFill="0" applyBorder="0" applyAlignment="0" applyProtection="0"/>
    <xf numFmtId="0" fontId="21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7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5" fillId="0" borderId="0"/>
    <xf numFmtId="0" fontId="15" fillId="0" borderId="0"/>
    <xf numFmtId="0" fontId="13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7" fillId="0" borderId="0" applyFont="0" applyFill="0" applyBorder="0" applyAlignment="0" applyProtection="0"/>
    <xf numFmtId="0" fontId="11" fillId="0" borderId="0"/>
    <xf numFmtId="0" fontId="11" fillId="0" borderId="0"/>
    <xf numFmtId="0" fontId="24" fillId="0" borderId="0"/>
    <xf numFmtId="0" fontId="10" fillId="0" borderId="0"/>
    <xf numFmtId="0" fontId="5" fillId="0" borderId="0"/>
    <xf numFmtId="0" fontId="5" fillId="0" borderId="0"/>
    <xf numFmtId="0" fontId="7" fillId="0" borderId="0"/>
    <xf numFmtId="0" fontId="13" fillId="0" borderId="0"/>
    <xf numFmtId="0" fontId="5" fillId="0" borderId="0"/>
    <xf numFmtId="0" fontId="5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5" fillId="0" borderId="0"/>
    <xf numFmtId="0" fontId="5" fillId="0" borderId="0"/>
    <xf numFmtId="0" fontId="18" fillId="0" borderId="0"/>
    <xf numFmtId="0" fontId="18" fillId="0" borderId="0"/>
    <xf numFmtId="0" fontId="5" fillId="0" borderId="0"/>
    <xf numFmtId="0" fontId="11" fillId="0" borderId="0"/>
    <xf numFmtId="0" fontId="18" fillId="0" borderId="0"/>
    <xf numFmtId="0" fontId="18" fillId="0" borderId="0"/>
    <xf numFmtId="0" fontId="18" fillId="0" borderId="0"/>
    <xf numFmtId="0" fontId="7" fillId="0" borderId="0" applyFont="0" applyFill="0" applyBorder="0" applyAlignment="0" applyProtection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21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5" fillId="0" borderId="0"/>
    <xf numFmtId="0" fontId="11" fillId="0" borderId="0"/>
    <xf numFmtId="0" fontId="18" fillId="0" borderId="0"/>
    <xf numFmtId="0" fontId="7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23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23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5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7" fillId="0" borderId="0" applyFont="0" applyFill="0" applyBorder="0" applyAlignment="0" applyProtection="0"/>
    <xf numFmtId="0" fontId="18" fillId="0" borderId="0"/>
    <xf numFmtId="0" fontId="18" fillId="0" borderId="0"/>
    <xf numFmtId="0" fontId="5" fillId="0" borderId="0"/>
    <xf numFmtId="0" fontId="7" fillId="0" borderId="0" applyFont="0" applyFill="0" applyBorder="0" applyAlignment="0" applyProtection="0"/>
    <xf numFmtId="0" fontId="5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1" fillId="0" borderId="0"/>
    <xf numFmtId="0" fontId="5" fillId="0" borderId="0"/>
    <xf numFmtId="0" fontId="13" fillId="0" borderId="0"/>
    <xf numFmtId="0" fontId="18" fillId="0" borderId="0"/>
    <xf numFmtId="0" fontId="18" fillId="0" borderId="0"/>
    <xf numFmtId="0" fontId="21" fillId="0" borderId="0"/>
    <xf numFmtId="0" fontId="11" fillId="0" borderId="0"/>
    <xf numFmtId="0" fontId="13" fillId="0" borderId="0"/>
    <xf numFmtId="0" fontId="13" fillId="0" borderId="0"/>
    <xf numFmtId="0" fontId="5" fillId="0" borderId="0"/>
    <xf numFmtId="0" fontId="21" fillId="0" borderId="0"/>
    <xf numFmtId="0" fontId="5" fillId="0" borderId="0"/>
    <xf numFmtId="0" fontId="5" fillId="0" borderId="0"/>
    <xf numFmtId="0" fontId="11" fillId="0" borderId="0"/>
    <xf numFmtId="0" fontId="7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5" fillId="0" borderId="0"/>
    <xf numFmtId="0" fontId="7" fillId="0" borderId="0"/>
    <xf numFmtId="0" fontId="11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 applyFont="0" applyFill="0" applyBorder="0" applyAlignment="0" applyProtection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7" fillId="0" borderId="0"/>
    <xf numFmtId="191" fontId="18" fillId="0" borderId="0">
      <protection locked="0"/>
    </xf>
    <xf numFmtId="192" fontId="28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30" fillId="0" borderId="0"/>
    <xf numFmtId="193" fontId="18" fillId="0" borderId="0" applyFont="0" applyFill="0" applyBorder="0" applyProtection="0">
      <alignment vertical="center"/>
    </xf>
    <xf numFmtId="193" fontId="18" fillId="0" borderId="0" applyFont="0" applyFill="0" applyBorder="0" applyProtection="0">
      <alignment vertical="center"/>
    </xf>
    <xf numFmtId="193" fontId="18" fillId="0" borderId="0" applyFont="0" applyFill="0" applyBorder="0" applyProtection="0">
      <alignment vertical="center"/>
    </xf>
    <xf numFmtId="193" fontId="18" fillId="0" borderId="0" applyFont="0" applyFill="0" applyBorder="0" applyProtection="0">
      <alignment vertical="center"/>
    </xf>
    <xf numFmtId="193" fontId="18" fillId="0" borderId="0" applyFont="0" applyFill="0" applyBorder="0" applyProtection="0">
      <alignment vertical="center"/>
    </xf>
    <xf numFmtId="193" fontId="18" fillId="0" borderId="0" applyFont="0" applyFill="0" applyBorder="0" applyProtection="0">
      <alignment vertical="center"/>
    </xf>
    <xf numFmtId="193" fontId="18" fillId="0" borderId="0" applyFont="0" applyFill="0" applyBorder="0" applyProtection="0">
      <alignment vertical="center"/>
    </xf>
    <xf numFmtId="193" fontId="18" fillId="0" borderId="0" applyFont="0" applyFill="0" applyBorder="0" applyProtection="0">
      <alignment vertical="center"/>
    </xf>
    <xf numFmtId="193" fontId="18" fillId="0" borderId="0" applyFont="0" applyFill="0" applyBorder="0" applyProtection="0">
      <alignment vertical="center"/>
    </xf>
    <xf numFmtId="193" fontId="18" fillId="0" borderId="0" applyFont="0" applyFill="0" applyBorder="0" applyProtection="0">
      <alignment vertical="center"/>
    </xf>
    <xf numFmtId="193" fontId="18" fillId="0" borderId="0" applyFont="0" applyFill="0" applyBorder="0" applyProtection="0">
      <alignment vertical="center"/>
    </xf>
    <xf numFmtId="9" fontId="5" fillId="8" borderId="0"/>
    <xf numFmtId="194" fontId="18" fillId="0" borderId="0">
      <alignment vertical="center"/>
    </xf>
    <xf numFmtId="194" fontId="18" fillId="0" borderId="0">
      <alignment vertical="center"/>
    </xf>
    <xf numFmtId="194" fontId="18" fillId="0" borderId="0">
      <alignment vertical="center"/>
    </xf>
    <xf numFmtId="194" fontId="18" fillId="0" borderId="0">
      <alignment vertical="center"/>
    </xf>
    <xf numFmtId="194" fontId="18" fillId="0" borderId="0">
      <alignment vertical="center"/>
    </xf>
    <xf numFmtId="194" fontId="18" fillId="0" borderId="0">
      <alignment vertical="center"/>
    </xf>
    <xf numFmtId="194" fontId="18" fillId="0" borderId="0">
      <alignment vertical="center"/>
    </xf>
    <xf numFmtId="194" fontId="18" fillId="0" borderId="0">
      <alignment vertical="center"/>
    </xf>
    <xf numFmtId="194" fontId="18" fillId="0" borderId="0">
      <alignment vertical="center"/>
    </xf>
    <xf numFmtId="194" fontId="18" fillId="0" borderId="0">
      <alignment vertical="center"/>
    </xf>
    <xf numFmtId="194" fontId="18" fillId="0" borderId="0">
      <alignment vertical="center"/>
    </xf>
    <xf numFmtId="195" fontId="18" fillId="0" borderId="0" applyFont="0" applyFill="0" applyBorder="0" applyAlignment="0" applyProtection="0">
      <alignment vertical="center"/>
    </xf>
    <xf numFmtId="195" fontId="18" fillId="0" borderId="0" applyFont="0" applyFill="0" applyBorder="0" applyAlignment="0" applyProtection="0">
      <alignment vertical="center"/>
    </xf>
    <xf numFmtId="195" fontId="18" fillId="0" borderId="0" applyFont="0" applyFill="0" applyBorder="0" applyAlignment="0" applyProtection="0">
      <alignment vertical="center"/>
    </xf>
    <xf numFmtId="195" fontId="18" fillId="0" borderId="0" applyFont="0" applyFill="0" applyBorder="0" applyAlignment="0" applyProtection="0">
      <alignment vertical="center"/>
    </xf>
    <xf numFmtId="195" fontId="18" fillId="0" borderId="0" applyFont="0" applyFill="0" applyBorder="0" applyAlignment="0" applyProtection="0">
      <alignment vertical="center"/>
    </xf>
    <xf numFmtId="195" fontId="18" fillId="0" borderId="0" applyFont="0" applyFill="0" applyBorder="0" applyAlignment="0" applyProtection="0">
      <alignment vertical="center"/>
    </xf>
    <xf numFmtId="195" fontId="18" fillId="0" borderId="0" applyFont="0" applyFill="0" applyBorder="0" applyAlignment="0" applyProtection="0">
      <alignment vertical="center"/>
    </xf>
    <xf numFmtId="195" fontId="18" fillId="0" borderId="0" applyFont="0" applyFill="0" applyBorder="0" applyAlignment="0" applyProtection="0">
      <alignment vertical="center"/>
    </xf>
    <xf numFmtId="195" fontId="18" fillId="0" borderId="0" applyFont="0" applyFill="0" applyBorder="0" applyAlignment="0" applyProtection="0">
      <alignment vertical="center"/>
    </xf>
    <xf numFmtId="195" fontId="18" fillId="0" borderId="0" applyFont="0" applyFill="0" applyBorder="0" applyAlignment="0" applyProtection="0">
      <alignment vertical="center"/>
    </xf>
    <xf numFmtId="195" fontId="18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191" fontId="18" fillId="0" borderId="0">
      <protection locked="0"/>
    </xf>
    <xf numFmtId="196" fontId="31" fillId="0" borderId="0">
      <protection locked="0"/>
    </xf>
    <xf numFmtId="197" fontId="18" fillId="0" borderId="0">
      <protection locked="0"/>
    </xf>
    <xf numFmtId="198" fontId="31" fillId="0" borderId="0">
      <protection locked="0"/>
    </xf>
    <xf numFmtId="196" fontId="31" fillId="0" borderId="0">
      <protection locked="0"/>
    </xf>
    <xf numFmtId="196" fontId="32" fillId="0" borderId="0">
      <protection locked="0"/>
    </xf>
    <xf numFmtId="191" fontId="18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199" fontId="34" fillId="0" borderId="1">
      <alignment vertical="center"/>
    </xf>
    <xf numFmtId="199" fontId="34" fillId="0" borderId="1">
      <alignment vertical="center"/>
    </xf>
    <xf numFmtId="199" fontId="34" fillId="0" borderId="1">
      <alignment vertical="center"/>
    </xf>
    <xf numFmtId="199" fontId="34" fillId="0" borderId="1">
      <alignment vertical="center"/>
    </xf>
    <xf numFmtId="199" fontId="34" fillId="0" borderId="1">
      <alignment vertical="center"/>
    </xf>
    <xf numFmtId="199" fontId="34" fillId="0" borderId="1">
      <alignment vertical="center"/>
    </xf>
    <xf numFmtId="199" fontId="34" fillId="0" borderId="1">
      <alignment vertical="center"/>
    </xf>
    <xf numFmtId="199" fontId="34" fillId="0" borderId="1">
      <alignment vertical="center"/>
    </xf>
    <xf numFmtId="199" fontId="34" fillId="0" borderId="1">
      <alignment vertical="center"/>
    </xf>
    <xf numFmtId="199" fontId="34" fillId="0" borderId="1">
      <alignment vertical="center"/>
    </xf>
    <xf numFmtId="199" fontId="34" fillId="0" borderId="1">
      <alignment vertical="center"/>
    </xf>
    <xf numFmtId="199" fontId="34" fillId="0" borderId="1">
      <alignment vertical="center"/>
    </xf>
    <xf numFmtId="199" fontId="34" fillId="0" borderId="1">
      <alignment vertical="center"/>
    </xf>
    <xf numFmtId="199" fontId="34" fillId="0" borderId="1">
      <alignment vertical="center"/>
    </xf>
    <xf numFmtId="200" fontId="35" fillId="0" borderId="12" applyFill="0" applyProtection="0">
      <alignment horizontal="center"/>
    </xf>
    <xf numFmtId="200" fontId="35" fillId="0" borderId="12" applyFill="0" applyProtection="0">
      <alignment horizontal="center"/>
    </xf>
    <xf numFmtId="200" fontId="35" fillId="0" borderId="12" applyFill="0" applyProtection="0">
      <alignment horizontal="center"/>
    </xf>
    <xf numFmtId="200" fontId="35" fillId="0" borderId="12" applyFill="0" applyProtection="0">
      <alignment horizontal="center"/>
    </xf>
    <xf numFmtId="200" fontId="35" fillId="0" borderId="12" applyFill="0" applyProtection="0">
      <alignment horizontal="center"/>
    </xf>
    <xf numFmtId="200" fontId="35" fillId="0" borderId="12" applyFill="0" applyProtection="0">
      <alignment horizontal="center"/>
    </xf>
    <xf numFmtId="200" fontId="35" fillId="0" borderId="12" applyFill="0" applyProtection="0">
      <alignment horizontal="center"/>
    </xf>
    <xf numFmtId="200" fontId="35" fillId="0" borderId="12" applyFill="0" applyProtection="0">
      <alignment horizontal="center"/>
    </xf>
    <xf numFmtId="200" fontId="35" fillId="0" borderId="12" applyFill="0" applyProtection="0">
      <alignment horizontal="center"/>
    </xf>
    <xf numFmtId="200" fontId="35" fillId="0" borderId="12" applyFill="0" applyProtection="0">
      <alignment horizontal="center"/>
    </xf>
    <xf numFmtId="200" fontId="35" fillId="0" borderId="12" applyFill="0" applyProtection="0">
      <alignment horizontal="center"/>
    </xf>
    <xf numFmtId="200" fontId="35" fillId="0" borderId="12" applyFill="0" applyProtection="0">
      <alignment horizontal="center"/>
    </xf>
    <xf numFmtId="200" fontId="35" fillId="0" borderId="12" applyFill="0" applyProtection="0">
      <alignment horizontal="center"/>
    </xf>
    <xf numFmtId="200" fontId="35" fillId="0" borderId="12" applyFill="0" applyProtection="0">
      <alignment horizontal="center"/>
    </xf>
    <xf numFmtId="3" fontId="17" fillId="0" borderId="1"/>
    <xf numFmtId="3" fontId="17" fillId="0" borderId="1"/>
    <xf numFmtId="3" fontId="17" fillId="0" borderId="1"/>
    <xf numFmtId="3" fontId="17" fillId="0" borderId="1"/>
    <xf numFmtId="3" fontId="17" fillId="0" borderId="1"/>
    <xf numFmtId="3" fontId="17" fillId="0" borderId="1"/>
    <xf numFmtId="3" fontId="17" fillId="0" borderId="1"/>
    <xf numFmtId="3" fontId="17" fillId="0" borderId="1"/>
    <xf numFmtId="3" fontId="17" fillId="0" borderId="1"/>
    <xf numFmtId="3" fontId="17" fillId="0" borderId="1"/>
    <xf numFmtId="3" fontId="17" fillId="0" borderId="1"/>
    <xf numFmtId="3" fontId="17" fillId="0" borderId="1"/>
    <xf numFmtId="3" fontId="17" fillId="0" borderId="1"/>
    <xf numFmtId="3" fontId="17" fillId="0" borderId="1"/>
    <xf numFmtId="3" fontId="17" fillId="0" borderId="1"/>
    <xf numFmtId="3" fontId="17" fillId="0" borderId="1"/>
    <xf numFmtId="3" fontId="17" fillId="0" borderId="1"/>
    <xf numFmtId="3" fontId="17" fillId="0" borderId="1"/>
    <xf numFmtId="3" fontId="17" fillId="0" borderId="1"/>
    <xf numFmtId="3" fontId="17" fillId="0" borderId="1"/>
    <xf numFmtId="3" fontId="17" fillId="0" borderId="1"/>
    <xf numFmtId="3" fontId="17" fillId="0" borderId="1"/>
    <xf numFmtId="3" fontId="17" fillId="0" borderId="1"/>
    <xf numFmtId="3" fontId="17" fillId="0" borderId="1"/>
    <xf numFmtId="3" fontId="17" fillId="0" borderId="1"/>
    <xf numFmtId="3" fontId="17" fillId="0" borderId="1"/>
    <xf numFmtId="3" fontId="17" fillId="0" borderId="1"/>
    <xf numFmtId="3" fontId="17" fillId="0" borderId="1"/>
    <xf numFmtId="0" fontId="26" fillId="0" borderId="0" applyFont="0" applyFill="0" applyBorder="0" applyAlignment="0" applyProtection="0"/>
    <xf numFmtId="199" fontId="36" fillId="0" borderId="13" applyBorder="0">
      <alignment vertical="center"/>
    </xf>
    <xf numFmtId="201" fontId="11" fillId="0" borderId="0">
      <alignment vertical="center"/>
    </xf>
    <xf numFmtId="201" fontId="11" fillId="0" borderId="0">
      <alignment vertical="center"/>
    </xf>
    <xf numFmtId="202" fontId="18" fillId="0" borderId="0">
      <alignment vertical="center"/>
    </xf>
    <xf numFmtId="199" fontId="36" fillId="0" borderId="13" applyBorder="0">
      <alignment vertical="center"/>
    </xf>
    <xf numFmtId="201" fontId="11" fillId="0" borderId="0">
      <alignment vertical="center"/>
    </xf>
    <xf numFmtId="201" fontId="11" fillId="0" borderId="0">
      <alignment vertical="center"/>
    </xf>
    <xf numFmtId="201" fontId="11" fillId="0" borderId="0">
      <alignment vertical="center"/>
    </xf>
    <xf numFmtId="201" fontId="11" fillId="0" borderId="0">
      <alignment vertical="center"/>
    </xf>
    <xf numFmtId="201" fontId="11" fillId="0" borderId="0">
      <alignment vertical="center"/>
    </xf>
    <xf numFmtId="201" fontId="11" fillId="0" borderId="0">
      <alignment vertical="center"/>
    </xf>
    <xf numFmtId="201" fontId="11" fillId="0" borderId="0">
      <alignment vertical="center"/>
    </xf>
    <xf numFmtId="201" fontId="11" fillId="0" borderId="0">
      <alignment vertical="center"/>
    </xf>
    <xf numFmtId="203" fontId="37" fillId="0" borderId="0">
      <alignment vertical="center"/>
    </xf>
    <xf numFmtId="0" fontId="38" fillId="0" borderId="14"/>
    <xf numFmtId="0" fontId="39" fillId="0" borderId="14"/>
    <xf numFmtId="204" fontId="40" fillId="0" borderId="0">
      <alignment vertical="center"/>
    </xf>
    <xf numFmtId="3" fontId="41" fillId="0" borderId="15">
      <alignment horizontal="right" vertical="center"/>
    </xf>
    <xf numFmtId="204" fontId="40" fillId="0" borderId="0">
      <alignment vertical="center"/>
    </xf>
    <xf numFmtId="0" fontId="14" fillId="0" borderId="0"/>
    <xf numFmtId="3" fontId="41" fillId="0" borderId="15">
      <alignment horizontal="right" vertical="center"/>
    </xf>
    <xf numFmtId="3" fontId="41" fillId="0" borderId="15">
      <alignment horizontal="right" vertical="center"/>
    </xf>
    <xf numFmtId="205" fontId="18" fillId="0" borderId="0">
      <alignment vertical="center"/>
    </xf>
    <xf numFmtId="205" fontId="18" fillId="0" borderId="0">
      <alignment vertical="center"/>
    </xf>
    <xf numFmtId="205" fontId="18" fillId="0" borderId="0">
      <alignment vertical="center"/>
    </xf>
    <xf numFmtId="205" fontId="18" fillId="0" borderId="0">
      <alignment vertical="center"/>
    </xf>
    <xf numFmtId="205" fontId="18" fillId="0" borderId="0">
      <alignment vertical="center"/>
    </xf>
    <xf numFmtId="205" fontId="18" fillId="0" borderId="0">
      <alignment vertical="center"/>
    </xf>
    <xf numFmtId="205" fontId="18" fillId="0" borderId="0">
      <alignment vertical="center"/>
    </xf>
    <xf numFmtId="205" fontId="18" fillId="0" borderId="0">
      <alignment vertical="center"/>
    </xf>
    <xf numFmtId="205" fontId="18" fillId="0" borderId="0">
      <alignment vertical="center"/>
    </xf>
    <xf numFmtId="206" fontId="18" fillId="0" borderId="0">
      <alignment vertical="center"/>
    </xf>
    <xf numFmtId="206" fontId="18" fillId="0" borderId="0">
      <alignment vertical="center"/>
    </xf>
    <xf numFmtId="206" fontId="18" fillId="0" borderId="0">
      <alignment vertical="center"/>
    </xf>
    <xf numFmtId="206" fontId="18" fillId="0" borderId="0">
      <alignment vertical="center"/>
    </xf>
    <xf numFmtId="206" fontId="18" fillId="0" borderId="0">
      <alignment vertical="center"/>
    </xf>
    <xf numFmtId="206" fontId="18" fillId="0" borderId="0">
      <alignment vertical="center"/>
    </xf>
    <xf numFmtId="206" fontId="18" fillId="0" borderId="0">
      <alignment vertical="center"/>
    </xf>
    <xf numFmtId="206" fontId="18" fillId="0" borderId="0">
      <alignment vertical="center"/>
    </xf>
    <xf numFmtId="206" fontId="18" fillId="0" borderId="0">
      <alignment vertical="center"/>
    </xf>
    <xf numFmtId="206" fontId="18" fillId="0" borderId="0">
      <alignment vertical="center"/>
    </xf>
    <xf numFmtId="206" fontId="18" fillId="0" borderId="0">
      <alignment vertical="center"/>
    </xf>
    <xf numFmtId="206" fontId="18" fillId="0" borderId="0">
      <alignment vertical="center"/>
    </xf>
    <xf numFmtId="206" fontId="18" fillId="0" borderId="0">
      <alignment vertical="center"/>
    </xf>
    <xf numFmtId="206" fontId="18" fillId="0" borderId="0">
      <alignment vertical="center"/>
    </xf>
    <xf numFmtId="206" fontId="18" fillId="0" borderId="0">
      <alignment vertical="center"/>
    </xf>
    <xf numFmtId="206" fontId="18" fillId="0" borderId="0">
      <alignment vertical="center"/>
    </xf>
    <xf numFmtId="206" fontId="18" fillId="0" borderId="0">
      <alignment vertical="center"/>
    </xf>
    <xf numFmtId="206" fontId="18" fillId="0" borderId="0">
      <alignment vertical="center"/>
    </xf>
    <xf numFmtId="3" fontId="41" fillId="0" borderId="15">
      <alignment horizontal="right" vertical="center"/>
    </xf>
    <xf numFmtId="0" fontId="42" fillId="0" borderId="0">
      <alignment horizontal="center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0" fontId="42" fillId="0" borderId="0">
      <alignment horizontal="center" vertical="center"/>
    </xf>
    <xf numFmtId="0" fontId="42" fillId="0" borderId="0">
      <alignment horizontal="center" vertical="center"/>
    </xf>
    <xf numFmtId="3" fontId="41" fillId="0" borderId="15">
      <alignment horizontal="right" vertical="center"/>
    </xf>
    <xf numFmtId="41" fontId="11" fillId="0" borderId="0">
      <alignment horizontal="center" vertical="center"/>
    </xf>
    <xf numFmtId="207" fontId="18" fillId="0" borderId="0">
      <alignment horizontal="center" vertical="center"/>
    </xf>
    <xf numFmtId="207" fontId="18" fillId="0" borderId="0">
      <alignment horizontal="center" vertical="center"/>
    </xf>
    <xf numFmtId="207" fontId="18" fillId="0" borderId="0">
      <alignment horizontal="center" vertical="center"/>
    </xf>
    <xf numFmtId="207" fontId="18" fillId="0" borderId="0">
      <alignment horizontal="center" vertical="center"/>
    </xf>
    <xf numFmtId="207" fontId="18" fillId="0" borderId="0">
      <alignment horizontal="center" vertical="center"/>
    </xf>
    <xf numFmtId="207" fontId="18" fillId="0" borderId="0">
      <alignment horizontal="center" vertical="center"/>
    </xf>
    <xf numFmtId="207" fontId="18" fillId="0" borderId="0">
      <alignment horizontal="center" vertical="center"/>
    </xf>
    <xf numFmtId="207" fontId="18" fillId="0" borderId="0">
      <alignment horizontal="center" vertical="center"/>
    </xf>
    <xf numFmtId="207" fontId="18" fillId="0" borderId="0">
      <alignment horizontal="center" vertical="center"/>
    </xf>
    <xf numFmtId="207" fontId="18" fillId="0" borderId="0">
      <alignment horizontal="center" vertical="center"/>
    </xf>
    <xf numFmtId="207" fontId="18" fillId="0" borderId="0">
      <alignment horizontal="center" vertical="center"/>
    </xf>
    <xf numFmtId="207" fontId="18" fillId="0" borderId="0">
      <alignment horizontal="center" vertical="center"/>
    </xf>
    <xf numFmtId="207" fontId="18" fillId="0" borderId="0">
      <alignment horizontal="center" vertical="center"/>
    </xf>
    <xf numFmtId="207" fontId="18" fillId="0" borderId="0">
      <alignment horizontal="center" vertical="center"/>
    </xf>
    <xf numFmtId="207" fontId="18" fillId="0" borderId="0">
      <alignment horizontal="center" vertical="center"/>
    </xf>
    <xf numFmtId="207" fontId="18" fillId="0" borderId="0">
      <alignment horizontal="center" vertical="center"/>
    </xf>
    <xf numFmtId="208" fontId="43" fillId="0" borderId="0">
      <alignment horizontal="center" vertical="center"/>
    </xf>
    <xf numFmtId="0" fontId="14" fillId="0" borderId="0"/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0" fontId="14" fillId="0" borderId="0"/>
    <xf numFmtId="0" fontId="14" fillId="0" borderId="0"/>
    <xf numFmtId="3" fontId="41" fillId="0" borderId="15">
      <alignment horizontal="right" vertical="center"/>
    </xf>
    <xf numFmtId="3" fontId="41" fillId="0" borderId="15">
      <alignment horizontal="right" vertical="center"/>
    </xf>
    <xf numFmtId="3" fontId="41" fillId="0" borderId="15">
      <alignment horizontal="right" vertical="center"/>
    </xf>
    <xf numFmtId="209" fontId="44" fillId="0" borderId="0">
      <alignment vertical="center"/>
    </xf>
    <xf numFmtId="0" fontId="18" fillId="0" borderId="0"/>
    <xf numFmtId="0" fontId="5" fillId="0" borderId="0" applyNumberFormat="0" applyFill="0" applyBorder="0" applyAlignment="0" applyProtection="0"/>
    <xf numFmtId="210" fontId="11" fillId="0" borderId="0">
      <protection locked="0"/>
    </xf>
    <xf numFmtId="192" fontId="45" fillId="0" borderId="0">
      <protection locked="0"/>
    </xf>
    <xf numFmtId="199" fontId="46" fillId="0" borderId="0" applyFont="0" applyFill="0" applyBorder="0" applyAlignment="0" applyProtection="0"/>
    <xf numFmtId="2" fontId="41" fillId="0" borderId="15">
      <alignment horizontal="right" vertical="center"/>
    </xf>
    <xf numFmtId="0" fontId="11" fillId="0" borderId="16">
      <alignment horizontal="center"/>
    </xf>
    <xf numFmtId="2" fontId="41" fillId="0" borderId="15">
      <alignment horizontal="right" vertical="center"/>
    </xf>
    <xf numFmtId="2" fontId="41" fillId="0" borderId="15">
      <alignment horizontal="right" vertical="center"/>
    </xf>
    <xf numFmtId="2" fontId="41" fillId="0" borderId="15">
      <alignment horizontal="right" vertical="center"/>
    </xf>
    <xf numFmtId="2" fontId="41" fillId="0" borderId="15">
      <alignment horizontal="right" vertical="center"/>
    </xf>
    <xf numFmtId="2" fontId="41" fillId="0" borderId="15">
      <alignment horizontal="right" vertical="center"/>
    </xf>
    <xf numFmtId="2" fontId="41" fillId="0" borderId="15">
      <alignment horizontal="right" vertical="center"/>
    </xf>
    <xf numFmtId="2" fontId="41" fillId="0" borderId="15">
      <alignment horizontal="right" vertical="center"/>
    </xf>
    <xf numFmtId="2" fontId="41" fillId="0" borderId="15">
      <alignment horizontal="right" vertical="center"/>
    </xf>
    <xf numFmtId="2" fontId="41" fillId="0" borderId="15">
      <alignment horizontal="right" vertical="center"/>
    </xf>
    <xf numFmtId="2" fontId="41" fillId="0" borderId="15">
      <alignment horizontal="right" vertical="center"/>
    </xf>
    <xf numFmtId="2" fontId="41" fillId="0" borderId="15">
      <alignment horizontal="right" vertical="center"/>
    </xf>
    <xf numFmtId="2" fontId="41" fillId="0" borderId="15">
      <alignment horizontal="right" vertical="center"/>
    </xf>
    <xf numFmtId="2" fontId="41" fillId="0" borderId="15">
      <alignment horizontal="right" vertical="center"/>
    </xf>
    <xf numFmtId="2" fontId="41" fillId="0" borderId="15">
      <alignment horizontal="right" vertical="center"/>
    </xf>
    <xf numFmtId="2" fontId="41" fillId="0" borderId="15">
      <alignment horizontal="right" vertical="center"/>
    </xf>
    <xf numFmtId="2" fontId="41" fillId="0" borderId="15">
      <alignment horizontal="right" vertical="center"/>
    </xf>
    <xf numFmtId="2" fontId="41" fillId="0" borderId="15">
      <alignment horizontal="right" vertical="center"/>
    </xf>
    <xf numFmtId="2" fontId="41" fillId="0" borderId="15">
      <alignment horizontal="right" vertical="center"/>
    </xf>
    <xf numFmtId="2" fontId="41" fillId="0" borderId="15">
      <alignment horizontal="right" vertical="center"/>
    </xf>
    <xf numFmtId="2" fontId="41" fillId="0" borderId="15">
      <alignment horizontal="right" vertical="center"/>
    </xf>
    <xf numFmtId="2" fontId="41" fillId="0" borderId="15">
      <alignment horizontal="right" vertical="center"/>
    </xf>
    <xf numFmtId="2" fontId="41" fillId="0" borderId="15">
      <alignment horizontal="right" vertical="center"/>
    </xf>
    <xf numFmtId="2" fontId="41" fillId="0" borderId="15">
      <alignment horizontal="right" vertical="center"/>
    </xf>
    <xf numFmtId="2" fontId="41" fillId="0" borderId="15">
      <alignment horizontal="right" vertical="center"/>
    </xf>
    <xf numFmtId="2" fontId="41" fillId="0" borderId="15">
      <alignment horizontal="right" vertical="center"/>
    </xf>
    <xf numFmtId="2" fontId="41" fillId="0" borderId="15">
      <alignment horizontal="right" vertical="center"/>
    </xf>
    <xf numFmtId="2" fontId="41" fillId="0" borderId="15">
      <alignment horizontal="right" vertical="center"/>
    </xf>
    <xf numFmtId="2" fontId="41" fillId="0" borderId="15">
      <alignment horizontal="right" vertical="center"/>
    </xf>
    <xf numFmtId="2" fontId="41" fillId="0" borderId="15">
      <alignment horizontal="right" vertical="center"/>
    </xf>
    <xf numFmtId="2" fontId="41" fillId="0" borderId="15">
      <alignment horizontal="right" vertical="center"/>
    </xf>
    <xf numFmtId="2" fontId="41" fillId="0" borderId="15">
      <alignment horizontal="right" vertical="center"/>
    </xf>
    <xf numFmtId="2" fontId="41" fillId="0" borderId="15">
      <alignment horizontal="right" vertical="center"/>
    </xf>
    <xf numFmtId="2" fontId="41" fillId="0" borderId="15">
      <alignment horizontal="right" vertical="center"/>
    </xf>
    <xf numFmtId="2" fontId="41" fillId="0" borderId="15">
      <alignment horizontal="right" vertical="center"/>
    </xf>
    <xf numFmtId="2" fontId="41" fillId="0" borderId="15">
      <alignment horizontal="right" vertical="center"/>
    </xf>
    <xf numFmtId="2" fontId="41" fillId="0" borderId="15">
      <alignment horizontal="right" vertical="center"/>
    </xf>
    <xf numFmtId="2" fontId="41" fillId="0" borderId="15">
      <alignment horizontal="right" vertical="center"/>
    </xf>
    <xf numFmtId="2" fontId="41" fillId="0" borderId="15">
      <alignment horizontal="right" vertical="center"/>
    </xf>
    <xf numFmtId="0" fontId="47" fillId="9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209" fontId="44" fillId="0" borderId="0">
      <alignment vertical="center"/>
    </xf>
    <xf numFmtId="191" fontId="18" fillId="0" borderId="0">
      <protection locked="0"/>
    </xf>
    <xf numFmtId="192" fontId="28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42" fillId="0" borderId="0" applyFont="0" applyFill="0" applyBorder="0" applyAlignment="0" applyProtection="0"/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9" fillId="3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9" fillId="3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9" fontId="11" fillId="0" borderId="0">
      <protection locked="0"/>
    </xf>
    <xf numFmtId="0" fontId="50" fillId="19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2" borderId="0" applyNumberFormat="0" applyBorder="0" applyAlignment="0" applyProtection="0">
      <alignment vertical="center"/>
    </xf>
    <xf numFmtId="0" fontId="11" fillId="0" borderId="0"/>
    <xf numFmtId="0" fontId="5" fillId="0" borderId="0" applyFont="0" applyFill="0" applyBorder="0" applyAlignment="0" applyProtection="0"/>
    <xf numFmtId="0" fontId="53" fillId="0" borderId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4" fillId="0" borderId="0" applyNumberFormat="0" applyFont="0" applyBorder="0" applyAlignment="0">
      <alignment vertical="center"/>
    </xf>
    <xf numFmtId="0" fontId="42" fillId="0" borderId="17" applyProtection="0">
      <alignment horizontal="left" vertical="center" wrapText="1"/>
    </xf>
    <xf numFmtId="0" fontId="50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55" fillId="26" borderId="0" applyNumberFormat="0" applyBorder="0" applyAlignment="0" applyProtection="0"/>
    <xf numFmtId="0" fontId="50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55" fillId="29" borderId="0" applyNumberFormat="0" applyBorder="0" applyAlignment="0" applyProtection="0"/>
    <xf numFmtId="0" fontId="50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55" fillId="32" borderId="0" applyNumberFormat="0" applyBorder="0" applyAlignment="0" applyProtection="0"/>
    <xf numFmtId="0" fontId="50" fillId="20" borderId="0" applyNumberFormat="0" applyBorder="0" applyAlignment="0" applyProtection="0">
      <alignment vertical="center"/>
    </xf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55" fillId="34" borderId="0" applyNumberFormat="0" applyBorder="0" applyAlignment="0" applyProtection="0"/>
    <xf numFmtId="0" fontId="50" fillId="21" borderId="0" applyNumberFormat="0" applyBorder="0" applyAlignment="0" applyProtection="0">
      <alignment vertical="center"/>
    </xf>
    <xf numFmtId="0" fontId="8" fillId="35" borderId="0" applyNumberFormat="0" applyBorder="0" applyAlignment="0" applyProtection="0"/>
    <xf numFmtId="0" fontId="8" fillId="25" borderId="0" applyNumberFormat="0" applyBorder="0" applyAlignment="0" applyProtection="0"/>
    <xf numFmtId="0" fontId="55" fillId="36" borderId="0" applyNumberFormat="0" applyBorder="0" applyAlignment="0" applyProtection="0"/>
    <xf numFmtId="0" fontId="50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0" fontId="55" fillId="40" borderId="0" applyNumberFormat="0" applyBorder="0" applyAlignment="0" applyProtection="0"/>
    <xf numFmtId="210" fontId="11" fillId="0" borderId="0">
      <protection locked="0"/>
    </xf>
    <xf numFmtId="192" fontId="45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210" fontId="11" fillId="0" borderId="0">
      <protection locked="0"/>
    </xf>
    <xf numFmtId="192" fontId="45" fillId="0" borderId="0">
      <protection locked="0"/>
    </xf>
    <xf numFmtId="211" fontId="31" fillId="0" borderId="0" applyFont="0" applyFill="0" applyBorder="0" applyAlignment="0" applyProtection="0"/>
    <xf numFmtId="42" fontId="56" fillId="0" borderId="0" applyFont="0" applyFill="0" applyBorder="0" applyAlignment="0" applyProtection="0"/>
    <xf numFmtId="212" fontId="31" fillId="0" borderId="0" applyFont="0" applyFill="0" applyBorder="0" applyAlignment="0" applyProtection="0"/>
    <xf numFmtId="212" fontId="32" fillId="0" borderId="0" applyFont="0" applyFill="0" applyBorder="0" applyAlignment="0" applyProtection="0"/>
    <xf numFmtId="42" fontId="57" fillId="0" borderId="0" applyFont="0" applyFill="0" applyBorder="0" applyAlignment="0" applyProtection="0"/>
    <xf numFmtId="42" fontId="56" fillId="0" borderId="0" applyFont="0" applyFill="0" applyBorder="0" applyAlignment="0" applyProtection="0"/>
    <xf numFmtId="42" fontId="58" fillId="0" borderId="0" applyFont="0" applyFill="0" applyBorder="0" applyAlignment="0" applyProtection="0"/>
    <xf numFmtId="213" fontId="59" fillId="0" borderId="0" applyFont="0" applyFill="0" applyBorder="0" applyAlignment="0" applyProtection="0"/>
    <xf numFmtId="212" fontId="60" fillId="0" borderId="0" applyFont="0" applyFill="0" applyBorder="0" applyAlignment="0" applyProtection="0"/>
    <xf numFmtId="212" fontId="32" fillId="0" borderId="0" applyFont="0" applyFill="0" applyBorder="0" applyAlignment="0" applyProtection="0"/>
    <xf numFmtId="212" fontId="31" fillId="0" borderId="0" applyFont="0" applyFill="0" applyBorder="0" applyAlignment="0" applyProtection="0"/>
    <xf numFmtId="212" fontId="32" fillId="0" borderId="0" applyFont="0" applyFill="0" applyBorder="0" applyAlignment="0" applyProtection="0"/>
    <xf numFmtId="0" fontId="27" fillId="0" borderId="0" applyFont="0" applyFill="0" applyBorder="0" applyAlignment="0" applyProtection="0"/>
    <xf numFmtId="214" fontId="32" fillId="0" borderId="0" applyFont="0" applyFill="0" applyBorder="0" applyAlignment="0" applyProtection="0"/>
    <xf numFmtId="208" fontId="3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1" fillId="0" borderId="0" applyFont="0" applyFill="0" applyBorder="0" applyAlignment="0" applyProtection="0"/>
    <xf numFmtId="212" fontId="32" fillId="0" borderId="0" applyFont="0" applyFill="0" applyBorder="0" applyAlignment="0" applyProtection="0"/>
    <xf numFmtId="42" fontId="57" fillId="0" borderId="0" applyFont="0" applyFill="0" applyBorder="0" applyAlignment="0" applyProtection="0"/>
    <xf numFmtId="42" fontId="56" fillId="0" borderId="0" applyFont="0" applyFill="0" applyBorder="0" applyAlignment="0" applyProtection="0"/>
    <xf numFmtId="0" fontId="61" fillId="0" borderId="0" applyFont="0" applyFill="0" applyBorder="0" applyAlignment="0" applyProtection="0"/>
    <xf numFmtId="212" fontId="56" fillId="0" borderId="0" applyFont="0" applyFill="0" applyBorder="0" applyAlignment="0" applyProtection="0"/>
    <xf numFmtId="212" fontId="31" fillId="0" borderId="0" applyFont="0" applyFill="0" applyBorder="0" applyAlignment="0" applyProtection="0"/>
    <xf numFmtId="212" fontId="32" fillId="0" borderId="0" applyFont="0" applyFill="0" applyBorder="0" applyAlignment="0" applyProtection="0"/>
    <xf numFmtId="0" fontId="62" fillId="0" borderId="0" applyFont="0" applyFill="0" applyBorder="0" applyAlignment="0" applyProtection="0"/>
    <xf numFmtId="192" fontId="45" fillId="0" borderId="0">
      <protection locked="0"/>
    </xf>
    <xf numFmtId="215" fontId="31" fillId="0" borderId="0" applyFont="0" applyFill="0" applyBorder="0" applyAlignment="0" applyProtection="0"/>
    <xf numFmtId="215" fontId="32" fillId="0" borderId="0" applyFont="0" applyFill="0" applyBorder="0" applyAlignment="0" applyProtection="0"/>
    <xf numFmtId="216" fontId="5" fillId="0" borderId="0" applyFont="0" applyFill="0" applyBorder="0" applyAlignment="0" applyProtection="0"/>
    <xf numFmtId="216" fontId="5" fillId="0" borderId="0" applyFont="0" applyFill="0" applyBorder="0" applyAlignment="0" applyProtection="0"/>
    <xf numFmtId="37" fontId="31" fillId="0" borderId="0" applyFont="0" applyFill="0" applyBorder="0" applyAlignment="0" applyProtection="0"/>
    <xf numFmtId="42" fontId="56" fillId="0" borderId="0" applyFont="0" applyFill="0" applyBorder="0" applyAlignment="0" applyProtection="0"/>
    <xf numFmtId="0" fontId="18" fillId="0" borderId="0">
      <protection locked="0"/>
    </xf>
    <xf numFmtId="217" fontId="31" fillId="0" borderId="0" applyFont="0" applyFill="0" applyBorder="0" applyAlignment="0" applyProtection="0"/>
    <xf numFmtId="44" fontId="56" fillId="0" borderId="0" applyFont="0" applyFill="0" applyBorder="0" applyAlignment="0" applyProtection="0"/>
    <xf numFmtId="218" fontId="31" fillId="0" borderId="0" applyFont="0" applyFill="0" applyBorder="0" applyAlignment="0" applyProtection="0"/>
    <xf numFmtId="218" fontId="32" fillId="0" borderId="0" applyFont="0" applyFill="0" applyBorder="0" applyAlignment="0" applyProtection="0"/>
    <xf numFmtId="44" fontId="57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8" fillId="0" borderId="0" applyFont="0" applyFill="0" applyBorder="0" applyAlignment="0" applyProtection="0"/>
    <xf numFmtId="219" fontId="59" fillId="0" borderId="0" applyFont="0" applyFill="0" applyBorder="0" applyAlignment="0" applyProtection="0"/>
    <xf numFmtId="218" fontId="60" fillId="0" borderId="0" applyFont="0" applyFill="0" applyBorder="0" applyAlignment="0" applyProtection="0"/>
    <xf numFmtId="218" fontId="32" fillId="0" borderId="0" applyFont="0" applyFill="0" applyBorder="0" applyAlignment="0" applyProtection="0"/>
    <xf numFmtId="218" fontId="31" fillId="0" borderId="0" applyFont="0" applyFill="0" applyBorder="0" applyAlignment="0" applyProtection="0"/>
    <xf numFmtId="218" fontId="32" fillId="0" borderId="0" applyFont="0" applyFill="0" applyBorder="0" applyAlignment="0" applyProtection="0"/>
    <xf numFmtId="0" fontId="27" fillId="0" borderId="0" applyFont="0" applyFill="0" applyBorder="0" applyAlignment="0" applyProtection="0"/>
    <xf numFmtId="220" fontId="32" fillId="0" borderId="0" applyFont="0" applyFill="0" applyBorder="0" applyAlignment="0" applyProtection="0"/>
    <xf numFmtId="182" fontId="3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1" fillId="0" borderId="0" applyFont="0" applyFill="0" applyBorder="0" applyAlignment="0" applyProtection="0"/>
    <xf numFmtId="218" fontId="32" fillId="0" borderId="0" applyFont="0" applyFill="0" applyBorder="0" applyAlignment="0" applyProtection="0"/>
    <xf numFmtId="44" fontId="57" fillId="0" borderId="0" applyFont="0" applyFill="0" applyBorder="0" applyAlignment="0" applyProtection="0"/>
    <xf numFmtId="44" fontId="56" fillId="0" borderId="0" applyFont="0" applyFill="0" applyBorder="0" applyAlignment="0" applyProtection="0"/>
    <xf numFmtId="0" fontId="61" fillId="0" borderId="0" applyFont="0" applyFill="0" applyBorder="0" applyAlignment="0" applyProtection="0"/>
    <xf numFmtId="218" fontId="56" fillId="0" borderId="0" applyFont="0" applyFill="0" applyBorder="0" applyAlignment="0" applyProtection="0"/>
    <xf numFmtId="218" fontId="31" fillId="0" borderId="0" applyFont="0" applyFill="0" applyBorder="0" applyAlignment="0" applyProtection="0"/>
    <xf numFmtId="218" fontId="32" fillId="0" borderId="0" applyFont="0" applyFill="0" applyBorder="0" applyAlignment="0" applyProtection="0"/>
    <xf numFmtId="0" fontId="62" fillId="0" borderId="0" applyFont="0" applyFill="0" applyBorder="0" applyAlignment="0" applyProtection="0"/>
    <xf numFmtId="192" fontId="45" fillId="0" borderId="0">
      <protection locked="0"/>
    </xf>
    <xf numFmtId="221" fontId="31" fillId="0" borderId="0" applyFont="0" applyFill="0" applyBorder="0" applyAlignment="0" applyProtection="0"/>
    <xf numFmtId="221" fontId="32" fillId="0" borderId="0" applyFont="0" applyFill="0" applyBorder="0" applyAlignment="0" applyProtection="0"/>
    <xf numFmtId="222" fontId="5" fillId="0" borderId="0" applyFont="0" applyFill="0" applyBorder="0" applyAlignment="0" applyProtection="0"/>
    <xf numFmtId="222" fontId="5" fillId="0" borderId="0" applyFont="0" applyFill="0" applyBorder="0" applyAlignment="0" applyProtection="0"/>
    <xf numFmtId="37" fontId="31" fillId="0" borderId="0" applyFont="0" applyFill="0" applyBorder="0" applyAlignment="0" applyProtection="0"/>
    <xf numFmtId="44" fontId="56" fillId="0" borderId="0" applyFont="0" applyFill="0" applyBorder="0" applyAlignment="0" applyProtection="0"/>
    <xf numFmtId="192" fontId="29" fillId="0" borderId="0">
      <protection locked="0"/>
    </xf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191" fontId="18" fillId="0" borderId="0">
      <protection locked="0"/>
    </xf>
    <xf numFmtId="223" fontId="18" fillId="0" borderId="0">
      <protection locked="0"/>
    </xf>
    <xf numFmtId="188" fontId="31" fillId="0" borderId="0">
      <protection locked="0"/>
    </xf>
    <xf numFmtId="224" fontId="31" fillId="0" borderId="0">
      <protection locked="0"/>
    </xf>
    <xf numFmtId="0" fontId="15" fillId="0" borderId="0"/>
    <xf numFmtId="0" fontId="31" fillId="0" borderId="0"/>
    <xf numFmtId="0" fontId="63" fillId="0" borderId="0">
      <alignment horizontal="center" wrapText="1"/>
      <protection locked="0"/>
    </xf>
    <xf numFmtId="210" fontId="11" fillId="0" borderId="0">
      <protection locked="0"/>
    </xf>
    <xf numFmtId="192" fontId="45" fillId="0" borderId="0">
      <protection locked="0"/>
    </xf>
    <xf numFmtId="210" fontId="11" fillId="0" borderId="0">
      <protection locked="0"/>
    </xf>
    <xf numFmtId="192" fontId="45" fillId="0" borderId="0">
      <protection locked="0"/>
    </xf>
    <xf numFmtId="217" fontId="64" fillId="0" borderId="0" applyFont="0" applyFill="0" applyBorder="0" applyAlignment="0" applyProtection="0"/>
    <xf numFmtId="41" fontId="56" fillId="0" borderId="0" applyFont="0" applyFill="0" applyBorder="0" applyAlignment="0" applyProtection="0"/>
    <xf numFmtId="199" fontId="31" fillId="0" borderId="0" applyFont="0" applyFill="0" applyBorder="0" applyAlignment="0" applyProtection="0"/>
    <xf numFmtId="199" fontId="32" fillId="0" borderId="0" applyFont="0" applyFill="0" applyBorder="0" applyAlignment="0" applyProtection="0"/>
    <xf numFmtId="41" fontId="57" fillId="0" borderId="0" applyFont="0" applyFill="0" applyBorder="0" applyAlignment="0" applyProtection="0"/>
    <xf numFmtId="41" fontId="56" fillId="0" borderId="0" applyFont="0" applyFill="0" applyBorder="0" applyAlignment="0" applyProtection="0"/>
    <xf numFmtId="41" fontId="58" fillId="0" borderId="0" applyFont="0" applyFill="0" applyBorder="0" applyAlignment="0" applyProtection="0"/>
    <xf numFmtId="38" fontId="59" fillId="0" borderId="0" applyFont="0" applyFill="0" applyBorder="0" applyAlignment="0" applyProtection="0"/>
    <xf numFmtId="199" fontId="60" fillId="0" borderId="0" applyFont="0" applyFill="0" applyBorder="0" applyAlignment="0" applyProtection="0"/>
    <xf numFmtId="199" fontId="32" fillId="0" borderId="0" applyFont="0" applyFill="0" applyBorder="0" applyAlignment="0" applyProtection="0"/>
    <xf numFmtId="199" fontId="31" fillId="0" borderId="0" applyFont="0" applyFill="0" applyBorder="0" applyAlignment="0" applyProtection="0"/>
    <xf numFmtId="199" fontId="32" fillId="0" borderId="0" applyFont="0" applyFill="0" applyBorder="0" applyAlignment="0" applyProtection="0"/>
    <xf numFmtId="0" fontId="27" fillId="0" borderId="0" applyFont="0" applyFill="0" applyBorder="0" applyAlignment="0" applyProtection="0"/>
    <xf numFmtId="225" fontId="32" fillId="0" borderId="0" applyFont="0" applyFill="0" applyBorder="0" applyAlignment="0" applyProtection="0"/>
    <xf numFmtId="226" fontId="18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1" fillId="0" borderId="0" applyFont="0" applyFill="0" applyBorder="0" applyAlignment="0" applyProtection="0"/>
    <xf numFmtId="199" fontId="32" fillId="0" borderId="0" applyFont="0" applyFill="0" applyBorder="0" applyAlignment="0" applyProtection="0"/>
    <xf numFmtId="41" fontId="57" fillId="0" borderId="0" applyFont="0" applyFill="0" applyBorder="0" applyAlignment="0" applyProtection="0"/>
    <xf numFmtId="41" fontId="56" fillId="0" borderId="0" applyFont="0" applyFill="0" applyBorder="0" applyAlignment="0" applyProtection="0"/>
    <xf numFmtId="0" fontId="61" fillId="0" borderId="0" applyFont="0" applyFill="0" applyBorder="0" applyAlignment="0" applyProtection="0"/>
    <xf numFmtId="199" fontId="56" fillId="0" borderId="0" applyFont="0" applyFill="0" applyBorder="0" applyAlignment="0" applyProtection="0"/>
    <xf numFmtId="199" fontId="31" fillId="0" borderId="0" applyFont="0" applyFill="0" applyBorder="0" applyAlignment="0" applyProtection="0"/>
    <xf numFmtId="199" fontId="32" fillId="0" borderId="0" applyFont="0" applyFill="0" applyBorder="0" applyAlignment="0" applyProtection="0"/>
    <xf numFmtId="0" fontId="18" fillId="0" borderId="0" applyFont="0" applyFill="0" applyBorder="0" applyAlignment="0" applyProtection="0"/>
    <xf numFmtId="192" fontId="45" fillId="0" borderId="0">
      <protection locked="0"/>
    </xf>
    <xf numFmtId="37" fontId="31" fillId="0" borderId="0" applyFont="0" applyFill="0" applyBorder="0" applyAlignment="0" applyProtection="0"/>
    <xf numFmtId="41" fontId="56" fillId="0" borderId="0" applyFont="0" applyFill="0" applyBorder="0" applyAlignment="0" applyProtection="0"/>
    <xf numFmtId="227" fontId="31" fillId="0" borderId="0" applyFont="0" applyFill="0" applyBorder="0" applyAlignment="0" applyProtection="0"/>
    <xf numFmtId="43" fontId="56" fillId="0" borderId="0" applyFont="0" applyFill="0" applyBorder="0" applyAlignment="0" applyProtection="0"/>
    <xf numFmtId="184" fontId="31" fillId="0" borderId="0" applyFont="0" applyFill="0" applyBorder="0" applyAlignment="0" applyProtection="0"/>
    <xf numFmtId="184" fontId="32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8" fillId="0" borderId="0" applyFont="0" applyFill="0" applyBorder="0" applyAlignment="0" applyProtection="0"/>
    <xf numFmtId="40" fontId="59" fillId="0" borderId="0" applyFont="0" applyFill="0" applyBorder="0" applyAlignment="0" applyProtection="0"/>
    <xf numFmtId="184" fontId="60" fillId="0" borderId="0" applyFont="0" applyFill="0" applyBorder="0" applyAlignment="0" applyProtection="0"/>
    <xf numFmtId="184" fontId="32" fillId="0" borderId="0" applyFont="0" applyFill="0" applyBorder="0" applyAlignment="0" applyProtection="0"/>
    <xf numFmtId="184" fontId="31" fillId="0" borderId="0" applyFont="0" applyFill="0" applyBorder="0" applyAlignment="0" applyProtection="0"/>
    <xf numFmtId="184" fontId="32" fillId="0" borderId="0" applyFont="0" applyFill="0" applyBorder="0" applyAlignment="0" applyProtection="0"/>
    <xf numFmtId="0" fontId="27" fillId="0" borderId="0" applyFont="0" applyFill="0" applyBorder="0" applyAlignment="0" applyProtection="0"/>
    <xf numFmtId="228" fontId="32" fillId="0" borderId="0" applyFont="0" applyFill="0" applyBorder="0" applyAlignment="0" applyProtection="0"/>
    <xf numFmtId="229" fontId="18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1" fillId="0" borderId="0" applyFont="0" applyFill="0" applyBorder="0" applyAlignment="0" applyProtection="0"/>
    <xf numFmtId="184" fontId="32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6" fillId="0" borderId="0" applyFont="0" applyFill="0" applyBorder="0" applyAlignment="0" applyProtection="0"/>
    <xf numFmtId="0" fontId="61" fillId="0" borderId="0" applyFont="0" applyFill="0" applyBorder="0" applyAlignment="0" applyProtection="0"/>
    <xf numFmtId="184" fontId="56" fillId="0" borderId="0" applyFont="0" applyFill="0" applyBorder="0" applyAlignment="0" applyProtection="0"/>
    <xf numFmtId="184" fontId="31" fillId="0" borderId="0" applyFont="0" applyFill="0" applyBorder="0" applyAlignment="0" applyProtection="0"/>
    <xf numFmtId="184" fontId="32" fillId="0" borderId="0" applyFont="0" applyFill="0" applyBorder="0" applyAlignment="0" applyProtection="0"/>
    <xf numFmtId="0" fontId="7" fillId="0" borderId="0" applyFont="0" applyFill="0" applyBorder="0" applyAlignment="0" applyProtection="0"/>
    <xf numFmtId="192" fontId="45" fillId="0" borderId="0">
      <protection locked="0"/>
    </xf>
    <xf numFmtId="37" fontId="31" fillId="0" borderId="0" applyFont="0" applyFill="0" applyBorder="0" applyAlignment="0" applyProtection="0"/>
    <xf numFmtId="43" fontId="56" fillId="0" borderId="0" applyFont="0" applyFill="0" applyBorder="0" applyAlignment="0" applyProtection="0"/>
    <xf numFmtId="4" fontId="29" fillId="0" borderId="0">
      <protection locked="0"/>
    </xf>
    <xf numFmtId="230" fontId="18" fillId="0" borderId="0">
      <protection locked="0"/>
    </xf>
    <xf numFmtId="191" fontId="18" fillId="0" borderId="0">
      <protection locked="0"/>
    </xf>
    <xf numFmtId="191" fontId="18" fillId="0" borderId="0">
      <protection locked="0"/>
    </xf>
    <xf numFmtId="192" fontId="28" fillId="0" borderId="0">
      <protection locked="0"/>
    </xf>
    <xf numFmtId="4" fontId="29" fillId="0" borderId="0">
      <protection locked="0"/>
    </xf>
    <xf numFmtId="231" fontId="31" fillId="0" borderId="0">
      <protection locked="0"/>
    </xf>
    <xf numFmtId="232" fontId="31" fillId="0" borderId="0">
      <protection locked="0"/>
    </xf>
    <xf numFmtId="0" fontId="18" fillId="0" borderId="0" applyFont="0" applyFill="0" applyBorder="0" applyAlignment="0" applyProtection="0"/>
    <xf numFmtId="0" fontId="65" fillId="0" borderId="0" applyNumberFormat="0" applyFill="0" applyBorder="0" applyAlignment="0" applyProtection="0"/>
    <xf numFmtId="0" fontId="5" fillId="41" borderId="0" applyBorder="0" applyAlignment="0" applyProtection="0"/>
    <xf numFmtId="0" fontId="66" fillId="10" borderId="0" applyNumberFormat="0" applyBorder="0" applyAlignment="0" applyProtection="0">
      <alignment vertical="center"/>
    </xf>
    <xf numFmtId="0" fontId="18" fillId="0" borderId="0" applyFont="0" applyFill="0" applyBorder="0" applyAlignment="0" applyProtection="0">
      <alignment horizontal="right"/>
    </xf>
    <xf numFmtId="0" fontId="67" fillId="0" borderId="0"/>
    <xf numFmtId="0" fontId="68" fillId="0" borderId="0"/>
    <xf numFmtId="49" fontId="69" fillId="42" borderId="0" applyBorder="0">
      <alignment horizontal="right"/>
    </xf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70" fillId="0" borderId="0"/>
    <xf numFmtId="210" fontId="11" fillId="0" borderId="0">
      <protection locked="0"/>
    </xf>
    <xf numFmtId="192" fontId="45" fillId="0" borderId="0">
      <protection locked="0"/>
    </xf>
    <xf numFmtId="0" fontId="71" fillId="0" borderId="0"/>
    <xf numFmtId="0" fontId="32" fillId="0" borderId="0"/>
    <xf numFmtId="0" fontId="31" fillId="0" borderId="0"/>
    <xf numFmtId="0" fontId="32" fillId="0" borderId="0"/>
    <xf numFmtId="37" fontId="31" fillId="0" borderId="0"/>
    <xf numFmtId="37" fontId="32" fillId="0" borderId="0"/>
    <xf numFmtId="37" fontId="31" fillId="0" borderId="0"/>
    <xf numFmtId="0" fontId="56" fillId="0" borderId="0"/>
    <xf numFmtId="0" fontId="31" fillId="0" borderId="0"/>
    <xf numFmtId="0" fontId="32" fillId="0" borderId="0"/>
    <xf numFmtId="0" fontId="31" fillId="0" borderId="0"/>
    <xf numFmtId="0" fontId="32" fillId="0" borderId="0"/>
    <xf numFmtId="0" fontId="31" fillId="0" borderId="0"/>
    <xf numFmtId="0" fontId="56" fillId="0" borderId="0"/>
    <xf numFmtId="0" fontId="58" fillId="0" borderId="0"/>
    <xf numFmtId="0" fontId="32" fillId="0" borderId="0"/>
    <xf numFmtId="0" fontId="62" fillId="0" borderId="0" applyFont="0" applyFill="0" applyBorder="0" applyAlignment="0" applyProtection="0"/>
    <xf numFmtId="37" fontId="32" fillId="0" borderId="0"/>
    <xf numFmtId="37" fontId="31" fillId="0" borderId="0"/>
    <xf numFmtId="37" fontId="32" fillId="0" borderId="0"/>
    <xf numFmtId="37" fontId="31" fillId="0" borderId="0"/>
    <xf numFmtId="0" fontId="32" fillId="0" borderId="0"/>
    <xf numFmtId="0" fontId="31" fillId="0" borderId="0"/>
    <xf numFmtId="0" fontId="32" fillId="0" borderId="0"/>
    <xf numFmtId="0" fontId="31" fillId="0" borderId="0"/>
    <xf numFmtId="0" fontId="32" fillId="0" borderId="0"/>
    <xf numFmtId="0" fontId="31" fillId="0" borderId="0"/>
    <xf numFmtId="0" fontId="70" fillId="0" borderId="0"/>
    <xf numFmtId="0" fontId="70" fillId="0" borderId="0"/>
    <xf numFmtId="37" fontId="32" fillId="0" borderId="0"/>
    <xf numFmtId="37" fontId="31" fillId="0" borderId="0"/>
    <xf numFmtId="37" fontId="32" fillId="0" borderId="0"/>
    <xf numFmtId="37" fontId="31" fillId="0" borderId="0"/>
    <xf numFmtId="37" fontId="32" fillId="0" borderId="0"/>
    <xf numFmtId="37" fontId="31" fillId="0" borderId="0"/>
    <xf numFmtId="37" fontId="32" fillId="0" borderId="0"/>
    <xf numFmtId="37" fontId="31" fillId="0" borderId="0"/>
    <xf numFmtId="37" fontId="32" fillId="0" borderId="0"/>
    <xf numFmtId="2" fontId="31" fillId="0" borderId="0"/>
    <xf numFmtId="2" fontId="32" fillId="0" borderId="0"/>
    <xf numFmtId="2" fontId="31" fillId="0" borderId="0"/>
    <xf numFmtId="0" fontId="32" fillId="0" borderId="0"/>
    <xf numFmtId="0" fontId="31" fillId="0" borderId="0"/>
    <xf numFmtId="37" fontId="32" fillId="0" borderId="0"/>
    <xf numFmtId="37" fontId="31" fillId="0" borderId="0"/>
    <xf numFmtId="0" fontId="15" fillId="0" borderId="0"/>
    <xf numFmtId="49" fontId="62" fillId="0" borderId="0" applyBorder="0"/>
    <xf numFmtId="37" fontId="32" fillId="0" borderId="0"/>
    <xf numFmtId="37" fontId="31" fillId="0" borderId="0"/>
    <xf numFmtId="0" fontId="72" fillId="0" borderId="0"/>
    <xf numFmtId="0" fontId="31" fillId="0" borderId="0"/>
    <xf numFmtId="0" fontId="73" fillId="0" borderId="0"/>
    <xf numFmtId="37" fontId="31" fillId="0" borderId="0"/>
    <xf numFmtId="37" fontId="32" fillId="0" borderId="0"/>
    <xf numFmtId="0" fontId="74" fillId="0" borderId="0"/>
    <xf numFmtId="0" fontId="75" fillId="0" borderId="0"/>
    <xf numFmtId="37" fontId="31" fillId="0" borderId="0"/>
    <xf numFmtId="37" fontId="32" fillId="0" borderId="0"/>
    <xf numFmtId="37" fontId="31" fillId="0" borderId="0"/>
    <xf numFmtId="37" fontId="32" fillId="0" borderId="0"/>
    <xf numFmtId="37" fontId="31" fillId="0" borderId="0"/>
    <xf numFmtId="0" fontId="32" fillId="0" borderId="0"/>
    <xf numFmtId="37" fontId="31" fillId="0" borderId="0"/>
    <xf numFmtId="37" fontId="32" fillId="0" borderId="0"/>
    <xf numFmtId="37" fontId="31" fillId="0" borderId="0"/>
    <xf numFmtId="37" fontId="32" fillId="0" borderId="0"/>
    <xf numFmtId="37" fontId="31" fillId="0" borderId="0"/>
    <xf numFmtId="37" fontId="32" fillId="0" borderId="0"/>
    <xf numFmtId="37" fontId="31" fillId="0" borderId="0"/>
    <xf numFmtId="37" fontId="32" fillId="0" borderId="0"/>
    <xf numFmtId="37" fontId="31" fillId="0" borderId="0"/>
    <xf numFmtId="37" fontId="32" fillId="0" borderId="0"/>
    <xf numFmtId="37" fontId="31" fillId="0" borderId="0"/>
    <xf numFmtId="37" fontId="32" fillId="0" borderId="0"/>
    <xf numFmtId="37" fontId="31" fillId="0" borderId="0"/>
    <xf numFmtId="37" fontId="32" fillId="0" borderId="0"/>
    <xf numFmtId="37" fontId="31" fillId="0" borderId="0"/>
    <xf numFmtId="37" fontId="32" fillId="0" borderId="0"/>
    <xf numFmtId="37" fontId="31" fillId="0" borderId="0"/>
    <xf numFmtId="37" fontId="32" fillId="0" borderId="0"/>
    <xf numFmtId="37" fontId="31" fillId="0" borderId="0"/>
    <xf numFmtId="37" fontId="32" fillId="0" borderId="0"/>
    <xf numFmtId="37" fontId="31" fillId="0" borderId="0"/>
    <xf numFmtId="37" fontId="32" fillId="0" borderId="0"/>
    <xf numFmtId="37" fontId="31" fillId="0" borderId="0"/>
    <xf numFmtId="37" fontId="32" fillId="0" borderId="0"/>
    <xf numFmtId="37" fontId="31" fillId="0" borderId="0"/>
    <xf numFmtId="37" fontId="32" fillId="0" borderId="0"/>
    <xf numFmtId="37" fontId="31" fillId="0" borderId="0"/>
    <xf numFmtId="37" fontId="32" fillId="0" borderId="0"/>
    <xf numFmtId="37" fontId="31" fillId="0" borderId="0"/>
    <xf numFmtId="37" fontId="32" fillId="0" borderId="0"/>
    <xf numFmtId="37" fontId="31" fillId="0" borderId="0"/>
    <xf numFmtId="37" fontId="32" fillId="0" borderId="0"/>
    <xf numFmtId="37" fontId="31" fillId="0" borderId="0"/>
    <xf numFmtId="37" fontId="32" fillId="0" borderId="0"/>
    <xf numFmtId="37" fontId="31" fillId="0" borderId="0"/>
    <xf numFmtId="37" fontId="32" fillId="0" borderId="0"/>
    <xf numFmtId="37" fontId="31" fillId="0" borderId="0"/>
    <xf numFmtId="37" fontId="32" fillId="0" borderId="0"/>
    <xf numFmtId="0" fontId="31" fillId="0" borderId="0"/>
    <xf numFmtId="0" fontId="32" fillId="0" borderId="0"/>
    <xf numFmtId="0" fontId="31" fillId="0" borderId="0"/>
    <xf numFmtId="0" fontId="56" fillId="0" borderId="0"/>
    <xf numFmtId="0" fontId="57" fillId="0" borderId="0"/>
    <xf numFmtId="0" fontId="32" fillId="0" borderId="0"/>
    <xf numFmtId="0" fontId="31" fillId="0" borderId="0"/>
    <xf numFmtId="37" fontId="32" fillId="0" borderId="0"/>
    <xf numFmtId="37" fontId="31" fillId="0" borderId="0"/>
    <xf numFmtId="0" fontId="32" fillId="0" borderId="0"/>
    <xf numFmtId="0" fontId="31" fillId="0" borderId="0"/>
    <xf numFmtId="0" fontId="32" fillId="0" borderId="0"/>
    <xf numFmtId="0" fontId="31" fillId="0" borderId="0"/>
    <xf numFmtId="0" fontId="32" fillId="0" borderId="0"/>
    <xf numFmtId="0" fontId="31" fillId="0" borderId="0"/>
    <xf numFmtId="37" fontId="32" fillId="0" borderId="0"/>
    <xf numFmtId="37" fontId="31" fillId="0" borderId="0"/>
    <xf numFmtId="37" fontId="32" fillId="0" borderId="0"/>
    <xf numFmtId="37" fontId="31" fillId="0" borderId="0"/>
    <xf numFmtId="37" fontId="32" fillId="0" borderId="0"/>
    <xf numFmtId="0" fontId="31" fillId="0" borderId="0"/>
    <xf numFmtId="37" fontId="32" fillId="0" borderId="0"/>
    <xf numFmtId="37" fontId="31" fillId="0" borderId="0"/>
    <xf numFmtId="0" fontId="32" fillId="0" borderId="0"/>
    <xf numFmtId="0" fontId="57" fillId="0" borderId="0"/>
    <xf numFmtId="37" fontId="32" fillId="0" borderId="0"/>
    <xf numFmtId="37" fontId="31" fillId="0" borderId="0"/>
    <xf numFmtId="37" fontId="32" fillId="0" borderId="0"/>
    <xf numFmtId="37" fontId="31" fillId="0" borderId="0"/>
    <xf numFmtId="37" fontId="32" fillId="0" borderId="0"/>
    <xf numFmtId="37" fontId="31" fillId="0" borderId="0"/>
    <xf numFmtId="0" fontId="32" fillId="0" borderId="0"/>
    <xf numFmtId="0" fontId="31" fillId="0" borderId="0"/>
    <xf numFmtId="0" fontId="53" fillId="0" borderId="0"/>
    <xf numFmtId="0" fontId="31" fillId="0" borderId="0"/>
    <xf numFmtId="0" fontId="76" fillId="0" borderId="0"/>
    <xf numFmtId="37" fontId="31" fillId="0" borderId="0"/>
    <xf numFmtId="37" fontId="32" fillId="0" borderId="0"/>
    <xf numFmtId="37" fontId="31" fillId="0" borderId="0"/>
    <xf numFmtId="37" fontId="32" fillId="0" borderId="0"/>
    <xf numFmtId="37" fontId="31" fillId="0" borderId="0"/>
    <xf numFmtId="0" fontId="75" fillId="0" borderId="0"/>
    <xf numFmtId="0" fontId="74" fillId="0" borderId="0"/>
    <xf numFmtId="0" fontId="75" fillId="0" borderId="0"/>
    <xf numFmtId="0" fontId="74" fillId="0" borderId="0"/>
    <xf numFmtId="37" fontId="32" fillId="0" borderId="0"/>
    <xf numFmtId="37" fontId="31" fillId="0" borderId="0"/>
    <xf numFmtId="37" fontId="32" fillId="0" borderId="0"/>
    <xf numFmtId="37" fontId="31" fillId="0" borderId="0"/>
    <xf numFmtId="0" fontId="77" fillId="0" borderId="0"/>
    <xf numFmtId="0" fontId="31" fillId="0" borderId="0"/>
    <xf numFmtId="0" fontId="32" fillId="0" borderId="0"/>
    <xf numFmtId="0" fontId="78" fillId="0" borderId="0"/>
    <xf numFmtId="0" fontId="77" fillId="0" borderId="0"/>
    <xf numFmtId="0" fontId="78" fillId="0" borderId="0"/>
    <xf numFmtId="0" fontId="77" fillId="0" borderId="0"/>
    <xf numFmtId="0" fontId="78" fillId="0" borderId="0"/>
    <xf numFmtId="0" fontId="56" fillId="0" borderId="0"/>
    <xf numFmtId="0" fontId="57" fillId="0" borderId="0"/>
    <xf numFmtId="0" fontId="79" fillId="0" borderId="0"/>
    <xf numFmtId="0" fontId="80" fillId="0" borderId="0"/>
    <xf numFmtId="0" fontId="5" fillId="0" borderId="0"/>
    <xf numFmtId="0" fontId="81" fillId="0" borderId="0"/>
    <xf numFmtId="0" fontId="82" fillId="0" borderId="0"/>
    <xf numFmtId="0" fontId="83" fillId="0" borderId="0"/>
    <xf numFmtId="0" fontId="32" fillId="0" borderId="0"/>
    <xf numFmtId="0" fontId="31" fillId="0" borderId="0"/>
    <xf numFmtId="0" fontId="32" fillId="0" borderId="0"/>
    <xf numFmtId="0" fontId="31" fillId="0" borderId="0"/>
    <xf numFmtId="37" fontId="32" fillId="0" borderId="0"/>
    <xf numFmtId="37" fontId="31" fillId="0" borderId="0"/>
    <xf numFmtId="37" fontId="32" fillId="0" borderId="0"/>
    <xf numFmtId="37" fontId="31" fillId="0" borderId="0"/>
    <xf numFmtId="37" fontId="32" fillId="0" borderId="0"/>
    <xf numFmtId="37" fontId="31" fillId="0" borderId="0"/>
    <xf numFmtId="37" fontId="32" fillId="0" borderId="0"/>
    <xf numFmtId="37" fontId="31" fillId="0" borderId="0"/>
    <xf numFmtId="37" fontId="32" fillId="0" borderId="0"/>
    <xf numFmtId="37" fontId="31" fillId="0" borderId="0"/>
    <xf numFmtId="37" fontId="32" fillId="0" borderId="0"/>
    <xf numFmtId="37" fontId="31" fillId="0" borderId="0"/>
    <xf numFmtId="37" fontId="32" fillId="0" borderId="0"/>
    <xf numFmtId="37" fontId="31" fillId="0" borderId="0"/>
    <xf numFmtId="37" fontId="32" fillId="0" borderId="0"/>
    <xf numFmtId="37" fontId="31" fillId="0" borderId="0"/>
    <xf numFmtId="37" fontId="32" fillId="0" borderId="0"/>
    <xf numFmtId="37" fontId="31" fillId="0" borderId="0"/>
    <xf numFmtId="37" fontId="32" fillId="0" borderId="0"/>
    <xf numFmtId="37" fontId="31" fillId="0" borderId="0"/>
    <xf numFmtId="0" fontId="84" fillId="0" borderId="0"/>
    <xf numFmtId="0" fontId="74" fillId="0" borderId="0"/>
    <xf numFmtId="0" fontId="75" fillId="0" borderId="0"/>
    <xf numFmtId="0" fontId="74" fillId="0" borderId="0"/>
    <xf numFmtId="0" fontId="32" fillId="0" borderId="0"/>
    <xf numFmtId="0" fontId="31" fillId="0" borderId="0"/>
    <xf numFmtId="0" fontId="56" fillId="0" borderId="0"/>
    <xf numFmtId="0" fontId="60" fillId="0" borderId="0"/>
    <xf numFmtId="233" fontId="85" fillId="0" borderId="0" applyFill="0" applyBorder="0" applyAlignment="0"/>
    <xf numFmtId="0" fontId="18" fillId="0" borderId="0" applyFill="0" applyBorder="0" applyAlignment="0"/>
    <xf numFmtId="233" fontId="85" fillId="0" borderId="0" applyFill="0" applyBorder="0" applyAlignment="0"/>
    <xf numFmtId="234" fontId="11" fillId="0" borderId="0" applyFill="0" applyBorder="0" applyAlignment="0"/>
    <xf numFmtId="235" fontId="21" fillId="0" borderId="0" applyFill="0" applyBorder="0" applyAlignment="0"/>
    <xf numFmtId="234" fontId="11" fillId="0" borderId="0" applyFill="0" applyBorder="0" applyAlignment="0"/>
    <xf numFmtId="208" fontId="86" fillId="0" borderId="0" applyFill="0" applyBorder="0" applyAlignment="0"/>
    <xf numFmtId="236" fontId="21" fillId="0" borderId="0" applyFill="0" applyBorder="0" applyAlignment="0"/>
    <xf numFmtId="208" fontId="86" fillId="0" borderId="0" applyFill="0" applyBorder="0" applyAlignment="0"/>
    <xf numFmtId="237" fontId="11" fillId="0" borderId="0" applyFill="0" applyBorder="0" applyAlignment="0"/>
    <xf numFmtId="0" fontId="18" fillId="0" borderId="0" applyFill="0" applyBorder="0" applyAlignment="0"/>
    <xf numFmtId="237" fontId="11" fillId="0" borderId="0" applyFill="0" applyBorder="0" applyAlignment="0"/>
    <xf numFmtId="238" fontId="11" fillId="0" borderId="0" applyFill="0" applyBorder="0" applyAlignment="0"/>
    <xf numFmtId="0" fontId="18" fillId="0" borderId="0" applyFill="0" applyBorder="0" applyAlignment="0"/>
    <xf numFmtId="238" fontId="11" fillId="0" borderId="0" applyFill="0" applyBorder="0" applyAlignment="0"/>
    <xf numFmtId="239" fontId="11" fillId="0" borderId="0" applyFill="0" applyBorder="0" applyAlignment="0"/>
    <xf numFmtId="182" fontId="18" fillId="0" borderId="0" applyFill="0" applyBorder="0" applyAlignment="0"/>
    <xf numFmtId="239" fontId="11" fillId="0" borderId="0" applyFill="0" applyBorder="0" applyAlignment="0"/>
    <xf numFmtId="240" fontId="11" fillId="0" borderId="0" applyFill="0" applyBorder="0" applyAlignment="0"/>
    <xf numFmtId="241" fontId="21" fillId="0" borderId="0" applyFill="0" applyBorder="0" applyAlignment="0"/>
    <xf numFmtId="240" fontId="11" fillId="0" borderId="0" applyFill="0" applyBorder="0" applyAlignment="0"/>
    <xf numFmtId="234" fontId="11" fillId="0" borderId="0" applyFill="0" applyBorder="0" applyAlignment="0"/>
    <xf numFmtId="235" fontId="21" fillId="0" borderId="0" applyFill="0" applyBorder="0" applyAlignment="0"/>
    <xf numFmtId="234" fontId="11" fillId="0" borderId="0" applyFill="0" applyBorder="0" applyAlignment="0"/>
    <xf numFmtId="0" fontId="87" fillId="43" borderId="18" applyNumberFormat="0" applyAlignment="0" applyProtection="0">
      <alignment vertical="center"/>
    </xf>
    <xf numFmtId="0" fontId="87" fillId="43" borderId="18" applyNumberFormat="0" applyAlignment="0" applyProtection="0">
      <alignment vertical="center"/>
    </xf>
    <xf numFmtId="0" fontId="88" fillId="0" borderId="0"/>
    <xf numFmtId="0" fontId="5" fillId="0" borderId="0" applyFont="0" applyFill="0" applyBorder="0" applyAlignment="0" applyProtection="0"/>
    <xf numFmtId="0" fontId="89" fillId="44" borderId="19" applyNumberFormat="0" applyAlignment="0" applyProtection="0">
      <alignment vertical="center"/>
    </xf>
    <xf numFmtId="0" fontId="90" fillId="0" borderId="0" applyNumberFormat="0" applyFill="0" applyBorder="0" applyAlignment="0" applyProtection="0">
      <alignment vertical="top"/>
      <protection locked="0"/>
    </xf>
    <xf numFmtId="0" fontId="29" fillId="0" borderId="4">
      <protection locked="0"/>
    </xf>
    <xf numFmtId="191" fontId="18" fillId="0" borderId="4">
      <protection locked="0"/>
    </xf>
    <xf numFmtId="192" fontId="28" fillId="0" borderId="4">
      <protection locked="0"/>
    </xf>
    <xf numFmtId="0" fontId="29" fillId="0" borderId="4">
      <protection locked="0"/>
    </xf>
    <xf numFmtId="0" fontId="69" fillId="45" borderId="1">
      <alignment horizontal="center"/>
    </xf>
    <xf numFmtId="0" fontId="69" fillId="45" borderId="1">
      <alignment horizontal="center"/>
    </xf>
    <xf numFmtId="0" fontId="69" fillId="45" borderId="1">
      <alignment horizontal="center"/>
    </xf>
    <xf numFmtId="0" fontId="69" fillId="45" borderId="1">
      <alignment horizontal="center"/>
    </xf>
    <xf numFmtId="0" fontId="69" fillId="45" borderId="1">
      <alignment horizontal="center"/>
    </xf>
    <xf numFmtId="0" fontId="69" fillId="45" borderId="1">
      <alignment horizontal="center"/>
    </xf>
    <xf numFmtId="0" fontId="69" fillId="45" borderId="1">
      <alignment horizontal="center"/>
    </xf>
    <xf numFmtId="0" fontId="69" fillId="45" borderId="1">
      <alignment horizontal="center"/>
    </xf>
    <xf numFmtId="0" fontId="69" fillId="45" borderId="1">
      <alignment horizontal="center"/>
    </xf>
    <xf numFmtId="0" fontId="69" fillId="45" borderId="1">
      <alignment horizontal="center"/>
    </xf>
    <xf numFmtId="0" fontId="69" fillId="45" borderId="1">
      <alignment horizontal="center"/>
    </xf>
    <xf numFmtId="0" fontId="69" fillId="45" borderId="1">
      <alignment horizontal="center"/>
    </xf>
    <xf numFmtId="0" fontId="69" fillId="45" borderId="1">
      <alignment horizontal="center"/>
    </xf>
    <xf numFmtId="0" fontId="69" fillId="45" borderId="1">
      <alignment horizontal="center"/>
    </xf>
    <xf numFmtId="0" fontId="91" fillId="46" borderId="10">
      <alignment horizontal="center" wrapText="1"/>
    </xf>
    <xf numFmtId="0" fontId="92" fillId="47" borderId="20" applyNumberFormat="0" applyBorder="0" applyAlignment="0">
      <alignment horizontal="left" wrapText="1"/>
    </xf>
    <xf numFmtId="199" fontId="46" fillId="0" borderId="0" applyFont="0" applyFill="0" applyBorder="0" applyAlignment="0" applyProtection="0"/>
    <xf numFmtId="0" fontId="11" fillId="0" borderId="0">
      <protection locked="0"/>
    </xf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38" fontId="5" fillId="0" borderId="0" applyFont="0" applyFill="0" applyBorder="0" applyAlignment="0" applyProtection="0"/>
    <xf numFmtId="41" fontId="53" fillId="0" borderId="0" applyFont="0" applyFill="0" applyBorder="0" applyAlignment="0" applyProtection="0"/>
    <xf numFmtId="41" fontId="53" fillId="0" borderId="0" applyFont="0" applyFill="0" applyBorder="0" applyAlignment="0" applyProtection="0"/>
    <xf numFmtId="41" fontId="53" fillId="0" borderId="0" applyFont="0" applyFill="0" applyBorder="0" applyAlignment="0" applyProtection="0"/>
    <xf numFmtId="41" fontId="53" fillId="0" borderId="0" applyFont="0" applyFill="0" applyBorder="0" applyAlignment="0" applyProtection="0"/>
    <xf numFmtId="38" fontId="5" fillId="0" borderId="0" applyFont="0" applyFill="0" applyBorder="0" applyAlignment="0" applyProtection="0"/>
    <xf numFmtId="3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5" fillId="0" borderId="0" applyFont="0" applyFill="0" applyBorder="0" applyAlignment="0" applyProtection="0"/>
    <xf numFmtId="3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41" fontId="53" fillId="0" borderId="0" applyFont="0" applyFill="0" applyBorder="0" applyAlignment="0" applyProtection="0"/>
    <xf numFmtId="41" fontId="53" fillId="0" borderId="0" applyFont="0" applyFill="0" applyBorder="0" applyAlignment="0" applyProtection="0"/>
    <xf numFmtId="41" fontId="53" fillId="0" borderId="0" applyFont="0" applyFill="0" applyBorder="0" applyAlignment="0" applyProtection="0"/>
    <xf numFmtId="41" fontId="53" fillId="0" borderId="0" applyFont="0" applyFill="0" applyBorder="0" applyAlignment="0" applyProtection="0"/>
    <xf numFmtId="41" fontId="53" fillId="0" borderId="0" applyFont="0" applyFill="0" applyBorder="0" applyAlignment="0" applyProtection="0"/>
    <xf numFmtId="0" fontId="5" fillId="0" borderId="0" applyFont="0" applyFill="0" applyBorder="0" applyAlignment="0" applyProtection="0"/>
    <xf numFmtId="239" fontId="11" fillId="0" borderId="0" applyFont="0" applyFill="0" applyBorder="0" applyAlignment="0" applyProtection="0"/>
    <xf numFmtId="182" fontId="18" fillId="0" borderId="0" applyFont="0" applyFill="0" applyBorder="0" applyAlignment="0" applyProtection="0"/>
    <xf numFmtId="239" fontId="11" fillId="0" borderId="0" applyFont="0" applyFill="0" applyBorder="0" applyAlignment="0" applyProtection="0"/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3" fontId="18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192" fontId="28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3" fontId="18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4" fontId="18" fillId="0" borderId="0"/>
    <xf numFmtId="245" fontId="11" fillId="0" borderId="0"/>
    <xf numFmtId="246" fontId="18" fillId="0" borderId="0"/>
    <xf numFmtId="246" fontId="18" fillId="0" borderId="0"/>
    <xf numFmtId="244" fontId="18" fillId="0" borderId="0"/>
    <xf numFmtId="247" fontId="18" fillId="0" borderId="0" applyFont="0" applyFill="0" applyBorder="0" applyAlignment="0" applyProtection="0"/>
    <xf numFmtId="43" fontId="5" fillId="0" borderId="0" applyFont="0" applyFill="0" applyBorder="0" applyAlignment="0" applyProtection="0"/>
    <xf numFmtId="3" fontId="94" fillId="0" borderId="0" applyFont="0" applyFill="0" applyBorder="0" applyAlignment="0" applyProtection="0"/>
    <xf numFmtId="3" fontId="5" fillId="0" borderId="0" applyFont="0" applyFill="0" applyBorder="0" applyAlignment="0" applyProtection="0"/>
    <xf numFmtId="3" fontId="94" fillId="0" borderId="0" applyFont="0" applyFill="0" applyBorder="0" applyAlignment="0" applyProtection="0"/>
    <xf numFmtId="248" fontId="14" fillId="0" borderId="0" applyFont="0" applyFill="0" applyBorder="0" applyAlignment="0" applyProtection="0"/>
    <xf numFmtId="40" fontId="15" fillId="0" borderId="0" applyFont="0" applyFill="0" applyBorder="0" applyAlignment="0" applyProtection="0"/>
    <xf numFmtId="0" fontId="68" fillId="42" borderId="0"/>
    <xf numFmtId="0" fontId="95" fillId="42" borderId="0" applyNumberFormat="0" applyFill="0" applyBorder="0"/>
    <xf numFmtId="0" fontId="96" fillId="42" borderId="0" applyNumberFormat="0" applyFill="0" applyBorder="0"/>
    <xf numFmtId="0" fontId="97" fillId="42" borderId="0" applyNumberFormat="0" applyFill="0" applyBorder="0"/>
    <xf numFmtId="0" fontId="98" fillId="0" borderId="0" applyNumberFormat="0" applyAlignment="0">
      <alignment horizontal="left"/>
    </xf>
    <xf numFmtId="0" fontId="99" fillId="45" borderId="21" applyFont="0" applyBorder="0">
      <alignment horizontal="centerContinuous" vertical="center"/>
    </xf>
    <xf numFmtId="249" fontId="100" fillId="42" borderId="12" applyBorder="0"/>
    <xf numFmtId="249" fontId="100" fillId="42" borderId="12" applyBorder="0"/>
    <xf numFmtId="249" fontId="100" fillId="42" borderId="12" applyBorder="0"/>
    <xf numFmtId="249" fontId="100" fillId="42" borderId="12" applyBorder="0"/>
    <xf numFmtId="249" fontId="100" fillId="42" borderId="12" applyBorder="0"/>
    <xf numFmtId="249" fontId="100" fillId="42" borderId="12" applyBorder="0"/>
    <xf numFmtId="249" fontId="100" fillId="42" borderId="12" applyBorder="0"/>
    <xf numFmtId="249" fontId="100" fillId="42" borderId="12" applyBorder="0"/>
    <xf numFmtId="249" fontId="100" fillId="42" borderId="12" applyBorder="0"/>
    <xf numFmtId="249" fontId="100" fillId="42" borderId="12" applyBorder="0"/>
    <xf numFmtId="249" fontId="100" fillId="42" borderId="12" applyBorder="0"/>
    <xf numFmtId="249" fontId="100" fillId="42" borderId="12" applyBorder="0"/>
    <xf numFmtId="249" fontId="100" fillId="42" borderId="12" applyBorder="0"/>
    <xf numFmtId="249" fontId="100" fillId="42" borderId="12" applyBorder="0"/>
    <xf numFmtId="0" fontId="11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1" fillId="0" borderId="0">
      <protection locked="0"/>
    </xf>
    <xf numFmtId="0" fontId="17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250" fontId="5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5" fillId="0" borderId="0" applyFont="0" applyFill="0" applyBorder="0" applyAlignment="0" applyProtection="0"/>
    <xf numFmtId="219" fontId="15" fillId="0" borderId="0" applyFont="0" applyFill="0" applyBorder="0" applyAlignment="0" applyProtection="0"/>
    <xf numFmtId="250" fontId="15" fillId="0" borderId="0" applyFont="0" applyFill="0" applyBorder="0" applyAlignment="0" applyProtection="0"/>
    <xf numFmtId="250" fontId="15" fillId="0" borderId="0" applyFont="0" applyFill="0" applyBorder="0" applyAlignment="0" applyProtection="0"/>
    <xf numFmtId="250" fontId="5" fillId="0" borderId="0" applyFont="0" applyFill="0" applyBorder="0" applyAlignment="0" applyProtection="0"/>
    <xf numFmtId="219" fontId="15" fillId="0" borderId="0" applyFont="0" applyFill="0" applyBorder="0" applyAlignment="0" applyProtection="0"/>
    <xf numFmtId="250" fontId="15" fillId="0" borderId="0" applyFont="0" applyFill="0" applyBorder="0" applyAlignment="0" applyProtection="0"/>
    <xf numFmtId="250" fontId="15" fillId="0" borderId="0" applyFont="0" applyFill="0" applyBorder="0" applyAlignment="0" applyProtection="0"/>
    <xf numFmtId="250" fontId="15" fillId="0" borderId="0" applyFont="0" applyFill="0" applyBorder="0" applyAlignment="0" applyProtection="0"/>
    <xf numFmtId="250" fontId="15" fillId="0" borderId="0" applyFont="0" applyFill="0" applyBorder="0" applyAlignment="0" applyProtection="0"/>
    <xf numFmtId="250" fontId="15" fillId="0" borderId="0" applyFont="0" applyFill="0" applyBorder="0" applyAlignment="0" applyProtection="0"/>
    <xf numFmtId="250" fontId="15" fillId="0" borderId="0" applyFont="0" applyFill="0" applyBorder="0" applyAlignment="0" applyProtection="0"/>
    <xf numFmtId="250" fontId="15" fillId="0" borderId="0" applyFont="0" applyFill="0" applyBorder="0" applyAlignment="0" applyProtection="0"/>
    <xf numFmtId="250" fontId="15" fillId="0" borderId="0" applyFont="0" applyFill="0" applyBorder="0" applyAlignment="0" applyProtection="0"/>
    <xf numFmtId="250" fontId="15" fillId="0" borderId="0" applyFont="0" applyFill="0" applyBorder="0" applyAlignment="0" applyProtection="0"/>
    <xf numFmtId="250" fontId="15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251" fontId="18" fillId="0" borderId="0" applyFont="0" applyFill="0" applyBorder="0" applyAlignment="0" applyProtection="0"/>
    <xf numFmtId="252" fontId="2" fillId="0" borderId="0" applyFont="0" applyFill="0" applyBorder="0" applyAlignment="0" applyProtection="0"/>
    <xf numFmtId="0" fontId="18" fillId="0" borderId="0" applyFont="0" applyFill="0" applyBorder="0" applyAlignment="0" applyProtection="0"/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0" fontId="12" fillId="0" borderId="0">
      <protection locked="0"/>
    </xf>
    <xf numFmtId="243" fontId="18" fillId="0" borderId="0">
      <protection locked="0"/>
    </xf>
    <xf numFmtId="0" fontId="12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0" fontId="12" fillId="0" borderId="0">
      <protection locked="0"/>
    </xf>
    <xf numFmtId="243" fontId="18" fillId="0" borderId="0">
      <protection locked="0"/>
    </xf>
    <xf numFmtId="0" fontId="12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3" fontId="18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53" fontId="11" fillId="0" borderId="1" applyFill="0" applyBorder="0" applyAlignment="0"/>
    <xf numFmtId="254" fontId="18" fillId="0" borderId="0"/>
    <xf numFmtId="0" fontId="11" fillId="0" borderId="0" applyFont="0" applyFill="0" applyBorder="0" applyAlignment="0" applyProtection="0"/>
    <xf numFmtId="255" fontId="18" fillId="0" borderId="0" applyFont="0" applyFill="0" applyBorder="0" applyAlignment="0" applyProtection="0"/>
    <xf numFmtId="5" fontId="94" fillId="0" borderId="0" applyFont="0" applyFill="0" applyBorder="0" applyAlignment="0" applyProtection="0"/>
    <xf numFmtId="5" fontId="94" fillId="0" borderId="0" applyFont="0" applyFill="0" applyBorder="0" applyAlignment="0" applyProtection="0"/>
    <xf numFmtId="5" fontId="94" fillId="0" borderId="0" applyFont="0" applyFill="0" applyBorder="0" applyAlignment="0" applyProtection="0"/>
    <xf numFmtId="5" fontId="94" fillId="0" borderId="0" applyFont="0" applyFill="0" applyBorder="0" applyAlignment="0" applyProtection="0"/>
    <xf numFmtId="184" fontId="18" fillId="0" borderId="0" applyFont="0" applyFill="0" applyBorder="0" applyAlignment="0" applyProtection="0"/>
    <xf numFmtId="256" fontId="5" fillId="0" borderId="0" applyFont="0" applyFill="0" applyBorder="0" applyAlignment="0" applyProtection="0"/>
    <xf numFmtId="255" fontId="18" fillId="0" borderId="0" applyFont="0" applyFill="0" applyBorder="0" applyAlignment="0" applyProtection="0"/>
    <xf numFmtId="0" fontId="5" fillId="0" borderId="0" applyFont="0" applyFill="0" applyBorder="0" applyAlignment="0" applyProtection="0"/>
    <xf numFmtId="257" fontId="94" fillId="0" borderId="0" applyFont="0" applyFill="0" applyBorder="0" applyAlignment="0" applyProtection="0"/>
    <xf numFmtId="257" fontId="94" fillId="0" borderId="0" applyFont="0" applyFill="0" applyBorder="0" applyAlignment="0" applyProtection="0"/>
    <xf numFmtId="257" fontId="94" fillId="0" borderId="0" applyFont="0" applyFill="0" applyBorder="0" applyAlignment="0" applyProtection="0"/>
    <xf numFmtId="257" fontId="94" fillId="0" borderId="0" applyFont="0" applyFill="0" applyBorder="0" applyAlignment="0" applyProtection="0"/>
    <xf numFmtId="257" fontId="94" fillId="0" borderId="0" applyFont="0" applyFill="0" applyBorder="0" applyAlignment="0" applyProtection="0"/>
    <xf numFmtId="257" fontId="94" fillId="0" borderId="0" applyFont="0" applyFill="0" applyBorder="0" applyAlignment="0" applyProtection="0"/>
    <xf numFmtId="257" fontId="94" fillId="0" borderId="0" applyFont="0" applyFill="0" applyBorder="0" applyAlignment="0" applyProtection="0"/>
    <xf numFmtId="257" fontId="94" fillId="0" borderId="0" applyFont="0" applyFill="0" applyBorder="0" applyAlignment="0" applyProtection="0"/>
    <xf numFmtId="257" fontId="94" fillId="0" borderId="0" applyFont="0" applyFill="0" applyBorder="0" applyAlignment="0" applyProtection="0"/>
    <xf numFmtId="257" fontId="94" fillId="0" borderId="0" applyFont="0" applyFill="0" applyBorder="0" applyAlignment="0" applyProtection="0"/>
    <xf numFmtId="257" fontId="94" fillId="0" borderId="0" applyFont="0" applyFill="0" applyBorder="0" applyAlignment="0" applyProtection="0"/>
    <xf numFmtId="257" fontId="94" fillId="0" borderId="0" applyFont="0" applyFill="0" applyBorder="0" applyAlignment="0" applyProtection="0"/>
    <xf numFmtId="5" fontId="94" fillId="0" borderId="0" applyFont="0" applyFill="0" applyBorder="0" applyAlignment="0" applyProtection="0"/>
    <xf numFmtId="5" fontId="94" fillId="0" borderId="0" applyFont="0" applyFill="0" applyBorder="0" applyAlignment="0" applyProtection="0"/>
    <xf numFmtId="5" fontId="94" fillId="0" borderId="0" applyFont="0" applyFill="0" applyBorder="0" applyAlignment="0" applyProtection="0"/>
    <xf numFmtId="5" fontId="94" fillId="0" borderId="0" applyFont="0" applyFill="0" applyBorder="0" applyAlignment="0" applyProtection="0"/>
    <xf numFmtId="5" fontId="94" fillId="0" borderId="0" applyFont="0" applyFill="0" applyBorder="0" applyAlignment="0" applyProtection="0"/>
    <xf numFmtId="0" fontId="13" fillId="0" borderId="0"/>
    <xf numFmtId="0" fontId="11" fillId="0" borderId="0"/>
    <xf numFmtId="0" fontId="13" fillId="0" borderId="0"/>
    <xf numFmtId="0" fontId="11" fillId="0" borderId="0"/>
    <xf numFmtId="258" fontId="18" fillId="0" borderId="0"/>
    <xf numFmtId="0" fontId="13" fillId="0" borderId="0"/>
    <xf numFmtId="0" fontId="18" fillId="0" borderId="0"/>
    <xf numFmtId="0" fontId="12" fillId="0" borderId="0"/>
    <xf numFmtId="0" fontId="13" fillId="0" borderId="0"/>
    <xf numFmtId="0" fontId="5" fillId="0" borderId="0"/>
    <xf numFmtId="243" fontId="18" fillId="0" borderId="0">
      <protection locked="0"/>
    </xf>
    <xf numFmtId="0" fontId="5" fillId="0" borderId="0" applyFont="0" applyFill="0" applyBorder="0" applyAlignment="0" applyProtection="0"/>
    <xf numFmtId="243" fontId="18" fillId="0" borderId="0">
      <protection locked="0"/>
    </xf>
    <xf numFmtId="14" fontId="53" fillId="0" borderId="0" applyFill="0" applyBorder="0" applyAlignment="0"/>
    <xf numFmtId="0" fontId="53" fillId="0" borderId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46" borderId="22" applyBorder="0"/>
    <xf numFmtId="0" fontId="5" fillId="46" borderId="22" applyBorder="0"/>
    <xf numFmtId="0" fontId="5" fillId="46" borderId="22" applyBorder="0"/>
    <xf numFmtId="0" fontId="5" fillId="46" borderId="22" applyBorder="0"/>
    <xf numFmtId="0" fontId="5" fillId="46" borderId="22" applyBorder="0"/>
    <xf numFmtId="0" fontId="5" fillId="46" borderId="22" applyBorder="0"/>
    <xf numFmtId="0" fontId="5" fillId="46" borderId="22" applyBorder="0"/>
    <xf numFmtId="0" fontId="5" fillId="46" borderId="22" applyBorder="0"/>
    <xf numFmtId="0" fontId="5" fillId="46" borderId="22" applyBorder="0"/>
    <xf numFmtId="0" fontId="5" fillId="46" borderId="22" applyBorder="0"/>
    <xf numFmtId="0" fontId="5" fillId="46" borderId="22" applyBorder="0"/>
    <xf numFmtId="0" fontId="5" fillId="46" borderId="22" applyBorder="0"/>
    <xf numFmtId="259" fontId="5" fillId="46" borderId="23" applyBorder="0">
      <alignment horizontal="center"/>
    </xf>
    <xf numFmtId="259" fontId="5" fillId="46" borderId="23" applyBorder="0">
      <alignment horizontal="center"/>
    </xf>
    <xf numFmtId="259" fontId="5" fillId="46" borderId="23" applyBorder="0">
      <alignment horizontal="center"/>
    </xf>
    <xf numFmtId="259" fontId="5" fillId="46" borderId="23" applyBorder="0">
      <alignment horizontal="center"/>
    </xf>
    <xf numFmtId="259" fontId="5" fillId="46" borderId="23" applyBorder="0">
      <alignment horizontal="center"/>
    </xf>
    <xf numFmtId="259" fontId="5" fillId="46" borderId="23" applyBorder="0">
      <alignment horizontal="center"/>
    </xf>
    <xf numFmtId="259" fontId="5" fillId="46" borderId="23" applyBorder="0">
      <alignment horizontal="center"/>
    </xf>
    <xf numFmtId="259" fontId="5" fillId="46" borderId="23" applyBorder="0">
      <alignment horizontal="center"/>
    </xf>
    <xf numFmtId="259" fontId="5" fillId="46" borderId="23" applyBorder="0">
      <alignment horizontal="center"/>
    </xf>
    <xf numFmtId="259" fontId="5" fillId="46" borderId="23" applyBorder="0">
      <alignment horizontal="center"/>
    </xf>
    <xf numFmtId="259" fontId="5" fillId="46" borderId="23" applyBorder="0">
      <alignment horizontal="center"/>
    </xf>
    <xf numFmtId="259" fontId="5" fillId="46" borderId="23" applyBorder="0">
      <alignment horizontal="center"/>
    </xf>
    <xf numFmtId="260" fontId="18" fillId="0" borderId="0"/>
    <xf numFmtId="261" fontId="11" fillId="0" borderId="0"/>
    <xf numFmtId="262" fontId="18" fillId="0" borderId="0"/>
    <xf numFmtId="262" fontId="18" fillId="0" borderId="0"/>
    <xf numFmtId="260" fontId="18" fillId="0" borderId="0"/>
    <xf numFmtId="263" fontId="68" fillId="0" borderId="0" applyFill="0" applyBorder="0">
      <alignment horizontal="centerContinuous"/>
    </xf>
    <xf numFmtId="191" fontId="18" fillId="0" borderId="0">
      <protection locked="0"/>
    </xf>
    <xf numFmtId="192" fontId="28" fillId="0" borderId="0">
      <protection locked="0"/>
    </xf>
    <xf numFmtId="191" fontId="18" fillId="0" borderId="0">
      <protection locked="0"/>
    </xf>
    <xf numFmtId="192" fontId="28" fillId="0" borderId="0">
      <protection locked="0"/>
    </xf>
    <xf numFmtId="264" fontId="31" fillId="0" borderId="0">
      <protection locked="0"/>
    </xf>
    <xf numFmtId="265" fontId="18" fillId="0" borderId="0">
      <protection locked="0"/>
    </xf>
    <xf numFmtId="266" fontId="31" fillId="0" borderId="0">
      <protection locked="0"/>
    </xf>
    <xf numFmtId="264" fontId="31" fillId="0" borderId="0">
      <protection locked="0"/>
    </xf>
    <xf numFmtId="264" fontId="32" fillId="0" borderId="0">
      <protection locked="0"/>
    </xf>
    <xf numFmtId="267" fontId="31" fillId="0" borderId="0">
      <protection locked="0"/>
    </xf>
    <xf numFmtId="268" fontId="18" fillId="0" borderId="0">
      <protection locked="0"/>
    </xf>
    <xf numFmtId="269" fontId="31" fillId="0" borderId="0">
      <protection locked="0"/>
    </xf>
    <xf numFmtId="267" fontId="31" fillId="0" borderId="0">
      <protection locked="0"/>
    </xf>
    <xf numFmtId="267" fontId="32" fillId="0" borderId="0">
      <protection locked="0"/>
    </xf>
    <xf numFmtId="0" fontId="5" fillId="0" borderId="0" applyFont="0" applyFill="0" applyBorder="0" applyAlignment="0" applyProtection="0"/>
    <xf numFmtId="0" fontId="101" fillId="48" borderId="0" applyNumberFormat="0" applyBorder="0" applyAlignment="0" applyProtection="0"/>
    <xf numFmtId="0" fontId="101" fillId="49" borderId="0" applyNumberFormat="0" applyBorder="0" applyAlignment="0" applyProtection="0"/>
    <xf numFmtId="0" fontId="101" fillId="50" borderId="0" applyNumberFormat="0" applyBorder="0" applyAlignment="0" applyProtection="0"/>
    <xf numFmtId="270" fontId="2" fillId="0" borderId="0" applyFill="0" applyBorder="0" applyAlignment="0"/>
    <xf numFmtId="252" fontId="2" fillId="0" borderId="0" applyFill="0" applyBorder="0" applyAlignment="0"/>
    <xf numFmtId="270" fontId="2" fillId="0" borderId="0" applyFill="0" applyBorder="0" applyAlignment="0"/>
    <xf numFmtId="271" fontId="2" fillId="0" borderId="0" applyFill="0" applyBorder="0" applyAlignment="0"/>
    <xf numFmtId="252" fontId="2" fillId="0" borderId="0" applyFill="0" applyBorder="0" applyAlignment="0"/>
    <xf numFmtId="0" fontId="102" fillId="0" borderId="0" applyNumberFormat="0" applyAlignment="0">
      <alignment horizontal="left"/>
    </xf>
    <xf numFmtId="272" fontId="18" fillId="0" borderId="0" applyFont="0" applyFill="0" applyBorder="0" applyAlignment="0" applyProtection="0">
      <alignment vertical="center"/>
    </xf>
    <xf numFmtId="272" fontId="44" fillId="0" borderId="0" applyFont="0" applyFill="0" applyBorder="0" applyAlignment="0" applyProtection="0"/>
    <xf numFmtId="272" fontId="44" fillId="0" borderId="0" applyFont="0" applyFill="0" applyBorder="0" applyAlignment="0" applyProtection="0"/>
    <xf numFmtId="272" fontId="44" fillId="0" borderId="0" applyFont="0" applyFill="0" applyBorder="0" applyAlignment="0" applyProtection="0"/>
    <xf numFmtId="272" fontId="44" fillId="0" borderId="0" applyFont="0" applyFill="0" applyBorder="0" applyAlignment="0" applyProtection="0"/>
    <xf numFmtId="272" fontId="42" fillId="0" borderId="0" applyFont="0" applyFill="0" applyBorder="0" applyAlignment="0" applyProtection="0">
      <alignment vertical="center"/>
    </xf>
    <xf numFmtId="272" fontId="18" fillId="0" borderId="0" applyFont="0" applyFill="0" applyBorder="0" applyAlignment="0" applyProtection="0"/>
    <xf numFmtId="272" fontId="18" fillId="0" borderId="0" applyFont="0" applyFill="0" applyBorder="0" applyAlignment="0" applyProtection="0">
      <alignment vertical="center"/>
    </xf>
    <xf numFmtId="273" fontId="44" fillId="0" borderId="0" applyFont="0" applyFill="0" applyBorder="0" applyAlignment="0" applyProtection="0"/>
    <xf numFmtId="272" fontId="18" fillId="0" borderId="0" applyFont="0" applyFill="0" applyBorder="0" applyAlignment="0" applyProtection="0"/>
    <xf numFmtId="272" fontId="18" fillId="0" borderId="0" applyFont="0" applyFill="0" applyBorder="0" applyAlignment="0" applyProtection="0"/>
    <xf numFmtId="272" fontId="18" fillId="0" borderId="0" applyFont="0" applyFill="0" applyBorder="0" applyAlignment="0" applyProtection="0"/>
    <xf numFmtId="272" fontId="18" fillId="0" borderId="0" applyFont="0" applyFill="0" applyBorder="0" applyAlignment="0" applyProtection="0"/>
    <xf numFmtId="272" fontId="18" fillId="0" borderId="0" applyFont="0" applyFill="0" applyBorder="0" applyAlignment="0" applyProtection="0"/>
    <xf numFmtId="272" fontId="18" fillId="0" borderId="0" applyFont="0" applyFill="0" applyBorder="0" applyAlignment="0" applyProtection="0"/>
    <xf numFmtId="272" fontId="18" fillId="0" borderId="0" applyFont="0" applyFill="0" applyBorder="0" applyAlignment="0" applyProtection="0"/>
    <xf numFmtId="272" fontId="18" fillId="0" borderId="0" applyFont="0" applyFill="0" applyBorder="0" applyAlignment="0" applyProtection="0"/>
    <xf numFmtId="272" fontId="18" fillId="0" borderId="0" applyFont="0" applyFill="0" applyBorder="0" applyAlignment="0" applyProtection="0"/>
    <xf numFmtId="272" fontId="18" fillId="0" borderId="0" applyFont="0" applyFill="0" applyBorder="0" applyAlignment="0" applyProtection="0"/>
    <xf numFmtId="272" fontId="18" fillId="0" borderId="0" applyFont="0" applyFill="0" applyBorder="0" applyAlignment="0" applyProtection="0"/>
    <xf numFmtId="272" fontId="18" fillId="0" borderId="0" applyFont="0" applyFill="0" applyBorder="0" applyAlignment="0" applyProtection="0"/>
    <xf numFmtId="272" fontId="44" fillId="0" borderId="0" applyFont="0" applyFill="0" applyBorder="0" applyAlignment="0" applyProtection="0"/>
    <xf numFmtId="272" fontId="44" fillId="0" borderId="0" applyFont="0" applyFill="0" applyBorder="0" applyAlignment="0" applyProtection="0"/>
    <xf numFmtId="272" fontId="44" fillId="0" borderId="0" applyFont="0" applyFill="0" applyBorder="0" applyAlignment="0" applyProtection="0"/>
    <xf numFmtId="272" fontId="44" fillId="0" borderId="0" applyFont="0" applyFill="0" applyBorder="0" applyAlignment="0" applyProtection="0"/>
    <xf numFmtId="272" fontId="44" fillId="0" borderId="0" applyFont="0" applyFill="0" applyBorder="0" applyAlignment="0" applyProtection="0"/>
    <xf numFmtId="0" fontId="103" fillId="0" borderId="0" applyNumberFormat="0" applyFill="0" applyBorder="0" applyAlignment="0" applyProtection="0">
      <alignment vertical="center"/>
    </xf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29" fillId="0" borderId="0">
      <protection locked="0"/>
    </xf>
    <xf numFmtId="0" fontId="29" fillId="0" borderId="0">
      <protection locked="0"/>
    </xf>
    <xf numFmtId="274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29" fillId="0" borderId="0">
      <protection locked="0"/>
    </xf>
    <xf numFmtId="0" fontId="29" fillId="0" borderId="0">
      <protection locked="0"/>
    </xf>
    <xf numFmtId="274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29" fillId="0" borderId="0">
      <protection locked="0"/>
    </xf>
    <xf numFmtId="0" fontId="105" fillId="0" borderId="0">
      <protection locked="0"/>
    </xf>
    <xf numFmtId="274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29" fillId="0" borderId="0">
      <protection locked="0"/>
    </xf>
    <xf numFmtId="0" fontId="29" fillId="0" borderId="0">
      <protection locked="0"/>
    </xf>
    <xf numFmtId="274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29" fillId="0" borderId="0">
      <protection locked="0"/>
    </xf>
    <xf numFmtId="0" fontId="29" fillId="0" borderId="0">
      <protection locked="0"/>
    </xf>
    <xf numFmtId="274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29" fillId="0" borderId="0">
      <protection locked="0"/>
    </xf>
    <xf numFmtId="0" fontId="29" fillId="0" borderId="0">
      <protection locked="0"/>
    </xf>
    <xf numFmtId="274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29" fillId="0" borderId="0">
      <protection locked="0"/>
    </xf>
    <xf numFmtId="0" fontId="105" fillId="0" borderId="0">
      <protection locked="0"/>
    </xf>
    <xf numFmtId="274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4" fillId="0" borderId="0" applyNumberFormat="0" applyFont="0" applyFill="0" applyBorder="0" applyAlignment="0" applyProtection="0"/>
    <xf numFmtId="0" fontId="100" fillId="42" borderId="0"/>
    <xf numFmtId="243" fontId="18" fillId="0" borderId="0">
      <protection locked="0"/>
    </xf>
    <xf numFmtId="2" fontId="5" fillId="0" borderId="0" applyFont="0" applyFill="0" applyBorder="0" applyAlignment="0" applyProtection="0"/>
    <xf numFmtId="243" fontId="18" fillId="0" borderId="0">
      <protection locked="0"/>
    </xf>
    <xf numFmtId="0" fontId="106" fillId="0" borderId="0" applyNumberFormat="0" applyFill="0" applyBorder="0" applyAlignment="0" applyProtection="0">
      <alignment vertical="top"/>
      <protection locked="0"/>
    </xf>
    <xf numFmtId="275" fontId="11" fillId="0" borderId="0"/>
    <xf numFmtId="0" fontId="11" fillId="0" borderId="0"/>
    <xf numFmtId="0" fontId="11" fillId="0" borderId="0"/>
    <xf numFmtId="0" fontId="107" fillId="11" borderId="0" applyNumberFormat="0" applyBorder="0" applyAlignment="0" applyProtection="0">
      <alignment vertical="center"/>
    </xf>
    <xf numFmtId="38" fontId="100" fillId="42" borderId="0" applyNumberFormat="0" applyBorder="0" applyAlignment="0" applyProtection="0"/>
    <xf numFmtId="38" fontId="100" fillId="41" borderId="0" applyNumberFormat="0" applyBorder="0" applyAlignment="0" applyProtection="0"/>
    <xf numFmtId="3" fontId="12" fillId="0" borderId="24">
      <alignment horizontal="right" vertical="center"/>
    </xf>
    <xf numFmtId="4" fontId="12" fillId="0" borderId="24">
      <alignment horizontal="right" vertical="center"/>
    </xf>
    <xf numFmtId="0" fontId="108" fillId="0" borderId="0" applyAlignment="0">
      <alignment horizontal="right"/>
    </xf>
    <xf numFmtId="0" fontId="109" fillId="0" borderId="0"/>
    <xf numFmtId="0" fontId="110" fillId="0" borderId="0"/>
    <xf numFmtId="0" fontId="111" fillId="0" borderId="0">
      <alignment horizontal="left"/>
    </xf>
    <xf numFmtId="0" fontId="112" fillId="0" borderId="25" applyNumberFormat="0" applyAlignment="0" applyProtection="0">
      <alignment horizontal="left" vertical="center"/>
    </xf>
    <xf numFmtId="0" fontId="112" fillId="0" borderId="5">
      <alignment horizontal="left" vertical="center"/>
    </xf>
    <xf numFmtId="0" fontId="112" fillId="0" borderId="5">
      <alignment horizontal="left" vertical="center"/>
    </xf>
    <xf numFmtId="0" fontId="112" fillId="0" borderId="5">
      <alignment horizontal="left" vertical="center"/>
    </xf>
    <xf numFmtId="0" fontId="112" fillId="0" borderId="5">
      <alignment horizontal="left" vertical="center"/>
    </xf>
    <xf numFmtId="0" fontId="112" fillId="0" borderId="5">
      <alignment horizontal="left" vertical="center"/>
    </xf>
    <xf numFmtId="0" fontId="112" fillId="0" borderId="5">
      <alignment horizontal="left" vertical="center"/>
    </xf>
    <xf numFmtId="0" fontId="112" fillId="0" borderId="5">
      <alignment horizontal="left" vertical="center"/>
    </xf>
    <xf numFmtId="0" fontId="112" fillId="0" borderId="5">
      <alignment horizontal="left" vertical="center"/>
    </xf>
    <xf numFmtId="0" fontId="112" fillId="0" borderId="5">
      <alignment horizontal="left" vertical="center"/>
    </xf>
    <xf numFmtId="0" fontId="112" fillId="0" borderId="5">
      <alignment horizontal="left" vertical="center"/>
    </xf>
    <xf numFmtId="0" fontId="112" fillId="0" borderId="5">
      <alignment horizontal="left" vertical="center"/>
    </xf>
    <xf numFmtId="0" fontId="112" fillId="0" borderId="5">
      <alignment horizontal="left" vertical="center"/>
    </xf>
    <xf numFmtId="0" fontId="112" fillId="0" borderId="5">
      <alignment horizontal="left" vertical="center"/>
    </xf>
    <xf numFmtId="0" fontId="112" fillId="0" borderId="5">
      <alignment horizontal="left" vertical="center"/>
    </xf>
    <xf numFmtId="0" fontId="112" fillId="0" borderId="5">
      <alignment horizontal="left" vertical="center"/>
    </xf>
    <xf numFmtId="0" fontId="112" fillId="0" borderId="5">
      <alignment horizontal="left" vertical="center"/>
    </xf>
    <xf numFmtId="0" fontId="113" fillId="51" borderId="26" applyBorder="0" applyAlignment="0"/>
    <xf numFmtId="0" fontId="114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117" fillId="42" borderId="0" applyNumberFormat="0" applyFill="0" applyBorder="0"/>
    <xf numFmtId="0" fontId="113" fillId="51" borderId="26" applyBorder="0" applyAlignment="0"/>
    <xf numFmtId="0" fontId="113" fillId="51" borderId="26" applyBorder="0" applyAlignment="0"/>
    <xf numFmtId="0" fontId="113" fillId="51" borderId="26" applyBorder="0" applyAlignment="0"/>
    <xf numFmtId="0" fontId="113" fillId="51" borderId="26" applyBorder="0" applyAlignment="0"/>
    <xf numFmtId="0" fontId="113" fillId="51" borderId="26" applyBorder="0" applyAlignment="0"/>
    <xf numFmtId="0" fontId="113" fillId="51" borderId="26" applyBorder="0" applyAlignment="0"/>
    <xf numFmtId="0" fontId="113" fillId="51" borderId="26" applyBorder="0" applyAlignment="0"/>
    <xf numFmtId="0" fontId="113" fillId="51" borderId="26" applyBorder="0" applyAlignment="0"/>
    <xf numFmtId="0" fontId="113" fillId="51" borderId="26" applyBorder="0" applyAlignment="0"/>
    <xf numFmtId="0" fontId="113" fillId="51" borderId="26" applyBorder="0" applyAlignment="0"/>
    <xf numFmtId="0" fontId="113" fillId="51" borderId="26" applyBorder="0" applyAlignment="0"/>
    <xf numFmtId="0" fontId="113" fillId="51" borderId="26" applyBorder="0" applyAlignment="0"/>
    <xf numFmtId="0" fontId="113" fillId="51" borderId="26" applyBorder="0" applyAlignment="0"/>
    <xf numFmtId="0" fontId="113" fillId="51" borderId="26" applyBorder="0" applyAlignment="0"/>
    <xf numFmtId="0" fontId="113" fillId="51" borderId="26" applyBorder="0" applyAlignment="0"/>
    <xf numFmtId="243" fontId="18" fillId="0" borderId="0">
      <protection locked="0"/>
    </xf>
    <xf numFmtId="0" fontId="11" fillId="0" borderId="0">
      <protection locked="0"/>
    </xf>
    <xf numFmtId="243" fontId="18" fillId="0" borderId="0">
      <protection locked="0"/>
    </xf>
    <xf numFmtId="243" fontId="18" fillId="0" borderId="0">
      <protection locked="0"/>
    </xf>
    <xf numFmtId="0" fontId="11" fillId="0" borderId="0">
      <protection locked="0"/>
    </xf>
    <xf numFmtId="243" fontId="18" fillId="0" borderId="0">
      <protection locked="0"/>
    </xf>
    <xf numFmtId="12" fontId="5" fillId="41" borderId="27" applyNumberFormat="0" applyBorder="0" applyAlignment="0" applyProtection="0">
      <alignment horizontal="center"/>
    </xf>
    <xf numFmtId="12" fontId="5" fillId="41" borderId="27" applyNumberFormat="0" applyBorder="0" applyAlignment="0" applyProtection="0">
      <alignment horizontal="center"/>
    </xf>
    <xf numFmtId="12" fontId="5" fillId="41" borderId="27" applyNumberFormat="0" applyBorder="0" applyAlignment="0" applyProtection="0">
      <alignment horizontal="center"/>
    </xf>
    <xf numFmtId="12" fontId="5" fillId="41" borderId="27" applyNumberFormat="0" applyBorder="0" applyAlignment="0" applyProtection="0">
      <alignment horizontal="center"/>
    </xf>
    <xf numFmtId="12" fontId="5" fillId="41" borderId="27" applyNumberFormat="0" applyBorder="0" applyAlignment="0" applyProtection="0">
      <alignment horizontal="center"/>
    </xf>
    <xf numFmtId="12" fontId="5" fillId="41" borderId="27" applyNumberFormat="0" applyBorder="0" applyAlignment="0" applyProtection="0">
      <alignment horizontal="center"/>
    </xf>
    <xf numFmtId="12" fontId="5" fillId="41" borderId="27" applyNumberFormat="0" applyBorder="0" applyAlignment="0" applyProtection="0">
      <alignment horizontal="center"/>
    </xf>
    <xf numFmtId="12" fontId="5" fillId="41" borderId="27" applyNumberFormat="0" applyBorder="0" applyAlignment="0" applyProtection="0">
      <alignment horizontal="center"/>
    </xf>
    <xf numFmtId="12" fontId="5" fillId="41" borderId="27" applyNumberFormat="0" applyBorder="0" applyAlignment="0" applyProtection="0">
      <alignment horizontal="center"/>
    </xf>
    <xf numFmtId="12" fontId="5" fillId="41" borderId="27" applyNumberFormat="0" applyBorder="0" applyAlignment="0" applyProtection="0">
      <alignment horizontal="center"/>
    </xf>
    <xf numFmtId="12" fontId="5" fillId="41" borderId="27" applyNumberFormat="0" applyBorder="0" applyAlignment="0" applyProtection="0">
      <alignment horizontal="center"/>
    </xf>
    <xf numFmtId="12" fontId="5" fillId="41" borderId="27" applyNumberFormat="0" applyBorder="0" applyAlignment="0" applyProtection="0">
      <alignment horizontal="center"/>
    </xf>
    <xf numFmtId="0" fontId="11" fillId="0" borderId="0" applyFont="0" applyFill="0" applyBorder="0" applyAlignment="0" applyProtection="0"/>
    <xf numFmtId="0" fontId="5" fillId="52" borderId="28"/>
    <xf numFmtId="0" fontId="118" fillId="0" borderId="0" applyNumberFormat="0" applyFill="0" applyBorder="0" applyAlignment="0" applyProtection="0"/>
    <xf numFmtId="0" fontId="115" fillId="0" borderId="0" applyNumberFormat="0" applyFill="0" applyBorder="0" applyAlignment="0" applyProtection="0">
      <alignment vertical="top"/>
      <protection locked="0"/>
    </xf>
    <xf numFmtId="0" fontId="119" fillId="0" borderId="0" applyNumberFormat="0" applyFill="0" applyBorder="0" applyAlignment="0" applyProtection="0">
      <alignment vertical="top"/>
      <protection locked="0"/>
    </xf>
    <xf numFmtId="0" fontId="119" fillId="0" borderId="0" applyNumberFormat="0" applyFill="0" applyBorder="0" applyAlignment="0" applyProtection="0">
      <alignment vertical="top"/>
      <protection locked="0"/>
    </xf>
    <xf numFmtId="0" fontId="120" fillId="0" borderId="0" applyNumberFormat="0" applyFill="0" applyBorder="0" applyAlignment="0" applyProtection="0"/>
    <xf numFmtId="0" fontId="13" fillId="0" borderId="0" applyFont="0" applyFill="0" applyBorder="0" applyAlignment="0" applyProtection="0"/>
    <xf numFmtId="0" fontId="5" fillId="53" borderId="29" applyBorder="0">
      <protection locked="0"/>
    </xf>
    <xf numFmtId="10" fontId="100" fillId="46" borderId="1" applyNumberFormat="0" applyBorder="0" applyAlignment="0" applyProtection="0"/>
    <xf numFmtId="10" fontId="100" fillId="46" borderId="1" applyNumberFormat="0" applyBorder="0" applyAlignment="0" applyProtection="0"/>
    <xf numFmtId="10" fontId="100" fillId="46" borderId="1" applyNumberFormat="0" applyBorder="0" applyAlignment="0" applyProtection="0"/>
    <xf numFmtId="10" fontId="100" fillId="46" borderId="1" applyNumberFormat="0" applyBorder="0" applyAlignment="0" applyProtection="0"/>
    <xf numFmtId="10" fontId="100" fillId="46" borderId="1" applyNumberFormat="0" applyBorder="0" applyAlignment="0" applyProtection="0"/>
    <xf numFmtId="10" fontId="100" fillId="46" borderId="1" applyNumberFormat="0" applyBorder="0" applyAlignment="0" applyProtection="0"/>
    <xf numFmtId="10" fontId="100" fillId="46" borderId="1" applyNumberFormat="0" applyBorder="0" applyAlignment="0" applyProtection="0"/>
    <xf numFmtId="10" fontId="100" fillId="46" borderId="1" applyNumberFormat="0" applyBorder="0" applyAlignment="0" applyProtection="0"/>
    <xf numFmtId="10" fontId="100" fillId="46" borderId="1" applyNumberFormat="0" applyBorder="0" applyAlignment="0" applyProtection="0"/>
    <xf numFmtId="10" fontId="100" fillId="46" borderId="1" applyNumberFormat="0" applyBorder="0" applyAlignment="0" applyProtection="0"/>
    <xf numFmtId="10" fontId="100" fillId="46" borderId="1" applyNumberFormat="0" applyBorder="0" applyAlignment="0" applyProtection="0"/>
    <xf numFmtId="10" fontId="100" fillId="46" borderId="1" applyNumberFormat="0" applyBorder="0" applyAlignment="0" applyProtection="0"/>
    <xf numFmtId="10" fontId="100" fillId="46" borderId="1" applyNumberFormat="0" applyBorder="0" applyAlignment="0" applyProtection="0"/>
    <xf numFmtId="10" fontId="100" fillId="46" borderId="1" applyNumberFormat="0" applyBorder="0" applyAlignment="0" applyProtection="0"/>
    <xf numFmtId="10" fontId="100" fillId="46" borderId="1" applyNumberFormat="0" applyBorder="0" applyAlignment="0" applyProtection="0"/>
    <xf numFmtId="10" fontId="100" fillId="46" borderId="1" applyNumberFormat="0" applyBorder="0" applyAlignment="0" applyProtection="0"/>
    <xf numFmtId="10" fontId="100" fillId="46" borderId="1" applyNumberFormat="0" applyBorder="0" applyAlignment="0" applyProtection="0"/>
    <xf numFmtId="10" fontId="100" fillId="46" borderId="1" applyNumberFormat="0" applyBorder="0" applyAlignment="0" applyProtection="0"/>
    <xf numFmtId="0" fontId="5" fillId="53" borderId="29" applyBorder="0">
      <protection locked="0"/>
    </xf>
    <xf numFmtId="0" fontId="5" fillId="53" borderId="29" applyBorder="0">
      <protection locked="0"/>
    </xf>
    <xf numFmtId="0" fontId="5" fillId="53" borderId="29" applyBorder="0">
      <protection locked="0"/>
    </xf>
    <xf numFmtId="0" fontId="5" fillId="53" borderId="29" applyBorder="0">
      <protection locked="0"/>
    </xf>
    <xf numFmtId="0" fontId="5" fillId="53" borderId="29" applyBorder="0">
      <protection locked="0"/>
    </xf>
    <xf numFmtId="0" fontId="5" fillId="53" borderId="29" applyBorder="0">
      <protection locked="0"/>
    </xf>
    <xf numFmtId="0" fontId="5" fillId="53" borderId="29" applyBorder="0">
      <protection locked="0"/>
    </xf>
    <xf numFmtId="0" fontId="5" fillId="53" borderId="29" applyBorder="0">
      <protection locked="0"/>
    </xf>
    <xf numFmtId="0" fontId="5" fillId="53" borderId="29" applyBorder="0">
      <protection locked="0"/>
    </xf>
    <xf numFmtId="0" fontId="5" fillId="53" borderId="29" applyBorder="0">
      <protection locked="0"/>
    </xf>
    <xf numFmtId="0" fontId="5" fillId="53" borderId="29" applyBorder="0">
      <protection locked="0"/>
    </xf>
    <xf numFmtId="0" fontId="5" fillId="53" borderId="29" applyBorder="0">
      <protection locked="0"/>
    </xf>
    <xf numFmtId="0" fontId="5" fillId="53" borderId="29" applyBorder="0">
      <protection locked="0"/>
    </xf>
    <xf numFmtId="0" fontId="5" fillId="53" borderId="29" applyBorder="0">
      <protection locked="0"/>
    </xf>
    <xf numFmtId="0" fontId="5" fillId="53" borderId="29" applyBorder="0">
      <protection locked="0"/>
    </xf>
    <xf numFmtId="0" fontId="5" fillId="53" borderId="29" applyBorder="0">
      <protection locked="0"/>
    </xf>
    <xf numFmtId="0" fontId="5" fillId="53" borderId="29" applyBorder="0">
      <protection locked="0"/>
    </xf>
    <xf numFmtId="0" fontId="5" fillId="53" borderId="29" applyBorder="0">
      <protection locked="0"/>
    </xf>
    <xf numFmtId="0" fontId="5" fillId="53" borderId="29" applyBorder="0">
      <protection locked="0"/>
    </xf>
    <xf numFmtId="0" fontId="5" fillId="53" borderId="29" applyBorder="0">
      <protection locked="0"/>
    </xf>
    <xf numFmtId="0" fontId="5" fillId="53" borderId="29" applyBorder="0">
      <protection locked="0"/>
    </xf>
    <xf numFmtId="0" fontId="5" fillId="53" borderId="29" applyBorder="0">
      <protection locked="0"/>
    </xf>
    <xf numFmtId="0" fontId="5" fillId="53" borderId="29" applyBorder="0">
      <protection locked="0"/>
    </xf>
    <xf numFmtId="0" fontId="5" fillId="53" borderId="29" applyBorder="0">
      <protection locked="0"/>
    </xf>
    <xf numFmtId="0" fontId="5" fillId="53" borderId="29" applyBorder="0">
      <protection locked="0"/>
    </xf>
    <xf numFmtId="0" fontId="5" fillId="53" borderId="29" applyBorder="0">
      <protection locked="0"/>
    </xf>
    <xf numFmtId="0" fontId="5" fillId="53" borderId="29" applyBorder="0">
      <protection locked="0"/>
    </xf>
    <xf numFmtId="259" fontId="5" fillId="53" borderId="30" applyBorder="0">
      <alignment horizontal="center"/>
      <protection locked="0"/>
    </xf>
    <xf numFmtId="259" fontId="5" fillId="53" borderId="30" applyBorder="0">
      <alignment horizontal="center"/>
      <protection locked="0"/>
    </xf>
    <xf numFmtId="259" fontId="5" fillId="53" borderId="30" applyBorder="0">
      <alignment horizontal="center"/>
      <protection locked="0"/>
    </xf>
    <xf numFmtId="259" fontId="5" fillId="53" borderId="30" applyBorder="0">
      <alignment horizontal="center"/>
      <protection locked="0"/>
    </xf>
    <xf numFmtId="12" fontId="5" fillId="53" borderId="30" applyBorder="0">
      <alignment horizontal="center"/>
      <protection locked="0"/>
    </xf>
    <xf numFmtId="12" fontId="5" fillId="53" borderId="30" applyBorder="0">
      <alignment horizontal="center"/>
      <protection locked="0"/>
    </xf>
    <xf numFmtId="12" fontId="5" fillId="53" borderId="30" applyBorder="0">
      <alignment horizontal="center"/>
      <protection locked="0"/>
    </xf>
    <xf numFmtId="12" fontId="5" fillId="53" borderId="30" applyBorder="0">
      <alignment horizontal="center"/>
      <protection locked="0"/>
    </xf>
    <xf numFmtId="0" fontId="109" fillId="53" borderId="31">
      <alignment horizontal="center" vertical="center"/>
      <protection locked="0"/>
    </xf>
    <xf numFmtId="0" fontId="109" fillId="53" borderId="31">
      <alignment horizontal="center" vertical="center"/>
      <protection locked="0"/>
    </xf>
    <xf numFmtId="0" fontId="109" fillId="53" borderId="31">
      <alignment horizontal="center" vertical="center"/>
      <protection locked="0"/>
    </xf>
    <xf numFmtId="0" fontId="109" fillId="53" borderId="31">
      <alignment horizontal="center" vertical="center"/>
      <protection locked="0"/>
    </xf>
    <xf numFmtId="0" fontId="109" fillId="53" borderId="31">
      <alignment horizontal="center" vertical="center"/>
      <protection locked="0"/>
    </xf>
    <xf numFmtId="0" fontId="109" fillId="53" borderId="31">
      <alignment horizontal="center" vertical="center"/>
      <protection locked="0"/>
    </xf>
    <xf numFmtId="0" fontId="109" fillId="53" borderId="31">
      <alignment horizontal="center" vertical="center"/>
      <protection locked="0"/>
    </xf>
    <xf numFmtId="0" fontId="109" fillId="53" borderId="31">
      <alignment horizontal="center" vertical="center"/>
      <protection locked="0"/>
    </xf>
    <xf numFmtId="0" fontId="109" fillId="53" borderId="31">
      <alignment horizontal="center" vertical="center"/>
      <protection locked="0"/>
    </xf>
    <xf numFmtId="0" fontId="109" fillId="53" borderId="31">
      <alignment horizontal="center" vertical="center"/>
      <protection locked="0"/>
    </xf>
    <xf numFmtId="0" fontId="109" fillId="53" borderId="31">
      <alignment horizontal="center" vertical="center"/>
      <protection locked="0"/>
    </xf>
    <xf numFmtId="0" fontId="109" fillId="53" borderId="31">
      <alignment horizontal="center" vertical="center"/>
      <protection locked="0"/>
    </xf>
    <xf numFmtId="0" fontId="121" fillId="14" borderId="18" applyNumberFormat="0" applyAlignment="0" applyProtection="0">
      <alignment vertical="center"/>
    </xf>
    <xf numFmtId="249" fontId="100" fillId="46" borderId="0" applyBorder="0">
      <protection locked="0"/>
    </xf>
    <xf numFmtId="15" fontId="100" fillId="46" borderId="0" applyBorder="0">
      <protection locked="0"/>
    </xf>
    <xf numFmtId="49" fontId="100" fillId="46" borderId="0" applyBorder="0">
      <protection locked="0"/>
    </xf>
    <xf numFmtId="49" fontId="100" fillId="46" borderId="6" applyNumberFormat="0" applyBorder="0"/>
    <xf numFmtId="49" fontId="100" fillId="46" borderId="6" applyNumberFormat="0" applyBorder="0"/>
    <xf numFmtId="49" fontId="100" fillId="46" borderId="6" applyNumberFormat="0" applyBorder="0"/>
    <xf numFmtId="49" fontId="100" fillId="46" borderId="6" applyNumberFormat="0" applyBorder="0"/>
    <xf numFmtId="49" fontId="100" fillId="46" borderId="6" applyNumberFormat="0" applyBorder="0"/>
    <xf numFmtId="49" fontId="100" fillId="46" borderId="6" applyNumberFormat="0" applyBorder="0"/>
    <xf numFmtId="49" fontId="100" fillId="46" borderId="6" applyNumberFormat="0" applyBorder="0"/>
    <xf numFmtId="49" fontId="100" fillId="46" borderId="6" applyNumberFormat="0" applyBorder="0"/>
    <xf numFmtId="49" fontId="100" fillId="46" borderId="6" applyNumberFormat="0" applyBorder="0"/>
    <xf numFmtId="49" fontId="100" fillId="46" borderId="6" applyNumberFormat="0" applyBorder="0"/>
    <xf numFmtId="49" fontId="100" fillId="46" borderId="6" applyNumberFormat="0" applyBorder="0"/>
    <xf numFmtId="49" fontId="100" fillId="46" borderId="6" applyNumberFormat="0" applyBorder="0"/>
    <xf numFmtId="49" fontId="100" fillId="46" borderId="6" applyNumberFormat="0" applyBorder="0"/>
    <xf numFmtId="49" fontId="100" fillId="46" borderId="6" applyNumberFormat="0" applyBorder="0"/>
    <xf numFmtId="0" fontId="68" fillId="46" borderId="30" applyBorder="0">
      <alignment horizontal="left"/>
    </xf>
    <xf numFmtId="0" fontId="68" fillId="46" borderId="30" applyBorder="0">
      <alignment horizontal="left"/>
    </xf>
    <xf numFmtId="0" fontId="68" fillId="46" borderId="30" applyBorder="0">
      <alignment horizontal="left"/>
    </xf>
    <xf numFmtId="0" fontId="68" fillId="46" borderId="30" applyBorder="0">
      <alignment horizontal="left"/>
    </xf>
    <xf numFmtId="0" fontId="68" fillId="53" borderId="0">
      <alignment horizontal="left"/>
    </xf>
    <xf numFmtId="276" fontId="12" fillId="0" borderId="1">
      <alignment vertical="center"/>
    </xf>
    <xf numFmtId="276" fontId="12" fillId="0" borderId="1">
      <alignment vertical="center"/>
    </xf>
    <xf numFmtId="276" fontId="12" fillId="0" borderId="1">
      <alignment vertical="center"/>
    </xf>
    <xf numFmtId="276" fontId="12" fillId="0" borderId="1">
      <alignment vertical="center"/>
    </xf>
    <xf numFmtId="276" fontId="12" fillId="0" borderId="1">
      <alignment vertical="center"/>
    </xf>
    <xf numFmtId="276" fontId="12" fillId="0" borderId="1">
      <alignment vertical="center"/>
    </xf>
    <xf numFmtId="276" fontId="12" fillId="0" borderId="1">
      <alignment vertical="center"/>
    </xf>
    <xf numFmtId="276" fontId="12" fillId="0" borderId="1">
      <alignment vertical="center"/>
    </xf>
    <xf numFmtId="276" fontId="12" fillId="0" borderId="1">
      <alignment vertical="center"/>
    </xf>
    <xf numFmtId="276" fontId="12" fillId="0" borderId="1">
      <alignment vertical="center"/>
    </xf>
    <xf numFmtId="276" fontId="12" fillId="0" borderId="1">
      <alignment vertical="center"/>
    </xf>
    <xf numFmtId="276" fontId="12" fillId="0" borderId="1">
      <alignment vertical="center"/>
    </xf>
    <xf numFmtId="276" fontId="12" fillId="0" borderId="1">
      <alignment vertical="center"/>
    </xf>
    <xf numFmtId="276" fontId="12" fillId="0" borderId="1">
      <alignment vertical="center"/>
    </xf>
    <xf numFmtId="277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18" fillId="0" borderId="32">
      <protection locked="0"/>
    </xf>
    <xf numFmtId="0" fontId="13" fillId="0" borderId="0" applyNumberFormat="0" applyFont="0" applyFill="0" applyBorder="0" applyProtection="0">
      <alignment horizontal="left" vertical="center"/>
    </xf>
    <xf numFmtId="270" fontId="2" fillId="0" borderId="0" applyFill="0" applyBorder="0" applyAlignment="0"/>
    <xf numFmtId="252" fontId="2" fillId="0" borderId="0" applyFill="0" applyBorder="0" applyAlignment="0"/>
    <xf numFmtId="270" fontId="2" fillId="0" borderId="0" applyFill="0" applyBorder="0" applyAlignment="0"/>
    <xf numFmtId="271" fontId="2" fillId="0" borderId="0" applyFill="0" applyBorder="0" applyAlignment="0"/>
    <xf numFmtId="252" fontId="2" fillId="0" borderId="0" applyFill="0" applyBorder="0" applyAlignment="0"/>
    <xf numFmtId="0" fontId="122" fillId="0" borderId="33" applyNumberFormat="0" applyFill="0" applyAlignment="0" applyProtection="0">
      <alignment vertical="center"/>
    </xf>
    <xf numFmtId="278" fontId="12" fillId="0" borderId="1">
      <alignment horizontal="right" vertical="center"/>
    </xf>
    <xf numFmtId="278" fontId="12" fillId="0" borderId="1">
      <alignment horizontal="right" vertical="center"/>
    </xf>
    <xf numFmtId="278" fontId="12" fillId="0" borderId="1">
      <alignment horizontal="right" vertical="center"/>
    </xf>
    <xf numFmtId="278" fontId="12" fillId="0" borderId="1">
      <alignment horizontal="right" vertical="center"/>
    </xf>
    <xf numFmtId="278" fontId="12" fillId="0" borderId="1">
      <alignment horizontal="right" vertical="center"/>
    </xf>
    <xf numFmtId="278" fontId="12" fillId="0" borderId="1">
      <alignment horizontal="right" vertical="center"/>
    </xf>
    <xf numFmtId="278" fontId="12" fillId="0" borderId="1">
      <alignment horizontal="right" vertical="center"/>
    </xf>
    <xf numFmtId="278" fontId="12" fillId="0" borderId="1">
      <alignment horizontal="right" vertical="center"/>
    </xf>
    <xf numFmtId="278" fontId="12" fillId="0" borderId="1">
      <alignment horizontal="right" vertical="center"/>
    </xf>
    <xf numFmtId="278" fontId="12" fillId="0" borderId="1">
      <alignment horizontal="right" vertical="center"/>
    </xf>
    <xf numFmtId="278" fontId="12" fillId="0" borderId="1">
      <alignment horizontal="right" vertical="center"/>
    </xf>
    <xf numFmtId="278" fontId="12" fillId="0" borderId="1">
      <alignment horizontal="right" vertical="center"/>
    </xf>
    <xf numFmtId="278" fontId="12" fillId="0" borderId="1">
      <alignment horizontal="right" vertical="center"/>
    </xf>
    <xf numFmtId="278" fontId="12" fillId="0" borderId="1">
      <alignment horizontal="right" vertical="center"/>
    </xf>
    <xf numFmtId="279" fontId="12" fillId="0" borderId="1">
      <alignment vertical="center"/>
    </xf>
    <xf numFmtId="279" fontId="12" fillId="0" borderId="1">
      <alignment vertical="center"/>
    </xf>
    <xf numFmtId="279" fontId="12" fillId="0" borderId="1">
      <alignment vertical="center"/>
    </xf>
    <xf numFmtId="279" fontId="12" fillId="0" borderId="1">
      <alignment vertical="center"/>
    </xf>
    <xf numFmtId="279" fontId="12" fillId="0" borderId="1">
      <alignment vertical="center"/>
    </xf>
    <xf numFmtId="279" fontId="12" fillId="0" borderId="1">
      <alignment vertical="center"/>
    </xf>
    <xf numFmtId="279" fontId="12" fillId="0" borderId="1">
      <alignment vertical="center"/>
    </xf>
    <xf numFmtId="279" fontId="12" fillId="0" borderId="1">
      <alignment vertical="center"/>
    </xf>
    <xf numFmtId="279" fontId="12" fillId="0" borderId="1">
      <alignment vertical="center"/>
    </xf>
    <xf numFmtId="279" fontId="12" fillId="0" borderId="1">
      <alignment vertical="center"/>
    </xf>
    <xf numFmtId="279" fontId="12" fillId="0" borderId="1">
      <alignment vertical="center"/>
    </xf>
    <xf numFmtId="279" fontId="12" fillId="0" borderId="1">
      <alignment vertical="center"/>
    </xf>
    <xf numFmtId="279" fontId="12" fillId="0" borderId="1">
      <alignment vertical="center"/>
    </xf>
    <xf numFmtId="279" fontId="12" fillId="0" borderId="1">
      <alignment vertical="center"/>
    </xf>
    <xf numFmtId="280" fontId="12" fillId="0" borderId="1">
      <alignment vertical="center"/>
    </xf>
    <xf numFmtId="280" fontId="12" fillId="0" borderId="1">
      <alignment vertical="center"/>
    </xf>
    <xf numFmtId="280" fontId="12" fillId="0" borderId="1">
      <alignment vertical="center"/>
    </xf>
    <xf numFmtId="280" fontId="12" fillId="0" borderId="1">
      <alignment vertical="center"/>
    </xf>
    <xf numFmtId="280" fontId="12" fillId="0" borderId="1">
      <alignment vertical="center"/>
    </xf>
    <xf numFmtId="280" fontId="12" fillId="0" borderId="1">
      <alignment vertical="center"/>
    </xf>
    <xf numFmtId="280" fontId="12" fillId="0" borderId="1">
      <alignment vertical="center"/>
    </xf>
    <xf numFmtId="280" fontId="12" fillId="0" borderId="1">
      <alignment vertical="center"/>
    </xf>
    <xf numFmtId="280" fontId="12" fillId="0" borderId="1">
      <alignment vertical="center"/>
    </xf>
    <xf numFmtId="280" fontId="12" fillId="0" borderId="1">
      <alignment vertical="center"/>
    </xf>
    <xf numFmtId="280" fontId="12" fillId="0" borderId="1">
      <alignment vertical="center"/>
    </xf>
    <xf numFmtId="280" fontId="12" fillId="0" borderId="1">
      <alignment vertical="center"/>
    </xf>
    <xf numFmtId="280" fontId="12" fillId="0" borderId="1">
      <alignment vertical="center"/>
    </xf>
    <xf numFmtId="280" fontId="12" fillId="0" borderId="1">
      <alignment vertical="center"/>
    </xf>
    <xf numFmtId="281" fontId="123" fillId="0" borderId="0">
      <alignment horizontal="left"/>
    </xf>
    <xf numFmtId="38" fontId="15" fillId="0" borderId="0" applyFont="0" applyFill="0" applyBorder="0" applyAlignment="0" applyProtection="0"/>
    <xf numFmtId="40" fontId="1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24" fillId="0" borderId="32"/>
    <xf numFmtId="282" fontId="15" fillId="0" borderId="0" applyFont="0" applyFill="0" applyBorder="0" applyAlignment="0" applyProtection="0"/>
    <xf numFmtId="283" fontId="15" fillId="0" borderId="0" applyFont="0" applyFill="0" applyBorder="0" applyAlignment="0" applyProtection="0"/>
    <xf numFmtId="208" fontId="36" fillId="0" borderId="0">
      <alignment horizontal="centerContinuous" vertical="center"/>
    </xf>
    <xf numFmtId="199" fontId="46" fillId="0" borderId="0" applyFont="0" applyFill="0" applyBorder="0" applyAlignment="0" applyProtection="0"/>
    <xf numFmtId="0" fontId="13" fillId="0" borderId="0"/>
    <xf numFmtId="0" fontId="125" fillId="54" borderId="0" applyNumberFormat="0" applyBorder="0" applyAlignment="0" applyProtection="0">
      <alignment vertical="center"/>
    </xf>
    <xf numFmtId="37" fontId="126" fillId="0" borderId="0"/>
    <xf numFmtId="0" fontId="5" fillId="0" borderId="0" applyNumberFormat="0" applyFill="0" applyBorder="0" applyAlignment="0" applyProtection="0"/>
    <xf numFmtId="284" fontId="18" fillId="0" borderId="0"/>
    <xf numFmtId="0" fontId="127" fillId="0" borderId="0"/>
    <xf numFmtId="0" fontId="11" fillId="0" borderId="0"/>
    <xf numFmtId="285" fontId="128" fillId="0" borderId="0"/>
    <xf numFmtId="286" fontId="11" fillId="0" borderId="0"/>
    <xf numFmtId="284" fontId="18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1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29" fillId="0" borderId="0">
      <protection locked="0"/>
    </xf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29" fillId="0" borderId="0">
      <protection locked="0"/>
    </xf>
    <xf numFmtId="0" fontId="129" fillId="0" borderId="0">
      <protection locked="0"/>
    </xf>
    <xf numFmtId="0" fontId="129" fillId="0" borderId="0">
      <protection locked="0"/>
    </xf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/>
    <xf numFmtId="0" fontId="18" fillId="55" borderId="29" applyNumberFormat="0" applyFont="0" applyAlignment="0" applyProtection="0">
      <alignment vertical="center"/>
    </xf>
    <xf numFmtId="0" fontId="13" fillId="0" borderId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1" fillId="0" borderId="34"/>
    <xf numFmtId="0" fontId="5" fillId="0" borderId="0"/>
    <xf numFmtId="184" fontId="44" fillId="0" borderId="0">
      <alignment vertical="center"/>
    </xf>
    <xf numFmtId="0" fontId="130" fillId="43" borderId="35" applyNumberFormat="0" applyAlignment="0" applyProtection="0">
      <alignment vertical="center"/>
    </xf>
    <xf numFmtId="287" fontId="109" fillId="46" borderId="31">
      <alignment horizontal="center"/>
    </xf>
    <xf numFmtId="287" fontId="109" fillId="46" borderId="31">
      <alignment horizontal="center"/>
    </xf>
    <xf numFmtId="287" fontId="109" fillId="46" borderId="31">
      <alignment horizontal="center"/>
    </xf>
    <xf numFmtId="287" fontId="109" fillId="46" borderId="31">
      <alignment horizontal="center"/>
    </xf>
    <xf numFmtId="287" fontId="109" fillId="46" borderId="31">
      <alignment horizontal="center"/>
    </xf>
    <xf numFmtId="287" fontId="109" fillId="46" borderId="31">
      <alignment horizontal="center"/>
    </xf>
    <xf numFmtId="287" fontId="109" fillId="46" borderId="31">
      <alignment horizontal="center"/>
    </xf>
    <xf numFmtId="287" fontId="109" fillId="46" borderId="31">
      <alignment horizontal="center"/>
    </xf>
    <xf numFmtId="287" fontId="109" fillId="46" borderId="31">
      <alignment horizontal="center"/>
    </xf>
    <xf numFmtId="287" fontId="109" fillId="46" borderId="31">
      <alignment horizontal="center"/>
    </xf>
    <xf numFmtId="287" fontId="109" fillId="46" borderId="31">
      <alignment horizontal="center"/>
    </xf>
    <xf numFmtId="287" fontId="109" fillId="46" borderId="31">
      <alignment horizontal="center"/>
    </xf>
    <xf numFmtId="0" fontId="100" fillId="56" borderId="0" applyFill="0" applyBorder="0" applyProtection="0">
      <alignment horizontal="center"/>
    </xf>
    <xf numFmtId="0" fontId="5" fillId="42" borderId="30" applyBorder="0">
      <alignment horizontal="center"/>
      <protection locked="0"/>
    </xf>
    <xf numFmtId="0" fontId="5" fillId="42" borderId="30" applyBorder="0">
      <alignment horizontal="center"/>
      <protection locked="0"/>
    </xf>
    <xf numFmtId="0" fontId="5" fillId="42" borderId="30" applyBorder="0">
      <alignment horizontal="center"/>
      <protection locked="0"/>
    </xf>
    <xf numFmtId="0" fontId="5" fillId="42" borderId="30" applyBorder="0">
      <alignment horizontal="center"/>
      <protection locked="0"/>
    </xf>
    <xf numFmtId="0" fontId="11" fillId="0" borderId="0">
      <protection locked="0"/>
    </xf>
    <xf numFmtId="288" fontId="2" fillId="0" borderId="0" applyFont="0" applyFill="0" applyBorder="0" applyAlignment="0" applyProtection="0"/>
    <xf numFmtId="289" fontId="2" fillId="0" borderId="0" applyFont="0" applyFill="0" applyBorder="0" applyAlignment="0" applyProtection="0"/>
    <xf numFmtId="10" fontId="5" fillId="0" borderId="0" applyFont="0" applyFill="0" applyBorder="0" applyAlignment="0" applyProtection="0"/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0" fontId="12" fillId="0" borderId="0">
      <protection locked="0"/>
    </xf>
    <xf numFmtId="243" fontId="18" fillId="0" borderId="0">
      <protection locked="0"/>
    </xf>
    <xf numFmtId="0" fontId="12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0" fontId="12" fillId="0" borderId="0">
      <protection locked="0"/>
    </xf>
    <xf numFmtId="243" fontId="18" fillId="0" borderId="0">
      <protection locked="0"/>
    </xf>
    <xf numFmtId="0" fontId="12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3" fontId="18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42" fontId="7" fillId="0" borderId="0">
      <protection locked="0"/>
    </xf>
    <xf numFmtId="290" fontId="11" fillId="0" borderId="0">
      <protection locked="0"/>
    </xf>
    <xf numFmtId="270" fontId="2" fillId="0" borderId="0" applyFill="0" applyBorder="0" applyAlignment="0"/>
    <xf numFmtId="252" fontId="2" fillId="0" borderId="0" applyFill="0" applyBorder="0" applyAlignment="0"/>
    <xf numFmtId="270" fontId="2" fillId="0" borderId="0" applyFill="0" applyBorder="0" applyAlignment="0"/>
    <xf numFmtId="271" fontId="2" fillId="0" borderId="0" applyFill="0" applyBorder="0" applyAlignment="0"/>
    <xf numFmtId="252" fontId="2" fillId="0" borderId="0" applyFill="0" applyBorder="0" applyAlignment="0"/>
    <xf numFmtId="0" fontId="131" fillId="42" borderId="0" applyNumberFormat="0">
      <alignment vertical="center"/>
    </xf>
    <xf numFmtId="0" fontId="123" fillId="42" borderId="0"/>
    <xf numFmtId="9" fontId="126" fillId="0" borderId="0" applyFont="0" applyFill="0" applyProtection="0"/>
    <xf numFmtId="0" fontId="5" fillId="0" borderId="0"/>
    <xf numFmtId="0" fontId="13" fillId="0" borderId="0"/>
    <xf numFmtId="0" fontId="132" fillId="42" borderId="0"/>
    <xf numFmtId="0" fontId="13" fillId="0" borderId="0"/>
    <xf numFmtId="287" fontId="5" fillId="0" borderId="0"/>
    <xf numFmtId="30" fontId="133" fillId="0" borderId="0" applyNumberFormat="0" applyFill="0" applyBorder="0" applyAlignment="0" applyProtection="0">
      <alignment horizontal="left"/>
    </xf>
    <xf numFmtId="213" fontId="18" fillId="0" borderId="0" applyNumberFormat="0" applyFill="0" applyBorder="0" applyAlignment="0" applyProtection="0">
      <alignment horizontal="left"/>
    </xf>
    <xf numFmtId="213" fontId="18" fillId="0" borderId="0" applyNumberFormat="0" applyFill="0" applyBorder="0" applyAlignment="0" applyProtection="0">
      <alignment horizontal="left"/>
    </xf>
    <xf numFmtId="213" fontId="18" fillId="0" borderId="0" applyNumberFormat="0" applyFill="0" applyBorder="0" applyAlignment="0" applyProtection="0">
      <alignment horizontal="left"/>
    </xf>
    <xf numFmtId="213" fontId="18" fillId="0" borderId="0" applyNumberFormat="0" applyFill="0" applyBorder="0" applyAlignment="0" applyProtection="0">
      <alignment horizontal="left"/>
    </xf>
    <xf numFmtId="213" fontId="18" fillId="0" borderId="0" applyNumberFormat="0" applyFill="0" applyBorder="0" applyAlignment="0" applyProtection="0">
      <alignment horizontal="left"/>
    </xf>
    <xf numFmtId="30" fontId="133" fillId="0" borderId="0" applyNumberFormat="0" applyFill="0" applyBorder="0" applyAlignment="0" applyProtection="0">
      <alignment horizontal="left"/>
    </xf>
    <xf numFmtId="30" fontId="133" fillId="0" borderId="0" applyNumberFormat="0" applyFill="0" applyBorder="0" applyAlignment="0" applyProtection="0">
      <alignment horizontal="left"/>
    </xf>
    <xf numFmtId="30" fontId="133" fillId="0" borderId="0" applyNumberFormat="0" applyFill="0" applyBorder="0" applyAlignment="0" applyProtection="0">
      <alignment horizontal="left"/>
    </xf>
    <xf numFmtId="30" fontId="133" fillId="0" borderId="0" applyNumberFormat="0" applyFill="0" applyBorder="0" applyAlignment="0" applyProtection="0">
      <alignment horizontal="left"/>
    </xf>
    <xf numFmtId="30" fontId="133" fillId="0" borderId="0" applyNumberFormat="0" applyFill="0" applyBorder="0" applyAlignment="0" applyProtection="0">
      <alignment horizontal="left"/>
    </xf>
    <xf numFmtId="30" fontId="133" fillId="0" borderId="0" applyNumberFormat="0" applyFill="0" applyBorder="0" applyAlignment="0" applyProtection="0">
      <alignment horizontal="left"/>
    </xf>
    <xf numFmtId="30" fontId="133" fillId="0" borderId="0" applyNumberFormat="0" applyFill="0" applyBorder="0" applyAlignment="0" applyProtection="0">
      <alignment horizontal="left"/>
    </xf>
    <xf numFmtId="30" fontId="133" fillId="0" borderId="0" applyNumberFormat="0" applyFill="0" applyBorder="0" applyAlignment="0" applyProtection="0">
      <alignment horizontal="left"/>
    </xf>
    <xf numFmtId="30" fontId="133" fillId="0" borderId="0" applyNumberFormat="0" applyFill="0" applyBorder="0" applyAlignment="0" applyProtection="0">
      <alignment horizontal="left"/>
    </xf>
    <xf numFmtId="30" fontId="133" fillId="0" borderId="0" applyNumberFormat="0" applyFill="0" applyBorder="0" applyAlignment="0" applyProtection="0">
      <alignment horizontal="left"/>
    </xf>
    <xf numFmtId="30" fontId="133" fillId="0" borderId="0" applyNumberFormat="0" applyFill="0" applyBorder="0" applyAlignment="0" applyProtection="0">
      <alignment horizontal="left"/>
    </xf>
    <xf numFmtId="30" fontId="133" fillId="0" borderId="0" applyNumberFormat="0" applyFill="0" applyBorder="0" applyAlignment="0" applyProtection="0">
      <alignment horizontal="left"/>
    </xf>
    <xf numFmtId="213" fontId="18" fillId="0" borderId="0" applyNumberFormat="0" applyFill="0" applyBorder="0" applyAlignment="0" applyProtection="0">
      <alignment horizontal="left"/>
    </xf>
    <xf numFmtId="213" fontId="18" fillId="0" borderId="0" applyNumberFormat="0" applyFill="0" applyBorder="0" applyAlignment="0" applyProtection="0">
      <alignment horizontal="left"/>
    </xf>
    <xf numFmtId="213" fontId="18" fillId="0" borderId="0" applyNumberFormat="0" applyFill="0" applyBorder="0" applyAlignment="0" applyProtection="0">
      <alignment horizontal="left"/>
    </xf>
    <xf numFmtId="213" fontId="18" fillId="0" borderId="0" applyNumberFormat="0" applyFill="0" applyBorder="0" applyAlignment="0" applyProtection="0">
      <alignment horizontal="left"/>
    </xf>
    <xf numFmtId="213" fontId="18" fillId="0" borderId="0" applyNumberFormat="0" applyFill="0" applyBorder="0" applyAlignment="0" applyProtection="0">
      <alignment horizontal="left"/>
    </xf>
    <xf numFmtId="38" fontId="15" fillId="0" borderId="0" applyFont="0" applyFill="0" applyBorder="0" applyAlignment="0" applyProtection="0"/>
    <xf numFmtId="49" fontId="134" fillId="42" borderId="0" applyBorder="0">
      <alignment horizontal="centerContinuous"/>
    </xf>
    <xf numFmtId="184" fontId="5" fillId="0" borderId="0" applyFont="0" applyFill="0" applyBorder="0" applyAlignment="0" applyProtection="0"/>
    <xf numFmtId="291" fontId="44" fillId="0" borderId="0">
      <alignment vertical="center"/>
    </xf>
    <xf numFmtId="0" fontId="135" fillId="0" borderId="0" applyNumberFormat="0" applyFill="0" applyBorder="0" applyAlignment="0" applyProtection="0"/>
    <xf numFmtId="292" fontId="136" fillId="0" borderId="36" applyFont="0" applyFill="0" applyBorder="0" applyAlignment="0" applyProtection="0">
      <alignment horizontal="center" vertical="center"/>
    </xf>
    <xf numFmtId="0" fontId="137" fillId="0" borderId="0">
      <alignment horizontal="centerContinuous"/>
    </xf>
    <xf numFmtId="291" fontId="44" fillId="0" borderId="0">
      <alignment vertical="distributed"/>
    </xf>
    <xf numFmtId="0" fontId="126" fillId="0" borderId="0"/>
    <xf numFmtId="0" fontId="15" fillId="0" borderId="0"/>
    <xf numFmtId="0" fontId="138" fillId="0" borderId="0">
      <alignment horizontal="center" vertical="center"/>
    </xf>
    <xf numFmtId="0" fontId="139" fillId="0" borderId="0"/>
    <xf numFmtId="0" fontId="124" fillId="0" borderId="0"/>
    <xf numFmtId="0" fontId="140" fillId="42" borderId="0" applyProtection="0">
      <alignment horizontal="centerContinuous" vertical="center"/>
      <protection hidden="1"/>
    </xf>
    <xf numFmtId="40" fontId="141" fillId="0" borderId="0" applyBorder="0">
      <alignment horizontal="right"/>
    </xf>
    <xf numFmtId="0" fontId="5" fillId="42" borderId="30" applyBorder="0">
      <alignment horizontal="center"/>
    </xf>
    <xf numFmtId="0" fontId="5" fillId="42" borderId="30" applyBorder="0">
      <alignment horizontal="center"/>
    </xf>
    <xf numFmtId="0" fontId="5" fillId="42" borderId="30" applyBorder="0">
      <alignment horizontal="center"/>
    </xf>
    <xf numFmtId="0" fontId="5" fillId="42" borderId="30" applyBorder="0">
      <alignment horizontal="center"/>
    </xf>
    <xf numFmtId="0" fontId="5" fillId="42" borderId="30" applyBorder="0">
      <alignment horizontal="center"/>
    </xf>
    <xf numFmtId="0" fontId="5" fillId="42" borderId="30" applyBorder="0">
      <alignment horizontal="center"/>
    </xf>
    <xf numFmtId="0" fontId="5" fillId="42" borderId="30" applyBorder="0">
      <alignment horizontal="center"/>
    </xf>
    <xf numFmtId="0" fontId="5" fillId="42" borderId="30" applyBorder="0">
      <alignment horizontal="center"/>
    </xf>
    <xf numFmtId="42" fontId="18" fillId="0" borderId="0" applyFont="0" applyFill="0" applyBorder="0" applyAlignment="0" applyProtection="0"/>
    <xf numFmtId="293" fontId="142" fillId="0" borderId="0">
      <alignment horizontal="center"/>
    </xf>
    <xf numFmtId="49" fontId="53" fillId="0" borderId="0" applyFill="0" applyBorder="0" applyAlignment="0"/>
    <xf numFmtId="294" fontId="2" fillId="0" borderId="0" applyFill="0" applyBorder="0" applyAlignment="0"/>
    <xf numFmtId="295" fontId="2" fillId="0" borderId="0" applyFill="0" applyBorder="0" applyAlignment="0"/>
    <xf numFmtId="0" fontId="143" fillId="42" borderId="0">
      <alignment horizontal="centerContinuous"/>
    </xf>
    <xf numFmtId="0" fontId="144" fillId="0" borderId="0" applyFill="0" applyBorder="0" applyProtection="0">
      <alignment horizontal="centerContinuous" vertical="center"/>
    </xf>
    <xf numFmtId="0" fontId="14" fillId="41" borderId="0" applyFill="0" applyBorder="0" applyProtection="0">
      <alignment horizontal="center"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3" fillId="42" borderId="0">
      <alignment horizontal="centerContinuous"/>
    </xf>
    <xf numFmtId="0" fontId="143" fillId="42" borderId="0">
      <alignment horizontal="centerContinuous"/>
    </xf>
    <xf numFmtId="0" fontId="143" fillId="42" borderId="0">
      <alignment horizontal="centerContinuous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6" fillId="42" borderId="5">
      <alignment vertical="center"/>
    </xf>
    <xf numFmtId="0" fontId="147" fillId="0" borderId="0"/>
    <xf numFmtId="296" fontId="68" fillId="0" borderId="0" applyFill="0" applyBorder="0">
      <alignment horizontal="centerContinuous"/>
    </xf>
    <xf numFmtId="243" fontId="18" fillId="0" borderId="37">
      <protection locked="0"/>
    </xf>
    <xf numFmtId="243" fontId="18" fillId="0" borderId="37">
      <protection locked="0"/>
    </xf>
    <xf numFmtId="243" fontId="18" fillId="0" borderId="37">
      <protection locked="0"/>
    </xf>
    <xf numFmtId="249" fontId="69" fillId="42" borderId="0"/>
    <xf numFmtId="49" fontId="148" fillId="42" borderId="0" applyBorder="0">
      <alignment horizontal="right"/>
    </xf>
    <xf numFmtId="0" fontId="22" fillId="0" borderId="16">
      <alignment horizontal="left"/>
    </xf>
    <xf numFmtId="297" fontId="2" fillId="0" borderId="0" applyFont="0" applyFill="0" applyBorder="0" applyAlignment="0" applyProtection="0"/>
    <xf numFmtId="210" fontId="2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49" fillId="0" borderId="0" applyNumberFormat="0" applyFill="0" applyBorder="0" applyAlignment="0" applyProtection="0">
      <alignment vertical="center"/>
    </xf>
    <xf numFmtId="0" fontId="26" fillId="0" borderId="0" applyNumberFormat="0" applyFont="0" applyFill="0" applyBorder="0" applyProtection="0">
      <alignment horizontal="center" vertical="center" wrapText="1"/>
    </xf>
    <xf numFmtId="0" fontId="150" fillId="0" borderId="0">
      <alignment horizontal="center" vertical="center"/>
    </xf>
    <xf numFmtId="0" fontId="151" fillId="0" borderId="0" applyNumberFormat="0" applyFill="0" applyBorder="0" applyAlignment="0" applyProtection="0">
      <alignment vertical="top"/>
      <protection locked="0"/>
    </xf>
    <xf numFmtId="0" fontId="152" fillId="0" borderId="0" applyNumberFormat="0" applyFill="0" applyBorder="0" applyAlignment="0" applyProtection="0">
      <alignment vertical="top"/>
      <protection locked="0"/>
    </xf>
    <xf numFmtId="0" fontId="153" fillId="0" borderId="0">
      <protection locked="0"/>
    </xf>
    <xf numFmtId="0" fontId="46" fillId="0" borderId="0" applyNumberFormat="0" applyFill="0" applyBorder="0" applyAlignment="0" applyProtection="0"/>
    <xf numFmtId="298" fontId="154" fillId="0" borderId="0" applyFont="0" applyFill="0" applyBorder="0" applyAlignment="0" applyProtection="0">
      <alignment horizontal="right"/>
    </xf>
    <xf numFmtId="0" fontId="51" fillId="2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1" fillId="2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3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56" fillId="43" borderId="18" applyNumberFormat="0" applyAlignment="0" applyProtection="0">
      <alignment vertical="center"/>
    </xf>
    <xf numFmtId="0" fontId="156" fillId="43" borderId="18" applyNumberFormat="0" applyAlignment="0" applyProtection="0">
      <alignment vertical="center"/>
    </xf>
    <xf numFmtId="0" fontId="156" fillId="43" borderId="18" applyNumberFormat="0" applyAlignment="0" applyProtection="0">
      <alignment vertical="center"/>
    </xf>
    <xf numFmtId="0" fontId="156" fillId="43" borderId="18" applyNumberFormat="0" applyAlignment="0" applyProtection="0">
      <alignment vertical="center"/>
    </xf>
    <xf numFmtId="0" fontId="156" fillId="43" borderId="18" applyNumberFormat="0" applyAlignment="0" applyProtection="0">
      <alignment vertical="center"/>
    </xf>
    <xf numFmtId="0" fontId="156" fillId="43" borderId="18" applyNumberFormat="0" applyAlignment="0" applyProtection="0">
      <alignment vertical="center"/>
    </xf>
    <xf numFmtId="0" fontId="156" fillId="43" borderId="18" applyNumberFormat="0" applyAlignment="0" applyProtection="0">
      <alignment vertical="center"/>
    </xf>
    <xf numFmtId="0" fontId="156" fillId="43" borderId="18" applyNumberFormat="0" applyAlignment="0" applyProtection="0">
      <alignment vertical="center"/>
    </xf>
    <xf numFmtId="0" fontId="156" fillId="43" borderId="18" applyNumberFormat="0" applyAlignment="0" applyProtection="0">
      <alignment vertical="center"/>
    </xf>
    <xf numFmtId="0" fontId="156" fillId="43" borderId="18" applyNumberFormat="0" applyAlignment="0" applyProtection="0">
      <alignment vertical="center"/>
    </xf>
    <xf numFmtId="0" fontId="156" fillId="43" borderId="18" applyNumberFormat="0" applyAlignment="0" applyProtection="0">
      <alignment vertical="center"/>
    </xf>
    <xf numFmtId="0" fontId="156" fillId="43" borderId="18" applyNumberFormat="0" applyAlignment="0" applyProtection="0">
      <alignment vertical="center"/>
    </xf>
    <xf numFmtId="299" fontId="11" fillId="0" borderId="0">
      <protection locked="0"/>
    </xf>
    <xf numFmtId="300" fontId="36" fillId="0" borderId="0">
      <protection locked="0"/>
    </xf>
    <xf numFmtId="299" fontId="11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157" fillId="0" borderId="0"/>
    <xf numFmtId="0" fontId="157" fillId="0" borderId="0"/>
    <xf numFmtId="0" fontId="157" fillId="0" borderId="0"/>
    <xf numFmtId="0" fontId="157" fillId="0" borderId="0"/>
    <xf numFmtId="0" fontId="44" fillId="0" borderId="0">
      <alignment vertical="center"/>
    </xf>
    <xf numFmtId="0" fontId="158" fillId="0" borderId="38" applyBorder="0">
      <alignment horizontal="distributed"/>
      <protection locked="0"/>
    </xf>
    <xf numFmtId="0" fontId="158" fillId="0" borderId="38" applyBorder="0">
      <alignment horizontal="distributed"/>
      <protection locked="0"/>
    </xf>
    <xf numFmtId="0" fontId="158" fillId="0" borderId="38" applyBorder="0">
      <alignment horizontal="distributed"/>
      <protection locked="0"/>
    </xf>
    <xf numFmtId="0" fontId="158" fillId="0" borderId="38" applyBorder="0">
      <alignment horizontal="distributed"/>
      <protection locked="0"/>
    </xf>
    <xf numFmtId="0" fontId="159" fillId="0" borderId="0" applyFill="0" applyBorder="0" applyProtection="0">
      <alignment horizontal="left" shrinkToFit="1"/>
    </xf>
    <xf numFmtId="37" fontId="17" fillId="0" borderId="39">
      <alignment horizontal="center" vertical="center"/>
    </xf>
    <xf numFmtId="37" fontId="17" fillId="0" borderId="15" applyAlignment="0"/>
    <xf numFmtId="281" fontId="160" fillId="0" borderId="0"/>
    <xf numFmtId="301" fontId="18" fillId="0" borderId="0"/>
    <xf numFmtId="281" fontId="160" fillId="0" borderId="0"/>
    <xf numFmtId="281" fontId="160" fillId="0" borderId="0"/>
    <xf numFmtId="301" fontId="18" fillId="0" borderId="0"/>
    <xf numFmtId="281" fontId="160" fillId="0" borderId="0"/>
    <xf numFmtId="281" fontId="160" fillId="0" borderId="0"/>
    <xf numFmtId="301" fontId="18" fillId="0" borderId="0"/>
    <xf numFmtId="281" fontId="160" fillId="0" borderId="0"/>
    <xf numFmtId="281" fontId="160" fillId="0" borderId="0"/>
    <xf numFmtId="301" fontId="18" fillId="0" borderId="0"/>
    <xf numFmtId="281" fontId="160" fillId="0" borderId="0"/>
    <xf numFmtId="281" fontId="160" fillId="0" borderId="0"/>
    <xf numFmtId="301" fontId="18" fillId="0" borderId="0"/>
    <xf numFmtId="281" fontId="160" fillId="0" borderId="0"/>
    <xf numFmtId="281" fontId="160" fillId="0" borderId="0"/>
    <xf numFmtId="301" fontId="18" fillId="0" borderId="0"/>
    <xf numFmtId="281" fontId="160" fillId="0" borderId="0"/>
    <xf numFmtId="281" fontId="160" fillId="0" borderId="0"/>
    <xf numFmtId="301" fontId="18" fillId="0" borderId="0"/>
    <xf numFmtId="281" fontId="160" fillId="0" borderId="0"/>
    <xf numFmtId="281" fontId="160" fillId="0" borderId="0"/>
    <xf numFmtId="301" fontId="18" fillId="0" borderId="0"/>
    <xf numFmtId="281" fontId="160" fillId="0" borderId="0"/>
    <xf numFmtId="281" fontId="160" fillId="0" borderId="0"/>
    <xf numFmtId="301" fontId="18" fillId="0" borderId="0"/>
    <xf numFmtId="281" fontId="160" fillId="0" borderId="0"/>
    <xf numFmtId="281" fontId="160" fillId="0" borderId="0"/>
    <xf numFmtId="301" fontId="18" fillId="0" borderId="0"/>
    <xf numFmtId="281" fontId="160" fillId="0" borderId="0"/>
    <xf numFmtId="281" fontId="160" fillId="0" borderId="0"/>
    <xf numFmtId="301" fontId="18" fillId="0" borderId="0"/>
    <xf numFmtId="281" fontId="160" fillId="0" borderId="0"/>
    <xf numFmtId="0" fontId="2" fillId="0" borderId="0"/>
    <xf numFmtId="302" fontId="11" fillId="0" borderId="17">
      <alignment horizontal="right" vertical="center"/>
    </xf>
    <xf numFmtId="303" fontId="161" fillId="0" borderId="17">
      <alignment horizontal="right" vertical="center"/>
    </xf>
    <xf numFmtId="302" fontId="11" fillId="0" borderId="17">
      <alignment horizontal="right" vertical="center"/>
    </xf>
    <xf numFmtId="0" fontId="18" fillId="0" borderId="0"/>
    <xf numFmtId="0" fontId="18" fillId="0" borderId="0">
      <protection locked="0"/>
    </xf>
    <xf numFmtId="0" fontId="162" fillId="10" borderId="0" applyNumberFormat="0" applyBorder="0" applyAlignment="0" applyProtection="0">
      <alignment vertical="center"/>
    </xf>
    <xf numFmtId="0" fontId="29" fillId="0" borderId="0">
      <protection locked="0"/>
    </xf>
    <xf numFmtId="0" fontId="128" fillId="0" borderId="0">
      <alignment vertical="center"/>
    </xf>
    <xf numFmtId="3" fontId="15" fillId="0" borderId="40">
      <alignment horizontal="center"/>
    </xf>
    <xf numFmtId="0" fontId="65" fillId="0" borderId="41">
      <alignment vertical="center"/>
    </xf>
    <xf numFmtId="0" fontId="65" fillId="0" borderId="41">
      <alignment vertical="center"/>
    </xf>
    <xf numFmtId="0" fontId="65" fillId="0" borderId="41">
      <alignment vertical="center"/>
    </xf>
    <xf numFmtId="0" fontId="65" fillId="0" borderId="41">
      <alignment vertical="center"/>
    </xf>
    <xf numFmtId="0" fontId="65" fillId="0" borderId="41">
      <alignment vertical="center"/>
    </xf>
    <xf numFmtId="0" fontId="65" fillId="0" borderId="41">
      <alignment vertical="center"/>
    </xf>
    <xf numFmtId="0" fontId="65" fillId="0" borderId="41">
      <alignment vertical="center"/>
    </xf>
    <xf numFmtId="0" fontId="65" fillId="0" borderId="41">
      <alignment vertical="center"/>
    </xf>
    <xf numFmtId="0" fontId="65" fillId="0" borderId="41">
      <alignment vertical="center"/>
    </xf>
    <xf numFmtId="0" fontId="65" fillId="0" borderId="41">
      <alignment vertical="center"/>
    </xf>
    <xf numFmtId="0" fontId="65" fillId="0" borderId="41">
      <alignment vertical="center"/>
    </xf>
    <xf numFmtId="0" fontId="65" fillId="0" borderId="41">
      <alignment vertical="center"/>
    </xf>
    <xf numFmtId="0" fontId="65" fillId="0" borderId="41">
      <alignment vertical="center"/>
    </xf>
    <xf numFmtId="0" fontId="65" fillId="0" borderId="41">
      <alignment vertical="center"/>
    </xf>
    <xf numFmtId="0" fontId="65" fillId="0" borderId="41">
      <alignment vertical="center"/>
    </xf>
    <xf numFmtId="0" fontId="65" fillId="0" borderId="41">
      <alignment vertical="center"/>
    </xf>
    <xf numFmtId="0" fontId="65" fillId="0" borderId="41">
      <alignment vertical="center"/>
    </xf>
    <xf numFmtId="0" fontId="65" fillId="0" borderId="41">
      <alignment vertical="center"/>
    </xf>
    <xf numFmtId="0" fontId="65" fillId="0" borderId="41">
      <alignment vertical="center"/>
    </xf>
    <xf numFmtId="0" fontId="65" fillId="0" borderId="41">
      <alignment vertical="center"/>
    </xf>
    <xf numFmtId="0" fontId="65" fillId="0" borderId="41">
      <alignment vertical="center"/>
    </xf>
    <xf numFmtId="0" fontId="65" fillId="0" borderId="41">
      <alignment vertical="center"/>
    </xf>
    <xf numFmtId="0" fontId="65" fillId="0" borderId="41">
      <alignment vertical="center"/>
    </xf>
    <xf numFmtId="0" fontId="65" fillId="0" borderId="41">
      <alignment vertical="center"/>
    </xf>
    <xf numFmtId="0" fontId="65" fillId="0" borderId="41">
      <alignment vertical="center"/>
    </xf>
    <xf numFmtId="0" fontId="65" fillId="0" borderId="41">
      <alignment vertical="center"/>
    </xf>
    <xf numFmtId="0" fontId="65" fillId="0" borderId="41">
      <alignment vertical="center"/>
    </xf>
    <xf numFmtId="0" fontId="65" fillId="0" borderId="41">
      <alignment vertical="center"/>
    </xf>
    <xf numFmtId="0" fontId="65" fillId="0" borderId="41">
      <alignment vertical="center"/>
    </xf>
    <xf numFmtId="1" fontId="42" fillId="0" borderId="1" applyFill="0" applyBorder="0">
      <alignment horizontal="center"/>
    </xf>
    <xf numFmtId="181" fontId="36" fillId="0" borderId="7" applyFont="0" applyFill="0" applyBorder="0" applyAlignment="0" applyProtection="0">
      <alignment horizontal="center" vertical="center"/>
    </xf>
    <xf numFmtId="181" fontId="36" fillId="0" borderId="7" applyFont="0" applyFill="0" applyBorder="0" applyAlignment="0" applyProtection="0">
      <alignment horizontal="center" vertical="center"/>
    </xf>
    <xf numFmtId="181" fontId="36" fillId="0" borderId="7" applyFont="0" applyFill="0" applyBorder="0" applyAlignment="0" applyProtection="0">
      <alignment horizontal="center" vertical="center"/>
    </xf>
    <xf numFmtId="181" fontId="36" fillId="0" borderId="7" applyFont="0" applyFill="0" applyBorder="0" applyAlignment="0" applyProtection="0">
      <alignment horizontal="center" vertical="center"/>
    </xf>
    <xf numFmtId="181" fontId="36" fillId="0" borderId="7" applyFont="0" applyFill="0" applyBorder="0" applyAlignment="0" applyProtection="0">
      <alignment horizontal="center" vertical="center"/>
    </xf>
    <xf numFmtId="181" fontId="36" fillId="0" borderId="7" applyFont="0" applyFill="0" applyBorder="0" applyAlignment="0" applyProtection="0">
      <alignment horizontal="center" vertical="center"/>
    </xf>
    <xf numFmtId="181" fontId="36" fillId="0" borderId="7" applyFont="0" applyFill="0" applyBorder="0" applyAlignment="0" applyProtection="0">
      <alignment horizontal="center" vertical="center"/>
    </xf>
    <xf numFmtId="181" fontId="36" fillId="0" borderId="7" applyFont="0" applyFill="0" applyBorder="0" applyAlignment="0" applyProtection="0">
      <alignment horizontal="center" vertical="center"/>
    </xf>
    <xf numFmtId="181" fontId="36" fillId="0" borderId="7" applyFont="0" applyFill="0" applyBorder="0" applyAlignment="0" applyProtection="0">
      <alignment horizontal="center" vertical="center"/>
    </xf>
    <xf numFmtId="181" fontId="36" fillId="0" borderId="7" applyFont="0" applyFill="0" applyBorder="0" applyAlignment="0" applyProtection="0">
      <alignment horizontal="center" vertical="center"/>
    </xf>
    <xf numFmtId="181" fontId="36" fillId="0" borderId="7" applyFont="0" applyFill="0" applyBorder="0" applyAlignment="0" applyProtection="0">
      <alignment horizontal="center" vertical="center"/>
    </xf>
    <xf numFmtId="181" fontId="36" fillId="0" borderId="7" applyFont="0" applyFill="0" applyBorder="0" applyAlignment="0" applyProtection="0">
      <alignment horizontal="center" vertical="center"/>
    </xf>
    <xf numFmtId="181" fontId="36" fillId="0" borderId="7" applyFont="0" applyFill="0" applyBorder="0" applyAlignment="0" applyProtection="0">
      <alignment horizontal="center" vertical="center"/>
    </xf>
    <xf numFmtId="181" fontId="36" fillId="0" borderId="7" applyFont="0" applyFill="0" applyBorder="0" applyAlignment="0" applyProtection="0">
      <alignment horizontal="center" vertical="center"/>
    </xf>
    <xf numFmtId="181" fontId="36" fillId="0" borderId="7" applyFont="0" applyFill="0" applyBorder="0" applyAlignment="0" applyProtection="0">
      <alignment horizontal="center" vertical="center"/>
    </xf>
    <xf numFmtId="181" fontId="36" fillId="0" borderId="7" applyFont="0" applyFill="0" applyBorder="0" applyAlignment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0" fontId="163" fillId="0" borderId="17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" fontId="6" fillId="0" borderId="9" applyNumberFormat="0" applyFill="0" applyBorder="0" applyProtection="0">
      <alignment horizontal="center" vertical="center"/>
    </xf>
    <xf numFmtId="304" fontId="18" fillId="0" borderId="0" applyFill="0" applyBorder="0">
      <alignment horizontal="center" vertical="center"/>
    </xf>
    <xf numFmtId="181" fontId="18" fillId="0" borderId="42" applyFill="0" applyBorder="0">
      <alignment horizontal="center" vertical="center"/>
      <protection locked="0"/>
    </xf>
    <xf numFmtId="181" fontId="18" fillId="0" borderId="42" applyFill="0" applyBorder="0">
      <alignment horizontal="center" vertical="center"/>
      <protection locked="0"/>
    </xf>
    <xf numFmtId="181" fontId="18" fillId="0" borderId="42" applyFill="0" applyBorder="0">
      <alignment horizontal="center" vertical="center"/>
      <protection locked="0"/>
    </xf>
    <xf numFmtId="181" fontId="18" fillId="0" borderId="42" applyFill="0" applyBorder="0">
      <alignment horizontal="center" vertical="center"/>
      <protection locked="0"/>
    </xf>
    <xf numFmtId="208" fontId="18" fillId="0" borderId="43" applyFill="0" applyBorder="0">
      <alignment horizontal="center"/>
      <protection locked="0"/>
    </xf>
    <xf numFmtId="208" fontId="18" fillId="0" borderId="43" applyFill="0" applyBorder="0">
      <alignment horizontal="center"/>
      <protection locked="0"/>
    </xf>
    <xf numFmtId="208" fontId="18" fillId="0" borderId="43" applyFill="0" applyBorder="0">
      <alignment horizontal="center"/>
      <protection locked="0"/>
    </xf>
    <xf numFmtId="208" fontId="18" fillId="0" borderId="43" applyFill="0" applyBorder="0">
      <alignment horizontal="center"/>
      <protection locked="0"/>
    </xf>
    <xf numFmtId="305" fontId="18" fillId="0" borderId="43" applyFill="0" applyBorder="0">
      <alignment horizontal="center"/>
      <protection locked="0"/>
    </xf>
    <xf numFmtId="305" fontId="18" fillId="0" borderId="43" applyFill="0" applyBorder="0">
      <alignment horizontal="center"/>
      <protection locked="0"/>
    </xf>
    <xf numFmtId="305" fontId="18" fillId="0" borderId="43" applyFill="0" applyBorder="0">
      <alignment horizontal="center"/>
      <protection locked="0"/>
    </xf>
    <xf numFmtId="305" fontId="18" fillId="0" borderId="43" applyFill="0" applyBorder="0">
      <alignment horizontal="center"/>
      <protection locked="0"/>
    </xf>
    <xf numFmtId="306" fontId="18" fillId="0" borderId="44">
      <alignment horizontal="center"/>
      <protection locked="0"/>
    </xf>
    <xf numFmtId="187" fontId="18" fillId="0" borderId="44">
      <alignment horizontal="center"/>
      <protection locked="0"/>
    </xf>
    <xf numFmtId="306" fontId="18" fillId="0" borderId="44">
      <alignment horizontal="center"/>
      <protection locked="0"/>
    </xf>
    <xf numFmtId="243" fontId="18" fillId="0" borderId="44">
      <alignment horizontal="center"/>
      <protection locked="0"/>
    </xf>
    <xf numFmtId="188" fontId="18" fillId="0" borderId="6" applyFill="0" applyBorder="0">
      <alignment horizontal="center" vertical="center"/>
      <protection locked="0"/>
    </xf>
    <xf numFmtId="188" fontId="18" fillId="0" borderId="6" applyFill="0" applyBorder="0">
      <alignment horizontal="center" vertical="center"/>
      <protection locked="0"/>
    </xf>
    <xf numFmtId="188" fontId="18" fillId="0" borderId="6" applyFill="0" applyBorder="0">
      <alignment horizontal="center" vertical="center"/>
      <protection locked="0"/>
    </xf>
    <xf numFmtId="188" fontId="18" fillId="0" borderId="6" applyFill="0" applyBorder="0">
      <alignment horizontal="center" vertical="center"/>
      <protection locked="0"/>
    </xf>
    <xf numFmtId="188" fontId="18" fillId="0" borderId="6" applyFill="0" applyBorder="0">
      <alignment horizontal="center" vertical="center"/>
      <protection locked="0"/>
    </xf>
    <xf numFmtId="188" fontId="18" fillId="0" borderId="6" applyFill="0" applyBorder="0">
      <alignment horizontal="center" vertical="center"/>
      <protection locked="0"/>
    </xf>
    <xf numFmtId="188" fontId="18" fillId="0" borderId="6" applyFill="0" applyBorder="0">
      <alignment horizontal="center" vertical="center"/>
      <protection locked="0"/>
    </xf>
    <xf numFmtId="188" fontId="18" fillId="0" borderId="6" applyFill="0" applyBorder="0">
      <alignment horizontal="center" vertical="center"/>
      <protection locked="0"/>
    </xf>
    <xf numFmtId="188" fontId="18" fillId="0" borderId="6" applyFill="0" applyBorder="0">
      <alignment horizontal="center" vertical="center"/>
      <protection locked="0"/>
    </xf>
    <xf numFmtId="188" fontId="18" fillId="0" borderId="6" applyFill="0" applyBorder="0">
      <alignment horizontal="center" vertical="center"/>
      <protection locked="0"/>
    </xf>
    <xf numFmtId="188" fontId="18" fillId="0" borderId="6" applyFill="0" applyBorder="0">
      <alignment horizontal="center" vertical="center"/>
      <protection locked="0"/>
    </xf>
    <xf numFmtId="188" fontId="18" fillId="0" borderId="6" applyFill="0" applyBorder="0">
      <alignment horizontal="center" vertical="center"/>
      <protection locked="0"/>
    </xf>
    <xf numFmtId="188" fontId="18" fillId="0" borderId="6" applyFill="0" applyBorder="0">
      <alignment horizontal="center" vertical="center"/>
      <protection locked="0"/>
    </xf>
    <xf numFmtId="188" fontId="18" fillId="0" borderId="6" applyFill="0" applyBorder="0">
      <alignment horizontal="center" vertical="center"/>
      <protection locked="0"/>
    </xf>
    <xf numFmtId="0" fontId="29" fillId="0" borderId="0">
      <protection locked="0"/>
    </xf>
    <xf numFmtId="0" fontId="164" fillId="0" borderId="0" applyProtection="0"/>
    <xf numFmtId="0" fontId="106" fillId="0" borderId="0" applyNumberFormat="0" applyFill="0" applyBorder="0" applyAlignment="0" applyProtection="0">
      <alignment vertical="top"/>
      <protection locked="0"/>
    </xf>
    <xf numFmtId="40" fontId="165" fillId="0" borderId="0" applyFont="0" applyFill="0" applyBorder="0" applyAlignment="0" applyProtection="0"/>
    <xf numFmtId="38" fontId="16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307" fontId="166" fillId="0" borderId="45">
      <alignment horizontal="center" vertical="center"/>
    </xf>
    <xf numFmtId="199" fontId="7" fillId="0" borderId="24">
      <alignment vertical="center"/>
    </xf>
    <xf numFmtId="0" fontId="4" fillId="55" borderId="29" applyNumberFormat="0" applyFont="0" applyAlignment="0" applyProtection="0">
      <alignment vertical="center"/>
    </xf>
    <xf numFmtId="0" fontId="18" fillId="55" borderId="29" applyNumberFormat="0" applyFont="0" applyAlignment="0" applyProtection="0">
      <alignment vertical="center"/>
    </xf>
    <xf numFmtId="0" fontId="18" fillId="55" borderId="29" applyNumberFormat="0" applyFont="0" applyAlignment="0" applyProtection="0">
      <alignment vertical="center"/>
    </xf>
    <xf numFmtId="0" fontId="18" fillId="55" borderId="29" applyNumberFormat="0" applyFont="0" applyAlignment="0" applyProtection="0">
      <alignment vertical="center"/>
    </xf>
    <xf numFmtId="0" fontId="18" fillId="55" borderId="29" applyNumberFormat="0" applyFont="0" applyAlignment="0" applyProtection="0">
      <alignment vertical="center"/>
    </xf>
    <xf numFmtId="0" fontId="18" fillId="55" borderId="29" applyNumberFormat="0" applyFont="0" applyAlignment="0" applyProtection="0">
      <alignment vertical="center"/>
    </xf>
    <xf numFmtId="0" fontId="18" fillId="55" borderId="29" applyNumberFormat="0" applyFont="0" applyAlignment="0" applyProtection="0">
      <alignment vertical="center"/>
    </xf>
    <xf numFmtId="0" fontId="18" fillId="55" borderId="29" applyNumberFormat="0" applyFont="0" applyAlignment="0" applyProtection="0">
      <alignment vertical="center"/>
    </xf>
    <xf numFmtId="0" fontId="18" fillId="55" borderId="29" applyNumberFormat="0" applyFont="0" applyAlignment="0" applyProtection="0">
      <alignment vertical="center"/>
    </xf>
    <xf numFmtId="0" fontId="18" fillId="55" borderId="29" applyNumberFormat="0" applyFont="0" applyAlignment="0" applyProtection="0">
      <alignment vertical="center"/>
    </xf>
    <xf numFmtId="0" fontId="18" fillId="55" borderId="29" applyNumberFormat="0" applyFont="0" applyAlignment="0" applyProtection="0">
      <alignment vertical="center"/>
    </xf>
    <xf numFmtId="0" fontId="18" fillId="55" borderId="29" applyNumberFormat="0" applyFont="0" applyAlignment="0" applyProtection="0">
      <alignment vertical="center"/>
    </xf>
    <xf numFmtId="0" fontId="18" fillId="55" borderId="29" applyNumberFormat="0" applyFont="0" applyAlignment="0" applyProtection="0">
      <alignment vertical="center"/>
    </xf>
    <xf numFmtId="0" fontId="18" fillId="55" borderId="29" applyNumberFormat="0" applyFont="0" applyAlignment="0" applyProtection="0">
      <alignment vertical="center"/>
    </xf>
    <xf numFmtId="0" fontId="18" fillId="55" borderId="29" applyNumberFormat="0" applyFont="0" applyAlignment="0" applyProtection="0">
      <alignment vertical="center"/>
    </xf>
    <xf numFmtId="0" fontId="4" fillId="55" borderId="29" applyNumberFormat="0" applyFont="0" applyAlignment="0" applyProtection="0">
      <alignment vertical="center"/>
    </xf>
    <xf numFmtId="0" fontId="165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41" fontId="44" fillId="0" borderId="1" applyNumberFormat="0" applyFont="0" applyFill="0" applyBorder="0" applyProtection="0">
      <alignment horizontal="distributed" vertical="center"/>
    </xf>
    <xf numFmtId="0" fontId="44" fillId="0" borderId="0" applyNumberFormat="0" applyFont="0" applyFill="0" applyBorder="0" applyProtection="0">
      <alignment horizontal="distributed" vertical="center" justifyLastLine="1"/>
    </xf>
    <xf numFmtId="0" fontId="44" fillId="0" borderId="0" applyNumberFormat="0" applyFont="0" applyFill="0" applyBorder="0" applyProtection="0">
      <alignment horizontal="distributed" vertical="center" justifyLastLine="1"/>
    </xf>
    <xf numFmtId="0" fontId="44" fillId="0" borderId="0" applyNumberFormat="0" applyFont="0" applyFill="0" applyBorder="0" applyProtection="0">
      <alignment horizontal="distributed" vertical="center"/>
    </xf>
    <xf numFmtId="41" fontId="44" fillId="0" borderId="1" applyNumberFormat="0" applyFont="0" applyFill="0" applyBorder="0" applyProtection="0">
      <alignment horizontal="distributed" vertical="center"/>
    </xf>
    <xf numFmtId="0" fontId="44" fillId="0" borderId="0" applyNumberFormat="0" applyFont="0" applyFill="0" applyBorder="0" applyProtection="0">
      <alignment horizontal="distributed" vertical="center" justifyLastLine="1"/>
    </xf>
    <xf numFmtId="41" fontId="44" fillId="0" borderId="1" applyNumberFormat="0" applyFont="0" applyFill="0" applyBorder="0" applyProtection="0">
      <alignment horizontal="distributed" vertical="center"/>
    </xf>
    <xf numFmtId="41" fontId="44" fillId="0" borderId="1" applyNumberFormat="0" applyFont="0" applyFill="0" applyBorder="0" applyProtection="0">
      <alignment horizontal="distributed" vertical="center"/>
    </xf>
    <xf numFmtId="41" fontId="44" fillId="0" borderId="1" applyNumberFormat="0" applyFont="0" applyFill="0" applyBorder="0" applyProtection="0">
      <alignment horizontal="distributed" vertical="center"/>
    </xf>
    <xf numFmtId="41" fontId="44" fillId="0" borderId="1" applyNumberFormat="0" applyFont="0" applyFill="0" applyBorder="0" applyProtection="0">
      <alignment horizontal="distributed" vertical="center"/>
    </xf>
    <xf numFmtId="41" fontId="44" fillId="0" borderId="1" applyNumberFormat="0" applyFont="0" applyFill="0" applyBorder="0" applyProtection="0">
      <alignment horizontal="distributed" vertical="center"/>
    </xf>
    <xf numFmtId="41" fontId="44" fillId="0" borderId="1" applyNumberFormat="0" applyFont="0" applyFill="0" applyBorder="0" applyProtection="0">
      <alignment horizontal="distributed" vertical="center"/>
    </xf>
    <xf numFmtId="41" fontId="44" fillId="0" borderId="1" applyNumberFormat="0" applyFont="0" applyFill="0" applyBorder="0" applyProtection="0">
      <alignment horizontal="distributed" vertical="center"/>
    </xf>
    <xf numFmtId="41" fontId="44" fillId="0" borderId="1" applyNumberFormat="0" applyFont="0" applyFill="0" applyBorder="0" applyProtection="0">
      <alignment horizontal="distributed" vertical="center"/>
    </xf>
    <xf numFmtId="41" fontId="44" fillId="0" borderId="1" applyNumberFormat="0" applyFont="0" applyFill="0" applyBorder="0" applyProtection="0">
      <alignment horizontal="distributed" vertical="center"/>
    </xf>
    <xf numFmtId="41" fontId="44" fillId="0" borderId="1" applyNumberFormat="0" applyFont="0" applyFill="0" applyBorder="0" applyProtection="0">
      <alignment horizontal="distributed" vertical="center"/>
    </xf>
    <xf numFmtId="41" fontId="44" fillId="0" borderId="1" applyNumberFormat="0" applyFont="0" applyFill="0" applyBorder="0" applyProtection="0">
      <alignment horizontal="distributed" vertical="center"/>
    </xf>
    <xf numFmtId="41" fontId="44" fillId="0" borderId="1" applyNumberFormat="0" applyFont="0" applyFill="0" applyBorder="0" applyProtection="0">
      <alignment horizontal="distributed" vertical="center"/>
    </xf>
    <xf numFmtId="0" fontId="44" fillId="0" borderId="0" applyNumberFormat="0" applyFont="0" applyFill="0" applyBorder="0" applyProtection="0">
      <alignment horizontal="distributed" vertical="center" justifyLastLine="1"/>
    </xf>
    <xf numFmtId="0" fontId="44" fillId="0" borderId="0" applyNumberFormat="0" applyFont="0" applyFill="0" applyBorder="0" applyProtection="0">
      <alignment horizontal="distributed" vertical="center" justifyLastLine="1"/>
    </xf>
    <xf numFmtId="0" fontId="44" fillId="0" borderId="0" applyNumberFormat="0" applyFont="0" applyFill="0" applyBorder="0" applyProtection="0">
      <alignment horizontal="distributed" vertical="center" justifyLastLine="1"/>
    </xf>
    <xf numFmtId="0" fontId="44" fillId="0" borderId="0" applyNumberFormat="0" applyFont="0" applyFill="0" applyBorder="0" applyProtection="0">
      <alignment horizontal="distributed" vertical="center" justifyLastLine="1"/>
    </xf>
    <xf numFmtId="10" fontId="36" fillId="0" borderId="0">
      <alignment vertical="center"/>
    </xf>
    <xf numFmtId="37" fontId="29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306" fontId="18" fillId="0" borderId="0">
      <protection locked="0"/>
    </xf>
    <xf numFmtId="37" fontId="29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308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192" fontId="45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192" fontId="45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0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9" fontId="18" fillId="0" borderId="0" applyFont="0" applyFill="0" applyBorder="0" applyProtection="0">
      <alignment horizontal="center" vertical="center"/>
    </xf>
    <xf numFmtId="222" fontId="11" fillId="0" borderId="0" applyFont="0" applyFill="0" applyBorder="0" applyProtection="0">
      <alignment horizontal="center" vertical="center"/>
    </xf>
    <xf numFmtId="222" fontId="11" fillId="0" borderId="0" applyFont="0" applyFill="0" applyBorder="0" applyProtection="0">
      <alignment horizontal="center" vertical="center"/>
    </xf>
    <xf numFmtId="222" fontId="11" fillId="0" borderId="0" applyFont="0" applyFill="0" applyBorder="0" applyProtection="0">
      <alignment horizontal="center" vertical="center"/>
    </xf>
    <xf numFmtId="222" fontId="11" fillId="0" borderId="0" applyFont="0" applyFill="0" applyBorder="0" applyProtection="0">
      <alignment horizontal="center" vertical="center"/>
    </xf>
    <xf numFmtId="222" fontId="11" fillId="0" borderId="0" applyFont="0" applyFill="0" applyBorder="0" applyProtection="0">
      <alignment horizontal="center" vertical="center"/>
    </xf>
    <xf numFmtId="222" fontId="11" fillId="0" borderId="0" applyFont="0" applyFill="0" applyBorder="0" applyProtection="0">
      <alignment horizontal="center" vertical="center"/>
    </xf>
    <xf numFmtId="222" fontId="11" fillId="0" borderId="0" applyFont="0" applyFill="0" applyBorder="0" applyProtection="0">
      <alignment horizontal="center" vertical="center"/>
    </xf>
    <xf numFmtId="222" fontId="11" fillId="0" borderId="0" applyFont="0" applyFill="0" applyBorder="0" applyProtection="0">
      <alignment horizontal="center" vertical="center"/>
    </xf>
    <xf numFmtId="222" fontId="11" fillId="0" borderId="0" applyFont="0" applyFill="0" applyBorder="0" applyProtection="0">
      <alignment horizontal="center" vertical="center"/>
    </xf>
    <xf numFmtId="222" fontId="11" fillId="0" borderId="0" applyFont="0" applyFill="0" applyBorder="0" applyProtection="0">
      <alignment horizontal="center" vertical="center"/>
    </xf>
    <xf numFmtId="310" fontId="18" fillId="0" borderId="0" applyFont="0" applyFill="0" applyBorder="0" applyProtection="0">
      <alignment horizontal="center" vertical="center"/>
    </xf>
    <xf numFmtId="311" fontId="11" fillId="0" borderId="0" applyFont="0" applyFill="0" applyBorder="0" applyProtection="0">
      <alignment horizontal="center" vertical="center"/>
    </xf>
    <xf numFmtId="311" fontId="11" fillId="0" borderId="0" applyFont="0" applyFill="0" applyBorder="0" applyProtection="0">
      <alignment horizontal="center" vertical="center"/>
    </xf>
    <xf numFmtId="311" fontId="11" fillId="0" borderId="0" applyFont="0" applyFill="0" applyBorder="0" applyProtection="0">
      <alignment horizontal="center" vertical="center"/>
    </xf>
    <xf numFmtId="311" fontId="11" fillId="0" borderId="0" applyFont="0" applyFill="0" applyBorder="0" applyProtection="0">
      <alignment horizontal="center" vertical="center"/>
    </xf>
    <xf numFmtId="311" fontId="11" fillId="0" borderId="0" applyFont="0" applyFill="0" applyBorder="0" applyProtection="0">
      <alignment horizontal="center" vertical="center"/>
    </xf>
    <xf numFmtId="311" fontId="11" fillId="0" borderId="0" applyFont="0" applyFill="0" applyBorder="0" applyProtection="0">
      <alignment horizontal="center" vertical="center"/>
    </xf>
    <xf numFmtId="311" fontId="11" fillId="0" borderId="0" applyFont="0" applyFill="0" applyBorder="0" applyProtection="0">
      <alignment horizontal="center" vertical="center"/>
    </xf>
    <xf numFmtId="311" fontId="11" fillId="0" borderId="0" applyFont="0" applyFill="0" applyBorder="0" applyProtection="0">
      <alignment horizontal="center" vertical="center"/>
    </xf>
    <xf numFmtId="311" fontId="11" fillId="0" borderId="0" applyFont="0" applyFill="0" applyBorder="0" applyProtection="0">
      <alignment horizontal="center" vertical="center"/>
    </xf>
    <xf numFmtId="311" fontId="11" fillId="0" borderId="0" applyFont="0" applyFill="0" applyBorder="0" applyProtection="0">
      <alignment horizontal="center" vertical="center"/>
    </xf>
    <xf numFmtId="9" fontId="42" fillId="41" borderId="0" applyFill="0" applyBorder="0" applyProtection="0">
      <alignment horizontal="right"/>
    </xf>
    <xf numFmtId="10" fontId="42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/>
    <xf numFmtId="9" fontId="3" fillId="0" borderId="0"/>
    <xf numFmtId="9" fontId="3" fillId="0" borderId="0"/>
    <xf numFmtId="9" fontId="48" fillId="0" borderId="0" applyFont="0" applyFill="0" applyBorder="0" applyAlignment="0" applyProtection="0">
      <alignment vertical="center"/>
    </xf>
    <xf numFmtId="9" fontId="3" fillId="0" borderId="0"/>
    <xf numFmtId="9" fontId="3" fillId="0" borderId="0"/>
    <xf numFmtId="9" fontId="3" fillId="0" borderId="0"/>
    <xf numFmtId="9" fontId="3" fillId="0" borderId="0"/>
    <xf numFmtId="13" fontId="5" fillId="0" borderId="0" applyFont="0" applyFill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2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2" fillId="0" borderId="0" applyFont="0" applyFill="0" applyBorder="0" applyAlignment="0" applyProtection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/>
    <xf numFmtId="9" fontId="18" fillId="0" borderId="0" applyFont="0" applyFill="0" applyBorder="0" applyAlignment="0" applyProtection="0">
      <alignment vertical="center"/>
    </xf>
    <xf numFmtId="312" fontId="18" fillId="0" borderId="0" applyFont="0" applyFill="0" applyBorder="0" applyAlignment="0" applyProtection="0"/>
    <xf numFmtId="312" fontId="18" fillId="0" borderId="0" applyFont="0" applyFill="0" applyBorder="0" applyAlignment="0" applyProtection="0"/>
    <xf numFmtId="312" fontId="18" fillId="0" borderId="0" applyFont="0" applyFill="0" applyBorder="0" applyAlignment="0" applyProtection="0"/>
    <xf numFmtId="312" fontId="18" fillId="0" borderId="0" applyFont="0" applyFill="0" applyBorder="0" applyAlignment="0" applyProtection="0"/>
    <xf numFmtId="312" fontId="18" fillId="0" borderId="0" applyFont="0" applyFill="0" applyBorder="0" applyAlignment="0" applyProtection="0"/>
    <xf numFmtId="312" fontId="18" fillId="0" borderId="0" applyFont="0" applyFill="0" applyBorder="0" applyAlignment="0" applyProtection="0"/>
    <xf numFmtId="312" fontId="18" fillId="0" borderId="0" applyFont="0" applyFill="0" applyBorder="0" applyAlignment="0" applyProtection="0"/>
    <xf numFmtId="312" fontId="18" fillId="0" borderId="0" applyFont="0" applyFill="0" applyBorder="0" applyAlignment="0" applyProtection="0"/>
    <xf numFmtId="312" fontId="18" fillId="0" borderId="0" applyFont="0" applyFill="0" applyBorder="0" applyAlignment="0" applyProtection="0"/>
    <xf numFmtId="312" fontId="18" fillId="0" borderId="0" applyFont="0" applyFill="0" applyBorder="0" applyAlignment="0" applyProtection="0"/>
    <xf numFmtId="312" fontId="18" fillId="0" borderId="0" applyFont="0" applyFill="0" applyBorder="0" applyAlignment="0" applyProtection="0"/>
    <xf numFmtId="196" fontId="44" fillId="0" borderId="0" applyFont="0" applyFill="0" applyBorder="0" applyAlignment="0" applyProtection="0"/>
    <xf numFmtId="196" fontId="44" fillId="0" borderId="0" applyFont="0" applyFill="0" applyBorder="0" applyAlignment="0" applyProtection="0"/>
    <xf numFmtId="196" fontId="44" fillId="0" borderId="0" applyFont="0" applyFill="0" applyBorder="0" applyAlignment="0" applyProtection="0"/>
    <xf numFmtId="196" fontId="44" fillId="0" borderId="0" applyFont="0" applyFill="0" applyBorder="0" applyAlignment="0" applyProtection="0"/>
    <xf numFmtId="196" fontId="44" fillId="0" borderId="0" applyFont="0" applyFill="0" applyBorder="0" applyAlignment="0" applyProtection="0"/>
    <xf numFmtId="196" fontId="44" fillId="0" borderId="0" applyFont="0" applyFill="0" applyBorder="0" applyAlignment="0" applyProtection="0"/>
    <xf numFmtId="196" fontId="44" fillId="0" borderId="0" applyFont="0" applyFill="0" applyBorder="0" applyAlignment="0" applyProtection="0"/>
    <xf numFmtId="196" fontId="44" fillId="0" borderId="0" applyFont="0" applyFill="0" applyBorder="0" applyAlignment="0" applyProtection="0"/>
    <xf numFmtId="196" fontId="44" fillId="0" borderId="0" applyFont="0" applyFill="0" applyBorder="0" applyAlignment="0" applyProtection="0"/>
    <xf numFmtId="196" fontId="44" fillId="0" borderId="0" applyFont="0" applyFill="0" applyBorder="0" applyAlignment="0" applyProtection="0"/>
    <xf numFmtId="196" fontId="44" fillId="0" borderId="0" applyFont="0" applyFill="0" applyBorder="0" applyAlignment="0" applyProtection="0"/>
    <xf numFmtId="0" fontId="11" fillId="0" borderId="46"/>
    <xf numFmtId="0" fontId="167" fillId="0" borderId="0"/>
    <xf numFmtId="0" fontId="168" fillId="54" borderId="0" applyNumberFormat="0" applyBorder="0" applyAlignment="0" applyProtection="0">
      <alignment vertical="center"/>
    </xf>
    <xf numFmtId="0" fontId="18" fillId="0" borderId="9">
      <alignment horizontal="center" vertical="center"/>
    </xf>
    <xf numFmtId="0" fontId="18" fillId="0" borderId="9">
      <alignment horizontal="center" vertical="center"/>
    </xf>
    <xf numFmtId="0" fontId="18" fillId="0" borderId="9">
      <alignment horizontal="center" vertical="center"/>
    </xf>
    <xf numFmtId="0" fontId="18" fillId="0" borderId="9">
      <alignment horizontal="center" vertical="center"/>
    </xf>
    <xf numFmtId="0" fontId="18" fillId="0" borderId="9">
      <alignment horizontal="center" vertical="center"/>
    </xf>
    <xf numFmtId="0" fontId="18" fillId="0" borderId="9">
      <alignment horizontal="center" vertical="center"/>
    </xf>
    <xf numFmtId="0" fontId="18" fillId="0" borderId="9">
      <alignment horizontal="center" vertical="center"/>
    </xf>
    <xf numFmtId="0" fontId="18" fillId="0" borderId="9">
      <alignment horizontal="center" vertical="center"/>
    </xf>
    <xf numFmtId="0" fontId="18" fillId="0" borderId="9">
      <alignment horizontal="center" vertical="center"/>
    </xf>
    <xf numFmtId="0" fontId="18" fillId="0" borderId="9">
      <alignment horizontal="center" vertical="center"/>
    </xf>
    <xf numFmtId="0" fontId="18" fillId="0" borderId="9">
      <alignment horizontal="center" vertical="center"/>
    </xf>
    <xf numFmtId="0" fontId="18" fillId="0" borderId="9">
      <alignment horizontal="center" vertical="center"/>
    </xf>
    <xf numFmtId="0" fontId="18" fillId="0" borderId="9">
      <alignment horizontal="center" vertical="center"/>
    </xf>
    <xf numFmtId="0" fontId="18" fillId="0" borderId="9">
      <alignment horizontal="center" vertical="center"/>
    </xf>
    <xf numFmtId="0" fontId="18" fillId="0" borderId="9">
      <alignment horizontal="center" vertical="center"/>
    </xf>
    <xf numFmtId="0" fontId="18" fillId="0" borderId="9">
      <alignment horizontal="center" vertical="center"/>
    </xf>
    <xf numFmtId="0" fontId="18" fillId="0" borderId="9">
      <alignment horizontal="center" vertical="center"/>
    </xf>
    <xf numFmtId="0" fontId="18" fillId="0" borderId="9">
      <alignment horizontal="center" vertical="center"/>
    </xf>
    <xf numFmtId="0" fontId="18" fillId="0" borderId="9">
      <alignment horizontal="center" vertical="center"/>
    </xf>
    <xf numFmtId="0" fontId="18" fillId="0" borderId="9">
      <alignment horizontal="center" vertical="center"/>
    </xf>
    <xf numFmtId="0" fontId="18" fillId="0" borderId="9">
      <alignment horizontal="center" vertical="center"/>
    </xf>
    <xf numFmtId="0" fontId="18" fillId="0" borderId="9">
      <alignment horizontal="center" vertical="center"/>
    </xf>
    <xf numFmtId="0" fontId="18" fillId="0" borderId="9">
      <alignment horizontal="center" vertical="center"/>
    </xf>
    <xf numFmtId="0" fontId="18" fillId="0" borderId="9">
      <alignment horizontal="center" vertical="center"/>
    </xf>
    <xf numFmtId="0" fontId="18" fillId="0" borderId="9">
      <alignment horizontal="center" vertical="center"/>
    </xf>
    <xf numFmtId="0" fontId="18" fillId="0" borderId="9">
      <alignment horizontal="center" vertical="center"/>
    </xf>
    <xf numFmtId="0" fontId="18" fillId="0" borderId="9">
      <alignment horizontal="center" vertical="center"/>
    </xf>
    <xf numFmtId="0" fontId="18" fillId="0" borderId="9">
      <alignment horizontal="center" vertical="center"/>
    </xf>
    <xf numFmtId="0" fontId="18" fillId="0" borderId="9">
      <alignment horizontal="center" vertical="center"/>
    </xf>
    <xf numFmtId="313" fontId="169" fillId="0" borderId="9" applyFont="0" applyFill="0" applyAlignment="0" applyProtection="0">
      <alignment horizontal="center" vertical="center"/>
    </xf>
    <xf numFmtId="313" fontId="169" fillId="0" borderId="9" applyFont="0" applyFill="0" applyAlignment="0" applyProtection="0">
      <alignment horizontal="center" vertical="center"/>
    </xf>
    <xf numFmtId="313" fontId="169" fillId="0" borderId="9" applyFont="0" applyFill="0" applyAlignment="0" applyProtection="0">
      <alignment horizontal="center" vertical="center"/>
    </xf>
    <xf numFmtId="313" fontId="169" fillId="0" borderId="9" applyFont="0" applyFill="0" applyAlignment="0" applyProtection="0">
      <alignment horizontal="center" vertical="center"/>
    </xf>
    <xf numFmtId="313" fontId="169" fillId="0" borderId="9" applyFont="0" applyFill="0" applyAlignment="0" applyProtection="0">
      <alignment horizontal="center" vertical="center"/>
    </xf>
    <xf numFmtId="313" fontId="169" fillId="0" borderId="9" applyFont="0" applyFill="0" applyAlignment="0" applyProtection="0">
      <alignment horizontal="center" vertical="center"/>
    </xf>
    <xf numFmtId="313" fontId="169" fillId="0" borderId="9" applyFont="0" applyFill="0" applyAlignment="0" applyProtection="0">
      <alignment horizontal="center" vertical="center"/>
    </xf>
    <xf numFmtId="313" fontId="169" fillId="0" borderId="9" applyFont="0" applyFill="0" applyAlignment="0" applyProtection="0">
      <alignment horizontal="center" vertical="center"/>
    </xf>
    <xf numFmtId="313" fontId="169" fillId="0" borderId="9" applyFont="0" applyFill="0" applyAlignment="0" applyProtection="0">
      <alignment horizontal="center" vertical="center"/>
    </xf>
    <xf numFmtId="313" fontId="169" fillId="0" borderId="9" applyFont="0" applyFill="0" applyAlignment="0" applyProtection="0">
      <alignment horizontal="center" vertical="center"/>
    </xf>
    <xf numFmtId="313" fontId="169" fillId="0" borderId="9" applyFont="0" applyFill="0" applyAlignment="0" applyProtection="0">
      <alignment horizontal="center" vertical="center"/>
    </xf>
    <xf numFmtId="313" fontId="169" fillId="0" borderId="9" applyFont="0" applyFill="0" applyAlignment="0" applyProtection="0">
      <alignment horizontal="center" vertical="center"/>
    </xf>
    <xf numFmtId="313" fontId="169" fillId="0" borderId="9" applyFont="0" applyFill="0" applyAlignment="0" applyProtection="0">
      <alignment horizontal="center" vertical="center"/>
    </xf>
    <xf numFmtId="313" fontId="169" fillId="0" borderId="9" applyFont="0" applyFill="0" applyAlignment="0" applyProtection="0">
      <alignment horizontal="center" vertical="center"/>
    </xf>
    <xf numFmtId="313" fontId="169" fillId="0" borderId="9" applyFont="0" applyFill="0" applyAlignment="0" applyProtection="0">
      <alignment horizontal="center" vertical="center"/>
    </xf>
    <xf numFmtId="313" fontId="169" fillId="0" borderId="9" applyFont="0" applyFill="0" applyAlignment="0" applyProtection="0">
      <alignment horizontal="center" vertical="center"/>
    </xf>
    <xf numFmtId="313" fontId="169" fillId="0" borderId="9" applyFont="0" applyFill="0" applyAlignment="0" applyProtection="0">
      <alignment horizontal="center" vertical="center"/>
    </xf>
    <xf numFmtId="313" fontId="169" fillId="0" borderId="9" applyFont="0" applyFill="0" applyAlignment="0" applyProtection="0">
      <alignment horizontal="center" vertical="center"/>
    </xf>
    <xf numFmtId="313" fontId="169" fillId="0" borderId="9" applyFont="0" applyFill="0" applyAlignment="0" applyProtection="0">
      <alignment horizontal="center" vertical="center"/>
    </xf>
    <xf numFmtId="313" fontId="169" fillId="0" borderId="9" applyFont="0" applyFill="0" applyAlignment="0" applyProtection="0">
      <alignment horizontal="center" vertical="center"/>
    </xf>
    <xf numFmtId="313" fontId="169" fillId="0" borderId="9" applyFont="0" applyFill="0" applyAlignment="0" applyProtection="0">
      <alignment horizontal="center" vertical="center"/>
    </xf>
    <xf numFmtId="313" fontId="169" fillId="0" borderId="9" applyFont="0" applyFill="0" applyAlignment="0" applyProtection="0">
      <alignment horizontal="center" vertical="center"/>
    </xf>
    <xf numFmtId="313" fontId="169" fillId="0" borderId="9" applyFont="0" applyFill="0" applyAlignment="0" applyProtection="0">
      <alignment horizontal="center" vertical="center"/>
    </xf>
    <xf numFmtId="313" fontId="169" fillId="0" borderId="9" applyFont="0" applyFill="0" applyAlignment="0" applyProtection="0">
      <alignment horizontal="center" vertical="center"/>
    </xf>
    <xf numFmtId="313" fontId="169" fillId="0" borderId="9" applyFont="0" applyFill="0" applyAlignment="0" applyProtection="0">
      <alignment horizontal="center" vertical="center"/>
    </xf>
    <xf numFmtId="313" fontId="169" fillId="0" borderId="9" applyFont="0" applyFill="0" applyAlignment="0" applyProtection="0">
      <alignment horizontal="center" vertical="center"/>
    </xf>
    <xf numFmtId="313" fontId="169" fillId="0" borderId="9" applyFont="0" applyFill="0" applyAlignment="0" applyProtection="0">
      <alignment horizontal="center" vertical="center"/>
    </xf>
    <xf numFmtId="313" fontId="169" fillId="0" borderId="9" applyFont="0" applyFill="0" applyAlignment="0" applyProtection="0">
      <alignment horizontal="center" vertical="center"/>
    </xf>
    <xf numFmtId="313" fontId="169" fillId="0" borderId="9" applyFont="0" applyFill="0" applyAlignment="0" applyProtection="0">
      <alignment horizontal="center" vertical="center"/>
    </xf>
    <xf numFmtId="0" fontId="10" fillId="0" borderId="0"/>
    <xf numFmtId="0" fontId="10" fillId="0" borderId="0"/>
    <xf numFmtId="0" fontId="170" fillId="0" borderId="0"/>
    <xf numFmtId="199" fontId="171" fillId="0" borderId="2">
      <alignment vertical="center"/>
    </xf>
    <xf numFmtId="199" fontId="171" fillId="0" borderId="2">
      <alignment vertical="center"/>
    </xf>
    <xf numFmtId="199" fontId="171" fillId="0" borderId="2">
      <alignment vertical="center"/>
    </xf>
    <xf numFmtId="199" fontId="171" fillId="0" borderId="2">
      <alignment vertical="center"/>
    </xf>
    <xf numFmtId="199" fontId="171" fillId="0" borderId="2">
      <alignment vertical="center"/>
    </xf>
    <xf numFmtId="199" fontId="171" fillId="0" borderId="2">
      <alignment vertical="center"/>
    </xf>
    <xf numFmtId="199" fontId="171" fillId="0" borderId="2">
      <alignment vertical="center"/>
    </xf>
    <xf numFmtId="199" fontId="171" fillId="0" borderId="2">
      <alignment vertical="center"/>
    </xf>
    <xf numFmtId="0" fontId="18" fillId="0" borderId="3" applyBorder="0"/>
    <xf numFmtId="49" fontId="18" fillId="0" borderId="0" applyFont="0" applyFill="0" applyBorder="0" applyProtection="0">
      <alignment vertical="center"/>
    </xf>
    <xf numFmtId="49" fontId="158" fillId="0" borderId="47" applyFill="0" applyBorder="0">
      <alignment horizontal="center" vertical="center"/>
      <protection locked="0"/>
    </xf>
    <xf numFmtId="49" fontId="158" fillId="0" borderId="47" applyFill="0" applyBorder="0">
      <alignment horizontal="center" vertical="center"/>
      <protection locked="0"/>
    </xf>
    <xf numFmtId="49" fontId="158" fillId="0" borderId="47" applyFill="0" applyBorder="0">
      <alignment horizontal="center" vertical="center"/>
      <protection locked="0"/>
    </xf>
    <xf numFmtId="49" fontId="158" fillId="0" borderId="47" applyFill="0" applyBorder="0">
      <alignment horizontal="center" vertical="center"/>
      <protection locked="0"/>
    </xf>
    <xf numFmtId="49" fontId="158" fillId="0" borderId="47" applyFill="0" applyBorder="0">
      <alignment horizontal="center" vertical="center"/>
      <protection locked="0"/>
    </xf>
    <xf numFmtId="49" fontId="158" fillId="0" borderId="47" applyFill="0" applyBorder="0">
      <alignment horizontal="center" vertical="center"/>
      <protection locked="0"/>
    </xf>
    <xf numFmtId="49" fontId="158" fillId="0" borderId="47" applyFill="0" applyBorder="0">
      <alignment horizontal="center" vertical="center"/>
      <protection locked="0"/>
    </xf>
    <xf numFmtId="0" fontId="172" fillId="0" borderId="0"/>
    <xf numFmtId="0" fontId="4" fillId="0" borderId="0" applyNumberFormat="0" applyFont="0" applyFill="0" applyBorder="0" applyProtection="0">
      <alignment horizontal="centerContinuous" vertical="center"/>
    </xf>
    <xf numFmtId="0" fontId="173" fillId="0" borderId="0" applyNumberFormat="0" applyFont="0" applyFill="0" applyBorder="0" applyProtection="0">
      <alignment horizontal="centerContinuous" vertical="center"/>
    </xf>
    <xf numFmtId="0" fontId="173" fillId="0" borderId="0" applyNumberFormat="0" applyFont="0" applyFill="0" applyBorder="0" applyProtection="0">
      <alignment horizontal="centerContinuous" vertical="center"/>
    </xf>
    <xf numFmtId="314" fontId="173" fillId="0" borderId="0" applyFill="0" applyBorder="0" applyProtection="0">
      <alignment horizontal="centerContinuous" vertical="center"/>
    </xf>
    <xf numFmtId="315" fontId="173" fillId="0" borderId="0" applyNumberFormat="0" applyFont="0" applyFill="0" applyBorder="0" applyProtection="0">
      <alignment horizontal="centerContinuous"/>
    </xf>
    <xf numFmtId="0" fontId="173" fillId="0" borderId="0" applyNumberFormat="0" applyFont="0" applyFill="0" applyBorder="0" applyProtection="0">
      <alignment horizontal="centerContinuous" vertical="center"/>
    </xf>
    <xf numFmtId="0" fontId="12" fillId="0" borderId="0" applyNumberFormat="0" applyFont="0" applyFill="0" applyBorder="0" applyProtection="0">
      <alignment horizontal="centerContinuous" vertical="center"/>
    </xf>
    <xf numFmtId="316" fontId="44" fillId="0" borderId="0" applyNumberFormat="0" applyFont="0" applyFill="0" applyBorder="0" applyProtection="0">
      <alignment horizontal="centerContinuous" vertical="center"/>
    </xf>
    <xf numFmtId="0" fontId="44" fillId="0" borderId="0" applyNumberFormat="0" applyFont="0" applyFill="0" applyBorder="0" applyProtection="0">
      <alignment horizontal="centerContinuous" vertical="center"/>
    </xf>
    <xf numFmtId="0" fontId="44" fillId="0" borderId="0" applyNumberFormat="0" applyFont="0" applyFill="0" applyBorder="0" applyProtection="0">
      <alignment horizontal="centerContinuous" vertical="center"/>
    </xf>
    <xf numFmtId="317" fontId="18" fillId="0" borderId="0" applyNumberFormat="0" applyFont="0" applyFill="0" applyBorder="0" applyProtection="0">
      <alignment horizontal="centerContinuous" vertical="center"/>
    </xf>
    <xf numFmtId="316" fontId="44" fillId="0" borderId="0" applyNumberFormat="0" applyFont="0" applyFill="0" applyBorder="0" applyProtection="0">
      <alignment horizontal="centerContinuous" vertical="center"/>
    </xf>
    <xf numFmtId="0" fontId="44" fillId="0" borderId="0" applyNumberFormat="0" applyFont="0" applyFill="0" applyBorder="0" applyProtection="0">
      <alignment horizontal="centerContinuous" vertical="center"/>
    </xf>
    <xf numFmtId="0" fontId="44" fillId="0" borderId="0" applyNumberFormat="0" applyFont="0" applyFill="0" applyBorder="0" applyProtection="0">
      <alignment horizontal="centerContinuous" vertical="center"/>
    </xf>
    <xf numFmtId="0" fontId="44" fillId="0" borderId="0" applyNumberFormat="0" applyFont="0" applyFill="0" applyBorder="0" applyProtection="0">
      <alignment horizontal="centerContinuous" vertical="center"/>
    </xf>
    <xf numFmtId="0" fontId="44" fillId="0" borderId="0" applyNumberFormat="0" applyFont="0" applyFill="0" applyBorder="0" applyProtection="0">
      <alignment horizontal="centerContinuous" vertical="center"/>
    </xf>
    <xf numFmtId="0" fontId="44" fillId="0" borderId="0" applyNumberFormat="0" applyFont="0" applyFill="0" applyBorder="0" applyProtection="0">
      <alignment horizontal="centerContinuous" vertical="center"/>
    </xf>
    <xf numFmtId="0" fontId="44" fillId="0" borderId="0" applyNumberFormat="0" applyFont="0" applyFill="0" applyBorder="0" applyProtection="0">
      <alignment horizontal="centerContinuous" vertical="center"/>
    </xf>
    <xf numFmtId="0" fontId="44" fillId="0" borderId="0" applyNumberFormat="0" applyFont="0" applyFill="0" applyBorder="0" applyProtection="0">
      <alignment horizontal="centerContinuous" vertical="center"/>
    </xf>
    <xf numFmtId="0" fontId="44" fillId="0" borderId="0" applyNumberFormat="0" applyFont="0" applyFill="0" applyBorder="0" applyProtection="0">
      <alignment horizontal="centerContinuous" vertical="center"/>
    </xf>
    <xf numFmtId="315" fontId="173" fillId="0" borderId="0" applyNumberFormat="0" applyFont="0" applyFill="0" applyBorder="0" applyProtection="0">
      <alignment horizontal="centerContinuous" vertical="center"/>
    </xf>
    <xf numFmtId="318" fontId="11" fillId="0" borderId="7" applyNumberFormat="0" applyBorder="0" applyAlignment="0"/>
    <xf numFmtId="181" fontId="154" fillId="0" borderId="17">
      <alignment vertical="center"/>
    </xf>
    <xf numFmtId="38" fontId="34" fillId="0" borderId="0">
      <alignment vertical="center" wrapText="1"/>
    </xf>
    <xf numFmtId="181" fontId="154" fillId="0" borderId="17">
      <alignment vertical="center"/>
    </xf>
    <xf numFmtId="0" fontId="174" fillId="0" borderId="0" applyNumberFormat="0" applyFill="0" applyBorder="0" applyAlignment="0" applyProtection="0">
      <alignment vertical="center"/>
    </xf>
    <xf numFmtId="0" fontId="175" fillId="44" borderId="19" applyNumberFormat="0" applyAlignment="0" applyProtection="0">
      <alignment vertical="center"/>
    </xf>
    <xf numFmtId="0" fontId="176" fillId="0" borderId="0" applyProtection="0">
      <alignment vertical="center"/>
      <protection locked="0"/>
    </xf>
    <xf numFmtId="0" fontId="157" fillId="0" borderId="48"/>
    <xf numFmtId="4" fontId="157" fillId="0" borderId="3"/>
    <xf numFmtId="319" fontId="18" fillId="0" borderId="3"/>
    <xf numFmtId="49" fontId="18" fillId="0" borderId="1" applyBorder="0">
      <alignment horizontal="right" vertical="center"/>
    </xf>
    <xf numFmtId="49" fontId="18" fillId="0" borderId="1" applyBorder="0">
      <alignment horizontal="right" vertical="center"/>
    </xf>
    <xf numFmtId="49" fontId="18" fillId="0" borderId="1" applyBorder="0">
      <alignment horizontal="right" vertical="center"/>
    </xf>
    <xf numFmtId="49" fontId="18" fillId="0" borderId="1" applyBorder="0">
      <alignment horizontal="right" vertical="center"/>
    </xf>
    <xf numFmtId="49" fontId="18" fillId="0" borderId="1" applyBorder="0">
      <alignment horizontal="right" vertical="center"/>
    </xf>
    <xf numFmtId="49" fontId="18" fillId="0" borderId="1" applyBorder="0">
      <alignment horizontal="right" vertical="center"/>
    </xf>
    <xf numFmtId="49" fontId="18" fillId="0" borderId="1" applyBorder="0">
      <alignment horizontal="right" vertical="center"/>
    </xf>
    <xf numFmtId="49" fontId="18" fillId="0" borderId="1" applyBorder="0">
      <alignment horizontal="right" vertical="center"/>
    </xf>
    <xf numFmtId="49" fontId="18" fillId="0" borderId="1" applyBorder="0">
      <alignment horizontal="right" vertical="center"/>
    </xf>
    <xf numFmtId="49" fontId="18" fillId="0" borderId="1" applyBorder="0">
      <alignment horizontal="right" vertical="center"/>
    </xf>
    <xf numFmtId="49" fontId="18" fillId="0" borderId="1" applyBorder="0">
      <alignment horizontal="right" vertical="center"/>
    </xf>
    <xf numFmtId="49" fontId="18" fillId="0" borderId="1" applyBorder="0">
      <alignment horizontal="right" vertical="center"/>
    </xf>
    <xf numFmtId="49" fontId="18" fillId="0" borderId="1" applyBorder="0">
      <alignment horizontal="right" vertical="center"/>
    </xf>
    <xf numFmtId="49" fontId="18" fillId="0" borderId="1" applyBorder="0">
      <alignment horizontal="right" vertical="center"/>
    </xf>
    <xf numFmtId="49" fontId="177" fillId="0" borderId="49" applyFont="0" applyFill="0" applyBorder="0" applyProtection="0">
      <alignment horizontal="right" vertical="center"/>
    </xf>
    <xf numFmtId="49" fontId="177" fillId="0" borderId="49" applyFont="0" applyFill="0" applyBorder="0" applyProtection="0">
      <alignment horizontal="right" vertical="center"/>
    </xf>
    <xf numFmtId="49" fontId="177" fillId="0" borderId="49" applyFont="0" applyFill="0" applyBorder="0" applyProtection="0">
      <alignment horizontal="right" vertical="center"/>
    </xf>
    <xf numFmtId="49" fontId="177" fillId="0" borderId="49" applyFont="0" applyFill="0" applyBorder="0" applyProtection="0">
      <alignment horizontal="right" vertical="center"/>
    </xf>
    <xf numFmtId="49" fontId="177" fillId="0" borderId="49" applyFont="0" applyFill="0" applyBorder="0" applyProtection="0">
      <alignment horizontal="right" vertical="center"/>
    </xf>
    <xf numFmtId="49" fontId="177" fillId="0" borderId="49" applyFont="0" applyFill="0" applyBorder="0" applyProtection="0">
      <alignment horizontal="right" vertical="center"/>
    </xf>
    <xf numFmtId="315" fontId="4" fillId="0" borderId="50" applyFont="0" applyFill="0" applyBorder="0" applyAlignment="0" applyProtection="0">
      <alignment vertical="center"/>
    </xf>
    <xf numFmtId="314" fontId="4" fillId="0" borderId="50" applyFont="0" applyFill="0" applyBorder="0" applyAlignment="0" applyProtection="0">
      <alignment vertical="center"/>
    </xf>
    <xf numFmtId="49" fontId="18" fillId="0" borderId="0" applyFont="0" applyFill="0" applyBorder="0" applyAlignment="0" applyProtection="0"/>
    <xf numFmtId="3" fontId="178" fillId="0" borderId="0">
      <alignment vertical="center" wrapText="1"/>
    </xf>
    <xf numFmtId="3" fontId="179" fillId="0" borderId="0">
      <alignment vertical="center" wrapText="1"/>
    </xf>
    <xf numFmtId="0" fontId="163" fillId="0" borderId="17">
      <alignment horizontal="center" vertical="center"/>
    </xf>
    <xf numFmtId="0" fontId="36" fillId="0" borderId="1" applyNumberFormat="0">
      <alignment horizontal="center" vertical="center"/>
    </xf>
    <xf numFmtId="0" fontId="163" fillId="0" borderId="17">
      <alignment horizontal="center" vertical="center"/>
    </xf>
    <xf numFmtId="320" fontId="36" fillId="0" borderId="0">
      <alignment vertical="center"/>
    </xf>
    <xf numFmtId="199" fontId="180" fillId="0" borderId="2">
      <alignment vertical="center"/>
    </xf>
    <xf numFmtId="199" fontId="180" fillId="0" borderId="2">
      <alignment vertical="center"/>
    </xf>
    <xf numFmtId="199" fontId="180" fillId="0" borderId="2">
      <alignment vertical="center"/>
    </xf>
    <xf numFmtId="199" fontId="180" fillId="0" borderId="2">
      <alignment vertical="center"/>
    </xf>
    <xf numFmtId="199" fontId="180" fillId="0" borderId="2">
      <alignment vertical="center"/>
    </xf>
    <xf numFmtId="199" fontId="180" fillId="0" borderId="2">
      <alignment vertical="center"/>
    </xf>
    <xf numFmtId="199" fontId="180" fillId="0" borderId="2">
      <alignment vertical="center"/>
    </xf>
    <xf numFmtId="199" fontId="180" fillId="0" borderId="2">
      <alignment vertical="center"/>
    </xf>
    <xf numFmtId="321" fontId="181" fillId="0" borderId="0" applyFont="0" applyFill="0" applyBorder="0" applyAlignment="0" applyProtection="0"/>
    <xf numFmtId="1" fontId="173" fillId="0" borderId="0" applyFont="0" applyFill="0" applyBorder="0" applyProtection="0">
      <alignment horizontal="centerContinuous" vertical="center"/>
    </xf>
    <xf numFmtId="315" fontId="173" fillId="0" borderId="0" applyFont="0" applyFill="0" applyBorder="0" applyProtection="0">
      <alignment horizontal="centerContinuous" vertical="center"/>
    </xf>
    <xf numFmtId="203" fontId="182" fillId="0" borderId="0">
      <alignment vertical="center"/>
    </xf>
    <xf numFmtId="0" fontId="5" fillId="0" borderId="0">
      <alignment vertical="center"/>
    </xf>
    <xf numFmtId="203" fontId="182" fillId="0" borderId="0">
      <alignment vertical="center"/>
    </xf>
    <xf numFmtId="315" fontId="173" fillId="0" borderId="0" applyFont="0" applyFill="0" applyBorder="0" applyProtection="0">
      <alignment horizontal="centerContinuous" vertical="center"/>
    </xf>
    <xf numFmtId="0" fontId="173" fillId="0" borderId="0" applyFont="0" applyFill="0" applyBorder="0" applyProtection="0">
      <alignment horizontal="centerContinuous" vertical="center"/>
    </xf>
    <xf numFmtId="188" fontId="173" fillId="0" borderId="0" applyFont="0" applyFill="0" applyBorder="0" applyProtection="0">
      <alignment horizontal="centerContinuous" vertical="center"/>
    </xf>
    <xf numFmtId="208" fontId="173" fillId="0" borderId="0" applyFont="0" applyFill="0" applyBorder="0" applyProtection="0">
      <alignment horizontal="centerContinuous" vertical="center"/>
    </xf>
    <xf numFmtId="322" fontId="173" fillId="0" borderId="17" applyFont="0" applyFill="0" applyBorder="0" applyProtection="0">
      <alignment horizontal="right" vertical="center"/>
      <protection locked="0"/>
    </xf>
    <xf numFmtId="322" fontId="7" fillId="0" borderId="0" applyFont="0" applyFill="0" applyBorder="0" applyAlignment="0" applyProtection="0">
      <alignment vertical="center"/>
    </xf>
    <xf numFmtId="41" fontId="183" fillId="0" borderId="0" applyFont="0" applyFill="0" applyBorder="0" applyAlignment="0" applyProtection="0">
      <alignment vertical="center"/>
    </xf>
    <xf numFmtId="41" fontId="183" fillId="0" borderId="0" applyFont="0" applyFill="0" applyBorder="0" applyAlignment="0" applyProtection="0">
      <alignment vertical="center"/>
    </xf>
    <xf numFmtId="41" fontId="183" fillId="0" borderId="0" applyFont="0" applyFill="0" applyBorder="0" applyAlignment="0" applyProtection="0">
      <alignment vertical="center"/>
    </xf>
    <xf numFmtId="41" fontId="183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6" fontId="5" fillId="0" borderId="0" applyFont="0" applyFill="0" applyProtection="0"/>
    <xf numFmtId="199" fontId="12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84" fillId="0" borderId="0" applyFont="0" applyFill="0" applyBorder="0" applyAlignment="0" applyProtection="0">
      <alignment vertical="center"/>
    </xf>
    <xf numFmtId="41" fontId="150" fillId="0" borderId="0" applyFont="0" applyFill="0" applyBorder="0" applyAlignment="0" applyProtection="0"/>
    <xf numFmtId="41" fontId="185" fillId="0" borderId="0" applyFont="0" applyFill="0" applyBorder="0" applyAlignment="0" applyProtection="0">
      <alignment vertical="center"/>
    </xf>
    <xf numFmtId="244" fontId="11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/>
    <xf numFmtId="244" fontId="11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50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150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18" fillId="0" borderId="0" applyFont="0" applyFill="0" applyBorder="0" applyAlignment="0" applyProtection="0"/>
    <xf numFmtId="188" fontId="11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199" fontId="1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6" fontId="5" fillId="0" borderId="0" applyFont="0" applyFill="0" applyProtection="0"/>
    <xf numFmtId="323" fontId="17" fillId="0" borderId="0" applyFont="0" applyFill="0" applyBorder="0" applyAlignment="0" applyProtection="0"/>
    <xf numFmtId="323" fontId="17" fillId="0" borderId="0" applyFont="0" applyFill="0" applyBorder="0" applyAlignment="0" applyProtection="0"/>
    <xf numFmtId="0" fontId="7" fillId="0" borderId="0" applyFont="0" applyFill="0" applyBorder="0" applyAlignment="0" applyProtection="0"/>
    <xf numFmtId="324" fontId="3" fillId="0" borderId="0"/>
    <xf numFmtId="324" fontId="3" fillId="0" borderId="0"/>
    <xf numFmtId="41" fontId="7" fillId="0" borderId="0" applyFont="0" applyFill="0" applyBorder="0" applyAlignment="0" applyProtection="0"/>
    <xf numFmtId="41" fontId="18" fillId="0" borderId="0" applyFont="0" applyFill="0" applyBorder="0" applyAlignment="0" applyProtection="0"/>
    <xf numFmtId="6" fontId="5" fillId="0" borderId="0" applyFont="0" applyFill="0" applyProtection="0"/>
    <xf numFmtId="41" fontId="18" fillId="0" borderId="0" applyFont="0" applyFill="0" applyBorder="0" applyAlignment="0" applyProtection="0"/>
    <xf numFmtId="323" fontId="17" fillId="0" borderId="0" applyFont="0" applyFill="0" applyBorder="0" applyAlignment="0" applyProtection="0"/>
    <xf numFmtId="323" fontId="17" fillId="0" borderId="0" applyFont="0" applyFill="0" applyBorder="0" applyAlignment="0" applyProtection="0"/>
    <xf numFmtId="323" fontId="17" fillId="0" borderId="0" applyFont="0" applyFill="0" applyBorder="0" applyAlignment="0" applyProtection="0"/>
    <xf numFmtId="323" fontId="17" fillId="0" borderId="0" applyFont="0" applyFill="0" applyBorder="0" applyAlignment="0" applyProtection="0"/>
    <xf numFmtId="188" fontId="11" fillId="0" borderId="0" applyFont="0" applyFill="0" applyBorder="0" applyAlignment="0" applyProtection="0"/>
    <xf numFmtId="323" fontId="17" fillId="0" borderId="0" applyFont="0" applyFill="0" applyBorder="0" applyAlignment="0" applyProtection="0"/>
    <xf numFmtId="323" fontId="17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6" fillId="0" borderId="0" applyFont="0" applyFill="0" applyBorder="0" applyAlignment="0" applyProtection="0">
      <alignment vertical="center"/>
    </xf>
    <xf numFmtId="41" fontId="186" fillId="0" borderId="0" applyFont="0" applyFill="0" applyBorder="0" applyAlignment="0" applyProtection="0">
      <alignment vertical="center"/>
    </xf>
    <xf numFmtId="41" fontId="183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199" fontId="11" fillId="0" borderId="0" applyFont="0" applyFill="0" applyBorder="0" applyAlignment="0" applyProtection="0"/>
    <xf numFmtId="41" fontId="187" fillId="0" borderId="0" applyFont="0" applyFill="0" applyBorder="0" applyAlignment="0" applyProtection="0"/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41" fontId="185" fillId="0" borderId="0" applyFont="0" applyFill="0" applyBorder="0" applyAlignment="0" applyProtection="0">
      <alignment vertical="center"/>
    </xf>
    <xf numFmtId="6" fontId="5" fillId="0" borderId="0" applyFont="0" applyFill="0" applyProtection="0"/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6" fontId="5" fillId="0" borderId="0" applyFont="0" applyFill="0" applyProtection="0"/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4" fontId="3" fillId="0" borderId="0"/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325" fontId="1" fillId="0" borderId="0" applyFont="0" applyFill="0" applyBorder="0" applyAlignment="0" applyProtection="0">
      <alignment vertical="center"/>
    </xf>
    <xf numFmtId="6" fontId="5" fillId="0" borderId="0" applyFont="0" applyFill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6" fontId="5" fillId="0" borderId="0" applyFont="0" applyFill="0" applyProtection="0"/>
    <xf numFmtId="41" fontId="48" fillId="0" borderId="0" applyFont="0" applyFill="0" applyBorder="0" applyAlignment="0" applyProtection="0">
      <alignment vertical="center"/>
    </xf>
    <xf numFmtId="6" fontId="5" fillId="0" borderId="0" applyFont="0" applyFill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324" fontId="3" fillId="0" borderId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6" fontId="5" fillId="0" borderId="0" applyFont="0" applyFill="0" applyProtection="0"/>
    <xf numFmtId="41" fontId="48" fillId="0" borderId="0" applyFont="0" applyFill="0" applyBorder="0" applyAlignment="0" applyProtection="0">
      <alignment vertical="center"/>
    </xf>
    <xf numFmtId="6" fontId="5" fillId="0" borderId="0" applyFont="0" applyFill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188" fillId="0" borderId="0"/>
    <xf numFmtId="324" fontId="3" fillId="0" borderId="0"/>
    <xf numFmtId="41" fontId="18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324" fontId="3" fillId="0" borderId="0"/>
    <xf numFmtId="324" fontId="3" fillId="0" borderId="0"/>
    <xf numFmtId="41" fontId="1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6" fontId="5" fillId="0" borderId="0" applyFont="0" applyFill="0" applyProtection="0"/>
    <xf numFmtId="43" fontId="30" fillId="0" borderId="0" applyFont="0" applyFill="0" applyBorder="0" applyAlignment="0" applyProtection="0">
      <alignment vertical="center"/>
    </xf>
    <xf numFmtId="0" fontId="5" fillId="0" borderId="0"/>
    <xf numFmtId="0" fontId="18" fillId="0" borderId="0"/>
    <xf numFmtId="40" fontId="15" fillId="0" borderId="0" applyFont="0" applyFill="0" applyBorder="0" applyAlignment="0" applyProtection="0"/>
    <xf numFmtId="0" fontId="18" fillId="0" borderId="0"/>
    <xf numFmtId="0" fontId="5" fillId="0" borderId="0" applyFont="0" applyFill="0" applyBorder="0" applyAlignment="0" applyProtection="0"/>
    <xf numFmtId="0" fontId="18" fillId="0" borderId="0"/>
    <xf numFmtId="40" fontId="15" fillId="0" borderId="0" applyFont="0" applyFill="0" applyBorder="0" applyAlignment="0" applyProtection="0"/>
    <xf numFmtId="0" fontId="18" fillId="0" borderId="0"/>
    <xf numFmtId="0" fontId="5" fillId="0" borderId="0" applyFont="0" applyFill="0" applyBorder="0" applyAlignment="0" applyProtection="0"/>
    <xf numFmtId="0" fontId="18" fillId="0" borderId="0"/>
    <xf numFmtId="0" fontId="5" fillId="0" borderId="0" applyFont="0" applyFill="0" applyBorder="0" applyAlignment="0" applyProtection="0"/>
    <xf numFmtId="0" fontId="18" fillId="0" borderId="0"/>
    <xf numFmtId="0" fontId="5" fillId="0" borderId="0" applyFont="0" applyFill="0" applyBorder="0" applyAlignment="0" applyProtection="0"/>
    <xf numFmtId="0" fontId="18" fillId="0" borderId="0"/>
    <xf numFmtId="40" fontId="15" fillId="0" borderId="0" applyFont="0" applyFill="0" applyBorder="0" applyAlignment="0" applyProtection="0"/>
    <xf numFmtId="0" fontId="18" fillId="0" borderId="0"/>
    <xf numFmtId="0" fontId="5" fillId="0" borderId="0" applyFont="0" applyFill="0" applyBorder="0" applyAlignment="0" applyProtection="0"/>
    <xf numFmtId="0" fontId="18" fillId="0" borderId="0"/>
    <xf numFmtId="0" fontId="5" fillId="0" borderId="0" applyFont="0" applyFill="0" applyBorder="0" applyAlignment="0" applyProtection="0"/>
    <xf numFmtId="0" fontId="18" fillId="0" borderId="0"/>
    <xf numFmtId="0" fontId="5" fillId="0" borderId="0" applyFont="0" applyFill="0" applyBorder="0" applyAlignment="0" applyProtection="0"/>
    <xf numFmtId="0" fontId="18" fillId="0" borderId="0"/>
    <xf numFmtId="0" fontId="18" fillId="0" borderId="0"/>
    <xf numFmtId="40" fontId="15" fillId="0" borderId="0" applyFont="0" applyFill="0" applyBorder="0" applyAlignment="0" applyProtection="0"/>
    <xf numFmtId="0" fontId="18" fillId="0" borderId="0"/>
    <xf numFmtId="0" fontId="5" fillId="0" borderId="0" applyFont="0" applyFill="0" applyBorder="0" applyAlignment="0" applyProtection="0"/>
    <xf numFmtId="0" fontId="18" fillId="0" borderId="0"/>
    <xf numFmtId="40" fontId="15" fillId="0" borderId="0" applyFont="0" applyFill="0" applyBorder="0" applyAlignment="0" applyProtection="0"/>
    <xf numFmtId="0" fontId="18" fillId="0" borderId="0"/>
    <xf numFmtId="0" fontId="5" fillId="0" borderId="0" applyFont="0" applyFill="0" applyBorder="0" applyAlignment="0" applyProtection="0"/>
    <xf numFmtId="0" fontId="18" fillId="0" borderId="0"/>
    <xf numFmtId="40" fontId="15" fillId="0" borderId="0" applyFont="0" applyFill="0" applyBorder="0" applyAlignment="0" applyProtection="0"/>
    <xf numFmtId="0" fontId="18" fillId="0" borderId="0"/>
    <xf numFmtId="0" fontId="5" fillId="0" borderId="0" applyFont="0" applyFill="0" applyBorder="0" applyAlignment="0" applyProtection="0"/>
    <xf numFmtId="0" fontId="18" fillId="0" borderId="0"/>
    <xf numFmtId="0" fontId="5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1" fillId="0" borderId="0"/>
    <xf numFmtId="0" fontId="64" fillId="0" borderId="0" applyFont="0" applyFill="0" applyBorder="0" applyAlignment="0" applyProtection="0"/>
    <xf numFmtId="0" fontId="1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1" fillId="0" borderId="0"/>
    <xf numFmtId="0" fontId="54" fillId="0" borderId="0"/>
    <xf numFmtId="0" fontId="1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1" fillId="0" borderId="0"/>
    <xf numFmtId="0" fontId="54" fillId="0" borderId="0"/>
    <xf numFmtId="0" fontId="1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1" fillId="0" borderId="0"/>
    <xf numFmtId="0" fontId="13" fillId="0" borderId="0"/>
    <xf numFmtId="0" fontId="13" fillId="0" borderId="0"/>
    <xf numFmtId="0" fontId="13" fillId="0" borderId="0"/>
    <xf numFmtId="0" fontId="21" fillId="0" borderId="0"/>
    <xf numFmtId="0" fontId="5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1" fillId="0" borderId="0"/>
    <xf numFmtId="0" fontId="54" fillId="0" borderId="0"/>
    <xf numFmtId="0" fontId="1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1" fillId="0" borderId="0"/>
    <xf numFmtId="0" fontId="18" fillId="0" borderId="0"/>
    <xf numFmtId="0" fontId="2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 applyFont="0" applyFill="0" applyBorder="0" applyAlignment="0" applyProtection="0"/>
    <xf numFmtId="0" fontId="18" fillId="0" borderId="0"/>
    <xf numFmtId="40" fontId="15" fillId="0" borderId="0" applyFont="0" applyFill="0" applyBorder="0" applyAlignment="0" applyProtection="0"/>
    <xf numFmtId="0" fontId="18" fillId="0" borderId="0"/>
    <xf numFmtId="0" fontId="5" fillId="0" borderId="0" applyFont="0" applyFill="0" applyBorder="0" applyAlignment="0" applyProtection="0"/>
    <xf numFmtId="0" fontId="18" fillId="0" borderId="0"/>
    <xf numFmtId="0" fontId="5" fillId="0" borderId="0" applyFont="0" applyFill="0" applyBorder="0" applyAlignment="0" applyProtection="0"/>
    <xf numFmtId="0" fontId="18" fillId="0" borderId="0"/>
    <xf numFmtId="0" fontId="5" fillId="0" borderId="0" applyFont="0" applyFill="0" applyBorder="0" applyAlignment="0" applyProtection="0"/>
    <xf numFmtId="0" fontId="18" fillId="0" borderId="0"/>
    <xf numFmtId="40" fontId="15" fillId="0" borderId="0" applyFont="0" applyFill="0" applyBorder="0" applyAlignment="0" applyProtection="0"/>
    <xf numFmtId="0" fontId="18" fillId="0" borderId="0"/>
    <xf numFmtId="0" fontId="5" fillId="0" borderId="0" applyFont="0" applyFill="0" applyBorder="0" applyAlignment="0" applyProtection="0"/>
    <xf numFmtId="0" fontId="18" fillId="0" borderId="0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9" fillId="0" borderId="14"/>
    <xf numFmtId="0" fontId="190" fillId="0" borderId="47" applyBorder="0">
      <alignment horizontal="distributed" vertical="center"/>
      <protection locked="0"/>
    </xf>
    <xf numFmtId="0" fontId="190" fillId="0" borderId="47" applyBorder="0">
      <alignment horizontal="distributed" vertical="center"/>
      <protection locked="0"/>
    </xf>
    <xf numFmtId="0" fontId="190" fillId="0" borderId="47" applyBorder="0">
      <alignment horizontal="distributed" vertical="center"/>
      <protection locked="0"/>
    </xf>
    <xf numFmtId="0" fontId="190" fillId="0" borderId="47" applyBorder="0">
      <alignment horizontal="distributed" vertical="center"/>
      <protection locked="0"/>
    </xf>
    <xf numFmtId="0" fontId="190" fillId="0" borderId="47" applyBorder="0">
      <alignment horizontal="distributed" vertical="center"/>
      <protection locked="0"/>
    </xf>
    <xf numFmtId="0" fontId="190" fillId="0" borderId="47" applyBorder="0">
      <alignment horizontal="distributed" vertical="center"/>
      <protection locked="0"/>
    </xf>
    <xf numFmtId="0" fontId="190" fillId="0" borderId="47" applyBorder="0">
      <alignment horizontal="distributed" vertical="center"/>
      <protection locked="0"/>
    </xf>
    <xf numFmtId="0" fontId="191" fillId="0" borderId="33" applyNumberFormat="0" applyFill="0" applyAlignment="0" applyProtection="0">
      <alignment vertical="center"/>
    </xf>
    <xf numFmtId="0" fontId="192" fillId="0" borderId="0" applyNumberFormat="0" applyFill="0" applyBorder="0" applyAlignment="0" applyProtection="0">
      <alignment vertical="top"/>
      <protection locked="0"/>
    </xf>
    <xf numFmtId="0" fontId="193" fillId="0" borderId="0" applyNumberFormat="0" applyFill="0" applyBorder="0" applyAlignment="0" applyProtection="0">
      <alignment vertical="top"/>
      <protection locked="0"/>
    </xf>
    <xf numFmtId="0" fontId="192" fillId="0" borderId="0" applyNumberFormat="0" applyFill="0" applyBorder="0" applyAlignment="0" applyProtection="0">
      <alignment vertical="top"/>
      <protection locked="0"/>
    </xf>
    <xf numFmtId="326" fontId="12" fillId="0" borderId="1" applyBorder="0">
      <alignment vertical="center"/>
    </xf>
    <xf numFmtId="326" fontId="12" fillId="0" borderId="1" applyBorder="0">
      <alignment vertical="center"/>
    </xf>
    <xf numFmtId="326" fontId="12" fillId="0" borderId="1" applyBorder="0">
      <alignment vertical="center"/>
    </xf>
    <xf numFmtId="326" fontId="12" fillId="0" borderId="1" applyBorder="0">
      <alignment vertical="center"/>
    </xf>
    <xf numFmtId="326" fontId="12" fillId="0" borderId="1" applyBorder="0">
      <alignment vertical="center"/>
    </xf>
    <xf numFmtId="326" fontId="12" fillId="0" borderId="1" applyBorder="0">
      <alignment vertical="center"/>
    </xf>
    <xf numFmtId="326" fontId="12" fillId="0" borderId="1" applyBorder="0">
      <alignment vertical="center"/>
    </xf>
    <xf numFmtId="326" fontId="12" fillId="0" borderId="1" applyBorder="0">
      <alignment vertical="center"/>
    </xf>
    <xf numFmtId="326" fontId="12" fillId="0" borderId="1" applyBorder="0">
      <alignment vertical="center"/>
    </xf>
    <xf numFmtId="326" fontId="12" fillId="0" borderId="1" applyBorder="0">
      <alignment vertical="center"/>
    </xf>
    <xf numFmtId="326" fontId="12" fillId="0" borderId="1" applyBorder="0">
      <alignment vertical="center"/>
    </xf>
    <xf numFmtId="326" fontId="12" fillId="0" borderId="1" applyBorder="0">
      <alignment vertical="center"/>
    </xf>
    <xf numFmtId="326" fontId="12" fillId="0" borderId="1" applyBorder="0">
      <alignment vertical="center"/>
    </xf>
    <xf numFmtId="326" fontId="12" fillId="0" borderId="1" applyBorder="0">
      <alignment vertical="center"/>
    </xf>
    <xf numFmtId="0" fontId="194" fillId="0" borderId="51" applyNumberFormat="0" applyFill="0" applyAlignment="0" applyProtection="0">
      <alignment vertical="center"/>
    </xf>
    <xf numFmtId="0" fontId="194" fillId="0" borderId="51" applyNumberFormat="0" applyFill="0" applyAlignment="0" applyProtection="0">
      <alignment vertical="center"/>
    </xf>
    <xf numFmtId="0" fontId="194" fillId="0" borderId="51" applyNumberFormat="0" applyFill="0" applyAlignment="0" applyProtection="0">
      <alignment vertical="center"/>
    </xf>
    <xf numFmtId="0" fontId="194" fillId="0" borderId="51" applyNumberFormat="0" applyFill="0" applyAlignment="0" applyProtection="0">
      <alignment vertical="center"/>
    </xf>
    <xf numFmtId="0" fontId="194" fillId="0" borderId="51" applyNumberFormat="0" applyFill="0" applyAlignment="0" applyProtection="0">
      <alignment vertical="center"/>
    </xf>
    <xf numFmtId="0" fontId="194" fillId="0" borderId="51" applyNumberFormat="0" applyFill="0" applyAlignment="0" applyProtection="0">
      <alignment vertical="center"/>
    </xf>
    <xf numFmtId="0" fontId="194" fillId="0" borderId="51" applyNumberFormat="0" applyFill="0" applyAlignment="0" applyProtection="0">
      <alignment vertical="center"/>
    </xf>
    <xf numFmtId="0" fontId="194" fillId="0" borderId="51" applyNumberFormat="0" applyFill="0" applyAlignment="0" applyProtection="0">
      <alignment vertical="center"/>
    </xf>
    <xf numFmtId="0" fontId="194" fillId="0" borderId="51" applyNumberFormat="0" applyFill="0" applyAlignment="0" applyProtection="0">
      <alignment vertical="center"/>
    </xf>
    <xf numFmtId="0" fontId="194" fillId="0" borderId="51" applyNumberFormat="0" applyFill="0" applyAlignment="0" applyProtection="0">
      <alignment vertical="center"/>
    </xf>
    <xf numFmtId="0" fontId="194" fillId="0" borderId="51" applyNumberFormat="0" applyFill="0" applyAlignment="0" applyProtection="0">
      <alignment vertical="center"/>
    </xf>
    <xf numFmtId="0" fontId="194" fillId="0" borderId="51" applyNumberFormat="0" applyFill="0" applyAlignment="0" applyProtection="0">
      <alignment vertical="center"/>
    </xf>
    <xf numFmtId="327" fontId="136" fillId="0" borderId="0" applyFill="0" applyBorder="0">
      <alignment horizontal="centerContinuous"/>
    </xf>
    <xf numFmtId="328" fontId="136" fillId="0" borderId="0" applyFill="0" applyBorder="0">
      <alignment horizontal="centerContinuous"/>
    </xf>
    <xf numFmtId="329" fontId="18" fillId="0" borderId="0" applyFont="0" applyFill="0" applyBorder="0" applyAlignment="0" applyProtection="0"/>
    <xf numFmtId="329" fontId="18" fillId="0" borderId="0" applyFont="0" applyFill="0" applyBorder="0" applyAlignment="0" applyProtection="0"/>
    <xf numFmtId="329" fontId="18" fillId="0" borderId="0" applyFont="0" applyFill="0" applyBorder="0" applyAlignment="0" applyProtection="0"/>
    <xf numFmtId="329" fontId="18" fillId="0" borderId="0" applyFont="0" applyFill="0" applyBorder="0" applyAlignment="0" applyProtection="0"/>
    <xf numFmtId="202" fontId="18" fillId="0" borderId="0" applyFont="0" applyFill="0" applyBorder="0" applyAlignment="0" applyProtection="0"/>
    <xf numFmtId="202" fontId="18" fillId="0" borderId="0" applyFont="0" applyFill="0" applyBorder="0" applyAlignment="0" applyProtection="0"/>
    <xf numFmtId="0" fontId="195" fillId="0" borderId="0">
      <alignment vertical="center"/>
    </xf>
    <xf numFmtId="0" fontId="196" fillId="0" borderId="0">
      <alignment horizontal="center" vertical="center"/>
    </xf>
    <xf numFmtId="49" fontId="42" fillId="0" borderId="52" applyNumberFormat="0" applyAlignment="0"/>
    <xf numFmtId="49" fontId="42" fillId="0" borderId="52" applyNumberFormat="0" applyAlignment="0"/>
    <xf numFmtId="49" fontId="42" fillId="0" borderId="52" applyNumberFormat="0" applyAlignment="0"/>
    <xf numFmtId="49" fontId="42" fillId="0" borderId="52" applyNumberFormat="0" applyAlignment="0"/>
    <xf numFmtId="49" fontId="42" fillId="0" borderId="52" applyNumberFormat="0" applyAlignment="0"/>
    <xf numFmtId="49" fontId="42" fillId="0" borderId="52" applyNumberFormat="0" applyAlignment="0"/>
    <xf numFmtId="49" fontId="42" fillId="0" borderId="52" applyNumberFormat="0" applyAlignment="0"/>
    <xf numFmtId="49" fontId="42" fillId="0" borderId="52" applyNumberFormat="0" applyAlignment="0"/>
    <xf numFmtId="49" fontId="42" fillId="0" borderId="52" applyNumberFormat="0" applyAlignment="0"/>
    <xf numFmtId="49" fontId="42" fillId="0" borderId="52" applyNumberFormat="0" applyAlignment="0"/>
    <xf numFmtId="49" fontId="42" fillId="0" borderId="52" applyNumberFormat="0" applyAlignment="0"/>
    <xf numFmtId="49" fontId="42" fillId="0" borderId="52" applyNumberFormat="0" applyAlignment="0"/>
    <xf numFmtId="49" fontId="42" fillId="0" borderId="52" applyNumberFormat="0" applyAlignment="0"/>
    <xf numFmtId="49" fontId="42" fillId="0" borderId="52" applyNumberFormat="0" applyAlignment="0"/>
    <xf numFmtId="49" fontId="42" fillId="0" borderId="52" applyNumberFormat="0" applyAlignment="0"/>
    <xf numFmtId="49" fontId="42" fillId="0" borderId="52" applyNumberFormat="0" applyAlignment="0"/>
    <xf numFmtId="2" fontId="136" fillId="0" borderId="0" applyFill="0" applyBorder="0" applyProtection="0">
      <alignment horizontal="centerContinuous"/>
    </xf>
    <xf numFmtId="0" fontId="173" fillId="0" borderId="0" applyNumberFormat="0" applyFont="0" applyFill="0" applyBorder="0" applyProtection="0">
      <alignment vertical="center"/>
    </xf>
    <xf numFmtId="0" fontId="173" fillId="0" borderId="0" applyNumberFormat="0" applyFont="0" applyFill="0" applyBorder="0" applyProtection="0">
      <alignment vertical="center"/>
    </xf>
    <xf numFmtId="0" fontId="173" fillId="0" borderId="0" applyNumberFormat="0" applyFont="0" applyFill="0" applyBorder="0" applyProtection="0">
      <alignment vertical="center"/>
    </xf>
    <xf numFmtId="0" fontId="173" fillId="0" borderId="0" applyNumberFormat="0" applyFont="0" applyFill="0" applyBorder="0" applyProtection="0">
      <alignment vertical="center"/>
    </xf>
    <xf numFmtId="315" fontId="173" fillId="0" borderId="0" applyNumberFormat="0" applyFont="0" applyFill="0" applyBorder="0" applyProtection="0">
      <alignment vertical="center"/>
    </xf>
    <xf numFmtId="2" fontId="136" fillId="0" borderId="0" applyFill="0" applyBorder="0" applyProtection="0">
      <alignment horizontal="centerContinuous"/>
    </xf>
    <xf numFmtId="2" fontId="136" fillId="0" borderId="0" applyFill="0" applyBorder="0" applyProtection="0">
      <alignment horizontal="centerContinuous"/>
    </xf>
    <xf numFmtId="2" fontId="136" fillId="0" borderId="0" applyFill="0" applyBorder="0" applyProtection="0">
      <alignment horizontal="centerContinuous"/>
    </xf>
    <xf numFmtId="2" fontId="136" fillId="0" borderId="0" applyFill="0" applyBorder="0" applyProtection="0">
      <alignment horizontal="centerContinuous"/>
    </xf>
    <xf numFmtId="2" fontId="136" fillId="0" borderId="0" applyFill="0" applyBorder="0" applyProtection="0">
      <alignment horizontal="centerContinuous"/>
    </xf>
    <xf numFmtId="2" fontId="136" fillId="0" borderId="0" applyFill="0" applyBorder="0" applyProtection="0">
      <alignment horizontal="centerContinuous"/>
    </xf>
    <xf numFmtId="2" fontId="136" fillId="0" borderId="0" applyFill="0" applyBorder="0" applyProtection="0">
      <alignment horizontal="centerContinuous"/>
    </xf>
    <xf numFmtId="2" fontId="136" fillId="0" borderId="0" applyFill="0" applyBorder="0" applyProtection="0">
      <alignment horizontal="centerContinuous"/>
    </xf>
    <xf numFmtId="2" fontId="136" fillId="0" borderId="0" applyFill="0" applyBorder="0" applyProtection="0">
      <alignment horizontal="centerContinuous"/>
    </xf>
    <xf numFmtId="2" fontId="136" fillId="0" borderId="0" applyFill="0" applyBorder="0" applyProtection="0">
      <alignment horizontal="centerContinuous"/>
    </xf>
    <xf numFmtId="2" fontId="136" fillId="0" borderId="0" applyFill="0" applyBorder="0" applyProtection="0">
      <alignment horizontal="centerContinuous"/>
    </xf>
    <xf numFmtId="2" fontId="136" fillId="0" borderId="0" applyFill="0" applyBorder="0" applyProtection="0">
      <alignment horizontal="centerContinuous"/>
    </xf>
    <xf numFmtId="0" fontId="173" fillId="0" borderId="0" applyNumberFormat="0" applyFont="0" applyFill="0" applyBorder="0" applyProtection="0">
      <alignment vertical="center"/>
    </xf>
    <xf numFmtId="0" fontId="173" fillId="0" borderId="0" applyNumberFormat="0" applyFont="0" applyFill="0" applyBorder="0" applyProtection="0">
      <alignment vertical="center"/>
    </xf>
    <xf numFmtId="0" fontId="173" fillId="0" borderId="0" applyNumberFormat="0" applyFont="0" applyFill="0" applyBorder="0" applyProtection="0">
      <alignment vertical="center"/>
    </xf>
    <xf numFmtId="0" fontId="173" fillId="0" borderId="0" applyNumberFormat="0" applyFont="0" applyFill="0" applyBorder="0" applyProtection="0">
      <alignment vertical="center"/>
    </xf>
    <xf numFmtId="0" fontId="173" fillId="0" borderId="0" applyNumberFormat="0" applyFont="0" applyFill="0" applyBorder="0" applyProtection="0">
      <alignment vertical="center"/>
    </xf>
    <xf numFmtId="0" fontId="30" fillId="0" borderId="0"/>
    <xf numFmtId="0" fontId="34" fillId="0" borderId="0" applyNumberFormat="0" applyBorder="0" applyAlignment="0">
      <alignment horizontal="centerContinuous" vertical="center"/>
    </xf>
    <xf numFmtId="0" fontId="197" fillId="14" borderId="18" applyNumberFormat="0" applyAlignment="0" applyProtection="0">
      <alignment vertical="center"/>
    </xf>
    <xf numFmtId="0" fontId="197" fillId="14" borderId="18" applyNumberFormat="0" applyAlignment="0" applyProtection="0">
      <alignment vertical="center"/>
    </xf>
    <xf numFmtId="0" fontId="197" fillId="14" borderId="18" applyNumberFormat="0" applyAlignment="0" applyProtection="0">
      <alignment vertical="center"/>
    </xf>
    <xf numFmtId="0" fontId="197" fillId="14" borderId="18" applyNumberFormat="0" applyAlignment="0" applyProtection="0">
      <alignment vertical="center"/>
    </xf>
    <xf numFmtId="0" fontId="197" fillId="14" borderId="18" applyNumberFormat="0" applyAlignment="0" applyProtection="0">
      <alignment vertical="center"/>
    </xf>
    <xf numFmtId="0" fontId="197" fillId="14" borderId="18" applyNumberFormat="0" applyAlignment="0" applyProtection="0">
      <alignment vertical="center"/>
    </xf>
    <xf numFmtId="0" fontId="197" fillId="14" borderId="18" applyNumberFormat="0" applyAlignment="0" applyProtection="0">
      <alignment vertical="center"/>
    </xf>
    <xf numFmtId="0" fontId="197" fillId="14" borderId="18" applyNumberFormat="0" applyAlignment="0" applyProtection="0">
      <alignment vertical="center"/>
    </xf>
    <xf numFmtId="0" fontId="197" fillId="14" borderId="18" applyNumberFormat="0" applyAlignment="0" applyProtection="0">
      <alignment vertical="center"/>
    </xf>
    <xf numFmtId="0" fontId="197" fillId="14" borderId="18" applyNumberFormat="0" applyAlignment="0" applyProtection="0">
      <alignment vertical="center"/>
    </xf>
    <xf numFmtId="0" fontId="197" fillId="14" borderId="18" applyNumberFormat="0" applyAlignment="0" applyProtection="0">
      <alignment vertical="center"/>
    </xf>
    <xf numFmtId="0" fontId="197" fillId="14" borderId="18" applyNumberFormat="0" applyAlignment="0" applyProtection="0">
      <alignment vertical="center"/>
    </xf>
    <xf numFmtId="4" fontId="29" fillId="0" borderId="0">
      <protection locked="0"/>
    </xf>
    <xf numFmtId="0" fontId="157" fillId="0" borderId="0"/>
    <xf numFmtId="4" fontId="29" fillId="0" borderId="0">
      <protection locked="0"/>
    </xf>
    <xf numFmtId="330" fontId="11" fillId="0" borderId="0">
      <protection locked="0"/>
    </xf>
    <xf numFmtId="0" fontId="36" fillId="0" borderId="0">
      <protection locked="0"/>
    </xf>
    <xf numFmtId="330" fontId="11" fillId="0" borderId="0">
      <protection locked="0"/>
    </xf>
    <xf numFmtId="0" fontId="198" fillId="0" borderId="17" applyFill="0" applyBorder="0" applyProtection="0">
      <alignment horizontal="left" vertical="center"/>
    </xf>
    <xf numFmtId="331" fontId="68" fillId="0" borderId="0" applyFill="0" applyBorder="0">
      <alignment horizontal="centerContinuous"/>
    </xf>
    <xf numFmtId="0" fontId="199" fillId="0" borderId="53" applyNumberFormat="0" applyFill="0" applyAlignment="0" applyProtection="0">
      <alignment vertical="center"/>
    </xf>
    <xf numFmtId="0" fontId="199" fillId="0" borderId="53" applyNumberFormat="0" applyFill="0" applyAlignment="0" applyProtection="0">
      <alignment vertical="center"/>
    </xf>
    <xf numFmtId="0" fontId="200" fillId="0" borderId="54" applyNumberFormat="0" applyFill="0" applyAlignment="0" applyProtection="0">
      <alignment vertical="center"/>
    </xf>
    <xf numFmtId="0" fontId="200" fillId="0" borderId="54" applyNumberFormat="0" applyFill="0" applyAlignment="0" applyProtection="0">
      <alignment vertical="center"/>
    </xf>
    <xf numFmtId="0" fontId="201" fillId="0" borderId="55" applyNumberFormat="0" applyFill="0" applyAlignment="0" applyProtection="0">
      <alignment vertical="center"/>
    </xf>
    <xf numFmtId="0" fontId="201" fillId="0" borderId="55" applyNumberFormat="0" applyFill="0" applyAlignment="0" applyProtection="0">
      <alignment vertical="center"/>
    </xf>
    <xf numFmtId="0" fontId="201" fillId="0" borderId="0" applyNumberFormat="0" applyFill="0" applyBorder="0" applyAlignment="0" applyProtection="0">
      <alignment vertical="center"/>
    </xf>
    <xf numFmtId="0" fontId="201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1" fillId="0" borderId="1">
      <alignment horizontal="distributed" vertical="center"/>
    </xf>
    <xf numFmtId="0" fontId="11" fillId="0" borderId="1">
      <alignment horizontal="distributed" vertical="center"/>
    </xf>
    <xf numFmtId="0" fontId="11" fillId="0" borderId="1">
      <alignment horizontal="distributed" vertical="center"/>
    </xf>
    <xf numFmtId="0" fontId="11" fillId="0" borderId="1">
      <alignment horizontal="distributed" vertical="center"/>
    </xf>
    <xf numFmtId="0" fontId="11" fillId="0" borderId="1">
      <alignment horizontal="distributed" vertical="center"/>
    </xf>
    <xf numFmtId="0" fontId="11" fillId="0" borderId="1">
      <alignment horizontal="distributed" vertical="center"/>
    </xf>
    <xf numFmtId="0" fontId="11" fillId="0" borderId="1">
      <alignment horizontal="distributed" vertical="center"/>
    </xf>
    <xf numFmtId="0" fontId="11" fillId="0" borderId="1">
      <alignment horizontal="distributed" vertical="center"/>
    </xf>
    <xf numFmtId="0" fontId="11" fillId="0" borderId="1">
      <alignment horizontal="distributed" vertical="center"/>
    </xf>
    <xf numFmtId="0" fontId="11" fillId="0" borderId="1">
      <alignment horizontal="distributed" vertical="center"/>
    </xf>
    <xf numFmtId="0" fontId="11" fillId="0" borderId="1">
      <alignment horizontal="distributed" vertical="center"/>
    </xf>
    <xf numFmtId="0" fontId="11" fillId="0" borderId="1">
      <alignment horizontal="distributed" vertical="center"/>
    </xf>
    <xf numFmtId="0" fontId="11" fillId="0" borderId="1">
      <alignment horizontal="distributed" vertical="center"/>
    </xf>
    <xf numFmtId="0" fontId="11" fillId="0" borderId="1">
      <alignment horizontal="distributed" vertical="center"/>
    </xf>
    <xf numFmtId="0" fontId="11" fillId="0" borderId="3">
      <alignment horizontal="distributed" vertical="top"/>
    </xf>
    <xf numFmtId="0" fontId="11" fillId="0" borderId="3">
      <alignment horizontal="distributed" vertical="top"/>
    </xf>
    <xf numFmtId="0" fontId="11" fillId="0" borderId="3">
      <alignment horizontal="distributed" vertical="top"/>
    </xf>
    <xf numFmtId="0" fontId="11" fillId="0" borderId="3">
      <alignment horizontal="distributed" vertical="top"/>
    </xf>
    <xf numFmtId="0" fontId="11" fillId="0" borderId="7">
      <alignment horizontal="distributed"/>
    </xf>
    <xf numFmtId="0" fontId="11" fillId="0" borderId="7">
      <alignment horizontal="distributed"/>
    </xf>
    <xf numFmtId="0" fontId="11" fillId="0" borderId="7">
      <alignment horizontal="distributed"/>
    </xf>
    <xf numFmtId="0" fontId="11" fillId="0" borderId="7">
      <alignment horizontal="distributed"/>
    </xf>
    <xf numFmtId="0" fontId="11" fillId="0" borderId="7">
      <alignment horizontal="distributed"/>
    </xf>
    <xf numFmtId="0" fontId="11" fillId="0" borderId="7">
      <alignment horizontal="distributed"/>
    </xf>
    <xf numFmtId="0" fontId="11" fillId="0" borderId="7">
      <alignment horizontal="distributed"/>
    </xf>
    <xf numFmtId="0" fontId="11" fillId="0" borderId="7">
      <alignment horizontal="distributed"/>
    </xf>
    <xf numFmtId="0" fontId="11" fillId="0" borderId="7">
      <alignment horizontal="distributed"/>
    </xf>
    <xf numFmtId="0" fontId="11" fillId="0" borderId="7">
      <alignment horizontal="distributed"/>
    </xf>
    <xf numFmtId="0" fontId="11" fillId="0" borderId="7">
      <alignment horizontal="distributed"/>
    </xf>
    <xf numFmtId="0" fontId="11" fillId="0" borderId="7">
      <alignment horizontal="distributed"/>
    </xf>
    <xf numFmtId="0" fontId="11" fillId="0" borderId="7">
      <alignment horizontal="distributed"/>
    </xf>
    <xf numFmtId="0" fontId="11" fillId="0" borderId="7">
      <alignment horizontal="distributed"/>
    </xf>
    <xf numFmtId="0" fontId="11" fillId="0" borderId="7">
      <alignment horizontal="distributed"/>
    </xf>
    <xf numFmtId="0" fontId="11" fillId="0" borderId="7">
      <alignment horizontal="distributed"/>
    </xf>
    <xf numFmtId="199" fontId="202" fillId="0" borderId="0">
      <alignment vertical="center"/>
    </xf>
    <xf numFmtId="0" fontId="203" fillId="11" borderId="0" applyNumberFormat="0" applyBorder="0" applyAlignment="0" applyProtection="0">
      <alignment vertical="center"/>
    </xf>
    <xf numFmtId="332" fontId="136" fillId="0" borderId="0" applyFill="0" applyBorder="0">
      <alignment horizontal="centerContinuous"/>
    </xf>
    <xf numFmtId="333" fontId="136" fillId="0" borderId="0" applyFill="0" applyBorder="0">
      <alignment horizontal="centerContinuous"/>
    </xf>
    <xf numFmtId="0" fontId="11" fillId="0" borderId="0"/>
    <xf numFmtId="41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204" fillId="43" borderId="35" applyNumberFormat="0" applyAlignment="0" applyProtection="0">
      <alignment vertical="center"/>
    </xf>
    <xf numFmtId="0" fontId="204" fillId="43" borderId="35" applyNumberFormat="0" applyAlignment="0" applyProtection="0">
      <alignment vertical="center"/>
    </xf>
    <xf numFmtId="0" fontId="204" fillId="43" borderId="35" applyNumberFormat="0" applyAlignment="0" applyProtection="0">
      <alignment vertical="center"/>
    </xf>
    <xf numFmtId="0" fontId="204" fillId="43" borderId="35" applyNumberFormat="0" applyAlignment="0" applyProtection="0">
      <alignment vertical="center"/>
    </xf>
    <xf numFmtId="0" fontId="204" fillId="43" borderId="35" applyNumberFormat="0" applyAlignment="0" applyProtection="0">
      <alignment vertical="center"/>
    </xf>
    <xf numFmtId="0" fontId="204" fillId="43" borderId="35" applyNumberFormat="0" applyAlignment="0" applyProtection="0">
      <alignment vertical="center"/>
    </xf>
    <xf numFmtId="0" fontId="204" fillId="43" borderId="35" applyNumberFormat="0" applyAlignment="0" applyProtection="0">
      <alignment vertical="center"/>
    </xf>
    <xf numFmtId="0" fontId="204" fillId="43" borderId="35" applyNumberFormat="0" applyAlignment="0" applyProtection="0">
      <alignment vertical="center"/>
    </xf>
    <xf numFmtId="0" fontId="204" fillId="43" borderId="35" applyNumberFormat="0" applyAlignment="0" applyProtection="0">
      <alignment vertical="center"/>
    </xf>
    <xf numFmtId="0" fontId="204" fillId="43" borderId="35" applyNumberFormat="0" applyAlignment="0" applyProtection="0">
      <alignment vertical="center"/>
    </xf>
    <xf numFmtId="0" fontId="204" fillId="43" borderId="35" applyNumberFormat="0" applyAlignment="0" applyProtection="0">
      <alignment vertical="center"/>
    </xf>
    <xf numFmtId="0" fontId="204" fillId="43" borderId="35" applyNumberFormat="0" applyAlignment="0" applyProtection="0">
      <alignment vertical="center"/>
    </xf>
    <xf numFmtId="334" fontId="154" fillId="0" borderId="0" applyFont="0" applyFill="0" applyBorder="0" applyAlignment="0" applyProtection="0"/>
    <xf numFmtId="0" fontId="163" fillId="0" borderId="17" applyFill="0" applyProtection="0">
      <alignment horizontal="center" vertical="center"/>
    </xf>
    <xf numFmtId="191" fontId="18" fillId="0" borderId="0">
      <protection locked="0"/>
    </xf>
    <xf numFmtId="0" fontId="18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306" fontId="18" fillId="0" borderId="0">
      <protection locked="0"/>
    </xf>
    <xf numFmtId="306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306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192" fontId="45" fillId="0" borderId="0">
      <protection locked="0"/>
    </xf>
    <xf numFmtId="308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191" fontId="18" fillId="0" borderId="0">
      <protection locked="0"/>
    </xf>
    <xf numFmtId="192" fontId="45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192" fontId="45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192" fontId="45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15" fontId="205" fillId="0" borderId="0">
      <protection locked="0"/>
    </xf>
    <xf numFmtId="308" fontId="18" fillId="0" borderId="0">
      <protection locked="0"/>
    </xf>
    <xf numFmtId="192" fontId="45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315" fontId="205" fillId="0" borderId="0">
      <protection locked="0"/>
    </xf>
    <xf numFmtId="192" fontId="45" fillId="0" borderId="0">
      <protection locked="0"/>
    </xf>
    <xf numFmtId="0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15" fontId="205" fillId="0" borderId="0">
      <protection locked="0"/>
    </xf>
    <xf numFmtId="335" fontId="205" fillId="0" borderId="0">
      <protection locked="0"/>
    </xf>
    <xf numFmtId="315" fontId="205" fillId="0" borderId="0">
      <protection locked="0"/>
    </xf>
    <xf numFmtId="315" fontId="205" fillId="0" borderId="0">
      <protection locked="0"/>
    </xf>
    <xf numFmtId="192" fontId="45" fillId="0" borderId="0">
      <protection locked="0"/>
    </xf>
    <xf numFmtId="315" fontId="20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306" fontId="18" fillId="0" borderId="0">
      <protection locked="0"/>
    </xf>
    <xf numFmtId="306" fontId="18" fillId="0" borderId="0">
      <protection locked="0"/>
    </xf>
    <xf numFmtId="191" fontId="18" fillId="0" borderId="0">
      <protection locked="0"/>
    </xf>
    <xf numFmtId="191" fontId="18" fillId="0" borderId="0">
      <protection locked="0"/>
    </xf>
    <xf numFmtId="191" fontId="18" fillId="0" borderId="0">
      <protection locked="0"/>
    </xf>
    <xf numFmtId="191" fontId="18" fillId="0" borderId="0">
      <protection locked="0"/>
    </xf>
    <xf numFmtId="191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306" fontId="18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0" fontId="18" fillId="0" borderId="0">
      <protection locked="0"/>
    </xf>
    <xf numFmtId="191" fontId="18" fillId="0" borderId="0">
      <protection locked="0"/>
    </xf>
    <xf numFmtId="191" fontId="18" fillId="0" borderId="0">
      <protection locked="0"/>
    </xf>
    <xf numFmtId="191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0" fontId="11" fillId="0" borderId="0" applyFont="0" applyFill="0" applyBorder="0" applyAlignment="0" applyProtection="0"/>
    <xf numFmtId="203" fontId="7" fillId="0" borderId="0" applyFont="0" applyFill="0" applyBorder="0" applyAlignment="0" applyProtection="0">
      <alignment horizontal="centerContinuous" vertical="center"/>
    </xf>
    <xf numFmtId="191" fontId="18" fillId="0" borderId="0">
      <protection locked="0"/>
    </xf>
    <xf numFmtId="0" fontId="18" fillId="0" borderId="0">
      <protection locked="0"/>
    </xf>
    <xf numFmtId="243" fontId="18" fillId="0" borderId="0" applyFont="0" applyFill="0" applyBorder="0" applyProtection="0">
      <alignment vertical="center"/>
    </xf>
    <xf numFmtId="336" fontId="11" fillId="0" borderId="0" applyFont="0" applyFill="0" applyBorder="0" applyProtection="0">
      <alignment vertical="center"/>
    </xf>
    <xf numFmtId="336" fontId="11" fillId="0" borderId="0" applyFont="0" applyFill="0" applyBorder="0" applyProtection="0">
      <alignment vertical="center"/>
    </xf>
    <xf numFmtId="336" fontId="11" fillId="0" borderId="0" applyFont="0" applyFill="0" applyBorder="0" applyProtection="0">
      <alignment vertical="center"/>
    </xf>
    <xf numFmtId="336" fontId="11" fillId="0" borderId="0" applyFont="0" applyFill="0" applyBorder="0" applyProtection="0">
      <alignment vertical="center"/>
    </xf>
    <xf numFmtId="336" fontId="11" fillId="0" borderId="0" applyFont="0" applyFill="0" applyBorder="0" applyProtection="0">
      <alignment vertical="center"/>
    </xf>
    <xf numFmtId="336" fontId="11" fillId="0" borderId="0" applyFont="0" applyFill="0" applyBorder="0" applyProtection="0">
      <alignment vertical="center"/>
    </xf>
    <xf numFmtId="336" fontId="11" fillId="0" borderId="0" applyFont="0" applyFill="0" applyBorder="0" applyProtection="0">
      <alignment vertical="center"/>
    </xf>
    <xf numFmtId="336" fontId="11" fillId="0" borderId="0" applyFont="0" applyFill="0" applyBorder="0" applyProtection="0">
      <alignment vertical="center"/>
    </xf>
    <xf numFmtId="336" fontId="11" fillId="0" borderId="0" applyFont="0" applyFill="0" applyBorder="0" applyProtection="0">
      <alignment vertical="center"/>
    </xf>
    <xf numFmtId="336" fontId="11" fillId="0" borderId="0" applyFont="0" applyFill="0" applyBorder="0" applyProtection="0">
      <alignment vertical="center"/>
    </xf>
    <xf numFmtId="199" fontId="11" fillId="0" borderId="1">
      <alignment horizontal="center" vertical="center"/>
    </xf>
    <xf numFmtId="337" fontId="14" fillId="0" borderId="1">
      <alignment vertical="center"/>
    </xf>
    <xf numFmtId="38" fontId="44" fillId="0" borderId="0" applyFont="0" applyFill="0" applyBorder="0" applyProtection="0">
      <alignment vertical="center"/>
    </xf>
    <xf numFmtId="38" fontId="44" fillId="0" borderId="0" applyFont="0" applyFill="0" applyBorder="0" applyProtection="0">
      <alignment vertical="center"/>
    </xf>
    <xf numFmtId="38" fontId="44" fillId="0" borderId="0" applyFont="0" applyFill="0" applyBorder="0" applyProtection="0">
      <alignment vertical="center"/>
    </xf>
    <xf numFmtId="38" fontId="44" fillId="0" borderId="0" applyFont="0" applyFill="0" applyBorder="0" applyProtection="0">
      <alignment vertical="center"/>
    </xf>
    <xf numFmtId="38" fontId="44" fillId="0" borderId="0" applyFont="0" applyFill="0" applyBorder="0" applyProtection="0">
      <alignment vertical="center"/>
    </xf>
    <xf numFmtId="38" fontId="44" fillId="0" borderId="0" applyFont="0" applyFill="0" applyBorder="0" applyProtection="0">
      <alignment vertical="center"/>
    </xf>
    <xf numFmtId="38" fontId="44" fillId="0" borderId="0" applyFont="0" applyFill="0" applyBorder="0" applyProtection="0">
      <alignment vertical="center"/>
    </xf>
    <xf numFmtId="38" fontId="44" fillId="0" borderId="0" applyFont="0" applyFill="0" applyBorder="0" applyProtection="0">
      <alignment vertical="center"/>
    </xf>
    <xf numFmtId="38" fontId="44" fillId="0" borderId="0" applyFont="0" applyFill="0" applyBorder="0" applyProtection="0">
      <alignment vertical="center"/>
    </xf>
    <xf numFmtId="199" fontId="11" fillId="0" borderId="1">
      <alignment horizontal="center" vertical="center"/>
    </xf>
    <xf numFmtId="38" fontId="44" fillId="0" borderId="0" applyFont="0" applyFill="0" applyBorder="0" applyProtection="0">
      <alignment vertical="center"/>
    </xf>
    <xf numFmtId="199" fontId="11" fillId="0" borderId="1">
      <alignment horizontal="center" vertical="center"/>
    </xf>
    <xf numFmtId="199" fontId="11" fillId="0" borderId="1">
      <alignment horizontal="center" vertical="center"/>
    </xf>
    <xf numFmtId="199" fontId="11" fillId="0" borderId="1">
      <alignment horizontal="center" vertical="center"/>
    </xf>
    <xf numFmtId="199" fontId="11" fillId="0" borderId="1">
      <alignment horizontal="center" vertical="center"/>
    </xf>
    <xf numFmtId="199" fontId="11" fillId="0" borderId="1">
      <alignment horizontal="center" vertical="center"/>
    </xf>
    <xf numFmtId="199" fontId="11" fillId="0" borderId="1">
      <alignment horizontal="center" vertical="center"/>
    </xf>
    <xf numFmtId="199" fontId="11" fillId="0" borderId="1">
      <alignment horizontal="center" vertical="center"/>
    </xf>
    <xf numFmtId="199" fontId="11" fillId="0" borderId="1">
      <alignment horizontal="center" vertical="center"/>
    </xf>
    <xf numFmtId="199" fontId="11" fillId="0" borderId="1">
      <alignment horizontal="center" vertical="center"/>
    </xf>
    <xf numFmtId="199" fontId="11" fillId="0" borderId="1">
      <alignment horizontal="center" vertical="center"/>
    </xf>
    <xf numFmtId="199" fontId="11" fillId="0" borderId="1">
      <alignment horizontal="center" vertical="center"/>
    </xf>
    <xf numFmtId="199" fontId="11" fillId="0" borderId="1">
      <alignment horizontal="center" vertical="center"/>
    </xf>
    <xf numFmtId="199" fontId="11" fillId="0" borderId="1">
      <alignment horizontal="center" vertical="center"/>
    </xf>
    <xf numFmtId="199" fontId="11" fillId="0" borderId="1">
      <alignment horizontal="center" vertical="center"/>
    </xf>
    <xf numFmtId="199" fontId="11" fillId="0" borderId="1">
      <alignment horizontal="center" vertical="center"/>
    </xf>
    <xf numFmtId="199" fontId="11" fillId="0" borderId="1">
      <alignment horizontal="center" vertical="center"/>
    </xf>
    <xf numFmtId="199" fontId="11" fillId="0" borderId="1">
      <alignment horizontal="center" vertical="center"/>
    </xf>
    <xf numFmtId="199" fontId="11" fillId="0" borderId="1">
      <alignment horizontal="center" vertical="center"/>
    </xf>
    <xf numFmtId="199" fontId="11" fillId="0" borderId="1">
      <alignment horizontal="center" vertical="center"/>
    </xf>
    <xf numFmtId="199" fontId="11" fillId="0" borderId="1">
      <alignment horizontal="center" vertical="center"/>
    </xf>
    <xf numFmtId="199" fontId="11" fillId="0" borderId="1">
      <alignment horizontal="center" vertical="center"/>
    </xf>
    <xf numFmtId="199" fontId="11" fillId="0" borderId="1">
      <alignment horizontal="center" vertical="center"/>
    </xf>
    <xf numFmtId="199" fontId="11" fillId="0" borderId="1">
      <alignment horizontal="center" vertical="center"/>
    </xf>
    <xf numFmtId="199" fontId="11" fillId="0" borderId="1">
      <alignment horizontal="center" vertical="center"/>
    </xf>
    <xf numFmtId="199" fontId="11" fillId="0" borderId="1">
      <alignment horizontal="center" vertical="center"/>
    </xf>
    <xf numFmtId="38" fontId="44" fillId="0" borderId="0" applyFont="0" applyFill="0" applyBorder="0" applyProtection="0">
      <alignment vertical="center"/>
    </xf>
    <xf numFmtId="38" fontId="44" fillId="0" borderId="0" applyFont="0" applyFill="0" applyBorder="0" applyProtection="0">
      <alignment vertical="center"/>
    </xf>
    <xf numFmtId="38" fontId="44" fillId="0" borderId="0" applyFont="0" applyFill="0" applyBorder="0" applyProtection="0">
      <alignment vertical="center"/>
    </xf>
    <xf numFmtId="338" fontId="18" fillId="0" borderId="10">
      <alignment horizontal="center" vertical="center"/>
    </xf>
    <xf numFmtId="199" fontId="11" fillId="0" borderId="10">
      <alignment horizontal="center" vertical="center"/>
    </xf>
    <xf numFmtId="199" fontId="11" fillId="0" borderId="10">
      <alignment horizontal="center" vertical="center"/>
    </xf>
    <xf numFmtId="338" fontId="18" fillId="0" borderId="10">
      <alignment horizontal="center" vertical="center"/>
    </xf>
    <xf numFmtId="338" fontId="18" fillId="0" borderId="10">
      <alignment horizontal="center" vertical="center"/>
    </xf>
    <xf numFmtId="338" fontId="18" fillId="0" borderId="10">
      <alignment horizontal="center" vertical="center"/>
    </xf>
    <xf numFmtId="338" fontId="18" fillId="0" borderId="10">
      <alignment horizontal="center" vertical="center"/>
    </xf>
    <xf numFmtId="338" fontId="18" fillId="0" borderId="10">
      <alignment horizontal="center" vertical="center"/>
    </xf>
    <xf numFmtId="338" fontId="18" fillId="0" borderId="10">
      <alignment horizontal="center" vertical="center"/>
    </xf>
    <xf numFmtId="41" fontId="18" fillId="0" borderId="0" applyFont="0" applyFill="0" applyBorder="0" applyAlignment="0" applyProtection="0"/>
    <xf numFmtId="199" fontId="11" fillId="0" borderId="0" applyNumberFormat="0" applyFont="0" applyFill="0" applyBorder="0" applyProtection="0">
      <alignment vertical="center"/>
    </xf>
    <xf numFmtId="199" fontId="7" fillId="0" borderId="56">
      <alignment vertical="center"/>
    </xf>
    <xf numFmtId="339" fontId="5" fillId="0" borderId="1"/>
    <xf numFmtId="0" fontId="5" fillId="0" borderId="1"/>
    <xf numFmtId="0" fontId="5" fillId="0" borderId="1"/>
    <xf numFmtId="0" fontId="5" fillId="0" borderId="1"/>
    <xf numFmtId="0" fontId="5" fillId="0" borderId="1"/>
    <xf numFmtId="339" fontId="5" fillId="0" borderId="1"/>
    <xf numFmtId="339" fontId="5" fillId="0" borderId="1"/>
    <xf numFmtId="339" fontId="5" fillId="0" borderId="1"/>
    <xf numFmtId="339" fontId="5" fillId="0" borderId="1"/>
    <xf numFmtId="339" fontId="5" fillId="0" borderId="1"/>
    <xf numFmtId="339" fontId="5" fillId="0" borderId="1"/>
    <xf numFmtId="339" fontId="5" fillId="0" borderId="1"/>
    <xf numFmtId="339" fontId="5" fillId="0" borderId="1"/>
    <xf numFmtId="339" fontId="5" fillId="0" borderId="1"/>
    <xf numFmtId="339" fontId="5" fillId="0" borderId="1"/>
    <xf numFmtId="339" fontId="5" fillId="0" borderId="1"/>
    <xf numFmtId="339" fontId="5" fillId="0" borderId="1"/>
    <xf numFmtId="339" fontId="5" fillId="0" borderId="1"/>
    <xf numFmtId="231" fontId="4" fillId="41" borderId="0" applyFill="0" applyBorder="0" applyProtection="0">
      <alignment horizontal="right"/>
    </xf>
    <xf numFmtId="210" fontId="11" fillId="41" borderId="0" applyFill="0" applyBorder="0" applyProtection="0">
      <alignment horizontal="right"/>
    </xf>
    <xf numFmtId="210" fontId="11" fillId="41" borderId="0" applyFill="0" applyBorder="0" applyProtection="0">
      <alignment horizontal="right"/>
    </xf>
    <xf numFmtId="210" fontId="11" fillId="41" borderId="0" applyFill="0" applyBorder="0" applyProtection="0">
      <alignment horizontal="right"/>
    </xf>
    <xf numFmtId="210" fontId="11" fillId="41" borderId="0" applyFill="0" applyBorder="0" applyProtection="0">
      <alignment horizontal="right"/>
    </xf>
    <xf numFmtId="340" fontId="18" fillId="41" borderId="0" applyFill="0" applyBorder="0" applyProtection="0">
      <alignment horizontal="right"/>
    </xf>
    <xf numFmtId="341" fontId="11" fillId="0" borderId="10">
      <alignment horizontal="center" vertical="center"/>
    </xf>
    <xf numFmtId="231" fontId="4" fillId="41" borderId="0" applyFill="0" applyBorder="0" applyProtection="0">
      <alignment horizontal="right"/>
    </xf>
    <xf numFmtId="0" fontId="11" fillId="41" borderId="0" applyFill="0" applyBorder="0" applyProtection="0">
      <alignment horizontal="right"/>
    </xf>
    <xf numFmtId="243" fontId="42" fillId="41" borderId="0" applyFill="0" applyBorder="0" applyProtection="0">
      <alignment horizontal="right"/>
    </xf>
    <xf numFmtId="243" fontId="42" fillId="41" borderId="0" applyFill="0" applyBorder="0" applyProtection="0">
      <alignment horizontal="right"/>
    </xf>
    <xf numFmtId="243" fontId="42" fillId="41" borderId="0" applyFill="0" applyBorder="0" applyProtection="0">
      <alignment horizontal="right"/>
    </xf>
    <xf numFmtId="243" fontId="42" fillId="41" borderId="0" applyFill="0" applyBorder="0" applyProtection="0">
      <alignment horizontal="right"/>
    </xf>
    <xf numFmtId="243" fontId="42" fillId="41" borderId="0" applyFill="0" applyBorder="0" applyProtection="0">
      <alignment horizontal="right"/>
    </xf>
    <xf numFmtId="243" fontId="42" fillId="41" borderId="0" applyFill="0" applyBorder="0" applyProtection="0">
      <alignment horizontal="right"/>
    </xf>
    <xf numFmtId="243" fontId="42" fillId="41" borderId="0" applyFill="0" applyBorder="0" applyProtection="0">
      <alignment horizontal="right"/>
    </xf>
    <xf numFmtId="243" fontId="42" fillId="41" borderId="0" applyFill="0" applyBorder="0" applyProtection="0">
      <alignment horizontal="right"/>
    </xf>
    <xf numFmtId="243" fontId="42" fillId="41" borderId="0" applyFill="0" applyBorder="0" applyProtection="0">
      <alignment horizontal="right"/>
    </xf>
    <xf numFmtId="243" fontId="42" fillId="41" borderId="0" applyFill="0" applyBorder="0" applyProtection="0">
      <alignment horizontal="right"/>
    </xf>
    <xf numFmtId="243" fontId="42" fillId="41" borderId="0" applyFill="0" applyBorder="0" applyProtection="0">
      <alignment horizontal="right"/>
    </xf>
    <xf numFmtId="243" fontId="42" fillId="41" borderId="0" applyFill="0" applyBorder="0" applyProtection="0">
      <alignment horizontal="right"/>
    </xf>
    <xf numFmtId="210" fontId="11" fillId="41" borderId="0" applyFill="0" applyBorder="0" applyProtection="0">
      <alignment horizontal="right"/>
    </xf>
    <xf numFmtId="210" fontId="11" fillId="41" borderId="0" applyFill="0" applyBorder="0" applyProtection="0">
      <alignment horizontal="right"/>
    </xf>
    <xf numFmtId="210" fontId="11" fillId="41" borderId="0" applyFill="0" applyBorder="0" applyProtection="0">
      <alignment horizontal="right"/>
    </xf>
    <xf numFmtId="210" fontId="11" fillId="41" borderId="0" applyFill="0" applyBorder="0" applyProtection="0">
      <alignment horizontal="right"/>
    </xf>
    <xf numFmtId="210" fontId="11" fillId="41" borderId="0" applyFill="0" applyBorder="0" applyProtection="0">
      <alignment horizontal="right"/>
    </xf>
    <xf numFmtId="342" fontId="206" fillId="0" borderId="17" applyNumberFormat="0">
      <alignment horizontal="right" vertical="center"/>
    </xf>
    <xf numFmtId="38" fontId="44" fillId="0" borderId="0" applyFont="0" applyFill="0" applyBorder="0" applyAlignment="0" applyProtection="0">
      <alignment vertical="center"/>
    </xf>
    <xf numFmtId="181" fontId="44" fillId="0" borderId="0" applyFont="0" applyFill="0" applyBorder="0" applyAlignment="0" applyProtection="0">
      <alignment vertical="center"/>
    </xf>
    <xf numFmtId="181" fontId="44" fillId="0" borderId="0" applyFont="0" applyFill="0" applyBorder="0" applyAlignment="0" applyProtection="0">
      <alignment vertical="center"/>
    </xf>
    <xf numFmtId="181" fontId="44" fillId="0" borderId="0" applyFont="0" applyFill="0" applyBorder="0" applyAlignment="0" applyProtection="0">
      <alignment vertical="center"/>
    </xf>
    <xf numFmtId="181" fontId="44" fillId="0" borderId="0" applyFont="0" applyFill="0" applyBorder="0" applyAlignment="0" applyProtection="0">
      <alignment vertical="center"/>
    </xf>
    <xf numFmtId="181" fontId="44" fillId="0" borderId="0" applyFont="0" applyFill="0" applyBorder="0" applyAlignment="0" applyProtection="0">
      <alignment vertical="center"/>
    </xf>
    <xf numFmtId="181" fontId="44" fillId="0" borderId="0" applyFont="0" applyFill="0" applyBorder="0" applyAlignment="0" applyProtection="0">
      <alignment vertical="center"/>
    </xf>
    <xf numFmtId="181" fontId="44" fillId="0" borderId="0" applyFont="0" applyFill="0" applyBorder="0" applyAlignment="0" applyProtection="0">
      <alignment vertical="center"/>
    </xf>
    <xf numFmtId="181" fontId="44" fillId="0" borderId="0" applyFont="0" applyFill="0" applyBorder="0" applyAlignment="0" applyProtection="0">
      <alignment vertical="center"/>
    </xf>
    <xf numFmtId="181" fontId="44" fillId="0" borderId="0" applyFont="0" applyFill="0" applyBorder="0" applyAlignment="0" applyProtection="0">
      <alignment vertical="center"/>
    </xf>
    <xf numFmtId="181" fontId="44" fillId="0" borderId="0" applyFont="0" applyFill="0" applyBorder="0" applyAlignment="0" applyProtection="0">
      <alignment vertical="center"/>
    </xf>
    <xf numFmtId="181" fontId="44" fillId="0" borderId="0" applyFont="0" applyFill="0" applyBorder="0" applyAlignment="0" applyProtection="0">
      <alignment vertical="center"/>
    </xf>
    <xf numFmtId="38" fontId="44" fillId="0" borderId="0" applyFill="0" applyBorder="0" applyAlignment="0" applyProtection="0">
      <alignment vertical="center"/>
    </xf>
    <xf numFmtId="38" fontId="44" fillId="0" borderId="0" applyFill="0" applyBorder="0" applyAlignment="0" applyProtection="0">
      <alignment vertical="center"/>
    </xf>
    <xf numFmtId="38" fontId="44" fillId="0" borderId="0" applyFill="0" applyBorder="0" applyAlignment="0" applyProtection="0">
      <alignment vertical="center"/>
    </xf>
    <xf numFmtId="38" fontId="44" fillId="0" borderId="0" applyFill="0" applyBorder="0" applyAlignment="0" applyProtection="0">
      <alignment vertical="center"/>
    </xf>
    <xf numFmtId="38" fontId="44" fillId="0" borderId="0" applyFill="0" applyBorder="0" applyAlignment="0" applyProtection="0">
      <alignment vertical="center"/>
    </xf>
    <xf numFmtId="38" fontId="44" fillId="0" borderId="0" applyFill="0" applyBorder="0" applyAlignment="0" applyProtection="0">
      <alignment vertical="center"/>
    </xf>
    <xf numFmtId="38" fontId="44" fillId="0" borderId="0" applyFill="0" applyBorder="0" applyAlignment="0" applyProtection="0">
      <alignment vertical="center"/>
    </xf>
    <xf numFmtId="38" fontId="44" fillId="0" borderId="0" applyFill="0" applyBorder="0" applyAlignment="0" applyProtection="0">
      <alignment vertical="center"/>
    </xf>
    <xf numFmtId="38" fontId="44" fillId="0" borderId="0" applyFill="0" applyBorder="0" applyAlignment="0" applyProtection="0">
      <alignment vertical="center"/>
    </xf>
    <xf numFmtId="38" fontId="44" fillId="0" borderId="0" applyFill="0" applyBorder="0" applyAlignment="0" applyProtection="0">
      <alignment vertical="center"/>
    </xf>
    <xf numFmtId="38" fontId="44" fillId="0" borderId="0" applyFill="0" applyBorder="0" applyAlignment="0" applyProtection="0">
      <alignment vertical="center"/>
    </xf>
    <xf numFmtId="320" fontId="158" fillId="0" borderId="0" applyFont="0" applyFill="0" applyBorder="0" applyAlignment="0" applyProtection="0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40" fontId="11" fillId="0" borderId="9"/>
    <xf numFmtId="343" fontId="15" fillId="0" borderId="0" applyFont="0" applyFill="0" applyBorder="0" applyAlignment="0" applyProtection="0"/>
    <xf numFmtId="344" fontId="15" fillId="0" borderId="0" applyFont="0" applyFill="0" applyBorder="0" applyAlignment="0" applyProtection="0"/>
    <xf numFmtId="305" fontId="158" fillId="0" borderId="1">
      <alignment vertical="center"/>
    </xf>
    <xf numFmtId="345" fontId="15" fillId="0" borderId="0" applyFont="0" applyFill="0" applyBorder="0" applyAlignment="0" applyProtection="0"/>
    <xf numFmtId="346" fontId="15" fillId="0" borderId="0" applyFont="0" applyFill="0" applyBorder="0" applyAlignment="0" applyProtection="0"/>
    <xf numFmtId="0" fontId="11" fillId="0" borderId="0" applyFont="0" applyFill="0" applyBorder="0" applyAlignment="0" applyProtection="0"/>
    <xf numFmtId="227" fontId="11" fillId="0" borderId="0" applyFont="0" applyFill="0" applyBorder="0" applyAlignment="0" applyProtection="0"/>
    <xf numFmtId="0" fontId="11" fillId="0" borderId="0"/>
    <xf numFmtId="0" fontId="207" fillId="0" borderId="0">
      <alignment horizontal="centerContinuous" vertical="center"/>
    </xf>
    <xf numFmtId="335" fontId="208" fillId="0" borderId="1" applyNumberFormat="0" applyFont="0" applyFill="0" applyAlignment="0" applyProtection="0">
      <alignment horizontal="left" vertical="center"/>
    </xf>
    <xf numFmtId="0" fontId="7" fillId="0" borderId="1" applyNumberFormat="0" applyFont="0" applyFill="0" applyAlignment="0" applyProtection="0"/>
    <xf numFmtId="0" fontId="7" fillId="0" borderId="1" applyNumberFormat="0" applyFont="0" applyFill="0" applyAlignment="0" applyProtection="0"/>
    <xf numFmtId="0" fontId="7" fillId="0" borderId="1" applyNumberFormat="0" applyFont="0" applyFill="0" applyAlignment="0" applyProtection="0"/>
    <xf numFmtId="0" fontId="7" fillId="0" borderId="1" applyNumberFormat="0" applyFont="0" applyFill="0" applyAlignment="0" applyProtection="0"/>
    <xf numFmtId="0" fontId="7" fillId="0" borderId="1" applyNumberFormat="0" applyFont="0" applyFill="0" applyAlignment="0" applyProtection="0"/>
    <xf numFmtId="0" fontId="7" fillId="0" borderId="1" applyNumberFormat="0" applyFont="0" applyFill="0" applyAlignment="0" applyProtection="0"/>
    <xf numFmtId="0" fontId="7" fillId="0" borderId="1" applyNumberFormat="0" applyFont="0" applyFill="0" applyAlignment="0" applyProtection="0"/>
    <xf numFmtId="0" fontId="7" fillId="0" borderId="1" applyNumberFormat="0" applyFont="0" applyFill="0" applyAlignment="0" applyProtection="0"/>
    <xf numFmtId="0" fontId="7" fillId="0" borderId="1" applyNumberFormat="0" applyFont="0" applyFill="0" applyAlignment="0" applyProtection="0"/>
    <xf numFmtId="0" fontId="7" fillId="0" borderId="1" applyNumberFormat="0" applyFont="0" applyFill="0" applyAlignment="0" applyProtection="0"/>
    <xf numFmtId="0" fontId="7" fillId="0" borderId="1" applyNumberFormat="0" applyFont="0" applyFill="0" applyAlignment="0" applyProtection="0"/>
    <xf numFmtId="0" fontId="7" fillId="0" borderId="1" applyNumberFormat="0" applyFont="0" applyFill="0" applyAlignment="0" applyProtection="0"/>
    <xf numFmtId="0" fontId="7" fillId="0" borderId="1" applyNumberFormat="0" applyFont="0" applyFill="0" applyAlignment="0" applyProtection="0"/>
    <xf numFmtId="0" fontId="7" fillId="0" borderId="1" applyNumberFormat="0" applyFont="0" applyFill="0" applyAlignment="0" applyProtection="0"/>
    <xf numFmtId="191" fontId="18" fillId="0" borderId="0">
      <protection locked="0"/>
    </xf>
    <xf numFmtId="0" fontId="18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306" fontId="18" fillId="0" borderId="0">
      <protection locked="0"/>
    </xf>
    <xf numFmtId="306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306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192" fontId="45" fillId="0" borderId="0">
      <protection locked="0"/>
    </xf>
    <xf numFmtId="308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191" fontId="18" fillId="0" borderId="0">
      <protection locked="0"/>
    </xf>
    <xf numFmtId="192" fontId="45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192" fontId="45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192" fontId="45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15" fontId="205" fillId="0" borderId="0">
      <protection locked="0"/>
    </xf>
    <xf numFmtId="308" fontId="18" fillId="0" borderId="0">
      <protection locked="0"/>
    </xf>
    <xf numFmtId="192" fontId="45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315" fontId="205" fillId="0" borderId="0">
      <protection locked="0"/>
    </xf>
    <xf numFmtId="192" fontId="45" fillId="0" borderId="0">
      <protection locked="0"/>
    </xf>
    <xf numFmtId="0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15" fontId="205" fillId="0" borderId="0">
      <protection locked="0"/>
    </xf>
    <xf numFmtId="335" fontId="205" fillId="0" borderId="0">
      <protection locked="0"/>
    </xf>
    <xf numFmtId="315" fontId="205" fillId="0" borderId="0">
      <protection locked="0"/>
    </xf>
    <xf numFmtId="315" fontId="205" fillId="0" borderId="0">
      <protection locked="0"/>
    </xf>
    <xf numFmtId="192" fontId="45" fillId="0" borderId="0">
      <protection locked="0"/>
    </xf>
    <xf numFmtId="315" fontId="20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306" fontId="18" fillId="0" borderId="0">
      <protection locked="0"/>
    </xf>
    <xf numFmtId="306" fontId="18" fillId="0" borderId="0">
      <protection locked="0"/>
    </xf>
    <xf numFmtId="191" fontId="18" fillId="0" borderId="0">
      <protection locked="0"/>
    </xf>
    <xf numFmtId="191" fontId="18" fillId="0" borderId="0">
      <protection locked="0"/>
    </xf>
    <xf numFmtId="191" fontId="18" fillId="0" borderId="0">
      <protection locked="0"/>
    </xf>
    <xf numFmtId="191" fontId="18" fillId="0" borderId="0">
      <protection locked="0"/>
    </xf>
    <xf numFmtId="191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306" fontId="18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0" fontId="18" fillId="0" borderId="0">
      <protection locked="0"/>
    </xf>
    <xf numFmtId="191" fontId="18" fillId="0" borderId="0">
      <protection locked="0"/>
    </xf>
    <xf numFmtId="191" fontId="18" fillId="0" borderId="0">
      <protection locked="0"/>
    </xf>
    <xf numFmtId="191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191" fontId="18" fillId="0" borderId="0">
      <protection locked="0"/>
    </xf>
    <xf numFmtId="0" fontId="18" fillId="0" borderId="0">
      <protection locked="0"/>
    </xf>
    <xf numFmtId="213" fontId="209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18" fillId="0" borderId="0" applyFont="0" applyFill="0" applyBorder="0" applyAlignment="0" applyProtection="0"/>
    <xf numFmtId="42" fontId="2" fillId="0" borderId="0" applyFont="0" applyFill="0" applyBorder="0" applyAlignment="0" applyProtection="0"/>
    <xf numFmtId="0" fontId="11" fillId="0" borderId="0" applyFont="0" applyFill="0" applyBorder="0" applyAlignment="0" applyProtection="0"/>
    <xf numFmtId="219" fontId="209" fillId="0" borderId="0" applyFont="0" applyFill="0" applyBorder="0" applyAlignment="0" applyProtection="0"/>
    <xf numFmtId="347" fontId="11" fillId="0" borderId="0">
      <protection locked="0"/>
    </xf>
    <xf numFmtId="348" fontId="36" fillId="0" borderId="0">
      <protection locked="0"/>
    </xf>
    <xf numFmtId="347" fontId="11" fillId="0" borderId="0">
      <protection locked="0"/>
    </xf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48"/>
    <xf numFmtId="0" fontId="18" fillId="0" borderId="0"/>
    <xf numFmtId="0" fontId="18" fillId="0" borderId="0"/>
    <xf numFmtId="0" fontId="180" fillId="0" borderId="17">
      <alignment horizontal="center" vertical="center"/>
    </xf>
    <xf numFmtId="0" fontId="180" fillId="0" borderId="17">
      <alignment horizontal="left" vertical="center"/>
    </xf>
    <xf numFmtId="0" fontId="180" fillId="0" borderId="17">
      <alignment vertical="center" textRotation="255"/>
    </xf>
    <xf numFmtId="0" fontId="18" fillId="0" borderId="0"/>
    <xf numFmtId="0" fontId="18" fillId="0" borderId="0"/>
    <xf numFmtId="306" fontId="18" fillId="0" borderId="0">
      <protection locked="0"/>
    </xf>
    <xf numFmtId="306" fontId="18" fillId="0" borderId="0">
      <protection locked="0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/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192" fontId="45" fillId="0" borderId="0">
      <protection locked="0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191" fontId="18" fillId="0" borderId="0">
      <protection locked="0"/>
    </xf>
    <xf numFmtId="0" fontId="18" fillId="0" borderId="0"/>
    <xf numFmtId="0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192" fontId="45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0" fontId="18" fillId="0" borderId="0"/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15" fontId="205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192" fontId="45" fillId="0" borderId="0">
      <protection locked="0"/>
    </xf>
    <xf numFmtId="0" fontId="18" fillId="0" borderId="0"/>
    <xf numFmtId="0" fontId="18" fillId="0" borderId="0"/>
    <xf numFmtId="0" fontId="18" fillId="0" borderId="0"/>
    <xf numFmtId="0" fontId="18" fillId="0" borderId="0"/>
    <xf numFmtId="306" fontId="18" fillId="0" borderId="0">
      <protection locked="0"/>
    </xf>
    <xf numFmtId="306" fontId="18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315" fontId="205" fillId="0" borderId="0">
      <protection locked="0"/>
    </xf>
    <xf numFmtId="0" fontId="18" fillId="0" borderId="0"/>
    <xf numFmtId="0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0" fontId="18" fillId="0" borderId="0"/>
    <xf numFmtId="0" fontId="18" fillId="0" borderId="0"/>
    <xf numFmtId="315" fontId="205" fillId="0" borderId="0">
      <protection locked="0"/>
    </xf>
    <xf numFmtId="335" fontId="205" fillId="0" borderId="0">
      <protection locked="0"/>
    </xf>
    <xf numFmtId="315" fontId="205" fillId="0" borderId="0">
      <protection locked="0"/>
    </xf>
    <xf numFmtId="315" fontId="205" fillId="0" borderId="0">
      <protection locked="0"/>
    </xf>
    <xf numFmtId="192" fontId="45" fillId="0" borderId="0">
      <protection locked="0"/>
    </xf>
    <xf numFmtId="315" fontId="20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306" fontId="18" fillId="0" borderId="0">
      <protection locked="0"/>
    </xf>
    <xf numFmtId="306" fontId="18" fillId="0" borderId="0">
      <protection locked="0"/>
    </xf>
    <xf numFmtId="191" fontId="18" fillId="0" borderId="0">
      <protection locked="0"/>
    </xf>
    <xf numFmtId="191" fontId="18" fillId="0" borderId="0">
      <protection locked="0"/>
    </xf>
    <xf numFmtId="191" fontId="18" fillId="0" borderId="0">
      <protection locked="0"/>
    </xf>
    <xf numFmtId="191" fontId="18" fillId="0" borderId="0">
      <protection locked="0"/>
    </xf>
    <xf numFmtId="191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0" fontId="18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192" fontId="45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0" fontId="18" fillId="0" borderId="0">
      <protection locked="0"/>
    </xf>
    <xf numFmtId="191" fontId="18" fillId="0" borderId="0">
      <protection locked="0"/>
    </xf>
    <xf numFmtId="191" fontId="18" fillId="0" borderId="0">
      <protection locked="0"/>
    </xf>
    <xf numFmtId="191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308" fontId="18" fillId="0" borderId="0">
      <protection locked="0"/>
    </xf>
    <xf numFmtId="0" fontId="55" fillId="57" borderId="57" applyNumberFormat="0" applyProtection="0">
      <alignment horizontal="right"/>
    </xf>
    <xf numFmtId="0" fontId="210" fillId="0" borderId="0">
      <alignment vertical="center"/>
    </xf>
    <xf numFmtId="0" fontId="211" fillId="0" borderId="0"/>
    <xf numFmtId="0" fontId="211" fillId="0" borderId="0"/>
    <xf numFmtId="0" fontId="212" fillId="0" borderId="0"/>
    <xf numFmtId="0" fontId="49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13" fillId="0" borderId="0"/>
    <xf numFmtId="0" fontId="18" fillId="0" borderId="0"/>
    <xf numFmtId="250" fontId="1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" fillId="0" borderId="0">
      <alignment vertical="center"/>
    </xf>
    <xf numFmtId="0" fontId="1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14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11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15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11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49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5" fillId="0" borderId="0"/>
    <xf numFmtId="0" fontId="68" fillId="0" borderId="0">
      <alignment vertical="center"/>
    </xf>
    <xf numFmtId="0" fontId="68" fillId="0" borderId="0">
      <alignment vertical="center"/>
    </xf>
    <xf numFmtId="0" fontId="214" fillId="0" borderId="0">
      <alignment vertical="center"/>
    </xf>
    <xf numFmtId="0" fontId="68" fillId="0" borderId="0">
      <alignment vertical="center"/>
    </xf>
    <xf numFmtId="0" fontId="21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272" fontId="18" fillId="0" borderId="0"/>
    <xf numFmtId="0" fontId="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49" fillId="0" borderId="0">
      <alignment vertical="center"/>
    </xf>
    <xf numFmtId="0" fontId="49" fillId="0" borderId="0">
      <alignment vertical="center"/>
    </xf>
    <xf numFmtId="0" fontId="68" fillId="0" borderId="0">
      <alignment vertical="center"/>
    </xf>
    <xf numFmtId="0" fontId="163" fillId="0" borderId="0">
      <alignment vertical="center"/>
    </xf>
    <xf numFmtId="0" fontId="3" fillId="0" borderId="0"/>
    <xf numFmtId="0" fontId="7" fillId="0" borderId="0"/>
    <xf numFmtId="0" fontId="48" fillId="0" borderId="0">
      <alignment vertical="center"/>
    </xf>
    <xf numFmtId="0" fontId="3" fillId="0" borderId="0"/>
    <xf numFmtId="0" fontId="18" fillId="0" borderId="0"/>
    <xf numFmtId="0" fontId="18" fillId="0" borderId="0">
      <alignment vertical="center"/>
    </xf>
    <xf numFmtId="0" fontId="3" fillId="0" borderId="0"/>
    <xf numFmtId="0" fontId="18" fillId="0" borderId="0"/>
    <xf numFmtId="0" fontId="44" fillId="0" borderId="0"/>
    <xf numFmtId="0" fontId="18" fillId="0" borderId="0">
      <alignment vertical="center"/>
    </xf>
    <xf numFmtId="0" fontId="85" fillId="0" borderId="0"/>
    <xf numFmtId="0" fontId="18" fillId="0" borderId="0">
      <alignment vertical="center"/>
    </xf>
    <xf numFmtId="0" fontId="18" fillId="0" borderId="0"/>
    <xf numFmtId="0" fontId="216" fillId="0" borderId="0">
      <alignment vertical="center"/>
    </xf>
    <xf numFmtId="0" fontId="5" fillId="0" borderId="0"/>
    <xf numFmtId="0" fontId="188" fillId="0" borderId="0"/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8" fillId="0" borderId="0">
      <alignment vertical="center"/>
    </xf>
    <xf numFmtId="0" fontId="17" fillId="0" borderId="0"/>
    <xf numFmtId="0" fontId="17" fillId="0" borderId="0"/>
    <xf numFmtId="0" fontId="49" fillId="0" borderId="0">
      <alignment vertical="center"/>
    </xf>
    <xf numFmtId="0" fontId="68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157" fillId="0" borderId="0"/>
    <xf numFmtId="0" fontId="217" fillId="0" borderId="0">
      <alignment vertical="center"/>
    </xf>
    <xf numFmtId="0" fontId="4" fillId="0" borderId="0">
      <alignment vertical="center"/>
    </xf>
    <xf numFmtId="0" fontId="11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8" fillId="0" borderId="0"/>
    <xf numFmtId="0" fontId="18" fillId="0" borderId="0"/>
    <xf numFmtId="0" fontId="68" fillId="0" borderId="0">
      <alignment vertical="center"/>
    </xf>
    <xf numFmtId="0" fontId="150" fillId="0" borderId="0"/>
    <xf numFmtId="0" fontId="4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1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8" fillId="0" borderId="0"/>
    <xf numFmtId="0" fontId="18" fillId="0" borderId="0">
      <alignment vertical="center"/>
    </xf>
    <xf numFmtId="0" fontId="219" fillId="0" borderId="0">
      <alignment vertical="center"/>
    </xf>
    <xf numFmtId="0" fontId="18" fillId="0" borderId="0"/>
    <xf numFmtId="0" fontId="184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15" fillId="0" borderId="0">
      <alignment vertical="center"/>
    </xf>
    <xf numFmtId="0" fontId="18" fillId="0" borderId="0"/>
    <xf numFmtId="0" fontId="7" fillId="0" borderId="0"/>
    <xf numFmtId="0" fontId="5" fillId="0" borderId="0"/>
    <xf numFmtId="0" fontId="11" fillId="0" borderId="0"/>
    <xf numFmtId="0" fontId="68" fillId="0" borderId="0">
      <alignment vertical="center"/>
    </xf>
    <xf numFmtId="0" fontId="188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" fillId="0" borderId="0">
      <alignment vertical="center"/>
    </xf>
    <xf numFmtId="0" fontId="5" fillId="0" borderId="0"/>
    <xf numFmtId="0" fontId="18" fillId="0" borderId="0"/>
    <xf numFmtId="0" fontId="188" fillId="0" borderId="0"/>
    <xf numFmtId="0" fontId="21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54" fillId="0" borderId="0"/>
    <xf numFmtId="0" fontId="18" fillId="0" borderId="0"/>
    <xf numFmtId="0" fontId="68" fillId="0" borderId="0">
      <alignment vertical="center"/>
    </xf>
    <xf numFmtId="0" fontId="212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8" fillId="0" borderId="0">
      <alignment vertical="center"/>
    </xf>
    <xf numFmtId="0" fontId="18" fillId="0" borderId="0"/>
    <xf numFmtId="0" fontId="68" fillId="0" borderId="0">
      <alignment vertical="center"/>
    </xf>
    <xf numFmtId="0" fontId="212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20" fillId="0" borderId="0"/>
    <xf numFmtId="0" fontId="11" fillId="0" borderId="17">
      <alignment vertical="center" wrapText="1"/>
    </xf>
    <xf numFmtId="0" fontId="7" fillId="0" borderId="0"/>
    <xf numFmtId="0" fontId="7" fillId="0" borderId="0"/>
    <xf numFmtId="0" fontId="7" fillId="0" borderId="0"/>
    <xf numFmtId="0" fontId="11" fillId="0" borderId="17">
      <alignment vertical="center" wrapText="1"/>
    </xf>
    <xf numFmtId="0" fontId="7" fillId="0" borderId="0"/>
    <xf numFmtId="0" fontId="7" fillId="0" borderId="0" applyProtection="0"/>
    <xf numFmtId="0" fontId="7" fillId="0" borderId="0" applyProtection="0"/>
    <xf numFmtId="0" fontId="7" fillId="0" borderId="0" applyProtection="0"/>
    <xf numFmtId="49" fontId="44" fillId="0" borderId="0">
      <alignment horizontal="left"/>
    </xf>
    <xf numFmtId="0" fontId="11" fillId="0" borderId="0"/>
    <xf numFmtId="0" fontId="12" fillId="0" borderId="0">
      <alignment vertical="center"/>
    </xf>
    <xf numFmtId="0" fontId="221" fillId="0" borderId="0" applyNumberFormat="0" applyFill="0" applyBorder="0" applyAlignment="0" applyProtection="0">
      <alignment vertical="top"/>
      <protection locked="0"/>
    </xf>
    <xf numFmtId="0" fontId="7" fillId="0" borderId="17">
      <alignment horizontal="center" vertical="center" wrapText="1"/>
    </xf>
    <xf numFmtId="5" fontId="18" fillId="0" borderId="0" applyBorder="0"/>
    <xf numFmtId="5" fontId="18" fillId="0" borderId="0" applyBorder="0"/>
    <xf numFmtId="5" fontId="18" fillId="0" borderId="0" applyBorder="0"/>
    <xf numFmtId="349" fontId="18" fillId="0" borderId="0" applyBorder="0"/>
    <xf numFmtId="0" fontId="7" fillId="0" borderId="17">
      <alignment horizontal="center" vertical="center" wrapText="1"/>
    </xf>
    <xf numFmtId="5" fontId="18" fillId="0" borderId="0" applyBorder="0"/>
    <xf numFmtId="5" fontId="18" fillId="0" borderId="0" applyBorder="0"/>
    <xf numFmtId="5" fontId="18" fillId="0" borderId="0" applyBorder="0"/>
    <xf numFmtId="5" fontId="18" fillId="0" borderId="0" applyBorder="0"/>
    <xf numFmtId="5" fontId="18" fillId="0" borderId="0" applyBorder="0"/>
    <xf numFmtId="5" fontId="18" fillId="0" borderId="0" applyBorder="0"/>
    <xf numFmtId="5" fontId="18" fillId="0" borderId="0" applyBorder="0"/>
    <xf numFmtId="5" fontId="18" fillId="0" borderId="0" applyBorder="0"/>
    <xf numFmtId="0" fontId="29" fillId="0" borderId="4">
      <protection locked="0"/>
    </xf>
    <xf numFmtId="184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35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351" fontId="11" fillId="0" borderId="0">
      <protection locked="0"/>
    </xf>
    <xf numFmtId="352" fontId="36" fillId="0" borderId="0">
      <protection locked="0"/>
    </xf>
    <xf numFmtId="351" fontId="11" fillId="0" borderId="0">
      <protection locked="0"/>
    </xf>
    <xf numFmtId="352" fontId="36" fillId="0" borderId="0">
      <protection locked="0"/>
    </xf>
    <xf numFmtId="353" fontId="11" fillId="0" borderId="0">
      <protection locked="0"/>
    </xf>
    <xf numFmtId="354" fontId="36" fillId="0" borderId="0">
      <protection locked="0"/>
    </xf>
    <xf numFmtId="353" fontId="11" fillId="0" borderId="0">
      <protection locked="0"/>
    </xf>
    <xf numFmtId="199" fontId="11" fillId="0" borderId="8"/>
    <xf numFmtId="41" fontId="18" fillId="0" borderId="0" applyFont="0" applyFill="0" applyBorder="0" applyAlignment="0" applyProtection="0">
      <alignment vertical="center"/>
    </xf>
  </cellStyleXfs>
  <cellXfs count="351">
    <xf numFmtId="0" fontId="0" fillId="0" borderId="0" xfId="0"/>
    <xf numFmtId="177" fontId="0" fillId="0" borderId="1" xfId="0" applyNumberFormat="1" applyBorder="1" applyAlignment="1">
      <alignment vertical="center"/>
    </xf>
    <xf numFmtId="177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179" fontId="0" fillId="0" borderId="1" xfId="0" applyNumberFormat="1" applyBorder="1" applyAlignment="1">
      <alignment vertical="center"/>
    </xf>
    <xf numFmtId="176" fontId="0" fillId="0" borderId="1" xfId="0" applyNumberFormat="1" applyBorder="1" applyAlignment="1">
      <alignment vertical="center"/>
    </xf>
    <xf numFmtId="0" fontId="0" fillId="0" borderId="1" xfId="0" applyBorder="1"/>
    <xf numFmtId="177" fontId="4" fillId="0" borderId="1" xfId="0" applyNumberFormat="1" applyFont="1" applyBorder="1" applyAlignment="1">
      <alignment vertical="center"/>
    </xf>
    <xf numFmtId="178" fontId="0" fillId="0" borderId="1" xfId="0" applyNumberFormat="1" applyBorder="1" applyAlignment="1">
      <alignment vertical="center"/>
    </xf>
    <xf numFmtId="180" fontId="0" fillId="0" borderId="1" xfId="0" applyNumberFormat="1" applyBorder="1" applyAlignment="1">
      <alignment vertical="center"/>
    </xf>
    <xf numFmtId="180" fontId="4" fillId="0" borderId="1" xfId="0" applyNumberFormat="1" applyFont="1" applyBorder="1" applyAlignment="1">
      <alignment vertical="center"/>
    </xf>
    <xf numFmtId="0" fontId="0" fillId="0" borderId="0" xfId="0" applyAlignment="1">
      <alignment horizontal="center"/>
    </xf>
    <xf numFmtId="177" fontId="0" fillId="0" borderId="1" xfId="0" applyNumberFormat="1" applyBorder="1" applyAlignment="1">
      <alignment horizontal="center" vertical="center" wrapText="1"/>
    </xf>
    <xf numFmtId="177" fontId="0" fillId="0" borderId="59" xfId="0" applyNumberFormat="1" applyBorder="1" applyAlignment="1">
      <alignment vertical="center"/>
    </xf>
    <xf numFmtId="177" fontId="0" fillId="0" borderId="58" xfId="0" applyNumberFormat="1" applyBorder="1" applyAlignment="1">
      <alignment vertical="center"/>
    </xf>
    <xf numFmtId="177" fontId="0" fillId="0" borderId="58" xfId="0" applyNumberFormat="1" applyBorder="1" applyAlignment="1">
      <alignment horizontal="center" vertical="center"/>
    </xf>
    <xf numFmtId="177" fontId="0" fillId="0" borderId="59" xfId="0" applyNumberFormat="1" applyBorder="1" applyAlignment="1">
      <alignment horizontal="center" vertical="center"/>
    </xf>
    <xf numFmtId="0" fontId="4" fillId="0" borderId="0" xfId="0" applyFont="1"/>
    <xf numFmtId="177" fontId="4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179" fontId="4" fillId="0" borderId="1" xfId="0" applyNumberFormat="1" applyFont="1" applyBorder="1" applyAlignment="1">
      <alignment vertical="center"/>
    </xf>
    <xf numFmtId="178" fontId="4" fillId="0" borderId="1" xfId="0" applyNumberFormat="1" applyFont="1" applyBorder="1" applyAlignment="1">
      <alignment vertical="center"/>
    </xf>
    <xf numFmtId="177" fontId="4" fillId="0" borderId="1" xfId="0" applyNumberFormat="1" applyFont="1" applyBorder="1" applyAlignment="1">
      <alignment horizontal="center" vertical="center" wrapText="1"/>
    </xf>
    <xf numFmtId="177" fontId="0" fillId="58" borderId="1" xfId="0" applyNumberFormat="1" applyFill="1" applyBorder="1" applyAlignment="1">
      <alignment horizontal="center" vertical="center"/>
    </xf>
    <xf numFmtId="177" fontId="0" fillId="58" borderId="59" xfId="0" applyNumberFormat="1" applyFill="1" applyBorder="1" applyAlignment="1">
      <alignment vertical="center"/>
    </xf>
    <xf numFmtId="177" fontId="0" fillId="58" borderId="58" xfId="0" applyNumberFormat="1" applyFill="1" applyBorder="1" applyAlignment="1">
      <alignment vertical="center"/>
    </xf>
    <xf numFmtId="177" fontId="0" fillId="58" borderId="1" xfId="0" applyNumberFormat="1" applyFill="1" applyBorder="1" applyAlignment="1">
      <alignment vertical="center"/>
    </xf>
    <xf numFmtId="179" fontId="0" fillId="58" borderId="1" xfId="0" applyNumberFormat="1" applyFill="1" applyBorder="1" applyAlignment="1">
      <alignment vertical="center"/>
    </xf>
    <xf numFmtId="178" fontId="0" fillId="58" borderId="1" xfId="0" applyNumberFormat="1" applyFill="1" applyBorder="1" applyAlignment="1">
      <alignment vertical="center"/>
    </xf>
    <xf numFmtId="0" fontId="0" fillId="58" borderId="1" xfId="0" applyFill="1" applyBorder="1" applyAlignment="1">
      <alignment vertical="center"/>
    </xf>
    <xf numFmtId="177" fontId="0" fillId="58" borderId="59" xfId="0" applyNumberFormat="1" applyFill="1" applyBorder="1" applyAlignment="1">
      <alignment horizontal="center" vertical="center"/>
    </xf>
    <xf numFmtId="177" fontId="0" fillId="58" borderId="58" xfId="0" applyNumberFormat="1" applyFill="1" applyBorder="1" applyAlignment="1">
      <alignment horizontal="center" vertical="center"/>
    </xf>
    <xf numFmtId="177" fontId="0" fillId="58" borderId="1" xfId="0" applyNumberFormat="1" applyFill="1" applyBorder="1" applyAlignment="1">
      <alignment horizontal="center" vertical="center" wrapText="1"/>
    </xf>
    <xf numFmtId="355" fontId="0" fillId="0" borderId="1" xfId="0" applyNumberFormat="1" applyBorder="1" applyAlignment="1">
      <alignment horizontal="left" vertical="center"/>
    </xf>
    <xf numFmtId="38" fontId="0" fillId="0" borderId="1" xfId="0" applyNumberFormat="1" applyBorder="1" applyAlignment="1">
      <alignment vertical="center"/>
    </xf>
    <xf numFmtId="38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/>
    </xf>
    <xf numFmtId="0" fontId="0" fillId="0" borderId="59" xfId="0" applyBorder="1"/>
    <xf numFmtId="0" fontId="0" fillId="0" borderId="58" xfId="0" applyBorder="1"/>
    <xf numFmtId="355" fontId="0" fillId="0" borderId="59" xfId="0" applyNumberFormat="1" applyBorder="1" applyAlignment="1">
      <alignment horizontal="left" vertical="center"/>
    </xf>
    <xf numFmtId="317" fontId="0" fillId="0" borderId="1" xfId="0" applyNumberFormat="1" applyBorder="1" applyAlignment="1">
      <alignment vertical="center"/>
    </xf>
    <xf numFmtId="177" fontId="222" fillId="58" borderId="58" xfId="0" applyNumberFormat="1" applyFont="1" applyFill="1" applyBorder="1" applyAlignment="1">
      <alignment vertical="center"/>
    </xf>
    <xf numFmtId="177" fontId="222" fillId="58" borderId="1" xfId="0" applyNumberFormat="1" applyFont="1" applyFill="1" applyBorder="1" applyAlignment="1">
      <alignment vertical="center"/>
    </xf>
    <xf numFmtId="177" fontId="222" fillId="58" borderId="1" xfId="0" applyNumberFormat="1" applyFont="1" applyFill="1" applyBorder="1" applyAlignment="1">
      <alignment horizontal="center" vertical="center"/>
    </xf>
    <xf numFmtId="176" fontId="222" fillId="58" borderId="1" xfId="0" applyNumberFormat="1" applyFont="1" applyFill="1" applyBorder="1" applyAlignment="1">
      <alignment vertical="center"/>
    </xf>
    <xf numFmtId="355" fontId="222" fillId="58" borderId="59" xfId="0" applyNumberFormat="1" applyFont="1" applyFill="1" applyBorder="1" applyAlignment="1">
      <alignment horizontal="left" vertical="center"/>
    </xf>
    <xf numFmtId="177" fontId="222" fillId="0" borderId="58" xfId="0" applyNumberFormat="1" applyFont="1" applyBorder="1" applyAlignment="1">
      <alignment vertical="center"/>
    </xf>
    <xf numFmtId="177" fontId="222" fillId="0" borderId="1" xfId="0" applyNumberFormat="1" applyFont="1" applyBorder="1" applyAlignment="1">
      <alignment vertical="center"/>
    </xf>
    <xf numFmtId="177" fontId="222" fillId="0" borderId="1" xfId="0" applyNumberFormat="1" applyFont="1" applyBorder="1" applyAlignment="1">
      <alignment horizontal="center" vertical="center"/>
    </xf>
    <xf numFmtId="0" fontId="222" fillId="0" borderId="60" xfId="0" applyFont="1" applyBorder="1"/>
    <xf numFmtId="176" fontId="222" fillId="0" borderId="1" xfId="0" applyNumberFormat="1" applyFont="1" applyBorder="1" applyAlignment="1">
      <alignment vertical="center"/>
    </xf>
    <xf numFmtId="0" fontId="222" fillId="0" borderId="1" xfId="0" applyFont="1" applyBorder="1"/>
    <xf numFmtId="355" fontId="222" fillId="0" borderId="59" xfId="0" applyNumberFormat="1" applyFont="1" applyBorder="1" applyAlignment="1">
      <alignment horizontal="left" vertical="center"/>
    </xf>
    <xf numFmtId="0" fontId="0" fillId="0" borderId="58" xfId="0" applyBorder="1" applyAlignment="1">
      <alignment vertical="center"/>
    </xf>
    <xf numFmtId="355" fontId="0" fillId="0" borderId="58" xfId="0" applyNumberFormat="1" applyBorder="1" applyAlignment="1">
      <alignment horizontal="left" vertical="center"/>
    </xf>
    <xf numFmtId="177" fontId="4" fillId="0" borderId="58" xfId="0" applyNumberFormat="1" applyFont="1" applyBorder="1" applyAlignment="1">
      <alignment vertical="center"/>
    </xf>
    <xf numFmtId="177" fontId="4" fillId="0" borderId="1" xfId="0" applyNumberFormat="1" applyFont="1" applyBorder="1" applyAlignment="1">
      <alignment horizontal="center" vertical="center"/>
    </xf>
    <xf numFmtId="177" fontId="4" fillId="0" borderId="59" xfId="0" applyNumberFormat="1" applyFont="1" applyBorder="1" applyAlignment="1">
      <alignment vertical="center"/>
    </xf>
    <xf numFmtId="177" fontId="4" fillId="0" borderId="59" xfId="0" applyNumberFormat="1" applyFont="1" applyBorder="1" applyAlignment="1">
      <alignment horizontal="left" vertical="center"/>
    </xf>
    <xf numFmtId="177" fontId="4" fillId="0" borderId="58" xfId="0" applyNumberFormat="1" applyFont="1" applyBorder="1" applyAlignment="1">
      <alignment horizontal="center" vertical="center"/>
    </xf>
    <xf numFmtId="177" fontId="4" fillId="0" borderId="59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77" fontId="222" fillId="58" borderId="1" xfId="0" applyNumberFormat="1" applyFont="1" applyFill="1" applyBorder="1" applyAlignment="1">
      <alignment horizontal="center" vertical="center" wrapText="1"/>
    </xf>
    <xf numFmtId="177" fontId="222" fillId="0" borderId="1" xfId="0" applyNumberFormat="1" applyFont="1" applyBorder="1" applyAlignment="1">
      <alignment horizontal="center" vertical="center" wrapText="1"/>
    </xf>
    <xf numFmtId="355" fontId="223" fillId="0" borderId="59" xfId="0" applyNumberFormat="1" applyFont="1" applyBorder="1" applyAlignment="1">
      <alignment horizontal="left" vertical="center"/>
    </xf>
    <xf numFmtId="177" fontId="223" fillId="0" borderId="58" xfId="0" applyNumberFormat="1" applyFont="1" applyBorder="1" applyAlignment="1">
      <alignment vertical="center"/>
    </xf>
    <xf numFmtId="177" fontId="223" fillId="0" borderId="1" xfId="0" applyNumberFormat="1" applyFont="1" applyBorder="1" applyAlignment="1">
      <alignment vertical="center"/>
    </xf>
    <xf numFmtId="177" fontId="223" fillId="0" borderId="1" xfId="0" applyNumberFormat="1" applyFont="1" applyBorder="1" applyAlignment="1">
      <alignment horizontal="center" vertical="center"/>
    </xf>
    <xf numFmtId="176" fontId="223" fillId="0" borderId="1" xfId="0" applyNumberFormat="1" applyFont="1" applyBorder="1" applyAlignment="1">
      <alignment vertical="center"/>
    </xf>
    <xf numFmtId="177" fontId="223" fillId="0" borderId="1" xfId="0" applyNumberFormat="1" applyFont="1" applyBorder="1" applyAlignment="1">
      <alignment horizontal="center" vertical="center" wrapText="1"/>
    </xf>
    <xf numFmtId="0" fontId="223" fillId="0" borderId="1" xfId="0" applyFont="1" applyBorder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22" fillId="58" borderId="1" xfId="0" applyFont="1" applyFill="1" applyBorder="1"/>
    <xf numFmtId="0" fontId="4" fillId="0" borderId="0" xfId="0" applyFont="1" applyAlignment="1">
      <alignment vertical="center"/>
    </xf>
    <xf numFmtId="179" fontId="0" fillId="0" borderId="60" xfId="0" applyNumberFormat="1" applyBorder="1" applyAlignment="1">
      <alignment vertical="center"/>
    </xf>
    <xf numFmtId="0" fontId="222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356" fontId="0" fillId="58" borderId="1" xfId="0" applyNumberFormat="1" applyFill="1" applyBorder="1" applyAlignment="1">
      <alignment horizontal="left" vertical="center"/>
    </xf>
    <xf numFmtId="357" fontId="4" fillId="0" borderId="1" xfId="0" applyNumberFormat="1" applyFont="1" applyBorder="1" applyAlignment="1">
      <alignment horizontal="left" vertical="center"/>
    </xf>
    <xf numFmtId="177" fontId="4" fillId="59" borderId="58" xfId="0" applyNumberFormat="1" applyFont="1" applyFill="1" applyBorder="1" applyAlignment="1">
      <alignment vertical="center"/>
    </xf>
    <xf numFmtId="357" fontId="4" fillId="59" borderId="1" xfId="0" applyNumberFormat="1" applyFont="1" applyFill="1" applyBorder="1" applyAlignment="1">
      <alignment horizontal="left" vertical="center"/>
    </xf>
    <xf numFmtId="0" fontId="4" fillId="59" borderId="1" xfId="0" applyFont="1" applyFill="1" applyBorder="1" applyAlignment="1">
      <alignment vertical="center"/>
    </xf>
    <xf numFmtId="177" fontId="4" fillId="59" borderId="1" xfId="0" applyNumberFormat="1" applyFont="1" applyFill="1" applyBorder="1" applyAlignment="1">
      <alignment horizontal="center" vertical="center"/>
    </xf>
    <xf numFmtId="179" fontId="4" fillId="59" borderId="1" xfId="0" applyNumberFormat="1" applyFont="1" applyFill="1" applyBorder="1" applyAlignment="1">
      <alignment vertical="center"/>
    </xf>
    <xf numFmtId="178" fontId="4" fillId="59" borderId="1" xfId="0" applyNumberFormat="1" applyFont="1" applyFill="1" applyBorder="1" applyAlignment="1">
      <alignment vertical="center"/>
    </xf>
    <xf numFmtId="177" fontId="4" fillId="59" borderId="1" xfId="0" applyNumberFormat="1" applyFont="1" applyFill="1" applyBorder="1" applyAlignment="1">
      <alignment vertical="center"/>
    </xf>
    <xf numFmtId="177" fontId="0" fillId="59" borderId="58" xfId="0" applyNumberFormat="1" applyFill="1" applyBorder="1" applyAlignment="1">
      <alignment vertical="center"/>
    </xf>
    <xf numFmtId="177" fontId="0" fillId="59" borderId="1" xfId="0" applyNumberFormat="1" applyFill="1" applyBorder="1" applyAlignment="1">
      <alignment vertical="center"/>
    </xf>
    <xf numFmtId="0" fontId="0" fillId="59" borderId="1" xfId="0" applyFill="1" applyBorder="1" applyAlignment="1">
      <alignment vertical="center"/>
    </xf>
    <xf numFmtId="177" fontId="0" fillId="59" borderId="1" xfId="0" applyNumberFormat="1" applyFill="1" applyBorder="1" applyAlignment="1">
      <alignment horizontal="center" vertical="center"/>
    </xf>
    <xf numFmtId="179" fontId="0" fillId="59" borderId="1" xfId="0" applyNumberFormat="1" applyFill="1" applyBorder="1" applyAlignment="1">
      <alignment vertical="center"/>
    </xf>
    <xf numFmtId="178" fontId="0" fillId="59" borderId="1" xfId="0" applyNumberFormat="1" applyFill="1" applyBorder="1" applyAlignment="1">
      <alignment vertical="center"/>
    </xf>
    <xf numFmtId="321" fontId="0" fillId="0" borderId="1" xfId="0" applyNumberFormat="1" applyBorder="1" applyAlignment="1">
      <alignment vertical="center"/>
    </xf>
    <xf numFmtId="177" fontId="0" fillId="59" borderId="59" xfId="0" applyNumberFormat="1" applyFill="1" applyBorder="1" applyAlignment="1">
      <alignment vertical="center"/>
    </xf>
    <xf numFmtId="356" fontId="0" fillId="59" borderId="1" xfId="0" applyNumberFormat="1" applyFill="1" applyBorder="1" applyAlignment="1">
      <alignment horizontal="left" vertical="center"/>
    </xf>
    <xf numFmtId="177" fontId="0" fillId="59" borderId="1" xfId="0" applyNumberFormat="1" applyFill="1" applyBorder="1" applyAlignment="1">
      <alignment horizontal="center" vertical="center" wrapText="1"/>
    </xf>
    <xf numFmtId="356" fontId="0" fillId="0" borderId="1" xfId="0" applyNumberFormat="1" applyBorder="1" applyAlignment="1">
      <alignment horizontal="left" vertical="center"/>
    </xf>
    <xf numFmtId="355" fontId="223" fillId="60" borderId="59" xfId="0" applyNumberFormat="1" applyFont="1" applyFill="1" applyBorder="1" applyAlignment="1">
      <alignment horizontal="left" vertical="center"/>
    </xf>
    <xf numFmtId="177" fontId="223" fillId="60" borderId="58" xfId="0" applyNumberFormat="1" applyFont="1" applyFill="1" applyBorder="1" applyAlignment="1">
      <alignment vertical="center"/>
    </xf>
    <xf numFmtId="177" fontId="223" fillId="60" borderId="1" xfId="0" applyNumberFormat="1" applyFont="1" applyFill="1" applyBorder="1" applyAlignment="1">
      <alignment vertical="center"/>
    </xf>
    <xf numFmtId="177" fontId="223" fillId="60" borderId="1" xfId="0" applyNumberFormat="1" applyFont="1" applyFill="1" applyBorder="1" applyAlignment="1">
      <alignment horizontal="center" vertical="center"/>
    </xf>
    <xf numFmtId="0" fontId="223" fillId="60" borderId="1" xfId="0" applyFont="1" applyFill="1" applyBorder="1"/>
    <xf numFmtId="176" fontId="223" fillId="60" borderId="1" xfId="0" applyNumberFormat="1" applyFont="1" applyFill="1" applyBorder="1" applyAlignment="1">
      <alignment vertical="center"/>
    </xf>
    <xf numFmtId="177" fontId="223" fillId="60" borderId="1" xfId="0" applyNumberFormat="1" applyFont="1" applyFill="1" applyBorder="1" applyAlignment="1">
      <alignment horizontal="center" vertical="center" wrapText="1"/>
    </xf>
    <xf numFmtId="176" fontId="222" fillId="58" borderId="1" xfId="0" applyNumberFormat="1" applyFont="1" applyFill="1" applyBorder="1"/>
    <xf numFmtId="1" fontId="0" fillId="0" borderId="1" xfId="0" applyNumberFormat="1" applyBorder="1" applyAlignment="1">
      <alignment vertical="center"/>
    </xf>
    <xf numFmtId="358" fontId="0" fillId="59" borderId="1" xfId="0" applyNumberFormat="1" applyFill="1" applyBorder="1" applyAlignment="1">
      <alignment horizontal="left" vertical="center"/>
    </xf>
    <xf numFmtId="0" fontId="225" fillId="0" borderId="0" xfId="14841" applyFont="1" applyAlignment="1">
      <alignment horizontal="center" vertical="center" shrinkToFit="1"/>
    </xf>
    <xf numFmtId="0" fontId="226" fillId="0" borderId="0" xfId="14841" applyFont="1">
      <alignment vertical="center"/>
    </xf>
    <xf numFmtId="0" fontId="225" fillId="0" borderId="75" xfId="14841" applyFont="1" applyBorder="1" applyAlignment="1">
      <alignment vertical="center" shrinkToFit="1"/>
    </xf>
    <xf numFmtId="0" fontId="228" fillId="0" borderId="0" xfId="14841" applyFont="1" applyAlignment="1">
      <alignment horizontal="center" vertical="center" shrinkToFit="1"/>
    </xf>
    <xf numFmtId="0" fontId="18" fillId="0" borderId="0" xfId="14841">
      <alignment vertical="center"/>
    </xf>
    <xf numFmtId="0" fontId="231" fillId="62" borderId="0" xfId="14658" applyFont="1" applyFill="1" applyAlignment="1">
      <alignment horizontal="left" vertical="center"/>
    </xf>
    <xf numFmtId="0" fontId="231" fillId="62" borderId="0" xfId="14658" applyFont="1" applyFill="1" applyAlignment="1">
      <alignment horizontal="center" vertical="center"/>
    </xf>
    <xf numFmtId="0" fontId="233" fillId="63" borderId="0" xfId="14658" applyFont="1" applyFill="1" applyAlignment="1">
      <alignment horizontal="left" vertical="center"/>
    </xf>
    <xf numFmtId="0" fontId="233" fillId="63" borderId="0" xfId="14658" applyFont="1" applyFill="1" applyAlignment="1">
      <alignment horizontal="center" vertical="center"/>
    </xf>
    <xf numFmtId="0" fontId="235" fillId="0" borderId="59" xfId="14658" applyFont="1" applyBorder="1" applyAlignment="1">
      <alignment horizontal="left" vertical="center"/>
    </xf>
    <xf numFmtId="177" fontId="235" fillId="0" borderId="58" xfId="14658" applyNumberFormat="1" applyFont="1" applyBorder="1" applyAlignment="1">
      <alignment horizontal="left" vertical="center" shrinkToFit="1"/>
    </xf>
    <xf numFmtId="364" fontId="49" fillId="0" borderId="1" xfId="14658" applyNumberFormat="1" applyBorder="1" applyAlignment="1">
      <alignment horizontal="left" vertical="center"/>
    </xf>
    <xf numFmtId="305" fontId="235" fillId="0" borderId="1" xfId="11021" applyNumberFormat="1" applyFont="1" applyFill="1" applyBorder="1" applyAlignment="1">
      <alignment horizontal="center" vertical="center" shrinkToFit="1"/>
    </xf>
    <xf numFmtId="0" fontId="235" fillId="0" borderId="1" xfId="14658" applyFont="1" applyBorder="1" applyAlignment="1">
      <alignment horizontal="center" vertical="center" shrinkToFit="1"/>
    </xf>
    <xf numFmtId="41" fontId="235" fillId="0" borderId="1" xfId="11021" applyFont="1" applyFill="1" applyBorder="1" applyAlignment="1">
      <alignment vertical="center" shrinkToFit="1"/>
    </xf>
    <xf numFmtId="41" fontId="49" fillId="0" borderId="1" xfId="11021" applyFont="1" applyFill="1" applyBorder="1" applyAlignment="1">
      <alignment vertical="center"/>
    </xf>
    <xf numFmtId="41" fontId="235" fillId="0" borderId="1" xfId="11021" applyFont="1" applyFill="1" applyBorder="1" applyAlignment="1">
      <alignment horizontal="center" vertical="center"/>
    </xf>
    <xf numFmtId="365" fontId="235" fillId="0" borderId="1" xfId="14658" applyNumberFormat="1" applyFont="1" applyBorder="1" applyAlignment="1">
      <alignment horizontal="center" vertical="center"/>
    </xf>
    <xf numFmtId="315" fontId="235" fillId="0" borderId="58" xfId="14658" applyNumberFormat="1" applyFont="1" applyBorder="1" applyAlignment="1">
      <alignment horizontal="left" vertical="center" shrinkToFit="1"/>
    </xf>
    <xf numFmtId="366" fontId="49" fillId="0" borderId="1" xfId="14658" applyNumberFormat="1" applyBorder="1" applyAlignment="1">
      <alignment horizontal="left" vertical="center"/>
    </xf>
    <xf numFmtId="367" fontId="49" fillId="0" borderId="1" xfId="14658" applyNumberFormat="1" applyBorder="1" applyAlignment="1">
      <alignment horizontal="left" vertical="center"/>
    </xf>
    <xf numFmtId="0" fontId="233" fillId="0" borderId="0" xfId="14658" applyFont="1" applyAlignment="1">
      <alignment horizontal="left" vertical="center"/>
    </xf>
    <xf numFmtId="0" fontId="233" fillId="0" borderId="0" xfId="14658" applyFont="1" applyAlignment="1">
      <alignment horizontal="center" vertical="center"/>
    </xf>
    <xf numFmtId="365" fontId="234" fillId="65" borderId="59" xfId="14658" applyNumberFormat="1" applyFont="1" applyFill="1" applyBorder="1" applyAlignment="1">
      <alignment horizontal="left" vertical="center"/>
    </xf>
    <xf numFmtId="177" fontId="234" fillId="65" borderId="58" xfId="14658" applyNumberFormat="1" applyFont="1" applyFill="1" applyBorder="1" applyAlignment="1" applyProtection="1">
      <alignment horizontal="left" vertical="center"/>
      <protection locked="0"/>
    </xf>
    <xf numFmtId="364" fontId="234" fillId="65" borderId="1" xfId="14658" applyNumberFormat="1" applyFont="1" applyFill="1" applyBorder="1" applyAlignment="1">
      <alignment horizontal="left" vertical="center"/>
    </xf>
    <xf numFmtId="305" fontId="234" fillId="65" borderId="1" xfId="11021" applyNumberFormat="1" applyFont="1" applyFill="1" applyBorder="1" applyAlignment="1">
      <alignment horizontal="center" vertical="center"/>
    </xf>
    <xf numFmtId="177" fontId="234" fillId="65" borderId="1" xfId="14658" applyNumberFormat="1" applyFont="1" applyFill="1" applyBorder="1" applyAlignment="1">
      <alignment horizontal="center" vertical="center"/>
    </xf>
    <xf numFmtId="41" fontId="234" fillId="65" borderId="1" xfId="11021" applyFont="1" applyFill="1" applyBorder="1" applyAlignment="1">
      <alignment vertical="center"/>
    </xf>
    <xf numFmtId="177" fontId="234" fillId="65" borderId="1" xfId="14658" applyNumberFormat="1" applyFont="1" applyFill="1" applyBorder="1" applyAlignment="1">
      <alignment horizontal="center" vertical="center" wrapText="1"/>
    </xf>
    <xf numFmtId="368" fontId="235" fillId="0" borderId="1" xfId="14658" applyNumberFormat="1" applyFont="1" applyBorder="1" applyAlignment="1">
      <alignment horizontal="left" vertical="center" shrinkToFit="1"/>
    </xf>
    <xf numFmtId="0" fontId="235" fillId="0" borderId="1" xfId="14658" applyFont="1" applyBorder="1" applyAlignment="1">
      <alignment horizontal="left" vertical="center" shrinkToFit="1"/>
    </xf>
    <xf numFmtId="0" fontId="233" fillId="0" borderId="59" xfId="14658" applyFont="1" applyBorder="1" applyAlignment="1">
      <alignment horizontal="left" vertical="center"/>
    </xf>
    <xf numFmtId="0" fontId="233" fillId="0" borderId="58" xfId="14658" applyFont="1" applyBorder="1" applyAlignment="1">
      <alignment horizontal="left" vertical="center" shrinkToFit="1"/>
    </xf>
    <xf numFmtId="0" fontId="233" fillId="0" borderId="1" xfId="14658" applyFont="1" applyBorder="1" applyAlignment="1">
      <alignment horizontal="left" vertical="center" shrinkToFit="1"/>
    </xf>
    <xf numFmtId="0" fontId="233" fillId="0" borderId="1" xfId="14658" applyFont="1" applyBorder="1" applyAlignment="1">
      <alignment horizontal="center" vertical="center" shrinkToFit="1"/>
    </xf>
    <xf numFmtId="41" fontId="233" fillId="0" borderId="1" xfId="11021" applyFont="1" applyFill="1" applyBorder="1" applyAlignment="1">
      <alignment vertical="center" shrinkToFit="1"/>
    </xf>
    <xf numFmtId="41" fontId="234" fillId="0" borderId="1" xfId="11021" applyFont="1" applyFill="1" applyBorder="1" applyAlignment="1">
      <alignment vertical="center"/>
    </xf>
    <xf numFmtId="41" fontId="233" fillId="0" borderId="1" xfId="11021" applyFont="1" applyFill="1" applyBorder="1" applyAlignment="1">
      <alignment horizontal="center" vertical="center"/>
    </xf>
    <xf numFmtId="0" fontId="233" fillId="0" borderId="1" xfId="14658" applyFont="1" applyBorder="1" applyAlignment="1">
      <alignment horizontal="center" vertical="center"/>
    </xf>
    <xf numFmtId="0" fontId="233" fillId="0" borderId="60" xfId="14658" applyFont="1" applyBorder="1" applyAlignment="1">
      <alignment horizontal="left" vertical="center"/>
    </xf>
    <xf numFmtId="0" fontId="233" fillId="0" borderId="60" xfId="14658" applyFont="1" applyBorder="1" applyAlignment="1">
      <alignment horizontal="left" vertical="center" shrinkToFit="1"/>
    </xf>
    <xf numFmtId="0" fontId="233" fillId="0" borderId="60" xfId="14658" applyFont="1" applyBorder="1" applyAlignment="1">
      <alignment horizontal="center" vertical="center" shrinkToFit="1"/>
    </xf>
    <xf numFmtId="41" fontId="233" fillId="0" borderId="60" xfId="11021" applyFont="1" applyFill="1" applyBorder="1" applyAlignment="1">
      <alignment vertical="center" shrinkToFit="1"/>
    </xf>
    <xf numFmtId="41" fontId="234" fillId="0" borderId="60" xfId="11021" applyFont="1" applyFill="1" applyBorder="1" applyAlignment="1">
      <alignment vertical="center"/>
    </xf>
    <xf numFmtId="41" fontId="233" fillId="0" borderId="60" xfId="11021" applyFont="1" applyFill="1" applyBorder="1" applyAlignment="1">
      <alignment horizontal="center" vertical="center"/>
    </xf>
    <xf numFmtId="0" fontId="233" fillId="0" borderId="60" xfId="14658" applyFont="1" applyBorder="1" applyAlignment="1">
      <alignment horizontal="center" vertical="center"/>
    </xf>
    <xf numFmtId="177" fontId="234" fillId="65" borderId="58" xfId="14658" applyNumberFormat="1" applyFont="1" applyFill="1" applyBorder="1" applyAlignment="1">
      <alignment horizontal="left" vertical="center"/>
    </xf>
    <xf numFmtId="0" fontId="235" fillId="0" borderId="58" xfId="14658" applyFont="1" applyBorder="1" applyAlignment="1">
      <alignment horizontal="left" vertical="center" shrinkToFit="1"/>
    </xf>
    <xf numFmtId="0" fontId="235" fillId="0" borderId="1" xfId="14658" applyFont="1" applyBorder="1" applyAlignment="1">
      <alignment horizontal="center" vertical="center"/>
    </xf>
    <xf numFmtId="9" fontId="235" fillId="0" borderId="1" xfId="10188" applyFont="1" applyFill="1" applyBorder="1" applyAlignment="1">
      <alignment horizontal="center" vertical="center" shrinkToFit="1"/>
    </xf>
    <xf numFmtId="364" fontId="235" fillId="0" borderId="1" xfId="14658" applyNumberFormat="1" applyFont="1" applyBorder="1" applyAlignment="1">
      <alignment horizontal="left" vertical="center" shrinkToFit="1"/>
    </xf>
    <xf numFmtId="364" fontId="235" fillId="0" borderId="58" xfId="14658" applyNumberFormat="1" applyFont="1" applyBorder="1" applyAlignment="1">
      <alignment horizontal="left" vertical="center" shrinkToFit="1"/>
    </xf>
    <xf numFmtId="369" fontId="235" fillId="0" borderId="1" xfId="14658" applyNumberFormat="1" applyFont="1" applyBorder="1" applyAlignment="1">
      <alignment horizontal="left" vertical="center" shrinkToFit="1"/>
    </xf>
    <xf numFmtId="369" fontId="235" fillId="0" borderId="1" xfId="14658" applyNumberFormat="1" applyFont="1" applyBorder="1" applyAlignment="1">
      <alignment horizontal="left" vertical="center" wrapText="1" shrinkToFit="1"/>
    </xf>
    <xf numFmtId="366" fontId="234" fillId="65" borderId="1" xfId="14658" applyNumberFormat="1" applyFont="1" applyFill="1" applyBorder="1" applyAlignment="1">
      <alignment horizontal="left" vertical="center"/>
    </xf>
    <xf numFmtId="367" fontId="234" fillId="65" borderId="1" xfId="14658" applyNumberFormat="1" applyFont="1" applyFill="1" applyBorder="1" applyAlignment="1">
      <alignment horizontal="left" vertical="center"/>
    </xf>
    <xf numFmtId="0" fontId="233" fillId="0" borderId="89" xfId="14658" applyFont="1" applyBorder="1" applyAlignment="1">
      <alignment horizontal="left" vertical="center"/>
    </xf>
    <xf numFmtId="0" fontId="233" fillId="0" borderId="89" xfId="14658" applyFont="1" applyBorder="1" applyAlignment="1">
      <alignment horizontal="left" vertical="center" shrinkToFit="1"/>
    </xf>
    <xf numFmtId="0" fontId="233" fillId="0" borderId="89" xfId="14658" applyFont="1" applyBorder="1" applyAlignment="1">
      <alignment horizontal="center" vertical="center" shrinkToFit="1"/>
    </xf>
    <xf numFmtId="41" fontId="233" fillId="0" borderId="89" xfId="11021" applyFont="1" applyFill="1" applyBorder="1" applyAlignment="1">
      <alignment vertical="center" shrinkToFit="1"/>
    </xf>
    <xf numFmtId="41" fontId="234" fillId="0" borderId="89" xfId="11021" applyFont="1" applyFill="1" applyBorder="1" applyAlignment="1">
      <alignment vertical="center"/>
    </xf>
    <xf numFmtId="41" fontId="233" fillId="0" borderId="89" xfId="11021" applyFont="1" applyFill="1" applyBorder="1" applyAlignment="1">
      <alignment horizontal="center" vertical="center"/>
    </xf>
    <xf numFmtId="0" fontId="233" fillId="0" borderId="89" xfId="14658" applyFont="1" applyBorder="1" applyAlignment="1">
      <alignment horizontal="center" vertical="center"/>
    </xf>
    <xf numFmtId="0" fontId="237" fillId="0" borderId="0" xfId="14658" applyFont="1" applyAlignment="1">
      <alignment horizontal="left" vertical="center"/>
    </xf>
    <xf numFmtId="0" fontId="237" fillId="0" borderId="0" xfId="14658" applyFont="1" applyAlignment="1">
      <alignment horizontal="center" vertical="center"/>
    </xf>
    <xf numFmtId="177" fontId="0" fillId="0" borderId="26" xfId="0" applyNumberFormat="1" applyBorder="1" applyAlignment="1">
      <alignment vertical="center"/>
    </xf>
    <xf numFmtId="177" fontId="0" fillId="0" borderId="26" xfId="0" applyNumberFormat="1" applyBorder="1" applyAlignment="1">
      <alignment horizontal="center" vertical="center"/>
    </xf>
    <xf numFmtId="180" fontId="4" fillId="0" borderId="26" xfId="0" applyNumberFormat="1" applyFont="1" applyBorder="1" applyAlignment="1">
      <alignment vertical="center"/>
    </xf>
    <xf numFmtId="177" fontId="0" fillId="0" borderId="114" xfId="0" applyNumberFormat="1" applyBorder="1" applyAlignment="1">
      <alignment vertical="center"/>
    </xf>
    <xf numFmtId="177" fontId="0" fillId="0" borderId="115" xfId="0" applyNumberFormat="1" applyBorder="1" applyAlignment="1">
      <alignment vertical="center"/>
    </xf>
    <xf numFmtId="177" fontId="0" fillId="0" borderId="115" xfId="0" applyNumberFormat="1" applyBorder="1" applyAlignment="1">
      <alignment horizontal="center" vertical="center"/>
    </xf>
    <xf numFmtId="180" fontId="4" fillId="0" borderId="115" xfId="0" applyNumberFormat="1" applyFont="1" applyBorder="1" applyAlignment="1">
      <alignment vertical="center"/>
    </xf>
    <xf numFmtId="177" fontId="0" fillId="0" borderId="116" xfId="0" applyNumberFormat="1" applyBorder="1" applyAlignment="1">
      <alignment horizontal="center" vertical="center"/>
    </xf>
    <xf numFmtId="177" fontId="0" fillId="0" borderId="117" xfId="0" applyNumberFormat="1" applyBorder="1" applyAlignment="1">
      <alignment vertical="center"/>
    </xf>
    <xf numFmtId="177" fontId="0" fillId="0" borderId="118" xfId="0" applyNumberFormat="1" applyBorder="1" applyAlignment="1">
      <alignment horizontal="center" vertical="center"/>
    </xf>
    <xf numFmtId="177" fontId="0" fillId="0" borderId="119" xfId="0" applyNumberFormat="1" applyBorder="1" applyAlignment="1">
      <alignment vertical="center"/>
    </xf>
    <xf numFmtId="177" fontId="0" fillId="0" borderId="10" xfId="0" applyNumberFormat="1" applyBorder="1" applyAlignment="1">
      <alignment vertical="center"/>
    </xf>
    <xf numFmtId="177" fontId="0" fillId="0" borderId="10" xfId="0" applyNumberFormat="1" applyBorder="1" applyAlignment="1">
      <alignment horizontal="center" vertical="center"/>
    </xf>
    <xf numFmtId="180" fontId="4" fillId="0" borderId="10" xfId="0" applyNumberFormat="1" applyFont="1" applyBorder="1" applyAlignment="1">
      <alignment vertical="center"/>
    </xf>
    <xf numFmtId="177" fontId="0" fillId="0" borderId="120" xfId="0" applyNumberFormat="1" applyBorder="1" applyAlignment="1">
      <alignment horizontal="center" vertical="center"/>
    </xf>
    <xf numFmtId="177" fontId="234" fillId="64" borderId="1" xfId="14658" applyNumberFormat="1" applyFont="1" applyFill="1" applyBorder="1" applyAlignment="1">
      <alignment horizontal="center" vertical="center"/>
    </xf>
    <xf numFmtId="0" fontId="230" fillId="0" borderId="0" xfId="14658" applyFont="1">
      <alignment vertical="center"/>
    </xf>
    <xf numFmtId="0" fontId="233" fillId="63" borderId="0" xfId="14658" applyFont="1" applyFill="1">
      <alignment vertical="center"/>
    </xf>
    <xf numFmtId="0" fontId="233" fillId="0" borderId="0" xfId="14658" applyFont="1">
      <alignment vertical="center"/>
    </xf>
    <xf numFmtId="0" fontId="235" fillId="0" borderId="0" xfId="14658" applyFont="1">
      <alignment vertical="center"/>
    </xf>
    <xf numFmtId="0" fontId="235" fillId="65" borderId="0" xfId="14658" applyFont="1" applyFill="1">
      <alignment vertical="center"/>
    </xf>
    <xf numFmtId="0" fontId="236" fillId="65" borderId="0" xfId="14658" applyFont="1" applyFill="1">
      <alignment vertical="center"/>
    </xf>
    <xf numFmtId="0" fontId="236" fillId="0" borderId="0" xfId="14658" applyFont="1">
      <alignment vertical="center"/>
    </xf>
    <xf numFmtId="0" fontId="237" fillId="0" borderId="0" xfId="14658" applyFont="1">
      <alignment vertical="center"/>
    </xf>
    <xf numFmtId="177" fontId="234" fillId="64" borderId="1" xfId="14658" applyNumberFormat="1" applyFont="1" applyFill="1" applyBorder="1" applyAlignment="1">
      <alignment horizontal="center" vertical="center"/>
    </xf>
    <xf numFmtId="177" fontId="234" fillId="64" borderId="1" xfId="14658" applyNumberFormat="1" applyFont="1" applyFill="1" applyBorder="1" applyAlignment="1">
      <alignment horizontal="center" vertical="center" wrapText="1"/>
    </xf>
    <xf numFmtId="0" fontId="225" fillId="0" borderId="50" xfId="14841" applyFont="1" applyBorder="1" applyAlignment="1">
      <alignment horizontal="center" vertical="center" shrinkToFit="1"/>
    </xf>
    <xf numFmtId="0" fontId="225" fillId="0" borderId="73" xfId="14841" applyFont="1" applyBorder="1" applyAlignment="1">
      <alignment horizontal="center" vertical="center" shrinkToFit="1"/>
    </xf>
    <xf numFmtId="0" fontId="225" fillId="0" borderId="74" xfId="14841" applyFont="1" applyBorder="1" applyAlignment="1">
      <alignment horizontal="center" vertical="center" shrinkToFit="1"/>
    </xf>
    <xf numFmtId="0" fontId="225" fillId="0" borderId="79" xfId="14841" applyFont="1" applyBorder="1" applyAlignment="1">
      <alignment horizontal="center" vertical="center" wrapText="1" shrinkToFit="1"/>
    </xf>
    <xf numFmtId="0" fontId="225" fillId="0" borderId="73" xfId="14841" applyFont="1" applyBorder="1" applyAlignment="1">
      <alignment horizontal="center" vertical="center" wrapText="1" shrinkToFit="1"/>
    </xf>
    <xf numFmtId="0" fontId="225" fillId="0" borderId="74" xfId="14841" applyFont="1" applyBorder="1" applyAlignment="1">
      <alignment horizontal="center" vertical="center" wrapText="1" shrinkToFit="1"/>
    </xf>
    <xf numFmtId="0" fontId="227" fillId="61" borderId="96" xfId="14841" applyFont="1" applyFill="1" applyBorder="1" applyAlignment="1">
      <alignment horizontal="center" vertical="center" shrinkToFit="1"/>
    </xf>
    <xf numFmtId="0" fontId="227" fillId="61" borderId="25" xfId="14841" applyFont="1" applyFill="1" applyBorder="1" applyAlignment="1">
      <alignment horizontal="center" vertical="center" shrinkToFit="1"/>
    </xf>
    <xf numFmtId="0" fontId="227" fillId="61" borderId="105" xfId="14841" applyFont="1" applyFill="1" applyBorder="1" applyAlignment="1">
      <alignment horizontal="center" vertical="center" shrinkToFit="1"/>
    </xf>
    <xf numFmtId="362" fontId="227" fillId="61" borderId="25" xfId="14841" applyNumberFormat="1" applyFont="1" applyFill="1" applyBorder="1" applyAlignment="1">
      <alignment horizontal="center" vertical="center" shrinkToFit="1"/>
    </xf>
    <xf numFmtId="362" fontId="227" fillId="61" borderId="97" xfId="14841" applyNumberFormat="1" applyFont="1" applyFill="1" applyBorder="1" applyAlignment="1">
      <alignment horizontal="center" vertical="center" shrinkToFit="1"/>
    </xf>
    <xf numFmtId="0" fontId="227" fillId="61" borderId="106" xfId="14841" applyFont="1" applyFill="1" applyBorder="1" applyAlignment="1">
      <alignment horizontal="center" vertical="center" textRotation="255" shrinkToFit="1"/>
    </xf>
    <xf numFmtId="0" fontId="227" fillId="61" borderId="67" xfId="14841" applyFont="1" applyFill="1" applyBorder="1" applyAlignment="1">
      <alignment horizontal="center" vertical="center" textRotation="255" shrinkToFit="1"/>
    </xf>
    <xf numFmtId="0" fontId="227" fillId="61" borderId="70" xfId="14841" applyFont="1" applyFill="1" applyBorder="1" applyAlignment="1">
      <alignment horizontal="center" vertical="center" textRotation="255" shrinkToFit="1"/>
    </xf>
    <xf numFmtId="0" fontId="227" fillId="61" borderId="71" xfId="14841" applyFont="1" applyFill="1" applyBorder="1" applyAlignment="1">
      <alignment horizontal="center" vertical="center" textRotation="255" shrinkToFit="1"/>
    </xf>
    <xf numFmtId="0" fontId="227" fillId="61" borderId="93" xfId="14841" applyFont="1" applyFill="1" applyBorder="1" applyAlignment="1">
      <alignment horizontal="center" vertical="center" textRotation="255" shrinkToFit="1"/>
    </xf>
    <xf numFmtId="0" fontId="227" fillId="61" borderId="108" xfId="14841" applyFont="1" applyFill="1" applyBorder="1" applyAlignment="1">
      <alignment horizontal="center" vertical="center" textRotation="255" shrinkToFit="1"/>
    </xf>
    <xf numFmtId="362" fontId="225" fillId="0" borderId="66" xfId="14841" applyNumberFormat="1" applyFont="1" applyBorder="1" applyAlignment="1">
      <alignment horizontal="left" vertical="top" wrapText="1" indent="1" shrinkToFit="1"/>
    </xf>
    <xf numFmtId="362" fontId="225" fillId="0" borderId="68" xfId="14841" applyNumberFormat="1" applyFont="1" applyBorder="1" applyAlignment="1">
      <alignment horizontal="left" vertical="top" indent="1" shrinkToFit="1"/>
    </xf>
    <xf numFmtId="362" fontId="225" fillId="0" borderId="69" xfId="14841" applyNumberFormat="1" applyFont="1" applyBorder="1" applyAlignment="1">
      <alignment horizontal="left" vertical="top" indent="1" shrinkToFit="1"/>
    </xf>
    <xf numFmtId="362" fontId="225" fillId="0" borderId="72" xfId="14841" applyNumberFormat="1" applyFont="1" applyBorder="1" applyAlignment="1">
      <alignment horizontal="left" vertical="top" indent="1" shrinkToFit="1"/>
    </xf>
    <xf numFmtId="362" fontId="225" fillId="0" borderId="0" xfId="14841" applyNumberFormat="1" applyFont="1" applyAlignment="1">
      <alignment horizontal="left" vertical="top" indent="1" shrinkToFit="1"/>
    </xf>
    <xf numFmtId="362" fontId="225" fillId="0" borderId="107" xfId="14841" applyNumberFormat="1" applyFont="1" applyBorder="1" applyAlignment="1">
      <alignment horizontal="left" vertical="top" indent="1" shrinkToFit="1"/>
    </xf>
    <xf numFmtId="362" fontId="225" fillId="0" borderId="109" xfId="14841" applyNumberFormat="1" applyFont="1" applyBorder="1" applyAlignment="1">
      <alignment horizontal="left" vertical="top" indent="1" shrinkToFit="1"/>
    </xf>
    <xf numFmtId="362" fontId="225" fillId="0" borderId="32" xfId="14841" applyNumberFormat="1" applyFont="1" applyBorder="1" applyAlignment="1">
      <alignment horizontal="left" vertical="top" indent="1" shrinkToFit="1"/>
    </xf>
    <xf numFmtId="362" fontId="225" fillId="0" borderId="95" xfId="14841" applyNumberFormat="1" applyFont="1" applyBorder="1" applyAlignment="1">
      <alignment horizontal="left" vertical="top" indent="1" shrinkToFit="1"/>
    </xf>
    <xf numFmtId="362" fontId="225" fillId="0" borderId="50" xfId="14841" applyNumberFormat="1" applyFont="1" applyBorder="1" applyAlignment="1">
      <alignment horizontal="center" vertical="center" shrinkToFit="1"/>
    </xf>
    <xf numFmtId="362" fontId="225" fillId="0" borderId="75" xfId="14841" applyNumberFormat="1" applyFont="1" applyBorder="1" applyAlignment="1">
      <alignment horizontal="center" vertical="center" shrinkToFit="1"/>
    </xf>
    <xf numFmtId="0" fontId="225" fillId="66" borderId="102" xfId="14841" applyFont="1" applyFill="1" applyBorder="1" applyAlignment="1">
      <alignment horizontal="center" vertical="center" shrinkToFit="1"/>
    </xf>
    <xf numFmtId="0" fontId="225" fillId="66" borderId="103" xfId="14841" applyFont="1" applyFill="1" applyBorder="1" applyAlignment="1">
      <alignment horizontal="center" vertical="center" shrinkToFit="1"/>
    </xf>
    <xf numFmtId="0" fontId="225" fillId="66" borderId="104" xfId="14841" applyFont="1" applyFill="1" applyBorder="1" applyAlignment="1">
      <alignment horizontal="center" vertical="center" shrinkToFit="1"/>
    </xf>
    <xf numFmtId="0" fontId="225" fillId="66" borderId="50" xfId="14841" applyFont="1" applyFill="1" applyBorder="1" applyAlignment="1">
      <alignment horizontal="center" vertical="center" shrinkToFit="1"/>
    </xf>
    <xf numFmtId="0" fontId="225" fillId="66" borderId="74" xfId="14841" applyFont="1" applyFill="1" applyBorder="1" applyAlignment="1">
      <alignment horizontal="center" vertical="center" shrinkToFit="1"/>
    </xf>
    <xf numFmtId="41" fontId="225" fillId="66" borderId="50" xfId="15038" applyFont="1" applyFill="1" applyBorder="1" applyAlignment="1">
      <alignment horizontal="center" vertical="center" shrinkToFit="1"/>
    </xf>
    <xf numFmtId="41" fontId="225" fillId="66" borderId="73" xfId="15038" applyFont="1" applyFill="1" applyBorder="1" applyAlignment="1">
      <alignment horizontal="center" vertical="center" shrinkToFit="1"/>
    </xf>
    <xf numFmtId="41" fontId="225" fillId="66" borderId="74" xfId="15038" applyFont="1" applyFill="1" applyBorder="1" applyAlignment="1">
      <alignment horizontal="center" vertical="center" shrinkToFit="1"/>
    </xf>
    <xf numFmtId="362" fontId="225" fillId="66" borderId="50" xfId="14841" applyNumberFormat="1" applyFont="1" applyFill="1" applyBorder="1" applyAlignment="1">
      <alignment horizontal="center" vertical="center" shrinkToFit="1"/>
    </xf>
    <xf numFmtId="362" fontId="225" fillId="66" borderId="75" xfId="14841" applyNumberFormat="1" applyFont="1" applyFill="1" applyBorder="1" applyAlignment="1">
      <alignment horizontal="center" vertical="center" shrinkToFit="1"/>
    </xf>
    <xf numFmtId="41" fontId="225" fillId="0" borderId="50" xfId="15038" applyFont="1" applyFill="1" applyBorder="1" applyAlignment="1">
      <alignment horizontal="center" vertical="center" shrinkToFit="1"/>
    </xf>
    <xf numFmtId="41" fontId="225" fillId="0" borderId="73" xfId="15038" applyFont="1" applyFill="1" applyBorder="1" applyAlignment="1">
      <alignment horizontal="center" vertical="center" shrinkToFit="1"/>
    </xf>
    <xf numFmtId="41" fontId="225" fillId="0" borderId="74" xfId="15038" applyFont="1" applyFill="1" applyBorder="1" applyAlignment="1">
      <alignment horizontal="center" vertical="center" shrinkToFit="1"/>
    </xf>
    <xf numFmtId="362" fontId="225" fillId="0" borderId="110" xfId="14841" applyNumberFormat="1" applyFont="1" applyBorder="1" applyAlignment="1">
      <alignment horizontal="center" vertical="center" shrinkToFit="1"/>
    </xf>
    <xf numFmtId="362" fontId="225" fillId="0" borderId="111" xfId="14841" applyNumberFormat="1" applyFont="1" applyBorder="1" applyAlignment="1">
      <alignment horizontal="center" vertical="center" shrinkToFit="1"/>
    </xf>
    <xf numFmtId="362" fontId="225" fillId="0" borderId="112" xfId="14841" applyNumberFormat="1" applyFont="1" applyBorder="1" applyAlignment="1">
      <alignment horizontal="center" vertical="center" shrinkToFit="1"/>
    </xf>
    <xf numFmtId="362" fontId="225" fillId="0" borderId="113" xfId="14841" applyNumberFormat="1" applyFont="1" applyBorder="1" applyAlignment="1">
      <alignment horizontal="center" vertical="center" shrinkToFit="1"/>
    </xf>
    <xf numFmtId="0" fontId="225" fillId="0" borderId="76" xfId="14841" applyFont="1" applyBorder="1" applyAlignment="1">
      <alignment horizontal="center" vertical="center" wrapText="1" shrinkToFit="1"/>
    </xf>
    <xf numFmtId="0" fontId="225" fillId="0" borderId="14" xfId="14841" applyFont="1" applyBorder="1" applyAlignment="1">
      <alignment horizontal="center" vertical="center" wrapText="1" shrinkToFit="1"/>
    </xf>
    <xf numFmtId="0" fontId="225" fillId="0" borderId="24" xfId="14841" applyFont="1" applyBorder="1" applyAlignment="1">
      <alignment horizontal="center" vertical="center" wrapText="1" shrinkToFit="1"/>
    </xf>
    <xf numFmtId="363" fontId="225" fillId="0" borderId="50" xfId="14841" applyNumberFormat="1" applyFont="1" applyBorder="1" applyAlignment="1">
      <alignment horizontal="center" vertical="center" shrinkToFit="1"/>
    </xf>
    <xf numFmtId="363" fontId="225" fillId="0" borderId="73" xfId="14841" applyNumberFormat="1" applyFont="1" applyBorder="1" applyAlignment="1">
      <alignment horizontal="center" vertical="center" shrinkToFit="1"/>
    </xf>
    <xf numFmtId="363" fontId="225" fillId="0" borderId="74" xfId="14841" applyNumberFormat="1" applyFont="1" applyBorder="1" applyAlignment="1">
      <alignment horizontal="center" vertical="center" shrinkToFit="1"/>
    </xf>
    <xf numFmtId="362" fontId="226" fillId="0" borderId="0" xfId="14841" applyNumberFormat="1" applyFont="1" applyAlignment="1">
      <alignment horizontal="center" vertical="center" shrinkToFit="1"/>
    </xf>
    <xf numFmtId="362" fontId="225" fillId="0" borderId="89" xfId="14841" applyNumberFormat="1" applyFont="1" applyBorder="1" applyAlignment="1">
      <alignment horizontal="center" vertical="center" shrinkToFit="1"/>
    </xf>
    <xf numFmtId="362" fontId="225" fillId="0" borderId="90" xfId="14841" applyNumberFormat="1" applyFont="1" applyBorder="1" applyAlignment="1">
      <alignment horizontal="center" vertical="center" shrinkToFit="1"/>
    </xf>
    <xf numFmtId="362" fontId="225" fillId="0" borderId="32" xfId="14841" applyNumberFormat="1" applyFont="1" applyBorder="1" applyAlignment="1">
      <alignment horizontal="center" vertical="center" shrinkToFit="1"/>
    </xf>
    <xf numFmtId="362" fontId="225" fillId="0" borderId="95" xfId="14841" applyNumberFormat="1" applyFont="1" applyBorder="1" applyAlignment="1">
      <alignment horizontal="center" vertical="center" shrinkToFit="1"/>
    </xf>
    <xf numFmtId="0" fontId="227" fillId="42" borderId="96" xfId="14841" applyFont="1" applyFill="1" applyBorder="1" applyAlignment="1">
      <alignment horizontal="center" vertical="center" shrinkToFit="1"/>
    </xf>
    <xf numFmtId="0" fontId="227" fillId="42" borderId="25" xfId="14841" applyFont="1" applyFill="1" applyBorder="1" applyAlignment="1">
      <alignment horizontal="center" vertical="center" shrinkToFit="1"/>
    </xf>
    <xf numFmtId="0" fontId="227" fillId="42" borderId="97" xfId="14841" applyFont="1" applyFill="1" applyBorder="1" applyAlignment="1">
      <alignment horizontal="center" vertical="center" shrinkToFit="1"/>
    </xf>
    <xf numFmtId="0" fontId="228" fillId="61" borderId="98" xfId="14841" applyFont="1" applyFill="1" applyBorder="1" applyAlignment="1">
      <alignment horizontal="center" vertical="center" shrinkToFit="1"/>
    </xf>
    <xf numFmtId="0" fontId="228" fillId="61" borderId="99" xfId="14841" applyFont="1" applyFill="1" applyBorder="1" applyAlignment="1">
      <alignment horizontal="center" vertical="center" shrinkToFit="1"/>
    </xf>
    <xf numFmtId="0" fontId="228" fillId="61" borderId="100" xfId="14841" applyFont="1" applyFill="1" applyBorder="1" applyAlignment="1">
      <alignment horizontal="center" vertical="center" wrapText="1" shrinkToFit="1"/>
    </xf>
    <xf numFmtId="0" fontId="228" fillId="61" borderId="65" xfId="14841" applyFont="1" applyFill="1" applyBorder="1" applyAlignment="1">
      <alignment horizontal="center" vertical="center" wrapText="1" shrinkToFit="1"/>
    </xf>
    <xf numFmtId="0" fontId="227" fillId="61" borderId="88" xfId="14841" applyFont="1" applyFill="1" applyBorder="1" applyAlignment="1">
      <alignment horizontal="center" vertical="center" shrinkToFit="1"/>
    </xf>
    <xf numFmtId="0" fontId="227" fillId="61" borderId="89" xfId="14841" applyFont="1" applyFill="1" applyBorder="1" applyAlignment="1">
      <alignment horizontal="center" vertical="center" shrinkToFit="1"/>
    </xf>
    <xf numFmtId="0" fontId="227" fillId="61" borderId="12" xfId="14841" applyFont="1" applyFill="1" applyBorder="1" applyAlignment="1">
      <alignment horizontal="center" vertical="center" shrinkToFit="1"/>
    </xf>
    <xf numFmtId="0" fontId="227" fillId="61" borderId="93" xfId="14841" applyFont="1" applyFill="1" applyBorder="1" applyAlignment="1">
      <alignment horizontal="center" vertical="center" shrinkToFit="1"/>
    </xf>
    <xf numFmtId="0" fontId="227" fillId="61" borderId="32" xfId="14841" applyFont="1" applyFill="1" applyBorder="1" applyAlignment="1">
      <alignment horizontal="center" vertical="center" shrinkToFit="1"/>
    </xf>
    <xf numFmtId="0" fontId="227" fillId="61" borderId="94" xfId="14841" applyFont="1" applyFill="1" applyBorder="1" applyAlignment="1">
      <alignment horizontal="center" vertical="center" shrinkToFit="1"/>
    </xf>
    <xf numFmtId="0" fontId="225" fillId="0" borderId="0" xfId="14841" applyFont="1" applyAlignment="1">
      <alignment horizontal="center" vertical="center" shrinkToFit="1"/>
    </xf>
    <xf numFmtId="361" fontId="227" fillId="0" borderId="89" xfId="14841" applyNumberFormat="1" applyFont="1" applyBorder="1" applyAlignment="1">
      <alignment horizontal="center" vertical="center" shrinkToFit="1"/>
    </xf>
    <xf numFmtId="361" fontId="227" fillId="0" borderId="32" xfId="14841" applyNumberFormat="1" applyFont="1" applyBorder="1" applyAlignment="1">
      <alignment horizontal="center" vertical="center" shrinkToFit="1"/>
    </xf>
    <xf numFmtId="0" fontId="225" fillId="0" borderId="89" xfId="14841" applyFont="1" applyBorder="1" applyAlignment="1">
      <alignment horizontal="center" vertical="center" shrinkToFit="1"/>
    </xf>
    <xf numFmtId="0" fontId="225" fillId="0" borderId="32" xfId="14841" applyFont="1" applyBorder="1" applyAlignment="1">
      <alignment horizontal="center" vertical="center" shrinkToFit="1"/>
    </xf>
    <xf numFmtId="362" fontId="229" fillId="0" borderId="0" xfId="14841" applyNumberFormat="1" applyFont="1" applyAlignment="1">
      <alignment horizontal="center" vertical="center" shrinkToFit="1"/>
    </xf>
    <xf numFmtId="42" fontId="227" fillId="0" borderId="89" xfId="14841" applyNumberFormat="1" applyFont="1" applyBorder="1" applyAlignment="1">
      <alignment horizontal="center" vertical="center" shrinkToFit="1"/>
    </xf>
    <xf numFmtId="42" fontId="227" fillId="0" borderId="32" xfId="14841" applyNumberFormat="1" applyFont="1" applyBorder="1" applyAlignment="1">
      <alignment horizontal="center" vertical="center" shrinkToFit="1"/>
    </xf>
    <xf numFmtId="362" fontId="228" fillId="61" borderId="99" xfId="14841" applyNumberFormat="1" applyFont="1" applyFill="1" applyBorder="1" applyAlignment="1">
      <alignment horizontal="center" vertical="center" shrinkToFit="1"/>
    </xf>
    <xf numFmtId="362" fontId="228" fillId="61" borderId="101" xfId="14841" applyNumberFormat="1" applyFont="1" applyFill="1" applyBorder="1" applyAlignment="1">
      <alignment horizontal="center" vertical="center" shrinkToFit="1"/>
    </xf>
    <xf numFmtId="0" fontId="228" fillId="61" borderId="50" xfId="14841" applyFont="1" applyFill="1" applyBorder="1" applyAlignment="1">
      <alignment horizontal="center" vertical="center" shrinkToFit="1"/>
    </xf>
    <xf numFmtId="0" fontId="228" fillId="61" borderId="73" xfId="14841" applyFont="1" applyFill="1" applyBorder="1" applyAlignment="1">
      <alignment horizontal="center" vertical="center" shrinkToFit="1"/>
    </xf>
    <xf numFmtId="0" fontId="228" fillId="61" borderId="74" xfId="14841" applyFont="1" applyFill="1" applyBorder="1" applyAlignment="1">
      <alignment horizontal="center" vertical="center" shrinkToFit="1"/>
    </xf>
    <xf numFmtId="0" fontId="225" fillId="0" borderId="82" xfId="14841" applyFont="1" applyBorder="1" applyAlignment="1">
      <alignment horizontal="center" vertical="center" shrinkToFit="1"/>
    </xf>
    <xf numFmtId="0" fontId="225" fillId="0" borderId="83" xfId="14841" applyFont="1" applyBorder="1" applyAlignment="1">
      <alignment horizontal="center" vertical="center" shrinkToFit="1"/>
    </xf>
    <xf numFmtId="0" fontId="225" fillId="0" borderId="84" xfId="14841" applyFont="1" applyBorder="1" applyAlignment="1">
      <alignment horizontal="center" vertical="center" shrinkToFit="1"/>
    </xf>
    <xf numFmtId="359" fontId="225" fillId="0" borderId="81" xfId="14841" applyNumberFormat="1" applyFont="1" applyBorder="1" applyAlignment="1">
      <alignment horizontal="center" vertical="center" shrinkToFit="1"/>
    </xf>
    <xf numFmtId="359" fontId="225" fillId="0" borderId="73" xfId="14841" applyNumberFormat="1" applyFont="1" applyBorder="1" applyAlignment="1">
      <alignment horizontal="center" vertical="center" shrinkToFit="1"/>
    </xf>
    <xf numFmtId="359" fontId="225" fillId="0" borderId="74" xfId="14841" applyNumberFormat="1" applyFont="1" applyBorder="1" applyAlignment="1">
      <alignment horizontal="center" vertical="center" shrinkToFit="1"/>
    </xf>
    <xf numFmtId="0" fontId="228" fillId="61" borderId="85" xfId="14841" applyFont="1" applyFill="1" applyBorder="1" applyAlignment="1">
      <alignment horizontal="center" vertical="center" shrinkToFit="1"/>
    </xf>
    <xf numFmtId="0" fontId="228" fillId="61" borderId="41" xfId="14841" applyFont="1" applyFill="1" applyBorder="1" applyAlignment="1">
      <alignment horizontal="center" vertical="center" shrinkToFit="1"/>
    </xf>
    <xf numFmtId="0" fontId="228" fillId="61" borderId="86" xfId="14841" applyFont="1" applyFill="1" applyBorder="1" applyAlignment="1">
      <alignment horizontal="center" vertical="center" shrinkToFit="1"/>
    </xf>
    <xf numFmtId="0" fontId="228" fillId="0" borderId="85" xfId="14841" quotePrefix="1" applyFont="1" applyBorder="1" applyAlignment="1">
      <alignment horizontal="center" vertical="center" shrinkToFit="1"/>
    </xf>
    <xf numFmtId="0" fontId="228" fillId="0" borderId="41" xfId="14841" quotePrefix="1" applyFont="1" applyBorder="1" applyAlignment="1">
      <alignment horizontal="center" vertical="center" shrinkToFit="1"/>
    </xf>
    <xf numFmtId="0" fontId="228" fillId="0" borderId="87" xfId="14841" quotePrefix="1" applyFont="1" applyBorder="1" applyAlignment="1">
      <alignment horizontal="center" vertical="center" shrinkToFit="1"/>
    </xf>
    <xf numFmtId="0" fontId="227" fillId="61" borderId="91" xfId="14841" applyFont="1" applyFill="1" applyBorder="1" applyAlignment="1">
      <alignment horizontal="center" vertical="center" shrinkToFit="1"/>
    </xf>
    <xf numFmtId="0" fontId="227" fillId="61" borderId="41" xfId="14841" applyFont="1" applyFill="1" applyBorder="1" applyAlignment="1">
      <alignment horizontal="center" vertical="center" shrinkToFit="1"/>
    </xf>
    <xf numFmtId="0" fontId="227" fillId="0" borderId="52" xfId="14841" applyFont="1" applyBorder="1" applyAlignment="1">
      <alignment horizontal="center" vertical="center" shrinkToFit="1"/>
    </xf>
    <xf numFmtId="0" fontId="227" fillId="0" borderId="89" xfId="14841" applyFont="1" applyBorder="1" applyAlignment="1">
      <alignment horizontal="center" vertical="center" shrinkToFit="1"/>
    </xf>
    <xf numFmtId="0" fontId="227" fillId="0" borderId="90" xfId="14841" applyFont="1" applyBorder="1" applyAlignment="1">
      <alignment horizontal="center" vertical="center" shrinkToFit="1"/>
    </xf>
    <xf numFmtId="0" fontId="227" fillId="0" borderId="92" xfId="14841" applyFont="1" applyBorder="1" applyAlignment="1">
      <alignment horizontal="center" vertical="center" shrinkToFit="1"/>
    </xf>
    <xf numFmtId="0" fontId="227" fillId="0" borderId="41" xfId="14841" applyFont="1" applyBorder="1" applyAlignment="1">
      <alignment horizontal="center" vertical="center" shrinkToFit="1"/>
    </xf>
    <xf numFmtId="0" fontId="227" fillId="0" borderId="87" xfId="14841" applyFont="1" applyBorder="1" applyAlignment="1">
      <alignment horizontal="center" vertical="center" shrinkToFit="1"/>
    </xf>
    <xf numFmtId="0" fontId="225" fillId="0" borderId="79" xfId="14841" applyFont="1" applyBorder="1" applyAlignment="1">
      <alignment horizontal="center" vertical="center" shrinkToFit="1"/>
    </xf>
    <xf numFmtId="0" fontId="225" fillId="0" borderId="80" xfId="14841" applyFont="1" applyBorder="1" applyAlignment="1">
      <alignment horizontal="center" vertical="center" shrinkToFit="1"/>
    </xf>
    <xf numFmtId="0" fontId="228" fillId="0" borderId="50" xfId="14841" applyFont="1" applyBorder="1" applyAlignment="1">
      <alignment horizontal="center" vertical="center" shrinkToFit="1"/>
    </xf>
    <xf numFmtId="0" fontId="228" fillId="0" borderId="73" xfId="14841" applyFont="1" applyBorder="1" applyAlignment="1">
      <alignment horizontal="center" vertical="center" shrinkToFit="1"/>
    </xf>
    <xf numFmtId="0" fontId="228" fillId="0" borderId="74" xfId="14841" applyFont="1" applyBorder="1" applyAlignment="1">
      <alignment horizontal="center" vertical="center" shrinkToFit="1"/>
    </xf>
    <xf numFmtId="0" fontId="228" fillId="0" borderId="75" xfId="14841" applyFont="1" applyBorder="1" applyAlignment="1">
      <alignment horizontal="center" vertical="center" shrinkToFit="1"/>
    </xf>
    <xf numFmtId="0" fontId="224" fillId="0" borderId="0" xfId="14841" applyFont="1" applyAlignment="1">
      <alignment horizontal="center" vertical="center" shrinkToFit="1"/>
    </xf>
    <xf numFmtId="0" fontId="225" fillId="0" borderId="61" xfId="14841" applyFont="1" applyBorder="1" applyAlignment="1">
      <alignment horizontal="center" vertical="center" shrinkToFit="1"/>
    </xf>
    <xf numFmtId="0" fontId="225" fillId="0" borderId="62" xfId="14841" applyFont="1" applyBorder="1" applyAlignment="1">
      <alignment horizontal="center" vertical="center" shrinkToFit="1"/>
    </xf>
    <xf numFmtId="0" fontId="225" fillId="0" borderId="63" xfId="14841" applyFont="1" applyBorder="1" applyAlignment="1">
      <alignment horizontal="center" vertical="center" shrinkToFit="1"/>
    </xf>
    <xf numFmtId="359" fontId="225" fillId="0" borderId="64" xfId="14841" applyNumberFormat="1" applyFont="1" applyBorder="1" applyAlignment="1">
      <alignment horizontal="center" vertical="center" shrinkToFit="1"/>
    </xf>
    <xf numFmtId="359" fontId="225" fillId="0" borderId="62" xfId="14841" applyNumberFormat="1" applyFont="1" applyBorder="1" applyAlignment="1">
      <alignment horizontal="center" vertical="center" shrinkToFit="1"/>
    </xf>
    <xf numFmtId="359" fontId="225" fillId="0" borderId="65" xfId="14841" applyNumberFormat="1" applyFont="1" applyBorder="1" applyAlignment="1">
      <alignment horizontal="center" vertical="center" shrinkToFit="1"/>
    </xf>
    <xf numFmtId="0" fontId="227" fillId="61" borderId="66" xfId="14841" applyFont="1" applyFill="1" applyBorder="1" applyAlignment="1">
      <alignment horizontal="center" vertical="center" textRotation="255" shrinkToFit="1"/>
    </xf>
    <xf numFmtId="0" fontId="227" fillId="61" borderId="72" xfId="14841" applyFont="1" applyFill="1" applyBorder="1" applyAlignment="1">
      <alignment horizontal="center" vertical="center" textRotation="255" shrinkToFit="1"/>
    </xf>
    <xf numFmtId="0" fontId="227" fillId="61" borderId="85" xfId="14841" applyFont="1" applyFill="1" applyBorder="1" applyAlignment="1">
      <alignment horizontal="center" vertical="center" textRotation="255" shrinkToFit="1"/>
    </xf>
    <xf numFmtId="0" fontId="227" fillId="61" borderId="86" xfId="14841" applyFont="1" applyFill="1" applyBorder="1" applyAlignment="1">
      <alignment horizontal="center" vertical="center" textRotation="255" shrinkToFit="1"/>
    </xf>
    <xf numFmtId="0" fontId="228" fillId="61" borderId="66" xfId="14841" applyFont="1" applyFill="1" applyBorder="1" applyAlignment="1">
      <alignment horizontal="center" vertical="center" shrinkToFit="1"/>
    </xf>
    <xf numFmtId="0" fontId="228" fillId="61" borderId="68" xfId="14841" applyFont="1" applyFill="1" applyBorder="1" applyAlignment="1">
      <alignment horizontal="center" vertical="center" shrinkToFit="1"/>
    </xf>
    <xf numFmtId="0" fontId="228" fillId="61" borderId="67" xfId="14841" applyFont="1" applyFill="1" applyBorder="1" applyAlignment="1">
      <alignment horizontal="center" vertical="center" shrinkToFit="1"/>
    </xf>
    <xf numFmtId="0" fontId="226" fillId="0" borderId="66" xfId="14841" applyFont="1" applyBorder="1" applyAlignment="1">
      <alignment horizontal="center" vertical="center" shrinkToFit="1"/>
    </xf>
    <xf numFmtId="0" fontId="226" fillId="0" borderId="68" xfId="14841" applyFont="1" applyBorder="1" applyAlignment="1">
      <alignment horizontal="center" vertical="center" shrinkToFit="1"/>
    </xf>
    <xf numFmtId="0" fontId="226" fillId="0" borderId="69" xfId="14841" applyFont="1" applyBorder="1" applyAlignment="1">
      <alignment horizontal="center" vertical="center" shrinkToFit="1"/>
    </xf>
    <xf numFmtId="360" fontId="225" fillId="0" borderId="70" xfId="14841" applyNumberFormat="1" applyFont="1" applyBorder="1" applyAlignment="1">
      <alignment horizontal="center" vertical="center" shrinkToFit="1"/>
    </xf>
    <xf numFmtId="360" fontId="225" fillId="0" borderId="0" xfId="14841" applyNumberFormat="1" applyFont="1" applyAlignment="1">
      <alignment horizontal="center" vertical="center" shrinkToFit="1"/>
    </xf>
    <xf numFmtId="360" fontId="225" fillId="0" borderId="48" xfId="14841" applyNumberFormat="1" applyFont="1" applyBorder="1" applyAlignment="1">
      <alignment horizontal="center" vertical="center" shrinkToFit="1"/>
    </xf>
    <xf numFmtId="360" fontId="225" fillId="0" borderId="76" xfId="14841" applyNumberFormat="1" applyFont="1" applyBorder="1" applyAlignment="1">
      <alignment horizontal="center" vertical="center" shrinkToFit="1"/>
    </xf>
    <xf numFmtId="360" fontId="225" fillId="0" borderId="14" xfId="14841" applyNumberFormat="1" applyFont="1" applyBorder="1" applyAlignment="1">
      <alignment horizontal="center" vertical="center" shrinkToFit="1"/>
    </xf>
    <xf numFmtId="360" fontId="225" fillId="0" borderId="77" xfId="14841" applyNumberFormat="1" applyFont="1" applyBorder="1" applyAlignment="1">
      <alignment horizontal="center" vertical="center" shrinkToFit="1"/>
    </xf>
    <xf numFmtId="360" fontId="225" fillId="0" borderId="43" xfId="14841" applyNumberFormat="1" applyFont="1" applyBorder="1" applyAlignment="1">
      <alignment horizontal="center" vertical="center" shrinkToFit="1"/>
    </xf>
    <xf numFmtId="360" fontId="225" fillId="0" borderId="71" xfId="14841" applyNumberFormat="1" applyFont="1" applyBorder="1" applyAlignment="1">
      <alignment horizontal="center" vertical="center" shrinkToFit="1"/>
    </xf>
    <xf numFmtId="360" fontId="225" fillId="0" borderId="78" xfId="14841" applyNumberFormat="1" applyFont="1" applyBorder="1" applyAlignment="1">
      <alignment horizontal="center" vertical="center" shrinkToFit="1"/>
    </xf>
    <xf numFmtId="360" fontId="225" fillId="0" borderId="24" xfId="14841" applyNumberFormat="1" applyFont="1" applyBorder="1" applyAlignment="1">
      <alignment horizontal="center" vertical="center" shrinkToFit="1"/>
    </xf>
    <xf numFmtId="0" fontId="225" fillId="0" borderId="75" xfId="14841" applyFont="1" applyBorder="1" applyAlignment="1">
      <alignment horizontal="center" vertical="center" shrinkToFit="1"/>
    </xf>
    <xf numFmtId="49" fontId="225" fillId="0" borderId="81" xfId="14841" applyNumberFormat="1" applyFont="1" applyBorder="1" applyAlignment="1">
      <alignment horizontal="center" vertical="center" shrinkToFit="1"/>
    </xf>
    <xf numFmtId="49" fontId="225" fillId="0" borderId="73" xfId="14841" applyNumberFormat="1" applyFont="1" applyBorder="1" applyAlignment="1">
      <alignment horizontal="center" vertical="center" shrinkToFit="1"/>
    </xf>
    <xf numFmtId="49" fontId="225" fillId="0" borderId="74" xfId="14841" applyNumberFormat="1" applyFont="1" applyBorder="1" applyAlignment="1">
      <alignment horizontal="center" vertical="center" shrinkToFit="1"/>
    </xf>
    <xf numFmtId="177" fontId="0" fillId="0" borderId="59" xfId="0" applyNumberFormat="1" applyBorder="1" applyAlignment="1">
      <alignment horizontal="center" vertical="center"/>
    </xf>
    <xf numFmtId="177" fontId="0" fillId="0" borderId="58" xfId="0" applyNumberFormat="1" applyBorder="1" applyAlignment="1">
      <alignment horizontal="center" vertical="center"/>
    </xf>
    <xf numFmtId="177" fontId="0" fillId="58" borderId="59" xfId="0" applyNumberFormat="1" applyFill="1" applyBorder="1" applyAlignment="1">
      <alignment horizontal="center" vertical="center"/>
    </xf>
    <xf numFmtId="177" fontId="0" fillId="58" borderId="58" xfId="0" applyNumberFormat="1" applyFill="1" applyBorder="1" applyAlignment="1">
      <alignment horizontal="center" vertical="center"/>
    </xf>
    <xf numFmtId="177" fontId="0" fillId="58" borderId="1" xfId="0" applyNumberFormat="1" applyFill="1" applyBorder="1" applyAlignment="1">
      <alignment horizontal="center" vertical="center"/>
    </xf>
    <xf numFmtId="177" fontId="0" fillId="58" borderId="1" xfId="0" applyNumberFormat="1" applyFill="1" applyBorder="1" applyAlignment="1">
      <alignment horizontal="center" vertical="center" wrapText="1"/>
    </xf>
    <xf numFmtId="177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 wrapText="1"/>
    </xf>
    <xf numFmtId="177" fontId="4" fillId="0" borderId="59" xfId="0" applyNumberFormat="1" applyFont="1" applyBorder="1" applyAlignment="1">
      <alignment horizontal="center" vertical="center"/>
    </xf>
    <xf numFmtId="177" fontId="4" fillId="0" borderId="58" xfId="0" applyNumberFormat="1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 wrapText="1"/>
    </xf>
  </cellXfs>
  <cellStyles count="15039">
    <cellStyle name="_x0001_" xfId="2" xr:uid="{00000000-0005-0000-0000-000000000000}"/>
    <cellStyle name=" " xfId="3" xr:uid="{00000000-0005-0000-0000-000001000000}"/>
    <cellStyle name="' '" xfId="4" xr:uid="{00000000-0005-0000-0000-000002000000}"/>
    <cellStyle name="          _x000d__x000a_386grabber=vga.3gr_x000d__x000a_" xfId="5" xr:uid="{00000000-0005-0000-0000-000003000000}"/>
    <cellStyle name="  10" xfId="6" xr:uid="{00000000-0005-0000-0000-000004000000}"/>
    <cellStyle name="  11" xfId="7" xr:uid="{00000000-0005-0000-0000-000005000000}"/>
    <cellStyle name="  12" xfId="8" xr:uid="{00000000-0005-0000-0000-000006000000}"/>
    <cellStyle name="  13" xfId="9" xr:uid="{00000000-0005-0000-0000-000007000000}"/>
    <cellStyle name="  14" xfId="10" xr:uid="{00000000-0005-0000-0000-000008000000}"/>
    <cellStyle name="  15" xfId="11" xr:uid="{00000000-0005-0000-0000-000009000000}"/>
    <cellStyle name="  16" xfId="12" xr:uid="{00000000-0005-0000-0000-00000A000000}"/>
    <cellStyle name="  17" xfId="13" xr:uid="{00000000-0005-0000-0000-00000B000000}"/>
    <cellStyle name="  18" xfId="14" xr:uid="{00000000-0005-0000-0000-00000C000000}"/>
    <cellStyle name="  2" xfId="15" xr:uid="{00000000-0005-0000-0000-00000D000000}"/>
    <cellStyle name="  3" xfId="16" xr:uid="{00000000-0005-0000-0000-00000E000000}"/>
    <cellStyle name="  4" xfId="17" xr:uid="{00000000-0005-0000-0000-00000F000000}"/>
    <cellStyle name="  5" xfId="18" xr:uid="{00000000-0005-0000-0000-000010000000}"/>
    <cellStyle name="  6" xfId="19" xr:uid="{00000000-0005-0000-0000-000011000000}"/>
    <cellStyle name="  7" xfId="20" xr:uid="{00000000-0005-0000-0000-000012000000}"/>
    <cellStyle name="  8" xfId="21" xr:uid="{00000000-0005-0000-0000-000013000000}"/>
    <cellStyle name="  9" xfId="22" xr:uid="{00000000-0005-0000-0000-000014000000}"/>
    <cellStyle name=" _97연말" xfId="23" xr:uid="{00000000-0005-0000-0000-000015000000}"/>
    <cellStyle name=" _97연말_아산~천안 대청광역 도송수관로 이설공사(공사비수정)최종4월24일" xfId="24" xr:uid="{00000000-0005-0000-0000-000016000000}"/>
    <cellStyle name=" _97연말1" xfId="25" xr:uid="{00000000-0005-0000-0000-000017000000}"/>
    <cellStyle name=" _97연말1_아산~천안 대청광역 도송수관로 이설공사(공사비수정)최종4월24일" xfId="26" xr:uid="{00000000-0005-0000-0000-000018000000}"/>
    <cellStyle name=" _Book1" xfId="27" xr:uid="{00000000-0005-0000-0000-000019000000}"/>
    <cellStyle name=" _Book1_아산~천안 대청광역 도송수관로 이설공사(공사비수정)최종4월24일" xfId="28" xr:uid="{00000000-0005-0000-0000-00001A000000}"/>
    <cellStyle name=" _아산~천안 대청광역 도송수관로 이설공사(공사비수정)최종4월24일" xfId="29" xr:uid="{00000000-0005-0000-0000-00001B000000}"/>
    <cellStyle name=" bolted_'98지하철1,2호선 구조물균열누수보수공사" xfId="30" xr:uid="{00000000-0005-0000-0000-00001C000000}"/>
    <cellStyle name="Ი_x000b_" xfId="31" xr:uid="{00000000-0005-0000-0000-00001D000000}"/>
    <cellStyle name="&quot;" xfId="32" xr:uid="{00000000-0005-0000-0000-00001E000000}"/>
    <cellStyle name="&quot; 2" xfId="33" xr:uid="{00000000-0005-0000-0000-00001F000000}"/>
    <cellStyle name="&quot; 2 2" xfId="34" xr:uid="{00000000-0005-0000-0000-000020000000}"/>
    <cellStyle name="&quot; 3" xfId="35" xr:uid="{00000000-0005-0000-0000-000021000000}"/>
    <cellStyle name="&quot; 3 2" xfId="36" xr:uid="{00000000-0005-0000-0000-000022000000}"/>
    <cellStyle name="&quot; 4" xfId="37" xr:uid="{00000000-0005-0000-0000-000023000000}"/>
    <cellStyle name="&quot; 4 2" xfId="38" xr:uid="{00000000-0005-0000-0000-000024000000}"/>
    <cellStyle name="&quot;큰제목&quot;" xfId="39" xr:uid="{00000000-0005-0000-0000-000025000000}"/>
    <cellStyle name="#,##0" xfId="40" xr:uid="{00000000-0005-0000-0000-000026000000}"/>
    <cellStyle name="#,##0 2" xfId="41" xr:uid="{00000000-0005-0000-0000-000027000000}"/>
    <cellStyle name="#,##0 2 2" xfId="42" xr:uid="{00000000-0005-0000-0000-000028000000}"/>
    <cellStyle name="#,##0 2 2 2" xfId="43" xr:uid="{00000000-0005-0000-0000-000029000000}"/>
    <cellStyle name="#,##0 2 3" xfId="44" xr:uid="{00000000-0005-0000-0000-00002A000000}"/>
    <cellStyle name="#,##0 3" xfId="45" xr:uid="{00000000-0005-0000-0000-00002B000000}"/>
    <cellStyle name="#,##0 3 2" xfId="46" xr:uid="{00000000-0005-0000-0000-00002C000000}"/>
    <cellStyle name="#,##0 3 2 2" xfId="47" xr:uid="{00000000-0005-0000-0000-00002D000000}"/>
    <cellStyle name="#,##0 3 3" xfId="48" xr:uid="{00000000-0005-0000-0000-00002E000000}"/>
    <cellStyle name="#,##0 4" xfId="49" xr:uid="{00000000-0005-0000-0000-00002F000000}"/>
    <cellStyle name="#,##0 4 2" xfId="50" xr:uid="{00000000-0005-0000-0000-000030000000}"/>
    <cellStyle name="#,##0 4 2 2" xfId="51" xr:uid="{00000000-0005-0000-0000-000031000000}"/>
    <cellStyle name="#,##0 4 3" xfId="52" xr:uid="{00000000-0005-0000-0000-000032000000}"/>
    <cellStyle name="#,##0 5" xfId="53" xr:uid="{00000000-0005-0000-0000-000033000000}"/>
    <cellStyle name="$" xfId="54" xr:uid="{00000000-0005-0000-0000-000034000000}"/>
    <cellStyle name="$_db진흥" xfId="55" xr:uid="{00000000-0005-0000-0000-000035000000}"/>
    <cellStyle name="$_SE40" xfId="56" xr:uid="{00000000-0005-0000-0000-000036000000}"/>
    <cellStyle name="$_견적2" xfId="57" xr:uid="{00000000-0005-0000-0000-000037000000}"/>
    <cellStyle name="$_기아" xfId="58" xr:uid="{00000000-0005-0000-0000-000038000000}"/>
    <cellStyle name="%(+,-,0)" xfId="59" xr:uid="{00000000-0005-0000-0000-000039000000}"/>
    <cellStyle name="(##.00)" xfId="60" xr:uid="{00000000-0005-0000-0000-00003A000000}"/>
    <cellStyle name="(##.00) 10" xfId="61" xr:uid="{00000000-0005-0000-0000-00003B000000}"/>
    <cellStyle name="(##.00) 11" xfId="62" xr:uid="{00000000-0005-0000-0000-00003C000000}"/>
    <cellStyle name="(##.00) 2" xfId="63" xr:uid="{00000000-0005-0000-0000-00003D000000}"/>
    <cellStyle name="(##.00) 3" xfId="64" xr:uid="{00000000-0005-0000-0000-00003E000000}"/>
    <cellStyle name="(##.00) 4" xfId="65" xr:uid="{00000000-0005-0000-0000-00003F000000}"/>
    <cellStyle name="(##.00) 5" xfId="66" xr:uid="{00000000-0005-0000-0000-000040000000}"/>
    <cellStyle name="(##.00) 6" xfId="67" xr:uid="{00000000-0005-0000-0000-000041000000}"/>
    <cellStyle name="(##.00) 7" xfId="68" xr:uid="{00000000-0005-0000-0000-000042000000}"/>
    <cellStyle name="(##.00) 8" xfId="69" xr:uid="{00000000-0005-0000-0000-000043000000}"/>
    <cellStyle name="(##.00) 9" xfId="70" xr:uid="{00000000-0005-0000-0000-000044000000}"/>
    <cellStyle name="(△콤마)" xfId="71" xr:uid="{00000000-0005-0000-0000-000045000000}"/>
    <cellStyle name="(1)" xfId="72" xr:uid="{00000000-0005-0000-0000-000046000000}"/>
    <cellStyle name="(1) 2" xfId="73" xr:uid="{00000000-0005-0000-0000-000047000000}"/>
    <cellStyle name="(1) 2 2" xfId="74" xr:uid="{00000000-0005-0000-0000-000048000000}"/>
    <cellStyle name="(1) 2 3" xfId="75" xr:uid="{00000000-0005-0000-0000-000049000000}"/>
    <cellStyle name="(1) 2 4" xfId="76" xr:uid="{00000000-0005-0000-0000-00004A000000}"/>
    <cellStyle name="(1) 3" xfId="77" xr:uid="{00000000-0005-0000-0000-00004B000000}"/>
    <cellStyle name="(1) 3 2" xfId="78" xr:uid="{00000000-0005-0000-0000-00004C000000}"/>
    <cellStyle name="(1) 3 3" xfId="79" xr:uid="{00000000-0005-0000-0000-00004D000000}"/>
    <cellStyle name="(1) 3 4" xfId="80" xr:uid="{00000000-0005-0000-0000-00004E000000}"/>
    <cellStyle name="(1) 4" xfId="81" xr:uid="{00000000-0005-0000-0000-00004F000000}"/>
    <cellStyle name="(1) 4 2" xfId="82" xr:uid="{00000000-0005-0000-0000-000050000000}"/>
    <cellStyle name="(1) 4 3" xfId="83" xr:uid="{00000000-0005-0000-0000-000051000000}"/>
    <cellStyle name="(1) 4 4" xfId="84" xr:uid="{00000000-0005-0000-0000-000052000000}"/>
    <cellStyle name="(1) 5" xfId="85" xr:uid="{00000000-0005-0000-0000-000053000000}"/>
    <cellStyle name="(1) 5 2" xfId="86" xr:uid="{00000000-0005-0000-0000-000054000000}"/>
    <cellStyle name="(1) 5 3" xfId="87" xr:uid="{00000000-0005-0000-0000-000055000000}"/>
    <cellStyle name="(1) 5 4" xfId="88" xr:uid="{00000000-0005-0000-0000-000056000000}"/>
    <cellStyle name="(1) 6" xfId="89" xr:uid="{00000000-0005-0000-0000-000057000000}"/>
    <cellStyle name="(1) 6 2" xfId="90" xr:uid="{00000000-0005-0000-0000-000058000000}"/>
    <cellStyle name="(1) 6 3" xfId="91" xr:uid="{00000000-0005-0000-0000-000059000000}"/>
    <cellStyle name="(1) 6 4" xfId="92" xr:uid="{00000000-0005-0000-0000-00005A000000}"/>
    <cellStyle name="(1) 7" xfId="93" xr:uid="{00000000-0005-0000-0000-00005B000000}"/>
    <cellStyle name="(1) 7 2" xfId="94" xr:uid="{00000000-0005-0000-0000-00005C000000}"/>
    <cellStyle name="(1) 7 3" xfId="95" xr:uid="{00000000-0005-0000-0000-00005D000000}"/>
    <cellStyle name="(1) 7 4" xfId="96" xr:uid="{00000000-0005-0000-0000-00005E000000}"/>
    <cellStyle name="(1) 8" xfId="97" xr:uid="{00000000-0005-0000-0000-00005F000000}"/>
    <cellStyle name="(1) 8 2" xfId="98" xr:uid="{00000000-0005-0000-0000-000060000000}"/>
    <cellStyle name="(1) 8 3" xfId="99" xr:uid="{00000000-0005-0000-0000-000061000000}"/>
    <cellStyle name="(1) 8 4" xfId="100" xr:uid="{00000000-0005-0000-0000-000062000000}"/>
    <cellStyle name="(백분율)" xfId="101" xr:uid="{00000000-0005-0000-0000-000063000000}"/>
    <cellStyle name="(콤마)" xfId="102" xr:uid="{00000000-0005-0000-0000-000064000000}"/>
    <cellStyle name="(표준)" xfId="103" xr:uid="{00000000-0005-0000-0000-000065000000}"/>
    <cellStyle name="(표준) 10" xfId="104" xr:uid="{00000000-0005-0000-0000-000066000000}"/>
    <cellStyle name="(표준) 11" xfId="105" xr:uid="{00000000-0005-0000-0000-000067000000}"/>
    <cellStyle name="(표준) 12" xfId="106" xr:uid="{00000000-0005-0000-0000-000068000000}"/>
    <cellStyle name="(표준) 2" xfId="107" xr:uid="{00000000-0005-0000-0000-000069000000}"/>
    <cellStyle name="(표준) 2 2" xfId="108" xr:uid="{00000000-0005-0000-0000-00006A000000}"/>
    <cellStyle name="(표준) 2 2 2" xfId="109" xr:uid="{00000000-0005-0000-0000-00006B000000}"/>
    <cellStyle name="(표준) 2 3" xfId="110" xr:uid="{00000000-0005-0000-0000-00006C000000}"/>
    <cellStyle name="(표준) 3" xfId="111" xr:uid="{00000000-0005-0000-0000-00006D000000}"/>
    <cellStyle name="(표준) 3 2" xfId="112" xr:uid="{00000000-0005-0000-0000-00006E000000}"/>
    <cellStyle name="(표준) 3 2 2" xfId="113" xr:uid="{00000000-0005-0000-0000-00006F000000}"/>
    <cellStyle name="(표준) 3 3" xfId="114" xr:uid="{00000000-0005-0000-0000-000070000000}"/>
    <cellStyle name="(표준) 4" xfId="115" xr:uid="{00000000-0005-0000-0000-000071000000}"/>
    <cellStyle name="(표준) 4 2" xfId="116" xr:uid="{00000000-0005-0000-0000-000072000000}"/>
    <cellStyle name="(표준) 4 2 2" xfId="117" xr:uid="{00000000-0005-0000-0000-000073000000}"/>
    <cellStyle name="(표준) 4 3" xfId="118" xr:uid="{00000000-0005-0000-0000-000074000000}"/>
    <cellStyle name="(표준) 5" xfId="119" xr:uid="{00000000-0005-0000-0000-000075000000}"/>
    <cellStyle name="(표준) 5 2" xfId="120" xr:uid="{00000000-0005-0000-0000-000076000000}"/>
    <cellStyle name="(표준) 6" xfId="121" xr:uid="{00000000-0005-0000-0000-000077000000}"/>
    <cellStyle name="(표준) 7" xfId="122" xr:uid="{00000000-0005-0000-0000-000078000000}"/>
    <cellStyle name="(표준) 8" xfId="123" xr:uid="{00000000-0005-0000-0000-000079000000}"/>
    <cellStyle name="(표준) 9" xfId="124" xr:uid="{00000000-0005-0000-0000-00007A000000}"/>
    <cellStyle name="??&amp;O?&amp;H?_x0008__x000f__x0007_?_x0007__x0001__x0001_" xfId="125" xr:uid="{00000000-0005-0000-0000-00007B000000}"/>
    <cellStyle name="??&amp;O?&amp;H?_x0008_??_x0007__x0001__x0001_" xfId="126" xr:uid="{00000000-0005-0000-0000-00007C000000}"/>
    <cellStyle name="??&amp;O?&amp;H?_x0008_??_x0007__x0001__x0001_ 2" xfId="127" xr:uid="{00000000-0005-0000-0000-00007D000000}"/>
    <cellStyle name="??&amp;O?&amp;H?_x0008_??_x0007__x0001__x0001_ 3" xfId="128" xr:uid="{00000000-0005-0000-0000-00007E000000}"/>
    <cellStyle name="??&amp;O?&amp;H?_x0008__x000f__x0007_?_x0007__x0001__x0001__0.무심천 및 율량처리분구 분류식화 관거정비계획 용역내역서-20억" xfId="129" xr:uid="{00000000-0005-0000-0000-00007F000000}"/>
    <cellStyle name="??&amp;쏗?뷐9_x0008__x0011__x0007_?_x0007__x0001__x0001_" xfId="130" xr:uid="{00000000-0005-0000-0000-000080000000}"/>
    <cellStyle name="?W?_laroux" xfId="131" xr:uid="{00000000-0005-0000-0000-000081000000}"/>
    <cellStyle name="?曹%U?&amp;H?_x0008_?s_x000a__x0007__x0001__x0001_" xfId="132" xr:uid="{00000000-0005-0000-0000-000082000000}"/>
    <cellStyle name="?潮%뾁?둃u_x0008_??_x0007__x0001__x0001_" xfId="133" xr:uid="{00000000-0005-0000-0000-000083000000}"/>
    <cellStyle name="@" xfId="134" xr:uid="{00000000-0005-0000-0000-000084000000}"/>
    <cellStyle name="@_사전공사(부대공-어성전)" xfId="135" xr:uid="{00000000-0005-0000-0000-000085000000}"/>
    <cellStyle name="@_사전공사(부대공-어성전)_(현풍)실시설계내역서(대구광역시)" xfId="136" xr:uid="{00000000-0005-0000-0000-000086000000}"/>
    <cellStyle name="@_사전공사(부대공-어성전)_(현풍)실시설계내역서(대구광역시)_발주내역서(안양박달)" xfId="137" xr:uid="{00000000-0005-0000-0000-000087000000}"/>
    <cellStyle name="@_사전공사(부대공-어성전)_(현풍)실시설계내역서(대구광역시)_사본 - 설계내역서(대구하수) REV3(1188)-견학8박10일로" xfId="138" xr:uid="{00000000-0005-0000-0000-000088000000}"/>
    <cellStyle name="@_사전공사(부대공-어성전)_(현풍)실시설계내역서(대구광역시)_설계내역서(대구수질)" xfId="139" xr:uid="{00000000-0005-0000-0000-000089000000}"/>
    <cellStyle name="@_사전공사(부대공-어성전)_(현풍)실시설계내역서(대구광역시)_설계내역서(대구수질) ver10-최(선진해외)" xfId="140" xr:uid="{00000000-0005-0000-0000-00008A000000}"/>
    <cellStyle name="@_사전공사(부대공-어성전)_(현풍)실시설계내역서(대구광역시)_성서공단 설계내역서(0402)" xfId="141" xr:uid="{00000000-0005-0000-0000-00008B000000}"/>
    <cellStyle name="@_사전공사(부대공-어성전)_(현풍)실시설계내역서(대구광역시)_용암입찰안내서(보정계수포함)" xfId="142" xr:uid="{00000000-0005-0000-0000-00008C000000}"/>
    <cellStyle name="@_사전공사(부대공-어성전)_(현풍)실시설계내역서(대구광역시)_총인처리시설 설계내역서(심사)" xfId="143" xr:uid="{00000000-0005-0000-0000-00008D000000}"/>
    <cellStyle name="@_사전공사(부대공-어성전)_발주내역서(안양박달)" xfId="144" xr:uid="{00000000-0005-0000-0000-00008E000000}"/>
    <cellStyle name="@_사전공사(부대공-어성전)_사본 - 설계내역서(대구하수) REV3(1188)-견학8박10일로" xfId="145" xr:uid="{00000000-0005-0000-0000-00008F000000}"/>
    <cellStyle name="@_사전공사(부대공-어성전)_설계내역서(대구수질)" xfId="146" xr:uid="{00000000-0005-0000-0000-000090000000}"/>
    <cellStyle name="@_사전공사(부대공-어성전)_설계내역서(대구수질) ver10-최(선진해외)" xfId="147" xr:uid="{00000000-0005-0000-0000-000091000000}"/>
    <cellStyle name="@_사전공사(부대공-어성전)_성서공단 설계내역서(0402)" xfId="148" xr:uid="{00000000-0005-0000-0000-000092000000}"/>
    <cellStyle name="@_사전공사(부대공-어성전)_용암입찰안내서(보정계수포함)" xfId="149" xr:uid="{00000000-0005-0000-0000-000093000000}"/>
    <cellStyle name="@_사전공사(부대공-어성전)_총인처리시설 설계내역서(심사)" xfId="150" xr:uid="{00000000-0005-0000-0000-000094000000}"/>
    <cellStyle name="]_Sheet1_FY96" xfId="151" xr:uid="{00000000-0005-0000-0000-000095000000}"/>
    <cellStyle name="]_Sheet1_PRODUCT DETAIL_x0013_Comma [0]_Sheet1_Q1" xfId="152" xr:uid="{00000000-0005-0000-0000-000096000000}"/>
    <cellStyle name="_(01-14)광양항인건비" xfId="153" xr:uid="{00000000-0005-0000-0000-000097000000}"/>
    <cellStyle name="_(070713)설계서(수도정비,전체분)R3" xfId="154" xr:uid="{00000000-0005-0000-0000-000098000000}"/>
    <cellStyle name="_(11-6)2001중장기계획(총괄)1" xfId="155" xr:uid="{00000000-0005-0000-0000-000099000000}"/>
    <cellStyle name="_(계약)기본계획폐기물내역서" xfId="156" xr:uid="{00000000-0005-0000-0000-00009A000000}"/>
    <cellStyle name="_(구조물)깨기---------참조" xfId="157" xr:uid="{00000000-0005-0000-0000-00009B000000}"/>
    <cellStyle name="_(자재단가)내역서" xfId="158" xr:uid="{00000000-0005-0000-0000-00009C000000}"/>
    <cellStyle name="_(최종계약-1)태안수도정비 설계예산서" xfId="159" xr:uid="{00000000-0005-0000-0000-00009D000000}"/>
    <cellStyle name="_(현풍)실시설계내역서(대구수정-최종)" xfId="160" xr:uid="{00000000-0005-0000-0000-00009E000000}"/>
    <cellStyle name="_~MF0E38" xfId="161" xr:uid="{00000000-0005-0000-0000-00009F000000}"/>
    <cellStyle name="_~MF0E38_설계2임시" xfId="162" xr:uid="{00000000-0005-0000-0000-0000A0000000}"/>
    <cellStyle name="_~MF0E38_설계2임시_설계서(장)" xfId="163" xr:uid="{00000000-0005-0000-0000-0000A1000000}"/>
    <cellStyle name="_~MF0E38_설계2임시_설계최종" xfId="164" xr:uid="{00000000-0005-0000-0000-0000A2000000}"/>
    <cellStyle name="_~MF0E38_설계서(보령,전주,부안)" xfId="165" xr:uid="{00000000-0005-0000-0000-0000A3000000}"/>
    <cellStyle name="_~MF0E38_설계서(보령,전주,부안)_설계2임시" xfId="166" xr:uid="{00000000-0005-0000-0000-0000A4000000}"/>
    <cellStyle name="_~MF0E38_설계서(보령,전주,부안)_설계2임시_설계서(장)" xfId="167" xr:uid="{00000000-0005-0000-0000-0000A5000000}"/>
    <cellStyle name="_~MF0E38_설계서(보령,전주,부안)_설계2임시_설계최종" xfId="168" xr:uid="{00000000-0005-0000-0000-0000A6000000}"/>
    <cellStyle name="_~MF1105" xfId="169" xr:uid="{00000000-0005-0000-0000-0000A7000000}"/>
    <cellStyle name="_~MF1105_설계2임시" xfId="170" xr:uid="{00000000-0005-0000-0000-0000A8000000}"/>
    <cellStyle name="_~MF1105_설계2임시_설계서(장)" xfId="171" xr:uid="{00000000-0005-0000-0000-0000A9000000}"/>
    <cellStyle name="_~MF1105_설계2임시_설계최종" xfId="172" xr:uid="{00000000-0005-0000-0000-0000AA000000}"/>
    <cellStyle name="_~MF1105_설계서(보령,전주,부안)" xfId="173" xr:uid="{00000000-0005-0000-0000-0000AB000000}"/>
    <cellStyle name="_~MF1105_설계서(보령,전주,부안)_설계2임시" xfId="174" xr:uid="{00000000-0005-0000-0000-0000AC000000}"/>
    <cellStyle name="_~MF1105_설계서(보령,전주,부안)_설계2임시_설계서(장)" xfId="175" xr:uid="{00000000-0005-0000-0000-0000AD000000}"/>
    <cellStyle name="_~MF1105_설계서(보령,전주,부안)_설계2임시_설계최종" xfId="176" xr:uid="{00000000-0005-0000-0000-0000AE000000}"/>
    <cellStyle name="_~MF2110" xfId="177" xr:uid="{00000000-0005-0000-0000-0000AF000000}"/>
    <cellStyle name="_~MF373C" xfId="178" xr:uid="{00000000-0005-0000-0000-0000B0000000}"/>
    <cellStyle name="_~MF3E05" xfId="179" xr:uid="{00000000-0005-0000-0000-0000B1000000}"/>
    <cellStyle name="_~MF3E05_설계2임시" xfId="180" xr:uid="{00000000-0005-0000-0000-0000B2000000}"/>
    <cellStyle name="_~MF3E05_설계2임시_설계서(장)" xfId="181" xr:uid="{00000000-0005-0000-0000-0000B3000000}"/>
    <cellStyle name="_~MF3E05_설계2임시_설계최종" xfId="182" xr:uid="{00000000-0005-0000-0000-0000B4000000}"/>
    <cellStyle name="_~MF3E05_설계서(보령,전주,부안)" xfId="183" xr:uid="{00000000-0005-0000-0000-0000B5000000}"/>
    <cellStyle name="_~MF3E05_설계서(보령,전주,부안)_설계2임시" xfId="184" xr:uid="{00000000-0005-0000-0000-0000B6000000}"/>
    <cellStyle name="_~MF3E05_설계서(보령,전주,부안)_설계2임시_설계서(장)" xfId="185" xr:uid="{00000000-0005-0000-0000-0000B7000000}"/>
    <cellStyle name="_~MF3E05_설계서(보령,전주,부안)_설계2임시_설계최종" xfId="186" xr:uid="{00000000-0005-0000-0000-0000B8000000}"/>
    <cellStyle name="_00. 폐기물처리" xfId="187" xr:uid="{00000000-0005-0000-0000-0000B9000000}"/>
    <cellStyle name="_00.전체토공집계" xfId="188" xr:uid="{00000000-0005-0000-0000-0000BA000000}"/>
    <cellStyle name="_00_남문-예산서" xfId="189" xr:uid="{00000000-0005-0000-0000-0000BB000000}"/>
    <cellStyle name="_002 계측제어내역서" xfId="190" xr:uid="{00000000-0005-0000-0000-0000BC000000}"/>
    <cellStyle name="_01 기본및실시설계" xfId="191" xr:uid="{00000000-0005-0000-0000-0000BD000000}"/>
    <cellStyle name="_01. 송수A-LINE변실" xfId="192" xr:uid="{00000000-0005-0000-0000-0000BE000000}"/>
    <cellStyle name="_01. 송수A-LINE변실_000-1.주요자재 A-LINE" xfId="193" xr:uid="{00000000-0005-0000-0000-0000BF000000}"/>
    <cellStyle name="_01. 송수A-LINE변실_000-1.주요자재 B-LINE" xfId="194" xr:uid="{00000000-0005-0000-0000-0000C0000000}"/>
    <cellStyle name="_01. 송수A-LINE변실_000-1.주요자재 C-LINE" xfId="195" xr:uid="{00000000-0005-0000-0000-0000C1000000}"/>
    <cellStyle name="_01. 송수B-LINE변실" xfId="196" xr:uid="{00000000-0005-0000-0000-0000C2000000}"/>
    <cellStyle name="_01. 송수B-LINE변실_000-1.주요자재 A-LINE" xfId="197" xr:uid="{00000000-0005-0000-0000-0000C3000000}"/>
    <cellStyle name="_01. 송수B-LINE변실_000-1.주요자재 B-LINE" xfId="198" xr:uid="{00000000-0005-0000-0000-0000C4000000}"/>
    <cellStyle name="_01. 송수B-LINE변실_000-1.주요자재 C-LINE" xfId="199" xr:uid="{00000000-0005-0000-0000-0000C5000000}"/>
    <cellStyle name="_01. 송수F-LINE변실" xfId="200" xr:uid="{00000000-0005-0000-0000-0000C6000000}"/>
    <cellStyle name="_01. 송수F-LINE변실_000-1.주요자재 A-LINE" xfId="201" xr:uid="{00000000-0005-0000-0000-0000C7000000}"/>
    <cellStyle name="_01. 송수F-LINE변실_000-1.주요자재 B-LINE" xfId="202" xr:uid="{00000000-0005-0000-0000-0000C8000000}"/>
    <cellStyle name="_01. 송수F-LINE변실_000-1.주요자재 C-LINE" xfId="203" xr:uid="{00000000-0005-0000-0000-0000C9000000}"/>
    <cellStyle name="_01.4단계 구조물공" xfId="204" xr:uid="{00000000-0005-0000-0000-0000CA000000}"/>
    <cellStyle name="_01.4단계 구조물공 " xfId="205" xr:uid="{00000000-0005-0000-0000-0000CB000000}"/>
    <cellStyle name="_01.개량관로토공화장오수" xfId="206" xr:uid="{00000000-0005-0000-0000-0000CC000000}"/>
    <cellStyle name="_01.관로토공(우수)" xfId="207" xr:uid="{00000000-0005-0000-0000-0000CD000000}"/>
    <cellStyle name="_01.관로토공(우수)_01-02.맨홀토공(OPEN-0.3)D-LINE" xfId="208" xr:uid="{00000000-0005-0000-0000-0000CE000000}"/>
    <cellStyle name="_01.관로토공(우수)_01-02.맨홀토공(OPEN-0.3)D-LINE_01-02.맨홀토공(OPEN-0.3)C-LINE" xfId="209" xr:uid="{00000000-0005-0000-0000-0000CF000000}"/>
    <cellStyle name="_01.관로토공(우수)_01-02.맨홀토공(OPEN-0.3)D-LINE_01-02.맨홀토공(OPEN-0.3)C-LINE_02.구조물및추진,도달기지토공(D구간)" xfId="210" xr:uid="{00000000-0005-0000-0000-0000D0000000}"/>
    <cellStyle name="_01.관로토공(우수)_01-02.맨홀토공(OPEN-0.3)D-LINE_01-02.맨홀토공(OPEN-0.3)C-LINE_02.구조물토공(B-LINE)" xfId="211" xr:uid="{00000000-0005-0000-0000-0000D1000000}"/>
    <cellStyle name="_01.관로토공(우수)_01-02.맨홀토공(OPEN-0.3)D-LINE_01-02.맨홀토공(OPEN-0.3)D-LINE" xfId="212" xr:uid="{00000000-0005-0000-0000-0000D2000000}"/>
    <cellStyle name="_01.관로토공(우수)_01-02.맨홀토공(OPEN-0.3)D-LINE_01-02.맨홀토공(OPEN-0.3)D-LINE_02.구조물및추진,도달기지토공(D구간)" xfId="213" xr:uid="{00000000-0005-0000-0000-0000D3000000}"/>
    <cellStyle name="_01.관로토공(우수)_01-02.맨홀토공(OPEN-0.3)D-LINE_01-02.맨홀토공(OPEN-0.3)D-LINE_02.구조물토공(B-LINE)" xfId="214" xr:uid="{00000000-0005-0000-0000-0000D4000000}"/>
    <cellStyle name="_01.관로토공(우수)_01-02.맨홀토공(OPEN-0.3)D-LINE_02.구조물및추진,도달기지토공(D구간)" xfId="215" xr:uid="{00000000-0005-0000-0000-0000D5000000}"/>
    <cellStyle name="_01.관로토공(우수)_01-02.맨홀토공(OPEN-0.3)D-LINE_02.구조물토공(B-LINE)" xfId="216" xr:uid="{00000000-0005-0000-0000-0000D6000000}"/>
    <cellStyle name="_01.관로토공(우수)_01-3.옥구오수신설  맨홀토공(OPEN-0.3)" xfId="217" xr:uid="{00000000-0005-0000-0000-0000D7000000}"/>
    <cellStyle name="_01.관로토공(우수)_01-3.옥구오수신설  맨홀토공(OPEN-0.3)_01-02.맨홀토공(OPEN-0.3)C-LINE" xfId="218" xr:uid="{00000000-0005-0000-0000-0000D8000000}"/>
    <cellStyle name="_01.관로토공(우수)_01-3.옥구오수신설  맨홀토공(OPEN-0.3)_01-02.맨홀토공(OPEN-0.3)C-LINE_02.구조물및추진,도달기지토공(D구간)" xfId="219" xr:uid="{00000000-0005-0000-0000-0000D9000000}"/>
    <cellStyle name="_01.관로토공(우수)_01-3.옥구오수신설  맨홀토공(OPEN-0.3)_01-02.맨홀토공(OPEN-0.3)C-LINE_02.구조물토공(B-LINE)" xfId="220" xr:uid="{00000000-0005-0000-0000-0000DA000000}"/>
    <cellStyle name="_01.관로토공(우수)_01-3.옥구오수신설  맨홀토공(OPEN-0.3)_01-02.맨홀토공(OPEN-0.3)D-LINE" xfId="221" xr:uid="{00000000-0005-0000-0000-0000DB000000}"/>
    <cellStyle name="_01.관로토공(우수)_01-3.옥구오수신설  맨홀토공(OPEN-0.3)_01-02.맨홀토공(OPEN-0.3)D-LINE_02.구조물및추진,도달기지토공(D구간)" xfId="222" xr:uid="{00000000-0005-0000-0000-0000DC000000}"/>
    <cellStyle name="_01.관로토공(우수)_01-3.옥구오수신설  맨홀토공(OPEN-0.3)_01-02.맨홀토공(OPEN-0.3)D-LINE_02.구조물토공(B-LINE)" xfId="223" xr:uid="{00000000-0005-0000-0000-0000DD000000}"/>
    <cellStyle name="_01.관로토공(우수)_01-3.옥구오수신설  맨홀토공(OPEN-0.3)_02.구조물및추진,도달기지토공(D구간)" xfId="224" xr:uid="{00000000-0005-0000-0000-0000DE000000}"/>
    <cellStyle name="_01.관로토공(우수)_01-3.옥구오수신설  맨홀토공(OPEN-0.3)_02.구조물토공(B-LINE)" xfId="225" xr:uid="{00000000-0005-0000-0000-0000DF000000}"/>
    <cellStyle name="_01.관로토공(우수)_01-3.옥서오수신설  맨홀토공(OPEN-0.3)" xfId="226" xr:uid="{00000000-0005-0000-0000-0000E0000000}"/>
    <cellStyle name="_01.관로토공(우수)_01-3.옥서오수신설  맨홀토공(OPEN-0.3)_01-02.맨홀토공(OPEN-0.3)C-LINE" xfId="227" xr:uid="{00000000-0005-0000-0000-0000E1000000}"/>
    <cellStyle name="_01.관로토공(우수)_01-3.옥서오수신설  맨홀토공(OPEN-0.3)_01-02.맨홀토공(OPEN-0.3)C-LINE_02.구조물및추진,도달기지토공(D구간)" xfId="228" xr:uid="{00000000-0005-0000-0000-0000E2000000}"/>
    <cellStyle name="_01.관로토공(우수)_01-3.옥서오수신설  맨홀토공(OPEN-0.3)_01-02.맨홀토공(OPEN-0.3)C-LINE_02.구조물토공(B-LINE)" xfId="229" xr:uid="{00000000-0005-0000-0000-0000E3000000}"/>
    <cellStyle name="_01.관로토공(우수)_01-3.옥서오수신설  맨홀토공(OPEN-0.3)_01-02.맨홀토공(OPEN-0.3)D-LINE" xfId="230" xr:uid="{00000000-0005-0000-0000-0000E4000000}"/>
    <cellStyle name="_01.관로토공(우수)_01-3.옥서오수신설  맨홀토공(OPEN-0.3)_01-02.맨홀토공(OPEN-0.3)D-LINE_02.구조물및추진,도달기지토공(D구간)" xfId="231" xr:uid="{00000000-0005-0000-0000-0000E5000000}"/>
    <cellStyle name="_01.관로토공(우수)_01-3.옥서오수신설  맨홀토공(OPEN-0.3)_01-02.맨홀토공(OPEN-0.3)D-LINE_02.구조물토공(B-LINE)" xfId="232" xr:uid="{00000000-0005-0000-0000-0000E6000000}"/>
    <cellStyle name="_01.관로토공(우수)_01-3.옥서오수신설  맨홀토공(OPEN-0.3)_02.구조물및추진,도달기지토공(D구간)" xfId="233" xr:uid="{00000000-0005-0000-0000-0000E7000000}"/>
    <cellStyle name="_01.관로토공(우수)_01-3.옥서오수신설  맨홀토공(OPEN-0.3)_02.구조물토공(B-LINE)" xfId="234" xr:uid="{00000000-0005-0000-0000-0000E8000000}"/>
    <cellStyle name="_01.관로토공(우수)_02.구조물및추진,도달기지토공(D구간)" xfId="235" xr:uid="{00000000-0005-0000-0000-0000E9000000}"/>
    <cellStyle name="_01.관로토공(우수)_02.구조물토공(B-LINE)" xfId="236" xr:uid="{00000000-0005-0000-0000-0000EA000000}"/>
    <cellStyle name="_01.구조물공(강화-LINE)" xfId="237" xr:uid="{00000000-0005-0000-0000-0000EB000000}"/>
    <cellStyle name="_01.구조물공(강화-LINE)_02.구조물및추진,도달기지토공(D구간)" xfId="238" xr:uid="{00000000-0005-0000-0000-0000EC000000}"/>
    <cellStyle name="_01.구조물공(강화-LINE)_02.구조물토공(B-LINE)" xfId="239" xr:uid="{00000000-0005-0000-0000-0000ED000000}"/>
    <cellStyle name="_01.구조물공(강화-LINE)_수봉배수지" xfId="240" xr:uid="{00000000-0005-0000-0000-0000EE000000}"/>
    <cellStyle name="_01.구조물공(강화-LINE)_수봉배수지(수정)" xfId="241" xr:uid="{00000000-0005-0000-0000-0000EF000000}"/>
    <cellStyle name="_01.구조물공(강화-LINE)_수봉배수지(수정)_02.구조물및추진,도달기지토공(D구간)" xfId="242" xr:uid="{00000000-0005-0000-0000-0000F0000000}"/>
    <cellStyle name="_01.구조물공(강화-LINE)_수봉배수지(수정)_02.구조물토공(B-LINE)" xfId="243" xr:uid="{00000000-0005-0000-0000-0000F1000000}"/>
    <cellStyle name="_01.구조물공(강화-LINE)_수봉배수지(일부)" xfId="244" xr:uid="{00000000-0005-0000-0000-0000F2000000}"/>
    <cellStyle name="_01.구조물공(강화-LINE)_수봉배수지(일부)_02.구조물및추진,도달기지토공(D구간)" xfId="245" xr:uid="{00000000-0005-0000-0000-0000F3000000}"/>
    <cellStyle name="_01.구조물공(강화-LINE)_수봉배수지(일부)_02.구조물토공(B-LINE)" xfId="246" xr:uid="{00000000-0005-0000-0000-0000F4000000}"/>
    <cellStyle name="_01.구조물공(강화-LINE)_수봉배수지(일부)_2.0 유량점검맨홀(D1200)" xfId="247" xr:uid="{00000000-0005-0000-0000-0000F5000000}"/>
    <cellStyle name="_01.구조물공(강화-LINE)_수봉배수지(일부)_2.0 유량점검맨홀(D1200)_02.구조물및추진,도달기지토공(D구간)" xfId="248" xr:uid="{00000000-0005-0000-0000-0000F6000000}"/>
    <cellStyle name="_01.구조물공(강화-LINE)_수봉배수지(일부)_2.0 유량점검맨홀(D1200)_02.구조물토공(B-LINE)" xfId="249" xr:uid="{00000000-0005-0000-0000-0000F7000000}"/>
    <cellStyle name="_01.구조물공(강화-LINE)_수봉배수지(일부)_수봉배수지(일부)" xfId="250" xr:uid="{00000000-0005-0000-0000-0000F8000000}"/>
    <cellStyle name="_01.구조물공(강화-LINE)_수봉배수지(일부)_수봉배수지(일부)_02.구조물및추진,도달기지토공(D구간)" xfId="251" xr:uid="{00000000-0005-0000-0000-0000F9000000}"/>
    <cellStyle name="_01.구조물공(강화-LINE)_수봉배수지(일부)_수봉배수지(일부)_02.구조물토공(B-LINE)" xfId="252" xr:uid="{00000000-0005-0000-0000-0000FA000000}"/>
    <cellStyle name="_01.구조물공(강화-LINE)_수봉배수지(일부)_수봉배수지(일부)_2.0 유량점검맨홀(D1200)" xfId="253" xr:uid="{00000000-0005-0000-0000-0000FB000000}"/>
    <cellStyle name="_01.구조물공(강화-LINE)_수봉배수지(일부)_수봉배수지(일부)_2.0 유량점검맨홀(D1200)_02.구조물및추진,도달기지토공(D구간)" xfId="254" xr:uid="{00000000-0005-0000-0000-0000FC000000}"/>
    <cellStyle name="_01.구조물공(강화-LINE)_수봉배수지(일부)_수봉배수지(일부)_2.0 유량점검맨홀(D1200)_02.구조물토공(B-LINE)" xfId="255" xr:uid="{00000000-0005-0000-0000-0000FD000000}"/>
    <cellStyle name="_01.구조물공(강화-LINE)_수봉배수지(일부)_수봉배수지(일부)_수봉배수지" xfId="256" xr:uid="{00000000-0005-0000-0000-0000FE000000}"/>
    <cellStyle name="_01.구조물공(강화-LINE)_수봉배수지(일부)_수봉배수지(일부)_수봉배수지(수정)" xfId="257" xr:uid="{00000000-0005-0000-0000-0000FF000000}"/>
    <cellStyle name="_01.구조물공(강화-LINE)_수봉배수지(일부)_수봉배수지(일부)_수봉배수지(수정)_02.구조물및추진,도달기지토공(D구간)" xfId="258" xr:uid="{00000000-0005-0000-0000-000000010000}"/>
    <cellStyle name="_01.구조물공(강화-LINE)_수봉배수지(일부)_수봉배수지(일부)_수봉배수지(수정)_02.구조물토공(B-LINE)" xfId="259" xr:uid="{00000000-0005-0000-0000-000001010000}"/>
    <cellStyle name="_01.구조물공(강화-LINE)_수봉배수지(일부)_수봉배수지(일부)_수봉배수지_02.구조물및추진,도달기지토공(D구간)" xfId="260" xr:uid="{00000000-0005-0000-0000-000002010000}"/>
    <cellStyle name="_01.구조물공(강화-LINE)_수봉배수지(일부)_수봉배수지(일부)_수봉배수지_02.구조물토공(B-LINE)" xfId="261" xr:uid="{00000000-0005-0000-0000-000003010000}"/>
    <cellStyle name="_01.구조물공(강화-LINE)_수봉배수지(일부)_수봉배수지(일부)_수봉배수지_2.0 유량점검맨홀(D1200)" xfId="262" xr:uid="{00000000-0005-0000-0000-000004010000}"/>
    <cellStyle name="_01.구조물공(강화-LINE)_수봉배수지(일부)_수봉배수지(일부)_수봉배수지_2.0 유량점검맨홀(D1200)_02.구조물및추진,도달기지토공(D구간)" xfId="263" xr:uid="{00000000-0005-0000-0000-000005010000}"/>
    <cellStyle name="_01.구조물공(강화-LINE)_수봉배수지(일부)_수봉배수지(일부)_수봉배수지_2.0 유량점검맨홀(D1200)_02.구조물토공(B-LINE)" xfId="264" xr:uid="{00000000-0005-0000-0000-000006010000}"/>
    <cellStyle name="_01.구조물공(강화-LINE)_수봉배수지_02.구조물및추진,도달기지토공(D구간)" xfId="265" xr:uid="{00000000-0005-0000-0000-000007010000}"/>
    <cellStyle name="_01.구조물공(강화-LINE)_수봉배수지_02.구조물토공(B-LINE)" xfId="266" xr:uid="{00000000-0005-0000-0000-000008010000}"/>
    <cellStyle name="_01.구조물공(강화-LINE)_수봉배수지_2.0 유량점검맨홀(D1200)" xfId="267" xr:uid="{00000000-0005-0000-0000-000009010000}"/>
    <cellStyle name="_01.구조물공(강화-LINE)_수봉배수지_2.0 유량점검맨홀(D1200)_02.구조물및추진,도달기지토공(D구간)" xfId="268" xr:uid="{00000000-0005-0000-0000-00000A010000}"/>
    <cellStyle name="_01.구조물공(강화-LINE)_수봉배수지_2.0 유량점검맨홀(D1200)_02.구조물토공(B-LINE)" xfId="269" xr:uid="{00000000-0005-0000-0000-00000B010000}"/>
    <cellStyle name="_01.구조물공(강화-LINE)_신동아아파트" xfId="270" xr:uid="{00000000-0005-0000-0000-00000C010000}"/>
    <cellStyle name="_01.구조물공(강화-LINE)_신동아아파트_02.구조물및추진,도달기지토공(D구간)" xfId="271" xr:uid="{00000000-0005-0000-0000-00000D010000}"/>
    <cellStyle name="_01.구조물공(강화-LINE)_신동아아파트_02.구조물토공(B-LINE)" xfId="272" xr:uid="{00000000-0005-0000-0000-00000E010000}"/>
    <cellStyle name="_01.구조물공(강화-LINE)_신동아아파트_2.0 유량점검맨홀(D1200)" xfId="273" xr:uid="{00000000-0005-0000-0000-00000F010000}"/>
    <cellStyle name="_01.구조물공(강화-LINE)_신동아아파트_2.0 유량점검맨홀(D1200)_02.구조물및추진,도달기지토공(D구간)" xfId="274" xr:uid="{00000000-0005-0000-0000-000010010000}"/>
    <cellStyle name="_01.구조물공(강화-LINE)_신동아아파트_2.0 유량점검맨홀(D1200)_02.구조물토공(B-LINE)" xfId="275" xr:uid="{00000000-0005-0000-0000-000011010000}"/>
    <cellStyle name="_01.구조물공(강화-LINE)_유량계실" xfId="276" xr:uid="{00000000-0005-0000-0000-000012010000}"/>
    <cellStyle name="_01.구조물공(강화-LINE)_유량계실(산업1로)500" xfId="277" xr:uid="{00000000-0005-0000-0000-000013010000}"/>
    <cellStyle name="_01.구조물공(강화-LINE)_유량계실(산업1로)500_02.구조물및추진,도달기지토공(D구간)" xfId="278" xr:uid="{00000000-0005-0000-0000-000014010000}"/>
    <cellStyle name="_01.구조물공(강화-LINE)_유량계실(산업1로)500_02.구조물토공(B-LINE)" xfId="279" xr:uid="{00000000-0005-0000-0000-000015010000}"/>
    <cellStyle name="_01.구조물공(강화-LINE)_유량계실(산업1로)500_2.0 유량점검맨홀(D1200)" xfId="280" xr:uid="{00000000-0005-0000-0000-000016010000}"/>
    <cellStyle name="_01.구조물공(강화-LINE)_유량계실(산업1로)500_2.0 유량점검맨홀(D1200)_02.구조물및추진,도달기지토공(D구간)" xfId="281" xr:uid="{00000000-0005-0000-0000-000017010000}"/>
    <cellStyle name="_01.구조물공(강화-LINE)_유량계실(산업1로)500_2.0 유량점검맨홀(D1200)_02.구조물토공(B-LINE)" xfId="282" xr:uid="{00000000-0005-0000-0000-000018010000}"/>
    <cellStyle name="_01.구조물공(강화-LINE)_유량계실_02.구조물및추진,도달기지토공(D구간)" xfId="283" xr:uid="{00000000-0005-0000-0000-000019010000}"/>
    <cellStyle name="_01.구조물공(강화-LINE)_유량계실_02.구조물토공(B-LINE)" xfId="284" xr:uid="{00000000-0005-0000-0000-00001A010000}"/>
    <cellStyle name="_01.구조물공(강화-LINE)_유량계실_2.0 유량점검맨홀(D1200)" xfId="285" xr:uid="{00000000-0005-0000-0000-00001B010000}"/>
    <cellStyle name="_01.구조물공(강화-LINE)_유량계실_2.0 유량점검맨홀(D1200)_02.구조물및추진,도달기지토공(D구간)" xfId="286" xr:uid="{00000000-0005-0000-0000-00001C010000}"/>
    <cellStyle name="_01.구조물공(강화-LINE)_유량계실_2.0 유량점검맨홀(D1200)_02.구조물토공(B-LINE)" xfId="287" xr:uid="{00000000-0005-0000-0000-00001D010000}"/>
    <cellStyle name="_01.구조물공(강화-LINE)_유량계실남촌1200" xfId="288" xr:uid="{00000000-0005-0000-0000-00001E010000}"/>
    <cellStyle name="_01.구조물공(강화-LINE)_유량계실남촌1200_02.구조물및추진,도달기지토공(D구간)" xfId="289" xr:uid="{00000000-0005-0000-0000-00001F010000}"/>
    <cellStyle name="_01.구조물공(강화-LINE)_유량계실남촌1200_02.구조물토공(B-LINE)" xfId="290" xr:uid="{00000000-0005-0000-0000-000020010000}"/>
    <cellStyle name="_01.세구지오수 토공" xfId="291" xr:uid="{00000000-0005-0000-0000-000021010000}"/>
    <cellStyle name="_01.세구지오수 토공_01.차집 토공2" xfId="292" xr:uid="{00000000-0005-0000-0000-000022010000}"/>
    <cellStyle name="_01.세구지오수 토공_01.차집 토공2_01-02.맨홀토공(OPEN-0.3)D-LINE" xfId="293" xr:uid="{00000000-0005-0000-0000-000023010000}"/>
    <cellStyle name="_01.세구지오수 토공_01.차집 토공2_01-02.맨홀토공(OPEN-0.3)D-LINE_01-02.맨홀토공(OPEN-0.3)C-LINE" xfId="294" xr:uid="{00000000-0005-0000-0000-000024010000}"/>
    <cellStyle name="_01.세구지오수 토공_01.차집 토공2_01-02.맨홀토공(OPEN-0.3)D-LINE_01-02.맨홀토공(OPEN-0.3)C-LINE_02.구조물및추진,도달기지토공(D구간)" xfId="295" xr:uid="{00000000-0005-0000-0000-000025010000}"/>
    <cellStyle name="_01.세구지오수 토공_01.차집 토공2_01-02.맨홀토공(OPEN-0.3)D-LINE_01-02.맨홀토공(OPEN-0.3)C-LINE_02.구조물토공(B-LINE)" xfId="296" xr:uid="{00000000-0005-0000-0000-000026010000}"/>
    <cellStyle name="_01.세구지오수 토공_01.차집 토공2_01-02.맨홀토공(OPEN-0.3)D-LINE_01-02.맨홀토공(OPEN-0.3)D-LINE" xfId="297" xr:uid="{00000000-0005-0000-0000-000027010000}"/>
    <cellStyle name="_01.세구지오수 토공_01.차집 토공2_01-02.맨홀토공(OPEN-0.3)D-LINE_01-02.맨홀토공(OPEN-0.3)D-LINE_02.구조물및추진,도달기지토공(D구간)" xfId="298" xr:uid="{00000000-0005-0000-0000-000028010000}"/>
    <cellStyle name="_01.세구지오수 토공_01.차집 토공2_01-02.맨홀토공(OPEN-0.3)D-LINE_01-02.맨홀토공(OPEN-0.3)D-LINE_02.구조물토공(B-LINE)" xfId="299" xr:uid="{00000000-0005-0000-0000-000029010000}"/>
    <cellStyle name="_01.세구지오수 토공_01.차집 토공2_01-02.맨홀토공(OPEN-0.3)D-LINE_02.구조물및추진,도달기지토공(D구간)" xfId="300" xr:uid="{00000000-0005-0000-0000-00002A010000}"/>
    <cellStyle name="_01.세구지오수 토공_01.차집 토공2_01-02.맨홀토공(OPEN-0.3)D-LINE_02.구조물토공(B-LINE)" xfId="301" xr:uid="{00000000-0005-0000-0000-00002B010000}"/>
    <cellStyle name="_01.세구지오수 토공_01.차집 토공2_01-3.옥구오수신설  맨홀토공(OPEN-0.3)" xfId="302" xr:uid="{00000000-0005-0000-0000-00002C010000}"/>
    <cellStyle name="_01.세구지오수 토공_01.차집 토공2_01-3.옥구오수신설  맨홀토공(OPEN-0.3)_01-02.맨홀토공(OPEN-0.3)C-LINE" xfId="303" xr:uid="{00000000-0005-0000-0000-00002D010000}"/>
    <cellStyle name="_01.세구지오수 토공_01.차집 토공2_01-3.옥구오수신설  맨홀토공(OPEN-0.3)_01-02.맨홀토공(OPEN-0.3)C-LINE_02.구조물및추진,도달기지토공(D구간)" xfId="304" xr:uid="{00000000-0005-0000-0000-00002E010000}"/>
    <cellStyle name="_01.세구지오수 토공_01.차집 토공2_01-3.옥구오수신설  맨홀토공(OPEN-0.3)_01-02.맨홀토공(OPEN-0.3)C-LINE_02.구조물토공(B-LINE)" xfId="305" xr:uid="{00000000-0005-0000-0000-00002F010000}"/>
    <cellStyle name="_01.세구지오수 토공_01.차집 토공2_01-3.옥구오수신설  맨홀토공(OPEN-0.3)_01-02.맨홀토공(OPEN-0.3)D-LINE" xfId="306" xr:uid="{00000000-0005-0000-0000-000030010000}"/>
    <cellStyle name="_01.세구지오수 토공_01.차집 토공2_01-3.옥구오수신설  맨홀토공(OPEN-0.3)_01-02.맨홀토공(OPEN-0.3)D-LINE_02.구조물및추진,도달기지토공(D구간)" xfId="307" xr:uid="{00000000-0005-0000-0000-000031010000}"/>
    <cellStyle name="_01.세구지오수 토공_01.차집 토공2_01-3.옥구오수신설  맨홀토공(OPEN-0.3)_01-02.맨홀토공(OPEN-0.3)D-LINE_02.구조물토공(B-LINE)" xfId="308" xr:uid="{00000000-0005-0000-0000-000032010000}"/>
    <cellStyle name="_01.세구지오수 토공_01.차집 토공2_01-3.옥구오수신설  맨홀토공(OPEN-0.3)_02.구조물및추진,도달기지토공(D구간)" xfId="309" xr:uid="{00000000-0005-0000-0000-000033010000}"/>
    <cellStyle name="_01.세구지오수 토공_01.차집 토공2_01-3.옥구오수신설  맨홀토공(OPEN-0.3)_02.구조물토공(B-LINE)" xfId="310" xr:uid="{00000000-0005-0000-0000-000034010000}"/>
    <cellStyle name="_01.세구지오수 토공_01.차집 토공2_01-3.옥서오수신설  맨홀토공(OPEN-0.3)" xfId="311" xr:uid="{00000000-0005-0000-0000-000035010000}"/>
    <cellStyle name="_01.세구지오수 토공_01.차집 토공2_01-3.옥서오수신설  맨홀토공(OPEN-0.3)_01-02.맨홀토공(OPEN-0.3)C-LINE" xfId="312" xr:uid="{00000000-0005-0000-0000-000036010000}"/>
    <cellStyle name="_01.세구지오수 토공_01.차집 토공2_01-3.옥서오수신설  맨홀토공(OPEN-0.3)_01-02.맨홀토공(OPEN-0.3)C-LINE_02.구조물및추진,도달기지토공(D구간)" xfId="313" xr:uid="{00000000-0005-0000-0000-000037010000}"/>
    <cellStyle name="_01.세구지오수 토공_01.차집 토공2_01-3.옥서오수신설  맨홀토공(OPEN-0.3)_01-02.맨홀토공(OPEN-0.3)C-LINE_02.구조물토공(B-LINE)" xfId="314" xr:uid="{00000000-0005-0000-0000-000038010000}"/>
    <cellStyle name="_01.세구지오수 토공_01.차집 토공2_01-3.옥서오수신설  맨홀토공(OPEN-0.3)_01-02.맨홀토공(OPEN-0.3)D-LINE" xfId="315" xr:uid="{00000000-0005-0000-0000-000039010000}"/>
    <cellStyle name="_01.세구지오수 토공_01.차집 토공2_01-3.옥서오수신설  맨홀토공(OPEN-0.3)_01-02.맨홀토공(OPEN-0.3)D-LINE_02.구조물및추진,도달기지토공(D구간)" xfId="316" xr:uid="{00000000-0005-0000-0000-00003A010000}"/>
    <cellStyle name="_01.세구지오수 토공_01.차집 토공2_01-3.옥서오수신설  맨홀토공(OPEN-0.3)_01-02.맨홀토공(OPEN-0.3)D-LINE_02.구조물토공(B-LINE)" xfId="317" xr:uid="{00000000-0005-0000-0000-00003B010000}"/>
    <cellStyle name="_01.세구지오수 토공_01.차집 토공2_01-3.옥서오수신설  맨홀토공(OPEN-0.3)_02.구조물및추진,도달기지토공(D구간)" xfId="318" xr:uid="{00000000-0005-0000-0000-00003C010000}"/>
    <cellStyle name="_01.세구지오수 토공_01.차집 토공2_01-3.옥서오수신설  맨홀토공(OPEN-0.3)_02.구조물토공(B-LINE)" xfId="319" xr:uid="{00000000-0005-0000-0000-00003D010000}"/>
    <cellStyle name="_01.세구지오수 토공_01.차집 토공2_02.구조물및추진,도달기지토공(D구간)" xfId="320" xr:uid="{00000000-0005-0000-0000-00003E010000}"/>
    <cellStyle name="_01.세구지오수 토공_01.차집 토공2_02.구조물토공(B-LINE)" xfId="321" xr:uid="{00000000-0005-0000-0000-00003F010000}"/>
    <cellStyle name="_01.세구지오수 토공_01-02.맨홀토공(OPEN-0.3)D-LINE" xfId="322" xr:uid="{00000000-0005-0000-0000-000040010000}"/>
    <cellStyle name="_01.세구지오수 토공_01-02.맨홀토공(OPEN-0.3)D-LINE_01-02.맨홀토공(OPEN-0.3)C-LINE" xfId="323" xr:uid="{00000000-0005-0000-0000-000041010000}"/>
    <cellStyle name="_01.세구지오수 토공_01-02.맨홀토공(OPEN-0.3)D-LINE_01-02.맨홀토공(OPEN-0.3)C-LINE_02.구조물및추진,도달기지토공(D구간)" xfId="324" xr:uid="{00000000-0005-0000-0000-000042010000}"/>
    <cellStyle name="_01.세구지오수 토공_01-02.맨홀토공(OPEN-0.3)D-LINE_01-02.맨홀토공(OPEN-0.3)C-LINE_02.구조물토공(B-LINE)" xfId="325" xr:uid="{00000000-0005-0000-0000-000043010000}"/>
    <cellStyle name="_01.세구지오수 토공_01-02.맨홀토공(OPEN-0.3)D-LINE_01-02.맨홀토공(OPEN-0.3)D-LINE" xfId="326" xr:uid="{00000000-0005-0000-0000-000044010000}"/>
    <cellStyle name="_01.세구지오수 토공_01-02.맨홀토공(OPEN-0.3)D-LINE_01-02.맨홀토공(OPEN-0.3)D-LINE_02.구조물및추진,도달기지토공(D구간)" xfId="327" xr:uid="{00000000-0005-0000-0000-000045010000}"/>
    <cellStyle name="_01.세구지오수 토공_01-02.맨홀토공(OPEN-0.3)D-LINE_01-02.맨홀토공(OPEN-0.3)D-LINE_02.구조물토공(B-LINE)" xfId="328" xr:uid="{00000000-0005-0000-0000-000046010000}"/>
    <cellStyle name="_01.세구지오수 토공_01-02.맨홀토공(OPEN-0.3)D-LINE_02.구조물및추진,도달기지토공(D구간)" xfId="329" xr:uid="{00000000-0005-0000-0000-000047010000}"/>
    <cellStyle name="_01.세구지오수 토공_01-02.맨홀토공(OPEN-0.3)D-LINE_02.구조물토공(B-LINE)" xfId="330" xr:uid="{00000000-0005-0000-0000-000048010000}"/>
    <cellStyle name="_01.세구지오수 토공_01-3.옥구오수신설  맨홀토공(OPEN-0.3)" xfId="331" xr:uid="{00000000-0005-0000-0000-000049010000}"/>
    <cellStyle name="_01.세구지오수 토공_01-3.옥구오수신설  맨홀토공(OPEN-0.3)_01-02.맨홀토공(OPEN-0.3)C-LINE" xfId="332" xr:uid="{00000000-0005-0000-0000-00004A010000}"/>
    <cellStyle name="_01.세구지오수 토공_01-3.옥구오수신설  맨홀토공(OPEN-0.3)_01-02.맨홀토공(OPEN-0.3)C-LINE_02.구조물및추진,도달기지토공(D구간)" xfId="333" xr:uid="{00000000-0005-0000-0000-00004B010000}"/>
    <cellStyle name="_01.세구지오수 토공_01-3.옥구오수신설  맨홀토공(OPEN-0.3)_01-02.맨홀토공(OPEN-0.3)C-LINE_02.구조물토공(B-LINE)" xfId="334" xr:uid="{00000000-0005-0000-0000-00004C010000}"/>
    <cellStyle name="_01.세구지오수 토공_01-3.옥구오수신설  맨홀토공(OPEN-0.3)_01-02.맨홀토공(OPEN-0.3)D-LINE" xfId="335" xr:uid="{00000000-0005-0000-0000-00004D010000}"/>
    <cellStyle name="_01.세구지오수 토공_01-3.옥구오수신설  맨홀토공(OPEN-0.3)_01-02.맨홀토공(OPEN-0.3)D-LINE_02.구조물및추진,도달기지토공(D구간)" xfId="336" xr:uid="{00000000-0005-0000-0000-00004E010000}"/>
    <cellStyle name="_01.세구지오수 토공_01-3.옥구오수신설  맨홀토공(OPEN-0.3)_01-02.맨홀토공(OPEN-0.3)D-LINE_02.구조물토공(B-LINE)" xfId="337" xr:uid="{00000000-0005-0000-0000-00004F010000}"/>
    <cellStyle name="_01.세구지오수 토공_01-3.옥구오수신설  맨홀토공(OPEN-0.3)_02.구조물및추진,도달기지토공(D구간)" xfId="338" xr:uid="{00000000-0005-0000-0000-000050010000}"/>
    <cellStyle name="_01.세구지오수 토공_01-3.옥구오수신설  맨홀토공(OPEN-0.3)_02.구조물토공(B-LINE)" xfId="339" xr:uid="{00000000-0005-0000-0000-000051010000}"/>
    <cellStyle name="_01.세구지오수 토공_01-3.옥서오수신설  맨홀토공(OPEN-0.3)" xfId="340" xr:uid="{00000000-0005-0000-0000-000052010000}"/>
    <cellStyle name="_01.세구지오수 토공_01-3.옥서오수신설  맨홀토공(OPEN-0.3)_01-02.맨홀토공(OPEN-0.3)C-LINE" xfId="341" xr:uid="{00000000-0005-0000-0000-000053010000}"/>
    <cellStyle name="_01.세구지오수 토공_01-3.옥서오수신설  맨홀토공(OPEN-0.3)_01-02.맨홀토공(OPEN-0.3)C-LINE_02.구조물및추진,도달기지토공(D구간)" xfId="342" xr:uid="{00000000-0005-0000-0000-000054010000}"/>
    <cellStyle name="_01.세구지오수 토공_01-3.옥서오수신설  맨홀토공(OPEN-0.3)_01-02.맨홀토공(OPEN-0.3)C-LINE_02.구조물토공(B-LINE)" xfId="343" xr:uid="{00000000-0005-0000-0000-000055010000}"/>
    <cellStyle name="_01.세구지오수 토공_01-3.옥서오수신설  맨홀토공(OPEN-0.3)_01-02.맨홀토공(OPEN-0.3)D-LINE" xfId="344" xr:uid="{00000000-0005-0000-0000-000056010000}"/>
    <cellStyle name="_01.세구지오수 토공_01-3.옥서오수신설  맨홀토공(OPEN-0.3)_01-02.맨홀토공(OPEN-0.3)D-LINE_02.구조물및추진,도달기지토공(D구간)" xfId="345" xr:uid="{00000000-0005-0000-0000-000057010000}"/>
    <cellStyle name="_01.세구지오수 토공_01-3.옥서오수신설  맨홀토공(OPEN-0.3)_01-02.맨홀토공(OPEN-0.3)D-LINE_02.구조물토공(B-LINE)" xfId="346" xr:uid="{00000000-0005-0000-0000-000058010000}"/>
    <cellStyle name="_01.세구지오수 토공_01-3.옥서오수신설  맨홀토공(OPEN-0.3)_02.구조물및추진,도달기지토공(D구간)" xfId="347" xr:uid="{00000000-0005-0000-0000-000059010000}"/>
    <cellStyle name="_01.세구지오수 토공_01-3.옥서오수신설  맨홀토공(OPEN-0.3)_02.구조물토공(B-LINE)" xfId="348" xr:uid="{00000000-0005-0000-0000-00005A010000}"/>
    <cellStyle name="_01.세구지오수 토공_02.구조물및추진,도달기지토공(D구간)" xfId="349" xr:uid="{00000000-0005-0000-0000-00005B010000}"/>
    <cellStyle name="_01.세구지오수 토공_02.구조물토공(B-LINE)" xfId="350" xr:uid="{00000000-0005-0000-0000-00005C010000}"/>
    <cellStyle name="_01.신월 관로토공" xfId="351" xr:uid="{00000000-0005-0000-0000-00005D010000}"/>
    <cellStyle name="_01.신월 관로토공_002.부대공2" xfId="352" xr:uid="{00000000-0005-0000-0000-00005E010000}"/>
    <cellStyle name="_01.신월 관로토공_002.부대공2_02.구조물및추진,도달기지토공(D구간)" xfId="353" xr:uid="{00000000-0005-0000-0000-00005F010000}"/>
    <cellStyle name="_01.신월 관로토공_002.부대공2_02.구조물토공(B-LINE)" xfId="354" xr:uid="{00000000-0005-0000-0000-000060010000}"/>
    <cellStyle name="_01.신월 관로토공_002.부대공2_06.서수 오수 부대공(신설)" xfId="355" xr:uid="{00000000-0005-0000-0000-000061010000}"/>
    <cellStyle name="_01.신월 관로토공_002.부대공2_06.서수 오수 부대공(신설)_02.구조물및추진,도달기지토공(D구간)" xfId="356" xr:uid="{00000000-0005-0000-0000-000062010000}"/>
    <cellStyle name="_01.신월 관로토공_002.부대공2_06.서수 오수 부대공(신설)_02.구조물토공(B-LINE)" xfId="357" xr:uid="{00000000-0005-0000-0000-000063010000}"/>
    <cellStyle name="_01.신월 관로토공_002.부대공2_06.서수오수 부대공" xfId="358" xr:uid="{00000000-0005-0000-0000-000064010000}"/>
    <cellStyle name="_01.신월 관로토공_002.부대공2_06.서수오수 부대공_02.구조물및추진,도달기지토공(D구간)" xfId="359" xr:uid="{00000000-0005-0000-0000-000065010000}"/>
    <cellStyle name="_01.신월 관로토공_002.부대공2_06.서수오수 부대공_02.구조물토공(B-LINE)" xfId="360" xr:uid="{00000000-0005-0000-0000-000066010000}"/>
    <cellStyle name="_01.신월 관로토공_002.부대공2_06.옥구 오수 부대공" xfId="361" xr:uid="{00000000-0005-0000-0000-000067010000}"/>
    <cellStyle name="_01.신월 관로토공_002.부대공2_06.옥구 오수 부대공_02.구조물및추진,도달기지토공(D구간)" xfId="362" xr:uid="{00000000-0005-0000-0000-000068010000}"/>
    <cellStyle name="_01.신월 관로토공_002.부대공2_06.옥구 오수 부대공_02.구조물토공(B-LINE)" xfId="363" xr:uid="{00000000-0005-0000-0000-000069010000}"/>
    <cellStyle name="_01.신월 관로토공_002.부대공2_06.옥서 오수 부대공(신설)" xfId="364" xr:uid="{00000000-0005-0000-0000-00006A010000}"/>
    <cellStyle name="_01.신월 관로토공_002.부대공2_06.옥서 오수 부대공(신설)_02.구조물및추진,도달기지토공(D구간)" xfId="365" xr:uid="{00000000-0005-0000-0000-00006B010000}"/>
    <cellStyle name="_01.신월 관로토공_002.부대공2_06.옥서 오수 부대공(신설)_02.구조물토공(B-LINE)" xfId="366" xr:uid="{00000000-0005-0000-0000-00006C010000}"/>
    <cellStyle name="_01.신월 관로토공_002.부대공2_경포 오수 부대공(신설)-1" xfId="367" xr:uid="{00000000-0005-0000-0000-00006D010000}"/>
    <cellStyle name="_01.신월 관로토공_002.부대공2_경포 오수 부대공(신설)-1_02.구조물및추진,도달기지토공(D구간)" xfId="368" xr:uid="{00000000-0005-0000-0000-00006E010000}"/>
    <cellStyle name="_01.신월 관로토공_002.부대공2_경포 오수 부대공(신설)-1_02.구조물토공(B-LINE)" xfId="369" xr:uid="{00000000-0005-0000-0000-00006F010000}"/>
    <cellStyle name="_01.신월 관로토공_002.부대공2_경포오수신설 부대공-기존관보호공" xfId="370" xr:uid="{00000000-0005-0000-0000-000070010000}"/>
    <cellStyle name="_01.신월 관로토공_002.부대공2_경포오수신설 부대공-기존관보호공_02.구조물및추진,도달기지토공(D구간)" xfId="371" xr:uid="{00000000-0005-0000-0000-000071010000}"/>
    <cellStyle name="_01.신월 관로토공_002.부대공2_경포오수신설 부대공-기존관보호공_02.구조물토공(B-LINE)" xfId="372" xr:uid="{00000000-0005-0000-0000-000072010000}"/>
    <cellStyle name="_01.신월 관로토공_01.관로토공(우수)" xfId="373" xr:uid="{00000000-0005-0000-0000-000073010000}"/>
    <cellStyle name="_01.신월 관로토공_01.관로토공(우수)_01.여천오수 토공" xfId="374" xr:uid="{00000000-0005-0000-0000-000074010000}"/>
    <cellStyle name="_01.신월 관로토공_01.관로토공(우수)_01.여천오수 토공_01-02.맨홀토공(OPEN-0.3)D-LINE" xfId="375" xr:uid="{00000000-0005-0000-0000-000075010000}"/>
    <cellStyle name="_01.신월 관로토공_01.관로토공(우수)_01.여천오수 토공_01-02.맨홀토공(OPEN-0.3)D-LINE_01-02.맨홀토공(OPEN-0.3)C-LINE" xfId="376" xr:uid="{00000000-0005-0000-0000-000076010000}"/>
    <cellStyle name="_01.신월 관로토공_01.관로토공(우수)_01.여천오수 토공_01-02.맨홀토공(OPEN-0.3)D-LINE_01-02.맨홀토공(OPEN-0.3)C-LINE_02.구조물및추진,도달기지토공(D구간)" xfId="377" xr:uid="{00000000-0005-0000-0000-000077010000}"/>
    <cellStyle name="_01.신월 관로토공_01.관로토공(우수)_01.여천오수 토공_01-02.맨홀토공(OPEN-0.3)D-LINE_01-02.맨홀토공(OPEN-0.3)C-LINE_02.구조물토공(B-LINE)" xfId="378" xr:uid="{00000000-0005-0000-0000-000078010000}"/>
    <cellStyle name="_01.신월 관로토공_01.관로토공(우수)_01.여천오수 토공_01-02.맨홀토공(OPEN-0.3)D-LINE_01-02.맨홀토공(OPEN-0.3)D-LINE" xfId="379" xr:uid="{00000000-0005-0000-0000-000079010000}"/>
    <cellStyle name="_01.신월 관로토공_01.관로토공(우수)_01.여천오수 토공_01-02.맨홀토공(OPEN-0.3)D-LINE_01-02.맨홀토공(OPEN-0.3)D-LINE_02.구조물및추진,도달기지토공(D구간)" xfId="380" xr:uid="{00000000-0005-0000-0000-00007A010000}"/>
    <cellStyle name="_01.신월 관로토공_01.관로토공(우수)_01.여천오수 토공_01-02.맨홀토공(OPEN-0.3)D-LINE_01-02.맨홀토공(OPEN-0.3)D-LINE_02.구조물토공(B-LINE)" xfId="381" xr:uid="{00000000-0005-0000-0000-00007B010000}"/>
    <cellStyle name="_01.신월 관로토공_01.관로토공(우수)_01.여천오수 토공_01-02.맨홀토공(OPEN-0.3)D-LINE_02.구조물및추진,도달기지토공(D구간)" xfId="382" xr:uid="{00000000-0005-0000-0000-00007C010000}"/>
    <cellStyle name="_01.신월 관로토공_01.관로토공(우수)_01.여천오수 토공_01-02.맨홀토공(OPEN-0.3)D-LINE_02.구조물토공(B-LINE)" xfId="383" xr:uid="{00000000-0005-0000-0000-00007D010000}"/>
    <cellStyle name="_01.신월 관로토공_01.관로토공(우수)_01.여천오수 토공_01-3.옥구오수신설  맨홀토공(OPEN-0.3)" xfId="384" xr:uid="{00000000-0005-0000-0000-00007E010000}"/>
    <cellStyle name="_01.신월 관로토공_01.관로토공(우수)_01.여천오수 토공_01-3.옥구오수신설  맨홀토공(OPEN-0.3)_01-02.맨홀토공(OPEN-0.3)C-LINE" xfId="385" xr:uid="{00000000-0005-0000-0000-00007F010000}"/>
    <cellStyle name="_01.신월 관로토공_01.관로토공(우수)_01.여천오수 토공_01-3.옥구오수신설  맨홀토공(OPEN-0.3)_01-02.맨홀토공(OPEN-0.3)C-LINE_02.구조물및추진,도달기지토공(D구간)" xfId="386" xr:uid="{00000000-0005-0000-0000-000080010000}"/>
    <cellStyle name="_01.신월 관로토공_01.관로토공(우수)_01.여천오수 토공_01-3.옥구오수신설  맨홀토공(OPEN-0.3)_01-02.맨홀토공(OPEN-0.3)C-LINE_02.구조물토공(B-LINE)" xfId="387" xr:uid="{00000000-0005-0000-0000-000081010000}"/>
    <cellStyle name="_01.신월 관로토공_01.관로토공(우수)_01.여천오수 토공_01-3.옥구오수신설  맨홀토공(OPEN-0.3)_01-02.맨홀토공(OPEN-0.3)D-LINE" xfId="388" xr:uid="{00000000-0005-0000-0000-000082010000}"/>
    <cellStyle name="_01.신월 관로토공_01.관로토공(우수)_01.여천오수 토공_01-3.옥구오수신설  맨홀토공(OPEN-0.3)_01-02.맨홀토공(OPEN-0.3)D-LINE_02.구조물및추진,도달기지토공(D구간)" xfId="389" xr:uid="{00000000-0005-0000-0000-000083010000}"/>
    <cellStyle name="_01.신월 관로토공_01.관로토공(우수)_01.여천오수 토공_01-3.옥구오수신설  맨홀토공(OPEN-0.3)_01-02.맨홀토공(OPEN-0.3)D-LINE_02.구조물토공(B-LINE)" xfId="390" xr:uid="{00000000-0005-0000-0000-000084010000}"/>
    <cellStyle name="_01.신월 관로토공_01.관로토공(우수)_01.여천오수 토공_01-3.옥구오수신설  맨홀토공(OPEN-0.3)_02.구조물및추진,도달기지토공(D구간)" xfId="391" xr:uid="{00000000-0005-0000-0000-000085010000}"/>
    <cellStyle name="_01.신월 관로토공_01.관로토공(우수)_01.여천오수 토공_01-3.옥구오수신설  맨홀토공(OPEN-0.3)_02.구조물토공(B-LINE)" xfId="392" xr:uid="{00000000-0005-0000-0000-000086010000}"/>
    <cellStyle name="_01.신월 관로토공_01.관로토공(우수)_01.여천오수 토공_01-3.옥서오수신설  맨홀토공(OPEN-0.3)" xfId="393" xr:uid="{00000000-0005-0000-0000-000087010000}"/>
    <cellStyle name="_01.신월 관로토공_01.관로토공(우수)_01.여천오수 토공_01-3.옥서오수신설  맨홀토공(OPEN-0.3)_01-02.맨홀토공(OPEN-0.3)C-LINE" xfId="394" xr:uid="{00000000-0005-0000-0000-000088010000}"/>
    <cellStyle name="_01.신월 관로토공_01.관로토공(우수)_01.여천오수 토공_01-3.옥서오수신설  맨홀토공(OPEN-0.3)_01-02.맨홀토공(OPEN-0.3)C-LINE_02.구조물및추진,도달기지토공(D구간)" xfId="395" xr:uid="{00000000-0005-0000-0000-000089010000}"/>
    <cellStyle name="_01.신월 관로토공_01.관로토공(우수)_01.여천오수 토공_01-3.옥서오수신설  맨홀토공(OPEN-0.3)_01-02.맨홀토공(OPEN-0.3)C-LINE_02.구조물토공(B-LINE)" xfId="396" xr:uid="{00000000-0005-0000-0000-00008A010000}"/>
    <cellStyle name="_01.신월 관로토공_01.관로토공(우수)_01.여천오수 토공_01-3.옥서오수신설  맨홀토공(OPEN-0.3)_01-02.맨홀토공(OPEN-0.3)D-LINE" xfId="397" xr:uid="{00000000-0005-0000-0000-00008B010000}"/>
    <cellStyle name="_01.신월 관로토공_01.관로토공(우수)_01.여천오수 토공_01-3.옥서오수신설  맨홀토공(OPEN-0.3)_01-02.맨홀토공(OPEN-0.3)D-LINE_02.구조물및추진,도달기지토공(D구간)" xfId="398" xr:uid="{00000000-0005-0000-0000-00008C010000}"/>
    <cellStyle name="_01.신월 관로토공_01.관로토공(우수)_01.여천오수 토공_01-3.옥서오수신설  맨홀토공(OPEN-0.3)_01-02.맨홀토공(OPEN-0.3)D-LINE_02.구조물토공(B-LINE)" xfId="399" xr:uid="{00000000-0005-0000-0000-00008D010000}"/>
    <cellStyle name="_01.신월 관로토공_01.관로토공(우수)_01.여천오수 토공_01-3.옥서오수신설  맨홀토공(OPEN-0.3)_02.구조물및추진,도달기지토공(D구간)" xfId="400" xr:uid="{00000000-0005-0000-0000-00008E010000}"/>
    <cellStyle name="_01.신월 관로토공_01.관로토공(우수)_01.여천오수 토공_01-3.옥서오수신설  맨홀토공(OPEN-0.3)_02.구조물토공(B-LINE)" xfId="401" xr:uid="{00000000-0005-0000-0000-00008F010000}"/>
    <cellStyle name="_01.신월 관로토공_01.관로토공(우수)_01.여천오수 토공_02.구조물및추진,도달기지토공(D구간)" xfId="402" xr:uid="{00000000-0005-0000-0000-000090010000}"/>
    <cellStyle name="_01.신월 관로토공_01.관로토공(우수)_01.여천오수 토공_02.구조물토공(B-LINE)" xfId="403" xr:uid="{00000000-0005-0000-0000-000091010000}"/>
    <cellStyle name="_01.신월 관로토공_01.관로토공(우수)_01.여천우수 토공" xfId="404" xr:uid="{00000000-0005-0000-0000-000092010000}"/>
    <cellStyle name="_01.신월 관로토공_01.관로토공(우수)_01.여천우수 토공_01-02.맨홀토공(OPEN-0.3)D-LINE" xfId="405" xr:uid="{00000000-0005-0000-0000-000093010000}"/>
    <cellStyle name="_01.신월 관로토공_01.관로토공(우수)_01.여천우수 토공_01-02.맨홀토공(OPEN-0.3)D-LINE_01-02.맨홀토공(OPEN-0.3)C-LINE" xfId="406" xr:uid="{00000000-0005-0000-0000-000094010000}"/>
    <cellStyle name="_01.신월 관로토공_01.관로토공(우수)_01.여천우수 토공_01-02.맨홀토공(OPEN-0.3)D-LINE_01-02.맨홀토공(OPEN-0.3)C-LINE_02.구조물및추진,도달기지토공(D구간)" xfId="407" xr:uid="{00000000-0005-0000-0000-000095010000}"/>
    <cellStyle name="_01.신월 관로토공_01.관로토공(우수)_01.여천우수 토공_01-02.맨홀토공(OPEN-0.3)D-LINE_01-02.맨홀토공(OPEN-0.3)C-LINE_02.구조물토공(B-LINE)" xfId="408" xr:uid="{00000000-0005-0000-0000-000096010000}"/>
    <cellStyle name="_01.신월 관로토공_01.관로토공(우수)_01.여천우수 토공_01-02.맨홀토공(OPEN-0.3)D-LINE_01-02.맨홀토공(OPEN-0.3)D-LINE" xfId="409" xr:uid="{00000000-0005-0000-0000-000097010000}"/>
    <cellStyle name="_01.신월 관로토공_01.관로토공(우수)_01.여천우수 토공_01-02.맨홀토공(OPEN-0.3)D-LINE_01-02.맨홀토공(OPEN-0.3)D-LINE_02.구조물및추진,도달기지토공(D구간)" xfId="410" xr:uid="{00000000-0005-0000-0000-000098010000}"/>
    <cellStyle name="_01.신월 관로토공_01.관로토공(우수)_01.여천우수 토공_01-02.맨홀토공(OPEN-0.3)D-LINE_01-02.맨홀토공(OPEN-0.3)D-LINE_02.구조물토공(B-LINE)" xfId="411" xr:uid="{00000000-0005-0000-0000-000099010000}"/>
    <cellStyle name="_01.신월 관로토공_01.관로토공(우수)_01.여천우수 토공_01-02.맨홀토공(OPEN-0.3)D-LINE_02.구조물및추진,도달기지토공(D구간)" xfId="412" xr:uid="{00000000-0005-0000-0000-00009A010000}"/>
    <cellStyle name="_01.신월 관로토공_01.관로토공(우수)_01.여천우수 토공_01-02.맨홀토공(OPEN-0.3)D-LINE_02.구조물토공(B-LINE)" xfId="413" xr:uid="{00000000-0005-0000-0000-00009B010000}"/>
    <cellStyle name="_01.신월 관로토공_01.관로토공(우수)_01.여천우수 토공_01-3.옥구오수신설  맨홀토공(OPEN-0.3)" xfId="414" xr:uid="{00000000-0005-0000-0000-00009C010000}"/>
    <cellStyle name="_01.신월 관로토공_01.관로토공(우수)_01.여천우수 토공_01-3.옥구오수신설  맨홀토공(OPEN-0.3)_01-02.맨홀토공(OPEN-0.3)C-LINE" xfId="415" xr:uid="{00000000-0005-0000-0000-00009D010000}"/>
    <cellStyle name="_01.신월 관로토공_01.관로토공(우수)_01.여천우수 토공_01-3.옥구오수신설  맨홀토공(OPEN-0.3)_01-02.맨홀토공(OPEN-0.3)C-LINE_02.구조물및추진,도달기지토공(D구간)" xfId="416" xr:uid="{00000000-0005-0000-0000-00009E010000}"/>
    <cellStyle name="_01.신월 관로토공_01.관로토공(우수)_01.여천우수 토공_01-3.옥구오수신설  맨홀토공(OPEN-0.3)_01-02.맨홀토공(OPEN-0.3)C-LINE_02.구조물토공(B-LINE)" xfId="417" xr:uid="{00000000-0005-0000-0000-00009F010000}"/>
    <cellStyle name="_01.신월 관로토공_01.관로토공(우수)_01.여천우수 토공_01-3.옥구오수신설  맨홀토공(OPEN-0.3)_01-02.맨홀토공(OPEN-0.3)D-LINE" xfId="418" xr:uid="{00000000-0005-0000-0000-0000A0010000}"/>
    <cellStyle name="_01.신월 관로토공_01.관로토공(우수)_01.여천우수 토공_01-3.옥구오수신설  맨홀토공(OPEN-0.3)_01-02.맨홀토공(OPEN-0.3)D-LINE_02.구조물및추진,도달기지토공(D구간)" xfId="419" xr:uid="{00000000-0005-0000-0000-0000A1010000}"/>
    <cellStyle name="_01.신월 관로토공_01.관로토공(우수)_01.여천우수 토공_01-3.옥구오수신설  맨홀토공(OPEN-0.3)_01-02.맨홀토공(OPEN-0.3)D-LINE_02.구조물토공(B-LINE)" xfId="420" xr:uid="{00000000-0005-0000-0000-0000A2010000}"/>
    <cellStyle name="_01.신월 관로토공_01.관로토공(우수)_01.여천우수 토공_01-3.옥구오수신설  맨홀토공(OPEN-0.3)_02.구조물및추진,도달기지토공(D구간)" xfId="421" xr:uid="{00000000-0005-0000-0000-0000A3010000}"/>
    <cellStyle name="_01.신월 관로토공_01.관로토공(우수)_01.여천우수 토공_01-3.옥구오수신설  맨홀토공(OPEN-0.3)_02.구조물토공(B-LINE)" xfId="422" xr:uid="{00000000-0005-0000-0000-0000A4010000}"/>
    <cellStyle name="_01.신월 관로토공_01.관로토공(우수)_01.여천우수 토공_01-3.옥서오수신설  맨홀토공(OPEN-0.3)" xfId="423" xr:uid="{00000000-0005-0000-0000-0000A5010000}"/>
    <cellStyle name="_01.신월 관로토공_01.관로토공(우수)_01.여천우수 토공_01-3.옥서오수신설  맨홀토공(OPEN-0.3)_01-02.맨홀토공(OPEN-0.3)C-LINE" xfId="424" xr:uid="{00000000-0005-0000-0000-0000A6010000}"/>
    <cellStyle name="_01.신월 관로토공_01.관로토공(우수)_01.여천우수 토공_01-3.옥서오수신설  맨홀토공(OPEN-0.3)_01-02.맨홀토공(OPEN-0.3)C-LINE_02.구조물및추진,도달기지토공(D구간)" xfId="425" xr:uid="{00000000-0005-0000-0000-0000A7010000}"/>
    <cellStyle name="_01.신월 관로토공_01.관로토공(우수)_01.여천우수 토공_01-3.옥서오수신설  맨홀토공(OPEN-0.3)_01-02.맨홀토공(OPEN-0.3)C-LINE_02.구조물토공(B-LINE)" xfId="426" xr:uid="{00000000-0005-0000-0000-0000A8010000}"/>
    <cellStyle name="_01.신월 관로토공_01.관로토공(우수)_01.여천우수 토공_01-3.옥서오수신설  맨홀토공(OPEN-0.3)_01-02.맨홀토공(OPEN-0.3)D-LINE" xfId="427" xr:uid="{00000000-0005-0000-0000-0000A9010000}"/>
    <cellStyle name="_01.신월 관로토공_01.관로토공(우수)_01.여천우수 토공_01-3.옥서오수신설  맨홀토공(OPEN-0.3)_01-02.맨홀토공(OPEN-0.3)D-LINE_02.구조물및추진,도달기지토공(D구간)" xfId="428" xr:uid="{00000000-0005-0000-0000-0000AA010000}"/>
    <cellStyle name="_01.신월 관로토공_01.관로토공(우수)_01.여천우수 토공_01-3.옥서오수신설  맨홀토공(OPEN-0.3)_01-02.맨홀토공(OPEN-0.3)D-LINE_02.구조물토공(B-LINE)" xfId="429" xr:uid="{00000000-0005-0000-0000-0000AB010000}"/>
    <cellStyle name="_01.신월 관로토공_01.관로토공(우수)_01.여천우수 토공_01-3.옥서오수신설  맨홀토공(OPEN-0.3)_02.구조물및추진,도달기지토공(D구간)" xfId="430" xr:uid="{00000000-0005-0000-0000-0000AC010000}"/>
    <cellStyle name="_01.신월 관로토공_01.관로토공(우수)_01.여천우수 토공_01-3.옥서오수신설  맨홀토공(OPEN-0.3)_02.구조물토공(B-LINE)" xfId="431" xr:uid="{00000000-0005-0000-0000-0000AD010000}"/>
    <cellStyle name="_01.신월 관로토공_01.관로토공(우수)_01.여천우수 토공_02.구조물및추진,도달기지토공(D구간)" xfId="432" xr:uid="{00000000-0005-0000-0000-0000AE010000}"/>
    <cellStyle name="_01.신월 관로토공_01.관로토공(우수)_01.여천우수 토공_02.구조물토공(B-LINE)" xfId="433" xr:uid="{00000000-0005-0000-0000-0000AF010000}"/>
    <cellStyle name="_01.신월 관로토공_01.관로토공(우수)_01.차집 토공2" xfId="434" xr:uid="{00000000-0005-0000-0000-0000B0010000}"/>
    <cellStyle name="_01.신월 관로토공_01.관로토공(우수)_01.차집 토공2_01-02.맨홀토공(OPEN-0.3)D-LINE" xfId="435" xr:uid="{00000000-0005-0000-0000-0000B1010000}"/>
    <cellStyle name="_01.신월 관로토공_01.관로토공(우수)_01.차집 토공2_01-02.맨홀토공(OPEN-0.3)D-LINE_01-02.맨홀토공(OPEN-0.3)C-LINE" xfId="436" xr:uid="{00000000-0005-0000-0000-0000B2010000}"/>
    <cellStyle name="_01.신월 관로토공_01.관로토공(우수)_01.차집 토공2_01-02.맨홀토공(OPEN-0.3)D-LINE_01-02.맨홀토공(OPEN-0.3)C-LINE_02.구조물및추진,도달기지토공(D구간)" xfId="437" xr:uid="{00000000-0005-0000-0000-0000B3010000}"/>
    <cellStyle name="_01.신월 관로토공_01.관로토공(우수)_01.차집 토공2_01-02.맨홀토공(OPEN-0.3)D-LINE_01-02.맨홀토공(OPEN-0.3)C-LINE_02.구조물토공(B-LINE)" xfId="438" xr:uid="{00000000-0005-0000-0000-0000B4010000}"/>
    <cellStyle name="_01.신월 관로토공_01.관로토공(우수)_01.차집 토공2_01-02.맨홀토공(OPEN-0.3)D-LINE_01-02.맨홀토공(OPEN-0.3)D-LINE" xfId="439" xr:uid="{00000000-0005-0000-0000-0000B5010000}"/>
    <cellStyle name="_01.신월 관로토공_01.관로토공(우수)_01.차집 토공2_01-02.맨홀토공(OPEN-0.3)D-LINE_01-02.맨홀토공(OPEN-0.3)D-LINE_02.구조물및추진,도달기지토공(D구간)" xfId="440" xr:uid="{00000000-0005-0000-0000-0000B6010000}"/>
    <cellStyle name="_01.신월 관로토공_01.관로토공(우수)_01.차집 토공2_01-02.맨홀토공(OPEN-0.3)D-LINE_01-02.맨홀토공(OPEN-0.3)D-LINE_02.구조물토공(B-LINE)" xfId="441" xr:uid="{00000000-0005-0000-0000-0000B7010000}"/>
    <cellStyle name="_01.신월 관로토공_01.관로토공(우수)_01.차집 토공2_01-02.맨홀토공(OPEN-0.3)D-LINE_02.구조물및추진,도달기지토공(D구간)" xfId="442" xr:uid="{00000000-0005-0000-0000-0000B8010000}"/>
    <cellStyle name="_01.신월 관로토공_01.관로토공(우수)_01.차집 토공2_01-02.맨홀토공(OPEN-0.3)D-LINE_02.구조물토공(B-LINE)" xfId="443" xr:uid="{00000000-0005-0000-0000-0000B9010000}"/>
    <cellStyle name="_01.신월 관로토공_01.관로토공(우수)_01.차집 토공2_01-3.옥구오수신설  맨홀토공(OPEN-0.3)" xfId="444" xr:uid="{00000000-0005-0000-0000-0000BA010000}"/>
    <cellStyle name="_01.신월 관로토공_01.관로토공(우수)_01.차집 토공2_01-3.옥구오수신설  맨홀토공(OPEN-0.3)_01-02.맨홀토공(OPEN-0.3)C-LINE" xfId="445" xr:uid="{00000000-0005-0000-0000-0000BB010000}"/>
    <cellStyle name="_01.신월 관로토공_01.관로토공(우수)_01.차집 토공2_01-3.옥구오수신설  맨홀토공(OPEN-0.3)_01-02.맨홀토공(OPEN-0.3)C-LINE_02.구조물및추진,도달기지토공(D구간)" xfId="446" xr:uid="{00000000-0005-0000-0000-0000BC010000}"/>
    <cellStyle name="_01.신월 관로토공_01.관로토공(우수)_01.차집 토공2_01-3.옥구오수신설  맨홀토공(OPEN-0.3)_01-02.맨홀토공(OPEN-0.3)C-LINE_02.구조물토공(B-LINE)" xfId="447" xr:uid="{00000000-0005-0000-0000-0000BD010000}"/>
    <cellStyle name="_01.신월 관로토공_01.관로토공(우수)_01.차집 토공2_01-3.옥구오수신설  맨홀토공(OPEN-0.3)_01-02.맨홀토공(OPEN-0.3)D-LINE" xfId="448" xr:uid="{00000000-0005-0000-0000-0000BE010000}"/>
    <cellStyle name="_01.신월 관로토공_01.관로토공(우수)_01.차집 토공2_01-3.옥구오수신설  맨홀토공(OPEN-0.3)_01-02.맨홀토공(OPEN-0.3)D-LINE_02.구조물및추진,도달기지토공(D구간)" xfId="449" xr:uid="{00000000-0005-0000-0000-0000BF010000}"/>
    <cellStyle name="_01.신월 관로토공_01.관로토공(우수)_01.차집 토공2_01-3.옥구오수신설  맨홀토공(OPEN-0.3)_01-02.맨홀토공(OPEN-0.3)D-LINE_02.구조물토공(B-LINE)" xfId="450" xr:uid="{00000000-0005-0000-0000-0000C0010000}"/>
    <cellStyle name="_01.신월 관로토공_01.관로토공(우수)_01.차집 토공2_01-3.옥구오수신설  맨홀토공(OPEN-0.3)_02.구조물및추진,도달기지토공(D구간)" xfId="451" xr:uid="{00000000-0005-0000-0000-0000C1010000}"/>
    <cellStyle name="_01.신월 관로토공_01.관로토공(우수)_01.차집 토공2_01-3.옥구오수신설  맨홀토공(OPEN-0.3)_02.구조물토공(B-LINE)" xfId="452" xr:uid="{00000000-0005-0000-0000-0000C2010000}"/>
    <cellStyle name="_01.신월 관로토공_01.관로토공(우수)_01.차집 토공2_01-3.옥서오수신설  맨홀토공(OPEN-0.3)" xfId="453" xr:uid="{00000000-0005-0000-0000-0000C3010000}"/>
    <cellStyle name="_01.신월 관로토공_01.관로토공(우수)_01.차집 토공2_01-3.옥서오수신설  맨홀토공(OPEN-0.3)_01-02.맨홀토공(OPEN-0.3)C-LINE" xfId="454" xr:uid="{00000000-0005-0000-0000-0000C4010000}"/>
    <cellStyle name="_01.신월 관로토공_01.관로토공(우수)_01.차집 토공2_01-3.옥서오수신설  맨홀토공(OPEN-0.3)_01-02.맨홀토공(OPEN-0.3)C-LINE_02.구조물및추진,도달기지토공(D구간)" xfId="455" xr:uid="{00000000-0005-0000-0000-0000C5010000}"/>
    <cellStyle name="_01.신월 관로토공_01.관로토공(우수)_01.차집 토공2_01-3.옥서오수신설  맨홀토공(OPEN-0.3)_01-02.맨홀토공(OPEN-0.3)C-LINE_02.구조물토공(B-LINE)" xfId="456" xr:uid="{00000000-0005-0000-0000-0000C6010000}"/>
    <cellStyle name="_01.신월 관로토공_01.관로토공(우수)_01.차집 토공2_01-3.옥서오수신설  맨홀토공(OPEN-0.3)_01-02.맨홀토공(OPEN-0.3)D-LINE" xfId="457" xr:uid="{00000000-0005-0000-0000-0000C7010000}"/>
    <cellStyle name="_01.신월 관로토공_01.관로토공(우수)_01.차집 토공2_01-3.옥서오수신설  맨홀토공(OPEN-0.3)_01-02.맨홀토공(OPEN-0.3)D-LINE_02.구조물및추진,도달기지토공(D구간)" xfId="458" xr:uid="{00000000-0005-0000-0000-0000C8010000}"/>
    <cellStyle name="_01.신월 관로토공_01.관로토공(우수)_01.차집 토공2_01-3.옥서오수신설  맨홀토공(OPEN-0.3)_01-02.맨홀토공(OPEN-0.3)D-LINE_02.구조물토공(B-LINE)" xfId="459" xr:uid="{00000000-0005-0000-0000-0000C9010000}"/>
    <cellStyle name="_01.신월 관로토공_01.관로토공(우수)_01.차집 토공2_01-3.옥서오수신설  맨홀토공(OPEN-0.3)_02.구조물및추진,도달기지토공(D구간)" xfId="460" xr:uid="{00000000-0005-0000-0000-0000CA010000}"/>
    <cellStyle name="_01.신월 관로토공_01.관로토공(우수)_01.차집 토공2_01-3.옥서오수신설  맨홀토공(OPEN-0.3)_02.구조물토공(B-LINE)" xfId="461" xr:uid="{00000000-0005-0000-0000-0000CB010000}"/>
    <cellStyle name="_01.신월 관로토공_01.관로토공(우수)_01.차집 토공2_02.구조물및추진,도달기지토공(D구간)" xfId="462" xr:uid="{00000000-0005-0000-0000-0000CC010000}"/>
    <cellStyle name="_01.신월 관로토공_01.관로토공(우수)_01.차집 토공2_02.구조물토공(B-LINE)" xfId="463" xr:uid="{00000000-0005-0000-0000-0000CD010000}"/>
    <cellStyle name="_01.신월 관로토공_01.관로토공(우수)_01.토공" xfId="464" xr:uid="{00000000-0005-0000-0000-0000CE010000}"/>
    <cellStyle name="_01.신월 관로토공_01.관로토공(우수)_01.토공_01-02.맨홀토공(OPEN-0.3)D-LINE" xfId="465" xr:uid="{00000000-0005-0000-0000-0000CF010000}"/>
    <cellStyle name="_01.신월 관로토공_01.관로토공(우수)_01.토공_01-02.맨홀토공(OPEN-0.3)D-LINE_01-02.맨홀토공(OPEN-0.3)C-LINE" xfId="466" xr:uid="{00000000-0005-0000-0000-0000D0010000}"/>
    <cellStyle name="_01.신월 관로토공_01.관로토공(우수)_01.토공_01-02.맨홀토공(OPEN-0.3)D-LINE_01-02.맨홀토공(OPEN-0.3)C-LINE_02.구조물및추진,도달기지토공(D구간)" xfId="467" xr:uid="{00000000-0005-0000-0000-0000D1010000}"/>
    <cellStyle name="_01.신월 관로토공_01.관로토공(우수)_01.토공_01-02.맨홀토공(OPEN-0.3)D-LINE_01-02.맨홀토공(OPEN-0.3)C-LINE_02.구조물토공(B-LINE)" xfId="468" xr:uid="{00000000-0005-0000-0000-0000D2010000}"/>
    <cellStyle name="_01.신월 관로토공_01.관로토공(우수)_01.토공_01-02.맨홀토공(OPEN-0.3)D-LINE_01-02.맨홀토공(OPEN-0.3)D-LINE" xfId="469" xr:uid="{00000000-0005-0000-0000-0000D3010000}"/>
    <cellStyle name="_01.신월 관로토공_01.관로토공(우수)_01.토공_01-02.맨홀토공(OPEN-0.3)D-LINE_01-02.맨홀토공(OPEN-0.3)D-LINE_02.구조물및추진,도달기지토공(D구간)" xfId="470" xr:uid="{00000000-0005-0000-0000-0000D4010000}"/>
    <cellStyle name="_01.신월 관로토공_01.관로토공(우수)_01.토공_01-02.맨홀토공(OPEN-0.3)D-LINE_01-02.맨홀토공(OPEN-0.3)D-LINE_02.구조물토공(B-LINE)" xfId="471" xr:uid="{00000000-0005-0000-0000-0000D5010000}"/>
    <cellStyle name="_01.신월 관로토공_01.관로토공(우수)_01.토공_01-02.맨홀토공(OPEN-0.3)D-LINE_02.구조물및추진,도달기지토공(D구간)" xfId="472" xr:uid="{00000000-0005-0000-0000-0000D6010000}"/>
    <cellStyle name="_01.신월 관로토공_01.관로토공(우수)_01.토공_01-02.맨홀토공(OPEN-0.3)D-LINE_02.구조물토공(B-LINE)" xfId="473" xr:uid="{00000000-0005-0000-0000-0000D7010000}"/>
    <cellStyle name="_01.신월 관로토공_01.관로토공(우수)_01.토공_01-3.옥구오수신설  맨홀토공(OPEN-0.3)" xfId="474" xr:uid="{00000000-0005-0000-0000-0000D8010000}"/>
    <cellStyle name="_01.신월 관로토공_01.관로토공(우수)_01.토공_01-3.옥구오수신설  맨홀토공(OPEN-0.3)_01-02.맨홀토공(OPEN-0.3)C-LINE" xfId="475" xr:uid="{00000000-0005-0000-0000-0000D9010000}"/>
    <cellStyle name="_01.신월 관로토공_01.관로토공(우수)_01.토공_01-3.옥구오수신설  맨홀토공(OPEN-0.3)_01-02.맨홀토공(OPEN-0.3)C-LINE_02.구조물및추진,도달기지토공(D구간)" xfId="476" xr:uid="{00000000-0005-0000-0000-0000DA010000}"/>
    <cellStyle name="_01.신월 관로토공_01.관로토공(우수)_01.토공_01-3.옥구오수신설  맨홀토공(OPEN-0.3)_01-02.맨홀토공(OPEN-0.3)C-LINE_02.구조물토공(B-LINE)" xfId="477" xr:uid="{00000000-0005-0000-0000-0000DB010000}"/>
    <cellStyle name="_01.신월 관로토공_01.관로토공(우수)_01.토공_01-3.옥구오수신설  맨홀토공(OPEN-0.3)_01-02.맨홀토공(OPEN-0.3)D-LINE" xfId="478" xr:uid="{00000000-0005-0000-0000-0000DC010000}"/>
    <cellStyle name="_01.신월 관로토공_01.관로토공(우수)_01.토공_01-3.옥구오수신설  맨홀토공(OPEN-0.3)_01-02.맨홀토공(OPEN-0.3)D-LINE_02.구조물및추진,도달기지토공(D구간)" xfId="479" xr:uid="{00000000-0005-0000-0000-0000DD010000}"/>
    <cellStyle name="_01.신월 관로토공_01.관로토공(우수)_01.토공_01-3.옥구오수신설  맨홀토공(OPEN-0.3)_01-02.맨홀토공(OPEN-0.3)D-LINE_02.구조물토공(B-LINE)" xfId="480" xr:uid="{00000000-0005-0000-0000-0000DE010000}"/>
    <cellStyle name="_01.신월 관로토공_01.관로토공(우수)_01.토공_01-3.옥구오수신설  맨홀토공(OPEN-0.3)_02.구조물및추진,도달기지토공(D구간)" xfId="481" xr:uid="{00000000-0005-0000-0000-0000DF010000}"/>
    <cellStyle name="_01.신월 관로토공_01.관로토공(우수)_01.토공_01-3.옥구오수신설  맨홀토공(OPEN-0.3)_02.구조물토공(B-LINE)" xfId="482" xr:uid="{00000000-0005-0000-0000-0000E0010000}"/>
    <cellStyle name="_01.신월 관로토공_01.관로토공(우수)_01.토공_01-3.옥서오수신설  맨홀토공(OPEN-0.3)" xfId="483" xr:uid="{00000000-0005-0000-0000-0000E1010000}"/>
    <cellStyle name="_01.신월 관로토공_01.관로토공(우수)_01.토공_01-3.옥서오수신설  맨홀토공(OPEN-0.3)_01-02.맨홀토공(OPEN-0.3)C-LINE" xfId="484" xr:uid="{00000000-0005-0000-0000-0000E2010000}"/>
    <cellStyle name="_01.신월 관로토공_01.관로토공(우수)_01.토공_01-3.옥서오수신설  맨홀토공(OPEN-0.3)_01-02.맨홀토공(OPEN-0.3)C-LINE_02.구조물및추진,도달기지토공(D구간)" xfId="485" xr:uid="{00000000-0005-0000-0000-0000E3010000}"/>
    <cellStyle name="_01.신월 관로토공_01.관로토공(우수)_01.토공_01-3.옥서오수신설  맨홀토공(OPEN-0.3)_01-02.맨홀토공(OPEN-0.3)C-LINE_02.구조물토공(B-LINE)" xfId="486" xr:uid="{00000000-0005-0000-0000-0000E4010000}"/>
    <cellStyle name="_01.신월 관로토공_01.관로토공(우수)_01.토공_01-3.옥서오수신설  맨홀토공(OPEN-0.3)_01-02.맨홀토공(OPEN-0.3)D-LINE" xfId="487" xr:uid="{00000000-0005-0000-0000-0000E5010000}"/>
    <cellStyle name="_01.신월 관로토공_01.관로토공(우수)_01.토공_01-3.옥서오수신설  맨홀토공(OPEN-0.3)_01-02.맨홀토공(OPEN-0.3)D-LINE_02.구조물및추진,도달기지토공(D구간)" xfId="488" xr:uid="{00000000-0005-0000-0000-0000E6010000}"/>
    <cellStyle name="_01.신월 관로토공_01.관로토공(우수)_01.토공_01-3.옥서오수신설  맨홀토공(OPEN-0.3)_01-02.맨홀토공(OPEN-0.3)D-LINE_02.구조물토공(B-LINE)" xfId="489" xr:uid="{00000000-0005-0000-0000-0000E7010000}"/>
    <cellStyle name="_01.신월 관로토공_01.관로토공(우수)_01.토공_01-3.옥서오수신설  맨홀토공(OPEN-0.3)_02.구조물및추진,도달기지토공(D구간)" xfId="490" xr:uid="{00000000-0005-0000-0000-0000E8010000}"/>
    <cellStyle name="_01.신월 관로토공_01.관로토공(우수)_01.토공_01-3.옥서오수신설  맨홀토공(OPEN-0.3)_02.구조물토공(B-LINE)" xfId="491" xr:uid="{00000000-0005-0000-0000-0000E9010000}"/>
    <cellStyle name="_01.신월 관로토공_01.관로토공(우수)_01.토공_02.구조물및추진,도달기지토공(D구간)" xfId="492" xr:uid="{00000000-0005-0000-0000-0000EA010000}"/>
    <cellStyle name="_01.신월 관로토공_01.관로토공(우수)_01.토공_02.구조물토공(B-LINE)" xfId="493" xr:uid="{00000000-0005-0000-0000-0000EB010000}"/>
    <cellStyle name="_01.신월 관로토공_01.관로토공(우수)_01-02.맨홀토공(OPEN-0.3)D-LINE" xfId="494" xr:uid="{00000000-0005-0000-0000-0000EC010000}"/>
    <cellStyle name="_01.신월 관로토공_01.관로토공(우수)_01-02.맨홀토공(OPEN-0.3)D-LINE_01-02.맨홀토공(OPEN-0.3)C-LINE" xfId="495" xr:uid="{00000000-0005-0000-0000-0000ED010000}"/>
    <cellStyle name="_01.신월 관로토공_01.관로토공(우수)_01-02.맨홀토공(OPEN-0.3)D-LINE_01-02.맨홀토공(OPEN-0.3)C-LINE_02.구조물및추진,도달기지토공(D구간)" xfId="496" xr:uid="{00000000-0005-0000-0000-0000EE010000}"/>
    <cellStyle name="_01.신월 관로토공_01.관로토공(우수)_01-02.맨홀토공(OPEN-0.3)D-LINE_01-02.맨홀토공(OPEN-0.3)C-LINE_02.구조물토공(B-LINE)" xfId="497" xr:uid="{00000000-0005-0000-0000-0000EF010000}"/>
    <cellStyle name="_01.신월 관로토공_01.관로토공(우수)_01-02.맨홀토공(OPEN-0.3)D-LINE_01-02.맨홀토공(OPEN-0.3)D-LINE" xfId="498" xr:uid="{00000000-0005-0000-0000-0000F0010000}"/>
    <cellStyle name="_01.신월 관로토공_01.관로토공(우수)_01-02.맨홀토공(OPEN-0.3)D-LINE_01-02.맨홀토공(OPEN-0.3)D-LINE_02.구조물및추진,도달기지토공(D구간)" xfId="499" xr:uid="{00000000-0005-0000-0000-0000F1010000}"/>
    <cellStyle name="_01.신월 관로토공_01.관로토공(우수)_01-02.맨홀토공(OPEN-0.3)D-LINE_01-02.맨홀토공(OPEN-0.3)D-LINE_02.구조물토공(B-LINE)" xfId="500" xr:uid="{00000000-0005-0000-0000-0000F2010000}"/>
    <cellStyle name="_01.신월 관로토공_01.관로토공(우수)_01-02.맨홀토공(OPEN-0.3)D-LINE_02.구조물및추진,도달기지토공(D구간)" xfId="501" xr:uid="{00000000-0005-0000-0000-0000F3010000}"/>
    <cellStyle name="_01.신월 관로토공_01.관로토공(우수)_01-02.맨홀토공(OPEN-0.3)D-LINE_02.구조물토공(B-LINE)" xfId="502" xr:uid="{00000000-0005-0000-0000-0000F4010000}"/>
    <cellStyle name="_01.신월 관로토공_01.관로토공(우수)_01-3.옥구오수신설  맨홀토공(OPEN-0.3)" xfId="503" xr:uid="{00000000-0005-0000-0000-0000F5010000}"/>
    <cellStyle name="_01.신월 관로토공_01.관로토공(우수)_01-3.옥구오수신설  맨홀토공(OPEN-0.3)_01-02.맨홀토공(OPEN-0.3)C-LINE" xfId="504" xr:uid="{00000000-0005-0000-0000-0000F6010000}"/>
    <cellStyle name="_01.신월 관로토공_01.관로토공(우수)_01-3.옥구오수신설  맨홀토공(OPEN-0.3)_01-02.맨홀토공(OPEN-0.3)C-LINE_02.구조물및추진,도달기지토공(D구간)" xfId="505" xr:uid="{00000000-0005-0000-0000-0000F7010000}"/>
    <cellStyle name="_01.신월 관로토공_01.관로토공(우수)_01-3.옥구오수신설  맨홀토공(OPEN-0.3)_01-02.맨홀토공(OPEN-0.3)C-LINE_02.구조물토공(B-LINE)" xfId="506" xr:uid="{00000000-0005-0000-0000-0000F8010000}"/>
    <cellStyle name="_01.신월 관로토공_01.관로토공(우수)_01-3.옥구오수신설  맨홀토공(OPEN-0.3)_01-02.맨홀토공(OPEN-0.3)D-LINE" xfId="507" xr:uid="{00000000-0005-0000-0000-0000F9010000}"/>
    <cellStyle name="_01.신월 관로토공_01.관로토공(우수)_01-3.옥구오수신설  맨홀토공(OPEN-0.3)_01-02.맨홀토공(OPEN-0.3)D-LINE_02.구조물및추진,도달기지토공(D구간)" xfId="508" xr:uid="{00000000-0005-0000-0000-0000FA010000}"/>
    <cellStyle name="_01.신월 관로토공_01.관로토공(우수)_01-3.옥구오수신설  맨홀토공(OPEN-0.3)_01-02.맨홀토공(OPEN-0.3)D-LINE_02.구조물토공(B-LINE)" xfId="509" xr:uid="{00000000-0005-0000-0000-0000FB010000}"/>
    <cellStyle name="_01.신월 관로토공_01.관로토공(우수)_01-3.옥구오수신설  맨홀토공(OPEN-0.3)_02.구조물및추진,도달기지토공(D구간)" xfId="510" xr:uid="{00000000-0005-0000-0000-0000FC010000}"/>
    <cellStyle name="_01.신월 관로토공_01.관로토공(우수)_01-3.옥구오수신설  맨홀토공(OPEN-0.3)_02.구조물토공(B-LINE)" xfId="511" xr:uid="{00000000-0005-0000-0000-0000FD010000}"/>
    <cellStyle name="_01.신월 관로토공_01.관로토공(우수)_01-3.옥서오수신설  맨홀토공(OPEN-0.3)" xfId="512" xr:uid="{00000000-0005-0000-0000-0000FE010000}"/>
    <cellStyle name="_01.신월 관로토공_01.관로토공(우수)_01-3.옥서오수신설  맨홀토공(OPEN-0.3)_01-02.맨홀토공(OPEN-0.3)C-LINE" xfId="513" xr:uid="{00000000-0005-0000-0000-0000FF010000}"/>
    <cellStyle name="_01.신월 관로토공_01.관로토공(우수)_01-3.옥서오수신설  맨홀토공(OPEN-0.3)_01-02.맨홀토공(OPEN-0.3)C-LINE_02.구조물및추진,도달기지토공(D구간)" xfId="514" xr:uid="{00000000-0005-0000-0000-000000020000}"/>
    <cellStyle name="_01.신월 관로토공_01.관로토공(우수)_01-3.옥서오수신설  맨홀토공(OPEN-0.3)_01-02.맨홀토공(OPEN-0.3)C-LINE_02.구조물토공(B-LINE)" xfId="515" xr:uid="{00000000-0005-0000-0000-000001020000}"/>
    <cellStyle name="_01.신월 관로토공_01.관로토공(우수)_01-3.옥서오수신설  맨홀토공(OPEN-0.3)_01-02.맨홀토공(OPEN-0.3)D-LINE" xfId="516" xr:uid="{00000000-0005-0000-0000-000002020000}"/>
    <cellStyle name="_01.신월 관로토공_01.관로토공(우수)_01-3.옥서오수신설  맨홀토공(OPEN-0.3)_01-02.맨홀토공(OPEN-0.3)D-LINE_02.구조물및추진,도달기지토공(D구간)" xfId="517" xr:uid="{00000000-0005-0000-0000-000003020000}"/>
    <cellStyle name="_01.신월 관로토공_01.관로토공(우수)_01-3.옥서오수신설  맨홀토공(OPEN-0.3)_01-02.맨홀토공(OPEN-0.3)D-LINE_02.구조물토공(B-LINE)" xfId="518" xr:uid="{00000000-0005-0000-0000-000004020000}"/>
    <cellStyle name="_01.신월 관로토공_01.관로토공(우수)_01-3.옥서오수신설  맨홀토공(OPEN-0.3)_02.구조물및추진,도달기지토공(D구간)" xfId="519" xr:uid="{00000000-0005-0000-0000-000005020000}"/>
    <cellStyle name="_01.신월 관로토공_01.관로토공(우수)_01-3.옥서오수신설  맨홀토공(OPEN-0.3)_02.구조물토공(B-LINE)" xfId="520" xr:uid="{00000000-0005-0000-0000-000006020000}"/>
    <cellStyle name="_01.신월 관로토공_01.관로토공(우수)_02.구조물및추진,도달기지토공(D구간)" xfId="521" xr:uid="{00000000-0005-0000-0000-000007020000}"/>
    <cellStyle name="_01.신월 관로토공_01.관로토공(우수)_02.구조물토공(B-LINE)" xfId="522" xr:uid="{00000000-0005-0000-0000-000008020000}"/>
    <cellStyle name="_01.신월 관로토공_01.관로토공(우수)_03.여천우수 구조물공" xfId="523" xr:uid="{00000000-0005-0000-0000-000009020000}"/>
    <cellStyle name="_01.신월 관로토공_01.관로토공(우수)_03.여천우수 구조물공_01-02.맨홀토공(OPEN-0.3)D-LINE" xfId="524" xr:uid="{00000000-0005-0000-0000-00000A020000}"/>
    <cellStyle name="_01.신월 관로토공_01.관로토공(우수)_03.여천우수 구조물공_01-02.맨홀토공(OPEN-0.3)D-LINE_01-02.맨홀토공(OPEN-0.3)C-LINE" xfId="525" xr:uid="{00000000-0005-0000-0000-00000B020000}"/>
    <cellStyle name="_01.신월 관로토공_01.관로토공(우수)_03.여천우수 구조물공_01-02.맨홀토공(OPEN-0.3)D-LINE_01-02.맨홀토공(OPEN-0.3)C-LINE_02.구조물및추진,도달기지토공(D구간)" xfId="526" xr:uid="{00000000-0005-0000-0000-00000C020000}"/>
    <cellStyle name="_01.신월 관로토공_01.관로토공(우수)_03.여천우수 구조물공_01-02.맨홀토공(OPEN-0.3)D-LINE_01-02.맨홀토공(OPEN-0.3)C-LINE_02.구조물토공(B-LINE)" xfId="527" xr:uid="{00000000-0005-0000-0000-00000D020000}"/>
    <cellStyle name="_01.신월 관로토공_01.관로토공(우수)_03.여천우수 구조물공_01-02.맨홀토공(OPEN-0.3)D-LINE_01-02.맨홀토공(OPEN-0.3)D-LINE" xfId="528" xr:uid="{00000000-0005-0000-0000-00000E020000}"/>
    <cellStyle name="_01.신월 관로토공_01.관로토공(우수)_03.여천우수 구조물공_01-02.맨홀토공(OPEN-0.3)D-LINE_01-02.맨홀토공(OPEN-0.3)D-LINE_02.구조물및추진,도달기지토공(D구간)" xfId="529" xr:uid="{00000000-0005-0000-0000-00000F020000}"/>
    <cellStyle name="_01.신월 관로토공_01.관로토공(우수)_03.여천우수 구조물공_01-02.맨홀토공(OPEN-0.3)D-LINE_01-02.맨홀토공(OPEN-0.3)D-LINE_02.구조물토공(B-LINE)" xfId="530" xr:uid="{00000000-0005-0000-0000-000010020000}"/>
    <cellStyle name="_01.신월 관로토공_01.관로토공(우수)_03.여천우수 구조물공_01-02.맨홀토공(OPEN-0.3)D-LINE_02.구조물및추진,도달기지토공(D구간)" xfId="531" xr:uid="{00000000-0005-0000-0000-000011020000}"/>
    <cellStyle name="_01.신월 관로토공_01.관로토공(우수)_03.여천우수 구조물공_01-02.맨홀토공(OPEN-0.3)D-LINE_02.구조물토공(B-LINE)" xfId="532" xr:uid="{00000000-0005-0000-0000-000012020000}"/>
    <cellStyle name="_01.신월 관로토공_01.관로토공(우수)_03.여천우수 구조물공_01-3.옥구오수신설  맨홀토공(OPEN-0.3)" xfId="533" xr:uid="{00000000-0005-0000-0000-000013020000}"/>
    <cellStyle name="_01.신월 관로토공_01.관로토공(우수)_03.여천우수 구조물공_01-3.옥구오수신설  맨홀토공(OPEN-0.3)_01-02.맨홀토공(OPEN-0.3)C-LINE" xfId="534" xr:uid="{00000000-0005-0000-0000-000014020000}"/>
    <cellStyle name="_01.신월 관로토공_01.관로토공(우수)_03.여천우수 구조물공_01-3.옥구오수신설  맨홀토공(OPEN-0.3)_01-02.맨홀토공(OPEN-0.3)C-LINE_02.구조물및추진,도달기지토공(D구간)" xfId="535" xr:uid="{00000000-0005-0000-0000-000015020000}"/>
    <cellStyle name="_01.신월 관로토공_01.관로토공(우수)_03.여천우수 구조물공_01-3.옥구오수신설  맨홀토공(OPEN-0.3)_01-02.맨홀토공(OPEN-0.3)C-LINE_02.구조물토공(B-LINE)" xfId="536" xr:uid="{00000000-0005-0000-0000-000016020000}"/>
    <cellStyle name="_01.신월 관로토공_01.관로토공(우수)_03.여천우수 구조물공_01-3.옥구오수신설  맨홀토공(OPEN-0.3)_01-02.맨홀토공(OPEN-0.3)D-LINE" xfId="537" xr:uid="{00000000-0005-0000-0000-000017020000}"/>
    <cellStyle name="_01.신월 관로토공_01.관로토공(우수)_03.여천우수 구조물공_01-3.옥구오수신설  맨홀토공(OPEN-0.3)_01-02.맨홀토공(OPEN-0.3)D-LINE_02.구조물및추진,도달기지토공(D구간)" xfId="538" xr:uid="{00000000-0005-0000-0000-000018020000}"/>
    <cellStyle name="_01.신월 관로토공_01.관로토공(우수)_03.여천우수 구조물공_01-3.옥구오수신설  맨홀토공(OPEN-0.3)_01-02.맨홀토공(OPEN-0.3)D-LINE_02.구조물토공(B-LINE)" xfId="539" xr:uid="{00000000-0005-0000-0000-000019020000}"/>
    <cellStyle name="_01.신월 관로토공_01.관로토공(우수)_03.여천우수 구조물공_01-3.옥구오수신설  맨홀토공(OPEN-0.3)_02.구조물및추진,도달기지토공(D구간)" xfId="540" xr:uid="{00000000-0005-0000-0000-00001A020000}"/>
    <cellStyle name="_01.신월 관로토공_01.관로토공(우수)_03.여천우수 구조물공_01-3.옥구오수신설  맨홀토공(OPEN-0.3)_02.구조물토공(B-LINE)" xfId="541" xr:uid="{00000000-0005-0000-0000-00001B020000}"/>
    <cellStyle name="_01.신월 관로토공_01.관로토공(우수)_03.여천우수 구조물공_01-3.옥서오수신설  맨홀토공(OPEN-0.3)" xfId="542" xr:uid="{00000000-0005-0000-0000-00001C020000}"/>
    <cellStyle name="_01.신월 관로토공_01.관로토공(우수)_03.여천우수 구조물공_01-3.옥서오수신설  맨홀토공(OPEN-0.3)_01-02.맨홀토공(OPEN-0.3)C-LINE" xfId="543" xr:uid="{00000000-0005-0000-0000-00001D020000}"/>
    <cellStyle name="_01.신월 관로토공_01.관로토공(우수)_03.여천우수 구조물공_01-3.옥서오수신설  맨홀토공(OPEN-0.3)_01-02.맨홀토공(OPEN-0.3)C-LINE_02.구조물및추진,도달기지토공(D구간)" xfId="544" xr:uid="{00000000-0005-0000-0000-00001E020000}"/>
    <cellStyle name="_01.신월 관로토공_01.관로토공(우수)_03.여천우수 구조물공_01-3.옥서오수신설  맨홀토공(OPEN-0.3)_01-02.맨홀토공(OPEN-0.3)C-LINE_02.구조물토공(B-LINE)" xfId="545" xr:uid="{00000000-0005-0000-0000-00001F020000}"/>
    <cellStyle name="_01.신월 관로토공_01.관로토공(우수)_03.여천우수 구조물공_01-3.옥서오수신설  맨홀토공(OPEN-0.3)_01-02.맨홀토공(OPEN-0.3)D-LINE" xfId="546" xr:uid="{00000000-0005-0000-0000-000020020000}"/>
    <cellStyle name="_01.신월 관로토공_01.관로토공(우수)_03.여천우수 구조물공_01-3.옥서오수신설  맨홀토공(OPEN-0.3)_01-02.맨홀토공(OPEN-0.3)D-LINE_02.구조물및추진,도달기지토공(D구간)" xfId="547" xr:uid="{00000000-0005-0000-0000-000021020000}"/>
    <cellStyle name="_01.신월 관로토공_01.관로토공(우수)_03.여천우수 구조물공_01-3.옥서오수신설  맨홀토공(OPEN-0.3)_01-02.맨홀토공(OPEN-0.3)D-LINE_02.구조물토공(B-LINE)" xfId="548" xr:uid="{00000000-0005-0000-0000-000022020000}"/>
    <cellStyle name="_01.신월 관로토공_01.관로토공(우수)_03.여천우수 구조물공_01-3.옥서오수신설  맨홀토공(OPEN-0.3)_02.구조물및추진,도달기지토공(D구간)" xfId="549" xr:uid="{00000000-0005-0000-0000-000023020000}"/>
    <cellStyle name="_01.신월 관로토공_01.관로토공(우수)_03.여천우수 구조물공_01-3.옥서오수신설  맨홀토공(OPEN-0.3)_02.구조물토공(B-LINE)" xfId="550" xr:uid="{00000000-0005-0000-0000-000024020000}"/>
    <cellStyle name="_01.신월 관로토공_01.관로토공(우수)_03.여천우수 구조물공_02.구조물및추진,도달기지토공(D구간)" xfId="551" xr:uid="{00000000-0005-0000-0000-000025020000}"/>
    <cellStyle name="_01.신월 관로토공_01.관로토공(우수)_03.여천우수 구조물공_02.구조물토공(B-LINE)" xfId="552" xr:uid="{00000000-0005-0000-0000-000026020000}"/>
    <cellStyle name="_01.신월 관로토공_01.부대공(동판교3단계(본이설))" xfId="553" xr:uid="{00000000-0005-0000-0000-000027020000}"/>
    <cellStyle name="_01.신월 관로토공_01.신월 관로토공" xfId="554" xr:uid="{00000000-0005-0000-0000-000028020000}"/>
    <cellStyle name="_01.신월 관로토공_01.신월 관로토공_01.신월 관로토공조서" xfId="555" xr:uid="{00000000-0005-0000-0000-000029020000}"/>
    <cellStyle name="_01.신월 관로토공_01.신월 관로토공_01.신월 관로토공조서_01-02.맨홀토공(OPEN-0.3)D-LINE" xfId="556" xr:uid="{00000000-0005-0000-0000-00002A020000}"/>
    <cellStyle name="_01.신월 관로토공_01.신월 관로토공_01.신월 관로토공조서_01-02.맨홀토공(OPEN-0.3)D-LINE_01-02.맨홀토공(OPEN-0.3)C-LINE" xfId="557" xr:uid="{00000000-0005-0000-0000-00002B020000}"/>
    <cellStyle name="_01.신월 관로토공_01.신월 관로토공_01.신월 관로토공조서_01-02.맨홀토공(OPEN-0.3)D-LINE_01-02.맨홀토공(OPEN-0.3)C-LINE_02.구조물및추진,도달기지토공(D구간)" xfId="558" xr:uid="{00000000-0005-0000-0000-00002C020000}"/>
    <cellStyle name="_01.신월 관로토공_01.신월 관로토공_01.신월 관로토공조서_01-02.맨홀토공(OPEN-0.3)D-LINE_01-02.맨홀토공(OPEN-0.3)C-LINE_02.구조물토공(B-LINE)" xfId="559" xr:uid="{00000000-0005-0000-0000-00002D020000}"/>
    <cellStyle name="_01.신월 관로토공_01.신월 관로토공_01.신월 관로토공조서_01-02.맨홀토공(OPEN-0.3)D-LINE_01-02.맨홀토공(OPEN-0.3)D-LINE" xfId="560" xr:uid="{00000000-0005-0000-0000-00002E020000}"/>
    <cellStyle name="_01.신월 관로토공_01.신월 관로토공_01.신월 관로토공조서_01-02.맨홀토공(OPEN-0.3)D-LINE_01-02.맨홀토공(OPEN-0.3)D-LINE_02.구조물및추진,도달기지토공(D구간)" xfId="561" xr:uid="{00000000-0005-0000-0000-00002F020000}"/>
    <cellStyle name="_01.신월 관로토공_01.신월 관로토공_01.신월 관로토공조서_01-02.맨홀토공(OPEN-0.3)D-LINE_01-02.맨홀토공(OPEN-0.3)D-LINE_02.구조물토공(B-LINE)" xfId="562" xr:uid="{00000000-0005-0000-0000-000030020000}"/>
    <cellStyle name="_01.신월 관로토공_01.신월 관로토공_01.신월 관로토공조서_01-02.맨홀토공(OPEN-0.3)D-LINE_02.구조물및추진,도달기지토공(D구간)" xfId="563" xr:uid="{00000000-0005-0000-0000-000031020000}"/>
    <cellStyle name="_01.신월 관로토공_01.신월 관로토공_01.신월 관로토공조서_01-02.맨홀토공(OPEN-0.3)D-LINE_02.구조물토공(B-LINE)" xfId="564" xr:uid="{00000000-0005-0000-0000-000032020000}"/>
    <cellStyle name="_01.신월 관로토공_01.신월 관로토공_01.신월 관로토공조서_01-3.옥구오수신설  맨홀토공(OPEN-0.3)" xfId="565" xr:uid="{00000000-0005-0000-0000-000033020000}"/>
    <cellStyle name="_01.신월 관로토공_01.신월 관로토공_01.신월 관로토공조서_01-3.옥구오수신설  맨홀토공(OPEN-0.3)_01-02.맨홀토공(OPEN-0.3)C-LINE" xfId="566" xr:uid="{00000000-0005-0000-0000-000034020000}"/>
    <cellStyle name="_01.신월 관로토공_01.신월 관로토공_01.신월 관로토공조서_01-3.옥구오수신설  맨홀토공(OPEN-0.3)_01-02.맨홀토공(OPEN-0.3)C-LINE_02.구조물및추진,도달기지토공(D구간)" xfId="567" xr:uid="{00000000-0005-0000-0000-000035020000}"/>
    <cellStyle name="_01.신월 관로토공_01.신월 관로토공_01.신월 관로토공조서_01-3.옥구오수신설  맨홀토공(OPEN-0.3)_01-02.맨홀토공(OPEN-0.3)C-LINE_02.구조물토공(B-LINE)" xfId="568" xr:uid="{00000000-0005-0000-0000-000036020000}"/>
    <cellStyle name="_01.신월 관로토공_01.신월 관로토공_01.신월 관로토공조서_01-3.옥구오수신설  맨홀토공(OPEN-0.3)_01-02.맨홀토공(OPEN-0.3)D-LINE" xfId="569" xr:uid="{00000000-0005-0000-0000-000037020000}"/>
    <cellStyle name="_01.신월 관로토공_01.신월 관로토공_01.신월 관로토공조서_01-3.옥구오수신설  맨홀토공(OPEN-0.3)_01-02.맨홀토공(OPEN-0.3)D-LINE_02.구조물및추진,도달기지토공(D구간)" xfId="570" xr:uid="{00000000-0005-0000-0000-000038020000}"/>
    <cellStyle name="_01.신월 관로토공_01.신월 관로토공_01.신월 관로토공조서_01-3.옥구오수신설  맨홀토공(OPEN-0.3)_01-02.맨홀토공(OPEN-0.3)D-LINE_02.구조물토공(B-LINE)" xfId="571" xr:uid="{00000000-0005-0000-0000-000039020000}"/>
    <cellStyle name="_01.신월 관로토공_01.신월 관로토공_01.신월 관로토공조서_01-3.옥구오수신설  맨홀토공(OPEN-0.3)_02.구조물및추진,도달기지토공(D구간)" xfId="572" xr:uid="{00000000-0005-0000-0000-00003A020000}"/>
    <cellStyle name="_01.신월 관로토공_01.신월 관로토공_01.신월 관로토공조서_01-3.옥구오수신설  맨홀토공(OPEN-0.3)_02.구조물토공(B-LINE)" xfId="573" xr:uid="{00000000-0005-0000-0000-00003B020000}"/>
    <cellStyle name="_01.신월 관로토공_01.신월 관로토공_01.신월 관로토공조서_01-3.옥서오수신설  맨홀토공(OPEN-0.3)" xfId="574" xr:uid="{00000000-0005-0000-0000-00003C020000}"/>
    <cellStyle name="_01.신월 관로토공_01.신월 관로토공_01.신월 관로토공조서_01-3.옥서오수신설  맨홀토공(OPEN-0.3)_01-02.맨홀토공(OPEN-0.3)C-LINE" xfId="575" xr:uid="{00000000-0005-0000-0000-00003D020000}"/>
    <cellStyle name="_01.신월 관로토공_01.신월 관로토공_01.신월 관로토공조서_01-3.옥서오수신설  맨홀토공(OPEN-0.3)_01-02.맨홀토공(OPEN-0.3)C-LINE_02.구조물및추진,도달기지토공(D구간)" xfId="576" xr:uid="{00000000-0005-0000-0000-00003E020000}"/>
    <cellStyle name="_01.신월 관로토공_01.신월 관로토공_01.신월 관로토공조서_01-3.옥서오수신설  맨홀토공(OPEN-0.3)_01-02.맨홀토공(OPEN-0.3)C-LINE_02.구조물토공(B-LINE)" xfId="577" xr:uid="{00000000-0005-0000-0000-00003F020000}"/>
    <cellStyle name="_01.신월 관로토공_01.신월 관로토공_01.신월 관로토공조서_01-3.옥서오수신설  맨홀토공(OPEN-0.3)_01-02.맨홀토공(OPEN-0.3)D-LINE" xfId="578" xr:uid="{00000000-0005-0000-0000-000040020000}"/>
    <cellStyle name="_01.신월 관로토공_01.신월 관로토공_01.신월 관로토공조서_01-3.옥서오수신설  맨홀토공(OPEN-0.3)_01-02.맨홀토공(OPEN-0.3)D-LINE_02.구조물및추진,도달기지토공(D구간)" xfId="579" xr:uid="{00000000-0005-0000-0000-000041020000}"/>
    <cellStyle name="_01.신월 관로토공_01.신월 관로토공_01.신월 관로토공조서_01-3.옥서오수신설  맨홀토공(OPEN-0.3)_01-02.맨홀토공(OPEN-0.3)D-LINE_02.구조물토공(B-LINE)" xfId="580" xr:uid="{00000000-0005-0000-0000-000042020000}"/>
    <cellStyle name="_01.신월 관로토공_01.신월 관로토공_01.신월 관로토공조서_01-3.옥서오수신설  맨홀토공(OPEN-0.3)_02.구조물및추진,도달기지토공(D구간)" xfId="581" xr:uid="{00000000-0005-0000-0000-000043020000}"/>
    <cellStyle name="_01.신월 관로토공_01.신월 관로토공_01.신월 관로토공조서_01-3.옥서오수신설  맨홀토공(OPEN-0.3)_02.구조물토공(B-LINE)" xfId="582" xr:uid="{00000000-0005-0000-0000-000044020000}"/>
    <cellStyle name="_01.신월 관로토공_01.신월 관로토공_01.신월 관로토공조서_02.구조물및추진,도달기지토공(D구간)" xfId="583" xr:uid="{00000000-0005-0000-0000-000045020000}"/>
    <cellStyle name="_01.신월 관로토공_01.신월 관로토공_01.신월 관로토공조서_02.구조물토공(B-LINE)" xfId="584" xr:uid="{00000000-0005-0000-0000-000046020000}"/>
    <cellStyle name="_01.신월 관로토공_01.신월 관로토공_01.신월오수 관로토공" xfId="585" xr:uid="{00000000-0005-0000-0000-000047020000}"/>
    <cellStyle name="_01.신월 관로토공_01.신월 관로토공_01.신월오수 관로토공_01-02.맨홀토공(OPEN-0.3)D-LINE" xfId="586" xr:uid="{00000000-0005-0000-0000-000048020000}"/>
    <cellStyle name="_01.신월 관로토공_01.신월 관로토공_01.신월오수 관로토공_01-02.맨홀토공(OPEN-0.3)D-LINE_01-02.맨홀토공(OPEN-0.3)C-LINE" xfId="587" xr:uid="{00000000-0005-0000-0000-000049020000}"/>
    <cellStyle name="_01.신월 관로토공_01.신월 관로토공_01.신월오수 관로토공_01-02.맨홀토공(OPEN-0.3)D-LINE_01-02.맨홀토공(OPEN-0.3)C-LINE_02.구조물및추진,도달기지토공(D구간)" xfId="588" xr:uid="{00000000-0005-0000-0000-00004A020000}"/>
    <cellStyle name="_01.신월 관로토공_01.신월 관로토공_01.신월오수 관로토공_01-02.맨홀토공(OPEN-0.3)D-LINE_01-02.맨홀토공(OPEN-0.3)C-LINE_02.구조물토공(B-LINE)" xfId="589" xr:uid="{00000000-0005-0000-0000-00004B020000}"/>
    <cellStyle name="_01.신월 관로토공_01.신월 관로토공_01.신월오수 관로토공_01-02.맨홀토공(OPEN-0.3)D-LINE_01-02.맨홀토공(OPEN-0.3)D-LINE" xfId="590" xr:uid="{00000000-0005-0000-0000-00004C020000}"/>
    <cellStyle name="_01.신월 관로토공_01.신월 관로토공_01.신월오수 관로토공_01-02.맨홀토공(OPEN-0.3)D-LINE_01-02.맨홀토공(OPEN-0.3)D-LINE_02.구조물및추진,도달기지토공(D구간)" xfId="591" xr:uid="{00000000-0005-0000-0000-00004D020000}"/>
    <cellStyle name="_01.신월 관로토공_01.신월 관로토공_01.신월오수 관로토공_01-02.맨홀토공(OPEN-0.3)D-LINE_01-02.맨홀토공(OPEN-0.3)D-LINE_02.구조물토공(B-LINE)" xfId="592" xr:uid="{00000000-0005-0000-0000-00004E020000}"/>
    <cellStyle name="_01.신월 관로토공_01.신월 관로토공_01.신월오수 관로토공_01-02.맨홀토공(OPEN-0.3)D-LINE_02.구조물및추진,도달기지토공(D구간)" xfId="593" xr:uid="{00000000-0005-0000-0000-00004F020000}"/>
    <cellStyle name="_01.신월 관로토공_01.신월 관로토공_01.신월오수 관로토공_01-02.맨홀토공(OPEN-0.3)D-LINE_02.구조물토공(B-LINE)" xfId="594" xr:uid="{00000000-0005-0000-0000-000050020000}"/>
    <cellStyle name="_01.신월 관로토공_01.신월 관로토공_01.신월오수 관로토공_01-3.옥구오수신설  맨홀토공(OPEN-0.3)" xfId="595" xr:uid="{00000000-0005-0000-0000-000051020000}"/>
    <cellStyle name="_01.신월 관로토공_01.신월 관로토공_01.신월오수 관로토공_01-3.옥구오수신설  맨홀토공(OPEN-0.3)_01-02.맨홀토공(OPEN-0.3)C-LINE" xfId="596" xr:uid="{00000000-0005-0000-0000-000052020000}"/>
    <cellStyle name="_01.신월 관로토공_01.신월 관로토공_01.신월오수 관로토공_01-3.옥구오수신설  맨홀토공(OPEN-0.3)_01-02.맨홀토공(OPEN-0.3)C-LINE_02.구조물및추진,도달기지토공(D구간)" xfId="597" xr:uid="{00000000-0005-0000-0000-000053020000}"/>
    <cellStyle name="_01.신월 관로토공_01.신월 관로토공_01.신월오수 관로토공_01-3.옥구오수신설  맨홀토공(OPEN-0.3)_01-02.맨홀토공(OPEN-0.3)C-LINE_02.구조물토공(B-LINE)" xfId="598" xr:uid="{00000000-0005-0000-0000-000054020000}"/>
    <cellStyle name="_01.신월 관로토공_01.신월 관로토공_01.신월오수 관로토공_01-3.옥구오수신설  맨홀토공(OPEN-0.3)_01-02.맨홀토공(OPEN-0.3)D-LINE" xfId="599" xr:uid="{00000000-0005-0000-0000-000055020000}"/>
    <cellStyle name="_01.신월 관로토공_01.신월 관로토공_01.신월오수 관로토공_01-3.옥구오수신설  맨홀토공(OPEN-0.3)_01-02.맨홀토공(OPEN-0.3)D-LINE_02.구조물및추진,도달기지토공(D구간)" xfId="600" xr:uid="{00000000-0005-0000-0000-000056020000}"/>
    <cellStyle name="_01.신월 관로토공_01.신월 관로토공_01.신월오수 관로토공_01-3.옥구오수신설  맨홀토공(OPEN-0.3)_01-02.맨홀토공(OPEN-0.3)D-LINE_02.구조물토공(B-LINE)" xfId="601" xr:uid="{00000000-0005-0000-0000-000057020000}"/>
    <cellStyle name="_01.신월 관로토공_01.신월 관로토공_01.신월오수 관로토공_01-3.옥구오수신설  맨홀토공(OPEN-0.3)_02.구조물및추진,도달기지토공(D구간)" xfId="602" xr:uid="{00000000-0005-0000-0000-000058020000}"/>
    <cellStyle name="_01.신월 관로토공_01.신월 관로토공_01.신월오수 관로토공_01-3.옥구오수신설  맨홀토공(OPEN-0.3)_02.구조물토공(B-LINE)" xfId="603" xr:uid="{00000000-0005-0000-0000-000059020000}"/>
    <cellStyle name="_01.신월 관로토공_01.신월 관로토공_01.신월오수 관로토공_01-3.옥서오수신설  맨홀토공(OPEN-0.3)" xfId="604" xr:uid="{00000000-0005-0000-0000-00005A020000}"/>
    <cellStyle name="_01.신월 관로토공_01.신월 관로토공_01.신월오수 관로토공_01-3.옥서오수신설  맨홀토공(OPEN-0.3)_01-02.맨홀토공(OPEN-0.3)C-LINE" xfId="605" xr:uid="{00000000-0005-0000-0000-00005B020000}"/>
    <cellStyle name="_01.신월 관로토공_01.신월 관로토공_01.신월오수 관로토공_01-3.옥서오수신설  맨홀토공(OPEN-0.3)_01-02.맨홀토공(OPEN-0.3)C-LINE_02.구조물및추진,도달기지토공(D구간)" xfId="606" xr:uid="{00000000-0005-0000-0000-00005C020000}"/>
    <cellStyle name="_01.신월 관로토공_01.신월 관로토공_01.신월오수 관로토공_01-3.옥서오수신설  맨홀토공(OPEN-0.3)_01-02.맨홀토공(OPEN-0.3)C-LINE_02.구조물토공(B-LINE)" xfId="607" xr:uid="{00000000-0005-0000-0000-00005D020000}"/>
    <cellStyle name="_01.신월 관로토공_01.신월 관로토공_01.신월오수 관로토공_01-3.옥서오수신설  맨홀토공(OPEN-0.3)_01-02.맨홀토공(OPEN-0.3)D-LINE" xfId="608" xr:uid="{00000000-0005-0000-0000-00005E020000}"/>
    <cellStyle name="_01.신월 관로토공_01.신월 관로토공_01.신월오수 관로토공_01-3.옥서오수신설  맨홀토공(OPEN-0.3)_01-02.맨홀토공(OPEN-0.3)D-LINE_02.구조물및추진,도달기지토공(D구간)" xfId="609" xr:uid="{00000000-0005-0000-0000-00005F020000}"/>
    <cellStyle name="_01.신월 관로토공_01.신월 관로토공_01.신월오수 관로토공_01-3.옥서오수신설  맨홀토공(OPEN-0.3)_01-02.맨홀토공(OPEN-0.3)D-LINE_02.구조물토공(B-LINE)" xfId="610" xr:uid="{00000000-0005-0000-0000-000060020000}"/>
    <cellStyle name="_01.신월 관로토공_01.신월 관로토공_01.신월오수 관로토공_01-3.옥서오수신설  맨홀토공(OPEN-0.3)_02.구조물및추진,도달기지토공(D구간)" xfId="611" xr:uid="{00000000-0005-0000-0000-000061020000}"/>
    <cellStyle name="_01.신월 관로토공_01.신월 관로토공_01.신월오수 관로토공_01-3.옥서오수신설  맨홀토공(OPEN-0.3)_02.구조물토공(B-LINE)" xfId="612" xr:uid="{00000000-0005-0000-0000-000062020000}"/>
    <cellStyle name="_01.신월 관로토공_01.신월 관로토공_01.신월오수 관로토공_02.구조물및추진,도달기지토공(D구간)" xfId="613" xr:uid="{00000000-0005-0000-0000-000063020000}"/>
    <cellStyle name="_01.신월 관로토공_01.신월 관로토공_01.신월오수 관로토공_02.구조물토공(B-LINE)" xfId="614" xr:uid="{00000000-0005-0000-0000-000064020000}"/>
    <cellStyle name="_01.신월 관로토공_01.신월 관로토공_01.차집 토공" xfId="615" xr:uid="{00000000-0005-0000-0000-000065020000}"/>
    <cellStyle name="_01.신월 관로토공_01.신월 관로토공_01.차집 토공_01.차집 토공2" xfId="616" xr:uid="{00000000-0005-0000-0000-000066020000}"/>
    <cellStyle name="_01.신월 관로토공_01.신월 관로토공_01.차집 토공_01.차집 토공2_01-02.맨홀토공(OPEN-0.3)D-LINE" xfId="617" xr:uid="{00000000-0005-0000-0000-000067020000}"/>
    <cellStyle name="_01.신월 관로토공_01.신월 관로토공_01.차집 토공_01.차집 토공2_01-02.맨홀토공(OPEN-0.3)D-LINE_01-02.맨홀토공(OPEN-0.3)C-LINE" xfId="618" xr:uid="{00000000-0005-0000-0000-000068020000}"/>
    <cellStyle name="_01.신월 관로토공_01.신월 관로토공_01.차집 토공_01.차집 토공2_01-02.맨홀토공(OPEN-0.3)D-LINE_01-02.맨홀토공(OPEN-0.3)C-LINE_02.구조물및추진,도달기지토공(D구간)" xfId="619" xr:uid="{00000000-0005-0000-0000-000069020000}"/>
    <cellStyle name="_01.신월 관로토공_01.신월 관로토공_01.차집 토공_01.차집 토공2_01-02.맨홀토공(OPEN-0.3)D-LINE_01-02.맨홀토공(OPEN-0.3)C-LINE_02.구조물토공(B-LINE)" xfId="620" xr:uid="{00000000-0005-0000-0000-00006A020000}"/>
    <cellStyle name="_01.신월 관로토공_01.신월 관로토공_01.차집 토공_01.차집 토공2_01-02.맨홀토공(OPEN-0.3)D-LINE_01-02.맨홀토공(OPEN-0.3)D-LINE" xfId="621" xr:uid="{00000000-0005-0000-0000-00006B020000}"/>
    <cellStyle name="_01.신월 관로토공_01.신월 관로토공_01.차집 토공_01.차집 토공2_01-02.맨홀토공(OPEN-0.3)D-LINE_01-02.맨홀토공(OPEN-0.3)D-LINE_02.구조물및추진,도달기지토공(D구간)" xfId="622" xr:uid="{00000000-0005-0000-0000-00006C020000}"/>
    <cellStyle name="_01.신월 관로토공_01.신월 관로토공_01.차집 토공_01.차집 토공2_01-02.맨홀토공(OPEN-0.3)D-LINE_01-02.맨홀토공(OPEN-0.3)D-LINE_02.구조물토공(B-LINE)" xfId="623" xr:uid="{00000000-0005-0000-0000-00006D020000}"/>
    <cellStyle name="_01.신월 관로토공_01.신월 관로토공_01.차집 토공_01.차집 토공2_01-02.맨홀토공(OPEN-0.3)D-LINE_02.구조물및추진,도달기지토공(D구간)" xfId="624" xr:uid="{00000000-0005-0000-0000-00006E020000}"/>
    <cellStyle name="_01.신월 관로토공_01.신월 관로토공_01.차집 토공_01.차집 토공2_01-02.맨홀토공(OPEN-0.3)D-LINE_02.구조물토공(B-LINE)" xfId="625" xr:uid="{00000000-0005-0000-0000-00006F020000}"/>
    <cellStyle name="_01.신월 관로토공_01.신월 관로토공_01.차집 토공_01.차집 토공2_01-3.옥구오수신설  맨홀토공(OPEN-0.3)" xfId="626" xr:uid="{00000000-0005-0000-0000-000070020000}"/>
    <cellStyle name="_01.신월 관로토공_01.신월 관로토공_01.차집 토공_01.차집 토공2_01-3.옥구오수신설  맨홀토공(OPEN-0.3)_01-02.맨홀토공(OPEN-0.3)C-LINE" xfId="627" xr:uid="{00000000-0005-0000-0000-000071020000}"/>
    <cellStyle name="_01.신월 관로토공_01.신월 관로토공_01.차집 토공_01.차집 토공2_01-3.옥구오수신설  맨홀토공(OPEN-0.3)_01-02.맨홀토공(OPEN-0.3)C-LINE_02.구조물및추진,도달기지토공(D구간)" xfId="628" xr:uid="{00000000-0005-0000-0000-000072020000}"/>
    <cellStyle name="_01.신월 관로토공_01.신월 관로토공_01.차집 토공_01.차집 토공2_01-3.옥구오수신설  맨홀토공(OPEN-0.3)_01-02.맨홀토공(OPEN-0.3)C-LINE_02.구조물토공(B-LINE)" xfId="629" xr:uid="{00000000-0005-0000-0000-000073020000}"/>
    <cellStyle name="_01.신월 관로토공_01.신월 관로토공_01.차집 토공_01.차집 토공2_01-3.옥구오수신설  맨홀토공(OPEN-0.3)_01-02.맨홀토공(OPEN-0.3)D-LINE" xfId="630" xr:uid="{00000000-0005-0000-0000-000074020000}"/>
    <cellStyle name="_01.신월 관로토공_01.신월 관로토공_01.차집 토공_01.차집 토공2_01-3.옥구오수신설  맨홀토공(OPEN-0.3)_01-02.맨홀토공(OPEN-0.3)D-LINE_02.구조물및추진,도달기지토공(D구간)" xfId="631" xr:uid="{00000000-0005-0000-0000-000075020000}"/>
    <cellStyle name="_01.신월 관로토공_01.신월 관로토공_01.차집 토공_01.차집 토공2_01-3.옥구오수신설  맨홀토공(OPEN-0.3)_01-02.맨홀토공(OPEN-0.3)D-LINE_02.구조물토공(B-LINE)" xfId="632" xr:uid="{00000000-0005-0000-0000-000076020000}"/>
    <cellStyle name="_01.신월 관로토공_01.신월 관로토공_01.차집 토공_01.차집 토공2_01-3.옥구오수신설  맨홀토공(OPEN-0.3)_02.구조물및추진,도달기지토공(D구간)" xfId="633" xr:uid="{00000000-0005-0000-0000-000077020000}"/>
    <cellStyle name="_01.신월 관로토공_01.신월 관로토공_01.차집 토공_01.차집 토공2_01-3.옥구오수신설  맨홀토공(OPEN-0.3)_02.구조물토공(B-LINE)" xfId="634" xr:uid="{00000000-0005-0000-0000-000078020000}"/>
    <cellStyle name="_01.신월 관로토공_01.신월 관로토공_01.차집 토공_01.차집 토공2_01-3.옥서오수신설  맨홀토공(OPEN-0.3)" xfId="635" xr:uid="{00000000-0005-0000-0000-000079020000}"/>
    <cellStyle name="_01.신월 관로토공_01.신월 관로토공_01.차집 토공_01.차집 토공2_01-3.옥서오수신설  맨홀토공(OPEN-0.3)_01-02.맨홀토공(OPEN-0.3)C-LINE" xfId="636" xr:uid="{00000000-0005-0000-0000-00007A020000}"/>
    <cellStyle name="_01.신월 관로토공_01.신월 관로토공_01.차집 토공_01.차집 토공2_01-3.옥서오수신설  맨홀토공(OPEN-0.3)_01-02.맨홀토공(OPEN-0.3)C-LINE_02.구조물및추진,도달기지토공(D구간)" xfId="637" xr:uid="{00000000-0005-0000-0000-00007B020000}"/>
    <cellStyle name="_01.신월 관로토공_01.신월 관로토공_01.차집 토공_01.차집 토공2_01-3.옥서오수신설  맨홀토공(OPEN-0.3)_01-02.맨홀토공(OPEN-0.3)C-LINE_02.구조물토공(B-LINE)" xfId="638" xr:uid="{00000000-0005-0000-0000-00007C020000}"/>
    <cellStyle name="_01.신월 관로토공_01.신월 관로토공_01.차집 토공_01.차집 토공2_01-3.옥서오수신설  맨홀토공(OPEN-0.3)_01-02.맨홀토공(OPEN-0.3)D-LINE" xfId="639" xr:uid="{00000000-0005-0000-0000-00007D020000}"/>
    <cellStyle name="_01.신월 관로토공_01.신월 관로토공_01.차집 토공_01.차집 토공2_01-3.옥서오수신설  맨홀토공(OPEN-0.3)_01-02.맨홀토공(OPEN-0.3)D-LINE_02.구조물및추진,도달기지토공(D구간)" xfId="640" xr:uid="{00000000-0005-0000-0000-00007E020000}"/>
    <cellStyle name="_01.신월 관로토공_01.신월 관로토공_01.차집 토공_01.차집 토공2_01-3.옥서오수신설  맨홀토공(OPEN-0.3)_01-02.맨홀토공(OPEN-0.3)D-LINE_02.구조물토공(B-LINE)" xfId="641" xr:uid="{00000000-0005-0000-0000-00007F020000}"/>
    <cellStyle name="_01.신월 관로토공_01.신월 관로토공_01.차집 토공_01.차집 토공2_01-3.옥서오수신설  맨홀토공(OPEN-0.3)_02.구조물및추진,도달기지토공(D구간)" xfId="642" xr:uid="{00000000-0005-0000-0000-000080020000}"/>
    <cellStyle name="_01.신월 관로토공_01.신월 관로토공_01.차집 토공_01.차집 토공2_01-3.옥서오수신설  맨홀토공(OPEN-0.3)_02.구조물토공(B-LINE)" xfId="643" xr:uid="{00000000-0005-0000-0000-000081020000}"/>
    <cellStyle name="_01.신월 관로토공_01.신월 관로토공_01.차집 토공_01.차집 토공2_02.구조물및추진,도달기지토공(D구간)" xfId="644" xr:uid="{00000000-0005-0000-0000-000082020000}"/>
    <cellStyle name="_01.신월 관로토공_01.신월 관로토공_01.차집 토공_01.차집 토공2_02.구조물토공(B-LINE)" xfId="645" xr:uid="{00000000-0005-0000-0000-000083020000}"/>
    <cellStyle name="_01.신월 관로토공_01.신월 관로토공_01.차집 토공_01-02.맨홀토공(OPEN-0.3)D-LINE" xfId="646" xr:uid="{00000000-0005-0000-0000-000084020000}"/>
    <cellStyle name="_01.신월 관로토공_01.신월 관로토공_01.차집 토공_01-02.맨홀토공(OPEN-0.3)D-LINE_01-02.맨홀토공(OPEN-0.3)C-LINE" xfId="647" xr:uid="{00000000-0005-0000-0000-000085020000}"/>
    <cellStyle name="_01.신월 관로토공_01.신월 관로토공_01.차집 토공_01-02.맨홀토공(OPEN-0.3)D-LINE_01-02.맨홀토공(OPEN-0.3)C-LINE_02.구조물및추진,도달기지토공(D구간)" xfId="648" xr:uid="{00000000-0005-0000-0000-000086020000}"/>
    <cellStyle name="_01.신월 관로토공_01.신월 관로토공_01.차집 토공_01-02.맨홀토공(OPEN-0.3)D-LINE_01-02.맨홀토공(OPEN-0.3)C-LINE_02.구조물토공(B-LINE)" xfId="649" xr:uid="{00000000-0005-0000-0000-000087020000}"/>
    <cellStyle name="_01.신월 관로토공_01.신월 관로토공_01.차집 토공_01-02.맨홀토공(OPEN-0.3)D-LINE_01-02.맨홀토공(OPEN-0.3)D-LINE" xfId="650" xr:uid="{00000000-0005-0000-0000-000088020000}"/>
    <cellStyle name="_01.신월 관로토공_01.신월 관로토공_01.차집 토공_01-02.맨홀토공(OPEN-0.3)D-LINE_01-02.맨홀토공(OPEN-0.3)D-LINE_02.구조물및추진,도달기지토공(D구간)" xfId="651" xr:uid="{00000000-0005-0000-0000-000089020000}"/>
    <cellStyle name="_01.신월 관로토공_01.신월 관로토공_01.차집 토공_01-02.맨홀토공(OPEN-0.3)D-LINE_01-02.맨홀토공(OPEN-0.3)D-LINE_02.구조물토공(B-LINE)" xfId="652" xr:uid="{00000000-0005-0000-0000-00008A020000}"/>
    <cellStyle name="_01.신월 관로토공_01.신월 관로토공_01.차집 토공_01-02.맨홀토공(OPEN-0.3)D-LINE_02.구조물및추진,도달기지토공(D구간)" xfId="653" xr:uid="{00000000-0005-0000-0000-00008B020000}"/>
    <cellStyle name="_01.신월 관로토공_01.신월 관로토공_01.차집 토공_01-02.맨홀토공(OPEN-0.3)D-LINE_02.구조물토공(B-LINE)" xfId="654" xr:uid="{00000000-0005-0000-0000-00008C020000}"/>
    <cellStyle name="_01.신월 관로토공_01.신월 관로토공_01.차집 토공_01-3.옥구오수신설  맨홀토공(OPEN-0.3)" xfId="655" xr:uid="{00000000-0005-0000-0000-00008D020000}"/>
    <cellStyle name="_01.신월 관로토공_01.신월 관로토공_01.차집 토공_01-3.옥구오수신설  맨홀토공(OPEN-0.3)_01-02.맨홀토공(OPEN-0.3)C-LINE" xfId="656" xr:uid="{00000000-0005-0000-0000-00008E020000}"/>
    <cellStyle name="_01.신월 관로토공_01.신월 관로토공_01.차집 토공_01-3.옥구오수신설  맨홀토공(OPEN-0.3)_01-02.맨홀토공(OPEN-0.3)C-LINE_02.구조물및추진,도달기지토공(D구간)" xfId="657" xr:uid="{00000000-0005-0000-0000-00008F020000}"/>
    <cellStyle name="_01.신월 관로토공_01.신월 관로토공_01.차집 토공_01-3.옥구오수신설  맨홀토공(OPEN-0.3)_01-02.맨홀토공(OPEN-0.3)C-LINE_02.구조물토공(B-LINE)" xfId="658" xr:uid="{00000000-0005-0000-0000-000090020000}"/>
    <cellStyle name="_01.신월 관로토공_01.신월 관로토공_01.차집 토공_01-3.옥구오수신설  맨홀토공(OPEN-0.3)_01-02.맨홀토공(OPEN-0.3)D-LINE" xfId="659" xr:uid="{00000000-0005-0000-0000-000091020000}"/>
    <cellStyle name="_01.신월 관로토공_01.신월 관로토공_01.차집 토공_01-3.옥구오수신설  맨홀토공(OPEN-0.3)_01-02.맨홀토공(OPEN-0.3)D-LINE_02.구조물및추진,도달기지토공(D구간)" xfId="660" xr:uid="{00000000-0005-0000-0000-000092020000}"/>
    <cellStyle name="_01.신월 관로토공_01.신월 관로토공_01.차집 토공_01-3.옥구오수신설  맨홀토공(OPEN-0.3)_01-02.맨홀토공(OPEN-0.3)D-LINE_02.구조물토공(B-LINE)" xfId="661" xr:uid="{00000000-0005-0000-0000-000093020000}"/>
    <cellStyle name="_01.신월 관로토공_01.신월 관로토공_01.차집 토공_01-3.옥구오수신설  맨홀토공(OPEN-0.3)_02.구조물및추진,도달기지토공(D구간)" xfId="662" xr:uid="{00000000-0005-0000-0000-000094020000}"/>
    <cellStyle name="_01.신월 관로토공_01.신월 관로토공_01.차집 토공_01-3.옥구오수신설  맨홀토공(OPEN-0.3)_02.구조물토공(B-LINE)" xfId="663" xr:uid="{00000000-0005-0000-0000-000095020000}"/>
    <cellStyle name="_01.신월 관로토공_01.신월 관로토공_01.차집 토공_01-3.옥서오수신설  맨홀토공(OPEN-0.3)" xfId="664" xr:uid="{00000000-0005-0000-0000-000096020000}"/>
    <cellStyle name="_01.신월 관로토공_01.신월 관로토공_01.차집 토공_01-3.옥서오수신설  맨홀토공(OPEN-0.3)_01-02.맨홀토공(OPEN-0.3)C-LINE" xfId="665" xr:uid="{00000000-0005-0000-0000-000097020000}"/>
    <cellStyle name="_01.신월 관로토공_01.신월 관로토공_01.차집 토공_01-3.옥서오수신설  맨홀토공(OPEN-0.3)_01-02.맨홀토공(OPEN-0.3)C-LINE_02.구조물및추진,도달기지토공(D구간)" xfId="666" xr:uid="{00000000-0005-0000-0000-000098020000}"/>
    <cellStyle name="_01.신월 관로토공_01.신월 관로토공_01.차집 토공_01-3.옥서오수신설  맨홀토공(OPEN-0.3)_01-02.맨홀토공(OPEN-0.3)C-LINE_02.구조물토공(B-LINE)" xfId="667" xr:uid="{00000000-0005-0000-0000-000099020000}"/>
    <cellStyle name="_01.신월 관로토공_01.신월 관로토공_01.차집 토공_01-3.옥서오수신설  맨홀토공(OPEN-0.3)_01-02.맨홀토공(OPEN-0.3)D-LINE" xfId="668" xr:uid="{00000000-0005-0000-0000-00009A020000}"/>
    <cellStyle name="_01.신월 관로토공_01.신월 관로토공_01.차집 토공_01-3.옥서오수신설  맨홀토공(OPEN-0.3)_01-02.맨홀토공(OPEN-0.3)D-LINE_02.구조물및추진,도달기지토공(D구간)" xfId="669" xr:uid="{00000000-0005-0000-0000-00009B020000}"/>
    <cellStyle name="_01.신월 관로토공_01.신월 관로토공_01.차집 토공_01-3.옥서오수신설  맨홀토공(OPEN-0.3)_01-02.맨홀토공(OPEN-0.3)D-LINE_02.구조물토공(B-LINE)" xfId="670" xr:uid="{00000000-0005-0000-0000-00009C020000}"/>
    <cellStyle name="_01.신월 관로토공_01.신월 관로토공_01.차집 토공_01-3.옥서오수신설  맨홀토공(OPEN-0.3)_02.구조물및추진,도달기지토공(D구간)" xfId="671" xr:uid="{00000000-0005-0000-0000-00009D020000}"/>
    <cellStyle name="_01.신월 관로토공_01.신월 관로토공_01.차집 토공_01-3.옥서오수신설  맨홀토공(OPEN-0.3)_02.구조물토공(B-LINE)" xfId="672" xr:uid="{00000000-0005-0000-0000-00009E020000}"/>
    <cellStyle name="_01.신월 관로토공_01.신월 관로토공_01.차집 토공_02.구조물및추진,도달기지토공(D구간)" xfId="673" xr:uid="{00000000-0005-0000-0000-00009F020000}"/>
    <cellStyle name="_01.신월 관로토공_01.신월 관로토공_01.차집 토공_02.구조물토공(B-LINE)" xfId="674" xr:uid="{00000000-0005-0000-0000-0000A0020000}"/>
    <cellStyle name="_01.신월 관로토공_01.신월 관로토공_01-02.맨홀토공(OPEN-0.3)D-LINE" xfId="675" xr:uid="{00000000-0005-0000-0000-0000A1020000}"/>
    <cellStyle name="_01.신월 관로토공_01.신월 관로토공_01-02.맨홀토공(OPEN-0.3)D-LINE_01-02.맨홀토공(OPEN-0.3)C-LINE" xfId="676" xr:uid="{00000000-0005-0000-0000-0000A2020000}"/>
    <cellStyle name="_01.신월 관로토공_01.신월 관로토공_01-02.맨홀토공(OPEN-0.3)D-LINE_01-02.맨홀토공(OPEN-0.3)C-LINE_02.구조물및추진,도달기지토공(D구간)" xfId="677" xr:uid="{00000000-0005-0000-0000-0000A3020000}"/>
    <cellStyle name="_01.신월 관로토공_01.신월 관로토공_01-02.맨홀토공(OPEN-0.3)D-LINE_01-02.맨홀토공(OPEN-0.3)C-LINE_02.구조물토공(B-LINE)" xfId="678" xr:uid="{00000000-0005-0000-0000-0000A4020000}"/>
    <cellStyle name="_01.신월 관로토공_01.신월 관로토공_01-02.맨홀토공(OPEN-0.3)D-LINE_01-02.맨홀토공(OPEN-0.3)D-LINE" xfId="679" xr:uid="{00000000-0005-0000-0000-0000A5020000}"/>
    <cellStyle name="_01.신월 관로토공_01.신월 관로토공_01-02.맨홀토공(OPEN-0.3)D-LINE_01-02.맨홀토공(OPEN-0.3)D-LINE_02.구조물및추진,도달기지토공(D구간)" xfId="680" xr:uid="{00000000-0005-0000-0000-0000A6020000}"/>
    <cellStyle name="_01.신월 관로토공_01.신월 관로토공_01-02.맨홀토공(OPEN-0.3)D-LINE_01-02.맨홀토공(OPEN-0.3)D-LINE_02.구조물토공(B-LINE)" xfId="681" xr:uid="{00000000-0005-0000-0000-0000A7020000}"/>
    <cellStyle name="_01.신월 관로토공_01.신월 관로토공_01-02.맨홀토공(OPEN-0.3)D-LINE_02.구조물및추진,도달기지토공(D구간)" xfId="682" xr:uid="{00000000-0005-0000-0000-0000A8020000}"/>
    <cellStyle name="_01.신월 관로토공_01.신월 관로토공_01-02.맨홀토공(OPEN-0.3)D-LINE_02.구조물토공(B-LINE)" xfId="683" xr:uid="{00000000-0005-0000-0000-0000A9020000}"/>
    <cellStyle name="_01.신월 관로토공_01.신월 관로토공_01-3.옥구오수신설  맨홀토공(OPEN-0.3)" xfId="684" xr:uid="{00000000-0005-0000-0000-0000AA020000}"/>
    <cellStyle name="_01.신월 관로토공_01.신월 관로토공_01-3.옥구오수신설  맨홀토공(OPEN-0.3)_01-02.맨홀토공(OPEN-0.3)C-LINE" xfId="685" xr:uid="{00000000-0005-0000-0000-0000AB020000}"/>
    <cellStyle name="_01.신월 관로토공_01.신월 관로토공_01-3.옥구오수신설  맨홀토공(OPEN-0.3)_01-02.맨홀토공(OPEN-0.3)C-LINE_02.구조물및추진,도달기지토공(D구간)" xfId="686" xr:uid="{00000000-0005-0000-0000-0000AC020000}"/>
    <cellStyle name="_01.신월 관로토공_01.신월 관로토공_01-3.옥구오수신설  맨홀토공(OPEN-0.3)_01-02.맨홀토공(OPEN-0.3)C-LINE_02.구조물토공(B-LINE)" xfId="687" xr:uid="{00000000-0005-0000-0000-0000AD020000}"/>
    <cellStyle name="_01.신월 관로토공_01.신월 관로토공_01-3.옥구오수신설  맨홀토공(OPEN-0.3)_01-02.맨홀토공(OPEN-0.3)D-LINE" xfId="688" xr:uid="{00000000-0005-0000-0000-0000AE020000}"/>
    <cellStyle name="_01.신월 관로토공_01.신월 관로토공_01-3.옥구오수신설  맨홀토공(OPEN-0.3)_01-02.맨홀토공(OPEN-0.3)D-LINE_02.구조물및추진,도달기지토공(D구간)" xfId="689" xr:uid="{00000000-0005-0000-0000-0000AF020000}"/>
    <cellStyle name="_01.신월 관로토공_01.신월 관로토공_01-3.옥구오수신설  맨홀토공(OPEN-0.3)_01-02.맨홀토공(OPEN-0.3)D-LINE_02.구조물토공(B-LINE)" xfId="690" xr:uid="{00000000-0005-0000-0000-0000B0020000}"/>
    <cellStyle name="_01.신월 관로토공_01.신월 관로토공_01-3.옥구오수신설  맨홀토공(OPEN-0.3)_02.구조물및추진,도달기지토공(D구간)" xfId="691" xr:uid="{00000000-0005-0000-0000-0000B1020000}"/>
    <cellStyle name="_01.신월 관로토공_01.신월 관로토공_01-3.옥구오수신설  맨홀토공(OPEN-0.3)_02.구조물토공(B-LINE)" xfId="692" xr:uid="{00000000-0005-0000-0000-0000B2020000}"/>
    <cellStyle name="_01.신월 관로토공_01.신월 관로토공_01-3.옥서오수신설  맨홀토공(OPEN-0.3)" xfId="693" xr:uid="{00000000-0005-0000-0000-0000B3020000}"/>
    <cellStyle name="_01.신월 관로토공_01.신월 관로토공_01-3.옥서오수신설  맨홀토공(OPEN-0.3)_01-02.맨홀토공(OPEN-0.3)C-LINE" xfId="694" xr:uid="{00000000-0005-0000-0000-0000B4020000}"/>
    <cellStyle name="_01.신월 관로토공_01.신월 관로토공_01-3.옥서오수신설  맨홀토공(OPEN-0.3)_01-02.맨홀토공(OPEN-0.3)C-LINE_02.구조물및추진,도달기지토공(D구간)" xfId="695" xr:uid="{00000000-0005-0000-0000-0000B5020000}"/>
    <cellStyle name="_01.신월 관로토공_01.신월 관로토공_01-3.옥서오수신설  맨홀토공(OPEN-0.3)_01-02.맨홀토공(OPEN-0.3)C-LINE_02.구조물토공(B-LINE)" xfId="696" xr:uid="{00000000-0005-0000-0000-0000B6020000}"/>
    <cellStyle name="_01.신월 관로토공_01.신월 관로토공_01-3.옥서오수신설  맨홀토공(OPEN-0.3)_01-02.맨홀토공(OPEN-0.3)D-LINE" xfId="697" xr:uid="{00000000-0005-0000-0000-0000B7020000}"/>
    <cellStyle name="_01.신월 관로토공_01.신월 관로토공_01-3.옥서오수신설  맨홀토공(OPEN-0.3)_01-02.맨홀토공(OPEN-0.3)D-LINE_02.구조물및추진,도달기지토공(D구간)" xfId="698" xr:uid="{00000000-0005-0000-0000-0000B8020000}"/>
    <cellStyle name="_01.신월 관로토공_01.신월 관로토공_01-3.옥서오수신설  맨홀토공(OPEN-0.3)_01-02.맨홀토공(OPEN-0.3)D-LINE_02.구조물토공(B-LINE)" xfId="699" xr:uid="{00000000-0005-0000-0000-0000B9020000}"/>
    <cellStyle name="_01.신월 관로토공_01.신월 관로토공_01-3.옥서오수신설  맨홀토공(OPEN-0.3)_02.구조물및추진,도달기지토공(D구간)" xfId="700" xr:uid="{00000000-0005-0000-0000-0000BA020000}"/>
    <cellStyle name="_01.신월 관로토공_01.신월 관로토공_01-3.옥서오수신설  맨홀토공(OPEN-0.3)_02.구조물토공(B-LINE)" xfId="701" xr:uid="{00000000-0005-0000-0000-0000BB020000}"/>
    <cellStyle name="_01.신월 관로토공_01.신월 관로토공_02.구조물및추진,도달기지토공(D구간)" xfId="702" xr:uid="{00000000-0005-0000-0000-0000BC020000}"/>
    <cellStyle name="_01.신월 관로토공_01.신월 관로토공_02.구조물토공(B-LINE)" xfId="703" xr:uid="{00000000-0005-0000-0000-0000BD020000}"/>
    <cellStyle name="_01.신월 관로토공_01.여천(오수)관로토공" xfId="704" xr:uid="{00000000-0005-0000-0000-0000BE020000}"/>
    <cellStyle name="_01.신월 관로토공_01.여천(오수)관로토공_01.관로토공(우수)" xfId="705" xr:uid="{00000000-0005-0000-0000-0000BF020000}"/>
    <cellStyle name="_01.신월 관로토공_01.여천(오수)관로토공_01.관로토공(우수)_01.여천오수 토공" xfId="706" xr:uid="{00000000-0005-0000-0000-0000C0020000}"/>
    <cellStyle name="_01.신월 관로토공_01.여천(오수)관로토공_01.관로토공(우수)_01.여천오수 토공_01-02.맨홀토공(OPEN-0.3)D-LINE" xfId="707" xr:uid="{00000000-0005-0000-0000-0000C1020000}"/>
    <cellStyle name="_01.신월 관로토공_01.여천(오수)관로토공_01.관로토공(우수)_01.여천오수 토공_01-02.맨홀토공(OPEN-0.3)D-LINE_01-02.맨홀토공(OPEN-0.3)C-LINE" xfId="708" xr:uid="{00000000-0005-0000-0000-0000C2020000}"/>
    <cellStyle name="_01.신월 관로토공_01.여천(오수)관로토공_01.관로토공(우수)_01.여천오수 토공_01-02.맨홀토공(OPEN-0.3)D-LINE_01-02.맨홀토공(OPEN-0.3)C-LINE_02.구조물및추진,도달기지토공(D구간)" xfId="709" xr:uid="{00000000-0005-0000-0000-0000C3020000}"/>
    <cellStyle name="_01.신월 관로토공_01.여천(오수)관로토공_01.관로토공(우수)_01.여천오수 토공_01-02.맨홀토공(OPEN-0.3)D-LINE_01-02.맨홀토공(OPEN-0.3)C-LINE_02.구조물토공(B-LINE)" xfId="710" xr:uid="{00000000-0005-0000-0000-0000C4020000}"/>
    <cellStyle name="_01.신월 관로토공_01.여천(오수)관로토공_01.관로토공(우수)_01.여천오수 토공_01-02.맨홀토공(OPEN-0.3)D-LINE_01-02.맨홀토공(OPEN-0.3)D-LINE" xfId="711" xr:uid="{00000000-0005-0000-0000-0000C5020000}"/>
    <cellStyle name="_01.신월 관로토공_01.여천(오수)관로토공_01.관로토공(우수)_01.여천오수 토공_01-02.맨홀토공(OPEN-0.3)D-LINE_01-02.맨홀토공(OPEN-0.3)D-LINE_02.구조물및추진,도달기지토공(D구간)" xfId="712" xr:uid="{00000000-0005-0000-0000-0000C6020000}"/>
    <cellStyle name="_01.신월 관로토공_01.여천(오수)관로토공_01.관로토공(우수)_01.여천오수 토공_01-02.맨홀토공(OPEN-0.3)D-LINE_01-02.맨홀토공(OPEN-0.3)D-LINE_02.구조물토공(B-LINE)" xfId="713" xr:uid="{00000000-0005-0000-0000-0000C7020000}"/>
    <cellStyle name="_01.신월 관로토공_01.여천(오수)관로토공_01.관로토공(우수)_01.여천오수 토공_01-02.맨홀토공(OPEN-0.3)D-LINE_02.구조물및추진,도달기지토공(D구간)" xfId="714" xr:uid="{00000000-0005-0000-0000-0000C8020000}"/>
    <cellStyle name="_01.신월 관로토공_01.여천(오수)관로토공_01.관로토공(우수)_01.여천오수 토공_01-02.맨홀토공(OPEN-0.3)D-LINE_02.구조물토공(B-LINE)" xfId="715" xr:uid="{00000000-0005-0000-0000-0000C9020000}"/>
    <cellStyle name="_01.신월 관로토공_01.여천(오수)관로토공_01.관로토공(우수)_01.여천오수 토공_01-3.옥구오수신설  맨홀토공(OPEN-0.3)" xfId="716" xr:uid="{00000000-0005-0000-0000-0000CA020000}"/>
    <cellStyle name="_01.신월 관로토공_01.여천(오수)관로토공_01.관로토공(우수)_01.여천오수 토공_01-3.옥구오수신설  맨홀토공(OPEN-0.3)_01-02.맨홀토공(OPEN-0.3)C-LINE" xfId="717" xr:uid="{00000000-0005-0000-0000-0000CB020000}"/>
    <cellStyle name="_01.신월 관로토공_01.여천(오수)관로토공_01.관로토공(우수)_01.여천오수 토공_01-3.옥구오수신설  맨홀토공(OPEN-0.3)_01-02.맨홀토공(OPEN-0.3)C-LINE_02.구조물및추진,도달기지토공(D구간)" xfId="718" xr:uid="{00000000-0005-0000-0000-0000CC020000}"/>
    <cellStyle name="_01.신월 관로토공_01.여천(오수)관로토공_01.관로토공(우수)_01.여천오수 토공_01-3.옥구오수신설  맨홀토공(OPEN-0.3)_01-02.맨홀토공(OPEN-0.3)C-LINE_02.구조물토공(B-LINE)" xfId="719" xr:uid="{00000000-0005-0000-0000-0000CD020000}"/>
    <cellStyle name="_01.신월 관로토공_01.여천(오수)관로토공_01.관로토공(우수)_01.여천오수 토공_01-3.옥구오수신설  맨홀토공(OPEN-0.3)_01-02.맨홀토공(OPEN-0.3)D-LINE" xfId="720" xr:uid="{00000000-0005-0000-0000-0000CE020000}"/>
    <cellStyle name="_01.신월 관로토공_01.여천(오수)관로토공_01.관로토공(우수)_01.여천오수 토공_01-3.옥구오수신설  맨홀토공(OPEN-0.3)_01-02.맨홀토공(OPEN-0.3)D-LINE_02.구조물및추진,도달기지토공(D구간)" xfId="721" xr:uid="{00000000-0005-0000-0000-0000CF020000}"/>
    <cellStyle name="_01.신월 관로토공_01.여천(오수)관로토공_01.관로토공(우수)_01.여천오수 토공_01-3.옥구오수신설  맨홀토공(OPEN-0.3)_01-02.맨홀토공(OPEN-0.3)D-LINE_02.구조물토공(B-LINE)" xfId="722" xr:uid="{00000000-0005-0000-0000-0000D0020000}"/>
    <cellStyle name="_01.신월 관로토공_01.여천(오수)관로토공_01.관로토공(우수)_01.여천오수 토공_01-3.옥구오수신설  맨홀토공(OPEN-0.3)_02.구조물및추진,도달기지토공(D구간)" xfId="723" xr:uid="{00000000-0005-0000-0000-0000D1020000}"/>
    <cellStyle name="_01.신월 관로토공_01.여천(오수)관로토공_01.관로토공(우수)_01.여천오수 토공_01-3.옥구오수신설  맨홀토공(OPEN-0.3)_02.구조물토공(B-LINE)" xfId="724" xr:uid="{00000000-0005-0000-0000-0000D2020000}"/>
    <cellStyle name="_01.신월 관로토공_01.여천(오수)관로토공_01.관로토공(우수)_01.여천오수 토공_01-3.옥서오수신설  맨홀토공(OPEN-0.3)" xfId="725" xr:uid="{00000000-0005-0000-0000-0000D3020000}"/>
    <cellStyle name="_01.신월 관로토공_01.여천(오수)관로토공_01.관로토공(우수)_01.여천오수 토공_01-3.옥서오수신설  맨홀토공(OPEN-0.3)_01-02.맨홀토공(OPEN-0.3)C-LINE" xfId="726" xr:uid="{00000000-0005-0000-0000-0000D4020000}"/>
    <cellStyle name="_01.신월 관로토공_01.여천(오수)관로토공_01.관로토공(우수)_01.여천오수 토공_01-3.옥서오수신설  맨홀토공(OPEN-0.3)_01-02.맨홀토공(OPEN-0.3)C-LINE_02.구조물및추진,도달기지토공(D구간)" xfId="727" xr:uid="{00000000-0005-0000-0000-0000D5020000}"/>
    <cellStyle name="_01.신월 관로토공_01.여천(오수)관로토공_01.관로토공(우수)_01.여천오수 토공_01-3.옥서오수신설  맨홀토공(OPEN-0.3)_01-02.맨홀토공(OPEN-0.3)C-LINE_02.구조물토공(B-LINE)" xfId="728" xr:uid="{00000000-0005-0000-0000-0000D6020000}"/>
    <cellStyle name="_01.신월 관로토공_01.여천(오수)관로토공_01.관로토공(우수)_01.여천오수 토공_01-3.옥서오수신설  맨홀토공(OPEN-0.3)_01-02.맨홀토공(OPEN-0.3)D-LINE" xfId="729" xr:uid="{00000000-0005-0000-0000-0000D7020000}"/>
    <cellStyle name="_01.신월 관로토공_01.여천(오수)관로토공_01.관로토공(우수)_01.여천오수 토공_01-3.옥서오수신설  맨홀토공(OPEN-0.3)_01-02.맨홀토공(OPEN-0.3)D-LINE_02.구조물및추진,도달기지토공(D구간)" xfId="730" xr:uid="{00000000-0005-0000-0000-0000D8020000}"/>
    <cellStyle name="_01.신월 관로토공_01.여천(오수)관로토공_01.관로토공(우수)_01.여천오수 토공_01-3.옥서오수신설  맨홀토공(OPEN-0.3)_01-02.맨홀토공(OPEN-0.3)D-LINE_02.구조물토공(B-LINE)" xfId="731" xr:uid="{00000000-0005-0000-0000-0000D9020000}"/>
    <cellStyle name="_01.신월 관로토공_01.여천(오수)관로토공_01.관로토공(우수)_01.여천오수 토공_01-3.옥서오수신설  맨홀토공(OPEN-0.3)_02.구조물및추진,도달기지토공(D구간)" xfId="732" xr:uid="{00000000-0005-0000-0000-0000DA020000}"/>
    <cellStyle name="_01.신월 관로토공_01.여천(오수)관로토공_01.관로토공(우수)_01.여천오수 토공_01-3.옥서오수신설  맨홀토공(OPEN-0.3)_02.구조물토공(B-LINE)" xfId="733" xr:uid="{00000000-0005-0000-0000-0000DB020000}"/>
    <cellStyle name="_01.신월 관로토공_01.여천(오수)관로토공_01.관로토공(우수)_01.여천오수 토공_02.구조물및추진,도달기지토공(D구간)" xfId="734" xr:uid="{00000000-0005-0000-0000-0000DC020000}"/>
    <cellStyle name="_01.신월 관로토공_01.여천(오수)관로토공_01.관로토공(우수)_01.여천오수 토공_02.구조물토공(B-LINE)" xfId="735" xr:uid="{00000000-0005-0000-0000-0000DD020000}"/>
    <cellStyle name="_01.신월 관로토공_01.여천(오수)관로토공_01.관로토공(우수)_01.여천우수 토공" xfId="736" xr:uid="{00000000-0005-0000-0000-0000DE020000}"/>
    <cellStyle name="_01.신월 관로토공_01.여천(오수)관로토공_01.관로토공(우수)_01.여천우수 토공_01-02.맨홀토공(OPEN-0.3)D-LINE" xfId="737" xr:uid="{00000000-0005-0000-0000-0000DF020000}"/>
    <cellStyle name="_01.신월 관로토공_01.여천(오수)관로토공_01.관로토공(우수)_01.여천우수 토공_01-02.맨홀토공(OPEN-0.3)D-LINE_01-02.맨홀토공(OPEN-0.3)C-LINE" xfId="738" xr:uid="{00000000-0005-0000-0000-0000E0020000}"/>
    <cellStyle name="_01.신월 관로토공_01.여천(오수)관로토공_01.관로토공(우수)_01.여천우수 토공_01-02.맨홀토공(OPEN-0.3)D-LINE_01-02.맨홀토공(OPEN-0.3)C-LINE_02.구조물및추진,도달기지토공(D구간)" xfId="739" xr:uid="{00000000-0005-0000-0000-0000E1020000}"/>
    <cellStyle name="_01.신월 관로토공_01.여천(오수)관로토공_01.관로토공(우수)_01.여천우수 토공_01-02.맨홀토공(OPEN-0.3)D-LINE_01-02.맨홀토공(OPEN-0.3)C-LINE_02.구조물토공(B-LINE)" xfId="740" xr:uid="{00000000-0005-0000-0000-0000E2020000}"/>
    <cellStyle name="_01.신월 관로토공_01.여천(오수)관로토공_01.관로토공(우수)_01.여천우수 토공_01-02.맨홀토공(OPEN-0.3)D-LINE_01-02.맨홀토공(OPEN-0.3)D-LINE" xfId="741" xr:uid="{00000000-0005-0000-0000-0000E3020000}"/>
    <cellStyle name="_01.신월 관로토공_01.여천(오수)관로토공_01.관로토공(우수)_01.여천우수 토공_01-02.맨홀토공(OPEN-0.3)D-LINE_01-02.맨홀토공(OPEN-0.3)D-LINE_02.구조물및추진,도달기지토공(D구간)" xfId="742" xr:uid="{00000000-0005-0000-0000-0000E4020000}"/>
    <cellStyle name="_01.신월 관로토공_01.여천(오수)관로토공_01.관로토공(우수)_01.여천우수 토공_01-02.맨홀토공(OPEN-0.3)D-LINE_01-02.맨홀토공(OPEN-0.3)D-LINE_02.구조물토공(B-LINE)" xfId="743" xr:uid="{00000000-0005-0000-0000-0000E5020000}"/>
    <cellStyle name="_01.신월 관로토공_01.여천(오수)관로토공_01.관로토공(우수)_01.여천우수 토공_01-02.맨홀토공(OPEN-0.3)D-LINE_02.구조물및추진,도달기지토공(D구간)" xfId="744" xr:uid="{00000000-0005-0000-0000-0000E6020000}"/>
    <cellStyle name="_01.신월 관로토공_01.여천(오수)관로토공_01.관로토공(우수)_01.여천우수 토공_01-02.맨홀토공(OPEN-0.3)D-LINE_02.구조물토공(B-LINE)" xfId="745" xr:uid="{00000000-0005-0000-0000-0000E7020000}"/>
    <cellStyle name="_01.신월 관로토공_01.여천(오수)관로토공_01.관로토공(우수)_01.여천우수 토공_01-3.옥구오수신설  맨홀토공(OPEN-0.3)" xfId="746" xr:uid="{00000000-0005-0000-0000-0000E8020000}"/>
    <cellStyle name="_01.신월 관로토공_01.여천(오수)관로토공_01.관로토공(우수)_01.여천우수 토공_01-3.옥구오수신설  맨홀토공(OPEN-0.3)_01-02.맨홀토공(OPEN-0.3)C-LINE" xfId="747" xr:uid="{00000000-0005-0000-0000-0000E9020000}"/>
    <cellStyle name="_01.신월 관로토공_01.여천(오수)관로토공_01.관로토공(우수)_01.여천우수 토공_01-3.옥구오수신설  맨홀토공(OPEN-0.3)_01-02.맨홀토공(OPEN-0.3)C-LINE_02.구조물및추진,도달기지토공(D구간)" xfId="748" xr:uid="{00000000-0005-0000-0000-0000EA020000}"/>
    <cellStyle name="_01.신월 관로토공_01.여천(오수)관로토공_01.관로토공(우수)_01.여천우수 토공_01-3.옥구오수신설  맨홀토공(OPEN-0.3)_01-02.맨홀토공(OPEN-0.3)C-LINE_02.구조물토공(B-LINE)" xfId="749" xr:uid="{00000000-0005-0000-0000-0000EB020000}"/>
    <cellStyle name="_01.신월 관로토공_01.여천(오수)관로토공_01.관로토공(우수)_01.여천우수 토공_01-3.옥구오수신설  맨홀토공(OPEN-0.3)_01-02.맨홀토공(OPEN-0.3)D-LINE" xfId="750" xr:uid="{00000000-0005-0000-0000-0000EC020000}"/>
    <cellStyle name="_01.신월 관로토공_01.여천(오수)관로토공_01.관로토공(우수)_01.여천우수 토공_01-3.옥구오수신설  맨홀토공(OPEN-0.3)_01-02.맨홀토공(OPEN-0.3)D-LINE_02.구조물및추진,도달기지토공(D구간)" xfId="751" xr:uid="{00000000-0005-0000-0000-0000ED020000}"/>
    <cellStyle name="_01.신월 관로토공_01.여천(오수)관로토공_01.관로토공(우수)_01.여천우수 토공_01-3.옥구오수신설  맨홀토공(OPEN-0.3)_01-02.맨홀토공(OPEN-0.3)D-LINE_02.구조물토공(B-LINE)" xfId="752" xr:uid="{00000000-0005-0000-0000-0000EE020000}"/>
    <cellStyle name="_01.신월 관로토공_01.여천(오수)관로토공_01.관로토공(우수)_01.여천우수 토공_01-3.옥구오수신설  맨홀토공(OPEN-0.3)_02.구조물및추진,도달기지토공(D구간)" xfId="753" xr:uid="{00000000-0005-0000-0000-0000EF020000}"/>
    <cellStyle name="_01.신월 관로토공_01.여천(오수)관로토공_01.관로토공(우수)_01.여천우수 토공_01-3.옥구오수신설  맨홀토공(OPEN-0.3)_02.구조물토공(B-LINE)" xfId="754" xr:uid="{00000000-0005-0000-0000-0000F0020000}"/>
    <cellStyle name="_01.신월 관로토공_01.여천(오수)관로토공_01.관로토공(우수)_01.여천우수 토공_01-3.옥서오수신설  맨홀토공(OPEN-0.3)" xfId="755" xr:uid="{00000000-0005-0000-0000-0000F1020000}"/>
    <cellStyle name="_01.신월 관로토공_01.여천(오수)관로토공_01.관로토공(우수)_01.여천우수 토공_01-3.옥서오수신설  맨홀토공(OPEN-0.3)_01-02.맨홀토공(OPEN-0.3)C-LINE" xfId="756" xr:uid="{00000000-0005-0000-0000-0000F2020000}"/>
    <cellStyle name="_01.신월 관로토공_01.여천(오수)관로토공_01.관로토공(우수)_01.여천우수 토공_01-3.옥서오수신설  맨홀토공(OPEN-0.3)_01-02.맨홀토공(OPEN-0.3)C-LINE_02.구조물및추진,도달기지토공(D구간)" xfId="757" xr:uid="{00000000-0005-0000-0000-0000F3020000}"/>
    <cellStyle name="_01.신월 관로토공_01.여천(오수)관로토공_01.관로토공(우수)_01.여천우수 토공_01-3.옥서오수신설  맨홀토공(OPEN-0.3)_01-02.맨홀토공(OPEN-0.3)C-LINE_02.구조물토공(B-LINE)" xfId="758" xr:uid="{00000000-0005-0000-0000-0000F4020000}"/>
    <cellStyle name="_01.신월 관로토공_01.여천(오수)관로토공_01.관로토공(우수)_01.여천우수 토공_01-3.옥서오수신설  맨홀토공(OPEN-0.3)_01-02.맨홀토공(OPEN-0.3)D-LINE" xfId="759" xr:uid="{00000000-0005-0000-0000-0000F5020000}"/>
    <cellStyle name="_01.신월 관로토공_01.여천(오수)관로토공_01.관로토공(우수)_01.여천우수 토공_01-3.옥서오수신설  맨홀토공(OPEN-0.3)_01-02.맨홀토공(OPEN-0.3)D-LINE_02.구조물및추진,도달기지토공(D구간)" xfId="760" xr:uid="{00000000-0005-0000-0000-0000F6020000}"/>
    <cellStyle name="_01.신월 관로토공_01.여천(오수)관로토공_01.관로토공(우수)_01.여천우수 토공_01-3.옥서오수신설  맨홀토공(OPEN-0.3)_01-02.맨홀토공(OPEN-0.3)D-LINE_02.구조물토공(B-LINE)" xfId="761" xr:uid="{00000000-0005-0000-0000-0000F7020000}"/>
    <cellStyle name="_01.신월 관로토공_01.여천(오수)관로토공_01.관로토공(우수)_01.여천우수 토공_01-3.옥서오수신설  맨홀토공(OPEN-0.3)_02.구조물및추진,도달기지토공(D구간)" xfId="762" xr:uid="{00000000-0005-0000-0000-0000F8020000}"/>
    <cellStyle name="_01.신월 관로토공_01.여천(오수)관로토공_01.관로토공(우수)_01.여천우수 토공_01-3.옥서오수신설  맨홀토공(OPEN-0.3)_02.구조물토공(B-LINE)" xfId="763" xr:uid="{00000000-0005-0000-0000-0000F9020000}"/>
    <cellStyle name="_01.신월 관로토공_01.여천(오수)관로토공_01.관로토공(우수)_01.여천우수 토공_02.구조물및추진,도달기지토공(D구간)" xfId="764" xr:uid="{00000000-0005-0000-0000-0000FA020000}"/>
    <cellStyle name="_01.신월 관로토공_01.여천(오수)관로토공_01.관로토공(우수)_01.여천우수 토공_02.구조물토공(B-LINE)" xfId="765" xr:uid="{00000000-0005-0000-0000-0000FB020000}"/>
    <cellStyle name="_01.신월 관로토공_01.여천(오수)관로토공_01.관로토공(우수)_01.차집 토공2" xfId="766" xr:uid="{00000000-0005-0000-0000-0000FC020000}"/>
    <cellStyle name="_01.신월 관로토공_01.여천(오수)관로토공_01.관로토공(우수)_01.차집 토공2_01-02.맨홀토공(OPEN-0.3)D-LINE" xfId="767" xr:uid="{00000000-0005-0000-0000-0000FD020000}"/>
    <cellStyle name="_01.신월 관로토공_01.여천(오수)관로토공_01.관로토공(우수)_01.차집 토공2_01-02.맨홀토공(OPEN-0.3)D-LINE_01-02.맨홀토공(OPEN-0.3)C-LINE" xfId="768" xr:uid="{00000000-0005-0000-0000-0000FE020000}"/>
    <cellStyle name="_01.신월 관로토공_01.여천(오수)관로토공_01.관로토공(우수)_01.차집 토공2_01-02.맨홀토공(OPEN-0.3)D-LINE_01-02.맨홀토공(OPEN-0.3)C-LINE_02.구조물및추진,도달기지토공(D구간)" xfId="769" xr:uid="{00000000-0005-0000-0000-0000FF020000}"/>
    <cellStyle name="_01.신월 관로토공_01.여천(오수)관로토공_01.관로토공(우수)_01.차집 토공2_01-02.맨홀토공(OPEN-0.3)D-LINE_01-02.맨홀토공(OPEN-0.3)C-LINE_02.구조물토공(B-LINE)" xfId="770" xr:uid="{00000000-0005-0000-0000-000000030000}"/>
    <cellStyle name="_01.신월 관로토공_01.여천(오수)관로토공_01.관로토공(우수)_01.차집 토공2_01-02.맨홀토공(OPEN-0.3)D-LINE_01-02.맨홀토공(OPEN-0.3)D-LINE" xfId="771" xr:uid="{00000000-0005-0000-0000-000001030000}"/>
    <cellStyle name="_01.신월 관로토공_01.여천(오수)관로토공_01.관로토공(우수)_01.차집 토공2_01-02.맨홀토공(OPEN-0.3)D-LINE_01-02.맨홀토공(OPEN-0.3)D-LINE_02.구조물및추진,도달기지토공(D구간)" xfId="772" xr:uid="{00000000-0005-0000-0000-000002030000}"/>
    <cellStyle name="_01.신월 관로토공_01.여천(오수)관로토공_01.관로토공(우수)_01.차집 토공2_01-02.맨홀토공(OPEN-0.3)D-LINE_01-02.맨홀토공(OPEN-0.3)D-LINE_02.구조물토공(B-LINE)" xfId="773" xr:uid="{00000000-0005-0000-0000-000003030000}"/>
    <cellStyle name="_01.신월 관로토공_01.여천(오수)관로토공_01.관로토공(우수)_01.차집 토공2_01-02.맨홀토공(OPEN-0.3)D-LINE_02.구조물및추진,도달기지토공(D구간)" xfId="774" xr:uid="{00000000-0005-0000-0000-000004030000}"/>
    <cellStyle name="_01.신월 관로토공_01.여천(오수)관로토공_01.관로토공(우수)_01.차집 토공2_01-02.맨홀토공(OPEN-0.3)D-LINE_02.구조물토공(B-LINE)" xfId="775" xr:uid="{00000000-0005-0000-0000-000005030000}"/>
    <cellStyle name="_01.신월 관로토공_01.여천(오수)관로토공_01.관로토공(우수)_01.차집 토공2_01-3.옥구오수신설  맨홀토공(OPEN-0.3)" xfId="776" xr:uid="{00000000-0005-0000-0000-000006030000}"/>
    <cellStyle name="_01.신월 관로토공_01.여천(오수)관로토공_01.관로토공(우수)_01.차집 토공2_01-3.옥구오수신설  맨홀토공(OPEN-0.3)_01-02.맨홀토공(OPEN-0.3)C-LINE" xfId="777" xr:uid="{00000000-0005-0000-0000-000007030000}"/>
    <cellStyle name="_01.신월 관로토공_01.여천(오수)관로토공_01.관로토공(우수)_01.차집 토공2_01-3.옥구오수신설  맨홀토공(OPEN-0.3)_01-02.맨홀토공(OPEN-0.3)C-LINE_02.구조물및추진,도달기지토공(D구간)" xfId="778" xr:uid="{00000000-0005-0000-0000-000008030000}"/>
    <cellStyle name="_01.신월 관로토공_01.여천(오수)관로토공_01.관로토공(우수)_01.차집 토공2_01-3.옥구오수신설  맨홀토공(OPEN-0.3)_01-02.맨홀토공(OPEN-0.3)C-LINE_02.구조물토공(B-LINE)" xfId="779" xr:uid="{00000000-0005-0000-0000-000009030000}"/>
    <cellStyle name="_01.신월 관로토공_01.여천(오수)관로토공_01.관로토공(우수)_01.차집 토공2_01-3.옥구오수신설  맨홀토공(OPEN-0.3)_01-02.맨홀토공(OPEN-0.3)D-LINE" xfId="780" xr:uid="{00000000-0005-0000-0000-00000A030000}"/>
    <cellStyle name="_01.신월 관로토공_01.여천(오수)관로토공_01.관로토공(우수)_01.차집 토공2_01-3.옥구오수신설  맨홀토공(OPEN-0.3)_01-02.맨홀토공(OPEN-0.3)D-LINE_02.구조물및추진,도달기지토공(D구간)" xfId="781" xr:uid="{00000000-0005-0000-0000-00000B030000}"/>
    <cellStyle name="_01.신월 관로토공_01.여천(오수)관로토공_01.관로토공(우수)_01.차집 토공2_01-3.옥구오수신설  맨홀토공(OPEN-0.3)_01-02.맨홀토공(OPEN-0.3)D-LINE_02.구조물토공(B-LINE)" xfId="782" xr:uid="{00000000-0005-0000-0000-00000C030000}"/>
    <cellStyle name="_01.신월 관로토공_01.여천(오수)관로토공_01.관로토공(우수)_01.차집 토공2_01-3.옥구오수신설  맨홀토공(OPEN-0.3)_02.구조물및추진,도달기지토공(D구간)" xfId="783" xr:uid="{00000000-0005-0000-0000-00000D030000}"/>
    <cellStyle name="_01.신월 관로토공_01.여천(오수)관로토공_01.관로토공(우수)_01.차집 토공2_01-3.옥구오수신설  맨홀토공(OPEN-0.3)_02.구조물토공(B-LINE)" xfId="784" xr:uid="{00000000-0005-0000-0000-00000E030000}"/>
    <cellStyle name="_01.신월 관로토공_01.여천(오수)관로토공_01.관로토공(우수)_01.차집 토공2_01-3.옥서오수신설  맨홀토공(OPEN-0.3)" xfId="785" xr:uid="{00000000-0005-0000-0000-00000F030000}"/>
    <cellStyle name="_01.신월 관로토공_01.여천(오수)관로토공_01.관로토공(우수)_01.차집 토공2_01-3.옥서오수신설  맨홀토공(OPEN-0.3)_01-02.맨홀토공(OPEN-0.3)C-LINE" xfId="786" xr:uid="{00000000-0005-0000-0000-000010030000}"/>
    <cellStyle name="_01.신월 관로토공_01.여천(오수)관로토공_01.관로토공(우수)_01.차집 토공2_01-3.옥서오수신설  맨홀토공(OPEN-0.3)_01-02.맨홀토공(OPEN-0.3)C-LINE_02.구조물및추진,도달기지토공(D구간)" xfId="787" xr:uid="{00000000-0005-0000-0000-000011030000}"/>
    <cellStyle name="_01.신월 관로토공_01.여천(오수)관로토공_01.관로토공(우수)_01.차집 토공2_01-3.옥서오수신설  맨홀토공(OPEN-0.3)_01-02.맨홀토공(OPEN-0.3)C-LINE_02.구조물토공(B-LINE)" xfId="788" xr:uid="{00000000-0005-0000-0000-000012030000}"/>
    <cellStyle name="_01.신월 관로토공_01.여천(오수)관로토공_01.관로토공(우수)_01.차집 토공2_01-3.옥서오수신설  맨홀토공(OPEN-0.3)_01-02.맨홀토공(OPEN-0.3)D-LINE" xfId="789" xr:uid="{00000000-0005-0000-0000-000013030000}"/>
    <cellStyle name="_01.신월 관로토공_01.여천(오수)관로토공_01.관로토공(우수)_01.차집 토공2_01-3.옥서오수신설  맨홀토공(OPEN-0.3)_01-02.맨홀토공(OPEN-0.3)D-LINE_02.구조물및추진,도달기지토공(D구간)" xfId="790" xr:uid="{00000000-0005-0000-0000-000014030000}"/>
    <cellStyle name="_01.신월 관로토공_01.여천(오수)관로토공_01.관로토공(우수)_01.차집 토공2_01-3.옥서오수신설  맨홀토공(OPEN-0.3)_01-02.맨홀토공(OPEN-0.3)D-LINE_02.구조물토공(B-LINE)" xfId="791" xr:uid="{00000000-0005-0000-0000-000015030000}"/>
    <cellStyle name="_01.신월 관로토공_01.여천(오수)관로토공_01.관로토공(우수)_01.차집 토공2_01-3.옥서오수신설  맨홀토공(OPEN-0.3)_02.구조물및추진,도달기지토공(D구간)" xfId="792" xr:uid="{00000000-0005-0000-0000-000016030000}"/>
    <cellStyle name="_01.신월 관로토공_01.여천(오수)관로토공_01.관로토공(우수)_01.차집 토공2_01-3.옥서오수신설  맨홀토공(OPEN-0.3)_02.구조물토공(B-LINE)" xfId="793" xr:uid="{00000000-0005-0000-0000-000017030000}"/>
    <cellStyle name="_01.신월 관로토공_01.여천(오수)관로토공_01.관로토공(우수)_01.차집 토공2_02.구조물및추진,도달기지토공(D구간)" xfId="794" xr:uid="{00000000-0005-0000-0000-000018030000}"/>
    <cellStyle name="_01.신월 관로토공_01.여천(오수)관로토공_01.관로토공(우수)_01.차집 토공2_02.구조물토공(B-LINE)" xfId="795" xr:uid="{00000000-0005-0000-0000-000019030000}"/>
    <cellStyle name="_01.신월 관로토공_01.여천(오수)관로토공_01.관로토공(우수)_01.토공" xfId="796" xr:uid="{00000000-0005-0000-0000-00001A030000}"/>
    <cellStyle name="_01.신월 관로토공_01.여천(오수)관로토공_01.관로토공(우수)_01.토공_01-02.맨홀토공(OPEN-0.3)D-LINE" xfId="797" xr:uid="{00000000-0005-0000-0000-00001B030000}"/>
    <cellStyle name="_01.신월 관로토공_01.여천(오수)관로토공_01.관로토공(우수)_01.토공_01-02.맨홀토공(OPEN-0.3)D-LINE_01-02.맨홀토공(OPEN-0.3)C-LINE" xfId="798" xr:uid="{00000000-0005-0000-0000-00001C030000}"/>
    <cellStyle name="_01.신월 관로토공_01.여천(오수)관로토공_01.관로토공(우수)_01.토공_01-02.맨홀토공(OPEN-0.3)D-LINE_01-02.맨홀토공(OPEN-0.3)C-LINE_02.구조물및추진,도달기지토공(D구간)" xfId="799" xr:uid="{00000000-0005-0000-0000-00001D030000}"/>
    <cellStyle name="_01.신월 관로토공_01.여천(오수)관로토공_01.관로토공(우수)_01.토공_01-02.맨홀토공(OPEN-0.3)D-LINE_01-02.맨홀토공(OPEN-0.3)C-LINE_02.구조물토공(B-LINE)" xfId="800" xr:uid="{00000000-0005-0000-0000-00001E030000}"/>
    <cellStyle name="_01.신월 관로토공_01.여천(오수)관로토공_01.관로토공(우수)_01.토공_01-02.맨홀토공(OPEN-0.3)D-LINE_01-02.맨홀토공(OPEN-0.3)D-LINE" xfId="801" xr:uid="{00000000-0005-0000-0000-00001F030000}"/>
    <cellStyle name="_01.신월 관로토공_01.여천(오수)관로토공_01.관로토공(우수)_01.토공_01-02.맨홀토공(OPEN-0.3)D-LINE_01-02.맨홀토공(OPEN-0.3)D-LINE_02.구조물및추진,도달기지토공(D구간)" xfId="802" xr:uid="{00000000-0005-0000-0000-000020030000}"/>
    <cellStyle name="_01.신월 관로토공_01.여천(오수)관로토공_01.관로토공(우수)_01.토공_01-02.맨홀토공(OPEN-0.3)D-LINE_01-02.맨홀토공(OPEN-0.3)D-LINE_02.구조물토공(B-LINE)" xfId="803" xr:uid="{00000000-0005-0000-0000-000021030000}"/>
    <cellStyle name="_01.신월 관로토공_01.여천(오수)관로토공_01.관로토공(우수)_01.토공_01-02.맨홀토공(OPEN-0.3)D-LINE_02.구조물및추진,도달기지토공(D구간)" xfId="804" xr:uid="{00000000-0005-0000-0000-000022030000}"/>
    <cellStyle name="_01.신월 관로토공_01.여천(오수)관로토공_01.관로토공(우수)_01.토공_01-02.맨홀토공(OPEN-0.3)D-LINE_02.구조물토공(B-LINE)" xfId="805" xr:uid="{00000000-0005-0000-0000-000023030000}"/>
    <cellStyle name="_01.신월 관로토공_01.여천(오수)관로토공_01.관로토공(우수)_01.토공_01-3.옥구오수신설  맨홀토공(OPEN-0.3)" xfId="806" xr:uid="{00000000-0005-0000-0000-000024030000}"/>
    <cellStyle name="_01.신월 관로토공_01.여천(오수)관로토공_01.관로토공(우수)_01.토공_01-3.옥구오수신설  맨홀토공(OPEN-0.3)_01-02.맨홀토공(OPEN-0.3)C-LINE" xfId="807" xr:uid="{00000000-0005-0000-0000-000025030000}"/>
    <cellStyle name="_01.신월 관로토공_01.여천(오수)관로토공_01.관로토공(우수)_01.토공_01-3.옥구오수신설  맨홀토공(OPEN-0.3)_01-02.맨홀토공(OPEN-0.3)C-LINE_02.구조물및추진,도달기지토공(D구간)" xfId="808" xr:uid="{00000000-0005-0000-0000-000026030000}"/>
    <cellStyle name="_01.신월 관로토공_01.여천(오수)관로토공_01.관로토공(우수)_01.토공_01-3.옥구오수신설  맨홀토공(OPEN-0.3)_01-02.맨홀토공(OPEN-0.3)C-LINE_02.구조물토공(B-LINE)" xfId="809" xr:uid="{00000000-0005-0000-0000-000027030000}"/>
    <cellStyle name="_01.신월 관로토공_01.여천(오수)관로토공_01.관로토공(우수)_01.토공_01-3.옥구오수신설  맨홀토공(OPEN-0.3)_01-02.맨홀토공(OPEN-0.3)D-LINE" xfId="810" xr:uid="{00000000-0005-0000-0000-000028030000}"/>
    <cellStyle name="_01.신월 관로토공_01.여천(오수)관로토공_01.관로토공(우수)_01.토공_01-3.옥구오수신설  맨홀토공(OPEN-0.3)_01-02.맨홀토공(OPEN-0.3)D-LINE_02.구조물및추진,도달기지토공(D구간)" xfId="811" xr:uid="{00000000-0005-0000-0000-000029030000}"/>
    <cellStyle name="_01.신월 관로토공_01.여천(오수)관로토공_01.관로토공(우수)_01.토공_01-3.옥구오수신설  맨홀토공(OPEN-0.3)_01-02.맨홀토공(OPEN-0.3)D-LINE_02.구조물토공(B-LINE)" xfId="812" xr:uid="{00000000-0005-0000-0000-00002A030000}"/>
    <cellStyle name="_01.신월 관로토공_01.여천(오수)관로토공_01.관로토공(우수)_01.토공_01-3.옥구오수신설  맨홀토공(OPEN-0.3)_02.구조물및추진,도달기지토공(D구간)" xfId="813" xr:uid="{00000000-0005-0000-0000-00002B030000}"/>
    <cellStyle name="_01.신월 관로토공_01.여천(오수)관로토공_01.관로토공(우수)_01.토공_01-3.옥구오수신설  맨홀토공(OPEN-0.3)_02.구조물토공(B-LINE)" xfId="814" xr:uid="{00000000-0005-0000-0000-00002C030000}"/>
    <cellStyle name="_01.신월 관로토공_01.여천(오수)관로토공_01.관로토공(우수)_01.토공_01-3.옥서오수신설  맨홀토공(OPEN-0.3)" xfId="815" xr:uid="{00000000-0005-0000-0000-00002D030000}"/>
    <cellStyle name="_01.신월 관로토공_01.여천(오수)관로토공_01.관로토공(우수)_01.토공_01-3.옥서오수신설  맨홀토공(OPEN-0.3)_01-02.맨홀토공(OPEN-0.3)C-LINE" xfId="816" xr:uid="{00000000-0005-0000-0000-00002E030000}"/>
    <cellStyle name="_01.신월 관로토공_01.여천(오수)관로토공_01.관로토공(우수)_01.토공_01-3.옥서오수신설  맨홀토공(OPEN-0.3)_01-02.맨홀토공(OPEN-0.3)C-LINE_02.구조물및추진,도달기지토공(D구간)" xfId="817" xr:uid="{00000000-0005-0000-0000-00002F030000}"/>
    <cellStyle name="_01.신월 관로토공_01.여천(오수)관로토공_01.관로토공(우수)_01.토공_01-3.옥서오수신설  맨홀토공(OPEN-0.3)_01-02.맨홀토공(OPEN-0.3)C-LINE_02.구조물토공(B-LINE)" xfId="818" xr:uid="{00000000-0005-0000-0000-000030030000}"/>
    <cellStyle name="_01.신월 관로토공_01.여천(오수)관로토공_01.관로토공(우수)_01.토공_01-3.옥서오수신설  맨홀토공(OPEN-0.3)_01-02.맨홀토공(OPEN-0.3)D-LINE" xfId="819" xr:uid="{00000000-0005-0000-0000-000031030000}"/>
    <cellStyle name="_01.신월 관로토공_01.여천(오수)관로토공_01.관로토공(우수)_01.토공_01-3.옥서오수신설  맨홀토공(OPEN-0.3)_01-02.맨홀토공(OPEN-0.3)D-LINE_02.구조물및추진,도달기지토공(D구간)" xfId="820" xr:uid="{00000000-0005-0000-0000-000032030000}"/>
    <cellStyle name="_01.신월 관로토공_01.여천(오수)관로토공_01.관로토공(우수)_01.토공_01-3.옥서오수신설  맨홀토공(OPEN-0.3)_01-02.맨홀토공(OPEN-0.3)D-LINE_02.구조물토공(B-LINE)" xfId="821" xr:uid="{00000000-0005-0000-0000-000033030000}"/>
    <cellStyle name="_01.신월 관로토공_01.여천(오수)관로토공_01.관로토공(우수)_01.토공_01-3.옥서오수신설  맨홀토공(OPEN-0.3)_02.구조물및추진,도달기지토공(D구간)" xfId="822" xr:uid="{00000000-0005-0000-0000-000034030000}"/>
    <cellStyle name="_01.신월 관로토공_01.여천(오수)관로토공_01.관로토공(우수)_01.토공_01-3.옥서오수신설  맨홀토공(OPEN-0.3)_02.구조물토공(B-LINE)" xfId="823" xr:uid="{00000000-0005-0000-0000-000035030000}"/>
    <cellStyle name="_01.신월 관로토공_01.여천(오수)관로토공_01.관로토공(우수)_01.토공_02.구조물및추진,도달기지토공(D구간)" xfId="824" xr:uid="{00000000-0005-0000-0000-000036030000}"/>
    <cellStyle name="_01.신월 관로토공_01.여천(오수)관로토공_01.관로토공(우수)_01.토공_02.구조물토공(B-LINE)" xfId="825" xr:uid="{00000000-0005-0000-0000-000037030000}"/>
    <cellStyle name="_01.신월 관로토공_01.여천(오수)관로토공_01.관로토공(우수)_01-02.맨홀토공(OPEN-0.3)D-LINE" xfId="826" xr:uid="{00000000-0005-0000-0000-000038030000}"/>
    <cellStyle name="_01.신월 관로토공_01.여천(오수)관로토공_01.관로토공(우수)_01-02.맨홀토공(OPEN-0.3)D-LINE_01-02.맨홀토공(OPEN-0.3)C-LINE" xfId="827" xr:uid="{00000000-0005-0000-0000-000039030000}"/>
    <cellStyle name="_01.신월 관로토공_01.여천(오수)관로토공_01.관로토공(우수)_01-02.맨홀토공(OPEN-0.3)D-LINE_01-02.맨홀토공(OPEN-0.3)C-LINE_02.구조물및추진,도달기지토공(D구간)" xfId="828" xr:uid="{00000000-0005-0000-0000-00003A030000}"/>
    <cellStyle name="_01.신월 관로토공_01.여천(오수)관로토공_01.관로토공(우수)_01-02.맨홀토공(OPEN-0.3)D-LINE_01-02.맨홀토공(OPEN-0.3)C-LINE_02.구조물토공(B-LINE)" xfId="829" xr:uid="{00000000-0005-0000-0000-00003B030000}"/>
    <cellStyle name="_01.신월 관로토공_01.여천(오수)관로토공_01.관로토공(우수)_01-02.맨홀토공(OPEN-0.3)D-LINE_01-02.맨홀토공(OPEN-0.3)D-LINE" xfId="830" xr:uid="{00000000-0005-0000-0000-00003C030000}"/>
    <cellStyle name="_01.신월 관로토공_01.여천(오수)관로토공_01.관로토공(우수)_01-02.맨홀토공(OPEN-0.3)D-LINE_01-02.맨홀토공(OPEN-0.3)D-LINE_02.구조물및추진,도달기지토공(D구간)" xfId="831" xr:uid="{00000000-0005-0000-0000-00003D030000}"/>
    <cellStyle name="_01.신월 관로토공_01.여천(오수)관로토공_01.관로토공(우수)_01-02.맨홀토공(OPEN-0.3)D-LINE_01-02.맨홀토공(OPEN-0.3)D-LINE_02.구조물토공(B-LINE)" xfId="832" xr:uid="{00000000-0005-0000-0000-00003E030000}"/>
    <cellStyle name="_01.신월 관로토공_01.여천(오수)관로토공_01.관로토공(우수)_01-02.맨홀토공(OPEN-0.3)D-LINE_02.구조물및추진,도달기지토공(D구간)" xfId="833" xr:uid="{00000000-0005-0000-0000-00003F030000}"/>
    <cellStyle name="_01.신월 관로토공_01.여천(오수)관로토공_01.관로토공(우수)_01-02.맨홀토공(OPEN-0.3)D-LINE_02.구조물토공(B-LINE)" xfId="834" xr:uid="{00000000-0005-0000-0000-000040030000}"/>
    <cellStyle name="_01.신월 관로토공_01.여천(오수)관로토공_01.관로토공(우수)_01-3.옥구오수신설  맨홀토공(OPEN-0.3)" xfId="835" xr:uid="{00000000-0005-0000-0000-000041030000}"/>
    <cellStyle name="_01.신월 관로토공_01.여천(오수)관로토공_01.관로토공(우수)_01-3.옥구오수신설  맨홀토공(OPEN-0.3)_01-02.맨홀토공(OPEN-0.3)C-LINE" xfId="836" xr:uid="{00000000-0005-0000-0000-000042030000}"/>
    <cellStyle name="_01.신월 관로토공_01.여천(오수)관로토공_01.관로토공(우수)_01-3.옥구오수신설  맨홀토공(OPEN-0.3)_01-02.맨홀토공(OPEN-0.3)C-LINE_02.구조물및추진,도달기지토공(D구간)" xfId="837" xr:uid="{00000000-0005-0000-0000-000043030000}"/>
    <cellStyle name="_01.신월 관로토공_01.여천(오수)관로토공_01.관로토공(우수)_01-3.옥구오수신설  맨홀토공(OPEN-0.3)_01-02.맨홀토공(OPEN-0.3)C-LINE_02.구조물토공(B-LINE)" xfId="838" xr:uid="{00000000-0005-0000-0000-000044030000}"/>
    <cellStyle name="_01.신월 관로토공_01.여천(오수)관로토공_01.관로토공(우수)_01-3.옥구오수신설  맨홀토공(OPEN-0.3)_01-02.맨홀토공(OPEN-0.3)D-LINE" xfId="839" xr:uid="{00000000-0005-0000-0000-000045030000}"/>
    <cellStyle name="_01.신월 관로토공_01.여천(오수)관로토공_01.관로토공(우수)_01-3.옥구오수신설  맨홀토공(OPEN-0.3)_01-02.맨홀토공(OPEN-0.3)D-LINE_02.구조물및추진,도달기지토공(D구간)" xfId="840" xr:uid="{00000000-0005-0000-0000-000046030000}"/>
    <cellStyle name="_01.신월 관로토공_01.여천(오수)관로토공_01.관로토공(우수)_01-3.옥구오수신설  맨홀토공(OPEN-0.3)_01-02.맨홀토공(OPEN-0.3)D-LINE_02.구조물토공(B-LINE)" xfId="841" xr:uid="{00000000-0005-0000-0000-000047030000}"/>
    <cellStyle name="_01.신월 관로토공_01.여천(오수)관로토공_01.관로토공(우수)_01-3.옥구오수신설  맨홀토공(OPEN-0.3)_02.구조물및추진,도달기지토공(D구간)" xfId="842" xr:uid="{00000000-0005-0000-0000-000048030000}"/>
    <cellStyle name="_01.신월 관로토공_01.여천(오수)관로토공_01.관로토공(우수)_01-3.옥구오수신설  맨홀토공(OPEN-0.3)_02.구조물토공(B-LINE)" xfId="843" xr:uid="{00000000-0005-0000-0000-000049030000}"/>
    <cellStyle name="_01.신월 관로토공_01.여천(오수)관로토공_01.관로토공(우수)_01-3.옥서오수신설  맨홀토공(OPEN-0.3)" xfId="844" xr:uid="{00000000-0005-0000-0000-00004A030000}"/>
    <cellStyle name="_01.신월 관로토공_01.여천(오수)관로토공_01.관로토공(우수)_01-3.옥서오수신설  맨홀토공(OPEN-0.3)_01-02.맨홀토공(OPEN-0.3)C-LINE" xfId="845" xr:uid="{00000000-0005-0000-0000-00004B030000}"/>
    <cellStyle name="_01.신월 관로토공_01.여천(오수)관로토공_01.관로토공(우수)_01-3.옥서오수신설  맨홀토공(OPEN-0.3)_01-02.맨홀토공(OPEN-0.3)C-LINE_02.구조물및추진,도달기지토공(D구간)" xfId="846" xr:uid="{00000000-0005-0000-0000-00004C030000}"/>
    <cellStyle name="_01.신월 관로토공_01.여천(오수)관로토공_01.관로토공(우수)_01-3.옥서오수신설  맨홀토공(OPEN-0.3)_01-02.맨홀토공(OPEN-0.3)C-LINE_02.구조물토공(B-LINE)" xfId="847" xr:uid="{00000000-0005-0000-0000-00004D030000}"/>
    <cellStyle name="_01.신월 관로토공_01.여천(오수)관로토공_01.관로토공(우수)_01-3.옥서오수신설  맨홀토공(OPEN-0.3)_01-02.맨홀토공(OPEN-0.3)D-LINE" xfId="848" xr:uid="{00000000-0005-0000-0000-00004E030000}"/>
    <cellStyle name="_01.신월 관로토공_01.여천(오수)관로토공_01.관로토공(우수)_01-3.옥서오수신설  맨홀토공(OPEN-0.3)_01-02.맨홀토공(OPEN-0.3)D-LINE_02.구조물및추진,도달기지토공(D구간)" xfId="849" xr:uid="{00000000-0005-0000-0000-00004F030000}"/>
    <cellStyle name="_01.신월 관로토공_01.여천(오수)관로토공_01.관로토공(우수)_01-3.옥서오수신설  맨홀토공(OPEN-0.3)_01-02.맨홀토공(OPEN-0.3)D-LINE_02.구조물토공(B-LINE)" xfId="850" xr:uid="{00000000-0005-0000-0000-000050030000}"/>
    <cellStyle name="_01.신월 관로토공_01.여천(오수)관로토공_01.관로토공(우수)_01-3.옥서오수신설  맨홀토공(OPEN-0.3)_02.구조물및추진,도달기지토공(D구간)" xfId="851" xr:uid="{00000000-0005-0000-0000-000051030000}"/>
    <cellStyle name="_01.신월 관로토공_01.여천(오수)관로토공_01.관로토공(우수)_01-3.옥서오수신설  맨홀토공(OPEN-0.3)_02.구조물토공(B-LINE)" xfId="852" xr:uid="{00000000-0005-0000-0000-000052030000}"/>
    <cellStyle name="_01.신월 관로토공_01.여천(오수)관로토공_01.관로토공(우수)_02.구조물및추진,도달기지토공(D구간)" xfId="853" xr:uid="{00000000-0005-0000-0000-000053030000}"/>
    <cellStyle name="_01.신월 관로토공_01.여천(오수)관로토공_01.관로토공(우수)_02.구조물토공(B-LINE)" xfId="854" xr:uid="{00000000-0005-0000-0000-000054030000}"/>
    <cellStyle name="_01.신월 관로토공_01.여천(오수)관로토공_01.관로토공(우수)_03.여천우수 구조물공" xfId="855" xr:uid="{00000000-0005-0000-0000-000055030000}"/>
    <cellStyle name="_01.신월 관로토공_01.여천(오수)관로토공_01.관로토공(우수)_03.여천우수 구조물공_01-02.맨홀토공(OPEN-0.3)D-LINE" xfId="856" xr:uid="{00000000-0005-0000-0000-000056030000}"/>
    <cellStyle name="_01.신월 관로토공_01.여천(오수)관로토공_01.관로토공(우수)_03.여천우수 구조물공_01-02.맨홀토공(OPEN-0.3)D-LINE_01-02.맨홀토공(OPEN-0.3)C-LINE" xfId="857" xr:uid="{00000000-0005-0000-0000-000057030000}"/>
    <cellStyle name="_01.신월 관로토공_01.여천(오수)관로토공_01.관로토공(우수)_03.여천우수 구조물공_01-02.맨홀토공(OPEN-0.3)D-LINE_01-02.맨홀토공(OPEN-0.3)C-LINE_02.구조물및추진,도달기지토공(D구간)" xfId="858" xr:uid="{00000000-0005-0000-0000-000058030000}"/>
    <cellStyle name="_01.신월 관로토공_01.여천(오수)관로토공_01.관로토공(우수)_03.여천우수 구조물공_01-02.맨홀토공(OPEN-0.3)D-LINE_01-02.맨홀토공(OPEN-0.3)C-LINE_02.구조물토공(B-LINE)" xfId="859" xr:uid="{00000000-0005-0000-0000-000059030000}"/>
    <cellStyle name="_01.신월 관로토공_01.여천(오수)관로토공_01.관로토공(우수)_03.여천우수 구조물공_01-02.맨홀토공(OPEN-0.3)D-LINE_01-02.맨홀토공(OPEN-0.3)D-LINE" xfId="860" xr:uid="{00000000-0005-0000-0000-00005A030000}"/>
    <cellStyle name="_01.신월 관로토공_01.여천(오수)관로토공_01.관로토공(우수)_03.여천우수 구조물공_01-02.맨홀토공(OPEN-0.3)D-LINE_01-02.맨홀토공(OPEN-0.3)D-LINE_02.구조물및추진,도달기지토공(D구간)" xfId="861" xr:uid="{00000000-0005-0000-0000-00005B030000}"/>
    <cellStyle name="_01.신월 관로토공_01.여천(오수)관로토공_01.관로토공(우수)_03.여천우수 구조물공_01-02.맨홀토공(OPEN-0.3)D-LINE_01-02.맨홀토공(OPEN-0.3)D-LINE_02.구조물토공(B-LINE)" xfId="862" xr:uid="{00000000-0005-0000-0000-00005C030000}"/>
    <cellStyle name="_01.신월 관로토공_01.여천(오수)관로토공_01.관로토공(우수)_03.여천우수 구조물공_01-02.맨홀토공(OPEN-0.3)D-LINE_02.구조물및추진,도달기지토공(D구간)" xfId="863" xr:uid="{00000000-0005-0000-0000-00005D030000}"/>
    <cellStyle name="_01.신월 관로토공_01.여천(오수)관로토공_01.관로토공(우수)_03.여천우수 구조물공_01-02.맨홀토공(OPEN-0.3)D-LINE_02.구조물토공(B-LINE)" xfId="864" xr:uid="{00000000-0005-0000-0000-00005E030000}"/>
    <cellStyle name="_01.신월 관로토공_01.여천(오수)관로토공_01.관로토공(우수)_03.여천우수 구조물공_01-3.옥구오수신설  맨홀토공(OPEN-0.3)" xfId="865" xr:uid="{00000000-0005-0000-0000-00005F030000}"/>
    <cellStyle name="_01.신월 관로토공_01.여천(오수)관로토공_01.관로토공(우수)_03.여천우수 구조물공_01-3.옥구오수신설  맨홀토공(OPEN-0.3)_01-02.맨홀토공(OPEN-0.3)C-LINE" xfId="866" xr:uid="{00000000-0005-0000-0000-000060030000}"/>
    <cellStyle name="_01.신월 관로토공_01.여천(오수)관로토공_01.관로토공(우수)_03.여천우수 구조물공_01-3.옥구오수신설  맨홀토공(OPEN-0.3)_01-02.맨홀토공(OPEN-0.3)C-LINE_02.구조물및추진,도달기지토공(D구간)" xfId="867" xr:uid="{00000000-0005-0000-0000-000061030000}"/>
    <cellStyle name="_01.신월 관로토공_01.여천(오수)관로토공_01.관로토공(우수)_03.여천우수 구조물공_01-3.옥구오수신설  맨홀토공(OPEN-0.3)_01-02.맨홀토공(OPEN-0.3)C-LINE_02.구조물토공(B-LINE)" xfId="868" xr:uid="{00000000-0005-0000-0000-000062030000}"/>
    <cellStyle name="_01.신월 관로토공_01.여천(오수)관로토공_01.관로토공(우수)_03.여천우수 구조물공_01-3.옥구오수신설  맨홀토공(OPEN-0.3)_01-02.맨홀토공(OPEN-0.3)D-LINE" xfId="869" xr:uid="{00000000-0005-0000-0000-000063030000}"/>
    <cellStyle name="_01.신월 관로토공_01.여천(오수)관로토공_01.관로토공(우수)_03.여천우수 구조물공_01-3.옥구오수신설  맨홀토공(OPEN-0.3)_01-02.맨홀토공(OPEN-0.3)D-LINE_02.구조물및추진,도달기지토공(D구간)" xfId="870" xr:uid="{00000000-0005-0000-0000-000064030000}"/>
    <cellStyle name="_01.신월 관로토공_01.여천(오수)관로토공_01.관로토공(우수)_03.여천우수 구조물공_01-3.옥구오수신설  맨홀토공(OPEN-0.3)_01-02.맨홀토공(OPEN-0.3)D-LINE_02.구조물토공(B-LINE)" xfId="871" xr:uid="{00000000-0005-0000-0000-000065030000}"/>
    <cellStyle name="_01.신월 관로토공_01.여천(오수)관로토공_01.관로토공(우수)_03.여천우수 구조물공_01-3.옥구오수신설  맨홀토공(OPEN-0.3)_02.구조물및추진,도달기지토공(D구간)" xfId="872" xr:uid="{00000000-0005-0000-0000-000066030000}"/>
    <cellStyle name="_01.신월 관로토공_01.여천(오수)관로토공_01.관로토공(우수)_03.여천우수 구조물공_01-3.옥구오수신설  맨홀토공(OPEN-0.3)_02.구조물토공(B-LINE)" xfId="873" xr:uid="{00000000-0005-0000-0000-000067030000}"/>
    <cellStyle name="_01.신월 관로토공_01.여천(오수)관로토공_01.관로토공(우수)_03.여천우수 구조물공_01-3.옥서오수신설  맨홀토공(OPEN-0.3)" xfId="874" xr:uid="{00000000-0005-0000-0000-000068030000}"/>
    <cellStyle name="_01.신월 관로토공_01.여천(오수)관로토공_01.관로토공(우수)_03.여천우수 구조물공_01-3.옥서오수신설  맨홀토공(OPEN-0.3)_01-02.맨홀토공(OPEN-0.3)C-LINE" xfId="875" xr:uid="{00000000-0005-0000-0000-000069030000}"/>
    <cellStyle name="_01.신월 관로토공_01.여천(오수)관로토공_01.관로토공(우수)_03.여천우수 구조물공_01-3.옥서오수신설  맨홀토공(OPEN-0.3)_01-02.맨홀토공(OPEN-0.3)C-LINE_02.구조물및추진,도달기지토공(D구간)" xfId="876" xr:uid="{00000000-0005-0000-0000-00006A030000}"/>
    <cellStyle name="_01.신월 관로토공_01.여천(오수)관로토공_01.관로토공(우수)_03.여천우수 구조물공_01-3.옥서오수신설  맨홀토공(OPEN-0.3)_01-02.맨홀토공(OPEN-0.3)C-LINE_02.구조물토공(B-LINE)" xfId="877" xr:uid="{00000000-0005-0000-0000-00006B030000}"/>
    <cellStyle name="_01.신월 관로토공_01.여천(오수)관로토공_01.관로토공(우수)_03.여천우수 구조물공_01-3.옥서오수신설  맨홀토공(OPEN-0.3)_01-02.맨홀토공(OPEN-0.3)D-LINE" xfId="878" xr:uid="{00000000-0005-0000-0000-00006C030000}"/>
    <cellStyle name="_01.신월 관로토공_01.여천(오수)관로토공_01.관로토공(우수)_03.여천우수 구조물공_01-3.옥서오수신설  맨홀토공(OPEN-0.3)_01-02.맨홀토공(OPEN-0.3)D-LINE_02.구조물및추진,도달기지토공(D구간)" xfId="879" xr:uid="{00000000-0005-0000-0000-00006D030000}"/>
    <cellStyle name="_01.신월 관로토공_01.여천(오수)관로토공_01.관로토공(우수)_03.여천우수 구조물공_01-3.옥서오수신설  맨홀토공(OPEN-0.3)_01-02.맨홀토공(OPEN-0.3)D-LINE_02.구조물토공(B-LINE)" xfId="880" xr:uid="{00000000-0005-0000-0000-00006E030000}"/>
    <cellStyle name="_01.신월 관로토공_01.여천(오수)관로토공_01.관로토공(우수)_03.여천우수 구조물공_01-3.옥서오수신설  맨홀토공(OPEN-0.3)_02.구조물및추진,도달기지토공(D구간)" xfId="881" xr:uid="{00000000-0005-0000-0000-00006F030000}"/>
    <cellStyle name="_01.신월 관로토공_01.여천(오수)관로토공_01.관로토공(우수)_03.여천우수 구조물공_01-3.옥서오수신설  맨홀토공(OPEN-0.3)_02.구조물토공(B-LINE)" xfId="882" xr:uid="{00000000-0005-0000-0000-000070030000}"/>
    <cellStyle name="_01.신월 관로토공_01.여천(오수)관로토공_01.관로토공(우수)_03.여천우수 구조물공_02.구조물및추진,도달기지토공(D구간)" xfId="883" xr:uid="{00000000-0005-0000-0000-000071030000}"/>
    <cellStyle name="_01.신월 관로토공_01.여천(오수)관로토공_01.관로토공(우수)_03.여천우수 구조물공_02.구조물토공(B-LINE)" xfId="884" xr:uid="{00000000-0005-0000-0000-000072030000}"/>
    <cellStyle name="_01.신월 관로토공_01.여천(오수)관로토공_01.여천오수 토공" xfId="885" xr:uid="{00000000-0005-0000-0000-000073030000}"/>
    <cellStyle name="_01.신월 관로토공_01.여천(오수)관로토공_01.여천오수 토공_01-02.맨홀토공(OPEN-0.3)D-LINE" xfId="886" xr:uid="{00000000-0005-0000-0000-000074030000}"/>
    <cellStyle name="_01.신월 관로토공_01.여천(오수)관로토공_01.여천오수 토공_01-02.맨홀토공(OPEN-0.3)D-LINE_01-02.맨홀토공(OPEN-0.3)C-LINE" xfId="887" xr:uid="{00000000-0005-0000-0000-000075030000}"/>
    <cellStyle name="_01.신월 관로토공_01.여천(오수)관로토공_01.여천오수 토공_01-02.맨홀토공(OPEN-0.3)D-LINE_01-02.맨홀토공(OPEN-0.3)C-LINE_02.구조물및추진,도달기지토공(D구간)" xfId="888" xr:uid="{00000000-0005-0000-0000-000076030000}"/>
    <cellStyle name="_01.신월 관로토공_01.여천(오수)관로토공_01.여천오수 토공_01-02.맨홀토공(OPEN-0.3)D-LINE_01-02.맨홀토공(OPEN-0.3)C-LINE_02.구조물토공(B-LINE)" xfId="889" xr:uid="{00000000-0005-0000-0000-000077030000}"/>
    <cellStyle name="_01.신월 관로토공_01.여천(오수)관로토공_01.여천오수 토공_01-02.맨홀토공(OPEN-0.3)D-LINE_01-02.맨홀토공(OPEN-0.3)D-LINE" xfId="890" xr:uid="{00000000-0005-0000-0000-000078030000}"/>
    <cellStyle name="_01.신월 관로토공_01.여천(오수)관로토공_01.여천오수 토공_01-02.맨홀토공(OPEN-0.3)D-LINE_01-02.맨홀토공(OPEN-0.3)D-LINE_02.구조물및추진,도달기지토공(D구간)" xfId="891" xr:uid="{00000000-0005-0000-0000-000079030000}"/>
    <cellStyle name="_01.신월 관로토공_01.여천(오수)관로토공_01.여천오수 토공_01-02.맨홀토공(OPEN-0.3)D-LINE_01-02.맨홀토공(OPEN-0.3)D-LINE_02.구조물토공(B-LINE)" xfId="892" xr:uid="{00000000-0005-0000-0000-00007A030000}"/>
    <cellStyle name="_01.신월 관로토공_01.여천(오수)관로토공_01.여천오수 토공_01-02.맨홀토공(OPEN-0.3)D-LINE_02.구조물및추진,도달기지토공(D구간)" xfId="893" xr:uid="{00000000-0005-0000-0000-00007B030000}"/>
    <cellStyle name="_01.신월 관로토공_01.여천(오수)관로토공_01.여천오수 토공_01-02.맨홀토공(OPEN-0.3)D-LINE_02.구조물토공(B-LINE)" xfId="894" xr:uid="{00000000-0005-0000-0000-00007C030000}"/>
    <cellStyle name="_01.신월 관로토공_01.여천(오수)관로토공_01.여천오수 토공_01-3.옥구오수신설  맨홀토공(OPEN-0.3)" xfId="895" xr:uid="{00000000-0005-0000-0000-00007D030000}"/>
    <cellStyle name="_01.신월 관로토공_01.여천(오수)관로토공_01.여천오수 토공_01-3.옥구오수신설  맨홀토공(OPEN-0.3)_01-02.맨홀토공(OPEN-0.3)C-LINE" xfId="896" xr:uid="{00000000-0005-0000-0000-00007E030000}"/>
    <cellStyle name="_01.신월 관로토공_01.여천(오수)관로토공_01.여천오수 토공_01-3.옥구오수신설  맨홀토공(OPEN-0.3)_01-02.맨홀토공(OPEN-0.3)C-LINE_02.구조물및추진,도달기지토공(D구간)" xfId="897" xr:uid="{00000000-0005-0000-0000-00007F030000}"/>
    <cellStyle name="_01.신월 관로토공_01.여천(오수)관로토공_01.여천오수 토공_01-3.옥구오수신설  맨홀토공(OPEN-0.3)_01-02.맨홀토공(OPEN-0.3)C-LINE_02.구조물토공(B-LINE)" xfId="898" xr:uid="{00000000-0005-0000-0000-000080030000}"/>
    <cellStyle name="_01.신월 관로토공_01.여천(오수)관로토공_01.여천오수 토공_01-3.옥구오수신설  맨홀토공(OPEN-0.3)_01-02.맨홀토공(OPEN-0.3)D-LINE" xfId="899" xr:uid="{00000000-0005-0000-0000-000081030000}"/>
    <cellStyle name="_01.신월 관로토공_01.여천(오수)관로토공_01.여천오수 토공_01-3.옥구오수신설  맨홀토공(OPEN-0.3)_01-02.맨홀토공(OPEN-0.3)D-LINE_02.구조물및추진,도달기지토공(D구간)" xfId="900" xr:uid="{00000000-0005-0000-0000-000082030000}"/>
    <cellStyle name="_01.신월 관로토공_01.여천(오수)관로토공_01.여천오수 토공_01-3.옥구오수신설  맨홀토공(OPEN-0.3)_01-02.맨홀토공(OPEN-0.3)D-LINE_02.구조물토공(B-LINE)" xfId="901" xr:uid="{00000000-0005-0000-0000-000083030000}"/>
    <cellStyle name="_01.신월 관로토공_01.여천(오수)관로토공_01.여천오수 토공_01-3.옥구오수신설  맨홀토공(OPEN-0.3)_02.구조물및추진,도달기지토공(D구간)" xfId="902" xr:uid="{00000000-0005-0000-0000-000084030000}"/>
    <cellStyle name="_01.신월 관로토공_01.여천(오수)관로토공_01.여천오수 토공_01-3.옥구오수신설  맨홀토공(OPEN-0.3)_02.구조물토공(B-LINE)" xfId="903" xr:uid="{00000000-0005-0000-0000-000085030000}"/>
    <cellStyle name="_01.신월 관로토공_01.여천(오수)관로토공_01.여천오수 토공_01-3.옥서오수신설  맨홀토공(OPEN-0.3)" xfId="904" xr:uid="{00000000-0005-0000-0000-000086030000}"/>
    <cellStyle name="_01.신월 관로토공_01.여천(오수)관로토공_01.여천오수 토공_01-3.옥서오수신설  맨홀토공(OPEN-0.3)_01-02.맨홀토공(OPEN-0.3)C-LINE" xfId="905" xr:uid="{00000000-0005-0000-0000-000087030000}"/>
    <cellStyle name="_01.신월 관로토공_01.여천(오수)관로토공_01.여천오수 토공_01-3.옥서오수신설  맨홀토공(OPEN-0.3)_01-02.맨홀토공(OPEN-0.3)C-LINE_02.구조물및추진,도달기지토공(D구간)" xfId="906" xr:uid="{00000000-0005-0000-0000-000088030000}"/>
    <cellStyle name="_01.신월 관로토공_01.여천(오수)관로토공_01.여천오수 토공_01-3.옥서오수신설  맨홀토공(OPEN-0.3)_01-02.맨홀토공(OPEN-0.3)C-LINE_02.구조물토공(B-LINE)" xfId="907" xr:uid="{00000000-0005-0000-0000-000089030000}"/>
    <cellStyle name="_01.신월 관로토공_01.여천(오수)관로토공_01.여천오수 토공_01-3.옥서오수신설  맨홀토공(OPEN-0.3)_01-02.맨홀토공(OPEN-0.3)D-LINE" xfId="908" xr:uid="{00000000-0005-0000-0000-00008A030000}"/>
    <cellStyle name="_01.신월 관로토공_01.여천(오수)관로토공_01.여천오수 토공_01-3.옥서오수신설  맨홀토공(OPEN-0.3)_01-02.맨홀토공(OPEN-0.3)D-LINE_02.구조물및추진,도달기지토공(D구간)" xfId="909" xr:uid="{00000000-0005-0000-0000-00008B030000}"/>
    <cellStyle name="_01.신월 관로토공_01.여천(오수)관로토공_01.여천오수 토공_01-3.옥서오수신설  맨홀토공(OPEN-0.3)_01-02.맨홀토공(OPEN-0.3)D-LINE_02.구조물토공(B-LINE)" xfId="910" xr:uid="{00000000-0005-0000-0000-00008C030000}"/>
    <cellStyle name="_01.신월 관로토공_01.여천(오수)관로토공_01.여천오수 토공_01-3.옥서오수신설  맨홀토공(OPEN-0.3)_02.구조물및추진,도달기지토공(D구간)" xfId="911" xr:uid="{00000000-0005-0000-0000-00008D030000}"/>
    <cellStyle name="_01.신월 관로토공_01.여천(오수)관로토공_01.여천오수 토공_01-3.옥서오수신설  맨홀토공(OPEN-0.3)_02.구조물토공(B-LINE)" xfId="912" xr:uid="{00000000-0005-0000-0000-00008E030000}"/>
    <cellStyle name="_01.신월 관로토공_01.여천(오수)관로토공_01.여천오수 토공_02.구조물및추진,도달기지토공(D구간)" xfId="913" xr:uid="{00000000-0005-0000-0000-00008F030000}"/>
    <cellStyle name="_01.신월 관로토공_01.여천(오수)관로토공_01.여천오수 토공_02.구조물토공(B-LINE)" xfId="914" xr:uid="{00000000-0005-0000-0000-000090030000}"/>
    <cellStyle name="_01.신월 관로토공_01.여천(오수)관로토공_01.차집 토공2" xfId="915" xr:uid="{00000000-0005-0000-0000-000091030000}"/>
    <cellStyle name="_01.신월 관로토공_01.여천(오수)관로토공_01.차집 토공2_01-02.맨홀토공(OPEN-0.3)D-LINE" xfId="916" xr:uid="{00000000-0005-0000-0000-000092030000}"/>
    <cellStyle name="_01.신월 관로토공_01.여천(오수)관로토공_01.차집 토공2_01-02.맨홀토공(OPEN-0.3)D-LINE_01-02.맨홀토공(OPEN-0.3)C-LINE" xfId="917" xr:uid="{00000000-0005-0000-0000-000093030000}"/>
    <cellStyle name="_01.신월 관로토공_01.여천(오수)관로토공_01.차집 토공2_01-02.맨홀토공(OPEN-0.3)D-LINE_01-02.맨홀토공(OPEN-0.3)C-LINE_02.구조물및추진,도달기지토공(D구간)" xfId="918" xr:uid="{00000000-0005-0000-0000-000094030000}"/>
    <cellStyle name="_01.신월 관로토공_01.여천(오수)관로토공_01.차집 토공2_01-02.맨홀토공(OPEN-0.3)D-LINE_01-02.맨홀토공(OPEN-0.3)C-LINE_02.구조물토공(B-LINE)" xfId="919" xr:uid="{00000000-0005-0000-0000-000095030000}"/>
    <cellStyle name="_01.신월 관로토공_01.여천(오수)관로토공_01.차집 토공2_01-02.맨홀토공(OPEN-0.3)D-LINE_01-02.맨홀토공(OPEN-0.3)D-LINE" xfId="920" xr:uid="{00000000-0005-0000-0000-000096030000}"/>
    <cellStyle name="_01.신월 관로토공_01.여천(오수)관로토공_01.차집 토공2_01-02.맨홀토공(OPEN-0.3)D-LINE_01-02.맨홀토공(OPEN-0.3)D-LINE_02.구조물및추진,도달기지토공(D구간)" xfId="921" xr:uid="{00000000-0005-0000-0000-000097030000}"/>
    <cellStyle name="_01.신월 관로토공_01.여천(오수)관로토공_01.차집 토공2_01-02.맨홀토공(OPEN-0.3)D-LINE_01-02.맨홀토공(OPEN-0.3)D-LINE_02.구조물토공(B-LINE)" xfId="922" xr:uid="{00000000-0005-0000-0000-000098030000}"/>
    <cellStyle name="_01.신월 관로토공_01.여천(오수)관로토공_01.차집 토공2_01-02.맨홀토공(OPEN-0.3)D-LINE_02.구조물및추진,도달기지토공(D구간)" xfId="923" xr:uid="{00000000-0005-0000-0000-000099030000}"/>
    <cellStyle name="_01.신월 관로토공_01.여천(오수)관로토공_01.차집 토공2_01-02.맨홀토공(OPEN-0.3)D-LINE_02.구조물토공(B-LINE)" xfId="924" xr:uid="{00000000-0005-0000-0000-00009A030000}"/>
    <cellStyle name="_01.신월 관로토공_01.여천(오수)관로토공_01.차집 토공2_01-3.옥구오수신설  맨홀토공(OPEN-0.3)" xfId="925" xr:uid="{00000000-0005-0000-0000-00009B030000}"/>
    <cellStyle name="_01.신월 관로토공_01.여천(오수)관로토공_01.차집 토공2_01-3.옥구오수신설  맨홀토공(OPEN-0.3)_01-02.맨홀토공(OPEN-0.3)C-LINE" xfId="926" xr:uid="{00000000-0005-0000-0000-00009C030000}"/>
    <cellStyle name="_01.신월 관로토공_01.여천(오수)관로토공_01.차집 토공2_01-3.옥구오수신설  맨홀토공(OPEN-0.3)_01-02.맨홀토공(OPEN-0.3)C-LINE_02.구조물및추진,도달기지토공(D구간)" xfId="927" xr:uid="{00000000-0005-0000-0000-00009D030000}"/>
    <cellStyle name="_01.신월 관로토공_01.여천(오수)관로토공_01.차집 토공2_01-3.옥구오수신설  맨홀토공(OPEN-0.3)_01-02.맨홀토공(OPEN-0.3)C-LINE_02.구조물토공(B-LINE)" xfId="928" xr:uid="{00000000-0005-0000-0000-00009E030000}"/>
    <cellStyle name="_01.신월 관로토공_01.여천(오수)관로토공_01.차집 토공2_01-3.옥구오수신설  맨홀토공(OPEN-0.3)_01-02.맨홀토공(OPEN-0.3)D-LINE" xfId="929" xr:uid="{00000000-0005-0000-0000-00009F030000}"/>
    <cellStyle name="_01.신월 관로토공_01.여천(오수)관로토공_01.차집 토공2_01-3.옥구오수신설  맨홀토공(OPEN-0.3)_01-02.맨홀토공(OPEN-0.3)D-LINE_02.구조물및추진,도달기지토공(D구간)" xfId="930" xr:uid="{00000000-0005-0000-0000-0000A0030000}"/>
    <cellStyle name="_01.신월 관로토공_01.여천(오수)관로토공_01.차집 토공2_01-3.옥구오수신설  맨홀토공(OPEN-0.3)_01-02.맨홀토공(OPEN-0.3)D-LINE_02.구조물토공(B-LINE)" xfId="931" xr:uid="{00000000-0005-0000-0000-0000A1030000}"/>
    <cellStyle name="_01.신월 관로토공_01.여천(오수)관로토공_01.차집 토공2_01-3.옥구오수신설  맨홀토공(OPEN-0.3)_02.구조물및추진,도달기지토공(D구간)" xfId="932" xr:uid="{00000000-0005-0000-0000-0000A2030000}"/>
    <cellStyle name="_01.신월 관로토공_01.여천(오수)관로토공_01.차집 토공2_01-3.옥구오수신설  맨홀토공(OPEN-0.3)_02.구조물토공(B-LINE)" xfId="933" xr:uid="{00000000-0005-0000-0000-0000A3030000}"/>
    <cellStyle name="_01.신월 관로토공_01.여천(오수)관로토공_01.차집 토공2_01-3.옥서오수신설  맨홀토공(OPEN-0.3)" xfId="934" xr:uid="{00000000-0005-0000-0000-0000A4030000}"/>
    <cellStyle name="_01.신월 관로토공_01.여천(오수)관로토공_01.차집 토공2_01-3.옥서오수신설  맨홀토공(OPEN-0.3)_01-02.맨홀토공(OPEN-0.3)C-LINE" xfId="935" xr:uid="{00000000-0005-0000-0000-0000A5030000}"/>
    <cellStyle name="_01.신월 관로토공_01.여천(오수)관로토공_01.차집 토공2_01-3.옥서오수신설  맨홀토공(OPEN-0.3)_01-02.맨홀토공(OPEN-0.3)C-LINE_02.구조물및추진,도달기지토공(D구간)" xfId="936" xr:uid="{00000000-0005-0000-0000-0000A6030000}"/>
    <cellStyle name="_01.신월 관로토공_01.여천(오수)관로토공_01.차집 토공2_01-3.옥서오수신설  맨홀토공(OPEN-0.3)_01-02.맨홀토공(OPEN-0.3)C-LINE_02.구조물토공(B-LINE)" xfId="937" xr:uid="{00000000-0005-0000-0000-0000A7030000}"/>
    <cellStyle name="_01.신월 관로토공_01.여천(오수)관로토공_01.차집 토공2_01-3.옥서오수신설  맨홀토공(OPEN-0.3)_01-02.맨홀토공(OPEN-0.3)D-LINE" xfId="938" xr:uid="{00000000-0005-0000-0000-0000A8030000}"/>
    <cellStyle name="_01.신월 관로토공_01.여천(오수)관로토공_01.차집 토공2_01-3.옥서오수신설  맨홀토공(OPEN-0.3)_01-02.맨홀토공(OPEN-0.3)D-LINE_02.구조물및추진,도달기지토공(D구간)" xfId="939" xr:uid="{00000000-0005-0000-0000-0000A9030000}"/>
    <cellStyle name="_01.신월 관로토공_01.여천(오수)관로토공_01.차집 토공2_01-3.옥서오수신설  맨홀토공(OPEN-0.3)_01-02.맨홀토공(OPEN-0.3)D-LINE_02.구조물토공(B-LINE)" xfId="940" xr:uid="{00000000-0005-0000-0000-0000AA030000}"/>
    <cellStyle name="_01.신월 관로토공_01.여천(오수)관로토공_01.차집 토공2_01-3.옥서오수신설  맨홀토공(OPEN-0.3)_02.구조물및추진,도달기지토공(D구간)" xfId="941" xr:uid="{00000000-0005-0000-0000-0000AB030000}"/>
    <cellStyle name="_01.신월 관로토공_01.여천(오수)관로토공_01.차집 토공2_01-3.옥서오수신설  맨홀토공(OPEN-0.3)_02.구조물토공(B-LINE)" xfId="942" xr:uid="{00000000-0005-0000-0000-0000AC030000}"/>
    <cellStyle name="_01.신월 관로토공_01.여천(오수)관로토공_01.차집 토공2_02.구조물및추진,도달기지토공(D구간)" xfId="943" xr:uid="{00000000-0005-0000-0000-0000AD030000}"/>
    <cellStyle name="_01.신월 관로토공_01.여천(오수)관로토공_01.차집 토공2_02.구조물토공(B-LINE)" xfId="944" xr:uid="{00000000-0005-0000-0000-0000AE030000}"/>
    <cellStyle name="_01.신월 관로토공_01.여천(오수)관로토공_01.토공" xfId="945" xr:uid="{00000000-0005-0000-0000-0000AF030000}"/>
    <cellStyle name="_01.신월 관로토공_01.여천(오수)관로토공_01.토공_01-02.맨홀토공(OPEN-0.3)D-LINE" xfId="946" xr:uid="{00000000-0005-0000-0000-0000B0030000}"/>
    <cellStyle name="_01.신월 관로토공_01.여천(오수)관로토공_01.토공_01-02.맨홀토공(OPEN-0.3)D-LINE_01-02.맨홀토공(OPEN-0.3)C-LINE" xfId="947" xr:uid="{00000000-0005-0000-0000-0000B1030000}"/>
    <cellStyle name="_01.신월 관로토공_01.여천(오수)관로토공_01.토공_01-02.맨홀토공(OPEN-0.3)D-LINE_01-02.맨홀토공(OPEN-0.3)C-LINE_02.구조물및추진,도달기지토공(D구간)" xfId="948" xr:uid="{00000000-0005-0000-0000-0000B2030000}"/>
    <cellStyle name="_01.신월 관로토공_01.여천(오수)관로토공_01.토공_01-02.맨홀토공(OPEN-0.3)D-LINE_01-02.맨홀토공(OPEN-0.3)C-LINE_02.구조물토공(B-LINE)" xfId="949" xr:uid="{00000000-0005-0000-0000-0000B3030000}"/>
    <cellStyle name="_01.신월 관로토공_01.여천(오수)관로토공_01.토공_01-02.맨홀토공(OPEN-0.3)D-LINE_01-02.맨홀토공(OPEN-0.3)D-LINE" xfId="950" xr:uid="{00000000-0005-0000-0000-0000B4030000}"/>
    <cellStyle name="_01.신월 관로토공_01.여천(오수)관로토공_01.토공_01-02.맨홀토공(OPEN-0.3)D-LINE_01-02.맨홀토공(OPEN-0.3)D-LINE_02.구조물및추진,도달기지토공(D구간)" xfId="951" xr:uid="{00000000-0005-0000-0000-0000B5030000}"/>
    <cellStyle name="_01.신월 관로토공_01.여천(오수)관로토공_01.토공_01-02.맨홀토공(OPEN-0.3)D-LINE_01-02.맨홀토공(OPEN-0.3)D-LINE_02.구조물토공(B-LINE)" xfId="952" xr:uid="{00000000-0005-0000-0000-0000B6030000}"/>
    <cellStyle name="_01.신월 관로토공_01.여천(오수)관로토공_01.토공_01-02.맨홀토공(OPEN-0.3)D-LINE_02.구조물및추진,도달기지토공(D구간)" xfId="953" xr:uid="{00000000-0005-0000-0000-0000B7030000}"/>
    <cellStyle name="_01.신월 관로토공_01.여천(오수)관로토공_01.토공_01-02.맨홀토공(OPEN-0.3)D-LINE_02.구조물토공(B-LINE)" xfId="954" xr:uid="{00000000-0005-0000-0000-0000B8030000}"/>
    <cellStyle name="_01.신월 관로토공_01.여천(오수)관로토공_01.토공_01-3.옥구오수신설  맨홀토공(OPEN-0.3)" xfId="955" xr:uid="{00000000-0005-0000-0000-0000B9030000}"/>
    <cellStyle name="_01.신월 관로토공_01.여천(오수)관로토공_01.토공_01-3.옥구오수신설  맨홀토공(OPEN-0.3)_01-02.맨홀토공(OPEN-0.3)C-LINE" xfId="956" xr:uid="{00000000-0005-0000-0000-0000BA030000}"/>
    <cellStyle name="_01.신월 관로토공_01.여천(오수)관로토공_01.토공_01-3.옥구오수신설  맨홀토공(OPEN-0.3)_01-02.맨홀토공(OPEN-0.3)C-LINE_02.구조물및추진,도달기지토공(D구간)" xfId="957" xr:uid="{00000000-0005-0000-0000-0000BB030000}"/>
    <cellStyle name="_01.신월 관로토공_01.여천(오수)관로토공_01.토공_01-3.옥구오수신설  맨홀토공(OPEN-0.3)_01-02.맨홀토공(OPEN-0.3)C-LINE_02.구조물토공(B-LINE)" xfId="958" xr:uid="{00000000-0005-0000-0000-0000BC030000}"/>
    <cellStyle name="_01.신월 관로토공_01.여천(오수)관로토공_01.토공_01-3.옥구오수신설  맨홀토공(OPEN-0.3)_01-02.맨홀토공(OPEN-0.3)D-LINE" xfId="959" xr:uid="{00000000-0005-0000-0000-0000BD030000}"/>
    <cellStyle name="_01.신월 관로토공_01.여천(오수)관로토공_01.토공_01-3.옥구오수신설  맨홀토공(OPEN-0.3)_01-02.맨홀토공(OPEN-0.3)D-LINE_02.구조물및추진,도달기지토공(D구간)" xfId="960" xr:uid="{00000000-0005-0000-0000-0000BE030000}"/>
    <cellStyle name="_01.신월 관로토공_01.여천(오수)관로토공_01.토공_01-3.옥구오수신설  맨홀토공(OPEN-0.3)_01-02.맨홀토공(OPEN-0.3)D-LINE_02.구조물토공(B-LINE)" xfId="961" xr:uid="{00000000-0005-0000-0000-0000BF030000}"/>
    <cellStyle name="_01.신월 관로토공_01.여천(오수)관로토공_01.토공_01-3.옥구오수신설  맨홀토공(OPEN-0.3)_02.구조물및추진,도달기지토공(D구간)" xfId="962" xr:uid="{00000000-0005-0000-0000-0000C0030000}"/>
    <cellStyle name="_01.신월 관로토공_01.여천(오수)관로토공_01.토공_01-3.옥구오수신설  맨홀토공(OPEN-0.3)_02.구조물토공(B-LINE)" xfId="963" xr:uid="{00000000-0005-0000-0000-0000C1030000}"/>
    <cellStyle name="_01.신월 관로토공_01.여천(오수)관로토공_01.토공_01-3.옥서오수신설  맨홀토공(OPEN-0.3)" xfId="964" xr:uid="{00000000-0005-0000-0000-0000C2030000}"/>
    <cellStyle name="_01.신월 관로토공_01.여천(오수)관로토공_01.토공_01-3.옥서오수신설  맨홀토공(OPEN-0.3)_01-02.맨홀토공(OPEN-0.3)C-LINE" xfId="965" xr:uid="{00000000-0005-0000-0000-0000C3030000}"/>
    <cellStyle name="_01.신월 관로토공_01.여천(오수)관로토공_01.토공_01-3.옥서오수신설  맨홀토공(OPEN-0.3)_01-02.맨홀토공(OPEN-0.3)C-LINE_02.구조물및추진,도달기지토공(D구간)" xfId="966" xr:uid="{00000000-0005-0000-0000-0000C4030000}"/>
    <cellStyle name="_01.신월 관로토공_01.여천(오수)관로토공_01.토공_01-3.옥서오수신설  맨홀토공(OPEN-0.3)_01-02.맨홀토공(OPEN-0.3)C-LINE_02.구조물토공(B-LINE)" xfId="967" xr:uid="{00000000-0005-0000-0000-0000C5030000}"/>
    <cellStyle name="_01.신월 관로토공_01.여천(오수)관로토공_01.토공_01-3.옥서오수신설  맨홀토공(OPEN-0.3)_01-02.맨홀토공(OPEN-0.3)D-LINE" xfId="968" xr:uid="{00000000-0005-0000-0000-0000C6030000}"/>
    <cellStyle name="_01.신월 관로토공_01.여천(오수)관로토공_01.토공_01-3.옥서오수신설  맨홀토공(OPEN-0.3)_01-02.맨홀토공(OPEN-0.3)D-LINE_02.구조물및추진,도달기지토공(D구간)" xfId="969" xr:uid="{00000000-0005-0000-0000-0000C7030000}"/>
    <cellStyle name="_01.신월 관로토공_01.여천(오수)관로토공_01.토공_01-3.옥서오수신설  맨홀토공(OPEN-0.3)_01-02.맨홀토공(OPEN-0.3)D-LINE_02.구조물토공(B-LINE)" xfId="970" xr:uid="{00000000-0005-0000-0000-0000C8030000}"/>
    <cellStyle name="_01.신월 관로토공_01.여천(오수)관로토공_01.토공_01-3.옥서오수신설  맨홀토공(OPEN-0.3)_02.구조물및추진,도달기지토공(D구간)" xfId="971" xr:uid="{00000000-0005-0000-0000-0000C9030000}"/>
    <cellStyle name="_01.신월 관로토공_01.여천(오수)관로토공_01.토공_01-3.옥서오수신설  맨홀토공(OPEN-0.3)_02.구조물토공(B-LINE)" xfId="972" xr:uid="{00000000-0005-0000-0000-0000CA030000}"/>
    <cellStyle name="_01.신월 관로토공_01.여천(오수)관로토공_01.토공_02.구조물및추진,도달기지토공(D구간)" xfId="973" xr:uid="{00000000-0005-0000-0000-0000CB030000}"/>
    <cellStyle name="_01.신월 관로토공_01.여천(오수)관로토공_01.토공_02.구조물토공(B-LINE)" xfId="974" xr:uid="{00000000-0005-0000-0000-0000CC030000}"/>
    <cellStyle name="_01.신월 관로토공_01.여천(오수)관로토공_01-02.맨홀토공(OPEN-0.3)D-LINE" xfId="975" xr:uid="{00000000-0005-0000-0000-0000CD030000}"/>
    <cellStyle name="_01.신월 관로토공_01.여천(오수)관로토공_01-02.맨홀토공(OPEN-0.3)D-LINE_01-02.맨홀토공(OPEN-0.3)C-LINE" xfId="976" xr:uid="{00000000-0005-0000-0000-0000CE030000}"/>
    <cellStyle name="_01.신월 관로토공_01.여천(오수)관로토공_01-02.맨홀토공(OPEN-0.3)D-LINE_01-02.맨홀토공(OPEN-0.3)C-LINE_02.구조물및추진,도달기지토공(D구간)" xfId="977" xr:uid="{00000000-0005-0000-0000-0000CF030000}"/>
    <cellStyle name="_01.신월 관로토공_01.여천(오수)관로토공_01-02.맨홀토공(OPEN-0.3)D-LINE_01-02.맨홀토공(OPEN-0.3)C-LINE_02.구조물토공(B-LINE)" xfId="978" xr:uid="{00000000-0005-0000-0000-0000D0030000}"/>
    <cellStyle name="_01.신월 관로토공_01.여천(오수)관로토공_01-02.맨홀토공(OPEN-0.3)D-LINE_01-02.맨홀토공(OPEN-0.3)D-LINE" xfId="979" xr:uid="{00000000-0005-0000-0000-0000D1030000}"/>
    <cellStyle name="_01.신월 관로토공_01.여천(오수)관로토공_01-02.맨홀토공(OPEN-0.3)D-LINE_01-02.맨홀토공(OPEN-0.3)D-LINE_02.구조물및추진,도달기지토공(D구간)" xfId="980" xr:uid="{00000000-0005-0000-0000-0000D2030000}"/>
    <cellStyle name="_01.신월 관로토공_01.여천(오수)관로토공_01-02.맨홀토공(OPEN-0.3)D-LINE_01-02.맨홀토공(OPEN-0.3)D-LINE_02.구조물토공(B-LINE)" xfId="981" xr:uid="{00000000-0005-0000-0000-0000D3030000}"/>
    <cellStyle name="_01.신월 관로토공_01.여천(오수)관로토공_01-02.맨홀토공(OPEN-0.3)D-LINE_02.구조물및추진,도달기지토공(D구간)" xfId="982" xr:uid="{00000000-0005-0000-0000-0000D4030000}"/>
    <cellStyle name="_01.신월 관로토공_01.여천(오수)관로토공_01-02.맨홀토공(OPEN-0.3)D-LINE_02.구조물토공(B-LINE)" xfId="983" xr:uid="{00000000-0005-0000-0000-0000D5030000}"/>
    <cellStyle name="_01.신월 관로토공_01.여천(오수)관로토공_01-3.옥구오수신설  맨홀토공(OPEN-0.3)" xfId="984" xr:uid="{00000000-0005-0000-0000-0000D6030000}"/>
    <cellStyle name="_01.신월 관로토공_01.여천(오수)관로토공_01-3.옥구오수신설  맨홀토공(OPEN-0.3)_01-02.맨홀토공(OPEN-0.3)C-LINE" xfId="985" xr:uid="{00000000-0005-0000-0000-0000D7030000}"/>
    <cellStyle name="_01.신월 관로토공_01.여천(오수)관로토공_01-3.옥구오수신설  맨홀토공(OPEN-0.3)_01-02.맨홀토공(OPEN-0.3)C-LINE_02.구조물및추진,도달기지토공(D구간)" xfId="986" xr:uid="{00000000-0005-0000-0000-0000D8030000}"/>
    <cellStyle name="_01.신월 관로토공_01.여천(오수)관로토공_01-3.옥구오수신설  맨홀토공(OPEN-0.3)_01-02.맨홀토공(OPEN-0.3)C-LINE_02.구조물토공(B-LINE)" xfId="987" xr:uid="{00000000-0005-0000-0000-0000D9030000}"/>
    <cellStyle name="_01.신월 관로토공_01.여천(오수)관로토공_01-3.옥구오수신설  맨홀토공(OPEN-0.3)_01-02.맨홀토공(OPEN-0.3)D-LINE" xfId="988" xr:uid="{00000000-0005-0000-0000-0000DA030000}"/>
    <cellStyle name="_01.신월 관로토공_01.여천(오수)관로토공_01-3.옥구오수신설  맨홀토공(OPEN-0.3)_01-02.맨홀토공(OPEN-0.3)D-LINE_02.구조물및추진,도달기지토공(D구간)" xfId="989" xr:uid="{00000000-0005-0000-0000-0000DB030000}"/>
    <cellStyle name="_01.신월 관로토공_01.여천(오수)관로토공_01-3.옥구오수신설  맨홀토공(OPEN-0.3)_01-02.맨홀토공(OPEN-0.3)D-LINE_02.구조물토공(B-LINE)" xfId="990" xr:uid="{00000000-0005-0000-0000-0000DC030000}"/>
    <cellStyle name="_01.신월 관로토공_01.여천(오수)관로토공_01-3.옥구오수신설  맨홀토공(OPEN-0.3)_02.구조물및추진,도달기지토공(D구간)" xfId="991" xr:uid="{00000000-0005-0000-0000-0000DD030000}"/>
    <cellStyle name="_01.신월 관로토공_01.여천(오수)관로토공_01-3.옥구오수신설  맨홀토공(OPEN-0.3)_02.구조물토공(B-LINE)" xfId="992" xr:uid="{00000000-0005-0000-0000-0000DE030000}"/>
    <cellStyle name="_01.신월 관로토공_01.여천(오수)관로토공_01-3.옥서오수신설  맨홀토공(OPEN-0.3)" xfId="993" xr:uid="{00000000-0005-0000-0000-0000DF030000}"/>
    <cellStyle name="_01.신월 관로토공_01.여천(오수)관로토공_01-3.옥서오수신설  맨홀토공(OPEN-0.3)_01-02.맨홀토공(OPEN-0.3)C-LINE" xfId="994" xr:uid="{00000000-0005-0000-0000-0000E0030000}"/>
    <cellStyle name="_01.신월 관로토공_01.여천(오수)관로토공_01-3.옥서오수신설  맨홀토공(OPEN-0.3)_01-02.맨홀토공(OPEN-0.3)C-LINE_02.구조물및추진,도달기지토공(D구간)" xfId="995" xr:uid="{00000000-0005-0000-0000-0000E1030000}"/>
    <cellStyle name="_01.신월 관로토공_01.여천(오수)관로토공_01-3.옥서오수신설  맨홀토공(OPEN-0.3)_01-02.맨홀토공(OPEN-0.3)C-LINE_02.구조물토공(B-LINE)" xfId="996" xr:uid="{00000000-0005-0000-0000-0000E2030000}"/>
    <cellStyle name="_01.신월 관로토공_01.여천(오수)관로토공_01-3.옥서오수신설  맨홀토공(OPEN-0.3)_01-02.맨홀토공(OPEN-0.3)D-LINE" xfId="997" xr:uid="{00000000-0005-0000-0000-0000E3030000}"/>
    <cellStyle name="_01.신월 관로토공_01.여천(오수)관로토공_01-3.옥서오수신설  맨홀토공(OPEN-0.3)_01-02.맨홀토공(OPEN-0.3)D-LINE_02.구조물및추진,도달기지토공(D구간)" xfId="998" xr:uid="{00000000-0005-0000-0000-0000E4030000}"/>
    <cellStyle name="_01.신월 관로토공_01.여천(오수)관로토공_01-3.옥서오수신설  맨홀토공(OPEN-0.3)_01-02.맨홀토공(OPEN-0.3)D-LINE_02.구조물토공(B-LINE)" xfId="999" xr:uid="{00000000-0005-0000-0000-0000E5030000}"/>
    <cellStyle name="_01.신월 관로토공_01.여천(오수)관로토공_01-3.옥서오수신설  맨홀토공(OPEN-0.3)_02.구조물및추진,도달기지토공(D구간)" xfId="1000" xr:uid="{00000000-0005-0000-0000-0000E6030000}"/>
    <cellStyle name="_01.신월 관로토공_01.여천(오수)관로토공_01-3.옥서오수신설  맨홀토공(OPEN-0.3)_02.구조물토공(B-LINE)" xfId="1001" xr:uid="{00000000-0005-0000-0000-0000E7030000}"/>
    <cellStyle name="_01.신월 관로토공_01.여천(오수)관로토공_02.구조물및추진,도달기지토공(D구간)" xfId="1002" xr:uid="{00000000-0005-0000-0000-0000E8030000}"/>
    <cellStyle name="_01.신월 관로토공_01.여천(오수)관로토공_02.구조물토공(B-LINE)" xfId="1003" xr:uid="{00000000-0005-0000-0000-0000E9030000}"/>
    <cellStyle name="_01.신월 관로토공_01.여천(오수)관로토공_03.여천오수 구조물공" xfId="1004" xr:uid="{00000000-0005-0000-0000-0000EA030000}"/>
    <cellStyle name="_01.신월 관로토공_01.여천(오수)관로토공_03.여천오수 구조물공_01-02.맨홀토공(OPEN-0.3)D-LINE" xfId="1005" xr:uid="{00000000-0005-0000-0000-0000EB030000}"/>
    <cellStyle name="_01.신월 관로토공_01.여천(오수)관로토공_03.여천오수 구조물공_01-02.맨홀토공(OPEN-0.3)D-LINE_01-02.맨홀토공(OPEN-0.3)C-LINE" xfId="1006" xr:uid="{00000000-0005-0000-0000-0000EC030000}"/>
    <cellStyle name="_01.신월 관로토공_01.여천(오수)관로토공_03.여천오수 구조물공_01-02.맨홀토공(OPEN-0.3)D-LINE_01-02.맨홀토공(OPEN-0.3)C-LINE_02.구조물및추진,도달기지토공(D구간)" xfId="1007" xr:uid="{00000000-0005-0000-0000-0000ED030000}"/>
    <cellStyle name="_01.신월 관로토공_01.여천(오수)관로토공_03.여천오수 구조물공_01-02.맨홀토공(OPEN-0.3)D-LINE_01-02.맨홀토공(OPEN-0.3)C-LINE_02.구조물토공(B-LINE)" xfId="1008" xr:uid="{00000000-0005-0000-0000-0000EE030000}"/>
    <cellStyle name="_01.신월 관로토공_01.여천(오수)관로토공_03.여천오수 구조물공_01-02.맨홀토공(OPEN-0.3)D-LINE_01-02.맨홀토공(OPEN-0.3)D-LINE" xfId="1009" xr:uid="{00000000-0005-0000-0000-0000EF030000}"/>
    <cellStyle name="_01.신월 관로토공_01.여천(오수)관로토공_03.여천오수 구조물공_01-02.맨홀토공(OPEN-0.3)D-LINE_01-02.맨홀토공(OPEN-0.3)D-LINE_02.구조물및추진,도달기지토공(D구간)" xfId="1010" xr:uid="{00000000-0005-0000-0000-0000F0030000}"/>
    <cellStyle name="_01.신월 관로토공_01.여천(오수)관로토공_03.여천오수 구조물공_01-02.맨홀토공(OPEN-0.3)D-LINE_01-02.맨홀토공(OPEN-0.3)D-LINE_02.구조물토공(B-LINE)" xfId="1011" xr:uid="{00000000-0005-0000-0000-0000F1030000}"/>
    <cellStyle name="_01.신월 관로토공_01.여천(오수)관로토공_03.여천오수 구조물공_01-02.맨홀토공(OPEN-0.3)D-LINE_02.구조물및추진,도달기지토공(D구간)" xfId="1012" xr:uid="{00000000-0005-0000-0000-0000F2030000}"/>
    <cellStyle name="_01.신월 관로토공_01.여천(오수)관로토공_03.여천오수 구조물공_01-02.맨홀토공(OPEN-0.3)D-LINE_02.구조물토공(B-LINE)" xfId="1013" xr:uid="{00000000-0005-0000-0000-0000F3030000}"/>
    <cellStyle name="_01.신월 관로토공_01.여천(오수)관로토공_03.여천오수 구조물공_01-3.옥구오수신설  맨홀토공(OPEN-0.3)" xfId="1014" xr:uid="{00000000-0005-0000-0000-0000F4030000}"/>
    <cellStyle name="_01.신월 관로토공_01.여천(오수)관로토공_03.여천오수 구조물공_01-3.옥구오수신설  맨홀토공(OPEN-0.3)_01-02.맨홀토공(OPEN-0.3)C-LINE" xfId="1015" xr:uid="{00000000-0005-0000-0000-0000F5030000}"/>
    <cellStyle name="_01.신월 관로토공_01.여천(오수)관로토공_03.여천오수 구조물공_01-3.옥구오수신설  맨홀토공(OPEN-0.3)_01-02.맨홀토공(OPEN-0.3)C-LINE_02.구조물및추진,도달기지토공(D구간)" xfId="1016" xr:uid="{00000000-0005-0000-0000-0000F6030000}"/>
    <cellStyle name="_01.신월 관로토공_01.여천(오수)관로토공_03.여천오수 구조물공_01-3.옥구오수신설  맨홀토공(OPEN-0.3)_01-02.맨홀토공(OPEN-0.3)C-LINE_02.구조물토공(B-LINE)" xfId="1017" xr:uid="{00000000-0005-0000-0000-0000F7030000}"/>
    <cellStyle name="_01.신월 관로토공_01.여천(오수)관로토공_03.여천오수 구조물공_01-3.옥구오수신설  맨홀토공(OPEN-0.3)_01-02.맨홀토공(OPEN-0.3)D-LINE" xfId="1018" xr:uid="{00000000-0005-0000-0000-0000F8030000}"/>
    <cellStyle name="_01.신월 관로토공_01.여천(오수)관로토공_03.여천오수 구조물공_01-3.옥구오수신설  맨홀토공(OPEN-0.3)_01-02.맨홀토공(OPEN-0.3)D-LINE_02.구조물및추진,도달기지토공(D구간)" xfId="1019" xr:uid="{00000000-0005-0000-0000-0000F9030000}"/>
    <cellStyle name="_01.신월 관로토공_01.여천(오수)관로토공_03.여천오수 구조물공_01-3.옥구오수신설  맨홀토공(OPEN-0.3)_01-02.맨홀토공(OPEN-0.3)D-LINE_02.구조물토공(B-LINE)" xfId="1020" xr:uid="{00000000-0005-0000-0000-0000FA030000}"/>
    <cellStyle name="_01.신월 관로토공_01.여천(오수)관로토공_03.여천오수 구조물공_01-3.옥구오수신설  맨홀토공(OPEN-0.3)_02.구조물및추진,도달기지토공(D구간)" xfId="1021" xr:uid="{00000000-0005-0000-0000-0000FB030000}"/>
    <cellStyle name="_01.신월 관로토공_01.여천(오수)관로토공_03.여천오수 구조물공_01-3.옥구오수신설  맨홀토공(OPEN-0.3)_02.구조물토공(B-LINE)" xfId="1022" xr:uid="{00000000-0005-0000-0000-0000FC030000}"/>
    <cellStyle name="_01.신월 관로토공_01.여천(오수)관로토공_03.여천오수 구조물공_01-3.옥서오수신설  맨홀토공(OPEN-0.3)" xfId="1023" xr:uid="{00000000-0005-0000-0000-0000FD030000}"/>
    <cellStyle name="_01.신월 관로토공_01.여천(오수)관로토공_03.여천오수 구조물공_01-3.옥서오수신설  맨홀토공(OPEN-0.3)_01-02.맨홀토공(OPEN-0.3)C-LINE" xfId="1024" xr:uid="{00000000-0005-0000-0000-0000FE030000}"/>
    <cellStyle name="_01.신월 관로토공_01.여천(오수)관로토공_03.여천오수 구조물공_01-3.옥서오수신설  맨홀토공(OPEN-0.3)_01-02.맨홀토공(OPEN-0.3)C-LINE_02.구조물및추진,도달기지토공(D구간)" xfId="1025" xr:uid="{00000000-0005-0000-0000-0000FF030000}"/>
    <cellStyle name="_01.신월 관로토공_01.여천(오수)관로토공_03.여천오수 구조물공_01-3.옥서오수신설  맨홀토공(OPEN-0.3)_01-02.맨홀토공(OPEN-0.3)C-LINE_02.구조물토공(B-LINE)" xfId="1026" xr:uid="{00000000-0005-0000-0000-000000040000}"/>
    <cellStyle name="_01.신월 관로토공_01.여천(오수)관로토공_03.여천오수 구조물공_01-3.옥서오수신설  맨홀토공(OPEN-0.3)_01-02.맨홀토공(OPEN-0.3)D-LINE" xfId="1027" xr:uid="{00000000-0005-0000-0000-000001040000}"/>
    <cellStyle name="_01.신월 관로토공_01.여천(오수)관로토공_03.여천오수 구조물공_01-3.옥서오수신설  맨홀토공(OPEN-0.3)_01-02.맨홀토공(OPEN-0.3)D-LINE_02.구조물및추진,도달기지토공(D구간)" xfId="1028" xr:uid="{00000000-0005-0000-0000-000002040000}"/>
    <cellStyle name="_01.신월 관로토공_01.여천(오수)관로토공_03.여천오수 구조물공_01-3.옥서오수신설  맨홀토공(OPEN-0.3)_01-02.맨홀토공(OPEN-0.3)D-LINE_02.구조물토공(B-LINE)" xfId="1029" xr:uid="{00000000-0005-0000-0000-000003040000}"/>
    <cellStyle name="_01.신월 관로토공_01.여천(오수)관로토공_03.여천오수 구조물공_01-3.옥서오수신설  맨홀토공(OPEN-0.3)_02.구조물및추진,도달기지토공(D구간)" xfId="1030" xr:uid="{00000000-0005-0000-0000-000004040000}"/>
    <cellStyle name="_01.신월 관로토공_01.여천(오수)관로토공_03.여천오수 구조물공_01-3.옥서오수신설  맨홀토공(OPEN-0.3)_02.구조물토공(B-LINE)" xfId="1031" xr:uid="{00000000-0005-0000-0000-000005040000}"/>
    <cellStyle name="_01.신월 관로토공_01.여천(오수)관로토공_03.여천오수 구조물공_02.구조물및추진,도달기지토공(D구간)" xfId="1032" xr:uid="{00000000-0005-0000-0000-000006040000}"/>
    <cellStyle name="_01.신월 관로토공_01.여천(오수)관로토공_03.여천오수 구조물공_02.구조물토공(B-LINE)" xfId="1033" xr:uid="{00000000-0005-0000-0000-000007040000}"/>
    <cellStyle name="_01.신월 관로토공_01.차집 토공" xfId="1034" xr:uid="{00000000-0005-0000-0000-000008040000}"/>
    <cellStyle name="_01.신월 관로토공_01.차집 토공_01.차집 토공" xfId="1035" xr:uid="{00000000-0005-0000-0000-000009040000}"/>
    <cellStyle name="_01.신월 관로토공_01.차집 토공_01.차집 토공_01.차집 토공2" xfId="1036" xr:uid="{00000000-0005-0000-0000-00000A040000}"/>
    <cellStyle name="_01.신월 관로토공_01.차집 토공_01.차집 토공_01.차집 토공2_01-02.맨홀토공(OPEN-0.3)D-LINE" xfId="1037" xr:uid="{00000000-0005-0000-0000-00000B040000}"/>
    <cellStyle name="_01.신월 관로토공_01.차집 토공_01.차집 토공_01.차집 토공2_01-02.맨홀토공(OPEN-0.3)D-LINE_01-02.맨홀토공(OPEN-0.3)C-LINE" xfId="1038" xr:uid="{00000000-0005-0000-0000-00000C040000}"/>
    <cellStyle name="_01.신월 관로토공_01.차집 토공_01.차집 토공_01.차집 토공2_01-02.맨홀토공(OPEN-0.3)D-LINE_01-02.맨홀토공(OPEN-0.3)C-LINE_02.구조물및추진,도달기지토공(D구간)" xfId="1039" xr:uid="{00000000-0005-0000-0000-00000D040000}"/>
    <cellStyle name="_01.신월 관로토공_01.차집 토공_01.차집 토공_01.차집 토공2_01-02.맨홀토공(OPEN-0.3)D-LINE_01-02.맨홀토공(OPEN-0.3)C-LINE_02.구조물토공(B-LINE)" xfId="1040" xr:uid="{00000000-0005-0000-0000-00000E040000}"/>
    <cellStyle name="_01.신월 관로토공_01.차집 토공_01.차집 토공_01.차집 토공2_01-02.맨홀토공(OPEN-0.3)D-LINE_01-02.맨홀토공(OPEN-0.3)D-LINE" xfId="1041" xr:uid="{00000000-0005-0000-0000-00000F040000}"/>
    <cellStyle name="_01.신월 관로토공_01.차집 토공_01.차집 토공_01.차집 토공2_01-02.맨홀토공(OPEN-0.3)D-LINE_01-02.맨홀토공(OPEN-0.3)D-LINE_02.구조물및추진,도달기지토공(D구간)" xfId="1042" xr:uid="{00000000-0005-0000-0000-000010040000}"/>
    <cellStyle name="_01.신월 관로토공_01.차집 토공_01.차집 토공_01.차집 토공2_01-02.맨홀토공(OPEN-0.3)D-LINE_01-02.맨홀토공(OPEN-0.3)D-LINE_02.구조물토공(B-LINE)" xfId="1043" xr:uid="{00000000-0005-0000-0000-000011040000}"/>
    <cellStyle name="_01.신월 관로토공_01.차집 토공_01.차집 토공_01.차집 토공2_01-02.맨홀토공(OPEN-0.3)D-LINE_02.구조물및추진,도달기지토공(D구간)" xfId="1044" xr:uid="{00000000-0005-0000-0000-000012040000}"/>
    <cellStyle name="_01.신월 관로토공_01.차집 토공_01.차집 토공_01.차집 토공2_01-02.맨홀토공(OPEN-0.3)D-LINE_02.구조물토공(B-LINE)" xfId="1045" xr:uid="{00000000-0005-0000-0000-000013040000}"/>
    <cellStyle name="_01.신월 관로토공_01.차집 토공_01.차집 토공_01.차집 토공2_01-3.옥구오수신설  맨홀토공(OPEN-0.3)" xfId="1046" xr:uid="{00000000-0005-0000-0000-000014040000}"/>
    <cellStyle name="_01.신월 관로토공_01.차집 토공_01.차집 토공_01.차집 토공2_01-3.옥구오수신설  맨홀토공(OPEN-0.3)_01-02.맨홀토공(OPEN-0.3)C-LINE" xfId="1047" xr:uid="{00000000-0005-0000-0000-000015040000}"/>
    <cellStyle name="_01.신월 관로토공_01.차집 토공_01.차집 토공_01.차집 토공2_01-3.옥구오수신설  맨홀토공(OPEN-0.3)_01-02.맨홀토공(OPEN-0.3)C-LINE_02.구조물및추진,도달기지토공(D구간)" xfId="1048" xr:uid="{00000000-0005-0000-0000-000016040000}"/>
    <cellStyle name="_01.신월 관로토공_01.차집 토공_01.차집 토공_01.차집 토공2_01-3.옥구오수신설  맨홀토공(OPEN-0.3)_01-02.맨홀토공(OPEN-0.3)C-LINE_02.구조물토공(B-LINE)" xfId="1049" xr:uid="{00000000-0005-0000-0000-000017040000}"/>
    <cellStyle name="_01.신월 관로토공_01.차집 토공_01.차집 토공_01.차집 토공2_01-3.옥구오수신설  맨홀토공(OPEN-0.3)_01-02.맨홀토공(OPEN-0.3)D-LINE" xfId="1050" xr:uid="{00000000-0005-0000-0000-000018040000}"/>
    <cellStyle name="_01.신월 관로토공_01.차집 토공_01.차집 토공_01.차집 토공2_01-3.옥구오수신설  맨홀토공(OPEN-0.3)_01-02.맨홀토공(OPEN-0.3)D-LINE_02.구조물및추진,도달기지토공(D구간)" xfId="1051" xr:uid="{00000000-0005-0000-0000-000019040000}"/>
    <cellStyle name="_01.신월 관로토공_01.차집 토공_01.차집 토공_01.차집 토공2_01-3.옥구오수신설  맨홀토공(OPEN-0.3)_01-02.맨홀토공(OPEN-0.3)D-LINE_02.구조물토공(B-LINE)" xfId="1052" xr:uid="{00000000-0005-0000-0000-00001A040000}"/>
    <cellStyle name="_01.신월 관로토공_01.차집 토공_01.차집 토공_01.차집 토공2_01-3.옥구오수신설  맨홀토공(OPEN-0.3)_02.구조물및추진,도달기지토공(D구간)" xfId="1053" xr:uid="{00000000-0005-0000-0000-00001B040000}"/>
    <cellStyle name="_01.신월 관로토공_01.차집 토공_01.차집 토공_01.차집 토공2_01-3.옥구오수신설  맨홀토공(OPEN-0.3)_02.구조물토공(B-LINE)" xfId="1054" xr:uid="{00000000-0005-0000-0000-00001C040000}"/>
    <cellStyle name="_01.신월 관로토공_01.차집 토공_01.차집 토공_01.차집 토공2_01-3.옥서오수신설  맨홀토공(OPEN-0.3)" xfId="1055" xr:uid="{00000000-0005-0000-0000-00001D040000}"/>
    <cellStyle name="_01.신월 관로토공_01.차집 토공_01.차집 토공_01.차집 토공2_01-3.옥서오수신설  맨홀토공(OPEN-0.3)_01-02.맨홀토공(OPEN-0.3)C-LINE" xfId="1056" xr:uid="{00000000-0005-0000-0000-00001E040000}"/>
    <cellStyle name="_01.신월 관로토공_01.차집 토공_01.차집 토공_01.차집 토공2_01-3.옥서오수신설  맨홀토공(OPEN-0.3)_01-02.맨홀토공(OPEN-0.3)C-LINE_02.구조물및추진,도달기지토공(D구간)" xfId="1057" xr:uid="{00000000-0005-0000-0000-00001F040000}"/>
    <cellStyle name="_01.신월 관로토공_01.차집 토공_01.차집 토공_01.차집 토공2_01-3.옥서오수신설  맨홀토공(OPEN-0.3)_01-02.맨홀토공(OPEN-0.3)C-LINE_02.구조물토공(B-LINE)" xfId="1058" xr:uid="{00000000-0005-0000-0000-000020040000}"/>
    <cellStyle name="_01.신월 관로토공_01.차집 토공_01.차집 토공_01.차집 토공2_01-3.옥서오수신설  맨홀토공(OPEN-0.3)_01-02.맨홀토공(OPEN-0.3)D-LINE" xfId="1059" xr:uid="{00000000-0005-0000-0000-000021040000}"/>
    <cellStyle name="_01.신월 관로토공_01.차집 토공_01.차집 토공_01.차집 토공2_01-3.옥서오수신설  맨홀토공(OPEN-0.3)_01-02.맨홀토공(OPEN-0.3)D-LINE_02.구조물및추진,도달기지토공(D구간)" xfId="1060" xr:uid="{00000000-0005-0000-0000-000022040000}"/>
    <cellStyle name="_01.신월 관로토공_01.차집 토공_01.차집 토공_01.차집 토공2_01-3.옥서오수신설  맨홀토공(OPEN-0.3)_01-02.맨홀토공(OPEN-0.3)D-LINE_02.구조물토공(B-LINE)" xfId="1061" xr:uid="{00000000-0005-0000-0000-000023040000}"/>
    <cellStyle name="_01.신월 관로토공_01.차집 토공_01.차집 토공_01.차집 토공2_01-3.옥서오수신설  맨홀토공(OPEN-0.3)_02.구조물및추진,도달기지토공(D구간)" xfId="1062" xr:uid="{00000000-0005-0000-0000-000024040000}"/>
    <cellStyle name="_01.신월 관로토공_01.차집 토공_01.차집 토공_01.차집 토공2_01-3.옥서오수신설  맨홀토공(OPEN-0.3)_02.구조물토공(B-LINE)" xfId="1063" xr:uid="{00000000-0005-0000-0000-000025040000}"/>
    <cellStyle name="_01.신월 관로토공_01.차집 토공_01.차집 토공_01.차집 토공2_02.구조물및추진,도달기지토공(D구간)" xfId="1064" xr:uid="{00000000-0005-0000-0000-000026040000}"/>
    <cellStyle name="_01.신월 관로토공_01.차집 토공_01.차집 토공_01.차집 토공2_02.구조물토공(B-LINE)" xfId="1065" xr:uid="{00000000-0005-0000-0000-000027040000}"/>
    <cellStyle name="_01.신월 관로토공_01.차집 토공_01.차집 토공_01-02.맨홀토공(OPEN-0.3)D-LINE" xfId="1066" xr:uid="{00000000-0005-0000-0000-000028040000}"/>
    <cellStyle name="_01.신월 관로토공_01.차집 토공_01.차집 토공_01-02.맨홀토공(OPEN-0.3)D-LINE_01-02.맨홀토공(OPEN-0.3)C-LINE" xfId="1067" xr:uid="{00000000-0005-0000-0000-000029040000}"/>
    <cellStyle name="_01.신월 관로토공_01.차집 토공_01.차집 토공_01-02.맨홀토공(OPEN-0.3)D-LINE_01-02.맨홀토공(OPEN-0.3)C-LINE_02.구조물및추진,도달기지토공(D구간)" xfId="1068" xr:uid="{00000000-0005-0000-0000-00002A040000}"/>
    <cellStyle name="_01.신월 관로토공_01.차집 토공_01.차집 토공_01-02.맨홀토공(OPEN-0.3)D-LINE_01-02.맨홀토공(OPEN-0.3)C-LINE_02.구조물토공(B-LINE)" xfId="1069" xr:uid="{00000000-0005-0000-0000-00002B040000}"/>
    <cellStyle name="_01.신월 관로토공_01.차집 토공_01.차집 토공_01-02.맨홀토공(OPEN-0.3)D-LINE_01-02.맨홀토공(OPEN-0.3)D-LINE" xfId="1070" xr:uid="{00000000-0005-0000-0000-00002C040000}"/>
    <cellStyle name="_01.신월 관로토공_01.차집 토공_01.차집 토공_01-02.맨홀토공(OPEN-0.3)D-LINE_01-02.맨홀토공(OPEN-0.3)D-LINE_02.구조물및추진,도달기지토공(D구간)" xfId="1071" xr:uid="{00000000-0005-0000-0000-00002D040000}"/>
    <cellStyle name="_01.신월 관로토공_01.차집 토공_01.차집 토공_01-02.맨홀토공(OPEN-0.3)D-LINE_01-02.맨홀토공(OPEN-0.3)D-LINE_02.구조물토공(B-LINE)" xfId="1072" xr:uid="{00000000-0005-0000-0000-00002E040000}"/>
    <cellStyle name="_01.신월 관로토공_01.차집 토공_01.차집 토공_01-02.맨홀토공(OPEN-0.3)D-LINE_02.구조물및추진,도달기지토공(D구간)" xfId="1073" xr:uid="{00000000-0005-0000-0000-00002F040000}"/>
    <cellStyle name="_01.신월 관로토공_01.차집 토공_01.차집 토공_01-02.맨홀토공(OPEN-0.3)D-LINE_02.구조물토공(B-LINE)" xfId="1074" xr:uid="{00000000-0005-0000-0000-000030040000}"/>
    <cellStyle name="_01.신월 관로토공_01.차집 토공_01.차집 토공_01-3.옥구오수신설  맨홀토공(OPEN-0.3)" xfId="1075" xr:uid="{00000000-0005-0000-0000-000031040000}"/>
    <cellStyle name="_01.신월 관로토공_01.차집 토공_01.차집 토공_01-3.옥구오수신설  맨홀토공(OPEN-0.3)_01-02.맨홀토공(OPEN-0.3)C-LINE" xfId="1076" xr:uid="{00000000-0005-0000-0000-000032040000}"/>
    <cellStyle name="_01.신월 관로토공_01.차집 토공_01.차집 토공_01-3.옥구오수신설  맨홀토공(OPEN-0.3)_01-02.맨홀토공(OPEN-0.3)C-LINE_02.구조물및추진,도달기지토공(D구간)" xfId="1077" xr:uid="{00000000-0005-0000-0000-000033040000}"/>
    <cellStyle name="_01.신월 관로토공_01.차집 토공_01.차집 토공_01-3.옥구오수신설  맨홀토공(OPEN-0.3)_01-02.맨홀토공(OPEN-0.3)C-LINE_02.구조물토공(B-LINE)" xfId="1078" xr:uid="{00000000-0005-0000-0000-000034040000}"/>
    <cellStyle name="_01.신월 관로토공_01.차집 토공_01.차집 토공_01-3.옥구오수신설  맨홀토공(OPEN-0.3)_01-02.맨홀토공(OPEN-0.3)D-LINE" xfId="1079" xr:uid="{00000000-0005-0000-0000-000035040000}"/>
    <cellStyle name="_01.신월 관로토공_01.차집 토공_01.차집 토공_01-3.옥구오수신설  맨홀토공(OPEN-0.3)_01-02.맨홀토공(OPEN-0.3)D-LINE_02.구조물및추진,도달기지토공(D구간)" xfId="1080" xr:uid="{00000000-0005-0000-0000-000036040000}"/>
    <cellStyle name="_01.신월 관로토공_01.차집 토공_01.차집 토공_01-3.옥구오수신설  맨홀토공(OPEN-0.3)_01-02.맨홀토공(OPEN-0.3)D-LINE_02.구조물토공(B-LINE)" xfId="1081" xr:uid="{00000000-0005-0000-0000-000037040000}"/>
    <cellStyle name="_01.신월 관로토공_01.차집 토공_01.차집 토공_01-3.옥구오수신설  맨홀토공(OPEN-0.3)_02.구조물및추진,도달기지토공(D구간)" xfId="1082" xr:uid="{00000000-0005-0000-0000-000038040000}"/>
    <cellStyle name="_01.신월 관로토공_01.차집 토공_01.차집 토공_01-3.옥구오수신설  맨홀토공(OPEN-0.3)_02.구조물토공(B-LINE)" xfId="1083" xr:uid="{00000000-0005-0000-0000-000039040000}"/>
    <cellStyle name="_01.신월 관로토공_01.차집 토공_01.차집 토공_01-3.옥서오수신설  맨홀토공(OPEN-0.3)" xfId="1084" xr:uid="{00000000-0005-0000-0000-00003A040000}"/>
    <cellStyle name="_01.신월 관로토공_01.차집 토공_01.차집 토공_01-3.옥서오수신설  맨홀토공(OPEN-0.3)_01-02.맨홀토공(OPEN-0.3)C-LINE" xfId="1085" xr:uid="{00000000-0005-0000-0000-00003B040000}"/>
    <cellStyle name="_01.신월 관로토공_01.차집 토공_01.차집 토공_01-3.옥서오수신설  맨홀토공(OPEN-0.3)_01-02.맨홀토공(OPEN-0.3)C-LINE_02.구조물및추진,도달기지토공(D구간)" xfId="1086" xr:uid="{00000000-0005-0000-0000-00003C040000}"/>
    <cellStyle name="_01.신월 관로토공_01.차집 토공_01.차집 토공_01-3.옥서오수신설  맨홀토공(OPEN-0.3)_01-02.맨홀토공(OPEN-0.3)C-LINE_02.구조물토공(B-LINE)" xfId="1087" xr:uid="{00000000-0005-0000-0000-00003D040000}"/>
    <cellStyle name="_01.신월 관로토공_01.차집 토공_01.차집 토공_01-3.옥서오수신설  맨홀토공(OPEN-0.3)_01-02.맨홀토공(OPEN-0.3)D-LINE" xfId="1088" xr:uid="{00000000-0005-0000-0000-00003E040000}"/>
    <cellStyle name="_01.신월 관로토공_01.차집 토공_01.차집 토공_01-3.옥서오수신설  맨홀토공(OPEN-0.3)_01-02.맨홀토공(OPEN-0.3)D-LINE_02.구조물및추진,도달기지토공(D구간)" xfId="1089" xr:uid="{00000000-0005-0000-0000-00003F040000}"/>
    <cellStyle name="_01.신월 관로토공_01.차집 토공_01.차집 토공_01-3.옥서오수신설  맨홀토공(OPEN-0.3)_01-02.맨홀토공(OPEN-0.3)D-LINE_02.구조물토공(B-LINE)" xfId="1090" xr:uid="{00000000-0005-0000-0000-000040040000}"/>
    <cellStyle name="_01.신월 관로토공_01.차집 토공_01.차집 토공_01-3.옥서오수신설  맨홀토공(OPEN-0.3)_02.구조물및추진,도달기지토공(D구간)" xfId="1091" xr:uid="{00000000-0005-0000-0000-000041040000}"/>
    <cellStyle name="_01.신월 관로토공_01.차집 토공_01.차집 토공_01-3.옥서오수신설  맨홀토공(OPEN-0.3)_02.구조물토공(B-LINE)" xfId="1092" xr:uid="{00000000-0005-0000-0000-000042040000}"/>
    <cellStyle name="_01.신월 관로토공_01.차집 토공_01.차집 토공_02.구조물및추진,도달기지토공(D구간)" xfId="1093" xr:uid="{00000000-0005-0000-0000-000043040000}"/>
    <cellStyle name="_01.신월 관로토공_01.차집 토공_01.차집 토공_02.구조물토공(B-LINE)" xfId="1094" xr:uid="{00000000-0005-0000-0000-000044040000}"/>
    <cellStyle name="_01.신월 관로토공_01.차집 토공_01-02.맨홀토공(OPEN-0.3)D-LINE" xfId="1095" xr:uid="{00000000-0005-0000-0000-000045040000}"/>
    <cellStyle name="_01.신월 관로토공_01.차집 토공_01-02.맨홀토공(OPEN-0.3)D-LINE_01-02.맨홀토공(OPEN-0.3)C-LINE" xfId="1096" xr:uid="{00000000-0005-0000-0000-000046040000}"/>
    <cellStyle name="_01.신월 관로토공_01.차집 토공_01-02.맨홀토공(OPEN-0.3)D-LINE_01-02.맨홀토공(OPEN-0.3)C-LINE_02.구조물및추진,도달기지토공(D구간)" xfId="1097" xr:uid="{00000000-0005-0000-0000-000047040000}"/>
    <cellStyle name="_01.신월 관로토공_01.차집 토공_01-02.맨홀토공(OPEN-0.3)D-LINE_01-02.맨홀토공(OPEN-0.3)C-LINE_02.구조물토공(B-LINE)" xfId="1098" xr:uid="{00000000-0005-0000-0000-000048040000}"/>
    <cellStyle name="_01.신월 관로토공_01.차집 토공_01-02.맨홀토공(OPEN-0.3)D-LINE_01-02.맨홀토공(OPEN-0.3)D-LINE" xfId="1099" xr:uid="{00000000-0005-0000-0000-000049040000}"/>
    <cellStyle name="_01.신월 관로토공_01.차집 토공_01-02.맨홀토공(OPEN-0.3)D-LINE_01-02.맨홀토공(OPEN-0.3)D-LINE_02.구조물및추진,도달기지토공(D구간)" xfId="1100" xr:uid="{00000000-0005-0000-0000-00004A040000}"/>
    <cellStyle name="_01.신월 관로토공_01.차집 토공_01-02.맨홀토공(OPEN-0.3)D-LINE_01-02.맨홀토공(OPEN-0.3)D-LINE_02.구조물토공(B-LINE)" xfId="1101" xr:uid="{00000000-0005-0000-0000-00004B040000}"/>
    <cellStyle name="_01.신월 관로토공_01.차집 토공_01-02.맨홀토공(OPEN-0.3)D-LINE_02.구조물및추진,도달기지토공(D구간)" xfId="1102" xr:uid="{00000000-0005-0000-0000-00004C040000}"/>
    <cellStyle name="_01.신월 관로토공_01.차집 토공_01-02.맨홀토공(OPEN-0.3)D-LINE_02.구조물토공(B-LINE)" xfId="1103" xr:uid="{00000000-0005-0000-0000-00004D040000}"/>
    <cellStyle name="_01.신월 관로토공_01.차집 토공_01-3.옥구오수신설  맨홀토공(OPEN-0.3)" xfId="1104" xr:uid="{00000000-0005-0000-0000-00004E040000}"/>
    <cellStyle name="_01.신월 관로토공_01.차집 토공_01-3.옥구오수신설  맨홀토공(OPEN-0.3)_01-02.맨홀토공(OPEN-0.3)C-LINE" xfId="1105" xr:uid="{00000000-0005-0000-0000-00004F040000}"/>
    <cellStyle name="_01.신월 관로토공_01.차집 토공_01-3.옥구오수신설  맨홀토공(OPEN-0.3)_01-02.맨홀토공(OPEN-0.3)C-LINE_02.구조물및추진,도달기지토공(D구간)" xfId="1106" xr:uid="{00000000-0005-0000-0000-000050040000}"/>
    <cellStyle name="_01.신월 관로토공_01.차집 토공_01-3.옥구오수신설  맨홀토공(OPEN-0.3)_01-02.맨홀토공(OPEN-0.3)C-LINE_02.구조물토공(B-LINE)" xfId="1107" xr:uid="{00000000-0005-0000-0000-000051040000}"/>
    <cellStyle name="_01.신월 관로토공_01.차집 토공_01-3.옥구오수신설  맨홀토공(OPEN-0.3)_01-02.맨홀토공(OPEN-0.3)D-LINE" xfId="1108" xr:uid="{00000000-0005-0000-0000-000052040000}"/>
    <cellStyle name="_01.신월 관로토공_01.차집 토공_01-3.옥구오수신설  맨홀토공(OPEN-0.3)_01-02.맨홀토공(OPEN-0.3)D-LINE_02.구조물및추진,도달기지토공(D구간)" xfId="1109" xr:uid="{00000000-0005-0000-0000-000053040000}"/>
    <cellStyle name="_01.신월 관로토공_01.차집 토공_01-3.옥구오수신설  맨홀토공(OPEN-0.3)_01-02.맨홀토공(OPEN-0.3)D-LINE_02.구조물토공(B-LINE)" xfId="1110" xr:uid="{00000000-0005-0000-0000-000054040000}"/>
    <cellStyle name="_01.신월 관로토공_01.차집 토공_01-3.옥구오수신설  맨홀토공(OPEN-0.3)_02.구조물및추진,도달기지토공(D구간)" xfId="1111" xr:uid="{00000000-0005-0000-0000-000055040000}"/>
    <cellStyle name="_01.신월 관로토공_01.차집 토공_01-3.옥구오수신설  맨홀토공(OPEN-0.3)_02.구조물토공(B-LINE)" xfId="1112" xr:uid="{00000000-0005-0000-0000-000056040000}"/>
    <cellStyle name="_01.신월 관로토공_01.차집 토공_01-3.옥서오수신설  맨홀토공(OPEN-0.3)" xfId="1113" xr:uid="{00000000-0005-0000-0000-000057040000}"/>
    <cellStyle name="_01.신월 관로토공_01.차집 토공_01-3.옥서오수신설  맨홀토공(OPEN-0.3)_01-02.맨홀토공(OPEN-0.3)C-LINE" xfId="1114" xr:uid="{00000000-0005-0000-0000-000058040000}"/>
    <cellStyle name="_01.신월 관로토공_01.차집 토공_01-3.옥서오수신설  맨홀토공(OPEN-0.3)_01-02.맨홀토공(OPEN-0.3)C-LINE_02.구조물및추진,도달기지토공(D구간)" xfId="1115" xr:uid="{00000000-0005-0000-0000-000059040000}"/>
    <cellStyle name="_01.신월 관로토공_01.차집 토공_01-3.옥서오수신설  맨홀토공(OPEN-0.3)_01-02.맨홀토공(OPEN-0.3)C-LINE_02.구조물토공(B-LINE)" xfId="1116" xr:uid="{00000000-0005-0000-0000-00005A040000}"/>
    <cellStyle name="_01.신월 관로토공_01.차집 토공_01-3.옥서오수신설  맨홀토공(OPEN-0.3)_01-02.맨홀토공(OPEN-0.3)D-LINE" xfId="1117" xr:uid="{00000000-0005-0000-0000-00005B040000}"/>
    <cellStyle name="_01.신월 관로토공_01.차집 토공_01-3.옥서오수신설  맨홀토공(OPEN-0.3)_01-02.맨홀토공(OPEN-0.3)D-LINE_02.구조물및추진,도달기지토공(D구간)" xfId="1118" xr:uid="{00000000-0005-0000-0000-00005C040000}"/>
    <cellStyle name="_01.신월 관로토공_01.차집 토공_01-3.옥서오수신설  맨홀토공(OPEN-0.3)_01-02.맨홀토공(OPEN-0.3)D-LINE_02.구조물토공(B-LINE)" xfId="1119" xr:uid="{00000000-0005-0000-0000-00005D040000}"/>
    <cellStyle name="_01.신월 관로토공_01.차집 토공_01-3.옥서오수신설  맨홀토공(OPEN-0.3)_02.구조물및추진,도달기지토공(D구간)" xfId="1120" xr:uid="{00000000-0005-0000-0000-00005E040000}"/>
    <cellStyle name="_01.신월 관로토공_01.차집 토공_01-3.옥서오수신설  맨홀토공(OPEN-0.3)_02.구조물토공(B-LINE)" xfId="1121" xr:uid="{00000000-0005-0000-0000-00005F040000}"/>
    <cellStyle name="_01.신월 관로토공_01.차집 토공_02.구조물및추진,도달기지토공(D구간)" xfId="1122" xr:uid="{00000000-0005-0000-0000-000060040000}"/>
    <cellStyle name="_01.신월 관로토공_01.차집 토공_02.구조물토공(B-LINE)" xfId="1123" xr:uid="{00000000-0005-0000-0000-000061040000}"/>
    <cellStyle name="_01.신월 관로토공_01.차집 토공2" xfId="1124" xr:uid="{00000000-0005-0000-0000-000062040000}"/>
    <cellStyle name="_01.신월 관로토공_01.차집 토공2_01-02.맨홀토공(OPEN-0.3)D-LINE" xfId="1125" xr:uid="{00000000-0005-0000-0000-000063040000}"/>
    <cellStyle name="_01.신월 관로토공_01.차집 토공2_01-02.맨홀토공(OPEN-0.3)D-LINE_01-02.맨홀토공(OPEN-0.3)C-LINE" xfId="1126" xr:uid="{00000000-0005-0000-0000-000064040000}"/>
    <cellStyle name="_01.신월 관로토공_01.차집 토공2_01-02.맨홀토공(OPEN-0.3)D-LINE_01-02.맨홀토공(OPEN-0.3)C-LINE_02.구조물및추진,도달기지토공(D구간)" xfId="1127" xr:uid="{00000000-0005-0000-0000-000065040000}"/>
    <cellStyle name="_01.신월 관로토공_01.차집 토공2_01-02.맨홀토공(OPEN-0.3)D-LINE_01-02.맨홀토공(OPEN-0.3)C-LINE_02.구조물토공(B-LINE)" xfId="1128" xr:uid="{00000000-0005-0000-0000-000066040000}"/>
    <cellStyle name="_01.신월 관로토공_01.차집 토공2_01-02.맨홀토공(OPEN-0.3)D-LINE_01-02.맨홀토공(OPEN-0.3)D-LINE" xfId="1129" xr:uid="{00000000-0005-0000-0000-000067040000}"/>
    <cellStyle name="_01.신월 관로토공_01.차집 토공2_01-02.맨홀토공(OPEN-0.3)D-LINE_01-02.맨홀토공(OPEN-0.3)D-LINE_02.구조물및추진,도달기지토공(D구간)" xfId="1130" xr:uid="{00000000-0005-0000-0000-000068040000}"/>
    <cellStyle name="_01.신월 관로토공_01.차집 토공2_01-02.맨홀토공(OPEN-0.3)D-LINE_01-02.맨홀토공(OPEN-0.3)D-LINE_02.구조물토공(B-LINE)" xfId="1131" xr:uid="{00000000-0005-0000-0000-000069040000}"/>
    <cellStyle name="_01.신월 관로토공_01.차집 토공2_01-02.맨홀토공(OPEN-0.3)D-LINE_02.구조물및추진,도달기지토공(D구간)" xfId="1132" xr:uid="{00000000-0005-0000-0000-00006A040000}"/>
    <cellStyle name="_01.신월 관로토공_01.차집 토공2_01-02.맨홀토공(OPEN-0.3)D-LINE_02.구조물토공(B-LINE)" xfId="1133" xr:uid="{00000000-0005-0000-0000-00006B040000}"/>
    <cellStyle name="_01.신월 관로토공_01.차집 토공2_01-3.옥구오수신설  맨홀토공(OPEN-0.3)" xfId="1134" xr:uid="{00000000-0005-0000-0000-00006C040000}"/>
    <cellStyle name="_01.신월 관로토공_01.차집 토공2_01-3.옥구오수신설  맨홀토공(OPEN-0.3)_01-02.맨홀토공(OPEN-0.3)C-LINE" xfId="1135" xr:uid="{00000000-0005-0000-0000-00006D040000}"/>
    <cellStyle name="_01.신월 관로토공_01.차집 토공2_01-3.옥구오수신설  맨홀토공(OPEN-0.3)_01-02.맨홀토공(OPEN-0.3)C-LINE_02.구조물및추진,도달기지토공(D구간)" xfId="1136" xr:uid="{00000000-0005-0000-0000-00006E040000}"/>
    <cellStyle name="_01.신월 관로토공_01.차집 토공2_01-3.옥구오수신설  맨홀토공(OPEN-0.3)_01-02.맨홀토공(OPEN-0.3)C-LINE_02.구조물토공(B-LINE)" xfId="1137" xr:uid="{00000000-0005-0000-0000-00006F040000}"/>
    <cellStyle name="_01.신월 관로토공_01.차집 토공2_01-3.옥구오수신설  맨홀토공(OPEN-0.3)_01-02.맨홀토공(OPEN-0.3)D-LINE" xfId="1138" xr:uid="{00000000-0005-0000-0000-000070040000}"/>
    <cellStyle name="_01.신월 관로토공_01.차집 토공2_01-3.옥구오수신설  맨홀토공(OPEN-0.3)_01-02.맨홀토공(OPEN-0.3)D-LINE_02.구조물및추진,도달기지토공(D구간)" xfId="1139" xr:uid="{00000000-0005-0000-0000-000071040000}"/>
    <cellStyle name="_01.신월 관로토공_01.차집 토공2_01-3.옥구오수신설  맨홀토공(OPEN-0.3)_01-02.맨홀토공(OPEN-0.3)D-LINE_02.구조물토공(B-LINE)" xfId="1140" xr:uid="{00000000-0005-0000-0000-000072040000}"/>
    <cellStyle name="_01.신월 관로토공_01.차집 토공2_01-3.옥구오수신설  맨홀토공(OPEN-0.3)_02.구조물및추진,도달기지토공(D구간)" xfId="1141" xr:uid="{00000000-0005-0000-0000-000073040000}"/>
    <cellStyle name="_01.신월 관로토공_01.차집 토공2_01-3.옥구오수신설  맨홀토공(OPEN-0.3)_02.구조물토공(B-LINE)" xfId="1142" xr:uid="{00000000-0005-0000-0000-000074040000}"/>
    <cellStyle name="_01.신월 관로토공_01.차집 토공2_01-3.옥서오수신설  맨홀토공(OPEN-0.3)" xfId="1143" xr:uid="{00000000-0005-0000-0000-000075040000}"/>
    <cellStyle name="_01.신월 관로토공_01.차집 토공2_01-3.옥서오수신설  맨홀토공(OPEN-0.3)_01-02.맨홀토공(OPEN-0.3)C-LINE" xfId="1144" xr:uid="{00000000-0005-0000-0000-000076040000}"/>
    <cellStyle name="_01.신월 관로토공_01.차집 토공2_01-3.옥서오수신설  맨홀토공(OPEN-0.3)_01-02.맨홀토공(OPEN-0.3)C-LINE_02.구조물및추진,도달기지토공(D구간)" xfId="1145" xr:uid="{00000000-0005-0000-0000-000077040000}"/>
    <cellStyle name="_01.신월 관로토공_01.차집 토공2_01-3.옥서오수신설  맨홀토공(OPEN-0.3)_01-02.맨홀토공(OPEN-0.3)C-LINE_02.구조물토공(B-LINE)" xfId="1146" xr:uid="{00000000-0005-0000-0000-000078040000}"/>
    <cellStyle name="_01.신월 관로토공_01.차집 토공2_01-3.옥서오수신설  맨홀토공(OPEN-0.3)_01-02.맨홀토공(OPEN-0.3)D-LINE" xfId="1147" xr:uid="{00000000-0005-0000-0000-000079040000}"/>
    <cellStyle name="_01.신월 관로토공_01.차집 토공2_01-3.옥서오수신설  맨홀토공(OPEN-0.3)_01-02.맨홀토공(OPEN-0.3)D-LINE_02.구조물및추진,도달기지토공(D구간)" xfId="1148" xr:uid="{00000000-0005-0000-0000-00007A040000}"/>
    <cellStyle name="_01.신월 관로토공_01.차집 토공2_01-3.옥서오수신설  맨홀토공(OPEN-0.3)_01-02.맨홀토공(OPEN-0.3)D-LINE_02.구조물토공(B-LINE)" xfId="1149" xr:uid="{00000000-0005-0000-0000-00007B040000}"/>
    <cellStyle name="_01.신월 관로토공_01.차집 토공2_01-3.옥서오수신설  맨홀토공(OPEN-0.3)_02.구조물및추진,도달기지토공(D구간)" xfId="1150" xr:uid="{00000000-0005-0000-0000-00007C040000}"/>
    <cellStyle name="_01.신월 관로토공_01.차집 토공2_01-3.옥서오수신설  맨홀토공(OPEN-0.3)_02.구조물토공(B-LINE)" xfId="1151" xr:uid="{00000000-0005-0000-0000-00007D040000}"/>
    <cellStyle name="_01.신월 관로토공_01.차집 토공2_02.구조물및추진,도달기지토공(D구간)" xfId="1152" xr:uid="{00000000-0005-0000-0000-00007E040000}"/>
    <cellStyle name="_01.신월 관로토공_01.차집 토공2_02.구조물토공(B-LINE)" xfId="1153" xr:uid="{00000000-0005-0000-0000-00007F040000}"/>
    <cellStyle name="_01.신월 관로토공_01.토공(오수)" xfId="1154" xr:uid="{00000000-0005-0000-0000-000080040000}"/>
    <cellStyle name="_01.신월 관로토공_01.토공(오수)_01.여천오수 토공" xfId="1155" xr:uid="{00000000-0005-0000-0000-000081040000}"/>
    <cellStyle name="_01.신월 관로토공_01.토공(오수)_01.여천오수 토공_01-02.맨홀토공(OPEN-0.3)D-LINE" xfId="1156" xr:uid="{00000000-0005-0000-0000-000082040000}"/>
    <cellStyle name="_01.신월 관로토공_01.토공(오수)_01.여천오수 토공_01-02.맨홀토공(OPEN-0.3)D-LINE_01-02.맨홀토공(OPEN-0.3)C-LINE" xfId="1157" xr:uid="{00000000-0005-0000-0000-000083040000}"/>
    <cellStyle name="_01.신월 관로토공_01.토공(오수)_01.여천오수 토공_01-02.맨홀토공(OPEN-0.3)D-LINE_01-02.맨홀토공(OPEN-0.3)C-LINE_02.구조물및추진,도달기지토공(D구간)" xfId="1158" xr:uid="{00000000-0005-0000-0000-000084040000}"/>
    <cellStyle name="_01.신월 관로토공_01.토공(오수)_01.여천오수 토공_01-02.맨홀토공(OPEN-0.3)D-LINE_01-02.맨홀토공(OPEN-0.3)C-LINE_02.구조물토공(B-LINE)" xfId="1159" xr:uid="{00000000-0005-0000-0000-000085040000}"/>
    <cellStyle name="_01.신월 관로토공_01.토공(오수)_01.여천오수 토공_01-02.맨홀토공(OPEN-0.3)D-LINE_01-02.맨홀토공(OPEN-0.3)D-LINE" xfId="1160" xr:uid="{00000000-0005-0000-0000-000086040000}"/>
    <cellStyle name="_01.신월 관로토공_01.토공(오수)_01.여천오수 토공_01-02.맨홀토공(OPEN-0.3)D-LINE_01-02.맨홀토공(OPEN-0.3)D-LINE_02.구조물및추진,도달기지토공(D구간)" xfId="1161" xr:uid="{00000000-0005-0000-0000-000087040000}"/>
    <cellStyle name="_01.신월 관로토공_01.토공(오수)_01.여천오수 토공_01-02.맨홀토공(OPEN-0.3)D-LINE_01-02.맨홀토공(OPEN-0.3)D-LINE_02.구조물토공(B-LINE)" xfId="1162" xr:uid="{00000000-0005-0000-0000-000088040000}"/>
    <cellStyle name="_01.신월 관로토공_01.토공(오수)_01.여천오수 토공_01-02.맨홀토공(OPEN-0.3)D-LINE_02.구조물및추진,도달기지토공(D구간)" xfId="1163" xr:uid="{00000000-0005-0000-0000-000089040000}"/>
    <cellStyle name="_01.신월 관로토공_01.토공(오수)_01.여천오수 토공_01-02.맨홀토공(OPEN-0.3)D-LINE_02.구조물토공(B-LINE)" xfId="1164" xr:uid="{00000000-0005-0000-0000-00008A040000}"/>
    <cellStyle name="_01.신월 관로토공_01.토공(오수)_01.여천오수 토공_01-3.옥구오수신설  맨홀토공(OPEN-0.3)" xfId="1165" xr:uid="{00000000-0005-0000-0000-00008B040000}"/>
    <cellStyle name="_01.신월 관로토공_01.토공(오수)_01.여천오수 토공_01-3.옥구오수신설  맨홀토공(OPEN-0.3)_01-02.맨홀토공(OPEN-0.3)C-LINE" xfId="1166" xr:uid="{00000000-0005-0000-0000-00008C040000}"/>
    <cellStyle name="_01.신월 관로토공_01.토공(오수)_01.여천오수 토공_01-3.옥구오수신설  맨홀토공(OPEN-0.3)_01-02.맨홀토공(OPEN-0.3)C-LINE_02.구조물및추진,도달기지토공(D구간)" xfId="1167" xr:uid="{00000000-0005-0000-0000-00008D040000}"/>
    <cellStyle name="_01.신월 관로토공_01.토공(오수)_01.여천오수 토공_01-3.옥구오수신설  맨홀토공(OPEN-0.3)_01-02.맨홀토공(OPEN-0.3)C-LINE_02.구조물토공(B-LINE)" xfId="1168" xr:uid="{00000000-0005-0000-0000-00008E040000}"/>
    <cellStyle name="_01.신월 관로토공_01.토공(오수)_01.여천오수 토공_01-3.옥구오수신설  맨홀토공(OPEN-0.3)_01-02.맨홀토공(OPEN-0.3)D-LINE" xfId="1169" xr:uid="{00000000-0005-0000-0000-00008F040000}"/>
    <cellStyle name="_01.신월 관로토공_01.토공(오수)_01.여천오수 토공_01-3.옥구오수신설  맨홀토공(OPEN-0.3)_01-02.맨홀토공(OPEN-0.3)D-LINE_02.구조물및추진,도달기지토공(D구간)" xfId="1170" xr:uid="{00000000-0005-0000-0000-000090040000}"/>
    <cellStyle name="_01.신월 관로토공_01.토공(오수)_01.여천오수 토공_01-3.옥구오수신설  맨홀토공(OPEN-0.3)_01-02.맨홀토공(OPEN-0.3)D-LINE_02.구조물토공(B-LINE)" xfId="1171" xr:uid="{00000000-0005-0000-0000-000091040000}"/>
    <cellStyle name="_01.신월 관로토공_01.토공(오수)_01.여천오수 토공_01-3.옥구오수신설  맨홀토공(OPEN-0.3)_02.구조물및추진,도달기지토공(D구간)" xfId="1172" xr:uid="{00000000-0005-0000-0000-000092040000}"/>
    <cellStyle name="_01.신월 관로토공_01.토공(오수)_01.여천오수 토공_01-3.옥구오수신설  맨홀토공(OPEN-0.3)_02.구조물토공(B-LINE)" xfId="1173" xr:uid="{00000000-0005-0000-0000-000093040000}"/>
    <cellStyle name="_01.신월 관로토공_01.토공(오수)_01.여천오수 토공_01-3.옥서오수신설  맨홀토공(OPEN-0.3)" xfId="1174" xr:uid="{00000000-0005-0000-0000-000094040000}"/>
    <cellStyle name="_01.신월 관로토공_01.토공(오수)_01.여천오수 토공_01-3.옥서오수신설  맨홀토공(OPEN-0.3)_01-02.맨홀토공(OPEN-0.3)C-LINE" xfId="1175" xr:uid="{00000000-0005-0000-0000-000095040000}"/>
    <cellStyle name="_01.신월 관로토공_01.토공(오수)_01.여천오수 토공_01-3.옥서오수신설  맨홀토공(OPEN-0.3)_01-02.맨홀토공(OPEN-0.3)C-LINE_02.구조물및추진,도달기지토공(D구간)" xfId="1176" xr:uid="{00000000-0005-0000-0000-000096040000}"/>
    <cellStyle name="_01.신월 관로토공_01.토공(오수)_01.여천오수 토공_01-3.옥서오수신설  맨홀토공(OPEN-0.3)_01-02.맨홀토공(OPEN-0.3)C-LINE_02.구조물토공(B-LINE)" xfId="1177" xr:uid="{00000000-0005-0000-0000-000097040000}"/>
    <cellStyle name="_01.신월 관로토공_01.토공(오수)_01.여천오수 토공_01-3.옥서오수신설  맨홀토공(OPEN-0.3)_01-02.맨홀토공(OPEN-0.3)D-LINE" xfId="1178" xr:uid="{00000000-0005-0000-0000-000098040000}"/>
    <cellStyle name="_01.신월 관로토공_01.토공(오수)_01.여천오수 토공_01-3.옥서오수신설  맨홀토공(OPEN-0.3)_01-02.맨홀토공(OPEN-0.3)D-LINE_02.구조물및추진,도달기지토공(D구간)" xfId="1179" xr:uid="{00000000-0005-0000-0000-000099040000}"/>
    <cellStyle name="_01.신월 관로토공_01.토공(오수)_01.여천오수 토공_01-3.옥서오수신설  맨홀토공(OPEN-0.3)_01-02.맨홀토공(OPEN-0.3)D-LINE_02.구조물토공(B-LINE)" xfId="1180" xr:uid="{00000000-0005-0000-0000-00009A040000}"/>
    <cellStyle name="_01.신월 관로토공_01.토공(오수)_01.여천오수 토공_01-3.옥서오수신설  맨홀토공(OPEN-0.3)_02.구조물및추진,도달기지토공(D구간)" xfId="1181" xr:uid="{00000000-0005-0000-0000-00009B040000}"/>
    <cellStyle name="_01.신월 관로토공_01.토공(오수)_01.여천오수 토공_01-3.옥서오수신설  맨홀토공(OPEN-0.3)_02.구조물토공(B-LINE)" xfId="1182" xr:uid="{00000000-0005-0000-0000-00009C040000}"/>
    <cellStyle name="_01.신월 관로토공_01.토공(오수)_01.여천오수 토공_02.구조물및추진,도달기지토공(D구간)" xfId="1183" xr:uid="{00000000-0005-0000-0000-00009D040000}"/>
    <cellStyle name="_01.신월 관로토공_01.토공(오수)_01.여천오수 토공_02.구조물토공(B-LINE)" xfId="1184" xr:uid="{00000000-0005-0000-0000-00009E040000}"/>
    <cellStyle name="_01.신월 관로토공_01.토공(오수)_01.차집 토공2" xfId="1185" xr:uid="{00000000-0005-0000-0000-00009F040000}"/>
    <cellStyle name="_01.신월 관로토공_01.토공(오수)_01.차집 토공2_01-02.맨홀토공(OPEN-0.3)D-LINE" xfId="1186" xr:uid="{00000000-0005-0000-0000-0000A0040000}"/>
    <cellStyle name="_01.신월 관로토공_01.토공(오수)_01.차집 토공2_01-02.맨홀토공(OPEN-0.3)D-LINE_01-02.맨홀토공(OPEN-0.3)C-LINE" xfId="1187" xr:uid="{00000000-0005-0000-0000-0000A1040000}"/>
    <cellStyle name="_01.신월 관로토공_01.토공(오수)_01.차집 토공2_01-02.맨홀토공(OPEN-0.3)D-LINE_01-02.맨홀토공(OPEN-0.3)C-LINE_02.구조물및추진,도달기지토공(D구간)" xfId="1188" xr:uid="{00000000-0005-0000-0000-0000A2040000}"/>
    <cellStyle name="_01.신월 관로토공_01.토공(오수)_01.차집 토공2_01-02.맨홀토공(OPEN-0.3)D-LINE_01-02.맨홀토공(OPEN-0.3)C-LINE_02.구조물토공(B-LINE)" xfId="1189" xr:uid="{00000000-0005-0000-0000-0000A3040000}"/>
    <cellStyle name="_01.신월 관로토공_01.토공(오수)_01.차집 토공2_01-02.맨홀토공(OPEN-0.3)D-LINE_01-02.맨홀토공(OPEN-0.3)D-LINE" xfId="1190" xr:uid="{00000000-0005-0000-0000-0000A4040000}"/>
    <cellStyle name="_01.신월 관로토공_01.토공(오수)_01.차집 토공2_01-02.맨홀토공(OPEN-0.3)D-LINE_01-02.맨홀토공(OPEN-0.3)D-LINE_02.구조물및추진,도달기지토공(D구간)" xfId="1191" xr:uid="{00000000-0005-0000-0000-0000A5040000}"/>
    <cellStyle name="_01.신월 관로토공_01.토공(오수)_01.차집 토공2_01-02.맨홀토공(OPEN-0.3)D-LINE_01-02.맨홀토공(OPEN-0.3)D-LINE_02.구조물토공(B-LINE)" xfId="1192" xr:uid="{00000000-0005-0000-0000-0000A6040000}"/>
    <cellStyle name="_01.신월 관로토공_01.토공(오수)_01.차집 토공2_01-02.맨홀토공(OPEN-0.3)D-LINE_02.구조물및추진,도달기지토공(D구간)" xfId="1193" xr:uid="{00000000-0005-0000-0000-0000A7040000}"/>
    <cellStyle name="_01.신월 관로토공_01.토공(오수)_01.차집 토공2_01-02.맨홀토공(OPEN-0.3)D-LINE_02.구조물토공(B-LINE)" xfId="1194" xr:uid="{00000000-0005-0000-0000-0000A8040000}"/>
    <cellStyle name="_01.신월 관로토공_01.토공(오수)_01.차집 토공2_01-3.옥구오수신설  맨홀토공(OPEN-0.3)" xfId="1195" xr:uid="{00000000-0005-0000-0000-0000A9040000}"/>
    <cellStyle name="_01.신월 관로토공_01.토공(오수)_01.차집 토공2_01-3.옥구오수신설  맨홀토공(OPEN-0.3)_01-02.맨홀토공(OPEN-0.3)C-LINE" xfId="1196" xr:uid="{00000000-0005-0000-0000-0000AA040000}"/>
    <cellStyle name="_01.신월 관로토공_01.토공(오수)_01.차집 토공2_01-3.옥구오수신설  맨홀토공(OPEN-0.3)_01-02.맨홀토공(OPEN-0.3)C-LINE_02.구조물및추진,도달기지토공(D구간)" xfId="1197" xr:uid="{00000000-0005-0000-0000-0000AB040000}"/>
    <cellStyle name="_01.신월 관로토공_01.토공(오수)_01.차집 토공2_01-3.옥구오수신설  맨홀토공(OPEN-0.3)_01-02.맨홀토공(OPEN-0.3)C-LINE_02.구조물토공(B-LINE)" xfId="1198" xr:uid="{00000000-0005-0000-0000-0000AC040000}"/>
    <cellStyle name="_01.신월 관로토공_01.토공(오수)_01.차집 토공2_01-3.옥구오수신설  맨홀토공(OPEN-0.3)_01-02.맨홀토공(OPEN-0.3)D-LINE" xfId="1199" xr:uid="{00000000-0005-0000-0000-0000AD040000}"/>
    <cellStyle name="_01.신월 관로토공_01.토공(오수)_01.차집 토공2_01-3.옥구오수신설  맨홀토공(OPEN-0.3)_01-02.맨홀토공(OPEN-0.3)D-LINE_02.구조물및추진,도달기지토공(D구간)" xfId="1200" xr:uid="{00000000-0005-0000-0000-0000AE040000}"/>
    <cellStyle name="_01.신월 관로토공_01.토공(오수)_01.차집 토공2_01-3.옥구오수신설  맨홀토공(OPEN-0.3)_01-02.맨홀토공(OPEN-0.3)D-LINE_02.구조물토공(B-LINE)" xfId="1201" xr:uid="{00000000-0005-0000-0000-0000AF040000}"/>
    <cellStyle name="_01.신월 관로토공_01.토공(오수)_01.차집 토공2_01-3.옥구오수신설  맨홀토공(OPEN-0.3)_02.구조물및추진,도달기지토공(D구간)" xfId="1202" xr:uid="{00000000-0005-0000-0000-0000B0040000}"/>
    <cellStyle name="_01.신월 관로토공_01.토공(오수)_01.차집 토공2_01-3.옥구오수신설  맨홀토공(OPEN-0.3)_02.구조물토공(B-LINE)" xfId="1203" xr:uid="{00000000-0005-0000-0000-0000B1040000}"/>
    <cellStyle name="_01.신월 관로토공_01.토공(오수)_01.차집 토공2_01-3.옥서오수신설  맨홀토공(OPEN-0.3)" xfId="1204" xr:uid="{00000000-0005-0000-0000-0000B2040000}"/>
    <cellStyle name="_01.신월 관로토공_01.토공(오수)_01.차집 토공2_01-3.옥서오수신설  맨홀토공(OPEN-0.3)_01-02.맨홀토공(OPEN-0.3)C-LINE" xfId="1205" xr:uid="{00000000-0005-0000-0000-0000B3040000}"/>
    <cellStyle name="_01.신월 관로토공_01.토공(오수)_01.차집 토공2_01-3.옥서오수신설  맨홀토공(OPEN-0.3)_01-02.맨홀토공(OPEN-0.3)C-LINE_02.구조물및추진,도달기지토공(D구간)" xfId="1206" xr:uid="{00000000-0005-0000-0000-0000B4040000}"/>
    <cellStyle name="_01.신월 관로토공_01.토공(오수)_01.차집 토공2_01-3.옥서오수신설  맨홀토공(OPEN-0.3)_01-02.맨홀토공(OPEN-0.3)C-LINE_02.구조물토공(B-LINE)" xfId="1207" xr:uid="{00000000-0005-0000-0000-0000B5040000}"/>
    <cellStyle name="_01.신월 관로토공_01.토공(오수)_01.차집 토공2_01-3.옥서오수신설  맨홀토공(OPEN-0.3)_01-02.맨홀토공(OPEN-0.3)D-LINE" xfId="1208" xr:uid="{00000000-0005-0000-0000-0000B6040000}"/>
    <cellStyle name="_01.신월 관로토공_01.토공(오수)_01.차집 토공2_01-3.옥서오수신설  맨홀토공(OPEN-0.3)_01-02.맨홀토공(OPEN-0.3)D-LINE_02.구조물및추진,도달기지토공(D구간)" xfId="1209" xr:uid="{00000000-0005-0000-0000-0000B7040000}"/>
    <cellStyle name="_01.신월 관로토공_01.토공(오수)_01.차집 토공2_01-3.옥서오수신설  맨홀토공(OPEN-0.3)_01-02.맨홀토공(OPEN-0.3)D-LINE_02.구조물토공(B-LINE)" xfId="1210" xr:uid="{00000000-0005-0000-0000-0000B8040000}"/>
    <cellStyle name="_01.신월 관로토공_01.토공(오수)_01.차집 토공2_01-3.옥서오수신설  맨홀토공(OPEN-0.3)_02.구조물및추진,도달기지토공(D구간)" xfId="1211" xr:uid="{00000000-0005-0000-0000-0000B9040000}"/>
    <cellStyle name="_01.신월 관로토공_01.토공(오수)_01.차집 토공2_01-3.옥서오수신설  맨홀토공(OPEN-0.3)_02.구조물토공(B-LINE)" xfId="1212" xr:uid="{00000000-0005-0000-0000-0000BA040000}"/>
    <cellStyle name="_01.신월 관로토공_01.토공(오수)_01.차집 토공2_02.구조물및추진,도달기지토공(D구간)" xfId="1213" xr:uid="{00000000-0005-0000-0000-0000BB040000}"/>
    <cellStyle name="_01.신월 관로토공_01.토공(오수)_01.차집 토공2_02.구조물토공(B-LINE)" xfId="1214" xr:uid="{00000000-0005-0000-0000-0000BC040000}"/>
    <cellStyle name="_01.신월 관로토공_01.토공(오수)_01.토공" xfId="1215" xr:uid="{00000000-0005-0000-0000-0000BD040000}"/>
    <cellStyle name="_01.신월 관로토공_01.토공(오수)_01.토공_01-02.맨홀토공(OPEN-0.3)D-LINE" xfId="1216" xr:uid="{00000000-0005-0000-0000-0000BE040000}"/>
    <cellStyle name="_01.신월 관로토공_01.토공(오수)_01.토공_01-02.맨홀토공(OPEN-0.3)D-LINE_01-02.맨홀토공(OPEN-0.3)C-LINE" xfId="1217" xr:uid="{00000000-0005-0000-0000-0000BF040000}"/>
    <cellStyle name="_01.신월 관로토공_01.토공(오수)_01.토공_01-02.맨홀토공(OPEN-0.3)D-LINE_01-02.맨홀토공(OPEN-0.3)C-LINE_02.구조물및추진,도달기지토공(D구간)" xfId="1218" xr:uid="{00000000-0005-0000-0000-0000C0040000}"/>
    <cellStyle name="_01.신월 관로토공_01.토공(오수)_01.토공_01-02.맨홀토공(OPEN-0.3)D-LINE_01-02.맨홀토공(OPEN-0.3)C-LINE_02.구조물토공(B-LINE)" xfId="1219" xr:uid="{00000000-0005-0000-0000-0000C1040000}"/>
    <cellStyle name="_01.신월 관로토공_01.토공(오수)_01.토공_01-02.맨홀토공(OPEN-0.3)D-LINE_01-02.맨홀토공(OPEN-0.3)D-LINE" xfId="1220" xr:uid="{00000000-0005-0000-0000-0000C2040000}"/>
    <cellStyle name="_01.신월 관로토공_01.토공(오수)_01.토공_01-02.맨홀토공(OPEN-0.3)D-LINE_01-02.맨홀토공(OPEN-0.3)D-LINE_02.구조물및추진,도달기지토공(D구간)" xfId="1221" xr:uid="{00000000-0005-0000-0000-0000C3040000}"/>
    <cellStyle name="_01.신월 관로토공_01.토공(오수)_01.토공_01-02.맨홀토공(OPEN-0.3)D-LINE_01-02.맨홀토공(OPEN-0.3)D-LINE_02.구조물토공(B-LINE)" xfId="1222" xr:uid="{00000000-0005-0000-0000-0000C4040000}"/>
    <cellStyle name="_01.신월 관로토공_01.토공(오수)_01.토공_01-02.맨홀토공(OPEN-0.3)D-LINE_02.구조물및추진,도달기지토공(D구간)" xfId="1223" xr:uid="{00000000-0005-0000-0000-0000C5040000}"/>
    <cellStyle name="_01.신월 관로토공_01.토공(오수)_01.토공_01-02.맨홀토공(OPEN-0.3)D-LINE_02.구조물토공(B-LINE)" xfId="1224" xr:uid="{00000000-0005-0000-0000-0000C6040000}"/>
    <cellStyle name="_01.신월 관로토공_01.토공(오수)_01.토공_01-3.옥구오수신설  맨홀토공(OPEN-0.3)" xfId="1225" xr:uid="{00000000-0005-0000-0000-0000C7040000}"/>
    <cellStyle name="_01.신월 관로토공_01.토공(오수)_01.토공_01-3.옥구오수신설  맨홀토공(OPEN-0.3)_01-02.맨홀토공(OPEN-0.3)C-LINE" xfId="1226" xr:uid="{00000000-0005-0000-0000-0000C8040000}"/>
    <cellStyle name="_01.신월 관로토공_01.토공(오수)_01.토공_01-3.옥구오수신설  맨홀토공(OPEN-0.3)_01-02.맨홀토공(OPEN-0.3)C-LINE_02.구조물및추진,도달기지토공(D구간)" xfId="1227" xr:uid="{00000000-0005-0000-0000-0000C9040000}"/>
    <cellStyle name="_01.신월 관로토공_01.토공(오수)_01.토공_01-3.옥구오수신설  맨홀토공(OPEN-0.3)_01-02.맨홀토공(OPEN-0.3)C-LINE_02.구조물토공(B-LINE)" xfId="1228" xr:uid="{00000000-0005-0000-0000-0000CA040000}"/>
    <cellStyle name="_01.신월 관로토공_01.토공(오수)_01.토공_01-3.옥구오수신설  맨홀토공(OPEN-0.3)_01-02.맨홀토공(OPEN-0.3)D-LINE" xfId="1229" xr:uid="{00000000-0005-0000-0000-0000CB040000}"/>
    <cellStyle name="_01.신월 관로토공_01.토공(오수)_01.토공_01-3.옥구오수신설  맨홀토공(OPEN-0.3)_01-02.맨홀토공(OPEN-0.3)D-LINE_02.구조물및추진,도달기지토공(D구간)" xfId="1230" xr:uid="{00000000-0005-0000-0000-0000CC040000}"/>
    <cellStyle name="_01.신월 관로토공_01.토공(오수)_01.토공_01-3.옥구오수신설  맨홀토공(OPEN-0.3)_01-02.맨홀토공(OPEN-0.3)D-LINE_02.구조물토공(B-LINE)" xfId="1231" xr:uid="{00000000-0005-0000-0000-0000CD040000}"/>
    <cellStyle name="_01.신월 관로토공_01.토공(오수)_01.토공_01-3.옥구오수신설  맨홀토공(OPEN-0.3)_02.구조물및추진,도달기지토공(D구간)" xfId="1232" xr:uid="{00000000-0005-0000-0000-0000CE040000}"/>
    <cellStyle name="_01.신월 관로토공_01.토공(오수)_01.토공_01-3.옥구오수신설  맨홀토공(OPEN-0.3)_02.구조물토공(B-LINE)" xfId="1233" xr:uid="{00000000-0005-0000-0000-0000CF040000}"/>
    <cellStyle name="_01.신월 관로토공_01.토공(오수)_01.토공_01-3.옥서오수신설  맨홀토공(OPEN-0.3)" xfId="1234" xr:uid="{00000000-0005-0000-0000-0000D0040000}"/>
    <cellStyle name="_01.신월 관로토공_01.토공(오수)_01.토공_01-3.옥서오수신설  맨홀토공(OPEN-0.3)_01-02.맨홀토공(OPEN-0.3)C-LINE" xfId="1235" xr:uid="{00000000-0005-0000-0000-0000D1040000}"/>
    <cellStyle name="_01.신월 관로토공_01.토공(오수)_01.토공_01-3.옥서오수신설  맨홀토공(OPEN-0.3)_01-02.맨홀토공(OPEN-0.3)C-LINE_02.구조물및추진,도달기지토공(D구간)" xfId="1236" xr:uid="{00000000-0005-0000-0000-0000D2040000}"/>
    <cellStyle name="_01.신월 관로토공_01.토공(오수)_01.토공_01-3.옥서오수신설  맨홀토공(OPEN-0.3)_01-02.맨홀토공(OPEN-0.3)C-LINE_02.구조물토공(B-LINE)" xfId="1237" xr:uid="{00000000-0005-0000-0000-0000D3040000}"/>
    <cellStyle name="_01.신월 관로토공_01.토공(오수)_01.토공_01-3.옥서오수신설  맨홀토공(OPEN-0.3)_01-02.맨홀토공(OPEN-0.3)D-LINE" xfId="1238" xr:uid="{00000000-0005-0000-0000-0000D4040000}"/>
    <cellStyle name="_01.신월 관로토공_01.토공(오수)_01.토공_01-3.옥서오수신설  맨홀토공(OPEN-0.3)_01-02.맨홀토공(OPEN-0.3)D-LINE_02.구조물및추진,도달기지토공(D구간)" xfId="1239" xr:uid="{00000000-0005-0000-0000-0000D5040000}"/>
    <cellStyle name="_01.신월 관로토공_01.토공(오수)_01.토공_01-3.옥서오수신설  맨홀토공(OPEN-0.3)_01-02.맨홀토공(OPEN-0.3)D-LINE_02.구조물토공(B-LINE)" xfId="1240" xr:uid="{00000000-0005-0000-0000-0000D6040000}"/>
    <cellStyle name="_01.신월 관로토공_01.토공(오수)_01.토공_01-3.옥서오수신설  맨홀토공(OPEN-0.3)_02.구조물및추진,도달기지토공(D구간)" xfId="1241" xr:uid="{00000000-0005-0000-0000-0000D7040000}"/>
    <cellStyle name="_01.신월 관로토공_01.토공(오수)_01.토공_01-3.옥서오수신설  맨홀토공(OPEN-0.3)_02.구조물토공(B-LINE)" xfId="1242" xr:uid="{00000000-0005-0000-0000-0000D8040000}"/>
    <cellStyle name="_01.신월 관로토공_01.토공(오수)_01.토공_02.구조물및추진,도달기지토공(D구간)" xfId="1243" xr:uid="{00000000-0005-0000-0000-0000D9040000}"/>
    <cellStyle name="_01.신월 관로토공_01.토공(오수)_01.토공_02.구조물토공(B-LINE)" xfId="1244" xr:uid="{00000000-0005-0000-0000-0000DA040000}"/>
    <cellStyle name="_01.신월 관로토공_01.토공(오수)_01-02.맨홀토공(OPEN-0.3)D-LINE" xfId="1245" xr:uid="{00000000-0005-0000-0000-0000DB040000}"/>
    <cellStyle name="_01.신월 관로토공_01.토공(오수)_01-02.맨홀토공(OPEN-0.3)D-LINE_01-02.맨홀토공(OPEN-0.3)C-LINE" xfId="1246" xr:uid="{00000000-0005-0000-0000-0000DC040000}"/>
    <cellStyle name="_01.신월 관로토공_01.토공(오수)_01-02.맨홀토공(OPEN-0.3)D-LINE_01-02.맨홀토공(OPEN-0.3)C-LINE_02.구조물및추진,도달기지토공(D구간)" xfId="1247" xr:uid="{00000000-0005-0000-0000-0000DD040000}"/>
    <cellStyle name="_01.신월 관로토공_01.토공(오수)_01-02.맨홀토공(OPEN-0.3)D-LINE_01-02.맨홀토공(OPEN-0.3)C-LINE_02.구조물토공(B-LINE)" xfId="1248" xr:uid="{00000000-0005-0000-0000-0000DE040000}"/>
    <cellStyle name="_01.신월 관로토공_01.토공(오수)_01-02.맨홀토공(OPEN-0.3)D-LINE_01-02.맨홀토공(OPEN-0.3)D-LINE" xfId="1249" xr:uid="{00000000-0005-0000-0000-0000DF040000}"/>
    <cellStyle name="_01.신월 관로토공_01.토공(오수)_01-02.맨홀토공(OPEN-0.3)D-LINE_01-02.맨홀토공(OPEN-0.3)D-LINE_02.구조물및추진,도달기지토공(D구간)" xfId="1250" xr:uid="{00000000-0005-0000-0000-0000E0040000}"/>
    <cellStyle name="_01.신월 관로토공_01.토공(오수)_01-02.맨홀토공(OPEN-0.3)D-LINE_01-02.맨홀토공(OPEN-0.3)D-LINE_02.구조물토공(B-LINE)" xfId="1251" xr:uid="{00000000-0005-0000-0000-0000E1040000}"/>
    <cellStyle name="_01.신월 관로토공_01.토공(오수)_01-02.맨홀토공(OPEN-0.3)D-LINE_02.구조물및추진,도달기지토공(D구간)" xfId="1252" xr:uid="{00000000-0005-0000-0000-0000E2040000}"/>
    <cellStyle name="_01.신월 관로토공_01.토공(오수)_01-02.맨홀토공(OPEN-0.3)D-LINE_02.구조물토공(B-LINE)" xfId="1253" xr:uid="{00000000-0005-0000-0000-0000E3040000}"/>
    <cellStyle name="_01.신월 관로토공_01.토공(오수)_01-3.옥구오수신설  맨홀토공(OPEN-0.3)" xfId="1254" xr:uid="{00000000-0005-0000-0000-0000E4040000}"/>
    <cellStyle name="_01.신월 관로토공_01.토공(오수)_01-3.옥구오수신설  맨홀토공(OPEN-0.3)_01-02.맨홀토공(OPEN-0.3)C-LINE" xfId="1255" xr:uid="{00000000-0005-0000-0000-0000E5040000}"/>
    <cellStyle name="_01.신월 관로토공_01.토공(오수)_01-3.옥구오수신설  맨홀토공(OPEN-0.3)_01-02.맨홀토공(OPEN-0.3)C-LINE_02.구조물및추진,도달기지토공(D구간)" xfId="1256" xr:uid="{00000000-0005-0000-0000-0000E6040000}"/>
    <cellStyle name="_01.신월 관로토공_01.토공(오수)_01-3.옥구오수신설  맨홀토공(OPEN-0.3)_01-02.맨홀토공(OPEN-0.3)C-LINE_02.구조물토공(B-LINE)" xfId="1257" xr:uid="{00000000-0005-0000-0000-0000E7040000}"/>
    <cellStyle name="_01.신월 관로토공_01.토공(오수)_01-3.옥구오수신설  맨홀토공(OPEN-0.3)_01-02.맨홀토공(OPEN-0.3)D-LINE" xfId="1258" xr:uid="{00000000-0005-0000-0000-0000E8040000}"/>
    <cellStyle name="_01.신월 관로토공_01.토공(오수)_01-3.옥구오수신설  맨홀토공(OPEN-0.3)_01-02.맨홀토공(OPEN-0.3)D-LINE_02.구조물및추진,도달기지토공(D구간)" xfId="1259" xr:uid="{00000000-0005-0000-0000-0000E9040000}"/>
    <cellStyle name="_01.신월 관로토공_01.토공(오수)_01-3.옥구오수신설  맨홀토공(OPEN-0.3)_01-02.맨홀토공(OPEN-0.3)D-LINE_02.구조물토공(B-LINE)" xfId="1260" xr:uid="{00000000-0005-0000-0000-0000EA040000}"/>
    <cellStyle name="_01.신월 관로토공_01.토공(오수)_01-3.옥구오수신설  맨홀토공(OPEN-0.3)_02.구조물및추진,도달기지토공(D구간)" xfId="1261" xr:uid="{00000000-0005-0000-0000-0000EB040000}"/>
    <cellStyle name="_01.신월 관로토공_01.토공(오수)_01-3.옥구오수신설  맨홀토공(OPEN-0.3)_02.구조물토공(B-LINE)" xfId="1262" xr:uid="{00000000-0005-0000-0000-0000EC040000}"/>
    <cellStyle name="_01.신월 관로토공_01.토공(오수)_01-3.옥서오수신설  맨홀토공(OPEN-0.3)" xfId="1263" xr:uid="{00000000-0005-0000-0000-0000ED040000}"/>
    <cellStyle name="_01.신월 관로토공_01.토공(오수)_01-3.옥서오수신설  맨홀토공(OPEN-0.3)_01-02.맨홀토공(OPEN-0.3)C-LINE" xfId="1264" xr:uid="{00000000-0005-0000-0000-0000EE040000}"/>
    <cellStyle name="_01.신월 관로토공_01.토공(오수)_01-3.옥서오수신설  맨홀토공(OPEN-0.3)_01-02.맨홀토공(OPEN-0.3)C-LINE_02.구조물및추진,도달기지토공(D구간)" xfId="1265" xr:uid="{00000000-0005-0000-0000-0000EF040000}"/>
    <cellStyle name="_01.신월 관로토공_01.토공(오수)_01-3.옥서오수신설  맨홀토공(OPEN-0.3)_01-02.맨홀토공(OPEN-0.3)C-LINE_02.구조물토공(B-LINE)" xfId="1266" xr:uid="{00000000-0005-0000-0000-0000F0040000}"/>
    <cellStyle name="_01.신월 관로토공_01.토공(오수)_01-3.옥서오수신설  맨홀토공(OPEN-0.3)_01-02.맨홀토공(OPEN-0.3)D-LINE" xfId="1267" xr:uid="{00000000-0005-0000-0000-0000F1040000}"/>
    <cellStyle name="_01.신월 관로토공_01.토공(오수)_01-3.옥서오수신설  맨홀토공(OPEN-0.3)_01-02.맨홀토공(OPEN-0.3)D-LINE_02.구조물및추진,도달기지토공(D구간)" xfId="1268" xr:uid="{00000000-0005-0000-0000-0000F2040000}"/>
    <cellStyle name="_01.신월 관로토공_01.토공(오수)_01-3.옥서오수신설  맨홀토공(OPEN-0.3)_01-02.맨홀토공(OPEN-0.3)D-LINE_02.구조물토공(B-LINE)" xfId="1269" xr:uid="{00000000-0005-0000-0000-0000F3040000}"/>
    <cellStyle name="_01.신월 관로토공_01.토공(오수)_01-3.옥서오수신설  맨홀토공(OPEN-0.3)_02.구조물및추진,도달기지토공(D구간)" xfId="1270" xr:uid="{00000000-0005-0000-0000-0000F4040000}"/>
    <cellStyle name="_01.신월 관로토공_01.토공(오수)_01-3.옥서오수신설  맨홀토공(OPEN-0.3)_02.구조물토공(B-LINE)" xfId="1271" xr:uid="{00000000-0005-0000-0000-0000F5040000}"/>
    <cellStyle name="_01.신월 관로토공_01.토공(오수)_02.구조물및추진,도달기지토공(D구간)" xfId="1272" xr:uid="{00000000-0005-0000-0000-0000F6040000}"/>
    <cellStyle name="_01.신월 관로토공_01.토공(오수)_02.구조물토공(B-LINE)" xfId="1273" xr:uid="{00000000-0005-0000-0000-0000F7040000}"/>
    <cellStyle name="_01.신월 관로토공_01-02.맨홀토공(OPEN-0.3)D-LINE" xfId="1274" xr:uid="{00000000-0005-0000-0000-0000F8040000}"/>
    <cellStyle name="_01.신월 관로토공_01-02.맨홀토공(OPEN-0.3)D-LINE_01-02.맨홀토공(OPEN-0.3)C-LINE" xfId="1275" xr:uid="{00000000-0005-0000-0000-0000F9040000}"/>
    <cellStyle name="_01.신월 관로토공_01-02.맨홀토공(OPEN-0.3)D-LINE_01-02.맨홀토공(OPEN-0.3)C-LINE_02.구조물및추진,도달기지토공(D구간)" xfId="1276" xr:uid="{00000000-0005-0000-0000-0000FA040000}"/>
    <cellStyle name="_01.신월 관로토공_01-02.맨홀토공(OPEN-0.3)D-LINE_01-02.맨홀토공(OPEN-0.3)C-LINE_02.구조물토공(B-LINE)" xfId="1277" xr:uid="{00000000-0005-0000-0000-0000FB040000}"/>
    <cellStyle name="_01.신월 관로토공_01-02.맨홀토공(OPEN-0.3)D-LINE_01-02.맨홀토공(OPEN-0.3)D-LINE" xfId="1278" xr:uid="{00000000-0005-0000-0000-0000FC040000}"/>
    <cellStyle name="_01.신월 관로토공_01-02.맨홀토공(OPEN-0.3)D-LINE_01-02.맨홀토공(OPEN-0.3)D-LINE_02.구조물및추진,도달기지토공(D구간)" xfId="1279" xr:uid="{00000000-0005-0000-0000-0000FD040000}"/>
    <cellStyle name="_01.신월 관로토공_01-02.맨홀토공(OPEN-0.3)D-LINE_01-02.맨홀토공(OPEN-0.3)D-LINE_02.구조물토공(B-LINE)" xfId="1280" xr:uid="{00000000-0005-0000-0000-0000FE040000}"/>
    <cellStyle name="_01.신월 관로토공_01-02.맨홀토공(OPEN-0.3)D-LINE_02.구조물및추진,도달기지토공(D구간)" xfId="1281" xr:uid="{00000000-0005-0000-0000-0000FF040000}"/>
    <cellStyle name="_01.신월 관로토공_01-02.맨홀토공(OPEN-0.3)D-LINE_02.구조물토공(B-LINE)" xfId="1282" xr:uid="{00000000-0005-0000-0000-000000050000}"/>
    <cellStyle name="_01.신월 관로토공_01-3.옥구오수신설  맨홀토공(OPEN-0.3)" xfId="1283" xr:uid="{00000000-0005-0000-0000-000001050000}"/>
    <cellStyle name="_01.신월 관로토공_01-3.옥구오수신설  맨홀토공(OPEN-0.3)_01-02.맨홀토공(OPEN-0.3)C-LINE" xfId="1284" xr:uid="{00000000-0005-0000-0000-000002050000}"/>
    <cellStyle name="_01.신월 관로토공_01-3.옥구오수신설  맨홀토공(OPEN-0.3)_01-02.맨홀토공(OPEN-0.3)C-LINE_02.구조물및추진,도달기지토공(D구간)" xfId="1285" xr:uid="{00000000-0005-0000-0000-000003050000}"/>
    <cellStyle name="_01.신월 관로토공_01-3.옥구오수신설  맨홀토공(OPEN-0.3)_01-02.맨홀토공(OPEN-0.3)C-LINE_02.구조물토공(B-LINE)" xfId="1286" xr:uid="{00000000-0005-0000-0000-000004050000}"/>
    <cellStyle name="_01.신월 관로토공_01-3.옥구오수신설  맨홀토공(OPEN-0.3)_01-02.맨홀토공(OPEN-0.3)D-LINE" xfId="1287" xr:uid="{00000000-0005-0000-0000-000005050000}"/>
    <cellStyle name="_01.신월 관로토공_01-3.옥구오수신설  맨홀토공(OPEN-0.3)_01-02.맨홀토공(OPEN-0.3)D-LINE_02.구조물및추진,도달기지토공(D구간)" xfId="1288" xr:uid="{00000000-0005-0000-0000-000006050000}"/>
    <cellStyle name="_01.신월 관로토공_01-3.옥구오수신설  맨홀토공(OPEN-0.3)_02.구조물및추진,도달기지토공(D구간)" xfId="1289" xr:uid="{00000000-0005-0000-0000-000007050000}"/>
    <cellStyle name="_01.신월 관로토공_01-3.옥구오수신설  맨홀토공(OPEN-0.3)_02.구조물토공(B-LINE)" xfId="1290" xr:uid="{00000000-0005-0000-0000-000008050000}"/>
    <cellStyle name="_01.신월 관로토공_01-3.옥서오수신설  맨홀토공(OPEN-0.3)" xfId="1291" xr:uid="{00000000-0005-0000-0000-000009050000}"/>
    <cellStyle name="_01.신월 관로토공_01-3.옥서오수신설  맨홀토공(OPEN-0.3)_01-02.맨홀토공(OPEN-0.3)C-LINE" xfId="1292" xr:uid="{00000000-0005-0000-0000-00000A050000}"/>
    <cellStyle name="_01.신월 관로토공_01-3.옥서오수신설  맨홀토공(OPEN-0.3)_01-02.맨홀토공(OPEN-0.3)C-LINE_02.구조물및추진,도달기지토공(D구간)" xfId="1293" xr:uid="{00000000-0005-0000-0000-00000B050000}"/>
    <cellStyle name="_01.신월 관로토공_01-3.옥서오수신설  맨홀토공(OPEN-0.3)_01-02.맨홀토공(OPEN-0.3)D-LINE" xfId="1294" xr:uid="{00000000-0005-0000-0000-00000C050000}"/>
    <cellStyle name="_01.신월 관로토공_01-3.옥서오수신설  맨홀토공(OPEN-0.3)_01-02.맨홀토공(OPEN-0.3)D-LINE_02.구조물및추진,도달기지토공(D구간)" xfId="1295" xr:uid="{00000000-0005-0000-0000-00000D050000}"/>
    <cellStyle name="_01.신월 관로토공_01-3.옥서오수신설  맨홀토공(OPEN-0.3)_02.구조물및추진,도달기지토공(D구간)" xfId="1296" xr:uid="{00000000-0005-0000-0000-00000E050000}"/>
    <cellStyle name="_01.신월 관로토공_02.구조물및추진,도달기지토공(D구간)" xfId="1297" xr:uid="{00000000-0005-0000-0000-00000F050000}"/>
    <cellStyle name="_01.신월 관로토공_02.구조물토공(B-LINE)" xfId="1298" xr:uid="{00000000-0005-0000-0000-000010050000}"/>
    <cellStyle name="_01.신월 관로토공_06.서수 오수 부대공(신설)" xfId="1299" xr:uid="{00000000-0005-0000-0000-000011050000}"/>
    <cellStyle name="_01.신월 관로토공_06.서수 오수 부대공(신설)_02.구조물및추진,도달기지토공(D구간)" xfId="1300" xr:uid="{00000000-0005-0000-0000-000012050000}"/>
    <cellStyle name="_01.신월 관로토공_06.서수오수 부대공" xfId="1301" xr:uid="{00000000-0005-0000-0000-000013050000}"/>
    <cellStyle name="_01.신월 관로토공_06.서수오수 부대공_02.구조물및추진,도달기지토공(D구간)" xfId="1302" xr:uid="{00000000-0005-0000-0000-000014050000}"/>
    <cellStyle name="_01.신월 관로토공_06.옥구 오수 부대공" xfId="1303" xr:uid="{00000000-0005-0000-0000-000015050000}"/>
    <cellStyle name="_01.신월 관로토공_06.옥구 오수 부대공_02.구조물및추진,도달기지토공(D구간)" xfId="1304" xr:uid="{00000000-0005-0000-0000-000016050000}"/>
    <cellStyle name="_01.신월 관로토공_06.옥서 오수 부대공(신설)" xfId="1305" xr:uid="{00000000-0005-0000-0000-000017050000}"/>
    <cellStyle name="_01.신월 관로토공_06.옥서 오수 부대공(신설)_02.구조물및추진,도달기지토공(D구간)" xfId="1306" xr:uid="{00000000-0005-0000-0000-000018050000}"/>
    <cellStyle name="_01.신월 관로토공_111111" xfId="1307" xr:uid="{00000000-0005-0000-0000-000019050000}"/>
    <cellStyle name="_01.신월 관로토공_111111_01.신월 관로토공조서" xfId="1308" xr:uid="{00000000-0005-0000-0000-00001A050000}"/>
    <cellStyle name="_01.신월 관로토공_111111_01.신월 관로토공조서_01-02.맨홀토공(OPEN-0.3)D-LINE" xfId="1309" xr:uid="{00000000-0005-0000-0000-00001B050000}"/>
    <cellStyle name="_01.신월 관로토공_111111_01.신월 관로토공조서_01-02.맨홀토공(OPEN-0.3)D-LINE_01-02.맨홀토공(OPEN-0.3)C-LINE" xfId="1310" xr:uid="{00000000-0005-0000-0000-00001C050000}"/>
    <cellStyle name="_01.신월 관로토공_111111_01.신월 관로토공조서_01-02.맨홀토공(OPEN-0.3)D-LINE_01-02.맨홀토공(OPEN-0.3)C-LINE_02.구조물및추진,도달기지토공(D구간)" xfId="1311" xr:uid="{00000000-0005-0000-0000-00001D050000}"/>
    <cellStyle name="_01.신월 관로토공_111111_01.신월 관로토공조서_01-02.맨홀토공(OPEN-0.3)D-LINE_01-02.맨홀토공(OPEN-0.3)D-LINE" xfId="1312" xr:uid="{00000000-0005-0000-0000-00001E050000}"/>
    <cellStyle name="_01.신월 관로토공_111111_01.신월 관로토공조서_01-02.맨홀토공(OPEN-0.3)D-LINE_01-02.맨홀토공(OPEN-0.3)D-LINE_02.구조물및추진,도달기지토공(D구간)" xfId="1313" xr:uid="{00000000-0005-0000-0000-00001F050000}"/>
    <cellStyle name="_01.신월 관로토공_111111_01.신월 관로토공조서_01-02.맨홀토공(OPEN-0.3)D-LINE_02.구조물및추진,도달기지토공(D구간)" xfId="1314" xr:uid="{00000000-0005-0000-0000-000020050000}"/>
    <cellStyle name="_01.신월 관로토공_111111_01.신월 관로토공조서_01-3.옥구오수신설  맨홀토공(OPEN-0.3)" xfId="1315" xr:uid="{00000000-0005-0000-0000-000021050000}"/>
    <cellStyle name="_01.신월 관로토공_111111_01.신월 관로토공조서_01-3.옥구오수신설  맨홀토공(OPEN-0.3)_01-02.맨홀토공(OPEN-0.3)C-LINE" xfId="1316" xr:uid="{00000000-0005-0000-0000-000022050000}"/>
    <cellStyle name="_01.신월 관로토공_111111_01.신월 관로토공조서_01-3.옥구오수신설  맨홀토공(OPEN-0.3)_01-02.맨홀토공(OPEN-0.3)C-LINE_02.구조물및추진,도달기지토공(D구간)" xfId="1317" xr:uid="{00000000-0005-0000-0000-000023050000}"/>
    <cellStyle name="_01.신월 관로토공_111111_01.신월 관로토공조서_01-3.옥구오수신설  맨홀토공(OPEN-0.3)_01-02.맨홀토공(OPEN-0.3)D-LINE" xfId="1318" xr:uid="{00000000-0005-0000-0000-000024050000}"/>
    <cellStyle name="_01.신월 관로토공_111111_01.신월 관로토공조서_01-3.옥구오수신설  맨홀토공(OPEN-0.3)_01-02.맨홀토공(OPEN-0.3)D-LINE_02.구조물및추진,도달기지토공(D구간)" xfId="1319" xr:uid="{00000000-0005-0000-0000-000025050000}"/>
    <cellStyle name="_01.신월 관로토공_111111_01.신월 관로토공조서_01-3.옥구오수신설  맨홀토공(OPEN-0.3)_02.구조물및추진,도달기지토공(D구간)" xfId="1320" xr:uid="{00000000-0005-0000-0000-000026050000}"/>
    <cellStyle name="_01.신월 관로토공_111111_01.신월 관로토공조서_01-3.옥서오수신설  맨홀토공(OPEN-0.3)" xfId="1321" xr:uid="{00000000-0005-0000-0000-000027050000}"/>
    <cellStyle name="_01.신월 관로토공_111111_01.신월 관로토공조서_01-3.옥서오수신설  맨홀토공(OPEN-0.3)_01-02.맨홀토공(OPEN-0.3)C-LINE" xfId="1322" xr:uid="{00000000-0005-0000-0000-000028050000}"/>
    <cellStyle name="_01.신월 관로토공_111111_01.신월 관로토공조서_01-3.옥서오수신설  맨홀토공(OPEN-0.3)_01-02.맨홀토공(OPEN-0.3)C-LINE_02.구조물및추진,도달기지토공(D구간)" xfId="1323" xr:uid="{00000000-0005-0000-0000-000029050000}"/>
    <cellStyle name="_01.신월 관로토공_111111_01.신월 관로토공조서_01-3.옥서오수신설  맨홀토공(OPEN-0.3)_01-02.맨홀토공(OPEN-0.3)D-LINE" xfId="1324" xr:uid="{00000000-0005-0000-0000-00002A050000}"/>
    <cellStyle name="_01.신월 관로토공_111111_01.신월 관로토공조서_01-3.옥서오수신설  맨홀토공(OPEN-0.3)_01-02.맨홀토공(OPEN-0.3)D-LINE_02.구조물및추진,도달기지토공(D구간)" xfId="1325" xr:uid="{00000000-0005-0000-0000-00002B050000}"/>
    <cellStyle name="_01.신월 관로토공_111111_01.신월 관로토공조서_01-3.옥서오수신설  맨홀토공(OPEN-0.3)_02.구조물및추진,도달기지토공(D구간)" xfId="1326" xr:uid="{00000000-0005-0000-0000-00002C050000}"/>
    <cellStyle name="_01.신월 관로토공_111111_01.신월 관로토공조서_02.구조물및추진,도달기지토공(D구간)" xfId="1327" xr:uid="{00000000-0005-0000-0000-00002D050000}"/>
    <cellStyle name="_01.신월 관로토공_111111_01.신월오수 관로토공" xfId="1328" xr:uid="{00000000-0005-0000-0000-00002E050000}"/>
    <cellStyle name="_01.신월 관로토공_111111_01.신월오수 관로토공_01-02.맨홀토공(OPEN-0.3)D-LINE" xfId="1329" xr:uid="{00000000-0005-0000-0000-00002F050000}"/>
    <cellStyle name="_01.신월 관로토공_111111_01.신월오수 관로토공_01-02.맨홀토공(OPEN-0.3)D-LINE_01-02.맨홀토공(OPEN-0.3)C-LINE" xfId="1330" xr:uid="{00000000-0005-0000-0000-000030050000}"/>
    <cellStyle name="_01.신월 관로토공_111111_01.신월오수 관로토공_01-02.맨홀토공(OPEN-0.3)D-LINE_01-02.맨홀토공(OPEN-0.3)C-LINE_02.구조물및추진,도달기지토공(D구간)" xfId="1331" xr:uid="{00000000-0005-0000-0000-000031050000}"/>
    <cellStyle name="_01.신월 관로토공_111111_01.신월오수 관로토공_01-02.맨홀토공(OPEN-0.3)D-LINE_01-02.맨홀토공(OPEN-0.3)D-LINE" xfId="1332" xr:uid="{00000000-0005-0000-0000-000032050000}"/>
    <cellStyle name="_01.신월 관로토공_111111_01.신월오수 관로토공_01-02.맨홀토공(OPEN-0.3)D-LINE_01-02.맨홀토공(OPEN-0.3)D-LINE_02.구조물및추진,도달기지토공(D구간)" xfId="1333" xr:uid="{00000000-0005-0000-0000-000033050000}"/>
    <cellStyle name="_01.신월 관로토공_111111_01.신월오수 관로토공_01-02.맨홀토공(OPEN-0.3)D-LINE_02.구조물및추진,도달기지토공(D구간)" xfId="1334" xr:uid="{00000000-0005-0000-0000-000034050000}"/>
    <cellStyle name="_01.신월 관로토공_111111_01.신월오수 관로토공_01-3.옥구오수신설  맨홀토공(OPEN-0.3)" xfId="1335" xr:uid="{00000000-0005-0000-0000-000035050000}"/>
    <cellStyle name="_01.신월 관로토공_111111_01.신월오수 관로토공_01-3.옥구오수신설  맨홀토공(OPEN-0.3)_01-02.맨홀토공(OPEN-0.3)C-LINE" xfId="1336" xr:uid="{00000000-0005-0000-0000-000036050000}"/>
    <cellStyle name="_01.신월 관로토공_111111_01.신월오수 관로토공_01-3.옥구오수신설  맨홀토공(OPEN-0.3)_01-02.맨홀토공(OPEN-0.3)C-LINE_02.구조물및추진,도달기지토공(D구간)" xfId="1337" xr:uid="{00000000-0005-0000-0000-000037050000}"/>
    <cellStyle name="_01.신월 관로토공_111111_01.신월오수 관로토공_01-3.옥구오수신설  맨홀토공(OPEN-0.3)_01-02.맨홀토공(OPEN-0.3)D-LINE" xfId="1338" xr:uid="{00000000-0005-0000-0000-000038050000}"/>
    <cellStyle name="_01.신월 관로토공_111111_01.신월오수 관로토공_01-3.옥구오수신설  맨홀토공(OPEN-0.3)_01-02.맨홀토공(OPEN-0.3)D-LINE_02.구조물및추진,도달기지토공(D구간)" xfId="1339" xr:uid="{00000000-0005-0000-0000-000039050000}"/>
    <cellStyle name="_01.신월 관로토공_111111_01.신월오수 관로토공_01-3.옥구오수신설  맨홀토공(OPEN-0.3)_02.구조물및추진,도달기지토공(D구간)" xfId="1340" xr:uid="{00000000-0005-0000-0000-00003A050000}"/>
    <cellStyle name="_01.신월 관로토공_111111_01.신월오수 관로토공_01-3.옥서오수신설  맨홀토공(OPEN-0.3)" xfId="1341" xr:uid="{00000000-0005-0000-0000-00003B050000}"/>
    <cellStyle name="_01.신월 관로토공_111111_01.신월오수 관로토공_01-3.옥서오수신설  맨홀토공(OPEN-0.3)_01-02.맨홀토공(OPEN-0.3)C-LINE" xfId="1342" xr:uid="{00000000-0005-0000-0000-00003C050000}"/>
    <cellStyle name="_01.신월 관로토공_111111_01.신월오수 관로토공_01-3.옥서오수신설  맨홀토공(OPEN-0.3)_01-02.맨홀토공(OPEN-0.3)C-LINE_02.구조물및추진,도달기지토공(D구간)" xfId="1343" xr:uid="{00000000-0005-0000-0000-00003D050000}"/>
    <cellStyle name="_01.신월 관로토공_111111_01.신월오수 관로토공_01-3.옥서오수신설  맨홀토공(OPEN-0.3)_01-02.맨홀토공(OPEN-0.3)D-LINE" xfId="1344" xr:uid="{00000000-0005-0000-0000-00003E050000}"/>
    <cellStyle name="_01.신월 관로토공_111111_01.신월오수 관로토공_01-3.옥서오수신설  맨홀토공(OPEN-0.3)_01-02.맨홀토공(OPEN-0.3)D-LINE_02.구조물및추진,도달기지토공(D구간)" xfId="1345" xr:uid="{00000000-0005-0000-0000-00003F050000}"/>
    <cellStyle name="_01.신월 관로토공_111111_01.신월오수 관로토공_01-3.옥서오수신설  맨홀토공(OPEN-0.3)_02.구조물및추진,도달기지토공(D구간)" xfId="1346" xr:uid="{00000000-0005-0000-0000-000040050000}"/>
    <cellStyle name="_01.신월 관로토공_111111_01.신월오수 관로토공_02.구조물및추진,도달기지토공(D구간)" xfId="1347" xr:uid="{00000000-0005-0000-0000-000041050000}"/>
    <cellStyle name="_01.신월 관로토공_111111_01-02.맨홀토공(OPEN-0.3)D-LINE" xfId="1348" xr:uid="{00000000-0005-0000-0000-000042050000}"/>
    <cellStyle name="_01.신월 관로토공_111111_01-02.맨홀토공(OPEN-0.3)D-LINE_01-02.맨홀토공(OPEN-0.3)C-LINE" xfId="1349" xr:uid="{00000000-0005-0000-0000-000043050000}"/>
    <cellStyle name="_01.신월 관로토공_111111_01-02.맨홀토공(OPEN-0.3)D-LINE_01-02.맨홀토공(OPEN-0.3)C-LINE_02.구조물및추진,도달기지토공(D구간)" xfId="1350" xr:uid="{00000000-0005-0000-0000-000044050000}"/>
    <cellStyle name="_01.신월 관로토공_111111_01-02.맨홀토공(OPEN-0.3)D-LINE_01-02.맨홀토공(OPEN-0.3)D-LINE" xfId="1351" xr:uid="{00000000-0005-0000-0000-000045050000}"/>
    <cellStyle name="_01.신월 관로토공_111111_01-02.맨홀토공(OPEN-0.3)D-LINE_01-02.맨홀토공(OPEN-0.3)D-LINE_02.구조물및추진,도달기지토공(D구간)" xfId="1352" xr:uid="{00000000-0005-0000-0000-000046050000}"/>
    <cellStyle name="_01.신월 관로토공_111111_01-02.맨홀토공(OPEN-0.3)D-LINE_02.구조물및추진,도달기지토공(D구간)" xfId="1353" xr:uid="{00000000-0005-0000-0000-000047050000}"/>
    <cellStyle name="_01.신월 관로토공_111111_01-3.옥구오수신설  맨홀토공(OPEN-0.3)" xfId="1354" xr:uid="{00000000-0005-0000-0000-000048050000}"/>
    <cellStyle name="_01.신월 관로토공_111111_01-3.옥구오수신설  맨홀토공(OPEN-0.3)_01-02.맨홀토공(OPEN-0.3)C-LINE" xfId="1355" xr:uid="{00000000-0005-0000-0000-000049050000}"/>
    <cellStyle name="_01.신월 관로토공_111111_01-3.옥구오수신설  맨홀토공(OPEN-0.3)_01-02.맨홀토공(OPEN-0.3)C-LINE_02.구조물및추진,도달기지토공(D구간)" xfId="1356" xr:uid="{00000000-0005-0000-0000-00004A050000}"/>
    <cellStyle name="_01.신월 관로토공_111111_01-3.옥구오수신설  맨홀토공(OPEN-0.3)_01-02.맨홀토공(OPEN-0.3)D-LINE" xfId="1357" xr:uid="{00000000-0005-0000-0000-00004B050000}"/>
    <cellStyle name="_01.신월 관로토공_111111_01-3.옥구오수신설  맨홀토공(OPEN-0.3)_01-02.맨홀토공(OPEN-0.3)D-LINE_02.구조물및추진,도달기지토공(D구간)" xfId="1358" xr:uid="{00000000-0005-0000-0000-00004C050000}"/>
    <cellStyle name="_01.신월 관로토공_111111_01-3.옥구오수신설  맨홀토공(OPEN-0.3)_02.구조물및추진,도달기지토공(D구간)" xfId="1359" xr:uid="{00000000-0005-0000-0000-00004D050000}"/>
    <cellStyle name="_01.신월 관로토공_111111_01-3.옥서오수신설  맨홀토공(OPEN-0.3)" xfId="1360" xr:uid="{00000000-0005-0000-0000-00004E050000}"/>
    <cellStyle name="_01.신월 관로토공_111111_01-3.옥서오수신설  맨홀토공(OPEN-0.3)_01-02.맨홀토공(OPEN-0.3)C-LINE" xfId="1361" xr:uid="{00000000-0005-0000-0000-00004F050000}"/>
    <cellStyle name="_01.신월 관로토공_111111_01-3.옥서오수신설  맨홀토공(OPEN-0.3)_01-02.맨홀토공(OPEN-0.3)C-LINE_02.구조물및추진,도달기지토공(D구간)" xfId="1362" xr:uid="{00000000-0005-0000-0000-000050050000}"/>
    <cellStyle name="_01.신월 관로토공_111111_01-3.옥서오수신설  맨홀토공(OPEN-0.3)_01-02.맨홀토공(OPEN-0.3)D-LINE" xfId="1363" xr:uid="{00000000-0005-0000-0000-000051050000}"/>
    <cellStyle name="_01.신월 관로토공_111111_01-3.옥서오수신설  맨홀토공(OPEN-0.3)_01-02.맨홀토공(OPEN-0.3)D-LINE_02.구조물및추진,도달기지토공(D구간)" xfId="1364" xr:uid="{00000000-0005-0000-0000-000052050000}"/>
    <cellStyle name="_01.신월 관로토공_111111_01-3.옥서오수신설  맨홀토공(OPEN-0.3)_02.구조물및추진,도달기지토공(D구간)" xfId="1365" xr:uid="{00000000-0005-0000-0000-000053050000}"/>
    <cellStyle name="_01.신월 관로토공_111111_02.구조물및추진,도달기지토공(D구간)" xfId="1366" xr:uid="{00000000-0005-0000-0000-000054050000}"/>
    <cellStyle name="_01.신월 관로토공_경포 오수 부대공(신설)-1" xfId="1367" xr:uid="{00000000-0005-0000-0000-000055050000}"/>
    <cellStyle name="_01.신월 관로토공_경포 오수 부대공(신설)-1_02.구조물및추진,도달기지토공(D구간)" xfId="1368" xr:uid="{00000000-0005-0000-0000-000056050000}"/>
    <cellStyle name="_01.신월 관로토공_경포오수신설 부대공-기존관보호공" xfId="1369" xr:uid="{00000000-0005-0000-0000-000057050000}"/>
    <cellStyle name="_01.신월 관로토공_경포오수신설 부대공-기존관보호공_02.구조물및추진,도달기지토공(D구간)" xfId="1370" xr:uid="{00000000-0005-0000-0000-000058050000}"/>
    <cellStyle name="_01.신월 관로토공조서" xfId="1371" xr:uid="{00000000-0005-0000-0000-000059050000}"/>
    <cellStyle name="_01.신월 관로토공조서_01-02.맨홀토공(OPEN-0.3)D-LINE" xfId="1372" xr:uid="{00000000-0005-0000-0000-00005A050000}"/>
    <cellStyle name="_01.신월 관로토공조서_01-02.맨홀토공(OPEN-0.3)D-LINE_01-02.맨홀토공(OPEN-0.3)C-LINE" xfId="1373" xr:uid="{00000000-0005-0000-0000-00005B050000}"/>
    <cellStyle name="_01.신월 관로토공조서_01-02.맨홀토공(OPEN-0.3)D-LINE_01-02.맨홀토공(OPEN-0.3)C-LINE_02.구조물및추진,도달기지토공(D구간)" xfId="1374" xr:uid="{00000000-0005-0000-0000-00005C050000}"/>
    <cellStyle name="_01.신월 관로토공조서_01-02.맨홀토공(OPEN-0.3)D-LINE_01-02.맨홀토공(OPEN-0.3)D-LINE" xfId="1375" xr:uid="{00000000-0005-0000-0000-00005D050000}"/>
    <cellStyle name="_01.신월 관로토공조서_01-02.맨홀토공(OPEN-0.3)D-LINE_01-02.맨홀토공(OPEN-0.3)D-LINE_02.구조물및추진,도달기지토공(D구간)" xfId="1376" xr:uid="{00000000-0005-0000-0000-00005E050000}"/>
    <cellStyle name="_01.신월 관로토공조서_01-02.맨홀토공(OPEN-0.3)D-LINE_02.구조물및추진,도달기지토공(D구간)" xfId="1377" xr:uid="{00000000-0005-0000-0000-00005F050000}"/>
    <cellStyle name="_01.신월 관로토공조서_01-3.옥구오수신설  맨홀토공(OPEN-0.3)" xfId="1378" xr:uid="{00000000-0005-0000-0000-000060050000}"/>
    <cellStyle name="_01.신월 관로토공조서_01-3.옥구오수신설  맨홀토공(OPEN-0.3)_01-02.맨홀토공(OPEN-0.3)C-LINE" xfId="1379" xr:uid="{00000000-0005-0000-0000-000061050000}"/>
    <cellStyle name="_01.신월 관로토공조서_01-3.옥구오수신설  맨홀토공(OPEN-0.3)_01-02.맨홀토공(OPEN-0.3)C-LINE_02.구조물및추진,도달기지토공(D구간)" xfId="1380" xr:uid="{00000000-0005-0000-0000-000062050000}"/>
    <cellStyle name="_01.신월 관로토공조서_01-3.옥구오수신설  맨홀토공(OPEN-0.3)_01-02.맨홀토공(OPEN-0.3)D-LINE" xfId="1381" xr:uid="{00000000-0005-0000-0000-000063050000}"/>
    <cellStyle name="_01.신월 관로토공조서_01-3.옥구오수신설  맨홀토공(OPEN-0.3)_01-02.맨홀토공(OPEN-0.3)D-LINE_02.구조물및추진,도달기지토공(D구간)" xfId="1382" xr:uid="{00000000-0005-0000-0000-000064050000}"/>
    <cellStyle name="_01.신월 관로토공조서_01-3.옥구오수신설  맨홀토공(OPEN-0.3)_02.구조물및추진,도달기지토공(D구간)" xfId="1383" xr:uid="{00000000-0005-0000-0000-000065050000}"/>
    <cellStyle name="_01.신월 관로토공조서_01-3.옥서오수신설  맨홀토공(OPEN-0.3)" xfId="1384" xr:uid="{00000000-0005-0000-0000-000066050000}"/>
    <cellStyle name="_01.신월 관로토공조서_01-3.옥서오수신설  맨홀토공(OPEN-0.3)_01-02.맨홀토공(OPEN-0.3)C-LINE" xfId="1385" xr:uid="{00000000-0005-0000-0000-000067050000}"/>
    <cellStyle name="_01.신월 관로토공조서_01-3.옥서오수신설  맨홀토공(OPEN-0.3)_01-02.맨홀토공(OPEN-0.3)C-LINE_02.구조물및추진,도달기지토공(D구간)" xfId="1386" xr:uid="{00000000-0005-0000-0000-000068050000}"/>
    <cellStyle name="_01.신월 관로토공조서_01-3.옥서오수신설  맨홀토공(OPEN-0.3)_01-02.맨홀토공(OPEN-0.3)D-LINE" xfId="1387" xr:uid="{00000000-0005-0000-0000-000069050000}"/>
    <cellStyle name="_01.신월 관로토공조서_01-3.옥서오수신설  맨홀토공(OPEN-0.3)_01-02.맨홀토공(OPEN-0.3)D-LINE_02.구조물및추진,도달기지토공(D구간)" xfId="1388" xr:uid="{00000000-0005-0000-0000-00006A050000}"/>
    <cellStyle name="_01.신월 관로토공조서_01-3.옥서오수신설  맨홀토공(OPEN-0.3)_02.구조물및추진,도달기지토공(D구간)" xfId="1389" xr:uid="{00000000-0005-0000-0000-00006B050000}"/>
    <cellStyle name="_01.신월 관로토공조서_02.구조물및추진,도달기지토공(D구간)" xfId="1390" xr:uid="{00000000-0005-0000-0000-00006C050000}"/>
    <cellStyle name="_01.신월오수 관로토공" xfId="1391" xr:uid="{00000000-0005-0000-0000-00006D050000}"/>
    <cellStyle name="_01.신월오수 관로토공_01-02.맨홀토공(OPEN-0.3)D-LINE" xfId="1392" xr:uid="{00000000-0005-0000-0000-00006E050000}"/>
    <cellStyle name="_01.신월오수 관로토공_01-02.맨홀토공(OPEN-0.3)D-LINE_01-02.맨홀토공(OPEN-0.3)C-LINE" xfId="1393" xr:uid="{00000000-0005-0000-0000-00006F050000}"/>
    <cellStyle name="_01.신월오수 관로토공_01-02.맨홀토공(OPEN-0.3)D-LINE_01-02.맨홀토공(OPEN-0.3)C-LINE_02.구조물및추진,도달기지토공(D구간)" xfId="1394" xr:uid="{00000000-0005-0000-0000-000070050000}"/>
    <cellStyle name="_01.신월오수 관로토공_01-02.맨홀토공(OPEN-0.3)D-LINE_01-02.맨홀토공(OPEN-0.3)D-LINE" xfId="1395" xr:uid="{00000000-0005-0000-0000-000071050000}"/>
    <cellStyle name="_01.신월오수 관로토공_01-02.맨홀토공(OPEN-0.3)D-LINE_01-02.맨홀토공(OPEN-0.3)D-LINE_02.구조물및추진,도달기지토공(D구간)" xfId="1396" xr:uid="{00000000-0005-0000-0000-000072050000}"/>
    <cellStyle name="_01.신월오수 관로토공_01-02.맨홀토공(OPEN-0.3)D-LINE_02.구조물및추진,도달기지토공(D구간)" xfId="1397" xr:uid="{00000000-0005-0000-0000-000073050000}"/>
    <cellStyle name="_01.신월오수 관로토공_01-3.옥구오수신설  맨홀토공(OPEN-0.3)" xfId="1398" xr:uid="{00000000-0005-0000-0000-000074050000}"/>
    <cellStyle name="_01.신월오수 관로토공_01-3.옥구오수신설  맨홀토공(OPEN-0.3)_01-02.맨홀토공(OPEN-0.3)C-LINE" xfId="1399" xr:uid="{00000000-0005-0000-0000-000075050000}"/>
    <cellStyle name="_01.신월오수 관로토공_01-3.옥구오수신설  맨홀토공(OPEN-0.3)_01-02.맨홀토공(OPEN-0.3)C-LINE_02.구조물및추진,도달기지토공(D구간)" xfId="1400" xr:uid="{00000000-0005-0000-0000-000076050000}"/>
    <cellStyle name="_01.신월오수 관로토공_01-3.옥구오수신설  맨홀토공(OPEN-0.3)_01-02.맨홀토공(OPEN-0.3)D-LINE" xfId="1401" xr:uid="{00000000-0005-0000-0000-000077050000}"/>
    <cellStyle name="_01.신월오수 관로토공_01-3.옥구오수신설  맨홀토공(OPEN-0.3)_01-02.맨홀토공(OPEN-0.3)D-LINE_02.구조물및추진,도달기지토공(D구간)" xfId="1402" xr:uid="{00000000-0005-0000-0000-000078050000}"/>
    <cellStyle name="_01.신월오수 관로토공_01-3.옥구오수신설  맨홀토공(OPEN-0.3)_02.구조물및추진,도달기지토공(D구간)" xfId="1403" xr:uid="{00000000-0005-0000-0000-000079050000}"/>
    <cellStyle name="_01.신월오수 관로토공_01-3.옥서오수신설  맨홀토공(OPEN-0.3)" xfId="1404" xr:uid="{00000000-0005-0000-0000-00007A050000}"/>
    <cellStyle name="_01.신월오수 관로토공_01-3.옥서오수신설  맨홀토공(OPEN-0.3)_01-02.맨홀토공(OPEN-0.3)C-LINE" xfId="1405" xr:uid="{00000000-0005-0000-0000-00007B050000}"/>
    <cellStyle name="_01.신월오수 관로토공_01-3.옥서오수신설  맨홀토공(OPEN-0.3)_01-02.맨홀토공(OPEN-0.3)C-LINE_02.구조물및추진,도달기지토공(D구간)" xfId="1406" xr:uid="{00000000-0005-0000-0000-00007C050000}"/>
    <cellStyle name="_01.신월오수 관로토공_01-3.옥서오수신설  맨홀토공(OPEN-0.3)_01-02.맨홀토공(OPEN-0.3)D-LINE" xfId="1407" xr:uid="{00000000-0005-0000-0000-00007D050000}"/>
    <cellStyle name="_01.신월오수 관로토공_01-3.옥서오수신설  맨홀토공(OPEN-0.3)_01-02.맨홀토공(OPEN-0.3)D-LINE_02.구조물및추진,도달기지토공(D구간)" xfId="1408" xr:uid="{00000000-0005-0000-0000-00007E050000}"/>
    <cellStyle name="_01.신월오수 관로토공_01-3.옥서오수신설  맨홀토공(OPEN-0.3)_02.구조물및추진,도달기지토공(D구간)" xfId="1409" xr:uid="{00000000-0005-0000-0000-00007F050000}"/>
    <cellStyle name="_01.신월오수 관로토공_02.구조물및추진,도달기지토공(D구간)" xfId="1410" xr:uid="{00000000-0005-0000-0000-000080050000}"/>
    <cellStyle name="_01.여도오수 토공" xfId="1411" xr:uid="{00000000-0005-0000-0000-000081050000}"/>
    <cellStyle name="_01.여도오수 토공_01-02.맨홀토공(OPEN-0.3)D-LINE" xfId="1412" xr:uid="{00000000-0005-0000-0000-000082050000}"/>
    <cellStyle name="_01.여도오수 토공_01-02.맨홀토공(OPEN-0.3)D-LINE_01-02.맨홀토공(OPEN-0.3)C-LINE" xfId="1413" xr:uid="{00000000-0005-0000-0000-000083050000}"/>
    <cellStyle name="_01.여도오수 토공_01-02.맨홀토공(OPEN-0.3)D-LINE_01-02.맨홀토공(OPEN-0.3)C-LINE_02.구조물및추진,도달기지토공(D구간)" xfId="1414" xr:uid="{00000000-0005-0000-0000-000084050000}"/>
    <cellStyle name="_01.여도오수 토공_01-02.맨홀토공(OPEN-0.3)D-LINE_01-02.맨홀토공(OPEN-0.3)D-LINE" xfId="1415" xr:uid="{00000000-0005-0000-0000-000085050000}"/>
    <cellStyle name="_01.여도오수 토공_01-02.맨홀토공(OPEN-0.3)D-LINE_01-02.맨홀토공(OPEN-0.3)D-LINE_02.구조물및추진,도달기지토공(D구간)" xfId="1416" xr:uid="{00000000-0005-0000-0000-000086050000}"/>
    <cellStyle name="_01.여도오수 토공_01-02.맨홀토공(OPEN-0.3)D-LINE_02.구조물및추진,도달기지토공(D구간)" xfId="1417" xr:uid="{00000000-0005-0000-0000-000087050000}"/>
    <cellStyle name="_01.여도오수 토공_01-3.옥구오수신설  맨홀토공(OPEN-0.3)" xfId="1418" xr:uid="{00000000-0005-0000-0000-000088050000}"/>
    <cellStyle name="_01.여도오수 토공_01-3.옥구오수신설  맨홀토공(OPEN-0.3)_01-02.맨홀토공(OPEN-0.3)C-LINE" xfId="1419" xr:uid="{00000000-0005-0000-0000-000089050000}"/>
    <cellStyle name="_01.여도오수 토공_01-3.옥구오수신설  맨홀토공(OPEN-0.3)_01-02.맨홀토공(OPEN-0.3)C-LINE_02.구조물및추진,도달기지토공(D구간)" xfId="1420" xr:uid="{00000000-0005-0000-0000-00008A050000}"/>
    <cellStyle name="_01.여도오수 토공_01-3.옥구오수신설  맨홀토공(OPEN-0.3)_01-02.맨홀토공(OPEN-0.3)D-LINE" xfId="1421" xr:uid="{00000000-0005-0000-0000-00008B050000}"/>
    <cellStyle name="_01.여도오수 토공_01-3.옥구오수신설  맨홀토공(OPEN-0.3)_01-02.맨홀토공(OPEN-0.3)D-LINE_02.구조물및추진,도달기지토공(D구간)" xfId="1422" xr:uid="{00000000-0005-0000-0000-00008C050000}"/>
    <cellStyle name="_01.여도오수 토공_01-3.옥구오수신설  맨홀토공(OPEN-0.3)_02.구조물및추진,도달기지토공(D구간)" xfId="1423" xr:uid="{00000000-0005-0000-0000-00008D050000}"/>
    <cellStyle name="_01.여도오수 토공_01-3.옥서오수신설  맨홀토공(OPEN-0.3)" xfId="1424" xr:uid="{00000000-0005-0000-0000-00008E050000}"/>
    <cellStyle name="_01.여도오수 토공_01-3.옥서오수신설  맨홀토공(OPEN-0.3)_01-02.맨홀토공(OPEN-0.3)C-LINE" xfId="1425" xr:uid="{00000000-0005-0000-0000-00008F050000}"/>
    <cellStyle name="_01.여도오수 토공_01-3.옥서오수신설  맨홀토공(OPEN-0.3)_01-02.맨홀토공(OPEN-0.3)C-LINE_02.구조물및추진,도달기지토공(D구간)" xfId="1426" xr:uid="{00000000-0005-0000-0000-000090050000}"/>
    <cellStyle name="_01.여도오수 토공_01-3.옥서오수신설  맨홀토공(OPEN-0.3)_01-02.맨홀토공(OPEN-0.3)D-LINE" xfId="1427" xr:uid="{00000000-0005-0000-0000-000091050000}"/>
    <cellStyle name="_01.여도오수 토공_01-3.옥서오수신설  맨홀토공(OPEN-0.3)_01-02.맨홀토공(OPEN-0.3)D-LINE_02.구조물및추진,도달기지토공(D구간)" xfId="1428" xr:uid="{00000000-0005-0000-0000-000092050000}"/>
    <cellStyle name="_01.여도오수 토공_01-3.옥서오수신설  맨홀토공(OPEN-0.3)_02.구조물및추진,도달기지토공(D구간)" xfId="1429" xr:uid="{00000000-0005-0000-0000-000093050000}"/>
    <cellStyle name="_01.여도오수 토공_02.구조물및추진,도달기지토공(D구간)" xfId="1430" xr:uid="{00000000-0005-0000-0000-000094050000}"/>
    <cellStyle name="_01.여천(오수)관로토공" xfId="1431" xr:uid="{00000000-0005-0000-0000-000095050000}"/>
    <cellStyle name="_01.여천(오수)관로토공_01.관로토공(우수)" xfId="1432" xr:uid="{00000000-0005-0000-0000-000096050000}"/>
    <cellStyle name="_01.여천(오수)관로토공_01.관로토공(우수)_01.여천오수 토공" xfId="1433" xr:uid="{00000000-0005-0000-0000-000097050000}"/>
    <cellStyle name="_01.여천(오수)관로토공_01.관로토공(우수)_01.여천오수 토공_01-02.맨홀토공(OPEN-0.3)D-LINE" xfId="1434" xr:uid="{00000000-0005-0000-0000-000098050000}"/>
    <cellStyle name="_01.여천(오수)관로토공_01.관로토공(우수)_01.여천오수 토공_01-02.맨홀토공(OPEN-0.3)D-LINE_01-02.맨홀토공(OPEN-0.3)C-LINE" xfId="1435" xr:uid="{00000000-0005-0000-0000-000099050000}"/>
    <cellStyle name="_01.여천(오수)관로토공_01.관로토공(우수)_01.여천오수 토공_01-02.맨홀토공(OPEN-0.3)D-LINE_01-02.맨홀토공(OPEN-0.3)C-LINE_02.구조물및추진,도달기지토공(D구간)" xfId="1436" xr:uid="{00000000-0005-0000-0000-00009A050000}"/>
    <cellStyle name="_01.여천(오수)관로토공_01.관로토공(우수)_01.여천오수 토공_01-02.맨홀토공(OPEN-0.3)D-LINE_01-02.맨홀토공(OPEN-0.3)D-LINE" xfId="1437" xr:uid="{00000000-0005-0000-0000-00009B050000}"/>
    <cellStyle name="_01.여천(오수)관로토공_01.관로토공(우수)_01.여천오수 토공_01-02.맨홀토공(OPEN-0.3)D-LINE_01-02.맨홀토공(OPEN-0.3)D-LINE_02.구조물및추진,도달기지토공(D구간)" xfId="1438" xr:uid="{00000000-0005-0000-0000-00009C050000}"/>
    <cellStyle name="_01.여천(오수)관로토공_01.관로토공(우수)_01.여천오수 토공_01-02.맨홀토공(OPEN-0.3)D-LINE_02.구조물및추진,도달기지토공(D구간)" xfId="1439" xr:uid="{00000000-0005-0000-0000-00009D050000}"/>
    <cellStyle name="_01.여천(오수)관로토공_01.관로토공(우수)_01.여천오수 토공_01-3.옥구오수신설  맨홀토공(OPEN-0.3)" xfId="1440" xr:uid="{00000000-0005-0000-0000-00009E050000}"/>
    <cellStyle name="_01.여천(오수)관로토공_01.관로토공(우수)_01.여천오수 토공_01-3.옥구오수신설  맨홀토공(OPEN-0.3)_01-02.맨홀토공(OPEN-0.3)C-LINE" xfId="1441" xr:uid="{00000000-0005-0000-0000-00009F050000}"/>
    <cellStyle name="_01.여천(오수)관로토공_01.관로토공(우수)_01.여천오수 토공_01-3.옥구오수신설  맨홀토공(OPEN-0.3)_01-02.맨홀토공(OPEN-0.3)C-LINE_02.구조물및추진,도달기지토공(D구간)" xfId="1442" xr:uid="{00000000-0005-0000-0000-0000A0050000}"/>
    <cellStyle name="_01.여천(오수)관로토공_01.관로토공(우수)_01.여천오수 토공_01-3.옥구오수신설  맨홀토공(OPEN-0.3)_01-02.맨홀토공(OPEN-0.3)D-LINE" xfId="1443" xr:uid="{00000000-0005-0000-0000-0000A1050000}"/>
    <cellStyle name="_01.여천(오수)관로토공_01.관로토공(우수)_01.여천오수 토공_01-3.옥구오수신설  맨홀토공(OPEN-0.3)_01-02.맨홀토공(OPEN-0.3)D-LINE_02.구조물및추진,도달기지토공(D구간)" xfId="1444" xr:uid="{00000000-0005-0000-0000-0000A2050000}"/>
    <cellStyle name="_01.여천(오수)관로토공_01.관로토공(우수)_01.여천오수 토공_01-3.옥구오수신설  맨홀토공(OPEN-0.3)_02.구조물및추진,도달기지토공(D구간)" xfId="1445" xr:uid="{00000000-0005-0000-0000-0000A3050000}"/>
    <cellStyle name="_01.여천(오수)관로토공_01.관로토공(우수)_01.여천오수 토공_01-3.옥서오수신설  맨홀토공(OPEN-0.3)" xfId="1446" xr:uid="{00000000-0005-0000-0000-0000A4050000}"/>
    <cellStyle name="_01.여천(오수)관로토공_01.관로토공(우수)_01.여천오수 토공_01-3.옥서오수신설  맨홀토공(OPEN-0.3)_01-02.맨홀토공(OPEN-0.3)C-LINE" xfId="1447" xr:uid="{00000000-0005-0000-0000-0000A5050000}"/>
    <cellStyle name="_01.여천(오수)관로토공_01.관로토공(우수)_01.여천오수 토공_01-3.옥서오수신설  맨홀토공(OPEN-0.3)_01-02.맨홀토공(OPEN-0.3)C-LINE_02.구조물및추진,도달기지토공(D구간)" xfId="1448" xr:uid="{00000000-0005-0000-0000-0000A6050000}"/>
    <cellStyle name="_01.여천(오수)관로토공_01.관로토공(우수)_01.여천오수 토공_01-3.옥서오수신설  맨홀토공(OPEN-0.3)_01-02.맨홀토공(OPEN-0.3)D-LINE" xfId="1449" xr:uid="{00000000-0005-0000-0000-0000A7050000}"/>
    <cellStyle name="_01.여천(오수)관로토공_01.관로토공(우수)_01.여천오수 토공_01-3.옥서오수신설  맨홀토공(OPEN-0.3)_01-02.맨홀토공(OPEN-0.3)D-LINE_02.구조물및추진,도달기지토공(D구간)" xfId="1450" xr:uid="{00000000-0005-0000-0000-0000A8050000}"/>
    <cellStyle name="_01.여천(오수)관로토공_01.관로토공(우수)_01.여천오수 토공_01-3.옥서오수신설  맨홀토공(OPEN-0.3)_02.구조물및추진,도달기지토공(D구간)" xfId="1451" xr:uid="{00000000-0005-0000-0000-0000A9050000}"/>
    <cellStyle name="_01.여천(오수)관로토공_01.관로토공(우수)_01.여천오수 토공_02.구조물및추진,도달기지토공(D구간)" xfId="1452" xr:uid="{00000000-0005-0000-0000-0000AA050000}"/>
    <cellStyle name="_01.여천(오수)관로토공_01.관로토공(우수)_01.여천우수 토공" xfId="1453" xr:uid="{00000000-0005-0000-0000-0000AB050000}"/>
    <cellStyle name="_01.여천(오수)관로토공_01.관로토공(우수)_01.여천우수 토공_01-02.맨홀토공(OPEN-0.3)D-LINE" xfId="1454" xr:uid="{00000000-0005-0000-0000-0000AC050000}"/>
    <cellStyle name="_01.여천(오수)관로토공_01.관로토공(우수)_01.여천우수 토공_01-02.맨홀토공(OPEN-0.3)D-LINE_01-02.맨홀토공(OPEN-0.3)C-LINE" xfId="1455" xr:uid="{00000000-0005-0000-0000-0000AD050000}"/>
    <cellStyle name="_01.여천(오수)관로토공_01.관로토공(우수)_01.여천우수 토공_01-02.맨홀토공(OPEN-0.3)D-LINE_01-02.맨홀토공(OPEN-0.3)C-LINE_02.구조물및추진,도달기지토공(D구간)" xfId="1456" xr:uid="{00000000-0005-0000-0000-0000AE050000}"/>
    <cellStyle name="_01.여천(오수)관로토공_01.관로토공(우수)_01.여천우수 토공_01-02.맨홀토공(OPEN-0.3)D-LINE_01-02.맨홀토공(OPEN-0.3)D-LINE" xfId="1457" xr:uid="{00000000-0005-0000-0000-0000AF050000}"/>
    <cellStyle name="_01.여천(오수)관로토공_01.관로토공(우수)_01.여천우수 토공_01-02.맨홀토공(OPEN-0.3)D-LINE_01-02.맨홀토공(OPEN-0.3)D-LINE_02.구조물및추진,도달기지토공(D구간)" xfId="1458" xr:uid="{00000000-0005-0000-0000-0000B0050000}"/>
    <cellStyle name="_01.여천(오수)관로토공_01.관로토공(우수)_01.여천우수 토공_01-02.맨홀토공(OPEN-0.3)D-LINE_02.구조물및추진,도달기지토공(D구간)" xfId="1459" xr:uid="{00000000-0005-0000-0000-0000B1050000}"/>
    <cellStyle name="_01.여천(오수)관로토공_01.관로토공(우수)_01.여천우수 토공_01-3.옥구오수신설  맨홀토공(OPEN-0.3)" xfId="1460" xr:uid="{00000000-0005-0000-0000-0000B2050000}"/>
    <cellStyle name="_01.여천(오수)관로토공_01.관로토공(우수)_01.여천우수 토공_01-3.옥구오수신설  맨홀토공(OPEN-0.3)_01-02.맨홀토공(OPEN-0.3)C-LINE" xfId="1461" xr:uid="{00000000-0005-0000-0000-0000B3050000}"/>
    <cellStyle name="_01.여천(오수)관로토공_01.관로토공(우수)_01.여천우수 토공_01-3.옥구오수신설  맨홀토공(OPEN-0.3)_01-02.맨홀토공(OPEN-0.3)C-LINE_02.구조물및추진,도달기지토공(D구간)" xfId="1462" xr:uid="{00000000-0005-0000-0000-0000B4050000}"/>
    <cellStyle name="_01.여천(오수)관로토공_01.관로토공(우수)_01.여천우수 토공_01-3.옥구오수신설  맨홀토공(OPEN-0.3)_01-02.맨홀토공(OPEN-0.3)D-LINE" xfId="1463" xr:uid="{00000000-0005-0000-0000-0000B5050000}"/>
    <cellStyle name="_01.여천(오수)관로토공_01.관로토공(우수)_01.여천우수 토공_01-3.옥구오수신설  맨홀토공(OPEN-0.3)_01-02.맨홀토공(OPEN-0.3)D-LINE_02.구조물및추진,도달기지토공(D구간)" xfId="1464" xr:uid="{00000000-0005-0000-0000-0000B6050000}"/>
    <cellStyle name="_01.여천(오수)관로토공_01.관로토공(우수)_01.여천우수 토공_01-3.옥구오수신설  맨홀토공(OPEN-0.3)_02.구조물및추진,도달기지토공(D구간)" xfId="1465" xr:uid="{00000000-0005-0000-0000-0000B7050000}"/>
    <cellStyle name="_01.여천(오수)관로토공_01.관로토공(우수)_01.여천우수 토공_01-3.옥서오수신설  맨홀토공(OPEN-0.3)" xfId="1466" xr:uid="{00000000-0005-0000-0000-0000B8050000}"/>
    <cellStyle name="_01.여천(오수)관로토공_01.관로토공(우수)_01.여천우수 토공_01-3.옥서오수신설  맨홀토공(OPEN-0.3)_01-02.맨홀토공(OPEN-0.3)C-LINE" xfId="1467" xr:uid="{00000000-0005-0000-0000-0000B9050000}"/>
    <cellStyle name="_01.여천(오수)관로토공_01.관로토공(우수)_01.여천우수 토공_01-3.옥서오수신설  맨홀토공(OPEN-0.3)_01-02.맨홀토공(OPEN-0.3)C-LINE_02.구조물및추진,도달기지토공(D구간)" xfId="1468" xr:uid="{00000000-0005-0000-0000-0000BA050000}"/>
    <cellStyle name="_01.여천(오수)관로토공_01.관로토공(우수)_01.여천우수 토공_01-3.옥서오수신설  맨홀토공(OPEN-0.3)_01-02.맨홀토공(OPEN-0.3)D-LINE" xfId="1469" xr:uid="{00000000-0005-0000-0000-0000BB050000}"/>
    <cellStyle name="_01.여천(오수)관로토공_01.관로토공(우수)_01.여천우수 토공_01-3.옥서오수신설  맨홀토공(OPEN-0.3)_01-02.맨홀토공(OPEN-0.3)D-LINE_02.구조물및추진,도달기지토공(D구간)" xfId="1470" xr:uid="{00000000-0005-0000-0000-0000BC050000}"/>
    <cellStyle name="_01.여천(오수)관로토공_01.관로토공(우수)_01.여천우수 토공_01-3.옥서오수신설  맨홀토공(OPEN-0.3)_02.구조물및추진,도달기지토공(D구간)" xfId="1471" xr:uid="{00000000-0005-0000-0000-0000BD050000}"/>
    <cellStyle name="_01.여천(오수)관로토공_01.관로토공(우수)_01.여천우수 토공_02.구조물및추진,도달기지토공(D구간)" xfId="1472" xr:uid="{00000000-0005-0000-0000-0000BE050000}"/>
    <cellStyle name="_01.여천(오수)관로토공_01.관로토공(우수)_01.차집 토공2" xfId="1473" xr:uid="{00000000-0005-0000-0000-0000BF050000}"/>
    <cellStyle name="_01.여천(오수)관로토공_01.관로토공(우수)_01.차집 토공2_01-02.맨홀토공(OPEN-0.3)D-LINE" xfId="1474" xr:uid="{00000000-0005-0000-0000-0000C0050000}"/>
    <cellStyle name="_01.여천(오수)관로토공_01.관로토공(우수)_01.차집 토공2_01-02.맨홀토공(OPEN-0.3)D-LINE_01-02.맨홀토공(OPEN-0.3)C-LINE" xfId="1475" xr:uid="{00000000-0005-0000-0000-0000C1050000}"/>
    <cellStyle name="_01.여천(오수)관로토공_01.관로토공(우수)_01.차집 토공2_01-02.맨홀토공(OPEN-0.3)D-LINE_01-02.맨홀토공(OPEN-0.3)C-LINE_02.구조물및추진,도달기지토공(D구간)" xfId="1476" xr:uid="{00000000-0005-0000-0000-0000C2050000}"/>
    <cellStyle name="_01.여천(오수)관로토공_01.관로토공(우수)_01.차집 토공2_01-02.맨홀토공(OPEN-0.3)D-LINE_01-02.맨홀토공(OPEN-0.3)D-LINE" xfId="1477" xr:uid="{00000000-0005-0000-0000-0000C3050000}"/>
    <cellStyle name="_01.여천(오수)관로토공_01.관로토공(우수)_01.차집 토공2_01-02.맨홀토공(OPEN-0.3)D-LINE_01-02.맨홀토공(OPEN-0.3)D-LINE_02.구조물및추진,도달기지토공(D구간)" xfId="1478" xr:uid="{00000000-0005-0000-0000-0000C4050000}"/>
    <cellStyle name="_01.여천(오수)관로토공_01.관로토공(우수)_01.차집 토공2_01-02.맨홀토공(OPEN-0.3)D-LINE_02.구조물및추진,도달기지토공(D구간)" xfId="1479" xr:uid="{00000000-0005-0000-0000-0000C5050000}"/>
    <cellStyle name="_01.여천(오수)관로토공_01.관로토공(우수)_01.차집 토공2_01-3.옥구오수신설  맨홀토공(OPEN-0.3)" xfId="1480" xr:uid="{00000000-0005-0000-0000-0000C6050000}"/>
    <cellStyle name="_01.여천(오수)관로토공_01.관로토공(우수)_01.차집 토공2_01-3.옥구오수신설  맨홀토공(OPEN-0.3)_01-02.맨홀토공(OPEN-0.3)C-LINE" xfId="1481" xr:uid="{00000000-0005-0000-0000-0000C7050000}"/>
    <cellStyle name="_01.여천(오수)관로토공_01.관로토공(우수)_01.차집 토공2_01-3.옥구오수신설  맨홀토공(OPEN-0.3)_01-02.맨홀토공(OPEN-0.3)C-LINE_02.구조물및추진,도달기지토공(D구간)" xfId="1482" xr:uid="{00000000-0005-0000-0000-0000C8050000}"/>
    <cellStyle name="_01.여천(오수)관로토공_01.관로토공(우수)_01.차집 토공2_01-3.옥구오수신설  맨홀토공(OPEN-0.3)_01-02.맨홀토공(OPEN-0.3)D-LINE" xfId="1483" xr:uid="{00000000-0005-0000-0000-0000C9050000}"/>
    <cellStyle name="_01.여천(오수)관로토공_01.관로토공(우수)_01.차집 토공2_01-3.옥구오수신설  맨홀토공(OPEN-0.3)_01-02.맨홀토공(OPEN-0.3)D-LINE_02.구조물및추진,도달기지토공(D구간)" xfId="1484" xr:uid="{00000000-0005-0000-0000-0000CA050000}"/>
    <cellStyle name="_01.여천(오수)관로토공_01.관로토공(우수)_01.차집 토공2_01-3.옥구오수신설  맨홀토공(OPEN-0.3)_02.구조물및추진,도달기지토공(D구간)" xfId="1485" xr:uid="{00000000-0005-0000-0000-0000CB050000}"/>
    <cellStyle name="_01.여천(오수)관로토공_01.관로토공(우수)_01.차집 토공2_01-3.옥서오수신설  맨홀토공(OPEN-0.3)" xfId="1486" xr:uid="{00000000-0005-0000-0000-0000CC050000}"/>
    <cellStyle name="_01.여천(오수)관로토공_01.관로토공(우수)_01.차집 토공2_01-3.옥서오수신설  맨홀토공(OPEN-0.3)_01-02.맨홀토공(OPEN-0.3)C-LINE" xfId="1487" xr:uid="{00000000-0005-0000-0000-0000CD050000}"/>
    <cellStyle name="_01.여천(오수)관로토공_01.관로토공(우수)_01.차집 토공2_01-3.옥서오수신설  맨홀토공(OPEN-0.3)_01-02.맨홀토공(OPEN-0.3)C-LINE_02.구조물및추진,도달기지토공(D구간)" xfId="1488" xr:uid="{00000000-0005-0000-0000-0000CE050000}"/>
    <cellStyle name="_01.여천(오수)관로토공_01.관로토공(우수)_01.차집 토공2_01-3.옥서오수신설  맨홀토공(OPEN-0.3)_01-02.맨홀토공(OPEN-0.3)D-LINE" xfId="1489" xr:uid="{00000000-0005-0000-0000-0000CF050000}"/>
    <cellStyle name="_01.여천(오수)관로토공_01.관로토공(우수)_01.차집 토공2_01-3.옥서오수신설  맨홀토공(OPEN-0.3)_01-02.맨홀토공(OPEN-0.3)D-LINE_02.구조물및추진,도달기지토공(D구간)" xfId="1490" xr:uid="{00000000-0005-0000-0000-0000D0050000}"/>
    <cellStyle name="_01.여천(오수)관로토공_01.관로토공(우수)_01.차집 토공2_01-3.옥서오수신설  맨홀토공(OPEN-0.3)_02.구조물및추진,도달기지토공(D구간)" xfId="1491" xr:uid="{00000000-0005-0000-0000-0000D1050000}"/>
    <cellStyle name="_01.여천(오수)관로토공_01.관로토공(우수)_01.차집 토공2_02.구조물및추진,도달기지토공(D구간)" xfId="1492" xr:uid="{00000000-0005-0000-0000-0000D2050000}"/>
    <cellStyle name="_01.여천(오수)관로토공_01.관로토공(우수)_01.토공" xfId="1493" xr:uid="{00000000-0005-0000-0000-0000D3050000}"/>
    <cellStyle name="_01.여천(오수)관로토공_01.관로토공(우수)_01.토공_01-02.맨홀토공(OPEN-0.3)D-LINE" xfId="1494" xr:uid="{00000000-0005-0000-0000-0000D4050000}"/>
    <cellStyle name="_01.여천(오수)관로토공_01.관로토공(우수)_01.토공_01-02.맨홀토공(OPEN-0.3)D-LINE_01-02.맨홀토공(OPEN-0.3)C-LINE" xfId="1495" xr:uid="{00000000-0005-0000-0000-0000D5050000}"/>
    <cellStyle name="_01.여천(오수)관로토공_01.관로토공(우수)_01.토공_01-02.맨홀토공(OPEN-0.3)D-LINE_01-02.맨홀토공(OPEN-0.3)C-LINE_02.구조물및추진,도달기지토공(D구간)" xfId="1496" xr:uid="{00000000-0005-0000-0000-0000D6050000}"/>
    <cellStyle name="_01.여천(오수)관로토공_01.관로토공(우수)_01.토공_01-02.맨홀토공(OPEN-0.3)D-LINE_01-02.맨홀토공(OPEN-0.3)D-LINE" xfId="1497" xr:uid="{00000000-0005-0000-0000-0000D7050000}"/>
    <cellStyle name="_01.여천(오수)관로토공_01.관로토공(우수)_01.토공_01-02.맨홀토공(OPEN-0.3)D-LINE_01-02.맨홀토공(OPEN-0.3)D-LINE_02.구조물및추진,도달기지토공(D구간)" xfId="1498" xr:uid="{00000000-0005-0000-0000-0000D8050000}"/>
    <cellStyle name="_01.여천(오수)관로토공_01.관로토공(우수)_01.토공_01-02.맨홀토공(OPEN-0.3)D-LINE_02.구조물및추진,도달기지토공(D구간)" xfId="1499" xr:uid="{00000000-0005-0000-0000-0000D9050000}"/>
    <cellStyle name="_01.여천(오수)관로토공_01.관로토공(우수)_01.토공_01-3.옥구오수신설  맨홀토공(OPEN-0.3)" xfId="1500" xr:uid="{00000000-0005-0000-0000-0000DA050000}"/>
    <cellStyle name="_01.여천(오수)관로토공_01.관로토공(우수)_01.토공_01-3.옥구오수신설  맨홀토공(OPEN-0.3)_01-02.맨홀토공(OPEN-0.3)C-LINE" xfId="1501" xr:uid="{00000000-0005-0000-0000-0000DB050000}"/>
    <cellStyle name="_01.여천(오수)관로토공_01.관로토공(우수)_01.토공_01-3.옥구오수신설  맨홀토공(OPEN-0.3)_01-02.맨홀토공(OPEN-0.3)C-LINE_02.구조물및추진,도달기지토공(D구간)" xfId="1502" xr:uid="{00000000-0005-0000-0000-0000DC050000}"/>
    <cellStyle name="_01.여천(오수)관로토공_01.관로토공(우수)_01.토공_01-3.옥구오수신설  맨홀토공(OPEN-0.3)_01-02.맨홀토공(OPEN-0.3)D-LINE" xfId="1503" xr:uid="{00000000-0005-0000-0000-0000DD050000}"/>
    <cellStyle name="_01.여천(오수)관로토공_01.관로토공(우수)_01.토공_01-3.옥구오수신설  맨홀토공(OPEN-0.3)_01-02.맨홀토공(OPEN-0.3)D-LINE_02.구조물및추진,도달기지토공(D구간)" xfId="1504" xr:uid="{00000000-0005-0000-0000-0000DE050000}"/>
    <cellStyle name="_01.여천(오수)관로토공_01.관로토공(우수)_01.토공_01-3.옥구오수신설  맨홀토공(OPEN-0.3)_02.구조물및추진,도달기지토공(D구간)" xfId="1505" xr:uid="{00000000-0005-0000-0000-0000DF050000}"/>
    <cellStyle name="_01.여천(오수)관로토공_01.관로토공(우수)_01.토공_01-3.옥서오수신설  맨홀토공(OPEN-0.3)" xfId="1506" xr:uid="{00000000-0005-0000-0000-0000E0050000}"/>
    <cellStyle name="_01.여천(오수)관로토공_01.관로토공(우수)_01.토공_01-3.옥서오수신설  맨홀토공(OPEN-0.3)_01-02.맨홀토공(OPEN-0.3)C-LINE" xfId="1507" xr:uid="{00000000-0005-0000-0000-0000E1050000}"/>
    <cellStyle name="_01.여천(오수)관로토공_01.관로토공(우수)_01.토공_01-3.옥서오수신설  맨홀토공(OPEN-0.3)_01-02.맨홀토공(OPEN-0.3)C-LINE_02.구조물및추진,도달기지토공(D구간)" xfId="1508" xr:uid="{00000000-0005-0000-0000-0000E2050000}"/>
    <cellStyle name="_01.여천(오수)관로토공_01.관로토공(우수)_01.토공_01-3.옥서오수신설  맨홀토공(OPEN-0.3)_01-02.맨홀토공(OPEN-0.3)D-LINE" xfId="1509" xr:uid="{00000000-0005-0000-0000-0000E3050000}"/>
    <cellStyle name="_01.여천(오수)관로토공_01.관로토공(우수)_01.토공_01-3.옥서오수신설  맨홀토공(OPEN-0.3)_01-02.맨홀토공(OPEN-0.3)D-LINE_02.구조물및추진,도달기지토공(D구간)" xfId="1510" xr:uid="{00000000-0005-0000-0000-0000E4050000}"/>
    <cellStyle name="_01.여천(오수)관로토공_01.관로토공(우수)_01.토공_01-3.옥서오수신설  맨홀토공(OPEN-0.3)_02.구조물및추진,도달기지토공(D구간)" xfId="1511" xr:uid="{00000000-0005-0000-0000-0000E5050000}"/>
    <cellStyle name="_01.여천(오수)관로토공_01.관로토공(우수)_01.토공_02.구조물및추진,도달기지토공(D구간)" xfId="1512" xr:uid="{00000000-0005-0000-0000-0000E6050000}"/>
    <cellStyle name="_01.여천(오수)관로토공_01.관로토공(우수)_01-02.맨홀토공(OPEN-0.3)D-LINE" xfId="1513" xr:uid="{00000000-0005-0000-0000-0000E7050000}"/>
    <cellStyle name="_01.여천(오수)관로토공_01.관로토공(우수)_01-02.맨홀토공(OPEN-0.3)D-LINE_01-02.맨홀토공(OPEN-0.3)C-LINE" xfId="1514" xr:uid="{00000000-0005-0000-0000-0000E8050000}"/>
    <cellStyle name="_01.여천(오수)관로토공_01.관로토공(우수)_01-02.맨홀토공(OPEN-0.3)D-LINE_01-02.맨홀토공(OPEN-0.3)C-LINE_02.구조물및추진,도달기지토공(D구간)" xfId="1515" xr:uid="{00000000-0005-0000-0000-0000E9050000}"/>
    <cellStyle name="_01.여천(오수)관로토공_01.관로토공(우수)_01-02.맨홀토공(OPEN-0.3)D-LINE_01-02.맨홀토공(OPEN-0.3)D-LINE" xfId="1516" xr:uid="{00000000-0005-0000-0000-0000EA050000}"/>
    <cellStyle name="_01.여천(오수)관로토공_01.관로토공(우수)_01-02.맨홀토공(OPEN-0.3)D-LINE_01-02.맨홀토공(OPEN-0.3)D-LINE_02.구조물및추진,도달기지토공(D구간)" xfId="1517" xr:uid="{00000000-0005-0000-0000-0000EB050000}"/>
    <cellStyle name="_01.여천(오수)관로토공_01.관로토공(우수)_01-02.맨홀토공(OPEN-0.3)D-LINE_02.구조물및추진,도달기지토공(D구간)" xfId="1518" xr:uid="{00000000-0005-0000-0000-0000EC050000}"/>
    <cellStyle name="_01.여천(오수)관로토공_01.관로토공(우수)_01-3.옥구오수신설  맨홀토공(OPEN-0.3)" xfId="1519" xr:uid="{00000000-0005-0000-0000-0000ED050000}"/>
    <cellStyle name="_01.여천(오수)관로토공_01.관로토공(우수)_01-3.옥구오수신설  맨홀토공(OPEN-0.3)_01-02.맨홀토공(OPEN-0.3)C-LINE" xfId="1520" xr:uid="{00000000-0005-0000-0000-0000EE050000}"/>
    <cellStyle name="_01.여천(오수)관로토공_01.관로토공(우수)_01-3.옥구오수신설  맨홀토공(OPEN-0.3)_01-02.맨홀토공(OPEN-0.3)C-LINE_02.구조물및추진,도달기지토공(D구간)" xfId="1521" xr:uid="{00000000-0005-0000-0000-0000EF050000}"/>
    <cellStyle name="_01.여천(오수)관로토공_01.관로토공(우수)_01-3.옥구오수신설  맨홀토공(OPEN-0.3)_01-02.맨홀토공(OPEN-0.3)D-LINE" xfId="1522" xr:uid="{00000000-0005-0000-0000-0000F0050000}"/>
    <cellStyle name="_01.여천(오수)관로토공_01.관로토공(우수)_01-3.옥구오수신설  맨홀토공(OPEN-0.3)_01-02.맨홀토공(OPEN-0.3)D-LINE_02.구조물및추진,도달기지토공(D구간)" xfId="1523" xr:uid="{00000000-0005-0000-0000-0000F1050000}"/>
    <cellStyle name="_01.여천(오수)관로토공_01.관로토공(우수)_01-3.옥구오수신설  맨홀토공(OPEN-0.3)_02.구조물및추진,도달기지토공(D구간)" xfId="1524" xr:uid="{00000000-0005-0000-0000-0000F2050000}"/>
    <cellStyle name="_01.여천(오수)관로토공_01.관로토공(우수)_01-3.옥서오수신설  맨홀토공(OPEN-0.3)" xfId="1525" xr:uid="{00000000-0005-0000-0000-0000F3050000}"/>
    <cellStyle name="_01.여천(오수)관로토공_01.관로토공(우수)_01-3.옥서오수신설  맨홀토공(OPEN-0.3)_01-02.맨홀토공(OPEN-0.3)C-LINE" xfId="1526" xr:uid="{00000000-0005-0000-0000-0000F4050000}"/>
    <cellStyle name="_01.여천(오수)관로토공_01.관로토공(우수)_01-3.옥서오수신설  맨홀토공(OPEN-0.3)_01-02.맨홀토공(OPEN-0.3)C-LINE_02.구조물및추진,도달기지토공(D구간)" xfId="1527" xr:uid="{00000000-0005-0000-0000-0000F5050000}"/>
    <cellStyle name="_01.여천(오수)관로토공_01.관로토공(우수)_01-3.옥서오수신설  맨홀토공(OPEN-0.3)_01-02.맨홀토공(OPEN-0.3)D-LINE" xfId="1528" xr:uid="{00000000-0005-0000-0000-0000F6050000}"/>
    <cellStyle name="_01.여천(오수)관로토공_01.관로토공(우수)_01-3.옥서오수신설  맨홀토공(OPEN-0.3)_01-02.맨홀토공(OPEN-0.3)D-LINE_02.구조물및추진,도달기지토공(D구간)" xfId="1529" xr:uid="{00000000-0005-0000-0000-0000F7050000}"/>
    <cellStyle name="_01.여천(오수)관로토공_01.관로토공(우수)_01-3.옥서오수신설  맨홀토공(OPEN-0.3)_02.구조물및추진,도달기지토공(D구간)" xfId="1530" xr:uid="{00000000-0005-0000-0000-0000F8050000}"/>
    <cellStyle name="_01.여천(오수)관로토공_01.관로토공(우수)_02.구조물및추진,도달기지토공(D구간)" xfId="1531" xr:uid="{00000000-0005-0000-0000-0000F9050000}"/>
    <cellStyle name="_01.여천(오수)관로토공_01.관로토공(우수)_03.여천우수 구조물공" xfId="1532" xr:uid="{00000000-0005-0000-0000-0000FA050000}"/>
    <cellStyle name="_01.여천(오수)관로토공_01.관로토공(우수)_03.여천우수 구조물공_01-02.맨홀토공(OPEN-0.3)D-LINE" xfId="1533" xr:uid="{00000000-0005-0000-0000-0000FB050000}"/>
    <cellStyle name="_01.여천(오수)관로토공_01.관로토공(우수)_03.여천우수 구조물공_01-02.맨홀토공(OPEN-0.3)D-LINE_01-02.맨홀토공(OPEN-0.3)C-LINE" xfId="1534" xr:uid="{00000000-0005-0000-0000-0000FC050000}"/>
    <cellStyle name="_01.여천(오수)관로토공_01.관로토공(우수)_03.여천우수 구조물공_01-02.맨홀토공(OPEN-0.3)D-LINE_01-02.맨홀토공(OPEN-0.3)C-LINE_02.구조물및추진,도달기지토공(D구간)" xfId="1535" xr:uid="{00000000-0005-0000-0000-0000FD050000}"/>
    <cellStyle name="_01.여천(오수)관로토공_01.관로토공(우수)_03.여천우수 구조물공_01-02.맨홀토공(OPEN-0.3)D-LINE_01-02.맨홀토공(OPEN-0.3)D-LINE" xfId="1536" xr:uid="{00000000-0005-0000-0000-0000FE050000}"/>
    <cellStyle name="_01.여천(오수)관로토공_01.관로토공(우수)_03.여천우수 구조물공_01-02.맨홀토공(OPEN-0.3)D-LINE_01-02.맨홀토공(OPEN-0.3)D-LINE_02.구조물및추진,도달기지토공(D구간)" xfId="1537" xr:uid="{00000000-0005-0000-0000-0000FF050000}"/>
    <cellStyle name="_01.여천(오수)관로토공_01.관로토공(우수)_03.여천우수 구조물공_01-02.맨홀토공(OPEN-0.3)D-LINE_02.구조물및추진,도달기지토공(D구간)" xfId="1538" xr:uid="{00000000-0005-0000-0000-000000060000}"/>
    <cellStyle name="_01.여천(오수)관로토공_01.관로토공(우수)_03.여천우수 구조물공_01-3.옥구오수신설  맨홀토공(OPEN-0.3)" xfId="1539" xr:uid="{00000000-0005-0000-0000-000001060000}"/>
    <cellStyle name="_01.여천(오수)관로토공_01.관로토공(우수)_03.여천우수 구조물공_01-3.옥구오수신설  맨홀토공(OPEN-0.3)_01-02.맨홀토공(OPEN-0.3)C-LINE" xfId="1540" xr:uid="{00000000-0005-0000-0000-000002060000}"/>
    <cellStyle name="_01.여천(오수)관로토공_01.관로토공(우수)_03.여천우수 구조물공_01-3.옥구오수신설  맨홀토공(OPEN-0.3)_01-02.맨홀토공(OPEN-0.3)C-LINE_02.구조물및추진,도달기지토공(D구간)" xfId="1541" xr:uid="{00000000-0005-0000-0000-000003060000}"/>
    <cellStyle name="_01.여천(오수)관로토공_01.관로토공(우수)_03.여천우수 구조물공_01-3.옥구오수신설  맨홀토공(OPEN-0.3)_01-02.맨홀토공(OPEN-0.3)D-LINE" xfId="1542" xr:uid="{00000000-0005-0000-0000-000004060000}"/>
    <cellStyle name="_01.여천(오수)관로토공_01.관로토공(우수)_03.여천우수 구조물공_01-3.옥구오수신설  맨홀토공(OPEN-0.3)_01-02.맨홀토공(OPEN-0.3)D-LINE_02.구조물및추진,도달기지토공(D구간)" xfId="1543" xr:uid="{00000000-0005-0000-0000-000005060000}"/>
    <cellStyle name="_01.여천(오수)관로토공_01.관로토공(우수)_03.여천우수 구조물공_01-3.옥구오수신설  맨홀토공(OPEN-0.3)_02.구조물및추진,도달기지토공(D구간)" xfId="1544" xr:uid="{00000000-0005-0000-0000-000006060000}"/>
    <cellStyle name="_01.여천(오수)관로토공_01.관로토공(우수)_03.여천우수 구조물공_01-3.옥서오수신설  맨홀토공(OPEN-0.3)" xfId="1545" xr:uid="{00000000-0005-0000-0000-000007060000}"/>
    <cellStyle name="_01.여천(오수)관로토공_01.관로토공(우수)_03.여천우수 구조물공_01-3.옥서오수신설  맨홀토공(OPEN-0.3)_01-02.맨홀토공(OPEN-0.3)C-LINE" xfId="1546" xr:uid="{00000000-0005-0000-0000-000008060000}"/>
    <cellStyle name="_01.여천(오수)관로토공_01.관로토공(우수)_03.여천우수 구조물공_01-3.옥서오수신설  맨홀토공(OPEN-0.3)_01-02.맨홀토공(OPEN-0.3)C-LINE_02.구조물및추진,도달기지토공(D구간)" xfId="1547" xr:uid="{00000000-0005-0000-0000-000009060000}"/>
    <cellStyle name="_01.여천(오수)관로토공_01.관로토공(우수)_03.여천우수 구조물공_01-3.옥서오수신설  맨홀토공(OPEN-0.3)_01-02.맨홀토공(OPEN-0.3)D-LINE" xfId="1548" xr:uid="{00000000-0005-0000-0000-00000A060000}"/>
    <cellStyle name="_01.여천(오수)관로토공_01.관로토공(우수)_03.여천우수 구조물공_01-3.옥서오수신설  맨홀토공(OPEN-0.3)_01-02.맨홀토공(OPEN-0.3)D-LINE_02.구조물및추진,도달기지토공(D구간)" xfId="1549" xr:uid="{00000000-0005-0000-0000-00000B060000}"/>
    <cellStyle name="_01.여천(오수)관로토공_01.관로토공(우수)_03.여천우수 구조물공_01-3.옥서오수신설  맨홀토공(OPEN-0.3)_02.구조물및추진,도달기지토공(D구간)" xfId="1550" xr:uid="{00000000-0005-0000-0000-00000C060000}"/>
    <cellStyle name="_01.여천(오수)관로토공_01.관로토공(우수)_03.여천우수 구조물공_02.구조물및추진,도달기지토공(D구간)" xfId="1551" xr:uid="{00000000-0005-0000-0000-00000D060000}"/>
    <cellStyle name="_01.여천(오수)관로토공_01.여천(오수)관로토공" xfId="1552" xr:uid="{00000000-0005-0000-0000-00000E060000}"/>
    <cellStyle name="_01.여천(오수)관로토공_01.여천(오수)관로토공_01.관로토공(우수)" xfId="1553" xr:uid="{00000000-0005-0000-0000-00000F060000}"/>
    <cellStyle name="_01.여천(오수)관로토공_01.여천(오수)관로토공_01.관로토공(우수)_01.여천오수 토공" xfId="1554" xr:uid="{00000000-0005-0000-0000-000010060000}"/>
    <cellStyle name="_01.여천(오수)관로토공_01.여천(오수)관로토공_01.관로토공(우수)_01.여천오수 토공_01-02.맨홀토공(OPEN-0.3)D-LINE" xfId="1555" xr:uid="{00000000-0005-0000-0000-000011060000}"/>
    <cellStyle name="_01.여천(오수)관로토공_01.여천(오수)관로토공_01.관로토공(우수)_01.여천오수 토공_01-02.맨홀토공(OPEN-0.3)D-LINE_01-02.맨홀토공(OPEN-0.3)C-LINE" xfId="1556" xr:uid="{00000000-0005-0000-0000-000012060000}"/>
    <cellStyle name="_01.여천(오수)관로토공_01.여천(오수)관로토공_01.관로토공(우수)_01.여천오수 토공_01-02.맨홀토공(OPEN-0.3)D-LINE_01-02.맨홀토공(OPEN-0.3)C-LINE_02.구조물및추진,도달기지토공(D구간)" xfId="1557" xr:uid="{00000000-0005-0000-0000-000013060000}"/>
    <cellStyle name="_01.여천(오수)관로토공_01.여천(오수)관로토공_01.관로토공(우수)_01.여천오수 토공_01-02.맨홀토공(OPEN-0.3)D-LINE_01-02.맨홀토공(OPEN-0.3)D-LINE" xfId="1558" xr:uid="{00000000-0005-0000-0000-000014060000}"/>
    <cellStyle name="_01.여천(오수)관로토공_01.여천(오수)관로토공_01.관로토공(우수)_01.여천오수 토공_01-02.맨홀토공(OPEN-0.3)D-LINE_01-02.맨홀토공(OPEN-0.3)D-LINE_02.구조물및추진,도달기지토공(D구간)" xfId="1559" xr:uid="{00000000-0005-0000-0000-000015060000}"/>
    <cellStyle name="_01.여천(오수)관로토공_01.여천(오수)관로토공_01.관로토공(우수)_01.여천오수 토공_01-02.맨홀토공(OPEN-0.3)D-LINE_02.구조물및추진,도달기지토공(D구간)" xfId="1560" xr:uid="{00000000-0005-0000-0000-000016060000}"/>
    <cellStyle name="_01.여천(오수)관로토공_01.여천(오수)관로토공_01.관로토공(우수)_01.여천오수 토공_01-3.옥구오수신설  맨홀토공(OPEN-0.3)" xfId="1561" xr:uid="{00000000-0005-0000-0000-000017060000}"/>
    <cellStyle name="_01.여천(오수)관로토공_01.여천(오수)관로토공_01.관로토공(우수)_01.여천오수 토공_01-3.옥구오수신설  맨홀토공(OPEN-0.3)_01-02.맨홀토공(OPEN-0.3)C-LINE" xfId="1562" xr:uid="{00000000-0005-0000-0000-000018060000}"/>
    <cellStyle name="_01.여천(오수)관로토공_01.여천(오수)관로토공_01.관로토공(우수)_01.여천오수 토공_01-3.옥구오수신설  맨홀토공(OPEN-0.3)_01-02.맨홀토공(OPEN-0.3)C-LINE_02.구조물및추진,도달기지토공(D구간)" xfId="1563" xr:uid="{00000000-0005-0000-0000-000019060000}"/>
    <cellStyle name="_01.여천(오수)관로토공_01.여천(오수)관로토공_01.관로토공(우수)_01.여천오수 토공_01-3.옥구오수신설  맨홀토공(OPEN-0.3)_01-02.맨홀토공(OPEN-0.3)D-LINE" xfId="1564" xr:uid="{00000000-0005-0000-0000-00001A060000}"/>
    <cellStyle name="_01.여천(오수)관로토공_01.여천(오수)관로토공_01.관로토공(우수)_01.여천오수 토공_01-3.옥구오수신설  맨홀토공(OPEN-0.3)_01-02.맨홀토공(OPEN-0.3)D-LINE_02.구조물및추진,도달기지토공(D구간)" xfId="1565" xr:uid="{00000000-0005-0000-0000-00001B060000}"/>
    <cellStyle name="_01.여천(오수)관로토공_01.여천(오수)관로토공_01.관로토공(우수)_01.여천오수 토공_01-3.옥구오수신설  맨홀토공(OPEN-0.3)_02.구조물및추진,도달기지토공(D구간)" xfId="1566" xr:uid="{00000000-0005-0000-0000-00001C060000}"/>
    <cellStyle name="_01.여천(오수)관로토공_01.여천(오수)관로토공_01.관로토공(우수)_01.여천오수 토공_01-3.옥서오수신설  맨홀토공(OPEN-0.3)" xfId="1567" xr:uid="{00000000-0005-0000-0000-00001D060000}"/>
    <cellStyle name="_01.여천(오수)관로토공_01.여천(오수)관로토공_01.관로토공(우수)_01.여천오수 토공_01-3.옥서오수신설  맨홀토공(OPEN-0.3)_01-02.맨홀토공(OPEN-0.3)C-LINE" xfId="1568" xr:uid="{00000000-0005-0000-0000-00001E060000}"/>
    <cellStyle name="_01.여천(오수)관로토공_01.여천(오수)관로토공_01.관로토공(우수)_01.여천오수 토공_01-3.옥서오수신설  맨홀토공(OPEN-0.3)_01-02.맨홀토공(OPEN-0.3)C-LINE_02.구조물및추진,도달기지토공(D구간)" xfId="1569" xr:uid="{00000000-0005-0000-0000-00001F060000}"/>
    <cellStyle name="_01.여천(오수)관로토공_01.여천(오수)관로토공_01.관로토공(우수)_01.여천오수 토공_01-3.옥서오수신설  맨홀토공(OPEN-0.3)_01-02.맨홀토공(OPEN-0.3)D-LINE" xfId="1570" xr:uid="{00000000-0005-0000-0000-000020060000}"/>
    <cellStyle name="_01.여천(오수)관로토공_01.여천(오수)관로토공_01.관로토공(우수)_01.여천오수 토공_01-3.옥서오수신설  맨홀토공(OPEN-0.3)_01-02.맨홀토공(OPEN-0.3)D-LINE_02.구조물및추진,도달기지토공(D구간)" xfId="1571" xr:uid="{00000000-0005-0000-0000-000021060000}"/>
    <cellStyle name="_01.여천(오수)관로토공_01.여천(오수)관로토공_01.관로토공(우수)_01.여천오수 토공_01-3.옥서오수신설  맨홀토공(OPEN-0.3)_02.구조물및추진,도달기지토공(D구간)" xfId="1572" xr:uid="{00000000-0005-0000-0000-000022060000}"/>
    <cellStyle name="_01.여천(오수)관로토공_01.여천(오수)관로토공_01.관로토공(우수)_01.여천오수 토공_02.구조물및추진,도달기지토공(D구간)" xfId="1573" xr:uid="{00000000-0005-0000-0000-000023060000}"/>
    <cellStyle name="_01.여천(오수)관로토공_01.여천(오수)관로토공_01.관로토공(우수)_01.여천우수 토공" xfId="1574" xr:uid="{00000000-0005-0000-0000-000024060000}"/>
    <cellStyle name="_01.여천(오수)관로토공_01.여천(오수)관로토공_01.관로토공(우수)_01.여천우수 토공_01-02.맨홀토공(OPEN-0.3)D-LINE" xfId="1575" xr:uid="{00000000-0005-0000-0000-000025060000}"/>
    <cellStyle name="_01.여천(오수)관로토공_01.여천(오수)관로토공_01.관로토공(우수)_01.여천우수 토공_01-02.맨홀토공(OPEN-0.3)D-LINE_01-02.맨홀토공(OPEN-0.3)C-LINE" xfId="1576" xr:uid="{00000000-0005-0000-0000-000026060000}"/>
    <cellStyle name="_01.여천(오수)관로토공_01.여천(오수)관로토공_01.관로토공(우수)_01.여천우수 토공_01-02.맨홀토공(OPEN-0.3)D-LINE_01-02.맨홀토공(OPEN-0.3)C-LINE_02.구조물및추진,도달기지토공(D구간)" xfId="1577" xr:uid="{00000000-0005-0000-0000-000027060000}"/>
    <cellStyle name="_01.여천(오수)관로토공_01.여천(오수)관로토공_01.관로토공(우수)_01.여천우수 토공_01-02.맨홀토공(OPEN-0.3)D-LINE_01-02.맨홀토공(OPEN-0.3)D-LINE" xfId="1578" xr:uid="{00000000-0005-0000-0000-000028060000}"/>
    <cellStyle name="_01.여천(오수)관로토공_01.여천(오수)관로토공_01.관로토공(우수)_01.여천우수 토공_01-02.맨홀토공(OPEN-0.3)D-LINE_01-02.맨홀토공(OPEN-0.3)D-LINE_02.구조물및추진,도달기지토공(D구간)" xfId="1579" xr:uid="{00000000-0005-0000-0000-000029060000}"/>
    <cellStyle name="_01.여천(오수)관로토공_01.여천(오수)관로토공_01.관로토공(우수)_01.여천우수 토공_01-02.맨홀토공(OPEN-0.3)D-LINE_02.구조물및추진,도달기지토공(D구간)" xfId="1580" xr:uid="{00000000-0005-0000-0000-00002A060000}"/>
    <cellStyle name="_01.여천(오수)관로토공_01.여천(오수)관로토공_01.관로토공(우수)_01.여천우수 토공_01-3.옥구오수신설  맨홀토공(OPEN-0.3)" xfId="1581" xr:uid="{00000000-0005-0000-0000-00002B060000}"/>
    <cellStyle name="_01.여천(오수)관로토공_01.여천(오수)관로토공_01.관로토공(우수)_01.여천우수 토공_01-3.옥구오수신설  맨홀토공(OPEN-0.3)_01-02.맨홀토공(OPEN-0.3)C-LINE" xfId="1582" xr:uid="{00000000-0005-0000-0000-00002C060000}"/>
    <cellStyle name="_01.여천(오수)관로토공_01.여천(오수)관로토공_01.관로토공(우수)_01.여천우수 토공_01-3.옥구오수신설  맨홀토공(OPEN-0.3)_01-02.맨홀토공(OPEN-0.3)C-LINE_02.구조물및추진,도달기지토공(D구간)" xfId="1583" xr:uid="{00000000-0005-0000-0000-00002D060000}"/>
    <cellStyle name="_01.여천(오수)관로토공_01.여천(오수)관로토공_01.관로토공(우수)_01.여천우수 토공_01-3.옥구오수신설  맨홀토공(OPEN-0.3)_01-02.맨홀토공(OPEN-0.3)D-LINE" xfId="1584" xr:uid="{00000000-0005-0000-0000-00002E060000}"/>
    <cellStyle name="_01.여천(오수)관로토공_01.여천(오수)관로토공_01.관로토공(우수)_01.여천우수 토공_01-3.옥구오수신설  맨홀토공(OPEN-0.3)_01-02.맨홀토공(OPEN-0.3)D-LINE_02.구조물및추진,도달기지토공(D구간)" xfId="1585" xr:uid="{00000000-0005-0000-0000-00002F060000}"/>
    <cellStyle name="_01.여천(오수)관로토공_01.여천(오수)관로토공_01.관로토공(우수)_01.여천우수 토공_01-3.옥구오수신설  맨홀토공(OPEN-0.3)_02.구조물및추진,도달기지토공(D구간)" xfId="1586" xr:uid="{00000000-0005-0000-0000-000030060000}"/>
    <cellStyle name="_01.여천(오수)관로토공_01.여천(오수)관로토공_01.관로토공(우수)_01.여천우수 토공_01-3.옥서오수신설  맨홀토공(OPEN-0.3)" xfId="1587" xr:uid="{00000000-0005-0000-0000-000031060000}"/>
    <cellStyle name="_01.여천(오수)관로토공_01.여천(오수)관로토공_01.관로토공(우수)_01.여천우수 토공_01-3.옥서오수신설  맨홀토공(OPEN-0.3)_01-02.맨홀토공(OPEN-0.3)C-LINE" xfId="1588" xr:uid="{00000000-0005-0000-0000-000032060000}"/>
    <cellStyle name="_01.여천(오수)관로토공_01.여천(오수)관로토공_01.관로토공(우수)_01.여천우수 토공_01-3.옥서오수신설  맨홀토공(OPEN-0.3)_01-02.맨홀토공(OPEN-0.3)C-LINE_02.구조물및추진,도달기지토공(D구간)" xfId="1589" xr:uid="{00000000-0005-0000-0000-000033060000}"/>
    <cellStyle name="_01.여천(오수)관로토공_01.여천(오수)관로토공_01.관로토공(우수)_01.여천우수 토공_01-3.옥서오수신설  맨홀토공(OPEN-0.3)_01-02.맨홀토공(OPEN-0.3)D-LINE" xfId="1590" xr:uid="{00000000-0005-0000-0000-000034060000}"/>
    <cellStyle name="_01.여천(오수)관로토공_01.여천(오수)관로토공_01.관로토공(우수)_01.여천우수 토공_01-3.옥서오수신설  맨홀토공(OPEN-0.3)_01-02.맨홀토공(OPEN-0.3)D-LINE_02.구조물및추진,도달기지토공(D구간)" xfId="1591" xr:uid="{00000000-0005-0000-0000-000035060000}"/>
    <cellStyle name="_01.여천(오수)관로토공_01.여천(오수)관로토공_01.관로토공(우수)_01.여천우수 토공_01-3.옥서오수신설  맨홀토공(OPEN-0.3)_02.구조물및추진,도달기지토공(D구간)" xfId="1592" xr:uid="{00000000-0005-0000-0000-000036060000}"/>
    <cellStyle name="_01.여천(오수)관로토공_01.여천(오수)관로토공_01.관로토공(우수)_01.여천우수 토공_02.구조물및추진,도달기지토공(D구간)" xfId="1593" xr:uid="{00000000-0005-0000-0000-000037060000}"/>
    <cellStyle name="_01.여천(오수)관로토공_01.여천(오수)관로토공_01.관로토공(우수)_01.차집 토공2" xfId="1594" xr:uid="{00000000-0005-0000-0000-000038060000}"/>
    <cellStyle name="_01.여천(오수)관로토공_01.여천(오수)관로토공_01.관로토공(우수)_01.차집 토공2_01-02.맨홀토공(OPEN-0.3)D-LINE" xfId="1595" xr:uid="{00000000-0005-0000-0000-000039060000}"/>
    <cellStyle name="_01.여천(오수)관로토공_01.여천(오수)관로토공_01.관로토공(우수)_01.차집 토공2_01-02.맨홀토공(OPEN-0.3)D-LINE_01-02.맨홀토공(OPEN-0.3)C-LINE" xfId="1596" xr:uid="{00000000-0005-0000-0000-00003A060000}"/>
    <cellStyle name="_01.여천(오수)관로토공_01.여천(오수)관로토공_01.관로토공(우수)_01.차집 토공2_01-02.맨홀토공(OPEN-0.3)D-LINE_01-02.맨홀토공(OPEN-0.3)C-LINE_02.구조물및추진,도달기지토공(D구간)" xfId="1597" xr:uid="{00000000-0005-0000-0000-00003B060000}"/>
    <cellStyle name="_01.여천(오수)관로토공_01.여천(오수)관로토공_01.관로토공(우수)_01.차집 토공2_01-02.맨홀토공(OPEN-0.3)D-LINE_01-02.맨홀토공(OPEN-0.3)D-LINE" xfId="1598" xr:uid="{00000000-0005-0000-0000-00003C060000}"/>
    <cellStyle name="_01.여천(오수)관로토공_01.여천(오수)관로토공_01.관로토공(우수)_01.차집 토공2_01-02.맨홀토공(OPEN-0.3)D-LINE_01-02.맨홀토공(OPEN-0.3)D-LINE_02.구조물및추진,도달기지토공(D구간)" xfId="1599" xr:uid="{00000000-0005-0000-0000-00003D060000}"/>
    <cellStyle name="_01.여천(오수)관로토공_01.여천(오수)관로토공_01.관로토공(우수)_01.차집 토공2_01-02.맨홀토공(OPEN-0.3)D-LINE_02.구조물및추진,도달기지토공(D구간)" xfId="1600" xr:uid="{00000000-0005-0000-0000-00003E060000}"/>
    <cellStyle name="_01.여천(오수)관로토공_01.여천(오수)관로토공_01.관로토공(우수)_01.차집 토공2_01-3.옥구오수신설  맨홀토공(OPEN-0.3)" xfId="1601" xr:uid="{00000000-0005-0000-0000-00003F060000}"/>
    <cellStyle name="_01.여천(오수)관로토공_01.여천(오수)관로토공_01.관로토공(우수)_01.차집 토공2_01-3.옥구오수신설  맨홀토공(OPEN-0.3)_01-02.맨홀토공(OPEN-0.3)C-LINE" xfId="1602" xr:uid="{00000000-0005-0000-0000-000040060000}"/>
    <cellStyle name="_01.여천(오수)관로토공_01.여천(오수)관로토공_01.관로토공(우수)_01.차집 토공2_01-3.옥구오수신설  맨홀토공(OPEN-0.3)_01-02.맨홀토공(OPEN-0.3)C-LINE_02.구조물및추진,도달기지토공(D구간)" xfId="1603" xr:uid="{00000000-0005-0000-0000-000041060000}"/>
    <cellStyle name="_01.여천(오수)관로토공_01.여천(오수)관로토공_01.관로토공(우수)_01.차집 토공2_01-3.옥구오수신설  맨홀토공(OPEN-0.3)_01-02.맨홀토공(OPEN-0.3)D-LINE" xfId="1604" xr:uid="{00000000-0005-0000-0000-000042060000}"/>
    <cellStyle name="_01.여천(오수)관로토공_01.여천(오수)관로토공_01.관로토공(우수)_01.차집 토공2_01-3.옥구오수신설  맨홀토공(OPEN-0.3)_01-02.맨홀토공(OPEN-0.3)D-LINE_02.구조물및추진,도달기지토공(D구간)" xfId="1605" xr:uid="{00000000-0005-0000-0000-000043060000}"/>
    <cellStyle name="_01.여천(오수)관로토공_01.여천(오수)관로토공_01.관로토공(우수)_01.차집 토공2_01-3.옥구오수신설  맨홀토공(OPEN-0.3)_02.구조물및추진,도달기지토공(D구간)" xfId="1606" xr:uid="{00000000-0005-0000-0000-000044060000}"/>
    <cellStyle name="_01.여천(오수)관로토공_01.여천(오수)관로토공_01.관로토공(우수)_01.차집 토공2_01-3.옥서오수신설  맨홀토공(OPEN-0.3)" xfId="1607" xr:uid="{00000000-0005-0000-0000-000045060000}"/>
    <cellStyle name="_01.여천(오수)관로토공_01.여천(오수)관로토공_01.관로토공(우수)_01.차집 토공2_01-3.옥서오수신설  맨홀토공(OPEN-0.3)_01-02.맨홀토공(OPEN-0.3)C-LINE" xfId="1608" xr:uid="{00000000-0005-0000-0000-000046060000}"/>
    <cellStyle name="_01.여천(오수)관로토공_01.여천(오수)관로토공_01.관로토공(우수)_01.차집 토공2_01-3.옥서오수신설  맨홀토공(OPEN-0.3)_01-02.맨홀토공(OPEN-0.3)C-LINE_02.구조물및추진,도달기지토공(D구간)" xfId="1609" xr:uid="{00000000-0005-0000-0000-000047060000}"/>
    <cellStyle name="_01.여천(오수)관로토공_01.여천(오수)관로토공_01.관로토공(우수)_01.차집 토공2_01-3.옥서오수신설  맨홀토공(OPEN-0.3)_01-02.맨홀토공(OPEN-0.3)D-LINE" xfId="1610" xr:uid="{00000000-0005-0000-0000-000048060000}"/>
    <cellStyle name="_01.여천(오수)관로토공_01.여천(오수)관로토공_01.관로토공(우수)_01.차집 토공2_01-3.옥서오수신설  맨홀토공(OPEN-0.3)_01-02.맨홀토공(OPEN-0.3)D-LINE_02.구조물및추진,도달기지토공(D구간)" xfId="1611" xr:uid="{00000000-0005-0000-0000-000049060000}"/>
    <cellStyle name="_01.여천(오수)관로토공_01.여천(오수)관로토공_01.관로토공(우수)_01.차집 토공2_01-3.옥서오수신설  맨홀토공(OPEN-0.3)_02.구조물및추진,도달기지토공(D구간)" xfId="1612" xr:uid="{00000000-0005-0000-0000-00004A060000}"/>
    <cellStyle name="_01.여천(오수)관로토공_01.여천(오수)관로토공_01.관로토공(우수)_01.차집 토공2_02.구조물및추진,도달기지토공(D구간)" xfId="1613" xr:uid="{00000000-0005-0000-0000-00004B060000}"/>
    <cellStyle name="_01.여천(오수)관로토공_01.여천(오수)관로토공_01.관로토공(우수)_01.토공" xfId="1614" xr:uid="{00000000-0005-0000-0000-00004C060000}"/>
    <cellStyle name="_01.여천(오수)관로토공_01.여천(오수)관로토공_01.관로토공(우수)_01.토공_01-02.맨홀토공(OPEN-0.3)D-LINE" xfId="1615" xr:uid="{00000000-0005-0000-0000-00004D060000}"/>
    <cellStyle name="_01.여천(오수)관로토공_01.여천(오수)관로토공_01.관로토공(우수)_01.토공_01-02.맨홀토공(OPEN-0.3)D-LINE_01-02.맨홀토공(OPEN-0.3)C-LINE" xfId="1616" xr:uid="{00000000-0005-0000-0000-00004E060000}"/>
    <cellStyle name="_01.여천(오수)관로토공_01.여천(오수)관로토공_01.관로토공(우수)_01.토공_01-02.맨홀토공(OPEN-0.3)D-LINE_01-02.맨홀토공(OPEN-0.3)C-LINE_02.구조물및추진,도달기지토공(D구간)" xfId="1617" xr:uid="{00000000-0005-0000-0000-00004F060000}"/>
    <cellStyle name="_01.여천(오수)관로토공_01.여천(오수)관로토공_01.관로토공(우수)_01.토공_01-02.맨홀토공(OPEN-0.3)D-LINE_01-02.맨홀토공(OPEN-0.3)D-LINE" xfId="1618" xr:uid="{00000000-0005-0000-0000-000050060000}"/>
    <cellStyle name="_01.여천(오수)관로토공_01.여천(오수)관로토공_01.관로토공(우수)_01.토공_01-02.맨홀토공(OPEN-0.3)D-LINE_01-02.맨홀토공(OPEN-0.3)D-LINE_02.구조물및추진,도달기지토공(D구간)" xfId="1619" xr:uid="{00000000-0005-0000-0000-000051060000}"/>
    <cellStyle name="_01.여천(오수)관로토공_01.여천(오수)관로토공_01.관로토공(우수)_01.토공_01-02.맨홀토공(OPEN-0.3)D-LINE_02.구조물및추진,도달기지토공(D구간)" xfId="1620" xr:uid="{00000000-0005-0000-0000-000052060000}"/>
    <cellStyle name="_01.여천(오수)관로토공_01.여천(오수)관로토공_01.관로토공(우수)_01.토공_01-3.옥구오수신설  맨홀토공(OPEN-0.3)" xfId="1621" xr:uid="{00000000-0005-0000-0000-000053060000}"/>
    <cellStyle name="_01.여천(오수)관로토공_01.여천(오수)관로토공_01.관로토공(우수)_01.토공_01-3.옥구오수신설  맨홀토공(OPEN-0.3)_01-02.맨홀토공(OPEN-0.3)C-LINE" xfId="1622" xr:uid="{00000000-0005-0000-0000-000054060000}"/>
    <cellStyle name="_01.여천(오수)관로토공_01.여천(오수)관로토공_01.관로토공(우수)_01.토공_01-3.옥구오수신설  맨홀토공(OPEN-0.3)_01-02.맨홀토공(OPEN-0.3)C-LINE_02.구조물및추진,도달기지토공(D구간)" xfId="1623" xr:uid="{00000000-0005-0000-0000-000055060000}"/>
    <cellStyle name="_01.여천(오수)관로토공_01.여천(오수)관로토공_01.관로토공(우수)_01.토공_01-3.옥구오수신설  맨홀토공(OPEN-0.3)_01-02.맨홀토공(OPEN-0.3)D-LINE" xfId="1624" xr:uid="{00000000-0005-0000-0000-000056060000}"/>
    <cellStyle name="_01.여천(오수)관로토공_01.여천(오수)관로토공_01.관로토공(우수)_01.토공_01-3.옥구오수신설  맨홀토공(OPEN-0.3)_01-02.맨홀토공(OPEN-0.3)D-LINE_02.구조물및추진,도달기지토공(D구간)" xfId="1625" xr:uid="{00000000-0005-0000-0000-000057060000}"/>
    <cellStyle name="_01.여천(오수)관로토공_01.여천(오수)관로토공_01.관로토공(우수)_01.토공_01-3.옥구오수신설  맨홀토공(OPEN-0.3)_02.구조물및추진,도달기지토공(D구간)" xfId="1626" xr:uid="{00000000-0005-0000-0000-000058060000}"/>
    <cellStyle name="_01.여천(오수)관로토공_01.여천(오수)관로토공_01.관로토공(우수)_01.토공_01-3.옥서오수신설  맨홀토공(OPEN-0.3)" xfId="1627" xr:uid="{00000000-0005-0000-0000-000059060000}"/>
    <cellStyle name="_01.여천(오수)관로토공_01.여천(오수)관로토공_01.관로토공(우수)_01.토공_01-3.옥서오수신설  맨홀토공(OPEN-0.3)_01-02.맨홀토공(OPEN-0.3)C-LINE" xfId="1628" xr:uid="{00000000-0005-0000-0000-00005A060000}"/>
    <cellStyle name="_01.여천(오수)관로토공_01.여천(오수)관로토공_01.관로토공(우수)_01.토공_01-3.옥서오수신설  맨홀토공(OPEN-0.3)_01-02.맨홀토공(OPEN-0.3)C-LINE_02.구조물및추진,도달기지토공(D구간)" xfId="1629" xr:uid="{00000000-0005-0000-0000-00005B060000}"/>
    <cellStyle name="_01.여천(오수)관로토공_01.여천(오수)관로토공_01.관로토공(우수)_01.토공_01-3.옥서오수신설  맨홀토공(OPEN-0.3)_01-02.맨홀토공(OPEN-0.3)D-LINE" xfId="1630" xr:uid="{00000000-0005-0000-0000-00005C060000}"/>
    <cellStyle name="_01.여천(오수)관로토공_01.여천(오수)관로토공_01.관로토공(우수)_01.토공_01-3.옥서오수신설  맨홀토공(OPEN-0.3)_01-02.맨홀토공(OPEN-0.3)D-LINE_02.구조물및추진,도달기지토공(D구간)" xfId="1631" xr:uid="{00000000-0005-0000-0000-00005D060000}"/>
    <cellStyle name="_01.여천(오수)관로토공_01.여천(오수)관로토공_01.관로토공(우수)_01.토공_01-3.옥서오수신설  맨홀토공(OPEN-0.3)_02.구조물및추진,도달기지토공(D구간)" xfId="1632" xr:uid="{00000000-0005-0000-0000-00005E060000}"/>
    <cellStyle name="_01.여천(오수)관로토공_01.여천(오수)관로토공_01.관로토공(우수)_01.토공_02.구조물및추진,도달기지토공(D구간)" xfId="1633" xr:uid="{00000000-0005-0000-0000-00005F060000}"/>
    <cellStyle name="_01.여천(오수)관로토공_01.여천(오수)관로토공_01.관로토공(우수)_01-02.맨홀토공(OPEN-0.3)D-LINE" xfId="1634" xr:uid="{00000000-0005-0000-0000-000060060000}"/>
    <cellStyle name="_01.여천(오수)관로토공_01.여천(오수)관로토공_01.관로토공(우수)_01-02.맨홀토공(OPEN-0.3)D-LINE_01-02.맨홀토공(OPEN-0.3)C-LINE" xfId="1635" xr:uid="{00000000-0005-0000-0000-000061060000}"/>
    <cellStyle name="_01.여천(오수)관로토공_01.여천(오수)관로토공_01.관로토공(우수)_01-02.맨홀토공(OPEN-0.3)D-LINE_01-02.맨홀토공(OPEN-0.3)C-LINE_02.구조물및추진,도달기지토공(D구간)" xfId="1636" xr:uid="{00000000-0005-0000-0000-000062060000}"/>
    <cellStyle name="_01.여천(오수)관로토공_01.여천(오수)관로토공_01.관로토공(우수)_01-02.맨홀토공(OPEN-0.3)D-LINE_01-02.맨홀토공(OPEN-0.3)D-LINE" xfId="1637" xr:uid="{00000000-0005-0000-0000-000063060000}"/>
    <cellStyle name="_01.여천(오수)관로토공_01.여천(오수)관로토공_01.관로토공(우수)_01-02.맨홀토공(OPEN-0.3)D-LINE_01-02.맨홀토공(OPEN-0.3)D-LINE_02.구조물및추진,도달기지토공(D구간)" xfId="1638" xr:uid="{00000000-0005-0000-0000-000064060000}"/>
    <cellStyle name="_01.여천(오수)관로토공_01.여천(오수)관로토공_01.관로토공(우수)_01-02.맨홀토공(OPEN-0.3)D-LINE_02.구조물및추진,도달기지토공(D구간)" xfId="1639" xr:uid="{00000000-0005-0000-0000-000065060000}"/>
    <cellStyle name="_01.여천(오수)관로토공_01.여천(오수)관로토공_01.관로토공(우수)_01-3.옥구오수신설  맨홀토공(OPEN-0.3)" xfId="1640" xr:uid="{00000000-0005-0000-0000-000066060000}"/>
    <cellStyle name="_01.여천(오수)관로토공_01.여천(오수)관로토공_01.관로토공(우수)_01-3.옥구오수신설  맨홀토공(OPEN-0.3)_01-02.맨홀토공(OPEN-0.3)C-LINE" xfId="1641" xr:uid="{00000000-0005-0000-0000-000067060000}"/>
    <cellStyle name="_01.여천(오수)관로토공_01.여천(오수)관로토공_01.관로토공(우수)_01-3.옥구오수신설  맨홀토공(OPEN-0.3)_01-02.맨홀토공(OPEN-0.3)C-LINE_02.구조물및추진,도달기지토공(D구간)" xfId="1642" xr:uid="{00000000-0005-0000-0000-000068060000}"/>
    <cellStyle name="_01.여천(오수)관로토공_01.여천(오수)관로토공_01.관로토공(우수)_01-3.옥구오수신설  맨홀토공(OPEN-0.3)_01-02.맨홀토공(OPEN-0.3)D-LINE" xfId="1643" xr:uid="{00000000-0005-0000-0000-000069060000}"/>
    <cellStyle name="_01.여천(오수)관로토공_01.여천(오수)관로토공_01.관로토공(우수)_01-3.옥구오수신설  맨홀토공(OPEN-0.3)_01-02.맨홀토공(OPEN-0.3)D-LINE_02.구조물및추진,도달기지토공(D구간)" xfId="1644" xr:uid="{00000000-0005-0000-0000-00006A060000}"/>
    <cellStyle name="_01.여천(오수)관로토공_01.여천(오수)관로토공_01.관로토공(우수)_01-3.옥구오수신설  맨홀토공(OPEN-0.3)_02.구조물및추진,도달기지토공(D구간)" xfId="1645" xr:uid="{00000000-0005-0000-0000-00006B060000}"/>
    <cellStyle name="_01.여천(오수)관로토공_01.여천(오수)관로토공_01.관로토공(우수)_01-3.옥서오수신설  맨홀토공(OPEN-0.3)" xfId="1646" xr:uid="{00000000-0005-0000-0000-00006C060000}"/>
    <cellStyle name="_01.여천(오수)관로토공_01.여천(오수)관로토공_01.관로토공(우수)_01-3.옥서오수신설  맨홀토공(OPEN-0.3)_01-02.맨홀토공(OPEN-0.3)C-LINE" xfId="1647" xr:uid="{00000000-0005-0000-0000-00006D060000}"/>
    <cellStyle name="_01.여천(오수)관로토공_01.여천(오수)관로토공_01.관로토공(우수)_01-3.옥서오수신설  맨홀토공(OPEN-0.3)_01-02.맨홀토공(OPEN-0.3)C-LINE_02.구조물및추진,도달기지토공(D구간)" xfId="1648" xr:uid="{00000000-0005-0000-0000-00006E060000}"/>
    <cellStyle name="_01.여천(오수)관로토공_01.여천(오수)관로토공_01.관로토공(우수)_01-3.옥서오수신설  맨홀토공(OPEN-0.3)_01-02.맨홀토공(OPEN-0.3)D-LINE" xfId="1649" xr:uid="{00000000-0005-0000-0000-00006F060000}"/>
    <cellStyle name="_01.여천(오수)관로토공_01.여천(오수)관로토공_01.관로토공(우수)_01-3.옥서오수신설  맨홀토공(OPEN-0.3)_01-02.맨홀토공(OPEN-0.3)D-LINE_02.구조물및추진,도달기지토공(D구간)" xfId="1650" xr:uid="{00000000-0005-0000-0000-000070060000}"/>
    <cellStyle name="_01.여천(오수)관로토공_01.여천(오수)관로토공_01.관로토공(우수)_01-3.옥서오수신설  맨홀토공(OPEN-0.3)_02.구조물및추진,도달기지토공(D구간)" xfId="1651" xr:uid="{00000000-0005-0000-0000-000071060000}"/>
    <cellStyle name="_01.여천(오수)관로토공_01.여천(오수)관로토공_01.관로토공(우수)_02.구조물및추진,도달기지토공(D구간)" xfId="1652" xr:uid="{00000000-0005-0000-0000-000072060000}"/>
    <cellStyle name="_01.여천(오수)관로토공_01.여천(오수)관로토공_01.관로토공(우수)_03.여천우수 구조물공" xfId="1653" xr:uid="{00000000-0005-0000-0000-000073060000}"/>
    <cellStyle name="_01.여천(오수)관로토공_01.여천(오수)관로토공_01.관로토공(우수)_03.여천우수 구조물공_01-02.맨홀토공(OPEN-0.3)D-LINE" xfId="1654" xr:uid="{00000000-0005-0000-0000-000074060000}"/>
    <cellStyle name="_01.여천(오수)관로토공_01.여천(오수)관로토공_01.관로토공(우수)_03.여천우수 구조물공_01-02.맨홀토공(OPEN-0.3)D-LINE_01-02.맨홀토공(OPEN-0.3)C-LINE" xfId="1655" xr:uid="{00000000-0005-0000-0000-000075060000}"/>
    <cellStyle name="_01.여천(오수)관로토공_01.여천(오수)관로토공_01.관로토공(우수)_03.여천우수 구조물공_01-02.맨홀토공(OPEN-0.3)D-LINE_01-02.맨홀토공(OPEN-0.3)C-LINE_02.구조물및추진,도달기지토공(D구간)" xfId="1656" xr:uid="{00000000-0005-0000-0000-000076060000}"/>
    <cellStyle name="_01.여천(오수)관로토공_01.여천(오수)관로토공_01.관로토공(우수)_03.여천우수 구조물공_01-02.맨홀토공(OPEN-0.3)D-LINE_01-02.맨홀토공(OPEN-0.3)D-LINE" xfId="1657" xr:uid="{00000000-0005-0000-0000-000077060000}"/>
    <cellStyle name="_01.여천(오수)관로토공_01.여천(오수)관로토공_01.관로토공(우수)_03.여천우수 구조물공_01-02.맨홀토공(OPEN-0.3)D-LINE_01-02.맨홀토공(OPEN-0.3)D-LINE_02.구조물및추진,도달기지토공(D구간)" xfId="1658" xr:uid="{00000000-0005-0000-0000-000078060000}"/>
    <cellStyle name="_01.여천(오수)관로토공_01.여천(오수)관로토공_01.관로토공(우수)_03.여천우수 구조물공_01-02.맨홀토공(OPEN-0.3)D-LINE_02.구조물및추진,도달기지토공(D구간)" xfId="1659" xr:uid="{00000000-0005-0000-0000-000079060000}"/>
    <cellStyle name="_01.여천(오수)관로토공_01.여천(오수)관로토공_01.관로토공(우수)_03.여천우수 구조물공_01-3.옥구오수신설  맨홀토공(OPEN-0.3)" xfId="1660" xr:uid="{00000000-0005-0000-0000-00007A060000}"/>
    <cellStyle name="_01.여천(오수)관로토공_01.여천(오수)관로토공_01.관로토공(우수)_03.여천우수 구조물공_01-3.옥구오수신설  맨홀토공(OPEN-0.3)_01-02.맨홀토공(OPEN-0.3)C-LINE" xfId="1661" xr:uid="{00000000-0005-0000-0000-00007B060000}"/>
    <cellStyle name="_01.여천(오수)관로토공_01.여천(오수)관로토공_01.관로토공(우수)_03.여천우수 구조물공_01-3.옥구오수신설  맨홀토공(OPEN-0.3)_01-02.맨홀토공(OPEN-0.3)C-LINE_02.구조물및추진,도달기지토공(D구간)" xfId="1662" xr:uid="{00000000-0005-0000-0000-00007C060000}"/>
    <cellStyle name="_01.여천(오수)관로토공_01.여천(오수)관로토공_01.관로토공(우수)_03.여천우수 구조물공_01-3.옥구오수신설  맨홀토공(OPEN-0.3)_01-02.맨홀토공(OPEN-0.3)D-LINE" xfId="1663" xr:uid="{00000000-0005-0000-0000-00007D060000}"/>
    <cellStyle name="_01.여천(오수)관로토공_01.여천(오수)관로토공_01.관로토공(우수)_03.여천우수 구조물공_01-3.옥구오수신설  맨홀토공(OPEN-0.3)_01-02.맨홀토공(OPEN-0.3)D-LINE_02.구조물및추진,도달기지토공(D구간)" xfId="1664" xr:uid="{00000000-0005-0000-0000-00007E060000}"/>
    <cellStyle name="_01.여천(오수)관로토공_01.여천(오수)관로토공_01.관로토공(우수)_03.여천우수 구조물공_01-3.옥구오수신설  맨홀토공(OPEN-0.3)_02.구조물및추진,도달기지토공(D구간)" xfId="1665" xr:uid="{00000000-0005-0000-0000-00007F060000}"/>
    <cellStyle name="_01.여천(오수)관로토공_01.여천(오수)관로토공_01.관로토공(우수)_03.여천우수 구조물공_01-3.옥서오수신설  맨홀토공(OPEN-0.3)" xfId="1666" xr:uid="{00000000-0005-0000-0000-000080060000}"/>
    <cellStyle name="_01.여천(오수)관로토공_01.여천(오수)관로토공_01.관로토공(우수)_03.여천우수 구조물공_01-3.옥서오수신설  맨홀토공(OPEN-0.3)_01-02.맨홀토공(OPEN-0.3)C-LINE" xfId="1667" xr:uid="{00000000-0005-0000-0000-000081060000}"/>
    <cellStyle name="_01.여천(오수)관로토공_01.여천(오수)관로토공_01.관로토공(우수)_03.여천우수 구조물공_01-3.옥서오수신설  맨홀토공(OPEN-0.3)_01-02.맨홀토공(OPEN-0.3)C-LINE_02.구조물및추진,도달기지토공(D구간)" xfId="1668" xr:uid="{00000000-0005-0000-0000-000082060000}"/>
    <cellStyle name="_01.여천(오수)관로토공_01.여천(오수)관로토공_01.관로토공(우수)_03.여천우수 구조물공_01-3.옥서오수신설  맨홀토공(OPEN-0.3)_01-02.맨홀토공(OPEN-0.3)D-LINE" xfId="1669" xr:uid="{00000000-0005-0000-0000-000083060000}"/>
    <cellStyle name="_01.여천(오수)관로토공_01.여천(오수)관로토공_01.관로토공(우수)_03.여천우수 구조물공_01-3.옥서오수신설  맨홀토공(OPEN-0.3)_01-02.맨홀토공(OPEN-0.3)D-LINE_02.구조물및추진,도달기지토공(D구간)" xfId="1670" xr:uid="{00000000-0005-0000-0000-000084060000}"/>
    <cellStyle name="_01.여천(오수)관로토공_01.여천(오수)관로토공_01.관로토공(우수)_03.여천우수 구조물공_01-3.옥서오수신설  맨홀토공(OPEN-0.3)_02.구조물및추진,도달기지토공(D구간)" xfId="1671" xr:uid="{00000000-0005-0000-0000-000085060000}"/>
    <cellStyle name="_01.여천(오수)관로토공_01.여천(오수)관로토공_01.관로토공(우수)_03.여천우수 구조물공_02.구조물및추진,도달기지토공(D구간)" xfId="1672" xr:uid="{00000000-0005-0000-0000-000086060000}"/>
    <cellStyle name="_01.여천(오수)관로토공_01.여천(오수)관로토공_01.여천오수 토공" xfId="1673" xr:uid="{00000000-0005-0000-0000-000087060000}"/>
    <cellStyle name="_01.여천(오수)관로토공_01.여천(오수)관로토공_01.여천오수 토공_01-02.맨홀토공(OPEN-0.3)D-LINE" xfId="1674" xr:uid="{00000000-0005-0000-0000-000088060000}"/>
    <cellStyle name="_01.여천(오수)관로토공_01.여천(오수)관로토공_01.여천오수 토공_01-02.맨홀토공(OPEN-0.3)D-LINE_01-02.맨홀토공(OPEN-0.3)C-LINE" xfId="1675" xr:uid="{00000000-0005-0000-0000-000089060000}"/>
    <cellStyle name="_01.여천(오수)관로토공_01.여천(오수)관로토공_01.여천오수 토공_01-02.맨홀토공(OPEN-0.3)D-LINE_01-02.맨홀토공(OPEN-0.3)C-LINE_02.구조물및추진,도달기지토공(D구간)" xfId="1676" xr:uid="{00000000-0005-0000-0000-00008A060000}"/>
    <cellStyle name="_01.여천(오수)관로토공_01.여천(오수)관로토공_01.여천오수 토공_01-02.맨홀토공(OPEN-0.3)D-LINE_01-02.맨홀토공(OPEN-0.3)D-LINE" xfId="1677" xr:uid="{00000000-0005-0000-0000-00008B060000}"/>
    <cellStyle name="_01.여천(오수)관로토공_01.여천(오수)관로토공_01.여천오수 토공_01-02.맨홀토공(OPEN-0.3)D-LINE_01-02.맨홀토공(OPEN-0.3)D-LINE_02.구조물및추진,도달기지토공(D구간)" xfId="1678" xr:uid="{00000000-0005-0000-0000-00008C060000}"/>
    <cellStyle name="_01.여천(오수)관로토공_01.여천(오수)관로토공_01.여천오수 토공_01-02.맨홀토공(OPEN-0.3)D-LINE_02.구조물및추진,도달기지토공(D구간)" xfId="1679" xr:uid="{00000000-0005-0000-0000-00008D060000}"/>
    <cellStyle name="_01.여천(오수)관로토공_01.여천(오수)관로토공_01.여천오수 토공_01-3.옥구오수신설  맨홀토공(OPEN-0.3)" xfId="1680" xr:uid="{00000000-0005-0000-0000-00008E060000}"/>
    <cellStyle name="_01.여천(오수)관로토공_01.여천(오수)관로토공_01.여천오수 토공_01-3.옥구오수신설  맨홀토공(OPEN-0.3)_01-02.맨홀토공(OPEN-0.3)C-LINE" xfId="1681" xr:uid="{00000000-0005-0000-0000-00008F060000}"/>
    <cellStyle name="_01.여천(오수)관로토공_01.여천(오수)관로토공_01.여천오수 토공_01-3.옥구오수신설  맨홀토공(OPEN-0.3)_01-02.맨홀토공(OPEN-0.3)C-LINE_02.구조물및추진,도달기지토공(D구간)" xfId="1682" xr:uid="{00000000-0005-0000-0000-000090060000}"/>
    <cellStyle name="_01.여천(오수)관로토공_01.여천(오수)관로토공_01.여천오수 토공_01-3.옥구오수신설  맨홀토공(OPEN-0.3)_01-02.맨홀토공(OPEN-0.3)D-LINE" xfId="1683" xr:uid="{00000000-0005-0000-0000-000091060000}"/>
    <cellStyle name="_01.여천(오수)관로토공_01.여천(오수)관로토공_01.여천오수 토공_01-3.옥구오수신설  맨홀토공(OPEN-0.3)_01-02.맨홀토공(OPEN-0.3)D-LINE_02.구조물및추진,도달기지토공(D구간)" xfId="1684" xr:uid="{00000000-0005-0000-0000-000092060000}"/>
    <cellStyle name="_01.여천(오수)관로토공_01.여천(오수)관로토공_01.여천오수 토공_01-3.옥구오수신설  맨홀토공(OPEN-0.3)_02.구조물및추진,도달기지토공(D구간)" xfId="1685" xr:uid="{00000000-0005-0000-0000-000093060000}"/>
    <cellStyle name="_01.여천(오수)관로토공_01.여천(오수)관로토공_01.여천오수 토공_01-3.옥서오수신설  맨홀토공(OPEN-0.3)" xfId="1686" xr:uid="{00000000-0005-0000-0000-000094060000}"/>
    <cellStyle name="_01.여천(오수)관로토공_01.여천(오수)관로토공_01.여천오수 토공_01-3.옥서오수신설  맨홀토공(OPEN-0.3)_01-02.맨홀토공(OPEN-0.3)C-LINE" xfId="1687" xr:uid="{00000000-0005-0000-0000-000095060000}"/>
    <cellStyle name="_01.여천(오수)관로토공_01.여천(오수)관로토공_01.여천오수 토공_01-3.옥서오수신설  맨홀토공(OPEN-0.3)_01-02.맨홀토공(OPEN-0.3)C-LINE_02.구조물및추진,도달기지토공(D구간)" xfId="1688" xr:uid="{00000000-0005-0000-0000-000096060000}"/>
    <cellStyle name="_01.여천(오수)관로토공_01.여천(오수)관로토공_01.여천오수 토공_01-3.옥서오수신설  맨홀토공(OPEN-0.3)_01-02.맨홀토공(OPEN-0.3)D-LINE" xfId="1689" xr:uid="{00000000-0005-0000-0000-000097060000}"/>
    <cellStyle name="_01.여천(오수)관로토공_01.여천(오수)관로토공_01.여천오수 토공_01-3.옥서오수신설  맨홀토공(OPEN-0.3)_01-02.맨홀토공(OPEN-0.3)D-LINE_02.구조물및추진,도달기지토공(D구간)" xfId="1690" xr:uid="{00000000-0005-0000-0000-000098060000}"/>
    <cellStyle name="_01.여천(오수)관로토공_01.여천(오수)관로토공_01.여천오수 토공_01-3.옥서오수신설  맨홀토공(OPEN-0.3)_02.구조물및추진,도달기지토공(D구간)" xfId="1691" xr:uid="{00000000-0005-0000-0000-000099060000}"/>
    <cellStyle name="_01.여천(오수)관로토공_01.여천(오수)관로토공_01.여천오수 토공_02.구조물및추진,도달기지토공(D구간)" xfId="1692" xr:uid="{00000000-0005-0000-0000-00009A060000}"/>
    <cellStyle name="_01.여천(오수)관로토공_01.여천(오수)관로토공_01.차집 토공2" xfId="1693" xr:uid="{00000000-0005-0000-0000-00009B060000}"/>
    <cellStyle name="_01.여천(오수)관로토공_01.여천(오수)관로토공_01.차집 토공2_01-02.맨홀토공(OPEN-0.3)D-LINE" xfId="1694" xr:uid="{00000000-0005-0000-0000-00009C060000}"/>
    <cellStyle name="_01.여천(오수)관로토공_01.여천(오수)관로토공_01.차집 토공2_01-02.맨홀토공(OPEN-0.3)D-LINE_01-02.맨홀토공(OPEN-0.3)C-LINE" xfId="1695" xr:uid="{00000000-0005-0000-0000-00009D060000}"/>
    <cellStyle name="_01.여천(오수)관로토공_01.여천(오수)관로토공_01.차집 토공2_01-02.맨홀토공(OPEN-0.3)D-LINE_01-02.맨홀토공(OPEN-0.3)C-LINE_02.구조물및추진,도달기지토공(D구간)" xfId="1696" xr:uid="{00000000-0005-0000-0000-00009E060000}"/>
    <cellStyle name="_01.여천(오수)관로토공_01.여천(오수)관로토공_01.차집 토공2_01-02.맨홀토공(OPEN-0.3)D-LINE_01-02.맨홀토공(OPEN-0.3)D-LINE" xfId="1697" xr:uid="{00000000-0005-0000-0000-00009F060000}"/>
    <cellStyle name="_01.여천(오수)관로토공_01.여천(오수)관로토공_01.차집 토공2_01-02.맨홀토공(OPEN-0.3)D-LINE_01-02.맨홀토공(OPEN-0.3)D-LINE_02.구조물및추진,도달기지토공(D구간)" xfId="1698" xr:uid="{00000000-0005-0000-0000-0000A0060000}"/>
    <cellStyle name="_01.여천(오수)관로토공_01.여천(오수)관로토공_01.차집 토공2_01-02.맨홀토공(OPEN-0.3)D-LINE_02.구조물및추진,도달기지토공(D구간)" xfId="1699" xr:uid="{00000000-0005-0000-0000-0000A1060000}"/>
    <cellStyle name="_01.여천(오수)관로토공_01.여천(오수)관로토공_01.차집 토공2_01-3.옥구오수신설  맨홀토공(OPEN-0.3)" xfId="1700" xr:uid="{00000000-0005-0000-0000-0000A2060000}"/>
    <cellStyle name="_01.여천(오수)관로토공_01.여천(오수)관로토공_01.차집 토공2_01-3.옥구오수신설  맨홀토공(OPEN-0.3)_01-02.맨홀토공(OPEN-0.3)C-LINE" xfId="1701" xr:uid="{00000000-0005-0000-0000-0000A3060000}"/>
    <cellStyle name="_01.여천(오수)관로토공_01.여천(오수)관로토공_01.차집 토공2_01-3.옥구오수신설  맨홀토공(OPEN-0.3)_01-02.맨홀토공(OPEN-0.3)C-LINE_02.구조물및추진,도달기지토공(D구간)" xfId="1702" xr:uid="{00000000-0005-0000-0000-0000A4060000}"/>
    <cellStyle name="_01.여천(오수)관로토공_01.여천(오수)관로토공_01.차집 토공2_01-3.옥구오수신설  맨홀토공(OPEN-0.3)_01-02.맨홀토공(OPEN-0.3)D-LINE" xfId="1703" xr:uid="{00000000-0005-0000-0000-0000A5060000}"/>
    <cellStyle name="_01.여천(오수)관로토공_01.여천(오수)관로토공_01.차집 토공2_01-3.옥구오수신설  맨홀토공(OPEN-0.3)_01-02.맨홀토공(OPEN-0.3)D-LINE_02.구조물및추진,도달기지토공(D구간)" xfId="1704" xr:uid="{00000000-0005-0000-0000-0000A6060000}"/>
    <cellStyle name="_01.여천(오수)관로토공_01.여천(오수)관로토공_01.차집 토공2_01-3.옥구오수신설  맨홀토공(OPEN-0.3)_02.구조물및추진,도달기지토공(D구간)" xfId="1705" xr:uid="{00000000-0005-0000-0000-0000A7060000}"/>
    <cellStyle name="_01.여천(오수)관로토공_01.여천(오수)관로토공_01.차집 토공2_01-3.옥서오수신설  맨홀토공(OPEN-0.3)" xfId="1706" xr:uid="{00000000-0005-0000-0000-0000A8060000}"/>
    <cellStyle name="_01.여천(오수)관로토공_01.여천(오수)관로토공_01.차집 토공2_01-3.옥서오수신설  맨홀토공(OPEN-0.3)_01-02.맨홀토공(OPEN-0.3)C-LINE" xfId="1707" xr:uid="{00000000-0005-0000-0000-0000A9060000}"/>
    <cellStyle name="_01.여천(오수)관로토공_01.여천(오수)관로토공_01.차집 토공2_01-3.옥서오수신설  맨홀토공(OPEN-0.3)_01-02.맨홀토공(OPEN-0.3)C-LINE_02.구조물및추진,도달기지토공(D구간)" xfId="1708" xr:uid="{00000000-0005-0000-0000-0000AA060000}"/>
    <cellStyle name="_01.여천(오수)관로토공_01.여천(오수)관로토공_01.차집 토공2_01-3.옥서오수신설  맨홀토공(OPEN-0.3)_01-02.맨홀토공(OPEN-0.3)D-LINE" xfId="1709" xr:uid="{00000000-0005-0000-0000-0000AB060000}"/>
    <cellStyle name="_01.여천(오수)관로토공_01.여천(오수)관로토공_01.차집 토공2_01-3.옥서오수신설  맨홀토공(OPEN-0.3)_01-02.맨홀토공(OPEN-0.3)D-LINE_02.구조물및추진,도달기지토공(D구간)" xfId="1710" xr:uid="{00000000-0005-0000-0000-0000AC060000}"/>
    <cellStyle name="_01.여천(오수)관로토공_01.여천(오수)관로토공_01.차집 토공2_01-3.옥서오수신설  맨홀토공(OPEN-0.3)_02.구조물및추진,도달기지토공(D구간)" xfId="1711" xr:uid="{00000000-0005-0000-0000-0000AD060000}"/>
    <cellStyle name="_01.여천(오수)관로토공_01.여천(오수)관로토공_01.차집 토공2_02.구조물및추진,도달기지토공(D구간)" xfId="1712" xr:uid="{00000000-0005-0000-0000-0000AE060000}"/>
    <cellStyle name="_01.여천(오수)관로토공_01.여천(오수)관로토공_01.토공" xfId="1713" xr:uid="{00000000-0005-0000-0000-0000AF060000}"/>
    <cellStyle name="_01.여천(오수)관로토공_01.여천(오수)관로토공_01.토공_01-02.맨홀토공(OPEN-0.3)D-LINE" xfId="1714" xr:uid="{00000000-0005-0000-0000-0000B0060000}"/>
    <cellStyle name="_01.여천(오수)관로토공_01.여천(오수)관로토공_01.토공_01-02.맨홀토공(OPEN-0.3)D-LINE_01-02.맨홀토공(OPEN-0.3)C-LINE" xfId="1715" xr:uid="{00000000-0005-0000-0000-0000B1060000}"/>
    <cellStyle name="_01.여천(오수)관로토공_01.여천(오수)관로토공_01.토공_01-02.맨홀토공(OPEN-0.3)D-LINE_01-02.맨홀토공(OPEN-0.3)C-LINE_02.구조물및추진,도달기지토공(D구간)" xfId="1716" xr:uid="{00000000-0005-0000-0000-0000B2060000}"/>
    <cellStyle name="_01.여천(오수)관로토공_01.여천(오수)관로토공_01.토공_01-02.맨홀토공(OPEN-0.3)D-LINE_01-02.맨홀토공(OPEN-0.3)D-LINE" xfId="1717" xr:uid="{00000000-0005-0000-0000-0000B3060000}"/>
    <cellStyle name="_01.여천(오수)관로토공_01.여천(오수)관로토공_01.토공_01-02.맨홀토공(OPEN-0.3)D-LINE_01-02.맨홀토공(OPEN-0.3)D-LINE_02.구조물및추진,도달기지토공(D구간)" xfId="1718" xr:uid="{00000000-0005-0000-0000-0000B4060000}"/>
    <cellStyle name="_01.여천(오수)관로토공_01.여천(오수)관로토공_01.토공_01-02.맨홀토공(OPEN-0.3)D-LINE_02.구조물및추진,도달기지토공(D구간)" xfId="1719" xr:uid="{00000000-0005-0000-0000-0000B5060000}"/>
    <cellStyle name="_01.여천(오수)관로토공_01.여천(오수)관로토공_01.토공_01-3.옥구오수신설  맨홀토공(OPEN-0.3)" xfId="1720" xr:uid="{00000000-0005-0000-0000-0000B6060000}"/>
    <cellStyle name="_01.여천(오수)관로토공_01.여천(오수)관로토공_01.토공_01-3.옥구오수신설  맨홀토공(OPEN-0.3)_01-02.맨홀토공(OPEN-0.3)C-LINE" xfId="1721" xr:uid="{00000000-0005-0000-0000-0000B7060000}"/>
    <cellStyle name="_01.여천(오수)관로토공_01.여천(오수)관로토공_01.토공_01-3.옥구오수신설  맨홀토공(OPEN-0.3)_01-02.맨홀토공(OPEN-0.3)C-LINE_02.구조물및추진,도달기지토공(D구간)" xfId="1722" xr:uid="{00000000-0005-0000-0000-0000B8060000}"/>
    <cellStyle name="_01.여천(오수)관로토공_01.여천(오수)관로토공_01.토공_01-3.옥구오수신설  맨홀토공(OPEN-0.3)_01-02.맨홀토공(OPEN-0.3)D-LINE" xfId="1723" xr:uid="{00000000-0005-0000-0000-0000B9060000}"/>
    <cellStyle name="_01.여천(오수)관로토공_01.여천(오수)관로토공_01.토공_01-3.옥구오수신설  맨홀토공(OPEN-0.3)_01-02.맨홀토공(OPEN-0.3)D-LINE_02.구조물및추진,도달기지토공(D구간)" xfId="1724" xr:uid="{00000000-0005-0000-0000-0000BA060000}"/>
    <cellStyle name="_01.여천(오수)관로토공_01.여천(오수)관로토공_01.토공_01-3.옥구오수신설  맨홀토공(OPEN-0.3)_02.구조물및추진,도달기지토공(D구간)" xfId="1725" xr:uid="{00000000-0005-0000-0000-0000BB060000}"/>
    <cellStyle name="_01.여천(오수)관로토공_01.여천(오수)관로토공_01.토공_01-3.옥서오수신설  맨홀토공(OPEN-0.3)" xfId="1726" xr:uid="{00000000-0005-0000-0000-0000BC060000}"/>
    <cellStyle name="_01.여천(오수)관로토공_01.여천(오수)관로토공_01.토공_01-3.옥서오수신설  맨홀토공(OPEN-0.3)_01-02.맨홀토공(OPEN-0.3)C-LINE" xfId="1727" xr:uid="{00000000-0005-0000-0000-0000BD060000}"/>
    <cellStyle name="_01.여천(오수)관로토공_01.여천(오수)관로토공_01.토공_01-3.옥서오수신설  맨홀토공(OPEN-0.3)_01-02.맨홀토공(OPEN-0.3)C-LINE_02.구조물및추진,도달기지토공(D구간)" xfId="1728" xr:uid="{00000000-0005-0000-0000-0000BE060000}"/>
    <cellStyle name="_01.여천(오수)관로토공_01.여천(오수)관로토공_01.토공_01-3.옥서오수신설  맨홀토공(OPEN-0.3)_01-02.맨홀토공(OPEN-0.3)D-LINE" xfId="1729" xr:uid="{00000000-0005-0000-0000-0000BF060000}"/>
    <cellStyle name="_01.여천(오수)관로토공_01.여천(오수)관로토공_01.토공_01-3.옥서오수신설  맨홀토공(OPEN-0.3)_01-02.맨홀토공(OPEN-0.3)D-LINE_02.구조물및추진,도달기지토공(D구간)" xfId="1730" xr:uid="{00000000-0005-0000-0000-0000C0060000}"/>
    <cellStyle name="_01.여천(오수)관로토공_01.여천(오수)관로토공_01.토공_01-3.옥서오수신설  맨홀토공(OPEN-0.3)_02.구조물및추진,도달기지토공(D구간)" xfId="1731" xr:uid="{00000000-0005-0000-0000-0000C1060000}"/>
    <cellStyle name="_01.여천(오수)관로토공_01.여천(오수)관로토공_01.토공_02.구조물및추진,도달기지토공(D구간)" xfId="1732" xr:uid="{00000000-0005-0000-0000-0000C2060000}"/>
    <cellStyle name="_01.여천(오수)관로토공_01.여천(오수)관로토공_01-02.맨홀토공(OPEN-0.3)D-LINE" xfId="1733" xr:uid="{00000000-0005-0000-0000-0000C3060000}"/>
    <cellStyle name="_01.여천(오수)관로토공_01.여천(오수)관로토공_01-02.맨홀토공(OPEN-0.3)D-LINE_01-02.맨홀토공(OPEN-0.3)C-LINE" xfId="1734" xr:uid="{00000000-0005-0000-0000-0000C4060000}"/>
    <cellStyle name="_01.여천(오수)관로토공_01.여천(오수)관로토공_01-02.맨홀토공(OPEN-0.3)D-LINE_01-02.맨홀토공(OPEN-0.3)C-LINE_02.구조물및추진,도달기지토공(D구간)" xfId="1735" xr:uid="{00000000-0005-0000-0000-0000C5060000}"/>
    <cellStyle name="_01.여천(오수)관로토공_01.여천(오수)관로토공_01-02.맨홀토공(OPEN-0.3)D-LINE_01-02.맨홀토공(OPEN-0.3)D-LINE" xfId="1736" xr:uid="{00000000-0005-0000-0000-0000C6060000}"/>
    <cellStyle name="_01.여천(오수)관로토공_01.여천(오수)관로토공_01-02.맨홀토공(OPEN-0.3)D-LINE_01-02.맨홀토공(OPEN-0.3)D-LINE_02.구조물및추진,도달기지토공(D구간)" xfId="1737" xr:uid="{00000000-0005-0000-0000-0000C7060000}"/>
    <cellStyle name="_01.여천(오수)관로토공_01.여천(오수)관로토공_01-02.맨홀토공(OPEN-0.3)D-LINE_02.구조물및추진,도달기지토공(D구간)" xfId="1738" xr:uid="{00000000-0005-0000-0000-0000C8060000}"/>
    <cellStyle name="_01.여천(오수)관로토공_01.여천(오수)관로토공_01-3.옥구오수신설  맨홀토공(OPEN-0.3)" xfId="1739" xr:uid="{00000000-0005-0000-0000-0000C9060000}"/>
    <cellStyle name="_01.여천(오수)관로토공_01.여천(오수)관로토공_01-3.옥구오수신설  맨홀토공(OPEN-0.3)_01-02.맨홀토공(OPEN-0.3)C-LINE" xfId="1740" xr:uid="{00000000-0005-0000-0000-0000CA060000}"/>
    <cellStyle name="_01.여천(오수)관로토공_01.여천(오수)관로토공_01-3.옥구오수신설  맨홀토공(OPEN-0.3)_01-02.맨홀토공(OPEN-0.3)C-LINE_02.구조물및추진,도달기지토공(D구간)" xfId="1741" xr:uid="{00000000-0005-0000-0000-0000CB060000}"/>
    <cellStyle name="_01.여천(오수)관로토공_01.여천(오수)관로토공_01-3.옥구오수신설  맨홀토공(OPEN-0.3)_01-02.맨홀토공(OPEN-0.3)D-LINE" xfId="1742" xr:uid="{00000000-0005-0000-0000-0000CC060000}"/>
    <cellStyle name="_01.여천(오수)관로토공_01.여천(오수)관로토공_01-3.옥구오수신설  맨홀토공(OPEN-0.3)_01-02.맨홀토공(OPEN-0.3)D-LINE_02.구조물및추진,도달기지토공(D구간)" xfId="1743" xr:uid="{00000000-0005-0000-0000-0000CD060000}"/>
    <cellStyle name="_01.여천(오수)관로토공_01.여천(오수)관로토공_01-3.옥구오수신설  맨홀토공(OPEN-0.3)_02.구조물및추진,도달기지토공(D구간)" xfId="1744" xr:uid="{00000000-0005-0000-0000-0000CE060000}"/>
    <cellStyle name="_01.여천(오수)관로토공_01.여천(오수)관로토공_01-3.옥서오수신설  맨홀토공(OPEN-0.3)" xfId="1745" xr:uid="{00000000-0005-0000-0000-0000CF060000}"/>
    <cellStyle name="_01.여천(오수)관로토공_01.여천(오수)관로토공_01-3.옥서오수신설  맨홀토공(OPEN-0.3)_01-02.맨홀토공(OPEN-0.3)C-LINE" xfId="1746" xr:uid="{00000000-0005-0000-0000-0000D0060000}"/>
    <cellStyle name="_01.여천(오수)관로토공_01.여천(오수)관로토공_01-3.옥서오수신설  맨홀토공(OPEN-0.3)_01-02.맨홀토공(OPEN-0.3)C-LINE_02.구조물및추진,도달기지토공(D구간)" xfId="1747" xr:uid="{00000000-0005-0000-0000-0000D1060000}"/>
    <cellStyle name="_01.여천(오수)관로토공_01.여천(오수)관로토공_01-3.옥서오수신설  맨홀토공(OPEN-0.3)_01-02.맨홀토공(OPEN-0.3)D-LINE" xfId="1748" xr:uid="{00000000-0005-0000-0000-0000D2060000}"/>
    <cellStyle name="_01.여천(오수)관로토공_01.여천(오수)관로토공_01-3.옥서오수신설  맨홀토공(OPEN-0.3)_01-02.맨홀토공(OPEN-0.3)D-LINE_02.구조물및추진,도달기지토공(D구간)" xfId="1749" xr:uid="{00000000-0005-0000-0000-0000D3060000}"/>
    <cellStyle name="_01.여천(오수)관로토공_01.여천(오수)관로토공_01-3.옥서오수신설  맨홀토공(OPEN-0.3)_02.구조물및추진,도달기지토공(D구간)" xfId="1750" xr:uid="{00000000-0005-0000-0000-0000D4060000}"/>
    <cellStyle name="_01.여천(오수)관로토공_01.여천(오수)관로토공_02.구조물및추진,도달기지토공(D구간)" xfId="1751" xr:uid="{00000000-0005-0000-0000-0000D5060000}"/>
    <cellStyle name="_01.여천(오수)관로토공_01.여천(오수)관로토공_03.여천오수 구조물공" xfId="1752" xr:uid="{00000000-0005-0000-0000-0000D6060000}"/>
    <cellStyle name="_01.여천(오수)관로토공_01.여천(오수)관로토공_03.여천오수 구조물공_01-02.맨홀토공(OPEN-0.3)D-LINE" xfId="1753" xr:uid="{00000000-0005-0000-0000-0000D7060000}"/>
    <cellStyle name="_01.여천(오수)관로토공_01.여천(오수)관로토공_03.여천오수 구조물공_01-02.맨홀토공(OPEN-0.3)D-LINE_01-02.맨홀토공(OPEN-0.3)C-LINE" xfId="1754" xr:uid="{00000000-0005-0000-0000-0000D8060000}"/>
    <cellStyle name="_01.여천(오수)관로토공_01.여천(오수)관로토공_03.여천오수 구조물공_01-02.맨홀토공(OPEN-0.3)D-LINE_01-02.맨홀토공(OPEN-0.3)C-LINE_02.구조물및추진,도달기지토공(D구간)" xfId="1755" xr:uid="{00000000-0005-0000-0000-0000D9060000}"/>
    <cellStyle name="_01.여천(오수)관로토공_01.여천(오수)관로토공_03.여천오수 구조물공_01-02.맨홀토공(OPEN-0.3)D-LINE_01-02.맨홀토공(OPEN-0.3)D-LINE" xfId="1756" xr:uid="{00000000-0005-0000-0000-0000DA060000}"/>
    <cellStyle name="_01.여천(오수)관로토공_01.여천(오수)관로토공_03.여천오수 구조물공_01-02.맨홀토공(OPEN-0.3)D-LINE_01-02.맨홀토공(OPEN-0.3)D-LINE_02.구조물및추진,도달기지토공(D구간)" xfId="1757" xr:uid="{00000000-0005-0000-0000-0000DB060000}"/>
    <cellStyle name="_01.여천(오수)관로토공_01.여천(오수)관로토공_03.여천오수 구조물공_01-02.맨홀토공(OPEN-0.3)D-LINE_02.구조물및추진,도달기지토공(D구간)" xfId="1758" xr:uid="{00000000-0005-0000-0000-0000DC060000}"/>
    <cellStyle name="_01.여천(오수)관로토공_01.여천(오수)관로토공_03.여천오수 구조물공_01-3.옥구오수신설  맨홀토공(OPEN-0.3)" xfId="1759" xr:uid="{00000000-0005-0000-0000-0000DD060000}"/>
    <cellStyle name="_01.여천(오수)관로토공_01.여천(오수)관로토공_03.여천오수 구조물공_01-3.옥구오수신설  맨홀토공(OPEN-0.3)_01-02.맨홀토공(OPEN-0.3)C-LINE" xfId="1760" xr:uid="{00000000-0005-0000-0000-0000DE060000}"/>
    <cellStyle name="_01.여천(오수)관로토공_01.여천(오수)관로토공_03.여천오수 구조물공_01-3.옥구오수신설  맨홀토공(OPEN-0.3)_01-02.맨홀토공(OPEN-0.3)C-LINE_02.구조물및추진,도달기지토공(D구간)" xfId="1761" xr:uid="{00000000-0005-0000-0000-0000DF060000}"/>
    <cellStyle name="_01.여천(오수)관로토공_01.여천(오수)관로토공_03.여천오수 구조물공_01-3.옥구오수신설  맨홀토공(OPEN-0.3)_01-02.맨홀토공(OPEN-0.3)D-LINE" xfId="1762" xr:uid="{00000000-0005-0000-0000-0000E0060000}"/>
    <cellStyle name="_01.여천(오수)관로토공_01.여천(오수)관로토공_03.여천오수 구조물공_01-3.옥구오수신설  맨홀토공(OPEN-0.3)_01-02.맨홀토공(OPEN-0.3)D-LINE_02.구조물및추진,도달기지토공(D구간)" xfId="1763" xr:uid="{00000000-0005-0000-0000-0000E1060000}"/>
    <cellStyle name="_01.여천(오수)관로토공_01.여천(오수)관로토공_03.여천오수 구조물공_01-3.옥구오수신설  맨홀토공(OPEN-0.3)_02.구조물및추진,도달기지토공(D구간)" xfId="1764" xr:uid="{00000000-0005-0000-0000-0000E2060000}"/>
    <cellStyle name="_01.여천(오수)관로토공_01.여천(오수)관로토공_03.여천오수 구조물공_01-3.옥서오수신설  맨홀토공(OPEN-0.3)" xfId="1765" xr:uid="{00000000-0005-0000-0000-0000E3060000}"/>
    <cellStyle name="_01.여천(오수)관로토공_01.여천(오수)관로토공_03.여천오수 구조물공_01-3.옥서오수신설  맨홀토공(OPEN-0.3)_01-02.맨홀토공(OPEN-0.3)C-LINE" xfId="1766" xr:uid="{00000000-0005-0000-0000-0000E4060000}"/>
    <cellStyle name="_01.여천(오수)관로토공_01.여천(오수)관로토공_03.여천오수 구조물공_01-3.옥서오수신설  맨홀토공(OPEN-0.3)_01-02.맨홀토공(OPEN-0.3)C-LINE_02.구조물및추진,도달기지토공(D구간)" xfId="1767" xr:uid="{00000000-0005-0000-0000-0000E5060000}"/>
    <cellStyle name="_01.여천(오수)관로토공_01.여천(오수)관로토공_03.여천오수 구조물공_01-3.옥서오수신설  맨홀토공(OPEN-0.3)_01-02.맨홀토공(OPEN-0.3)D-LINE" xfId="1768" xr:uid="{00000000-0005-0000-0000-0000E6060000}"/>
    <cellStyle name="_01.여천(오수)관로토공_01.여천(오수)관로토공_03.여천오수 구조물공_01-3.옥서오수신설  맨홀토공(OPEN-0.3)_01-02.맨홀토공(OPEN-0.3)D-LINE_02.구조물및추진,도달기지토공(D구간)" xfId="1769" xr:uid="{00000000-0005-0000-0000-0000E7060000}"/>
    <cellStyle name="_01.여천(오수)관로토공_01.여천(오수)관로토공_03.여천오수 구조물공_01-3.옥서오수신설  맨홀토공(OPEN-0.3)_02.구조물및추진,도달기지토공(D구간)" xfId="1770" xr:uid="{00000000-0005-0000-0000-0000E8060000}"/>
    <cellStyle name="_01.여천(오수)관로토공_01.여천(오수)관로토공_03.여천오수 구조물공_02.구조물및추진,도달기지토공(D구간)" xfId="1771" xr:uid="{00000000-0005-0000-0000-0000E9060000}"/>
    <cellStyle name="_01.여천(오수)관로토공_01.차집 토공2" xfId="1772" xr:uid="{00000000-0005-0000-0000-0000EA060000}"/>
    <cellStyle name="_01.여천(오수)관로토공_01.차집 토공2_01-02.맨홀토공(OPEN-0.3)D-LINE" xfId="1773" xr:uid="{00000000-0005-0000-0000-0000EB060000}"/>
    <cellStyle name="_01.여천(오수)관로토공_01.차집 토공2_01-02.맨홀토공(OPEN-0.3)D-LINE_01-02.맨홀토공(OPEN-0.3)C-LINE" xfId="1774" xr:uid="{00000000-0005-0000-0000-0000EC060000}"/>
    <cellStyle name="_01.여천(오수)관로토공_01.차집 토공2_01-02.맨홀토공(OPEN-0.3)D-LINE_01-02.맨홀토공(OPEN-0.3)C-LINE_02.구조물및추진,도달기지토공(D구간)" xfId="1775" xr:uid="{00000000-0005-0000-0000-0000ED060000}"/>
    <cellStyle name="_01.여천(오수)관로토공_01.차집 토공2_01-02.맨홀토공(OPEN-0.3)D-LINE_01-02.맨홀토공(OPEN-0.3)D-LINE" xfId="1776" xr:uid="{00000000-0005-0000-0000-0000EE060000}"/>
    <cellStyle name="_01.여천(오수)관로토공_01.차집 토공2_01-02.맨홀토공(OPEN-0.3)D-LINE_01-02.맨홀토공(OPEN-0.3)D-LINE_02.구조물및추진,도달기지토공(D구간)" xfId="1777" xr:uid="{00000000-0005-0000-0000-0000EF060000}"/>
    <cellStyle name="_01.여천(오수)관로토공_01.차집 토공2_01-02.맨홀토공(OPEN-0.3)D-LINE_02.구조물및추진,도달기지토공(D구간)" xfId="1778" xr:uid="{00000000-0005-0000-0000-0000F0060000}"/>
    <cellStyle name="_01.여천(오수)관로토공_01.차집 토공2_01-3.옥구오수신설  맨홀토공(OPEN-0.3)" xfId="1779" xr:uid="{00000000-0005-0000-0000-0000F1060000}"/>
    <cellStyle name="_01.여천(오수)관로토공_01.차집 토공2_01-3.옥구오수신설  맨홀토공(OPEN-0.3)_01-02.맨홀토공(OPEN-0.3)C-LINE" xfId="1780" xr:uid="{00000000-0005-0000-0000-0000F2060000}"/>
    <cellStyle name="_01.여천(오수)관로토공_01.차집 토공2_01-3.옥구오수신설  맨홀토공(OPEN-0.3)_01-02.맨홀토공(OPEN-0.3)C-LINE_02.구조물및추진,도달기지토공(D구간)" xfId="1781" xr:uid="{00000000-0005-0000-0000-0000F3060000}"/>
    <cellStyle name="_01.여천(오수)관로토공_01.차집 토공2_01-3.옥구오수신설  맨홀토공(OPEN-0.3)_01-02.맨홀토공(OPEN-0.3)D-LINE" xfId="1782" xr:uid="{00000000-0005-0000-0000-0000F4060000}"/>
    <cellStyle name="_01.여천(오수)관로토공_01.차집 토공2_01-3.옥구오수신설  맨홀토공(OPEN-0.3)_01-02.맨홀토공(OPEN-0.3)D-LINE_02.구조물및추진,도달기지토공(D구간)" xfId="1783" xr:uid="{00000000-0005-0000-0000-0000F5060000}"/>
    <cellStyle name="_01.여천(오수)관로토공_01.차집 토공2_01-3.옥구오수신설  맨홀토공(OPEN-0.3)_02.구조물및추진,도달기지토공(D구간)" xfId="1784" xr:uid="{00000000-0005-0000-0000-0000F6060000}"/>
    <cellStyle name="_01.여천(오수)관로토공_01.차집 토공2_01-3.옥서오수신설  맨홀토공(OPEN-0.3)" xfId="1785" xr:uid="{00000000-0005-0000-0000-0000F7060000}"/>
    <cellStyle name="_01.여천(오수)관로토공_01.차집 토공2_01-3.옥서오수신설  맨홀토공(OPEN-0.3)_01-02.맨홀토공(OPEN-0.3)C-LINE" xfId="1786" xr:uid="{00000000-0005-0000-0000-0000F8060000}"/>
    <cellStyle name="_01.여천(오수)관로토공_01.차집 토공2_01-3.옥서오수신설  맨홀토공(OPEN-0.3)_01-02.맨홀토공(OPEN-0.3)C-LINE_02.구조물및추진,도달기지토공(D구간)" xfId="1787" xr:uid="{00000000-0005-0000-0000-0000F9060000}"/>
    <cellStyle name="_01.여천(오수)관로토공_01.차집 토공2_01-3.옥서오수신설  맨홀토공(OPEN-0.3)_01-02.맨홀토공(OPEN-0.3)D-LINE" xfId="1788" xr:uid="{00000000-0005-0000-0000-0000FA060000}"/>
    <cellStyle name="_01.여천(오수)관로토공_01.차집 토공2_01-3.옥서오수신설  맨홀토공(OPEN-0.3)_01-02.맨홀토공(OPEN-0.3)D-LINE_02.구조물및추진,도달기지토공(D구간)" xfId="1789" xr:uid="{00000000-0005-0000-0000-0000FB060000}"/>
    <cellStyle name="_01.여천(오수)관로토공_01.차집 토공2_01-3.옥서오수신설  맨홀토공(OPEN-0.3)_02.구조물및추진,도달기지토공(D구간)" xfId="1790" xr:uid="{00000000-0005-0000-0000-0000FC060000}"/>
    <cellStyle name="_01.여천(오수)관로토공_01.차집 토공2_02.구조물및추진,도달기지토공(D구간)" xfId="1791" xr:uid="{00000000-0005-0000-0000-0000FD060000}"/>
    <cellStyle name="_01.여천(오수)관로토공_01.토공(오수)" xfId="1792" xr:uid="{00000000-0005-0000-0000-0000FE060000}"/>
    <cellStyle name="_01.여천(오수)관로토공_01.토공(오수)_01.여천오수 토공" xfId="1793" xr:uid="{00000000-0005-0000-0000-0000FF060000}"/>
    <cellStyle name="_01.여천(오수)관로토공_01.토공(오수)_01.여천오수 토공_01-02.맨홀토공(OPEN-0.3)D-LINE" xfId="1794" xr:uid="{00000000-0005-0000-0000-000000070000}"/>
    <cellStyle name="_01.여천(오수)관로토공_01.토공(오수)_01.여천오수 토공_01-02.맨홀토공(OPEN-0.3)D-LINE_01-02.맨홀토공(OPEN-0.3)C-LINE" xfId="1795" xr:uid="{00000000-0005-0000-0000-000001070000}"/>
    <cellStyle name="_01.여천(오수)관로토공_01.토공(오수)_01.여천오수 토공_01-02.맨홀토공(OPEN-0.3)D-LINE_01-02.맨홀토공(OPEN-0.3)C-LINE_02.구조물및추진,도달기지토공(D구간)" xfId="1796" xr:uid="{00000000-0005-0000-0000-000002070000}"/>
    <cellStyle name="_01.여천(오수)관로토공_01.토공(오수)_01.여천오수 토공_01-02.맨홀토공(OPEN-0.3)D-LINE_01-02.맨홀토공(OPEN-0.3)D-LINE" xfId="1797" xr:uid="{00000000-0005-0000-0000-000003070000}"/>
    <cellStyle name="_01.여천(오수)관로토공_01.토공(오수)_01.여천오수 토공_01-02.맨홀토공(OPEN-0.3)D-LINE_01-02.맨홀토공(OPEN-0.3)D-LINE_02.구조물및추진,도달기지토공(D구간)" xfId="1798" xr:uid="{00000000-0005-0000-0000-000004070000}"/>
    <cellStyle name="_01.여천(오수)관로토공_01.토공(오수)_01.여천오수 토공_01-02.맨홀토공(OPEN-0.3)D-LINE_02.구조물및추진,도달기지토공(D구간)" xfId="1799" xr:uid="{00000000-0005-0000-0000-000005070000}"/>
    <cellStyle name="_01.여천(오수)관로토공_01.토공(오수)_01.여천오수 토공_01-3.옥구오수신설  맨홀토공(OPEN-0.3)" xfId="1800" xr:uid="{00000000-0005-0000-0000-000006070000}"/>
    <cellStyle name="_01.여천(오수)관로토공_01.토공(오수)_01.여천오수 토공_01-3.옥구오수신설  맨홀토공(OPEN-0.3)_01-02.맨홀토공(OPEN-0.3)C-LINE" xfId="1801" xr:uid="{00000000-0005-0000-0000-000007070000}"/>
    <cellStyle name="_01.여천(오수)관로토공_01.토공(오수)_01.여천오수 토공_01-3.옥구오수신설  맨홀토공(OPEN-0.3)_01-02.맨홀토공(OPEN-0.3)C-LINE_02.구조물및추진,도달기지토공(D구간)" xfId="1802" xr:uid="{00000000-0005-0000-0000-000008070000}"/>
    <cellStyle name="_01.여천(오수)관로토공_01.토공(오수)_01.여천오수 토공_01-3.옥구오수신설  맨홀토공(OPEN-0.3)_01-02.맨홀토공(OPEN-0.3)D-LINE" xfId="1803" xr:uid="{00000000-0005-0000-0000-000009070000}"/>
    <cellStyle name="_01.여천(오수)관로토공_01.토공(오수)_01.여천오수 토공_01-3.옥구오수신설  맨홀토공(OPEN-0.3)_01-02.맨홀토공(OPEN-0.3)D-LINE_02.구조물및추진,도달기지토공(D구간)" xfId="1804" xr:uid="{00000000-0005-0000-0000-00000A070000}"/>
    <cellStyle name="_01.여천(오수)관로토공_01.토공(오수)_01.여천오수 토공_01-3.옥구오수신설  맨홀토공(OPEN-0.3)_02.구조물및추진,도달기지토공(D구간)" xfId="1805" xr:uid="{00000000-0005-0000-0000-00000B070000}"/>
    <cellStyle name="_01.여천(오수)관로토공_01.토공(오수)_01.여천오수 토공_01-3.옥서오수신설  맨홀토공(OPEN-0.3)" xfId="1806" xr:uid="{00000000-0005-0000-0000-00000C070000}"/>
    <cellStyle name="_01.여천(오수)관로토공_01.토공(오수)_01.여천오수 토공_01-3.옥서오수신설  맨홀토공(OPEN-0.3)_01-02.맨홀토공(OPEN-0.3)C-LINE" xfId="1807" xr:uid="{00000000-0005-0000-0000-00000D070000}"/>
    <cellStyle name="_01.여천(오수)관로토공_01.토공(오수)_01.여천오수 토공_01-3.옥서오수신설  맨홀토공(OPEN-0.3)_01-02.맨홀토공(OPEN-0.3)C-LINE_02.구조물및추진,도달기지토공(D구간)" xfId="1808" xr:uid="{00000000-0005-0000-0000-00000E070000}"/>
    <cellStyle name="_01.여천(오수)관로토공_01.토공(오수)_01.여천오수 토공_01-3.옥서오수신설  맨홀토공(OPEN-0.3)_01-02.맨홀토공(OPEN-0.3)D-LINE" xfId="1809" xr:uid="{00000000-0005-0000-0000-00000F070000}"/>
    <cellStyle name="_01.여천(오수)관로토공_01.토공(오수)_01.여천오수 토공_01-3.옥서오수신설  맨홀토공(OPEN-0.3)_01-02.맨홀토공(OPEN-0.3)D-LINE_02.구조물및추진,도달기지토공(D구간)" xfId="1810" xr:uid="{00000000-0005-0000-0000-000010070000}"/>
    <cellStyle name="_01.여천(오수)관로토공_01.토공(오수)_01.여천오수 토공_01-3.옥서오수신설  맨홀토공(OPEN-0.3)_02.구조물및추진,도달기지토공(D구간)" xfId="1811" xr:uid="{00000000-0005-0000-0000-000011070000}"/>
    <cellStyle name="_01.여천(오수)관로토공_01.토공(오수)_01.여천오수 토공_02.구조물및추진,도달기지토공(D구간)" xfId="1812" xr:uid="{00000000-0005-0000-0000-000012070000}"/>
    <cellStyle name="_01.여천(오수)관로토공_01.토공(오수)_01.차집 토공2" xfId="1813" xr:uid="{00000000-0005-0000-0000-000013070000}"/>
    <cellStyle name="_01.여천(오수)관로토공_01.토공(오수)_01.차집 토공2_01-02.맨홀토공(OPEN-0.3)D-LINE" xfId="1814" xr:uid="{00000000-0005-0000-0000-000014070000}"/>
    <cellStyle name="_01.여천(오수)관로토공_01.토공(오수)_01.차집 토공2_01-02.맨홀토공(OPEN-0.3)D-LINE_01-02.맨홀토공(OPEN-0.3)C-LINE" xfId="1815" xr:uid="{00000000-0005-0000-0000-000015070000}"/>
    <cellStyle name="_01.여천(오수)관로토공_01.토공(오수)_01.차집 토공2_01-02.맨홀토공(OPEN-0.3)D-LINE_01-02.맨홀토공(OPEN-0.3)C-LINE_02.구조물및추진,도달기지토공(D구간)" xfId="1816" xr:uid="{00000000-0005-0000-0000-000016070000}"/>
    <cellStyle name="_01.여천(오수)관로토공_01.토공(오수)_01.차집 토공2_01-02.맨홀토공(OPEN-0.3)D-LINE_01-02.맨홀토공(OPEN-0.3)D-LINE" xfId="1817" xr:uid="{00000000-0005-0000-0000-000017070000}"/>
    <cellStyle name="_01.여천(오수)관로토공_01.토공(오수)_01.차집 토공2_01-02.맨홀토공(OPEN-0.3)D-LINE_01-02.맨홀토공(OPEN-0.3)D-LINE_02.구조물및추진,도달기지토공(D구간)" xfId="1818" xr:uid="{00000000-0005-0000-0000-000018070000}"/>
    <cellStyle name="_01.여천(오수)관로토공_01.토공(오수)_01.차집 토공2_01-02.맨홀토공(OPEN-0.3)D-LINE_02.구조물및추진,도달기지토공(D구간)" xfId="1819" xr:uid="{00000000-0005-0000-0000-000019070000}"/>
    <cellStyle name="_01.여천(오수)관로토공_01.토공(오수)_01.차집 토공2_01-3.옥구오수신설  맨홀토공(OPEN-0.3)" xfId="1820" xr:uid="{00000000-0005-0000-0000-00001A070000}"/>
    <cellStyle name="_01.여천(오수)관로토공_01.토공(오수)_01.차집 토공2_01-3.옥구오수신설  맨홀토공(OPEN-0.3)_01-02.맨홀토공(OPEN-0.3)C-LINE" xfId="1821" xr:uid="{00000000-0005-0000-0000-00001B070000}"/>
    <cellStyle name="_01.여천(오수)관로토공_01.토공(오수)_01.차집 토공2_01-3.옥구오수신설  맨홀토공(OPEN-0.3)_01-02.맨홀토공(OPEN-0.3)C-LINE_02.구조물및추진,도달기지토공(D구간)" xfId="1822" xr:uid="{00000000-0005-0000-0000-00001C070000}"/>
    <cellStyle name="_01.여천(오수)관로토공_01.토공(오수)_01.차집 토공2_01-3.옥구오수신설  맨홀토공(OPEN-0.3)_01-02.맨홀토공(OPEN-0.3)D-LINE" xfId="1823" xr:uid="{00000000-0005-0000-0000-00001D070000}"/>
    <cellStyle name="_01.여천(오수)관로토공_01.토공(오수)_01.차집 토공2_01-3.옥구오수신설  맨홀토공(OPEN-0.3)_01-02.맨홀토공(OPEN-0.3)D-LINE_02.구조물및추진,도달기지토공(D구간)" xfId="1824" xr:uid="{00000000-0005-0000-0000-00001E070000}"/>
    <cellStyle name="_01.여천(오수)관로토공_01.토공(오수)_01.차집 토공2_01-3.옥구오수신설  맨홀토공(OPEN-0.3)_02.구조물및추진,도달기지토공(D구간)" xfId="1825" xr:uid="{00000000-0005-0000-0000-00001F070000}"/>
    <cellStyle name="_01.여천(오수)관로토공_01.토공(오수)_01.차집 토공2_01-3.옥서오수신설  맨홀토공(OPEN-0.3)" xfId="1826" xr:uid="{00000000-0005-0000-0000-000020070000}"/>
    <cellStyle name="_01.여천(오수)관로토공_01.토공(오수)_01.차집 토공2_01-3.옥서오수신설  맨홀토공(OPEN-0.3)_01-02.맨홀토공(OPEN-0.3)C-LINE" xfId="1827" xr:uid="{00000000-0005-0000-0000-000021070000}"/>
    <cellStyle name="_01.여천(오수)관로토공_01.토공(오수)_01.차집 토공2_01-3.옥서오수신설  맨홀토공(OPEN-0.3)_01-02.맨홀토공(OPEN-0.3)C-LINE_02.구조물및추진,도달기지토공(D구간)" xfId="1828" xr:uid="{00000000-0005-0000-0000-000022070000}"/>
    <cellStyle name="_01.여천(오수)관로토공_01.토공(오수)_01.차집 토공2_01-3.옥서오수신설  맨홀토공(OPEN-0.3)_01-02.맨홀토공(OPEN-0.3)D-LINE" xfId="1829" xr:uid="{00000000-0005-0000-0000-000023070000}"/>
    <cellStyle name="_01.여천(오수)관로토공_01.토공(오수)_01.차집 토공2_01-3.옥서오수신설  맨홀토공(OPEN-0.3)_01-02.맨홀토공(OPEN-0.3)D-LINE_02.구조물및추진,도달기지토공(D구간)" xfId="1830" xr:uid="{00000000-0005-0000-0000-000024070000}"/>
    <cellStyle name="_01.여천(오수)관로토공_01.토공(오수)_01.차집 토공2_01-3.옥서오수신설  맨홀토공(OPEN-0.3)_02.구조물및추진,도달기지토공(D구간)" xfId="1831" xr:uid="{00000000-0005-0000-0000-000025070000}"/>
    <cellStyle name="_01.여천(오수)관로토공_01.토공(오수)_01.차집 토공2_02.구조물및추진,도달기지토공(D구간)" xfId="1832" xr:uid="{00000000-0005-0000-0000-000026070000}"/>
    <cellStyle name="_01.여천(오수)관로토공_01.토공(오수)_01.토공" xfId="1833" xr:uid="{00000000-0005-0000-0000-000027070000}"/>
    <cellStyle name="_01.여천(오수)관로토공_01.토공(오수)_01.토공_01-02.맨홀토공(OPEN-0.3)D-LINE" xfId="1834" xr:uid="{00000000-0005-0000-0000-000028070000}"/>
    <cellStyle name="_01.여천(오수)관로토공_01.토공(오수)_01.토공_01-02.맨홀토공(OPEN-0.3)D-LINE_01-02.맨홀토공(OPEN-0.3)C-LINE" xfId="1835" xr:uid="{00000000-0005-0000-0000-000029070000}"/>
    <cellStyle name="_01.여천(오수)관로토공_01.토공(오수)_01.토공_01-02.맨홀토공(OPEN-0.3)D-LINE_01-02.맨홀토공(OPEN-0.3)C-LINE_02.구조물및추진,도달기지토공(D구간)" xfId="1836" xr:uid="{00000000-0005-0000-0000-00002A070000}"/>
    <cellStyle name="_01.여천(오수)관로토공_01.토공(오수)_01.토공_01-02.맨홀토공(OPEN-0.3)D-LINE_01-02.맨홀토공(OPEN-0.3)D-LINE" xfId="1837" xr:uid="{00000000-0005-0000-0000-00002B070000}"/>
    <cellStyle name="_01.여천(오수)관로토공_01.토공(오수)_01.토공_01-02.맨홀토공(OPEN-0.3)D-LINE_01-02.맨홀토공(OPEN-0.3)D-LINE_02.구조물및추진,도달기지토공(D구간)" xfId="1838" xr:uid="{00000000-0005-0000-0000-00002C070000}"/>
    <cellStyle name="_01.여천(오수)관로토공_01.토공(오수)_01.토공_01-02.맨홀토공(OPEN-0.3)D-LINE_02.구조물및추진,도달기지토공(D구간)" xfId="1839" xr:uid="{00000000-0005-0000-0000-00002D070000}"/>
    <cellStyle name="_01.여천(오수)관로토공_01.토공(오수)_01.토공_01-3.옥구오수신설  맨홀토공(OPEN-0.3)" xfId="1840" xr:uid="{00000000-0005-0000-0000-00002E070000}"/>
    <cellStyle name="_01.여천(오수)관로토공_01.토공(오수)_01.토공_01-3.옥구오수신설  맨홀토공(OPEN-0.3)_01-02.맨홀토공(OPEN-0.3)C-LINE" xfId="1841" xr:uid="{00000000-0005-0000-0000-00002F070000}"/>
    <cellStyle name="_01.여천(오수)관로토공_01.토공(오수)_01.토공_01-3.옥구오수신설  맨홀토공(OPEN-0.3)_01-02.맨홀토공(OPEN-0.3)C-LINE_02.구조물및추진,도달기지토공(D구간)" xfId="1842" xr:uid="{00000000-0005-0000-0000-000030070000}"/>
    <cellStyle name="_01.여천(오수)관로토공_01.토공(오수)_01.토공_01-3.옥구오수신설  맨홀토공(OPEN-0.3)_01-02.맨홀토공(OPEN-0.3)D-LINE" xfId="1843" xr:uid="{00000000-0005-0000-0000-000031070000}"/>
    <cellStyle name="_01.여천(오수)관로토공_01.토공(오수)_01.토공_01-3.옥구오수신설  맨홀토공(OPEN-0.3)_01-02.맨홀토공(OPEN-0.3)D-LINE_02.구조물및추진,도달기지토공(D구간)" xfId="1844" xr:uid="{00000000-0005-0000-0000-000032070000}"/>
    <cellStyle name="_01.여천(오수)관로토공_01.토공(오수)_01.토공_01-3.옥구오수신설  맨홀토공(OPEN-0.3)_02.구조물및추진,도달기지토공(D구간)" xfId="1845" xr:uid="{00000000-0005-0000-0000-000033070000}"/>
    <cellStyle name="_01.여천(오수)관로토공_01.토공(오수)_01.토공_01-3.옥서오수신설  맨홀토공(OPEN-0.3)" xfId="1846" xr:uid="{00000000-0005-0000-0000-000034070000}"/>
    <cellStyle name="_01.여천(오수)관로토공_01.토공(오수)_01.토공_01-3.옥서오수신설  맨홀토공(OPEN-0.3)_01-02.맨홀토공(OPEN-0.3)C-LINE" xfId="1847" xr:uid="{00000000-0005-0000-0000-000035070000}"/>
    <cellStyle name="_01.여천(오수)관로토공_01.토공(오수)_01.토공_01-3.옥서오수신설  맨홀토공(OPEN-0.3)_01-02.맨홀토공(OPEN-0.3)C-LINE_02.구조물및추진,도달기지토공(D구간)" xfId="1848" xr:uid="{00000000-0005-0000-0000-000036070000}"/>
    <cellStyle name="_01.여천(오수)관로토공_01.토공(오수)_01.토공_01-3.옥서오수신설  맨홀토공(OPEN-0.3)_01-02.맨홀토공(OPEN-0.3)D-LINE" xfId="1849" xr:uid="{00000000-0005-0000-0000-000037070000}"/>
    <cellStyle name="_01.여천(오수)관로토공_01.토공(오수)_01.토공_01-3.옥서오수신설  맨홀토공(OPEN-0.3)_01-02.맨홀토공(OPEN-0.3)D-LINE_02.구조물및추진,도달기지토공(D구간)" xfId="1850" xr:uid="{00000000-0005-0000-0000-000038070000}"/>
    <cellStyle name="_01.여천(오수)관로토공_01.토공(오수)_01.토공_01-3.옥서오수신설  맨홀토공(OPEN-0.3)_02.구조물및추진,도달기지토공(D구간)" xfId="1851" xr:uid="{00000000-0005-0000-0000-000039070000}"/>
    <cellStyle name="_01.여천(오수)관로토공_01.토공(오수)_01.토공_02.구조물및추진,도달기지토공(D구간)" xfId="1852" xr:uid="{00000000-0005-0000-0000-00003A070000}"/>
    <cellStyle name="_01.여천(오수)관로토공_01.토공(오수)_01-02.맨홀토공(OPEN-0.3)D-LINE" xfId="1853" xr:uid="{00000000-0005-0000-0000-00003B070000}"/>
    <cellStyle name="_01.여천(오수)관로토공_01.토공(오수)_01-02.맨홀토공(OPEN-0.3)D-LINE_01-02.맨홀토공(OPEN-0.3)C-LINE" xfId="1854" xr:uid="{00000000-0005-0000-0000-00003C070000}"/>
    <cellStyle name="_01.여천(오수)관로토공_01.토공(오수)_01-02.맨홀토공(OPEN-0.3)D-LINE_01-02.맨홀토공(OPEN-0.3)C-LINE_02.구조물및추진,도달기지토공(D구간)" xfId="1855" xr:uid="{00000000-0005-0000-0000-00003D070000}"/>
    <cellStyle name="_01.여천(오수)관로토공_01.토공(오수)_01-02.맨홀토공(OPEN-0.3)D-LINE_01-02.맨홀토공(OPEN-0.3)D-LINE" xfId="1856" xr:uid="{00000000-0005-0000-0000-00003E070000}"/>
    <cellStyle name="_01.여천(오수)관로토공_01.토공(오수)_01-02.맨홀토공(OPEN-0.3)D-LINE_01-02.맨홀토공(OPEN-0.3)D-LINE_02.구조물및추진,도달기지토공(D구간)" xfId="1857" xr:uid="{00000000-0005-0000-0000-00003F070000}"/>
    <cellStyle name="_01.여천(오수)관로토공_01.토공(오수)_01-02.맨홀토공(OPEN-0.3)D-LINE_02.구조물및추진,도달기지토공(D구간)" xfId="1858" xr:uid="{00000000-0005-0000-0000-000040070000}"/>
    <cellStyle name="_01.여천(오수)관로토공_01.토공(오수)_01-3.옥구오수신설  맨홀토공(OPEN-0.3)" xfId="1859" xr:uid="{00000000-0005-0000-0000-000041070000}"/>
    <cellStyle name="_01.여천(오수)관로토공_01.토공(오수)_01-3.옥구오수신설  맨홀토공(OPEN-0.3)_01-02.맨홀토공(OPEN-0.3)C-LINE" xfId="1860" xr:uid="{00000000-0005-0000-0000-000042070000}"/>
    <cellStyle name="_01.여천(오수)관로토공_01.토공(오수)_01-3.옥구오수신설  맨홀토공(OPEN-0.3)_01-02.맨홀토공(OPEN-0.3)C-LINE_02.구조물및추진,도달기지토공(D구간)" xfId="1861" xr:uid="{00000000-0005-0000-0000-000043070000}"/>
    <cellStyle name="_01.여천(오수)관로토공_01.토공(오수)_01-3.옥구오수신설  맨홀토공(OPEN-0.3)_01-02.맨홀토공(OPEN-0.3)D-LINE" xfId="1862" xr:uid="{00000000-0005-0000-0000-000044070000}"/>
    <cellStyle name="_01.여천(오수)관로토공_01.토공(오수)_01-3.옥구오수신설  맨홀토공(OPEN-0.3)_01-02.맨홀토공(OPEN-0.3)D-LINE_02.구조물및추진,도달기지토공(D구간)" xfId="1863" xr:uid="{00000000-0005-0000-0000-000045070000}"/>
    <cellStyle name="_01.여천(오수)관로토공_01.토공(오수)_01-3.옥구오수신설  맨홀토공(OPEN-0.3)_02.구조물및추진,도달기지토공(D구간)" xfId="1864" xr:uid="{00000000-0005-0000-0000-000046070000}"/>
    <cellStyle name="_01.여천(오수)관로토공_01.토공(오수)_01-3.옥서오수신설  맨홀토공(OPEN-0.3)" xfId="1865" xr:uid="{00000000-0005-0000-0000-000047070000}"/>
    <cellStyle name="_01.여천(오수)관로토공_01.토공(오수)_01-3.옥서오수신설  맨홀토공(OPEN-0.3)_01-02.맨홀토공(OPEN-0.3)C-LINE" xfId="1866" xr:uid="{00000000-0005-0000-0000-000048070000}"/>
    <cellStyle name="_01.여천(오수)관로토공_01.토공(오수)_01-3.옥서오수신설  맨홀토공(OPEN-0.3)_01-02.맨홀토공(OPEN-0.3)C-LINE_02.구조물및추진,도달기지토공(D구간)" xfId="1867" xr:uid="{00000000-0005-0000-0000-000049070000}"/>
    <cellStyle name="_01.여천(오수)관로토공_01.토공(오수)_01-3.옥서오수신설  맨홀토공(OPEN-0.3)_01-02.맨홀토공(OPEN-0.3)D-LINE" xfId="1868" xr:uid="{00000000-0005-0000-0000-00004A070000}"/>
    <cellStyle name="_01.여천(오수)관로토공_01.토공(오수)_01-3.옥서오수신설  맨홀토공(OPEN-0.3)_01-02.맨홀토공(OPEN-0.3)D-LINE_02.구조물및추진,도달기지토공(D구간)" xfId="1869" xr:uid="{00000000-0005-0000-0000-00004B070000}"/>
    <cellStyle name="_01.여천(오수)관로토공_01.토공(오수)_01-3.옥서오수신설  맨홀토공(OPEN-0.3)_02.구조물및추진,도달기지토공(D구간)" xfId="1870" xr:uid="{00000000-0005-0000-0000-00004C070000}"/>
    <cellStyle name="_01.여천(오수)관로토공_01.토공(오수)_02.구조물및추진,도달기지토공(D구간)" xfId="1871" xr:uid="{00000000-0005-0000-0000-00004D070000}"/>
    <cellStyle name="_01.여천(오수)관로토공_01-02.맨홀토공(OPEN-0.3)D-LINE" xfId="1872" xr:uid="{00000000-0005-0000-0000-00004E070000}"/>
    <cellStyle name="_01.여천(오수)관로토공_01-02.맨홀토공(OPEN-0.3)D-LINE_01-02.맨홀토공(OPEN-0.3)C-LINE" xfId="1873" xr:uid="{00000000-0005-0000-0000-00004F070000}"/>
    <cellStyle name="_01.여천(오수)관로토공_01-02.맨홀토공(OPEN-0.3)D-LINE_01-02.맨홀토공(OPEN-0.3)C-LINE_02.구조물및추진,도달기지토공(D구간)" xfId="1874" xr:uid="{00000000-0005-0000-0000-000050070000}"/>
    <cellStyle name="_01.여천(오수)관로토공_01-02.맨홀토공(OPEN-0.3)D-LINE_01-02.맨홀토공(OPEN-0.3)D-LINE" xfId="1875" xr:uid="{00000000-0005-0000-0000-000051070000}"/>
    <cellStyle name="_01.여천(오수)관로토공_01-02.맨홀토공(OPEN-0.3)D-LINE_01-02.맨홀토공(OPEN-0.3)D-LINE_02.구조물및추진,도달기지토공(D구간)" xfId="1876" xr:uid="{00000000-0005-0000-0000-000052070000}"/>
    <cellStyle name="_01.여천(오수)관로토공_01-02.맨홀토공(OPEN-0.3)D-LINE_02.구조물및추진,도달기지토공(D구간)" xfId="1877" xr:uid="{00000000-0005-0000-0000-000053070000}"/>
    <cellStyle name="_01.여천(오수)관로토공_01-3.옥구오수신설  맨홀토공(OPEN-0.3)" xfId="1878" xr:uid="{00000000-0005-0000-0000-000054070000}"/>
    <cellStyle name="_01.여천(오수)관로토공_01-3.옥구오수신설  맨홀토공(OPEN-0.3)_01-02.맨홀토공(OPEN-0.3)C-LINE" xfId="1879" xr:uid="{00000000-0005-0000-0000-000055070000}"/>
    <cellStyle name="_01.여천(오수)관로토공_01-3.옥구오수신설  맨홀토공(OPEN-0.3)_01-02.맨홀토공(OPEN-0.3)C-LINE_02.구조물및추진,도달기지토공(D구간)" xfId="1880" xr:uid="{00000000-0005-0000-0000-000056070000}"/>
    <cellStyle name="_01.여천(오수)관로토공_01-3.옥구오수신설  맨홀토공(OPEN-0.3)_01-02.맨홀토공(OPEN-0.3)D-LINE" xfId="1881" xr:uid="{00000000-0005-0000-0000-000057070000}"/>
    <cellStyle name="_01.여천(오수)관로토공_01-3.옥구오수신설  맨홀토공(OPEN-0.3)_01-02.맨홀토공(OPEN-0.3)D-LINE_02.구조물및추진,도달기지토공(D구간)" xfId="1882" xr:uid="{00000000-0005-0000-0000-000058070000}"/>
    <cellStyle name="_01.여천(오수)관로토공_01-3.옥구오수신설  맨홀토공(OPEN-0.3)_02.구조물및추진,도달기지토공(D구간)" xfId="1883" xr:uid="{00000000-0005-0000-0000-000059070000}"/>
    <cellStyle name="_01.여천(오수)관로토공_01-3.옥서오수신설  맨홀토공(OPEN-0.3)" xfId="1884" xr:uid="{00000000-0005-0000-0000-00005A070000}"/>
    <cellStyle name="_01.여천(오수)관로토공_01-3.옥서오수신설  맨홀토공(OPEN-0.3)_01-02.맨홀토공(OPEN-0.3)C-LINE" xfId="1885" xr:uid="{00000000-0005-0000-0000-00005B070000}"/>
    <cellStyle name="_01.여천(오수)관로토공_01-3.옥서오수신설  맨홀토공(OPEN-0.3)_01-02.맨홀토공(OPEN-0.3)C-LINE_02.구조물및추진,도달기지토공(D구간)" xfId="1886" xr:uid="{00000000-0005-0000-0000-00005C070000}"/>
    <cellStyle name="_01.여천(오수)관로토공_01-3.옥서오수신설  맨홀토공(OPEN-0.3)_01-02.맨홀토공(OPEN-0.3)D-LINE" xfId="1887" xr:uid="{00000000-0005-0000-0000-00005D070000}"/>
    <cellStyle name="_01.여천(오수)관로토공_01-3.옥서오수신설  맨홀토공(OPEN-0.3)_01-02.맨홀토공(OPEN-0.3)D-LINE_02.구조물및추진,도달기지토공(D구간)" xfId="1888" xr:uid="{00000000-0005-0000-0000-00005E070000}"/>
    <cellStyle name="_01.여천(오수)관로토공_01-3.옥서오수신설  맨홀토공(OPEN-0.3)_02.구조물및추진,도달기지토공(D구간)" xfId="1889" xr:uid="{00000000-0005-0000-0000-00005F070000}"/>
    <cellStyle name="_01.여천(오수)관로토공_02.구조물및추진,도달기지토공(D구간)" xfId="1890" xr:uid="{00000000-0005-0000-0000-000060070000}"/>
    <cellStyle name="_01.여천오수 토공" xfId="1891" xr:uid="{00000000-0005-0000-0000-000061070000}"/>
    <cellStyle name="_01.여천오수 토공_01.차집 토공2" xfId="1892" xr:uid="{00000000-0005-0000-0000-000062070000}"/>
    <cellStyle name="_01.여천오수 토공_01.차집 토공2_01-02.맨홀토공(OPEN-0.3)D-LINE" xfId="1893" xr:uid="{00000000-0005-0000-0000-000063070000}"/>
    <cellStyle name="_01.여천오수 토공_01.차집 토공2_01-02.맨홀토공(OPEN-0.3)D-LINE_01-02.맨홀토공(OPEN-0.3)C-LINE" xfId="1894" xr:uid="{00000000-0005-0000-0000-000064070000}"/>
    <cellStyle name="_01.여천오수 토공_01.차집 토공2_01-02.맨홀토공(OPEN-0.3)D-LINE_01-02.맨홀토공(OPEN-0.3)C-LINE_02.구조물및추진,도달기지토공(D구간)" xfId="1895" xr:uid="{00000000-0005-0000-0000-000065070000}"/>
    <cellStyle name="_01.여천오수 토공_01.차집 토공2_01-02.맨홀토공(OPEN-0.3)D-LINE_01-02.맨홀토공(OPEN-0.3)D-LINE" xfId="1896" xr:uid="{00000000-0005-0000-0000-000066070000}"/>
    <cellStyle name="_01.여천오수 토공_01.차집 토공2_01-02.맨홀토공(OPEN-0.3)D-LINE_01-02.맨홀토공(OPEN-0.3)D-LINE_02.구조물및추진,도달기지토공(D구간)" xfId="1897" xr:uid="{00000000-0005-0000-0000-000067070000}"/>
    <cellStyle name="_01.여천오수 토공_01.차집 토공2_01-02.맨홀토공(OPEN-0.3)D-LINE_02.구조물및추진,도달기지토공(D구간)" xfId="1898" xr:uid="{00000000-0005-0000-0000-000068070000}"/>
    <cellStyle name="_01.여천오수 토공_01.차집 토공2_01-3.옥구오수신설  맨홀토공(OPEN-0.3)" xfId="1899" xr:uid="{00000000-0005-0000-0000-000069070000}"/>
    <cellStyle name="_01.여천오수 토공_01.차집 토공2_01-3.옥구오수신설  맨홀토공(OPEN-0.3)_01-02.맨홀토공(OPEN-0.3)C-LINE" xfId="1900" xr:uid="{00000000-0005-0000-0000-00006A070000}"/>
    <cellStyle name="_01.여천오수 토공_01.차집 토공2_01-3.옥구오수신설  맨홀토공(OPEN-0.3)_01-02.맨홀토공(OPEN-0.3)C-LINE_02.구조물및추진,도달기지토공(D구간)" xfId="1901" xr:uid="{00000000-0005-0000-0000-00006B070000}"/>
    <cellStyle name="_01.여천오수 토공_01.차집 토공2_01-3.옥구오수신설  맨홀토공(OPEN-0.3)_01-02.맨홀토공(OPEN-0.3)D-LINE" xfId="1902" xr:uid="{00000000-0005-0000-0000-00006C070000}"/>
    <cellStyle name="_01.여천오수 토공_01.차집 토공2_01-3.옥구오수신설  맨홀토공(OPEN-0.3)_01-02.맨홀토공(OPEN-0.3)D-LINE_02.구조물및추진,도달기지토공(D구간)" xfId="1903" xr:uid="{00000000-0005-0000-0000-00006D070000}"/>
    <cellStyle name="_01.여천오수 토공_01.차집 토공2_01-3.옥구오수신설  맨홀토공(OPEN-0.3)_02.구조물및추진,도달기지토공(D구간)" xfId="1904" xr:uid="{00000000-0005-0000-0000-00006E070000}"/>
    <cellStyle name="_01.여천오수 토공_01.차집 토공2_01-3.옥서오수신설  맨홀토공(OPEN-0.3)" xfId="1905" xr:uid="{00000000-0005-0000-0000-00006F070000}"/>
    <cellStyle name="_01.여천오수 토공_01.차집 토공2_01-3.옥서오수신설  맨홀토공(OPEN-0.3)_01-02.맨홀토공(OPEN-0.3)C-LINE" xfId="1906" xr:uid="{00000000-0005-0000-0000-000070070000}"/>
    <cellStyle name="_01.여천오수 토공_01.차집 토공2_01-3.옥서오수신설  맨홀토공(OPEN-0.3)_01-02.맨홀토공(OPEN-0.3)C-LINE_02.구조물및추진,도달기지토공(D구간)" xfId="1907" xr:uid="{00000000-0005-0000-0000-000071070000}"/>
    <cellStyle name="_01.여천오수 토공_01.차집 토공2_01-3.옥서오수신설  맨홀토공(OPEN-0.3)_01-02.맨홀토공(OPEN-0.3)D-LINE" xfId="1908" xr:uid="{00000000-0005-0000-0000-000072070000}"/>
    <cellStyle name="_01.여천오수 토공_01.차집 토공2_01-3.옥서오수신설  맨홀토공(OPEN-0.3)_01-02.맨홀토공(OPEN-0.3)D-LINE_02.구조물및추진,도달기지토공(D구간)" xfId="1909" xr:uid="{00000000-0005-0000-0000-000073070000}"/>
    <cellStyle name="_01.여천오수 토공_01.차집 토공2_01-3.옥서오수신설  맨홀토공(OPEN-0.3)_02.구조물및추진,도달기지토공(D구간)" xfId="1910" xr:uid="{00000000-0005-0000-0000-000074070000}"/>
    <cellStyle name="_01.여천오수 토공_01.차집 토공2_02.구조물및추진,도달기지토공(D구간)" xfId="1911" xr:uid="{00000000-0005-0000-0000-000075070000}"/>
    <cellStyle name="_01.여천오수 토공_01-02.맨홀토공(OPEN-0.3)D-LINE" xfId="1912" xr:uid="{00000000-0005-0000-0000-000076070000}"/>
    <cellStyle name="_01.여천오수 토공_01-02.맨홀토공(OPEN-0.3)D-LINE_01-02.맨홀토공(OPEN-0.3)C-LINE" xfId="1913" xr:uid="{00000000-0005-0000-0000-000077070000}"/>
    <cellStyle name="_01.여천오수 토공_01-02.맨홀토공(OPEN-0.3)D-LINE_01-02.맨홀토공(OPEN-0.3)C-LINE_02.구조물및추진,도달기지토공(D구간)" xfId="1914" xr:uid="{00000000-0005-0000-0000-000078070000}"/>
    <cellStyle name="_01.여천오수 토공_01-02.맨홀토공(OPEN-0.3)D-LINE_01-02.맨홀토공(OPEN-0.3)D-LINE" xfId="1915" xr:uid="{00000000-0005-0000-0000-000079070000}"/>
    <cellStyle name="_01.여천오수 토공_01-02.맨홀토공(OPEN-0.3)D-LINE_01-02.맨홀토공(OPEN-0.3)D-LINE_02.구조물및추진,도달기지토공(D구간)" xfId="1916" xr:uid="{00000000-0005-0000-0000-00007A070000}"/>
    <cellStyle name="_01.여천오수 토공_01-02.맨홀토공(OPEN-0.3)D-LINE_02.구조물및추진,도달기지토공(D구간)" xfId="1917" xr:uid="{00000000-0005-0000-0000-00007B070000}"/>
    <cellStyle name="_01.여천오수 토공_01-3.옥구오수신설  맨홀토공(OPEN-0.3)" xfId="1918" xr:uid="{00000000-0005-0000-0000-00007C070000}"/>
    <cellStyle name="_01.여천오수 토공_01-3.옥구오수신설  맨홀토공(OPEN-0.3)_01-02.맨홀토공(OPEN-0.3)C-LINE" xfId="1919" xr:uid="{00000000-0005-0000-0000-00007D070000}"/>
    <cellStyle name="_01.여천오수 토공_01-3.옥구오수신설  맨홀토공(OPEN-0.3)_01-02.맨홀토공(OPEN-0.3)C-LINE_02.구조물및추진,도달기지토공(D구간)" xfId="1920" xr:uid="{00000000-0005-0000-0000-00007E070000}"/>
    <cellStyle name="_01.여천오수 토공_01-3.옥구오수신설  맨홀토공(OPEN-0.3)_01-02.맨홀토공(OPEN-0.3)D-LINE" xfId="1921" xr:uid="{00000000-0005-0000-0000-00007F070000}"/>
    <cellStyle name="_01.여천오수 토공_01-3.옥구오수신설  맨홀토공(OPEN-0.3)_01-02.맨홀토공(OPEN-0.3)D-LINE_02.구조물및추진,도달기지토공(D구간)" xfId="1922" xr:uid="{00000000-0005-0000-0000-000080070000}"/>
    <cellStyle name="_01.여천오수 토공_01-3.옥구오수신설  맨홀토공(OPEN-0.3)_02.구조물및추진,도달기지토공(D구간)" xfId="1923" xr:uid="{00000000-0005-0000-0000-000081070000}"/>
    <cellStyle name="_01.여천오수 토공_01-3.옥서오수신설  맨홀토공(OPEN-0.3)" xfId="1924" xr:uid="{00000000-0005-0000-0000-000082070000}"/>
    <cellStyle name="_01.여천오수 토공_01-3.옥서오수신설  맨홀토공(OPEN-0.3)_01-02.맨홀토공(OPEN-0.3)C-LINE" xfId="1925" xr:uid="{00000000-0005-0000-0000-000083070000}"/>
    <cellStyle name="_01.여천오수 토공_01-3.옥서오수신설  맨홀토공(OPEN-0.3)_01-02.맨홀토공(OPEN-0.3)C-LINE_02.구조물및추진,도달기지토공(D구간)" xfId="1926" xr:uid="{00000000-0005-0000-0000-000084070000}"/>
    <cellStyle name="_01.여천오수 토공_01-3.옥서오수신설  맨홀토공(OPEN-0.3)_01-02.맨홀토공(OPEN-0.3)D-LINE" xfId="1927" xr:uid="{00000000-0005-0000-0000-000085070000}"/>
    <cellStyle name="_01.여천오수 토공_01-3.옥서오수신설  맨홀토공(OPEN-0.3)_01-02.맨홀토공(OPEN-0.3)D-LINE_02.구조물및추진,도달기지토공(D구간)" xfId="1928" xr:uid="{00000000-0005-0000-0000-000086070000}"/>
    <cellStyle name="_01.여천오수 토공_01-3.옥서오수신설  맨홀토공(OPEN-0.3)_02.구조물및추진,도달기지토공(D구간)" xfId="1929" xr:uid="{00000000-0005-0000-0000-000087070000}"/>
    <cellStyle name="_01.여천오수 토공_02.구조물및추진,도달기지토공(D구간)" xfId="1930" xr:uid="{00000000-0005-0000-0000-000088070000}"/>
    <cellStyle name="_01.여천우수 토공" xfId="1931" xr:uid="{00000000-0005-0000-0000-000089070000}"/>
    <cellStyle name="_01.여천우수 토공_01-02.맨홀토공(OPEN-0.3)D-LINE" xfId="1932" xr:uid="{00000000-0005-0000-0000-00008A070000}"/>
    <cellStyle name="_01.여천우수 토공_01-02.맨홀토공(OPEN-0.3)D-LINE_01-02.맨홀토공(OPEN-0.3)C-LINE" xfId="1933" xr:uid="{00000000-0005-0000-0000-00008B070000}"/>
    <cellStyle name="_01.여천우수 토공_01-02.맨홀토공(OPEN-0.3)D-LINE_01-02.맨홀토공(OPEN-0.3)C-LINE_02.구조물및추진,도달기지토공(D구간)" xfId="1934" xr:uid="{00000000-0005-0000-0000-00008C070000}"/>
    <cellStyle name="_01.여천우수 토공_01-02.맨홀토공(OPEN-0.3)D-LINE_01-02.맨홀토공(OPEN-0.3)D-LINE" xfId="1935" xr:uid="{00000000-0005-0000-0000-00008D070000}"/>
    <cellStyle name="_01.여천우수 토공_01-02.맨홀토공(OPEN-0.3)D-LINE_01-02.맨홀토공(OPEN-0.3)D-LINE_02.구조물및추진,도달기지토공(D구간)" xfId="1936" xr:uid="{00000000-0005-0000-0000-00008E070000}"/>
    <cellStyle name="_01.여천우수 토공_01-02.맨홀토공(OPEN-0.3)D-LINE_02.구조물및추진,도달기지토공(D구간)" xfId="1937" xr:uid="{00000000-0005-0000-0000-00008F070000}"/>
    <cellStyle name="_01.여천우수 토공_01-3.옥구오수신설  맨홀토공(OPEN-0.3)" xfId="1938" xr:uid="{00000000-0005-0000-0000-000090070000}"/>
    <cellStyle name="_01.여천우수 토공_01-3.옥구오수신설  맨홀토공(OPEN-0.3)_01-02.맨홀토공(OPEN-0.3)C-LINE" xfId="1939" xr:uid="{00000000-0005-0000-0000-000091070000}"/>
    <cellStyle name="_01.여천우수 토공_01-3.옥구오수신설  맨홀토공(OPEN-0.3)_01-02.맨홀토공(OPEN-0.3)C-LINE_02.구조물및추진,도달기지토공(D구간)" xfId="1940" xr:uid="{00000000-0005-0000-0000-000092070000}"/>
    <cellStyle name="_01.여천우수 토공_01-3.옥구오수신설  맨홀토공(OPEN-0.3)_01-02.맨홀토공(OPEN-0.3)D-LINE" xfId="1941" xr:uid="{00000000-0005-0000-0000-000093070000}"/>
    <cellStyle name="_01.여천우수 토공_01-3.옥구오수신설  맨홀토공(OPEN-0.3)_01-02.맨홀토공(OPEN-0.3)D-LINE_02.구조물및추진,도달기지토공(D구간)" xfId="1942" xr:uid="{00000000-0005-0000-0000-000094070000}"/>
    <cellStyle name="_01.여천우수 토공_01-3.옥구오수신설  맨홀토공(OPEN-0.3)_02.구조물및추진,도달기지토공(D구간)" xfId="1943" xr:uid="{00000000-0005-0000-0000-000095070000}"/>
    <cellStyle name="_01.여천우수 토공_01-3.옥서오수신설  맨홀토공(OPEN-0.3)" xfId="1944" xr:uid="{00000000-0005-0000-0000-000096070000}"/>
    <cellStyle name="_01.여천우수 토공_01-3.옥서오수신설  맨홀토공(OPEN-0.3)_01-02.맨홀토공(OPEN-0.3)C-LINE" xfId="1945" xr:uid="{00000000-0005-0000-0000-000097070000}"/>
    <cellStyle name="_01.여천우수 토공_01-3.옥서오수신설  맨홀토공(OPEN-0.3)_01-02.맨홀토공(OPEN-0.3)C-LINE_02.구조물및추진,도달기지토공(D구간)" xfId="1946" xr:uid="{00000000-0005-0000-0000-000098070000}"/>
    <cellStyle name="_01.여천우수 토공_01-3.옥서오수신설  맨홀토공(OPEN-0.3)_01-02.맨홀토공(OPEN-0.3)D-LINE" xfId="1947" xr:uid="{00000000-0005-0000-0000-000099070000}"/>
    <cellStyle name="_01.여천우수 토공_01-3.옥서오수신설  맨홀토공(OPEN-0.3)_01-02.맨홀토공(OPEN-0.3)D-LINE_02.구조물및추진,도달기지토공(D구간)" xfId="1948" xr:uid="{00000000-0005-0000-0000-00009A070000}"/>
    <cellStyle name="_01.여천우수 토공_01-3.옥서오수신설  맨홀토공(OPEN-0.3)_02.구조물및추진,도달기지토공(D구간)" xfId="1949" xr:uid="{00000000-0005-0000-0000-00009B070000}"/>
    <cellStyle name="_01.여천우수 토공_02.구조물및추진,도달기지토공(D구간)" xfId="1950" xr:uid="{00000000-0005-0000-0000-00009C070000}"/>
    <cellStyle name="_01.옥구오수 토공" xfId="1951" xr:uid="{00000000-0005-0000-0000-00009D070000}"/>
    <cellStyle name="_01.옥구오수 토공_01-02.맨홀토공(OPEN-0.3)D-LINE" xfId="1952" xr:uid="{00000000-0005-0000-0000-00009E070000}"/>
    <cellStyle name="_01.옥구오수 토공_01-02.맨홀토공(OPEN-0.3)D-LINE_01-02.맨홀토공(OPEN-0.3)C-LINE" xfId="1953" xr:uid="{00000000-0005-0000-0000-00009F070000}"/>
    <cellStyle name="_01.옥구오수 토공_01-02.맨홀토공(OPEN-0.3)D-LINE_01-02.맨홀토공(OPEN-0.3)C-LINE_02.구조물및추진,도달기지토공(D구간)" xfId="1954" xr:uid="{00000000-0005-0000-0000-0000A0070000}"/>
    <cellStyle name="_01.옥구오수 토공_01-02.맨홀토공(OPEN-0.3)D-LINE_01-02.맨홀토공(OPEN-0.3)D-LINE" xfId="1955" xr:uid="{00000000-0005-0000-0000-0000A1070000}"/>
    <cellStyle name="_01.옥구오수 토공_01-02.맨홀토공(OPEN-0.3)D-LINE_01-02.맨홀토공(OPEN-0.3)D-LINE_02.구조물및추진,도달기지토공(D구간)" xfId="1956" xr:uid="{00000000-0005-0000-0000-0000A2070000}"/>
    <cellStyle name="_01.옥구오수 토공_01-02.맨홀토공(OPEN-0.3)D-LINE_02.구조물및추진,도달기지토공(D구간)" xfId="1957" xr:uid="{00000000-0005-0000-0000-0000A3070000}"/>
    <cellStyle name="_01.옥구오수 토공_01-3.옥구오수신설  맨홀토공(OPEN-0.3)" xfId="1958" xr:uid="{00000000-0005-0000-0000-0000A4070000}"/>
    <cellStyle name="_01.옥구오수 토공_01-3.옥구오수신설  맨홀토공(OPEN-0.3)_01-02.맨홀토공(OPEN-0.3)C-LINE" xfId="1959" xr:uid="{00000000-0005-0000-0000-0000A5070000}"/>
    <cellStyle name="_01.옥구오수 토공_01-3.옥구오수신설  맨홀토공(OPEN-0.3)_01-02.맨홀토공(OPEN-0.3)C-LINE_02.구조물및추진,도달기지토공(D구간)" xfId="1960" xr:uid="{00000000-0005-0000-0000-0000A6070000}"/>
    <cellStyle name="_01.옥구오수 토공_01-3.옥구오수신설  맨홀토공(OPEN-0.3)_01-02.맨홀토공(OPEN-0.3)D-LINE" xfId="1961" xr:uid="{00000000-0005-0000-0000-0000A7070000}"/>
    <cellStyle name="_01.옥구오수 토공_01-3.옥구오수신설  맨홀토공(OPEN-0.3)_01-02.맨홀토공(OPEN-0.3)D-LINE_02.구조물및추진,도달기지토공(D구간)" xfId="1962" xr:uid="{00000000-0005-0000-0000-0000A8070000}"/>
    <cellStyle name="_01.옥구오수 토공_01-3.옥구오수신설  맨홀토공(OPEN-0.3)_02.구조물및추진,도달기지토공(D구간)" xfId="1963" xr:uid="{00000000-0005-0000-0000-0000A9070000}"/>
    <cellStyle name="_01.옥구오수 토공_01-3.옥서오수신설  맨홀토공(OPEN-0.3)" xfId="1964" xr:uid="{00000000-0005-0000-0000-0000AA070000}"/>
    <cellStyle name="_01.옥구오수 토공_01-3.옥서오수신설  맨홀토공(OPEN-0.3)_01-02.맨홀토공(OPEN-0.3)C-LINE" xfId="1965" xr:uid="{00000000-0005-0000-0000-0000AB070000}"/>
    <cellStyle name="_01.옥구오수 토공_01-3.옥서오수신설  맨홀토공(OPEN-0.3)_01-02.맨홀토공(OPEN-0.3)C-LINE_02.구조물및추진,도달기지토공(D구간)" xfId="1966" xr:uid="{00000000-0005-0000-0000-0000AC070000}"/>
    <cellStyle name="_01.옥구오수 토공_01-3.옥서오수신설  맨홀토공(OPEN-0.3)_01-02.맨홀토공(OPEN-0.3)D-LINE" xfId="1967" xr:uid="{00000000-0005-0000-0000-0000AD070000}"/>
    <cellStyle name="_01.옥구오수 토공_01-3.옥서오수신설  맨홀토공(OPEN-0.3)_01-02.맨홀토공(OPEN-0.3)D-LINE_02.구조물및추진,도달기지토공(D구간)" xfId="1968" xr:uid="{00000000-0005-0000-0000-0000AE070000}"/>
    <cellStyle name="_01.옥구오수 토공_01-3.옥서오수신설  맨홀토공(OPEN-0.3)_02.구조물및추진,도달기지토공(D구간)" xfId="1969" xr:uid="{00000000-0005-0000-0000-0000AF070000}"/>
    <cellStyle name="_01.옥구오수 토공_02.구조물및추진,도달기지토공(D구간)" xfId="1970" xr:uid="{00000000-0005-0000-0000-0000B0070000}"/>
    <cellStyle name="_01.옥서오수 토공" xfId="1971" xr:uid="{00000000-0005-0000-0000-0000B1070000}"/>
    <cellStyle name="_01.옥서오수 토공_01-02.맨홀토공(OPEN-0.3)D-LINE" xfId="1972" xr:uid="{00000000-0005-0000-0000-0000B2070000}"/>
    <cellStyle name="_01.옥서오수 토공_01-02.맨홀토공(OPEN-0.3)D-LINE_01-02.맨홀토공(OPEN-0.3)C-LINE" xfId="1973" xr:uid="{00000000-0005-0000-0000-0000B3070000}"/>
    <cellStyle name="_01.옥서오수 토공_01-02.맨홀토공(OPEN-0.3)D-LINE_01-02.맨홀토공(OPEN-0.3)C-LINE_02.구조물및추진,도달기지토공(D구간)" xfId="1974" xr:uid="{00000000-0005-0000-0000-0000B4070000}"/>
    <cellStyle name="_01.옥서오수 토공_01-02.맨홀토공(OPEN-0.3)D-LINE_01-02.맨홀토공(OPEN-0.3)D-LINE" xfId="1975" xr:uid="{00000000-0005-0000-0000-0000B5070000}"/>
    <cellStyle name="_01.옥서오수 토공_01-02.맨홀토공(OPEN-0.3)D-LINE_01-02.맨홀토공(OPEN-0.3)D-LINE_02.구조물및추진,도달기지토공(D구간)" xfId="1976" xr:uid="{00000000-0005-0000-0000-0000B6070000}"/>
    <cellStyle name="_01.옥서오수 토공_01-02.맨홀토공(OPEN-0.3)D-LINE_02.구조물및추진,도달기지토공(D구간)" xfId="1977" xr:uid="{00000000-0005-0000-0000-0000B7070000}"/>
    <cellStyle name="_01.옥서오수 토공_01-3.옥구오수신설  맨홀토공(OPEN-0.3)" xfId="1978" xr:uid="{00000000-0005-0000-0000-0000B8070000}"/>
    <cellStyle name="_01.옥서오수 토공_01-3.옥구오수신설  맨홀토공(OPEN-0.3)_01-02.맨홀토공(OPEN-0.3)C-LINE" xfId="1979" xr:uid="{00000000-0005-0000-0000-0000B9070000}"/>
    <cellStyle name="_01.옥서오수 토공_01-3.옥구오수신설  맨홀토공(OPEN-0.3)_01-02.맨홀토공(OPEN-0.3)C-LINE_02.구조물및추진,도달기지토공(D구간)" xfId="1980" xr:uid="{00000000-0005-0000-0000-0000BA070000}"/>
    <cellStyle name="_01.옥서오수 토공_01-3.옥구오수신설  맨홀토공(OPEN-0.3)_01-02.맨홀토공(OPEN-0.3)D-LINE" xfId="1981" xr:uid="{00000000-0005-0000-0000-0000BB070000}"/>
    <cellStyle name="_01.옥서오수 토공_01-3.옥구오수신설  맨홀토공(OPEN-0.3)_01-02.맨홀토공(OPEN-0.3)D-LINE_02.구조물및추진,도달기지토공(D구간)" xfId="1982" xr:uid="{00000000-0005-0000-0000-0000BC070000}"/>
    <cellStyle name="_01.옥서오수 토공_01-3.옥구오수신설  맨홀토공(OPEN-0.3)_02.구조물및추진,도달기지토공(D구간)" xfId="1983" xr:uid="{00000000-0005-0000-0000-0000BD070000}"/>
    <cellStyle name="_01.옥서오수 토공_01-3.옥서오수신설  맨홀토공(OPEN-0.3)" xfId="1984" xr:uid="{00000000-0005-0000-0000-0000BE070000}"/>
    <cellStyle name="_01.옥서오수 토공_01-3.옥서오수신설  맨홀토공(OPEN-0.3)_01-02.맨홀토공(OPEN-0.3)C-LINE" xfId="1985" xr:uid="{00000000-0005-0000-0000-0000BF070000}"/>
    <cellStyle name="_01.옥서오수 토공_01-3.옥서오수신설  맨홀토공(OPEN-0.3)_01-02.맨홀토공(OPEN-0.3)C-LINE_02.구조물및추진,도달기지토공(D구간)" xfId="1986" xr:uid="{00000000-0005-0000-0000-0000C0070000}"/>
    <cellStyle name="_01.옥서오수 토공_01-3.옥서오수신설  맨홀토공(OPEN-0.3)_01-02.맨홀토공(OPEN-0.3)D-LINE" xfId="1987" xr:uid="{00000000-0005-0000-0000-0000C1070000}"/>
    <cellStyle name="_01.옥서오수 토공_01-3.옥서오수신설  맨홀토공(OPEN-0.3)_01-02.맨홀토공(OPEN-0.3)D-LINE_02.구조물및추진,도달기지토공(D구간)" xfId="1988" xr:uid="{00000000-0005-0000-0000-0000C2070000}"/>
    <cellStyle name="_01.옥서오수 토공_01-3.옥서오수신설  맨홀토공(OPEN-0.3)_02.구조물및추진,도달기지토공(D구간)" xfId="1989" xr:uid="{00000000-0005-0000-0000-0000C3070000}"/>
    <cellStyle name="_01.옥서오수 토공_02.구조물및추진,도달기지토공(D구간)" xfId="1990" xr:uid="{00000000-0005-0000-0000-0000C4070000}"/>
    <cellStyle name="_01.차도1교자재및수량총괄집계" xfId="1991" xr:uid="{00000000-0005-0000-0000-0000C5070000}"/>
    <cellStyle name="_01.차도1교자재및수량총괄집계_변경내역서(의왕수도정비)-07.12.10(보할수정)-김후호수정" xfId="1992" xr:uid="{00000000-0005-0000-0000-0000C6070000}"/>
    <cellStyle name="_01.차도1교자재및수량총괄집계_변경예정공정표(최종)" xfId="1993" xr:uid="{00000000-0005-0000-0000-0000C7070000}"/>
    <cellStyle name="_01.차도1교자재및수량총괄집계_설계예" xfId="1994" xr:uid="{00000000-0005-0000-0000-0000C8070000}"/>
    <cellStyle name="_01.차도1교자재및수량총괄집계_설계예_변경내역서(의왕수도정비)-07.12.10(보할수정)-김후호수정" xfId="1995" xr:uid="{00000000-0005-0000-0000-0000C9070000}"/>
    <cellStyle name="_01.차도1교자재및수량총괄집계_설계예_변경예정공정표(최종)" xfId="1996" xr:uid="{00000000-0005-0000-0000-0000CA070000}"/>
    <cellStyle name="_01.차집 토공" xfId="1997" xr:uid="{00000000-0005-0000-0000-0000CB070000}"/>
    <cellStyle name="_01.차집 토공_01.차집 토공" xfId="1998" xr:uid="{00000000-0005-0000-0000-0000CC070000}"/>
    <cellStyle name="_01.차집 토공_01.차집 토공_01.차집 토공" xfId="1999" xr:uid="{00000000-0005-0000-0000-0000CD070000}"/>
    <cellStyle name="_01.차집 토공_01.차집 토공_01.차집 토공_01.차집 토공2" xfId="2000" xr:uid="{00000000-0005-0000-0000-0000CE070000}"/>
    <cellStyle name="_01.차집 토공_01.차집 토공_01.차집 토공_01.차집 토공2_01-02.맨홀토공(OPEN-0.3)D-LINE" xfId="2001" xr:uid="{00000000-0005-0000-0000-0000CF070000}"/>
    <cellStyle name="_01.차집 토공_01.차집 토공_01.차집 토공_01.차집 토공2_01-02.맨홀토공(OPEN-0.3)D-LINE_01-02.맨홀토공(OPEN-0.3)C-LINE" xfId="2002" xr:uid="{00000000-0005-0000-0000-0000D0070000}"/>
    <cellStyle name="_01.차집 토공_01.차집 토공_01.차집 토공_01.차집 토공2_01-02.맨홀토공(OPEN-0.3)D-LINE_01-02.맨홀토공(OPEN-0.3)C-LINE_02.구조물및추진,도달기지토공(D구간)" xfId="2003" xr:uid="{00000000-0005-0000-0000-0000D1070000}"/>
    <cellStyle name="_01.차집 토공_01.차집 토공_01.차집 토공_01.차집 토공2_01-02.맨홀토공(OPEN-0.3)D-LINE_01-02.맨홀토공(OPEN-0.3)D-LINE" xfId="2004" xr:uid="{00000000-0005-0000-0000-0000D2070000}"/>
    <cellStyle name="_01.차집 토공_01.차집 토공_01.차집 토공_01.차집 토공2_01-02.맨홀토공(OPEN-0.3)D-LINE_01-02.맨홀토공(OPEN-0.3)D-LINE_02.구조물및추진,도달기지토공(D구간)" xfId="2005" xr:uid="{00000000-0005-0000-0000-0000D3070000}"/>
    <cellStyle name="_01.차집 토공_01.차집 토공_01.차집 토공_01.차집 토공2_01-02.맨홀토공(OPEN-0.3)D-LINE_02.구조물및추진,도달기지토공(D구간)" xfId="2006" xr:uid="{00000000-0005-0000-0000-0000D4070000}"/>
    <cellStyle name="_01.차집 토공_01.차집 토공_01.차집 토공_01.차집 토공2_01-3.옥구오수신설  맨홀토공(OPEN-0.3)" xfId="2007" xr:uid="{00000000-0005-0000-0000-0000D5070000}"/>
    <cellStyle name="_01.차집 토공_01.차집 토공_01.차집 토공_01.차집 토공2_01-3.옥구오수신설  맨홀토공(OPEN-0.3)_01-02.맨홀토공(OPEN-0.3)C-LINE" xfId="2008" xr:uid="{00000000-0005-0000-0000-0000D6070000}"/>
    <cellStyle name="_01.차집 토공_01.차집 토공_01.차집 토공_01.차집 토공2_01-3.옥구오수신설  맨홀토공(OPEN-0.3)_01-02.맨홀토공(OPEN-0.3)C-LINE_02.구조물및추진,도달기지토공(D구간)" xfId="2009" xr:uid="{00000000-0005-0000-0000-0000D7070000}"/>
    <cellStyle name="_01.차집 토공_01.차집 토공_01.차집 토공_01.차집 토공2_01-3.옥구오수신설  맨홀토공(OPEN-0.3)_01-02.맨홀토공(OPEN-0.3)D-LINE" xfId="2010" xr:uid="{00000000-0005-0000-0000-0000D8070000}"/>
    <cellStyle name="_01.차집 토공_01.차집 토공_01.차집 토공_01.차집 토공2_01-3.옥구오수신설  맨홀토공(OPEN-0.3)_01-02.맨홀토공(OPEN-0.3)D-LINE_02.구조물및추진,도달기지토공(D구간)" xfId="2011" xr:uid="{00000000-0005-0000-0000-0000D9070000}"/>
    <cellStyle name="_01.차집 토공_01.차집 토공_01.차집 토공_01.차집 토공2_01-3.옥구오수신설  맨홀토공(OPEN-0.3)_02.구조물및추진,도달기지토공(D구간)" xfId="2012" xr:uid="{00000000-0005-0000-0000-0000DA070000}"/>
    <cellStyle name="_01.차집 토공_01.차집 토공_01.차집 토공_01.차집 토공2_01-3.옥서오수신설  맨홀토공(OPEN-0.3)" xfId="2013" xr:uid="{00000000-0005-0000-0000-0000DB070000}"/>
    <cellStyle name="_01.차집 토공_01.차집 토공_01.차집 토공_01.차집 토공2_01-3.옥서오수신설  맨홀토공(OPEN-0.3)_01-02.맨홀토공(OPEN-0.3)C-LINE" xfId="2014" xr:uid="{00000000-0005-0000-0000-0000DC070000}"/>
    <cellStyle name="_01.차집 토공_01.차집 토공_01.차집 토공_01.차집 토공2_01-3.옥서오수신설  맨홀토공(OPEN-0.3)_01-02.맨홀토공(OPEN-0.3)C-LINE_02.구조물및추진,도달기지토공(D구간)" xfId="2015" xr:uid="{00000000-0005-0000-0000-0000DD070000}"/>
    <cellStyle name="_01.차집 토공_01.차집 토공_01.차집 토공_01.차집 토공2_01-3.옥서오수신설  맨홀토공(OPEN-0.3)_01-02.맨홀토공(OPEN-0.3)D-LINE" xfId="2016" xr:uid="{00000000-0005-0000-0000-0000DE070000}"/>
    <cellStyle name="_01.차집 토공_01.차집 토공_01.차집 토공_01.차집 토공2_01-3.옥서오수신설  맨홀토공(OPEN-0.3)_01-02.맨홀토공(OPEN-0.3)D-LINE_02.구조물및추진,도달기지토공(D구간)" xfId="2017" xr:uid="{00000000-0005-0000-0000-0000DF070000}"/>
    <cellStyle name="_01.차집 토공_01.차집 토공_01.차집 토공_01.차집 토공2_01-3.옥서오수신설  맨홀토공(OPEN-0.3)_02.구조물및추진,도달기지토공(D구간)" xfId="2018" xr:uid="{00000000-0005-0000-0000-0000E0070000}"/>
    <cellStyle name="_01.차집 토공_01.차집 토공_01.차집 토공_01.차집 토공2_02.구조물및추진,도달기지토공(D구간)" xfId="2019" xr:uid="{00000000-0005-0000-0000-0000E1070000}"/>
    <cellStyle name="_01.차집 토공_01.차집 토공_01.차집 토공_01-02.맨홀토공(OPEN-0.3)D-LINE" xfId="2020" xr:uid="{00000000-0005-0000-0000-0000E2070000}"/>
    <cellStyle name="_01.차집 토공_01.차집 토공_01.차집 토공_01-02.맨홀토공(OPEN-0.3)D-LINE_01-02.맨홀토공(OPEN-0.3)C-LINE" xfId="2021" xr:uid="{00000000-0005-0000-0000-0000E3070000}"/>
    <cellStyle name="_01.차집 토공_01.차집 토공_01.차집 토공_01-02.맨홀토공(OPEN-0.3)D-LINE_01-02.맨홀토공(OPEN-0.3)C-LINE_02.구조물및추진,도달기지토공(D구간)" xfId="2022" xr:uid="{00000000-0005-0000-0000-0000E4070000}"/>
    <cellStyle name="_01.차집 토공_01.차집 토공_01.차집 토공_01-02.맨홀토공(OPEN-0.3)D-LINE_01-02.맨홀토공(OPEN-0.3)D-LINE" xfId="2023" xr:uid="{00000000-0005-0000-0000-0000E5070000}"/>
    <cellStyle name="_01.차집 토공_01.차집 토공_01.차집 토공_01-02.맨홀토공(OPEN-0.3)D-LINE_01-02.맨홀토공(OPEN-0.3)D-LINE_02.구조물및추진,도달기지토공(D구간)" xfId="2024" xr:uid="{00000000-0005-0000-0000-0000E6070000}"/>
    <cellStyle name="_01.차집 토공_01.차집 토공_01.차집 토공_01-02.맨홀토공(OPEN-0.3)D-LINE_02.구조물및추진,도달기지토공(D구간)" xfId="2025" xr:uid="{00000000-0005-0000-0000-0000E7070000}"/>
    <cellStyle name="_01.차집 토공_01.차집 토공_01.차집 토공_01-3.옥구오수신설  맨홀토공(OPEN-0.3)" xfId="2026" xr:uid="{00000000-0005-0000-0000-0000E8070000}"/>
    <cellStyle name="_01.차집 토공_01.차집 토공_01.차집 토공_01-3.옥구오수신설  맨홀토공(OPEN-0.3)_01-02.맨홀토공(OPEN-0.3)C-LINE" xfId="2027" xr:uid="{00000000-0005-0000-0000-0000E9070000}"/>
    <cellStyle name="_01.차집 토공_01.차집 토공_01.차집 토공_01-3.옥구오수신설  맨홀토공(OPEN-0.3)_01-02.맨홀토공(OPEN-0.3)C-LINE_02.구조물및추진,도달기지토공(D구간)" xfId="2028" xr:uid="{00000000-0005-0000-0000-0000EA070000}"/>
    <cellStyle name="_01.차집 토공_01.차집 토공_01.차집 토공_01-3.옥구오수신설  맨홀토공(OPEN-0.3)_01-02.맨홀토공(OPEN-0.3)D-LINE" xfId="2029" xr:uid="{00000000-0005-0000-0000-0000EB070000}"/>
    <cellStyle name="_01.차집 토공_01.차집 토공_01.차집 토공_01-3.옥구오수신설  맨홀토공(OPEN-0.3)_01-02.맨홀토공(OPEN-0.3)D-LINE_02.구조물및추진,도달기지토공(D구간)" xfId="2030" xr:uid="{00000000-0005-0000-0000-0000EC070000}"/>
    <cellStyle name="_01.차집 토공_01.차집 토공_01.차집 토공_01-3.옥구오수신설  맨홀토공(OPEN-0.3)_02.구조물및추진,도달기지토공(D구간)" xfId="2031" xr:uid="{00000000-0005-0000-0000-0000ED070000}"/>
    <cellStyle name="_01.차집 토공_01.차집 토공_01.차집 토공_01-3.옥서오수신설  맨홀토공(OPEN-0.3)" xfId="2032" xr:uid="{00000000-0005-0000-0000-0000EE070000}"/>
    <cellStyle name="_01.차집 토공_01.차집 토공_01.차집 토공_01-3.옥서오수신설  맨홀토공(OPEN-0.3)_01-02.맨홀토공(OPEN-0.3)C-LINE" xfId="2033" xr:uid="{00000000-0005-0000-0000-0000EF070000}"/>
    <cellStyle name="_01.차집 토공_01.차집 토공_01.차집 토공_01-3.옥서오수신설  맨홀토공(OPEN-0.3)_01-02.맨홀토공(OPEN-0.3)C-LINE_02.구조물및추진,도달기지토공(D구간)" xfId="2034" xr:uid="{00000000-0005-0000-0000-0000F0070000}"/>
    <cellStyle name="_01.차집 토공_01.차집 토공_01.차집 토공_01-3.옥서오수신설  맨홀토공(OPEN-0.3)_01-02.맨홀토공(OPEN-0.3)D-LINE" xfId="2035" xr:uid="{00000000-0005-0000-0000-0000F1070000}"/>
    <cellStyle name="_01.차집 토공_01.차집 토공_01.차집 토공_01-3.옥서오수신설  맨홀토공(OPEN-0.3)_01-02.맨홀토공(OPEN-0.3)D-LINE_02.구조물및추진,도달기지토공(D구간)" xfId="2036" xr:uid="{00000000-0005-0000-0000-0000F2070000}"/>
    <cellStyle name="_01.차집 토공_01.차집 토공_01.차집 토공_01-3.옥서오수신설  맨홀토공(OPEN-0.3)_02.구조물및추진,도달기지토공(D구간)" xfId="2037" xr:uid="{00000000-0005-0000-0000-0000F3070000}"/>
    <cellStyle name="_01.차집 토공_01.차집 토공_01.차집 토공_02.구조물및추진,도달기지토공(D구간)" xfId="2038" xr:uid="{00000000-0005-0000-0000-0000F4070000}"/>
    <cellStyle name="_01.차집 토공_01.차집 토공_01-02.맨홀토공(OPEN-0.3)D-LINE" xfId="2039" xr:uid="{00000000-0005-0000-0000-0000F5070000}"/>
    <cellStyle name="_01.차집 토공_01.차집 토공_01-02.맨홀토공(OPEN-0.3)D-LINE_01-02.맨홀토공(OPEN-0.3)C-LINE" xfId="2040" xr:uid="{00000000-0005-0000-0000-0000F6070000}"/>
    <cellStyle name="_01.차집 토공_01.차집 토공_01-02.맨홀토공(OPEN-0.3)D-LINE_01-02.맨홀토공(OPEN-0.3)C-LINE_02.구조물및추진,도달기지토공(D구간)" xfId="2041" xr:uid="{00000000-0005-0000-0000-0000F7070000}"/>
    <cellStyle name="_01.차집 토공_01.차집 토공_01-02.맨홀토공(OPEN-0.3)D-LINE_01-02.맨홀토공(OPEN-0.3)D-LINE" xfId="2042" xr:uid="{00000000-0005-0000-0000-0000F8070000}"/>
    <cellStyle name="_01.차집 토공_01.차집 토공_01-02.맨홀토공(OPEN-0.3)D-LINE_01-02.맨홀토공(OPEN-0.3)D-LINE_02.구조물및추진,도달기지토공(D구간)" xfId="2043" xr:uid="{00000000-0005-0000-0000-0000F9070000}"/>
    <cellStyle name="_01.차집 토공_01.차집 토공_01-02.맨홀토공(OPEN-0.3)D-LINE_02.구조물및추진,도달기지토공(D구간)" xfId="2044" xr:uid="{00000000-0005-0000-0000-0000FA070000}"/>
    <cellStyle name="_01.차집 토공_01.차집 토공_01-3.옥구오수신설  맨홀토공(OPEN-0.3)" xfId="2045" xr:uid="{00000000-0005-0000-0000-0000FB070000}"/>
    <cellStyle name="_01.차집 토공_01.차집 토공_01-3.옥구오수신설  맨홀토공(OPEN-0.3)_01-02.맨홀토공(OPEN-0.3)C-LINE" xfId="2046" xr:uid="{00000000-0005-0000-0000-0000FC070000}"/>
    <cellStyle name="_01.차집 토공_01.차집 토공_01-3.옥구오수신설  맨홀토공(OPEN-0.3)_01-02.맨홀토공(OPEN-0.3)C-LINE_02.구조물및추진,도달기지토공(D구간)" xfId="2047" xr:uid="{00000000-0005-0000-0000-0000FD070000}"/>
    <cellStyle name="_01.차집 토공_01.차집 토공_01-3.옥구오수신설  맨홀토공(OPEN-0.3)_01-02.맨홀토공(OPEN-0.3)D-LINE" xfId="2048" xr:uid="{00000000-0005-0000-0000-0000FE070000}"/>
    <cellStyle name="_01.차집 토공_01.차집 토공_01-3.옥구오수신설  맨홀토공(OPEN-0.3)_01-02.맨홀토공(OPEN-0.3)D-LINE_02.구조물및추진,도달기지토공(D구간)" xfId="2049" xr:uid="{00000000-0005-0000-0000-0000FF070000}"/>
    <cellStyle name="_01.차집 토공_01.차집 토공_01-3.옥구오수신설  맨홀토공(OPEN-0.3)_02.구조물및추진,도달기지토공(D구간)" xfId="2050" xr:uid="{00000000-0005-0000-0000-000000080000}"/>
    <cellStyle name="_01.차집 토공_01.차집 토공_01-3.옥서오수신설  맨홀토공(OPEN-0.3)" xfId="2051" xr:uid="{00000000-0005-0000-0000-000001080000}"/>
    <cellStyle name="_01.차집 토공_01.차집 토공_01-3.옥서오수신설  맨홀토공(OPEN-0.3)_01-02.맨홀토공(OPEN-0.3)C-LINE" xfId="2052" xr:uid="{00000000-0005-0000-0000-000002080000}"/>
    <cellStyle name="_01.차집 토공_01.차집 토공_01-3.옥서오수신설  맨홀토공(OPEN-0.3)_01-02.맨홀토공(OPEN-0.3)C-LINE_02.구조물및추진,도달기지토공(D구간)" xfId="2053" xr:uid="{00000000-0005-0000-0000-000003080000}"/>
    <cellStyle name="_01.차집 토공_01.차집 토공_01-3.옥서오수신설  맨홀토공(OPEN-0.3)_01-02.맨홀토공(OPEN-0.3)D-LINE" xfId="2054" xr:uid="{00000000-0005-0000-0000-000004080000}"/>
    <cellStyle name="_01.차집 토공_01.차집 토공_01-3.옥서오수신설  맨홀토공(OPEN-0.3)_01-02.맨홀토공(OPEN-0.3)D-LINE_02.구조물및추진,도달기지토공(D구간)" xfId="2055" xr:uid="{00000000-0005-0000-0000-000005080000}"/>
    <cellStyle name="_01.차집 토공_01.차집 토공_01-3.옥서오수신설  맨홀토공(OPEN-0.3)_02.구조물및추진,도달기지토공(D구간)" xfId="2056" xr:uid="{00000000-0005-0000-0000-000006080000}"/>
    <cellStyle name="_01.차집 토공_01.차집 토공_02.구조물및추진,도달기지토공(D구간)" xfId="2057" xr:uid="{00000000-0005-0000-0000-000007080000}"/>
    <cellStyle name="_01.차집 토공_01.차집 토공2" xfId="2058" xr:uid="{00000000-0005-0000-0000-000008080000}"/>
    <cellStyle name="_01.차집 토공_01.차집 토공2_01-02.맨홀토공(OPEN-0.3)D-LINE" xfId="2059" xr:uid="{00000000-0005-0000-0000-000009080000}"/>
    <cellStyle name="_01.차집 토공_01.차집 토공2_01-02.맨홀토공(OPEN-0.3)D-LINE_01-02.맨홀토공(OPEN-0.3)C-LINE" xfId="2060" xr:uid="{00000000-0005-0000-0000-00000A080000}"/>
    <cellStyle name="_01.차집 토공_01.차집 토공2_01-02.맨홀토공(OPEN-0.3)D-LINE_01-02.맨홀토공(OPEN-0.3)C-LINE_02.구조물및추진,도달기지토공(D구간)" xfId="2061" xr:uid="{00000000-0005-0000-0000-00000B080000}"/>
    <cellStyle name="_01.차집 토공_01.차집 토공2_01-02.맨홀토공(OPEN-0.3)D-LINE_01-02.맨홀토공(OPEN-0.3)D-LINE" xfId="2062" xr:uid="{00000000-0005-0000-0000-00000C080000}"/>
    <cellStyle name="_01.차집 토공_01.차집 토공2_01-02.맨홀토공(OPEN-0.3)D-LINE_01-02.맨홀토공(OPEN-0.3)D-LINE_02.구조물및추진,도달기지토공(D구간)" xfId="2063" xr:uid="{00000000-0005-0000-0000-00000D080000}"/>
    <cellStyle name="_01.차집 토공_01.차집 토공2_01-02.맨홀토공(OPEN-0.3)D-LINE_02.구조물및추진,도달기지토공(D구간)" xfId="2064" xr:uid="{00000000-0005-0000-0000-00000E080000}"/>
    <cellStyle name="_01.차집 토공_01.차집 토공2_01-3.옥구오수신설  맨홀토공(OPEN-0.3)" xfId="2065" xr:uid="{00000000-0005-0000-0000-00000F080000}"/>
    <cellStyle name="_01.차집 토공_01.차집 토공2_01-3.옥구오수신설  맨홀토공(OPEN-0.3)_01-02.맨홀토공(OPEN-0.3)C-LINE" xfId="2066" xr:uid="{00000000-0005-0000-0000-000010080000}"/>
    <cellStyle name="_01.차집 토공_01.차집 토공2_01-3.옥구오수신설  맨홀토공(OPEN-0.3)_01-02.맨홀토공(OPEN-0.3)C-LINE_02.구조물및추진,도달기지토공(D구간)" xfId="2067" xr:uid="{00000000-0005-0000-0000-000011080000}"/>
    <cellStyle name="_01.차집 토공_01.차집 토공2_01-3.옥구오수신설  맨홀토공(OPEN-0.3)_01-02.맨홀토공(OPEN-0.3)D-LINE" xfId="2068" xr:uid="{00000000-0005-0000-0000-000012080000}"/>
    <cellStyle name="_01.차집 토공_01.차집 토공2_01-3.옥구오수신설  맨홀토공(OPEN-0.3)_01-02.맨홀토공(OPEN-0.3)D-LINE_02.구조물및추진,도달기지토공(D구간)" xfId="2069" xr:uid="{00000000-0005-0000-0000-000013080000}"/>
    <cellStyle name="_01.차집 토공_01.차집 토공2_01-3.옥구오수신설  맨홀토공(OPEN-0.3)_02.구조물및추진,도달기지토공(D구간)" xfId="2070" xr:uid="{00000000-0005-0000-0000-000014080000}"/>
    <cellStyle name="_01.차집 토공_01.차집 토공2_01-3.옥서오수신설  맨홀토공(OPEN-0.3)" xfId="2071" xr:uid="{00000000-0005-0000-0000-000015080000}"/>
    <cellStyle name="_01.차집 토공_01.차집 토공2_01-3.옥서오수신설  맨홀토공(OPEN-0.3)_01-02.맨홀토공(OPEN-0.3)C-LINE" xfId="2072" xr:uid="{00000000-0005-0000-0000-000016080000}"/>
    <cellStyle name="_01.차집 토공_01.차집 토공2_01-3.옥서오수신설  맨홀토공(OPEN-0.3)_01-02.맨홀토공(OPEN-0.3)C-LINE_02.구조물및추진,도달기지토공(D구간)" xfId="2073" xr:uid="{00000000-0005-0000-0000-000017080000}"/>
    <cellStyle name="_01.차집 토공_01.차집 토공2_01-3.옥서오수신설  맨홀토공(OPEN-0.3)_01-02.맨홀토공(OPEN-0.3)D-LINE" xfId="2074" xr:uid="{00000000-0005-0000-0000-000018080000}"/>
    <cellStyle name="_01.차집 토공_01.차집 토공2_01-3.옥서오수신설  맨홀토공(OPEN-0.3)_01-02.맨홀토공(OPEN-0.3)D-LINE_02.구조물및추진,도달기지토공(D구간)" xfId="2075" xr:uid="{00000000-0005-0000-0000-000019080000}"/>
    <cellStyle name="_01.차집 토공_01.차집 토공2_01-3.옥서오수신설  맨홀토공(OPEN-0.3)_02.구조물및추진,도달기지토공(D구간)" xfId="2076" xr:uid="{00000000-0005-0000-0000-00001A080000}"/>
    <cellStyle name="_01.차집 토공_01.차집 토공2_02.구조물및추진,도달기지토공(D구간)" xfId="2077" xr:uid="{00000000-0005-0000-0000-00001B080000}"/>
    <cellStyle name="_01.차집 토공_01-02.맨홀토공(OPEN-0.3)D-LINE" xfId="2078" xr:uid="{00000000-0005-0000-0000-00001C080000}"/>
    <cellStyle name="_01.차집 토공_01-02.맨홀토공(OPEN-0.3)D-LINE_01-02.맨홀토공(OPEN-0.3)C-LINE" xfId="2079" xr:uid="{00000000-0005-0000-0000-00001D080000}"/>
    <cellStyle name="_01.차집 토공_01-02.맨홀토공(OPEN-0.3)D-LINE_01-02.맨홀토공(OPEN-0.3)C-LINE_02.구조물및추진,도달기지토공(D구간)" xfId="2080" xr:uid="{00000000-0005-0000-0000-00001E080000}"/>
    <cellStyle name="_01.차집 토공_01-02.맨홀토공(OPEN-0.3)D-LINE_01-02.맨홀토공(OPEN-0.3)D-LINE" xfId="2081" xr:uid="{00000000-0005-0000-0000-00001F080000}"/>
    <cellStyle name="_01.차집 토공_01-02.맨홀토공(OPEN-0.3)D-LINE_01-02.맨홀토공(OPEN-0.3)D-LINE_02.구조물및추진,도달기지토공(D구간)" xfId="2082" xr:uid="{00000000-0005-0000-0000-000020080000}"/>
    <cellStyle name="_01.차집 토공_01-02.맨홀토공(OPEN-0.3)D-LINE_02.구조물및추진,도달기지토공(D구간)" xfId="2083" xr:uid="{00000000-0005-0000-0000-000021080000}"/>
    <cellStyle name="_01.차집 토공_01-3.옥구오수신설  맨홀토공(OPEN-0.3)" xfId="2084" xr:uid="{00000000-0005-0000-0000-000022080000}"/>
    <cellStyle name="_01.차집 토공_01-3.옥구오수신설  맨홀토공(OPEN-0.3)_01-02.맨홀토공(OPEN-0.3)C-LINE" xfId="2085" xr:uid="{00000000-0005-0000-0000-000023080000}"/>
    <cellStyle name="_01.차집 토공_01-3.옥구오수신설  맨홀토공(OPEN-0.3)_01-02.맨홀토공(OPEN-0.3)C-LINE_02.구조물및추진,도달기지토공(D구간)" xfId="2086" xr:uid="{00000000-0005-0000-0000-000024080000}"/>
    <cellStyle name="_01.차집 토공_01-3.옥구오수신설  맨홀토공(OPEN-0.3)_01-02.맨홀토공(OPEN-0.3)D-LINE" xfId="2087" xr:uid="{00000000-0005-0000-0000-000025080000}"/>
    <cellStyle name="_01.차집 토공_01-3.옥구오수신설  맨홀토공(OPEN-0.3)_01-02.맨홀토공(OPEN-0.3)D-LINE_02.구조물및추진,도달기지토공(D구간)" xfId="2088" xr:uid="{00000000-0005-0000-0000-000026080000}"/>
    <cellStyle name="_01.차집 토공_01-3.옥구오수신설  맨홀토공(OPEN-0.3)_02.구조물및추진,도달기지토공(D구간)" xfId="2089" xr:uid="{00000000-0005-0000-0000-000027080000}"/>
    <cellStyle name="_01.차집 토공_01-3.옥서오수신설  맨홀토공(OPEN-0.3)" xfId="2090" xr:uid="{00000000-0005-0000-0000-000028080000}"/>
    <cellStyle name="_01.차집 토공_01-3.옥서오수신설  맨홀토공(OPEN-0.3)_01-02.맨홀토공(OPEN-0.3)C-LINE" xfId="2091" xr:uid="{00000000-0005-0000-0000-000029080000}"/>
    <cellStyle name="_01.차집 토공_01-3.옥서오수신설  맨홀토공(OPEN-0.3)_01-02.맨홀토공(OPEN-0.3)C-LINE_02.구조물및추진,도달기지토공(D구간)" xfId="2092" xr:uid="{00000000-0005-0000-0000-00002A080000}"/>
    <cellStyle name="_01.차집 토공_01-3.옥서오수신설  맨홀토공(OPEN-0.3)_01-02.맨홀토공(OPEN-0.3)D-LINE" xfId="2093" xr:uid="{00000000-0005-0000-0000-00002B080000}"/>
    <cellStyle name="_01.차집 토공_01-3.옥서오수신설  맨홀토공(OPEN-0.3)_01-02.맨홀토공(OPEN-0.3)D-LINE_02.구조물및추진,도달기지토공(D구간)" xfId="2094" xr:uid="{00000000-0005-0000-0000-00002C080000}"/>
    <cellStyle name="_01.차집 토공_01-3.옥서오수신설  맨홀토공(OPEN-0.3)_02.구조물및추진,도달기지토공(D구간)" xfId="2095" xr:uid="{00000000-0005-0000-0000-00002D080000}"/>
    <cellStyle name="_01.차집 토공_02.구조물및추진,도달기지토공(D구간)" xfId="2096" xr:uid="{00000000-0005-0000-0000-00002E080000}"/>
    <cellStyle name="_01.토공" xfId="2097" xr:uid="{00000000-0005-0000-0000-00002F080000}"/>
    <cellStyle name="_01.토공_01.차집 토공2" xfId="2098" xr:uid="{00000000-0005-0000-0000-000030080000}"/>
    <cellStyle name="_01.토공_01.차집 토공2_01-02.맨홀토공(OPEN-0.3)D-LINE" xfId="2099" xr:uid="{00000000-0005-0000-0000-000031080000}"/>
    <cellStyle name="_01.토공_01.차집 토공2_01-02.맨홀토공(OPEN-0.3)D-LINE_01-02.맨홀토공(OPEN-0.3)C-LINE" xfId="2100" xr:uid="{00000000-0005-0000-0000-000032080000}"/>
    <cellStyle name="_01.토공_01.차집 토공2_01-02.맨홀토공(OPEN-0.3)D-LINE_01-02.맨홀토공(OPEN-0.3)C-LINE_02.구조물및추진,도달기지토공(D구간)" xfId="2101" xr:uid="{00000000-0005-0000-0000-000033080000}"/>
    <cellStyle name="_01.토공_01.차집 토공2_01-02.맨홀토공(OPEN-0.3)D-LINE_01-02.맨홀토공(OPEN-0.3)D-LINE" xfId="2102" xr:uid="{00000000-0005-0000-0000-000034080000}"/>
    <cellStyle name="_01.토공_01.차집 토공2_01-02.맨홀토공(OPEN-0.3)D-LINE_01-02.맨홀토공(OPEN-0.3)D-LINE_02.구조물및추진,도달기지토공(D구간)" xfId="2103" xr:uid="{00000000-0005-0000-0000-000035080000}"/>
    <cellStyle name="_01.토공_01.차집 토공2_01-02.맨홀토공(OPEN-0.3)D-LINE_02.구조물및추진,도달기지토공(D구간)" xfId="2104" xr:uid="{00000000-0005-0000-0000-000036080000}"/>
    <cellStyle name="_01.토공_01.차집 토공2_01-3.옥구오수신설  맨홀토공(OPEN-0.3)" xfId="2105" xr:uid="{00000000-0005-0000-0000-000037080000}"/>
    <cellStyle name="_01.토공_01.차집 토공2_01-3.옥구오수신설  맨홀토공(OPEN-0.3)_01-02.맨홀토공(OPEN-0.3)C-LINE" xfId="2106" xr:uid="{00000000-0005-0000-0000-000038080000}"/>
    <cellStyle name="_01.토공_01.차집 토공2_01-3.옥구오수신설  맨홀토공(OPEN-0.3)_01-02.맨홀토공(OPEN-0.3)C-LINE_02.구조물및추진,도달기지토공(D구간)" xfId="2107" xr:uid="{00000000-0005-0000-0000-000039080000}"/>
    <cellStyle name="_01.토공_01.차집 토공2_01-3.옥구오수신설  맨홀토공(OPEN-0.3)_01-02.맨홀토공(OPEN-0.3)D-LINE" xfId="2108" xr:uid="{00000000-0005-0000-0000-00003A080000}"/>
    <cellStyle name="_01.토공_01.차집 토공2_01-3.옥구오수신설  맨홀토공(OPEN-0.3)_01-02.맨홀토공(OPEN-0.3)D-LINE_02.구조물및추진,도달기지토공(D구간)" xfId="2109" xr:uid="{00000000-0005-0000-0000-00003B080000}"/>
    <cellStyle name="_01.토공_01.차집 토공2_01-3.옥구오수신설  맨홀토공(OPEN-0.3)_02.구조물및추진,도달기지토공(D구간)" xfId="2110" xr:uid="{00000000-0005-0000-0000-00003C080000}"/>
    <cellStyle name="_01.토공_01.차집 토공2_01-3.옥서오수신설  맨홀토공(OPEN-0.3)" xfId="2111" xr:uid="{00000000-0005-0000-0000-00003D080000}"/>
    <cellStyle name="_01.토공_01.차집 토공2_01-3.옥서오수신설  맨홀토공(OPEN-0.3)_01-02.맨홀토공(OPEN-0.3)C-LINE" xfId="2112" xr:uid="{00000000-0005-0000-0000-00003E080000}"/>
    <cellStyle name="_01.토공_01.차집 토공2_01-3.옥서오수신설  맨홀토공(OPEN-0.3)_01-02.맨홀토공(OPEN-0.3)C-LINE_02.구조물및추진,도달기지토공(D구간)" xfId="2113" xr:uid="{00000000-0005-0000-0000-00003F080000}"/>
    <cellStyle name="_01.토공_01.차집 토공2_01-3.옥서오수신설  맨홀토공(OPEN-0.3)_01-02.맨홀토공(OPEN-0.3)D-LINE" xfId="2114" xr:uid="{00000000-0005-0000-0000-000040080000}"/>
    <cellStyle name="_01.토공_01.차집 토공2_01-3.옥서오수신설  맨홀토공(OPEN-0.3)_01-02.맨홀토공(OPEN-0.3)D-LINE_02.구조물및추진,도달기지토공(D구간)" xfId="2115" xr:uid="{00000000-0005-0000-0000-000041080000}"/>
    <cellStyle name="_01.토공_01.차집 토공2_01-3.옥서오수신설  맨홀토공(OPEN-0.3)_02.구조물및추진,도달기지토공(D구간)" xfId="2116" xr:uid="{00000000-0005-0000-0000-000042080000}"/>
    <cellStyle name="_01.토공_01.차집 토공2_02.구조물및추진,도달기지토공(D구간)" xfId="2117" xr:uid="{00000000-0005-0000-0000-000043080000}"/>
    <cellStyle name="_01.토공_01-02.맨홀토공(OPEN-0.3)D-LINE" xfId="2118" xr:uid="{00000000-0005-0000-0000-000044080000}"/>
    <cellStyle name="_01.토공_01-02.맨홀토공(OPEN-0.3)D-LINE_01-02.맨홀토공(OPEN-0.3)C-LINE" xfId="2119" xr:uid="{00000000-0005-0000-0000-000045080000}"/>
    <cellStyle name="_01.토공_01-02.맨홀토공(OPEN-0.3)D-LINE_01-02.맨홀토공(OPEN-0.3)C-LINE_02.구조물및추진,도달기지토공(D구간)" xfId="2120" xr:uid="{00000000-0005-0000-0000-000046080000}"/>
    <cellStyle name="_01.토공_01-02.맨홀토공(OPEN-0.3)D-LINE_01-02.맨홀토공(OPEN-0.3)D-LINE" xfId="2121" xr:uid="{00000000-0005-0000-0000-000047080000}"/>
    <cellStyle name="_01.토공_01-02.맨홀토공(OPEN-0.3)D-LINE_01-02.맨홀토공(OPEN-0.3)D-LINE_02.구조물및추진,도달기지토공(D구간)" xfId="2122" xr:uid="{00000000-0005-0000-0000-000048080000}"/>
    <cellStyle name="_01.토공_01-02.맨홀토공(OPEN-0.3)D-LINE_02.구조물및추진,도달기지토공(D구간)" xfId="2123" xr:uid="{00000000-0005-0000-0000-000049080000}"/>
    <cellStyle name="_01.토공_01-3.옥구오수신설  맨홀토공(OPEN-0.3)" xfId="2124" xr:uid="{00000000-0005-0000-0000-00004A080000}"/>
    <cellStyle name="_01.토공_01-3.옥구오수신설  맨홀토공(OPEN-0.3)_01-02.맨홀토공(OPEN-0.3)C-LINE" xfId="2125" xr:uid="{00000000-0005-0000-0000-00004B080000}"/>
    <cellStyle name="_01.토공_01-3.옥구오수신설  맨홀토공(OPEN-0.3)_01-02.맨홀토공(OPEN-0.3)C-LINE_02.구조물및추진,도달기지토공(D구간)" xfId="2126" xr:uid="{00000000-0005-0000-0000-00004C080000}"/>
    <cellStyle name="_01.토공_01-3.옥구오수신설  맨홀토공(OPEN-0.3)_01-02.맨홀토공(OPEN-0.3)D-LINE" xfId="2127" xr:uid="{00000000-0005-0000-0000-00004D080000}"/>
    <cellStyle name="_01.토공_01-3.옥구오수신설  맨홀토공(OPEN-0.3)_01-02.맨홀토공(OPEN-0.3)D-LINE_02.구조물및추진,도달기지토공(D구간)" xfId="2128" xr:uid="{00000000-0005-0000-0000-00004E080000}"/>
    <cellStyle name="_01.토공_01-3.옥구오수신설  맨홀토공(OPEN-0.3)_02.구조물및추진,도달기지토공(D구간)" xfId="2129" xr:uid="{00000000-0005-0000-0000-00004F080000}"/>
    <cellStyle name="_01.토공_01-3.옥서오수신설  맨홀토공(OPEN-0.3)" xfId="2130" xr:uid="{00000000-0005-0000-0000-000050080000}"/>
    <cellStyle name="_01.토공_01-3.옥서오수신설  맨홀토공(OPEN-0.3)_01-02.맨홀토공(OPEN-0.3)C-LINE" xfId="2131" xr:uid="{00000000-0005-0000-0000-000051080000}"/>
    <cellStyle name="_01.토공_01-3.옥서오수신설  맨홀토공(OPEN-0.3)_01-02.맨홀토공(OPEN-0.3)C-LINE_02.구조물및추진,도달기지토공(D구간)" xfId="2132" xr:uid="{00000000-0005-0000-0000-000052080000}"/>
    <cellStyle name="_01.토공_01-3.옥서오수신설  맨홀토공(OPEN-0.3)_01-02.맨홀토공(OPEN-0.3)D-LINE" xfId="2133" xr:uid="{00000000-0005-0000-0000-000053080000}"/>
    <cellStyle name="_01.토공_01-3.옥서오수신설  맨홀토공(OPEN-0.3)_01-02.맨홀토공(OPEN-0.3)D-LINE_02.구조물및추진,도달기지토공(D구간)" xfId="2134" xr:uid="{00000000-0005-0000-0000-000054080000}"/>
    <cellStyle name="_01.토공_01-3.옥서오수신설  맨홀토공(OPEN-0.3)_02.구조물및추진,도달기지토공(D구간)" xfId="2135" xr:uid="{00000000-0005-0000-0000-000055080000}"/>
    <cellStyle name="_01.토공_02.구조물및추진,도달기지토공(D구간)" xfId="2136" xr:uid="{00000000-0005-0000-0000-000056080000}"/>
    <cellStyle name="_01.화장오수 토공" xfId="2137" xr:uid="{00000000-0005-0000-0000-000057080000}"/>
    <cellStyle name="_01.화장오수 토공_01.차집 토공" xfId="2138" xr:uid="{00000000-0005-0000-0000-000058080000}"/>
    <cellStyle name="_01.화장오수 토공_01.차집 토공_01.차집 토공" xfId="2139" xr:uid="{00000000-0005-0000-0000-000059080000}"/>
    <cellStyle name="_01.화장오수 토공_01.차집 토공_01.차집 토공_01.차집 토공2" xfId="2140" xr:uid="{00000000-0005-0000-0000-00005A080000}"/>
    <cellStyle name="_01.화장오수 토공_01.차집 토공_01.차집 토공_01.차집 토공2_01-02.맨홀토공(OPEN-0.3)D-LINE" xfId="2141" xr:uid="{00000000-0005-0000-0000-00005B080000}"/>
    <cellStyle name="_01.화장오수 토공_01.차집 토공_01.차집 토공_01.차집 토공2_01-02.맨홀토공(OPEN-0.3)D-LINE_01-02.맨홀토공(OPEN-0.3)C-LINE" xfId="2142" xr:uid="{00000000-0005-0000-0000-00005C080000}"/>
    <cellStyle name="_01.화장오수 토공_01.차집 토공_01.차집 토공_01.차집 토공2_01-02.맨홀토공(OPEN-0.3)D-LINE_01-02.맨홀토공(OPEN-0.3)C-LINE_02.구조물및추진,도달기지토공(D구간)" xfId="2143" xr:uid="{00000000-0005-0000-0000-00005D080000}"/>
    <cellStyle name="_01.화장오수 토공_01.차집 토공_01.차집 토공_01.차집 토공2_01-02.맨홀토공(OPEN-0.3)D-LINE_01-02.맨홀토공(OPEN-0.3)D-LINE" xfId="2144" xr:uid="{00000000-0005-0000-0000-00005E080000}"/>
    <cellStyle name="_01.화장오수 토공_01.차집 토공_01.차집 토공_01.차집 토공2_01-02.맨홀토공(OPEN-0.3)D-LINE_01-02.맨홀토공(OPEN-0.3)D-LINE_02.구조물및추진,도달기지토공(D구간)" xfId="2145" xr:uid="{00000000-0005-0000-0000-00005F080000}"/>
    <cellStyle name="_01.화장오수 토공_01.차집 토공_01.차집 토공_01.차집 토공2_01-02.맨홀토공(OPEN-0.3)D-LINE_02.구조물및추진,도달기지토공(D구간)" xfId="2146" xr:uid="{00000000-0005-0000-0000-000060080000}"/>
    <cellStyle name="_01.화장오수 토공_01.차집 토공_01.차집 토공_01.차집 토공2_01-3.옥구오수신설  맨홀토공(OPEN-0.3)" xfId="2147" xr:uid="{00000000-0005-0000-0000-000061080000}"/>
    <cellStyle name="_01.화장오수 토공_01.차집 토공_01.차집 토공_01.차집 토공2_01-3.옥구오수신설  맨홀토공(OPEN-0.3)_01-02.맨홀토공(OPEN-0.3)C-LINE" xfId="2148" xr:uid="{00000000-0005-0000-0000-000062080000}"/>
    <cellStyle name="_01.화장오수 토공_01.차집 토공_01.차집 토공_01.차집 토공2_01-3.옥구오수신설  맨홀토공(OPEN-0.3)_01-02.맨홀토공(OPEN-0.3)C-LINE_02.구조물및추진,도달기지토공(D구간)" xfId="2149" xr:uid="{00000000-0005-0000-0000-000063080000}"/>
    <cellStyle name="_01.화장오수 토공_01.차집 토공_01.차집 토공_01.차집 토공2_01-3.옥구오수신설  맨홀토공(OPEN-0.3)_01-02.맨홀토공(OPEN-0.3)D-LINE" xfId="2150" xr:uid="{00000000-0005-0000-0000-000064080000}"/>
    <cellStyle name="_01.화장오수 토공_01.차집 토공_01.차집 토공_01.차집 토공2_01-3.옥구오수신설  맨홀토공(OPEN-0.3)_01-02.맨홀토공(OPEN-0.3)D-LINE_02.구조물및추진,도달기지토공(D구간)" xfId="2151" xr:uid="{00000000-0005-0000-0000-000065080000}"/>
    <cellStyle name="_01.화장오수 토공_01.차집 토공_01.차집 토공_01.차집 토공2_01-3.옥구오수신설  맨홀토공(OPEN-0.3)_02.구조물및추진,도달기지토공(D구간)" xfId="2152" xr:uid="{00000000-0005-0000-0000-000066080000}"/>
    <cellStyle name="_01.화장오수 토공_01.차집 토공_01.차집 토공_01.차집 토공2_01-3.옥서오수신설  맨홀토공(OPEN-0.3)" xfId="2153" xr:uid="{00000000-0005-0000-0000-000067080000}"/>
    <cellStyle name="_01.화장오수 토공_01.차집 토공_01.차집 토공_01.차집 토공2_01-3.옥서오수신설  맨홀토공(OPEN-0.3)_01-02.맨홀토공(OPEN-0.3)C-LINE" xfId="2154" xr:uid="{00000000-0005-0000-0000-000068080000}"/>
    <cellStyle name="_01.화장오수 토공_01.차집 토공_01.차집 토공_01.차집 토공2_01-3.옥서오수신설  맨홀토공(OPEN-0.3)_01-02.맨홀토공(OPEN-0.3)C-LINE_02.구조물및추진,도달기지토공(D구간)" xfId="2155" xr:uid="{00000000-0005-0000-0000-000069080000}"/>
    <cellStyle name="_01.화장오수 토공_01.차집 토공_01.차집 토공_01.차집 토공2_01-3.옥서오수신설  맨홀토공(OPEN-0.3)_01-02.맨홀토공(OPEN-0.3)D-LINE" xfId="2156" xr:uid="{00000000-0005-0000-0000-00006A080000}"/>
    <cellStyle name="_01.화장오수 토공_01.차집 토공_01.차집 토공_01.차집 토공2_01-3.옥서오수신설  맨홀토공(OPEN-0.3)_01-02.맨홀토공(OPEN-0.3)D-LINE_02.구조물및추진,도달기지토공(D구간)" xfId="2157" xr:uid="{00000000-0005-0000-0000-00006B080000}"/>
    <cellStyle name="_01.화장오수 토공_01.차집 토공_01.차집 토공_01.차집 토공2_01-3.옥서오수신설  맨홀토공(OPEN-0.3)_02.구조물및추진,도달기지토공(D구간)" xfId="2158" xr:uid="{00000000-0005-0000-0000-00006C080000}"/>
    <cellStyle name="_01.화장오수 토공_01.차집 토공_01.차집 토공_01.차집 토공2_02.구조물및추진,도달기지토공(D구간)" xfId="2159" xr:uid="{00000000-0005-0000-0000-00006D080000}"/>
    <cellStyle name="_01.화장오수 토공_01.차집 토공_01.차집 토공_01-02.맨홀토공(OPEN-0.3)D-LINE" xfId="2160" xr:uid="{00000000-0005-0000-0000-00006E080000}"/>
    <cellStyle name="_01.화장오수 토공_01.차집 토공_01.차집 토공_01-02.맨홀토공(OPEN-0.3)D-LINE_01-02.맨홀토공(OPEN-0.3)C-LINE" xfId="2161" xr:uid="{00000000-0005-0000-0000-00006F080000}"/>
    <cellStyle name="_01.화장오수 토공_01.차집 토공_01.차집 토공_01-02.맨홀토공(OPEN-0.3)D-LINE_01-02.맨홀토공(OPEN-0.3)C-LINE_02.구조물및추진,도달기지토공(D구간)" xfId="2162" xr:uid="{00000000-0005-0000-0000-000070080000}"/>
    <cellStyle name="_01.화장오수 토공_01.차집 토공_01.차집 토공_01-02.맨홀토공(OPEN-0.3)D-LINE_01-02.맨홀토공(OPEN-0.3)D-LINE" xfId="2163" xr:uid="{00000000-0005-0000-0000-000071080000}"/>
    <cellStyle name="_01.화장오수 토공_01.차집 토공_01.차집 토공_01-02.맨홀토공(OPEN-0.3)D-LINE_01-02.맨홀토공(OPEN-0.3)D-LINE_02.구조물및추진,도달기지토공(D구간)" xfId="2164" xr:uid="{00000000-0005-0000-0000-000072080000}"/>
    <cellStyle name="_01.화장오수 토공_01.차집 토공_01.차집 토공_01-02.맨홀토공(OPEN-0.3)D-LINE_02.구조물및추진,도달기지토공(D구간)" xfId="2165" xr:uid="{00000000-0005-0000-0000-000073080000}"/>
    <cellStyle name="_01.화장오수 토공_01.차집 토공_01.차집 토공_01-3.옥구오수신설  맨홀토공(OPEN-0.3)" xfId="2166" xr:uid="{00000000-0005-0000-0000-000074080000}"/>
    <cellStyle name="_01.화장오수 토공_01.차집 토공_01.차집 토공_01-3.옥구오수신설  맨홀토공(OPEN-0.3)_01-02.맨홀토공(OPEN-0.3)C-LINE" xfId="2167" xr:uid="{00000000-0005-0000-0000-000075080000}"/>
    <cellStyle name="_01.화장오수 토공_01.차집 토공_01.차집 토공_01-3.옥구오수신설  맨홀토공(OPEN-0.3)_01-02.맨홀토공(OPEN-0.3)C-LINE_02.구조물및추진,도달기지토공(D구간)" xfId="2168" xr:uid="{00000000-0005-0000-0000-000076080000}"/>
    <cellStyle name="_01.화장오수 토공_01.차집 토공_01.차집 토공_01-3.옥구오수신설  맨홀토공(OPEN-0.3)_01-02.맨홀토공(OPEN-0.3)D-LINE" xfId="2169" xr:uid="{00000000-0005-0000-0000-000077080000}"/>
    <cellStyle name="_01.화장오수 토공_01.차집 토공_01.차집 토공_01-3.옥구오수신설  맨홀토공(OPEN-0.3)_01-02.맨홀토공(OPEN-0.3)D-LINE_02.구조물및추진,도달기지토공(D구간)" xfId="2170" xr:uid="{00000000-0005-0000-0000-000078080000}"/>
    <cellStyle name="_01.화장오수 토공_01.차집 토공_01.차집 토공_01-3.옥구오수신설  맨홀토공(OPEN-0.3)_02.구조물및추진,도달기지토공(D구간)" xfId="2171" xr:uid="{00000000-0005-0000-0000-000079080000}"/>
    <cellStyle name="_01.화장오수 토공_01.차집 토공_01.차집 토공_01-3.옥서오수신설  맨홀토공(OPEN-0.3)" xfId="2172" xr:uid="{00000000-0005-0000-0000-00007A080000}"/>
    <cellStyle name="_01.화장오수 토공_01.차집 토공_01.차집 토공_01-3.옥서오수신설  맨홀토공(OPEN-0.3)_01-02.맨홀토공(OPEN-0.3)C-LINE" xfId="2173" xr:uid="{00000000-0005-0000-0000-00007B080000}"/>
    <cellStyle name="_01.화장오수 토공_01.차집 토공_01.차집 토공_01-3.옥서오수신설  맨홀토공(OPEN-0.3)_01-02.맨홀토공(OPEN-0.3)C-LINE_02.구조물및추진,도달기지토공(D구간)" xfId="2174" xr:uid="{00000000-0005-0000-0000-00007C080000}"/>
    <cellStyle name="_01.화장오수 토공_01.차집 토공_01.차집 토공_01-3.옥서오수신설  맨홀토공(OPEN-0.3)_01-02.맨홀토공(OPEN-0.3)D-LINE" xfId="2175" xr:uid="{00000000-0005-0000-0000-00007D080000}"/>
    <cellStyle name="_01.화장오수 토공_01.차집 토공_01.차집 토공_01-3.옥서오수신설  맨홀토공(OPEN-0.3)_01-02.맨홀토공(OPEN-0.3)D-LINE_02.구조물및추진,도달기지토공(D구간)" xfId="2176" xr:uid="{00000000-0005-0000-0000-00007E080000}"/>
    <cellStyle name="_01.화장오수 토공_01.차집 토공_01.차집 토공_01-3.옥서오수신설  맨홀토공(OPEN-0.3)_02.구조물및추진,도달기지토공(D구간)" xfId="2177" xr:uid="{00000000-0005-0000-0000-00007F080000}"/>
    <cellStyle name="_01.화장오수 토공_01.차집 토공_01.차집 토공_02.구조물및추진,도달기지토공(D구간)" xfId="2178" xr:uid="{00000000-0005-0000-0000-000080080000}"/>
    <cellStyle name="_01.화장오수 토공_01.차집 토공_01-02.맨홀토공(OPEN-0.3)D-LINE" xfId="2179" xr:uid="{00000000-0005-0000-0000-000081080000}"/>
    <cellStyle name="_01.화장오수 토공_01.차집 토공_01-02.맨홀토공(OPEN-0.3)D-LINE_01-02.맨홀토공(OPEN-0.3)C-LINE" xfId="2180" xr:uid="{00000000-0005-0000-0000-000082080000}"/>
    <cellStyle name="_01.화장오수 토공_01.차집 토공_01-02.맨홀토공(OPEN-0.3)D-LINE_01-02.맨홀토공(OPEN-0.3)C-LINE_02.구조물및추진,도달기지토공(D구간)" xfId="2181" xr:uid="{00000000-0005-0000-0000-000083080000}"/>
    <cellStyle name="_01.화장오수 토공_01.차집 토공_01-02.맨홀토공(OPEN-0.3)D-LINE_01-02.맨홀토공(OPEN-0.3)D-LINE" xfId="2182" xr:uid="{00000000-0005-0000-0000-000084080000}"/>
    <cellStyle name="_01.화장오수 토공_01.차집 토공_01-02.맨홀토공(OPEN-0.3)D-LINE_01-02.맨홀토공(OPEN-0.3)D-LINE_02.구조물및추진,도달기지토공(D구간)" xfId="2183" xr:uid="{00000000-0005-0000-0000-000085080000}"/>
    <cellStyle name="_01.화장오수 토공_01.차집 토공_01-02.맨홀토공(OPEN-0.3)D-LINE_02.구조물및추진,도달기지토공(D구간)" xfId="2184" xr:uid="{00000000-0005-0000-0000-000086080000}"/>
    <cellStyle name="_01.화장오수 토공_01.차집 토공_01-3.옥구오수신설  맨홀토공(OPEN-0.3)" xfId="2185" xr:uid="{00000000-0005-0000-0000-000087080000}"/>
    <cellStyle name="_01.화장오수 토공_01.차집 토공_01-3.옥구오수신설  맨홀토공(OPEN-0.3)_01-02.맨홀토공(OPEN-0.3)C-LINE" xfId="2186" xr:uid="{00000000-0005-0000-0000-000088080000}"/>
    <cellStyle name="_01.화장오수 토공_01.차집 토공_01-3.옥구오수신설  맨홀토공(OPEN-0.3)_01-02.맨홀토공(OPEN-0.3)C-LINE_02.구조물및추진,도달기지토공(D구간)" xfId="2187" xr:uid="{00000000-0005-0000-0000-000089080000}"/>
    <cellStyle name="_01.화장오수 토공_01.차집 토공_01-3.옥구오수신설  맨홀토공(OPEN-0.3)_01-02.맨홀토공(OPEN-0.3)D-LINE" xfId="2188" xr:uid="{00000000-0005-0000-0000-00008A080000}"/>
    <cellStyle name="_01.화장오수 토공_01.차집 토공_01-3.옥구오수신설  맨홀토공(OPEN-0.3)_01-02.맨홀토공(OPEN-0.3)D-LINE_02.구조물및추진,도달기지토공(D구간)" xfId="2189" xr:uid="{00000000-0005-0000-0000-00008B080000}"/>
    <cellStyle name="_01.화장오수 토공_01.차집 토공_01-3.옥구오수신설  맨홀토공(OPEN-0.3)_02.구조물및추진,도달기지토공(D구간)" xfId="2190" xr:uid="{00000000-0005-0000-0000-00008C080000}"/>
    <cellStyle name="_01.화장오수 토공_01.차집 토공_01-3.옥서오수신설  맨홀토공(OPEN-0.3)" xfId="2191" xr:uid="{00000000-0005-0000-0000-00008D080000}"/>
    <cellStyle name="_01.화장오수 토공_01.차집 토공_01-3.옥서오수신설  맨홀토공(OPEN-0.3)_01-02.맨홀토공(OPEN-0.3)C-LINE" xfId="2192" xr:uid="{00000000-0005-0000-0000-00008E080000}"/>
    <cellStyle name="_01.화장오수 토공_01.차집 토공_01-3.옥서오수신설  맨홀토공(OPEN-0.3)_01-02.맨홀토공(OPEN-0.3)C-LINE_02.구조물및추진,도달기지토공(D구간)" xfId="2193" xr:uid="{00000000-0005-0000-0000-00008F080000}"/>
    <cellStyle name="_01.화장오수 토공_01.차집 토공_01-3.옥서오수신설  맨홀토공(OPEN-0.3)_01-02.맨홀토공(OPEN-0.3)D-LINE" xfId="2194" xr:uid="{00000000-0005-0000-0000-000090080000}"/>
    <cellStyle name="_01.화장오수 토공_01.차집 토공_01-3.옥서오수신설  맨홀토공(OPEN-0.3)_01-02.맨홀토공(OPEN-0.3)D-LINE_02.구조물및추진,도달기지토공(D구간)" xfId="2195" xr:uid="{00000000-0005-0000-0000-000091080000}"/>
    <cellStyle name="_01.화장오수 토공_01.차집 토공_01-3.옥서오수신설  맨홀토공(OPEN-0.3)_02.구조물및추진,도달기지토공(D구간)" xfId="2196" xr:uid="{00000000-0005-0000-0000-000092080000}"/>
    <cellStyle name="_01.화장오수 토공_01.차집 토공_02.구조물및추진,도달기지토공(D구간)" xfId="2197" xr:uid="{00000000-0005-0000-0000-000093080000}"/>
    <cellStyle name="_01.화장오수 토공_01.차집 토공2" xfId="2198" xr:uid="{00000000-0005-0000-0000-000094080000}"/>
    <cellStyle name="_01.화장오수 토공_01.차집 토공2_01-02.맨홀토공(OPEN-0.3)D-LINE" xfId="2199" xr:uid="{00000000-0005-0000-0000-000095080000}"/>
    <cellStyle name="_01.화장오수 토공_01.차집 토공2_01-02.맨홀토공(OPEN-0.3)D-LINE_01-02.맨홀토공(OPEN-0.3)C-LINE" xfId="2200" xr:uid="{00000000-0005-0000-0000-000096080000}"/>
    <cellStyle name="_01.화장오수 토공_01.차집 토공2_01-02.맨홀토공(OPEN-0.3)D-LINE_01-02.맨홀토공(OPEN-0.3)C-LINE_02.구조물및추진,도달기지토공(D구간)" xfId="2201" xr:uid="{00000000-0005-0000-0000-000097080000}"/>
    <cellStyle name="_01.화장오수 토공_01.차집 토공2_01-02.맨홀토공(OPEN-0.3)D-LINE_01-02.맨홀토공(OPEN-0.3)D-LINE" xfId="2202" xr:uid="{00000000-0005-0000-0000-000098080000}"/>
    <cellStyle name="_01.화장오수 토공_01.차집 토공2_01-02.맨홀토공(OPEN-0.3)D-LINE_01-02.맨홀토공(OPEN-0.3)D-LINE_02.구조물및추진,도달기지토공(D구간)" xfId="2203" xr:uid="{00000000-0005-0000-0000-000099080000}"/>
    <cellStyle name="_01.화장오수 토공_01.차집 토공2_01-02.맨홀토공(OPEN-0.3)D-LINE_02.구조물및추진,도달기지토공(D구간)" xfId="2204" xr:uid="{00000000-0005-0000-0000-00009A080000}"/>
    <cellStyle name="_01.화장오수 토공_01.차집 토공2_01-3.옥구오수신설  맨홀토공(OPEN-0.3)" xfId="2205" xr:uid="{00000000-0005-0000-0000-00009B080000}"/>
    <cellStyle name="_01.화장오수 토공_01.차집 토공2_01-3.옥구오수신설  맨홀토공(OPEN-0.3)_01-02.맨홀토공(OPEN-0.3)C-LINE" xfId="2206" xr:uid="{00000000-0005-0000-0000-00009C080000}"/>
    <cellStyle name="_01.화장오수 토공_01.차집 토공2_01-3.옥구오수신설  맨홀토공(OPEN-0.3)_01-02.맨홀토공(OPEN-0.3)C-LINE_02.구조물및추진,도달기지토공(D구간)" xfId="2207" xr:uid="{00000000-0005-0000-0000-00009D080000}"/>
    <cellStyle name="_01.화장오수 토공_01.차집 토공2_01-3.옥구오수신설  맨홀토공(OPEN-0.3)_01-02.맨홀토공(OPEN-0.3)D-LINE" xfId="2208" xr:uid="{00000000-0005-0000-0000-00009E080000}"/>
    <cellStyle name="_01.화장오수 토공_01.차집 토공2_01-3.옥구오수신설  맨홀토공(OPEN-0.3)_01-02.맨홀토공(OPEN-0.3)D-LINE_02.구조물및추진,도달기지토공(D구간)" xfId="2209" xr:uid="{00000000-0005-0000-0000-00009F080000}"/>
    <cellStyle name="_01.화장오수 토공_01.차집 토공2_01-3.옥구오수신설  맨홀토공(OPEN-0.3)_02.구조물및추진,도달기지토공(D구간)" xfId="2210" xr:uid="{00000000-0005-0000-0000-0000A0080000}"/>
    <cellStyle name="_01.화장오수 토공_01.차집 토공2_01-3.옥서오수신설  맨홀토공(OPEN-0.3)" xfId="2211" xr:uid="{00000000-0005-0000-0000-0000A1080000}"/>
    <cellStyle name="_01.화장오수 토공_01.차집 토공2_01-3.옥서오수신설  맨홀토공(OPEN-0.3)_01-02.맨홀토공(OPEN-0.3)C-LINE" xfId="2212" xr:uid="{00000000-0005-0000-0000-0000A2080000}"/>
    <cellStyle name="_01.화장오수 토공_01.차집 토공2_01-3.옥서오수신설  맨홀토공(OPEN-0.3)_01-02.맨홀토공(OPEN-0.3)C-LINE_02.구조물및추진,도달기지토공(D구간)" xfId="2213" xr:uid="{00000000-0005-0000-0000-0000A3080000}"/>
    <cellStyle name="_01.화장오수 토공_01.차집 토공2_01-3.옥서오수신설  맨홀토공(OPEN-0.3)_01-02.맨홀토공(OPEN-0.3)D-LINE" xfId="2214" xr:uid="{00000000-0005-0000-0000-0000A4080000}"/>
    <cellStyle name="_01.화장오수 토공_01.차집 토공2_01-3.옥서오수신설  맨홀토공(OPEN-0.3)_01-02.맨홀토공(OPEN-0.3)D-LINE_02.구조물및추진,도달기지토공(D구간)" xfId="2215" xr:uid="{00000000-0005-0000-0000-0000A5080000}"/>
    <cellStyle name="_01.화장오수 토공_01.차집 토공2_01-3.옥서오수신설  맨홀토공(OPEN-0.3)_02.구조물및추진,도달기지토공(D구간)" xfId="2216" xr:uid="{00000000-0005-0000-0000-0000A6080000}"/>
    <cellStyle name="_01.화장오수 토공_01.차집 토공2_02.구조물및추진,도달기지토공(D구간)" xfId="2217" xr:uid="{00000000-0005-0000-0000-0000A7080000}"/>
    <cellStyle name="_01.화장오수 토공_01-02.맨홀토공(OPEN-0.3)D-LINE" xfId="2218" xr:uid="{00000000-0005-0000-0000-0000A8080000}"/>
    <cellStyle name="_01.화장오수 토공_01-02.맨홀토공(OPEN-0.3)D-LINE_01-02.맨홀토공(OPEN-0.3)C-LINE" xfId="2219" xr:uid="{00000000-0005-0000-0000-0000A9080000}"/>
    <cellStyle name="_01.화장오수 토공_01-02.맨홀토공(OPEN-0.3)D-LINE_01-02.맨홀토공(OPEN-0.3)C-LINE_02.구조물및추진,도달기지토공(D구간)" xfId="2220" xr:uid="{00000000-0005-0000-0000-0000AA080000}"/>
    <cellStyle name="_01.화장오수 토공_01-02.맨홀토공(OPEN-0.3)D-LINE_01-02.맨홀토공(OPEN-0.3)D-LINE" xfId="2221" xr:uid="{00000000-0005-0000-0000-0000AB080000}"/>
    <cellStyle name="_01.화장오수 토공_01-02.맨홀토공(OPEN-0.3)D-LINE_01-02.맨홀토공(OPEN-0.3)D-LINE_02.구조물및추진,도달기지토공(D구간)" xfId="2222" xr:uid="{00000000-0005-0000-0000-0000AC080000}"/>
    <cellStyle name="_01.화장오수 토공_01-02.맨홀토공(OPEN-0.3)D-LINE_02.구조물및추진,도달기지토공(D구간)" xfId="2223" xr:uid="{00000000-0005-0000-0000-0000AD080000}"/>
    <cellStyle name="_01.화장오수 토공_01-3.옥구오수신설  맨홀토공(OPEN-0.3)" xfId="2224" xr:uid="{00000000-0005-0000-0000-0000AE080000}"/>
    <cellStyle name="_01.화장오수 토공_01-3.옥구오수신설  맨홀토공(OPEN-0.3)_01-02.맨홀토공(OPEN-0.3)C-LINE" xfId="2225" xr:uid="{00000000-0005-0000-0000-0000AF080000}"/>
    <cellStyle name="_01.화장오수 토공_01-3.옥구오수신설  맨홀토공(OPEN-0.3)_01-02.맨홀토공(OPEN-0.3)C-LINE_02.구조물및추진,도달기지토공(D구간)" xfId="2226" xr:uid="{00000000-0005-0000-0000-0000B0080000}"/>
    <cellStyle name="_01.화장오수 토공_01-3.옥구오수신설  맨홀토공(OPEN-0.3)_01-02.맨홀토공(OPEN-0.3)D-LINE" xfId="2227" xr:uid="{00000000-0005-0000-0000-0000B1080000}"/>
    <cellStyle name="_01.화장오수 토공_01-3.옥구오수신설  맨홀토공(OPEN-0.3)_01-02.맨홀토공(OPEN-0.3)D-LINE_02.구조물및추진,도달기지토공(D구간)" xfId="2228" xr:uid="{00000000-0005-0000-0000-0000B2080000}"/>
    <cellStyle name="_01.화장오수 토공_01-3.옥구오수신설  맨홀토공(OPEN-0.3)_02.구조물및추진,도달기지토공(D구간)" xfId="2229" xr:uid="{00000000-0005-0000-0000-0000B3080000}"/>
    <cellStyle name="_01.화장오수 토공_01-3.옥서오수신설  맨홀토공(OPEN-0.3)" xfId="2230" xr:uid="{00000000-0005-0000-0000-0000B4080000}"/>
    <cellStyle name="_01.화장오수 토공_01-3.옥서오수신설  맨홀토공(OPEN-0.3)_01-02.맨홀토공(OPEN-0.3)C-LINE" xfId="2231" xr:uid="{00000000-0005-0000-0000-0000B5080000}"/>
    <cellStyle name="_01.화장오수 토공_01-3.옥서오수신설  맨홀토공(OPEN-0.3)_01-02.맨홀토공(OPEN-0.3)C-LINE_02.구조물및추진,도달기지토공(D구간)" xfId="2232" xr:uid="{00000000-0005-0000-0000-0000B6080000}"/>
    <cellStyle name="_01.화장오수 토공_01-3.옥서오수신설  맨홀토공(OPEN-0.3)_01-02.맨홀토공(OPEN-0.3)D-LINE" xfId="2233" xr:uid="{00000000-0005-0000-0000-0000B7080000}"/>
    <cellStyle name="_01.화장오수 토공_01-3.옥서오수신설  맨홀토공(OPEN-0.3)_01-02.맨홀토공(OPEN-0.3)D-LINE_02.구조물및추진,도달기지토공(D구간)" xfId="2234" xr:uid="{00000000-0005-0000-0000-0000B8080000}"/>
    <cellStyle name="_01.화장오수 토공_01-3.옥서오수신설  맨홀토공(OPEN-0.3)_02.구조물및추진,도달기지토공(D구간)" xfId="2235" xr:uid="{00000000-0005-0000-0000-0000B9080000}"/>
    <cellStyle name="_01.화장오수 토공_02.구조물및추진,도달기지토공(D구간)" xfId="2236" xr:uid="{00000000-0005-0000-0000-0000BA080000}"/>
    <cellStyle name="_01-1.구조물 토공-" xfId="2237" xr:uid="{00000000-0005-0000-0000-0000BB080000}"/>
    <cellStyle name="_01-1.구조물 토공-_01-02.맨홀토공(OPEN-0.3)D-LINE" xfId="2238" xr:uid="{00000000-0005-0000-0000-0000BC080000}"/>
    <cellStyle name="_01-1.구조물 토공-_01-02.맨홀토공(OPEN-0.3)D-LINE_01-02.맨홀토공(OPEN-0.3)C-LINE" xfId="2239" xr:uid="{00000000-0005-0000-0000-0000BD080000}"/>
    <cellStyle name="_01-1.구조물 토공-_01-02.맨홀토공(OPEN-0.3)D-LINE_01-02.맨홀토공(OPEN-0.3)C-LINE_02.구조물및추진,도달기지토공(D구간)" xfId="2240" xr:uid="{00000000-0005-0000-0000-0000BE080000}"/>
    <cellStyle name="_01-1.구조물 토공-_01-02.맨홀토공(OPEN-0.3)D-LINE_01-02.맨홀토공(OPEN-0.3)D-LINE" xfId="2241" xr:uid="{00000000-0005-0000-0000-0000BF080000}"/>
    <cellStyle name="_01-1.구조물 토공-_01-02.맨홀토공(OPEN-0.3)D-LINE_01-02.맨홀토공(OPEN-0.3)D-LINE_02.구조물및추진,도달기지토공(D구간)" xfId="2242" xr:uid="{00000000-0005-0000-0000-0000C0080000}"/>
    <cellStyle name="_01-1.구조물 토공-_01-02.맨홀토공(OPEN-0.3)D-LINE_02.구조물및추진,도달기지토공(D구간)" xfId="2243" xr:uid="{00000000-0005-0000-0000-0000C1080000}"/>
    <cellStyle name="_01-1.구조물 토공-_01-3.옥구오수신설  맨홀토공(OPEN-0.3)" xfId="2244" xr:uid="{00000000-0005-0000-0000-0000C2080000}"/>
    <cellStyle name="_01-1.구조물 토공-_01-3.옥구오수신설  맨홀토공(OPEN-0.3)_01-02.맨홀토공(OPEN-0.3)C-LINE" xfId="2245" xr:uid="{00000000-0005-0000-0000-0000C3080000}"/>
    <cellStyle name="_01-1.구조물 토공-_01-3.옥구오수신설  맨홀토공(OPEN-0.3)_01-02.맨홀토공(OPEN-0.3)C-LINE_02.구조물및추진,도달기지토공(D구간)" xfId="2246" xr:uid="{00000000-0005-0000-0000-0000C4080000}"/>
    <cellStyle name="_01-1.구조물 토공-_01-3.옥구오수신설  맨홀토공(OPEN-0.3)_01-02.맨홀토공(OPEN-0.3)D-LINE" xfId="2247" xr:uid="{00000000-0005-0000-0000-0000C5080000}"/>
    <cellStyle name="_01-1.구조물 토공-_01-3.옥구오수신설  맨홀토공(OPEN-0.3)_01-02.맨홀토공(OPEN-0.3)D-LINE_02.구조물및추진,도달기지토공(D구간)" xfId="2248" xr:uid="{00000000-0005-0000-0000-0000C6080000}"/>
    <cellStyle name="_01-1.구조물 토공-_01-3.옥구오수신설  맨홀토공(OPEN-0.3)_02.구조물및추진,도달기지토공(D구간)" xfId="2249" xr:uid="{00000000-0005-0000-0000-0000C7080000}"/>
    <cellStyle name="_01-1.구조물 토공-_01-3.옥서오수신설  맨홀토공(OPEN-0.3)" xfId="2250" xr:uid="{00000000-0005-0000-0000-0000C8080000}"/>
    <cellStyle name="_01-1.구조물 토공-_01-3.옥서오수신설  맨홀토공(OPEN-0.3)_01-02.맨홀토공(OPEN-0.3)C-LINE" xfId="2251" xr:uid="{00000000-0005-0000-0000-0000C9080000}"/>
    <cellStyle name="_01-1.구조물 토공-_01-3.옥서오수신설  맨홀토공(OPEN-0.3)_01-02.맨홀토공(OPEN-0.3)C-LINE_02.구조물및추진,도달기지토공(D구간)" xfId="2252" xr:uid="{00000000-0005-0000-0000-0000CA080000}"/>
    <cellStyle name="_01-1.구조물 토공-_01-3.옥서오수신설  맨홀토공(OPEN-0.3)_01-02.맨홀토공(OPEN-0.3)D-LINE" xfId="2253" xr:uid="{00000000-0005-0000-0000-0000CB080000}"/>
    <cellStyle name="_01-1.구조물 토공-_01-3.옥서오수신설  맨홀토공(OPEN-0.3)_01-02.맨홀토공(OPEN-0.3)D-LINE_02.구조물및추진,도달기지토공(D구간)" xfId="2254" xr:uid="{00000000-0005-0000-0000-0000CC080000}"/>
    <cellStyle name="_01-1.구조물 토공-_01-3.옥서오수신설  맨홀토공(OPEN-0.3)_02.구조물및추진,도달기지토공(D구간)" xfId="2255" xr:uid="{00000000-0005-0000-0000-0000CD080000}"/>
    <cellStyle name="_01-1.구조물 토공-_02.구조물및추진,도달기지토공(D구간)" xfId="2256" xr:uid="{00000000-0005-0000-0000-0000CE080000}"/>
    <cellStyle name="_01-1.여천 배수설비 오수맨홀토공" xfId="2257" xr:uid="{00000000-0005-0000-0000-0000CF080000}"/>
    <cellStyle name="_01-1.여천 배수설비 오수맨홀토공_02.구조물및추진,도달기지토공(D구간)" xfId="2258" xr:uid="{00000000-0005-0000-0000-0000D0080000}"/>
    <cellStyle name="_01-1.옥구오수 구조물 토공" xfId="2259" xr:uid="{00000000-0005-0000-0000-0000D1080000}"/>
    <cellStyle name="_01-1.옥서오수 구조물 토공" xfId="2260" xr:uid="{00000000-0005-0000-0000-0000D2080000}"/>
    <cellStyle name="_01-1.임피오수 구조물 토공" xfId="2261" xr:uid="{00000000-0005-0000-0000-0000D3080000}"/>
    <cellStyle name="_015_LGPOWER" xfId="2262" xr:uid="{00000000-0005-0000-0000-0000D4080000}"/>
    <cellStyle name="_01U" xfId="2263" xr:uid="{00000000-0005-0000-0000-0000D5080000}"/>
    <cellStyle name="_01U_02측구공" xfId="2264" xr:uid="{00000000-0005-0000-0000-0000D6080000}"/>
    <cellStyle name="_01U_U-12" xfId="2265" xr:uid="{00000000-0005-0000-0000-0000D7080000}"/>
    <cellStyle name="_01U_U-12_02측구공" xfId="2266" xr:uid="{00000000-0005-0000-0000-0000D8080000}"/>
    <cellStyle name="_01U_U-12_수로BOX  (version 3)" xfId="2267" xr:uid="{00000000-0005-0000-0000-0000D9080000}"/>
    <cellStyle name="_01U_U-12_통로BOX " xfId="2268" xr:uid="{00000000-0005-0000-0000-0000DA080000}"/>
    <cellStyle name="_01U_U-13" xfId="2269" xr:uid="{00000000-0005-0000-0000-0000DB080000}"/>
    <cellStyle name="_01U_U-13_02측구공" xfId="2270" xr:uid="{00000000-0005-0000-0000-0000DC080000}"/>
    <cellStyle name="_01U_U-13_수로BOX  (version 3)" xfId="2271" xr:uid="{00000000-0005-0000-0000-0000DD080000}"/>
    <cellStyle name="_01U_U-13_통로BOX " xfId="2272" xr:uid="{00000000-0005-0000-0000-0000DE080000}"/>
    <cellStyle name="_01U_U-14" xfId="2273" xr:uid="{00000000-0005-0000-0000-0000DF080000}"/>
    <cellStyle name="_01U_U-14_02측구공" xfId="2274" xr:uid="{00000000-0005-0000-0000-0000E0080000}"/>
    <cellStyle name="_01U_U-14_수로BOX  (version 3)" xfId="2275" xr:uid="{00000000-0005-0000-0000-0000E1080000}"/>
    <cellStyle name="_01U_U-14_통로BOX " xfId="2276" xr:uid="{00000000-0005-0000-0000-0000E2080000}"/>
    <cellStyle name="_01U_U-14-1" xfId="2277" xr:uid="{00000000-0005-0000-0000-0000E3080000}"/>
    <cellStyle name="_01U_U-14-1_02측구공" xfId="2278" xr:uid="{00000000-0005-0000-0000-0000E4080000}"/>
    <cellStyle name="_01U_U-14-1_수로BOX  (version 3)" xfId="2279" xr:uid="{00000000-0005-0000-0000-0000E5080000}"/>
    <cellStyle name="_01U_U-14-1_통로BOX " xfId="2280" xr:uid="{00000000-0005-0000-0000-0000E6080000}"/>
    <cellStyle name="_01U_수로BOX  (version 3)" xfId="2281" xr:uid="{00000000-0005-0000-0000-0000E7080000}"/>
    <cellStyle name="_01U_통로BOX " xfId="2282" xr:uid="{00000000-0005-0000-0000-0000E8080000}"/>
    <cellStyle name="_01U-TypeL" xfId="2283" xr:uid="{00000000-0005-0000-0000-0000E9080000}"/>
    <cellStyle name="_01U-TypeL_02측구공" xfId="2284" xr:uid="{00000000-0005-0000-0000-0000EA080000}"/>
    <cellStyle name="_01U-TypeL_05U(5823)" xfId="2285" xr:uid="{00000000-0005-0000-0000-0000EB080000}"/>
    <cellStyle name="_01U-TypeL_05U(5823)_02측구공" xfId="2286" xr:uid="{00000000-0005-0000-0000-0000EC080000}"/>
    <cellStyle name="_01U-TypeL_05U(5823)_수로BOX  (version 3)" xfId="2287" xr:uid="{00000000-0005-0000-0000-0000ED080000}"/>
    <cellStyle name="_01U-TypeL_05U(5823)_통로BOX " xfId="2288" xr:uid="{00000000-0005-0000-0000-0000EE080000}"/>
    <cellStyle name="_01U-TypeL_U-12" xfId="2289" xr:uid="{00000000-0005-0000-0000-0000EF080000}"/>
    <cellStyle name="_01U-TypeL_U-12_02측구공" xfId="2290" xr:uid="{00000000-0005-0000-0000-0000F0080000}"/>
    <cellStyle name="_01U-TypeL_U-12_수로BOX  (version 3)" xfId="2291" xr:uid="{00000000-0005-0000-0000-0000F1080000}"/>
    <cellStyle name="_01U-TypeL_U-12_통로BOX " xfId="2292" xr:uid="{00000000-0005-0000-0000-0000F2080000}"/>
    <cellStyle name="_01U-TypeL_U-13" xfId="2293" xr:uid="{00000000-0005-0000-0000-0000F3080000}"/>
    <cellStyle name="_01U-TypeL_U-13_02측구공" xfId="2294" xr:uid="{00000000-0005-0000-0000-0000F4080000}"/>
    <cellStyle name="_01U-TypeL_U-13_수로BOX  (version 3)" xfId="2295" xr:uid="{00000000-0005-0000-0000-0000F5080000}"/>
    <cellStyle name="_01U-TypeL_U-13_통로BOX " xfId="2296" xr:uid="{00000000-0005-0000-0000-0000F6080000}"/>
    <cellStyle name="_01U-TypeL_U-14" xfId="2297" xr:uid="{00000000-0005-0000-0000-0000F7080000}"/>
    <cellStyle name="_01U-TypeL_U-14_02측구공" xfId="2298" xr:uid="{00000000-0005-0000-0000-0000F8080000}"/>
    <cellStyle name="_01U-TypeL_U-14_수로BOX  (version 3)" xfId="2299" xr:uid="{00000000-0005-0000-0000-0000F9080000}"/>
    <cellStyle name="_01U-TypeL_U-14_통로BOX " xfId="2300" xr:uid="{00000000-0005-0000-0000-0000FA080000}"/>
    <cellStyle name="_01U-TypeL_U-14-1" xfId="2301" xr:uid="{00000000-0005-0000-0000-0000FB080000}"/>
    <cellStyle name="_01U-TypeL_U-14-1_02측구공" xfId="2302" xr:uid="{00000000-0005-0000-0000-0000FC080000}"/>
    <cellStyle name="_01U-TypeL_U-14-1_수로BOX  (version 3)" xfId="2303" xr:uid="{00000000-0005-0000-0000-0000FD080000}"/>
    <cellStyle name="_01U-TypeL_U-14-1_통로BOX " xfId="2304" xr:uid="{00000000-0005-0000-0000-0000FE080000}"/>
    <cellStyle name="_01U-TypeL_수로BOX  (version 3)" xfId="2305" xr:uid="{00000000-0005-0000-0000-0000FF080000}"/>
    <cellStyle name="_01U-TypeL_통로BOX " xfId="2306" xr:uid="{00000000-0005-0000-0000-000000090000}"/>
    <cellStyle name="_01-배수지" xfId="2307" xr:uid="{00000000-0005-0000-0000-000001090000}"/>
    <cellStyle name="_01-배수지_변경내역서(의왕수도정비)-07.12.10(보할수정)-김후호수정" xfId="2308" xr:uid="{00000000-0005-0000-0000-000002090000}"/>
    <cellStyle name="_01-배수지_변경예정공정표(최종)" xfId="2309" xr:uid="{00000000-0005-0000-0000-000003090000}"/>
    <cellStyle name="_01-배수지_설계예" xfId="2310" xr:uid="{00000000-0005-0000-0000-000004090000}"/>
    <cellStyle name="_01-배수지_설계예_변경내역서(의왕수도정비)-07.12.10(보할수정)-김후호수정" xfId="2311" xr:uid="{00000000-0005-0000-0000-000005090000}"/>
    <cellStyle name="_01-배수지_설계예_변경예정공정표(최종)" xfId="2312" xr:uid="{00000000-0005-0000-0000-000006090000}"/>
    <cellStyle name="_01토공" xfId="2313" xr:uid="{00000000-0005-0000-0000-000007090000}"/>
    <cellStyle name="_01토공_라멘교 토공" xfId="2314" xr:uid="{00000000-0005-0000-0000-000008090000}"/>
    <cellStyle name="_01토공_철거" xfId="2315" xr:uid="{00000000-0005-0000-0000-000009090000}"/>
    <cellStyle name="_01토공_철거_라멘교 토공" xfId="2316" xr:uid="{00000000-0005-0000-0000-00000A090000}"/>
    <cellStyle name="_02.A-1 LINE관로토공" xfId="2317" xr:uid="{00000000-0005-0000-0000-00000B090000}"/>
    <cellStyle name="_02.A-1 LINE관로토공_02.구조물및추진,도달기지토공(D구간)" xfId="2318" xr:uid="{00000000-0005-0000-0000-00000C090000}"/>
    <cellStyle name="_02.A-1 LINE관로토공_행정배수지 라인(D500,수정)" xfId="2319" xr:uid="{00000000-0005-0000-0000-00000D090000}"/>
    <cellStyle name="_02.A-1 LINE관로토공_행정배수지 라인(D500,수정)_02.구조물및추진,도달기지토공(D구간)" xfId="2320" xr:uid="{00000000-0005-0000-0000-00000E090000}"/>
    <cellStyle name="_02.A-1 LINE관로토공_행정배수지 라인(D500,수정)_Book2" xfId="2321" xr:uid="{00000000-0005-0000-0000-00000F090000}"/>
    <cellStyle name="_02.A-1 LINE관로토공_행정배수지 라인(D500,수정)_Book2_02.구조물및추진,도달기지토공(D구간)" xfId="2322" xr:uid="{00000000-0005-0000-0000-000010090000}"/>
    <cellStyle name="_02.구조물공" xfId="2323" xr:uid="{00000000-0005-0000-0000-000011090000}"/>
    <cellStyle name="_02.구조물공(샘플)xls" xfId="2324" xr:uid="{00000000-0005-0000-0000-000012090000}"/>
    <cellStyle name="_021126_목포시청(총괄)" xfId="2325" xr:uid="{00000000-0005-0000-0000-000013090000}"/>
    <cellStyle name="_02U(5407)" xfId="2326" xr:uid="{00000000-0005-0000-0000-000014090000}"/>
    <cellStyle name="_02U(5407)_02측구공" xfId="2327" xr:uid="{00000000-0005-0000-0000-000015090000}"/>
    <cellStyle name="_02U(5407)_U-12" xfId="2328" xr:uid="{00000000-0005-0000-0000-000016090000}"/>
    <cellStyle name="_02U(5407)_U-12_02측구공" xfId="2329" xr:uid="{00000000-0005-0000-0000-000017090000}"/>
    <cellStyle name="_02U(5407)_U-12_수로BOX  (version 3)" xfId="2330" xr:uid="{00000000-0005-0000-0000-000018090000}"/>
    <cellStyle name="_02U(5407)_U-12_통로BOX " xfId="2331" xr:uid="{00000000-0005-0000-0000-000019090000}"/>
    <cellStyle name="_02U(5407)_U-13" xfId="2332" xr:uid="{00000000-0005-0000-0000-00001A090000}"/>
    <cellStyle name="_02U(5407)_U-13_02측구공" xfId="2333" xr:uid="{00000000-0005-0000-0000-00001B090000}"/>
    <cellStyle name="_02U(5407)_U-13_수로BOX  (version 3)" xfId="2334" xr:uid="{00000000-0005-0000-0000-00001C090000}"/>
    <cellStyle name="_02U(5407)_U-13_통로BOX " xfId="2335" xr:uid="{00000000-0005-0000-0000-00001D090000}"/>
    <cellStyle name="_02U(5407)_U-14" xfId="2336" xr:uid="{00000000-0005-0000-0000-00001E090000}"/>
    <cellStyle name="_02U(5407)_U-14_02측구공" xfId="2337" xr:uid="{00000000-0005-0000-0000-00001F090000}"/>
    <cellStyle name="_02U(5407)_U-14_수로BOX  (version 3)" xfId="2338" xr:uid="{00000000-0005-0000-0000-000020090000}"/>
    <cellStyle name="_02U(5407)_U-14_통로BOX " xfId="2339" xr:uid="{00000000-0005-0000-0000-000021090000}"/>
    <cellStyle name="_02U(5407)_U-14-1" xfId="2340" xr:uid="{00000000-0005-0000-0000-000022090000}"/>
    <cellStyle name="_02U(5407)_U-14-1_02측구공" xfId="2341" xr:uid="{00000000-0005-0000-0000-000023090000}"/>
    <cellStyle name="_02U(5407)_U-14-1_수로BOX  (version 3)" xfId="2342" xr:uid="{00000000-0005-0000-0000-000024090000}"/>
    <cellStyle name="_02U(5407)_U-14-1_통로BOX " xfId="2343" xr:uid="{00000000-0005-0000-0000-000025090000}"/>
    <cellStyle name="_02U(5407)_수로BOX  (version 3)" xfId="2344" xr:uid="{00000000-0005-0000-0000-000026090000}"/>
    <cellStyle name="_02U(5407)_통로BOX " xfId="2345" xr:uid="{00000000-0005-0000-0000-000027090000}"/>
    <cellStyle name="_02-가압장" xfId="2346" xr:uid="{00000000-0005-0000-0000-000028090000}"/>
    <cellStyle name="_02-가압장_변경내역서(의왕수도정비)-07.12.10(보할수정)-김후호수정" xfId="2347" xr:uid="{00000000-0005-0000-0000-000029090000}"/>
    <cellStyle name="_02-가압장_변경예정공정표(최종)" xfId="2348" xr:uid="{00000000-0005-0000-0000-00002A090000}"/>
    <cellStyle name="_02-가압장_설계예" xfId="2349" xr:uid="{00000000-0005-0000-0000-00002B090000}"/>
    <cellStyle name="_02-가압장_설계예_변경내역서(의왕수도정비)-07.12.10(보할수정)-김후호수정" xfId="2350" xr:uid="{00000000-0005-0000-0000-00002C090000}"/>
    <cellStyle name="_02-가압장_설계예_변경예정공정표(최종)" xfId="2351" xr:uid="{00000000-0005-0000-0000-00002D090000}"/>
    <cellStyle name="_02측구공" xfId="2352" xr:uid="{00000000-0005-0000-0000-00002E090000}"/>
    <cellStyle name="_03.구조물토공" xfId="2353" xr:uid="{00000000-0005-0000-0000-00002F090000}"/>
    <cellStyle name="_03.구조물토공_01.부대공(동판교3단계(본이설))" xfId="2354" xr:uid="{00000000-0005-0000-0000-000030090000}"/>
    <cellStyle name="_03.구조물토공_02.구조물및추진,도달기지토공(D구간)" xfId="2355" xr:uid="{00000000-0005-0000-0000-000031090000}"/>
    <cellStyle name="_03.송수B-LINE 구조물토공" xfId="2356" xr:uid="{00000000-0005-0000-0000-000032090000}"/>
    <cellStyle name="_03.송수B-LINE 구조물토공_02.구조물및추진,도달기지토공(D구간)" xfId="2357" xr:uid="{00000000-0005-0000-0000-000033090000}"/>
    <cellStyle name="_03.송수B-LINE 구조물토공_행정배수지 라인(D500,수정)" xfId="2358" xr:uid="{00000000-0005-0000-0000-000034090000}"/>
    <cellStyle name="_03.송수B-LINE 구조물토공_행정배수지 라인(D500,수정)_02.구조물및추진,도달기지토공(D구간)" xfId="2359" xr:uid="{00000000-0005-0000-0000-000035090000}"/>
    <cellStyle name="_03.송수B-LINE 구조물토공_행정배수지 라인(D500,수정)_Book2" xfId="2360" xr:uid="{00000000-0005-0000-0000-000036090000}"/>
    <cellStyle name="_03.송수B-LINE 구조물토공_행정배수지 라인(D500,수정)_Book2_02.구조물및추진,도달기지토공(D구간)" xfId="2361" xr:uid="{00000000-0005-0000-0000-000037090000}"/>
    <cellStyle name="_03.신월 오수 구조물공" xfId="2362" xr:uid="{00000000-0005-0000-0000-000038090000}"/>
    <cellStyle name="_03.여도오수 구조물공" xfId="2363" xr:uid="{00000000-0005-0000-0000-000039090000}"/>
    <cellStyle name="_03.여천오수 구조물공" xfId="2364" xr:uid="{00000000-0005-0000-0000-00003A090000}"/>
    <cellStyle name="_03.여천우수 구조물공" xfId="2365" xr:uid="{00000000-0005-0000-0000-00003B090000}"/>
    <cellStyle name="_03.차집 구조물공" xfId="2366" xr:uid="{00000000-0005-0000-0000-00003C090000}"/>
    <cellStyle name="_03.화장오수 구조물공" xfId="2367" xr:uid="{00000000-0005-0000-0000-00003D090000}"/>
    <cellStyle name="_04.A-1 LINE 구조물토공" xfId="2368" xr:uid="{00000000-0005-0000-0000-00003E090000}"/>
    <cellStyle name="_04.A-1 LINE 구조물토공_02.구조물및추진,도달기지토공(D구간)" xfId="2369" xr:uid="{00000000-0005-0000-0000-00003F090000}"/>
    <cellStyle name="_04.A-1 LINE 구조물토공_행정배수지 라인(D500,수정)" xfId="2370" xr:uid="{00000000-0005-0000-0000-000040090000}"/>
    <cellStyle name="_04.A-1 LINE 구조물토공_행정배수지 라인(D500,수정)_02.구조물및추진,도달기지토공(D구간)" xfId="2371" xr:uid="{00000000-0005-0000-0000-000041090000}"/>
    <cellStyle name="_04.A-1 LINE 구조물토공_행정배수지 라인(D500,수정)_Book2" xfId="2372" xr:uid="{00000000-0005-0000-0000-000042090000}"/>
    <cellStyle name="_04.A-1 LINE 구조물토공_행정배수지 라인(D500,수정)_Book2_02.구조물및추진,도달기지토공(D구간)" xfId="2373" xr:uid="{00000000-0005-0000-0000-000043090000}"/>
    <cellStyle name="_04.A-LINE 구조물토공(수정4-26)" xfId="2374" xr:uid="{00000000-0005-0000-0000-000044090000}"/>
    <cellStyle name="_04.A-LINE 구조물토공(수정4-26)_02.구조물및추진,도달기지토공(D구간)" xfId="2375" xr:uid="{00000000-0005-0000-0000-000045090000}"/>
    <cellStyle name="_04.기본 및 실시설계" xfId="2376" xr:uid="{00000000-0005-0000-0000-000046090000}"/>
    <cellStyle name="_04.대야 포장공-신설" xfId="2377" xr:uid="{00000000-0005-0000-0000-000047090000}"/>
    <cellStyle name="_04.도수 C-LINE 구조물토공" xfId="2378" xr:uid="{00000000-0005-0000-0000-000048090000}"/>
    <cellStyle name="_04.도수 C-LINE 구조물토공_000-1.주요자재 A-LINE" xfId="2379" xr:uid="{00000000-0005-0000-0000-000049090000}"/>
    <cellStyle name="_04.도수 C-LINE 구조물토공_000-1.주요자재 B-LINE" xfId="2380" xr:uid="{00000000-0005-0000-0000-00004A090000}"/>
    <cellStyle name="_04.도수 C-LINE 구조물토공_000-1.주요자재 C-LINE" xfId="2381" xr:uid="{00000000-0005-0000-0000-00004B090000}"/>
    <cellStyle name="_04.도수 C-LINE 구조물토공_02.구조물및추진,도달기지토공(D구간)" xfId="2382" xr:uid="{00000000-0005-0000-0000-00004C090000}"/>
    <cellStyle name="_04.도수 C-LINE 구조물토공_행정배수지 라인(D500,수정)" xfId="2383" xr:uid="{00000000-0005-0000-0000-00004D090000}"/>
    <cellStyle name="_04.도수 C-LINE 구조물토공_행정배수지 라인(D500,수정)_02.구조물및추진,도달기지토공(D구간)" xfId="2384" xr:uid="{00000000-0005-0000-0000-00004E090000}"/>
    <cellStyle name="_04.도수 C-LINE 구조물토공_행정배수지 라인(D500,수정)_Book2" xfId="2385" xr:uid="{00000000-0005-0000-0000-00004F090000}"/>
    <cellStyle name="_04.도수 C-LINE 구조물토공_행정배수지 라인(D500,수정)_Book2_02.구조물및추진,도달기지토공(D구간)" xfId="2386" xr:uid="{00000000-0005-0000-0000-000050090000}"/>
    <cellStyle name="_04.송수 F-LINE 구조물토공" xfId="2387" xr:uid="{00000000-0005-0000-0000-000051090000}"/>
    <cellStyle name="_04.송수 F-LINE 구조물토공_000-1.주요자재 A-LINE" xfId="2388" xr:uid="{00000000-0005-0000-0000-000052090000}"/>
    <cellStyle name="_04.송수 F-LINE 구조물토공_000-1.주요자재 B-LINE" xfId="2389" xr:uid="{00000000-0005-0000-0000-000053090000}"/>
    <cellStyle name="_04.송수 F-LINE 구조물토공_000-1.주요자재 C-LINE" xfId="2390" xr:uid="{00000000-0005-0000-0000-000054090000}"/>
    <cellStyle name="_04.송수 F-LINE 구조물토공_02.구조물및추진,도달기지토공(D구간)" xfId="2391" xr:uid="{00000000-0005-0000-0000-000055090000}"/>
    <cellStyle name="_04.송수 F-LINE 구조물토공_행정배수지 라인(D500,수정)" xfId="2392" xr:uid="{00000000-0005-0000-0000-000056090000}"/>
    <cellStyle name="_04.송수 F-LINE 구조물토공_행정배수지 라인(D500,수정)_02.구조물및추진,도달기지토공(D구간)" xfId="2393" xr:uid="{00000000-0005-0000-0000-000057090000}"/>
    <cellStyle name="_04.송수 F-LINE 구조물토공_행정배수지 라인(D500,수정)_Book2" xfId="2394" xr:uid="{00000000-0005-0000-0000-000058090000}"/>
    <cellStyle name="_04.송수 F-LINE 구조물토공_행정배수지 라인(D500,수정)_Book2_02.구조물및추진,도달기지토공(D구간)" xfId="2395" xr:uid="{00000000-0005-0000-0000-000059090000}"/>
    <cellStyle name="_04.송수A-LINE 구조물토공" xfId="2396" xr:uid="{00000000-0005-0000-0000-00005A090000}"/>
    <cellStyle name="_04.송수A-LINE 구조물토공_000-1.주요자재 A-LINE" xfId="2397" xr:uid="{00000000-0005-0000-0000-00005B090000}"/>
    <cellStyle name="_04.송수A-LINE 구조물토공_000-1.주요자재 B-LINE" xfId="2398" xr:uid="{00000000-0005-0000-0000-00005C090000}"/>
    <cellStyle name="_04.송수A-LINE 구조물토공_000-1.주요자재 C-LINE" xfId="2399" xr:uid="{00000000-0005-0000-0000-00005D090000}"/>
    <cellStyle name="_04.송수A-LINE 구조물토공_02.구조물및추진,도달기지토공(D구간)" xfId="2400" xr:uid="{00000000-0005-0000-0000-00005E090000}"/>
    <cellStyle name="_04.송수A-LINE 구조물토공_행정배수지 라인(D500,수정)" xfId="2401" xr:uid="{00000000-0005-0000-0000-00005F090000}"/>
    <cellStyle name="_04.송수A-LINE 구조물토공_행정배수지 라인(D500,수정)_02.구조물및추진,도달기지토공(D구간)" xfId="2402" xr:uid="{00000000-0005-0000-0000-000060090000}"/>
    <cellStyle name="_04.송수A-LINE 구조물토공_행정배수지 라인(D500,수정)_Book2" xfId="2403" xr:uid="{00000000-0005-0000-0000-000061090000}"/>
    <cellStyle name="_04.송수A-LINE 구조물토공_행정배수지 라인(D500,수정)_Book2_02.구조물및추진,도달기지토공(D구간)" xfId="2404" xr:uid="{00000000-0005-0000-0000-000062090000}"/>
    <cellStyle name="_04.송수B-LINE 구조물토공" xfId="2405" xr:uid="{00000000-0005-0000-0000-000063090000}"/>
    <cellStyle name="_04.송수B-LINE 구조물토공_000-1.주요자재 A-LINE" xfId="2406" xr:uid="{00000000-0005-0000-0000-000064090000}"/>
    <cellStyle name="_04.송수B-LINE 구조물토공_000-1.주요자재 B-LINE" xfId="2407" xr:uid="{00000000-0005-0000-0000-000065090000}"/>
    <cellStyle name="_04.송수B-LINE 구조물토공_000-1.주요자재 C-LINE" xfId="2408" xr:uid="{00000000-0005-0000-0000-000066090000}"/>
    <cellStyle name="_04.송수B-LINE 구조물토공_02.구조물및추진,도달기지토공(D구간)" xfId="2409" xr:uid="{00000000-0005-0000-0000-000067090000}"/>
    <cellStyle name="_04.송수B-LINE 구조물토공_행정배수지 라인(D500,수정)" xfId="2410" xr:uid="{00000000-0005-0000-0000-000068090000}"/>
    <cellStyle name="_04.송수B-LINE 구조물토공_행정배수지 라인(D500,수정)_02.구조물및추진,도달기지토공(D구간)" xfId="2411" xr:uid="{00000000-0005-0000-0000-000069090000}"/>
    <cellStyle name="_04.송수B-LINE 구조물토공_행정배수지 라인(D500,수정)_Book2" xfId="2412" xr:uid="{00000000-0005-0000-0000-00006A090000}"/>
    <cellStyle name="_04.송수B-LINE 구조물토공_행정배수지 라인(D500,수정)_Book2_02.구조물및추진,도달기지토공(D구간)" xfId="2413" xr:uid="{00000000-0005-0000-0000-00006B090000}"/>
    <cellStyle name="_04.송수C-LINE 구조물토공" xfId="2414" xr:uid="{00000000-0005-0000-0000-00006C090000}"/>
    <cellStyle name="_04.송수E-LINE 구조물토공" xfId="2415" xr:uid="{00000000-0005-0000-0000-00006D090000}"/>
    <cellStyle name="_04.송수E-LINE 구조물토공_000-1.주요자재 A-LINE" xfId="2416" xr:uid="{00000000-0005-0000-0000-00006E090000}"/>
    <cellStyle name="_04.송수E-LINE 구조물토공_000-1.주요자재 B-LINE" xfId="2417" xr:uid="{00000000-0005-0000-0000-00006F090000}"/>
    <cellStyle name="_04.송수E-LINE 구조물토공_000-1.주요자재 C-LINE" xfId="2418" xr:uid="{00000000-0005-0000-0000-000070090000}"/>
    <cellStyle name="_04.송수E-LINE 구조물토공_02.구조물및추진,도달기지토공(D구간)" xfId="2419" xr:uid="{00000000-0005-0000-0000-000071090000}"/>
    <cellStyle name="_04.송수E-LINE 구조물토공_행정배수지 라인(D500,수정)" xfId="2420" xr:uid="{00000000-0005-0000-0000-000072090000}"/>
    <cellStyle name="_04.송수E-LINE 구조물토공_행정배수지 라인(D500,수정)_02.구조물및추진,도달기지토공(D구간)" xfId="2421" xr:uid="{00000000-0005-0000-0000-000073090000}"/>
    <cellStyle name="_04.송수E-LINE 구조물토공_행정배수지 라인(D500,수정)_Book2" xfId="2422" xr:uid="{00000000-0005-0000-0000-000074090000}"/>
    <cellStyle name="_04.송수E-LINE 구조물토공_행정배수지 라인(D500,수정)_Book2_02.구조물및추진,도달기지토공(D구간)" xfId="2423" xr:uid="{00000000-0005-0000-0000-000075090000}"/>
    <cellStyle name="_04.연초도수구조물토공" xfId="2424" xr:uid="{00000000-0005-0000-0000-000076090000}"/>
    <cellStyle name="_04.차룡계통구조물토공(수정4-13)" xfId="2425" xr:uid="{00000000-0005-0000-0000-000077090000}"/>
    <cellStyle name="_04.창원1공구구조물토공(수정4-13)" xfId="2426" xr:uid="{00000000-0005-0000-0000-000078090000}"/>
    <cellStyle name="_04U(7994)" xfId="2427" xr:uid="{00000000-0005-0000-0000-000079090000}"/>
    <cellStyle name="_04U(7994)_02측구공" xfId="2428" xr:uid="{00000000-0005-0000-0000-00007A090000}"/>
    <cellStyle name="_04U(7994)_U-12" xfId="2429" xr:uid="{00000000-0005-0000-0000-00007B090000}"/>
    <cellStyle name="_04U(7994)_U-12_02측구공" xfId="2430" xr:uid="{00000000-0005-0000-0000-00007C090000}"/>
    <cellStyle name="_04U(7994)_U-12_수로BOX  (version 3)" xfId="2431" xr:uid="{00000000-0005-0000-0000-00007D090000}"/>
    <cellStyle name="_04U(7994)_U-12_통로BOX " xfId="2432" xr:uid="{00000000-0005-0000-0000-00007E090000}"/>
    <cellStyle name="_04U(7994)_U-13" xfId="2433" xr:uid="{00000000-0005-0000-0000-00007F090000}"/>
    <cellStyle name="_04U(7994)_U-13_02측구공" xfId="2434" xr:uid="{00000000-0005-0000-0000-000080090000}"/>
    <cellStyle name="_04U(7994)_U-13_수로BOX  (version 3)" xfId="2435" xr:uid="{00000000-0005-0000-0000-000081090000}"/>
    <cellStyle name="_04U(7994)_U-13_통로BOX " xfId="2436" xr:uid="{00000000-0005-0000-0000-000082090000}"/>
    <cellStyle name="_04U(7994)_U-14" xfId="2437" xr:uid="{00000000-0005-0000-0000-000083090000}"/>
    <cellStyle name="_04U(7994)_U-14_02측구공" xfId="2438" xr:uid="{00000000-0005-0000-0000-000084090000}"/>
    <cellStyle name="_04U(7994)_U-14_수로BOX  (version 3)" xfId="2439" xr:uid="{00000000-0005-0000-0000-000085090000}"/>
    <cellStyle name="_04U(7994)_U-14_통로BOX " xfId="2440" xr:uid="{00000000-0005-0000-0000-000086090000}"/>
    <cellStyle name="_04U(7994)_U-14-1" xfId="2441" xr:uid="{00000000-0005-0000-0000-000087090000}"/>
    <cellStyle name="_04U(7994)_U-14-1_02측구공" xfId="2442" xr:uid="{00000000-0005-0000-0000-000088090000}"/>
    <cellStyle name="_04U(7994)_U-14-1_수로BOX  (version 3)" xfId="2443" xr:uid="{00000000-0005-0000-0000-000089090000}"/>
    <cellStyle name="_04U(7994)_U-14-1_통로BOX " xfId="2444" xr:uid="{00000000-0005-0000-0000-00008A090000}"/>
    <cellStyle name="_04U(7994)_수로BOX  (version 3)" xfId="2445" xr:uid="{00000000-0005-0000-0000-00008B090000}"/>
    <cellStyle name="_04U(7994)_통로BOX " xfId="2446" xr:uid="{00000000-0005-0000-0000-00008C090000}"/>
    <cellStyle name="_05.송수B-LINE접합부토공" xfId="2447" xr:uid="{00000000-0005-0000-0000-00008D090000}"/>
    <cellStyle name="_05.접합부토공" xfId="2448" xr:uid="{00000000-0005-0000-0000-00008E090000}"/>
    <cellStyle name="_05U(5823)" xfId="2449" xr:uid="{00000000-0005-0000-0000-00008F090000}"/>
    <cellStyle name="_05U(5823)_02측구공" xfId="2450" xr:uid="{00000000-0005-0000-0000-000090090000}"/>
    <cellStyle name="_05U(5823)_수로BOX  (version 3)" xfId="2451" xr:uid="{00000000-0005-0000-0000-000091090000}"/>
    <cellStyle name="_05U(5823)_통로BOX " xfId="2452" xr:uid="{00000000-0005-0000-0000-000092090000}"/>
    <cellStyle name="_060321-장평면용산면상수도수수시설실시" xfId="2453" xr:uid="{00000000-0005-0000-0000-000093090000}"/>
    <cellStyle name="_060614_포천시(총괄설계안)ver4.0" xfId="2454" xr:uid="{00000000-0005-0000-0000-000094090000}"/>
    <cellStyle name="_06-부대공" xfId="2455" xr:uid="{00000000-0005-0000-0000-000095090000}"/>
    <cellStyle name="_08낙석방지울타리" xfId="2456" xr:uid="{00000000-0005-0000-0000-000096090000}"/>
    <cellStyle name="_09-3 토공 평균H 조서" xfId="2457" xr:uid="{00000000-0005-0000-0000-000097090000}"/>
    <cellStyle name="_09-3 토공 평균H 조서_01-02.맨홀토공(OPEN-0.3)D-LINE" xfId="2458" xr:uid="{00000000-0005-0000-0000-000098090000}"/>
    <cellStyle name="_09-3 토공 평균H 조서_01-02.맨홀토공(OPEN-0.3)D-LINE_01-02.맨홀토공(OPEN-0.3)C-LINE" xfId="2459" xr:uid="{00000000-0005-0000-0000-000099090000}"/>
    <cellStyle name="_09-3 토공 평균H 조서_01-02.맨홀토공(OPEN-0.3)D-LINE_01-02.맨홀토공(OPEN-0.3)C-LINE_02.구조물및추진,도달기지토공(D구간)" xfId="2460" xr:uid="{00000000-0005-0000-0000-00009A090000}"/>
    <cellStyle name="_09-3 토공 평균H 조서_01-02.맨홀토공(OPEN-0.3)D-LINE_01-02.맨홀토공(OPEN-0.3)D-LINE" xfId="2461" xr:uid="{00000000-0005-0000-0000-00009B090000}"/>
    <cellStyle name="_09-3 토공 평균H 조서_01-02.맨홀토공(OPEN-0.3)D-LINE_01-02.맨홀토공(OPEN-0.3)D-LINE_02.구조물및추진,도달기지토공(D구간)" xfId="2462" xr:uid="{00000000-0005-0000-0000-00009C090000}"/>
    <cellStyle name="_09-3 토공 평균H 조서_01-02.맨홀토공(OPEN-0.3)D-LINE_02.구조물및추진,도달기지토공(D구간)" xfId="2463" xr:uid="{00000000-0005-0000-0000-00009D090000}"/>
    <cellStyle name="_09-3 토공 평균H 조서_01-3.옥구오수신설  맨홀토공(OPEN-0.3)" xfId="2464" xr:uid="{00000000-0005-0000-0000-00009E090000}"/>
    <cellStyle name="_09-3 토공 평균H 조서_01-3.옥구오수신설  맨홀토공(OPEN-0.3)_01-02.맨홀토공(OPEN-0.3)C-LINE" xfId="2465" xr:uid="{00000000-0005-0000-0000-00009F090000}"/>
    <cellStyle name="_09-3 토공 평균H 조서_01-3.옥구오수신설  맨홀토공(OPEN-0.3)_01-02.맨홀토공(OPEN-0.3)C-LINE_02.구조물및추진,도달기지토공(D구간)" xfId="2466" xr:uid="{00000000-0005-0000-0000-0000A0090000}"/>
    <cellStyle name="_09-3 토공 평균H 조서_01-3.옥구오수신설  맨홀토공(OPEN-0.3)_01-02.맨홀토공(OPEN-0.3)D-LINE" xfId="2467" xr:uid="{00000000-0005-0000-0000-0000A1090000}"/>
    <cellStyle name="_09-3 토공 평균H 조서_01-3.옥구오수신설  맨홀토공(OPEN-0.3)_01-02.맨홀토공(OPEN-0.3)D-LINE_02.구조물및추진,도달기지토공(D구간)" xfId="2468" xr:uid="{00000000-0005-0000-0000-0000A2090000}"/>
    <cellStyle name="_09-3 토공 평균H 조서_01-3.옥구오수신설  맨홀토공(OPEN-0.3)_02.구조물및추진,도달기지토공(D구간)" xfId="2469" xr:uid="{00000000-0005-0000-0000-0000A3090000}"/>
    <cellStyle name="_09-3 토공 평균H 조서_01-3.옥서오수신설  맨홀토공(OPEN-0.3)" xfId="2470" xr:uid="{00000000-0005-0000-0000-0000A4090000}"/>
    <cellStyle name="_09-3 토공 평균H 조서_01-3.옥서오수신설  맨홀토공(OPEN-0.3)_01-02.맨홀토공(OPEN-0.3)C-LINE" xfId="2471" xr:uid="{00000000-0005-0000-0000-0000A5090000}"/>
    <cellStyle name="_09-3 토공 평균H 조서_01-3.옥서오수신설  맨홀토공(OPEN-0.3)_01-02.맨홀토공(OPEN-0.3)C-LINE_02.구조물및추진,도달기지토공(D구간)" xfId="2472" xr:uid="{00000000-0005-0000-0000-0000A6090000}"/>
    <cellStyle name="_09-3 토공 평균H 조서_01-3.옥서오수신설  맨홀토공(OPEN-0.3)_01-02.맨홀토공(OPEN-0.3)D-LINE" xfId="2473" xr:uid="{00000000-0005-0000-0000-0000A7090000}"/>
    <cellStyle name="_09-3 토공 평균H 조서_01-3.옥서오수신설  맨홀토공(OPEN-0.3)_01-02.맨홀토공(OPEN-0.3)D-LINE_02.구조물및추진,도달기지토공(D구간)" xfId="2474" xr:uid="{00000000-0005-0000-0000-0000A8090000}"/>
    <cellStyle name="_09-3 토공 평균H 조서_01-3.옥서오수신설  맨홀토공(OPEN-0.3)_02.구조물및추진,도달기지토공(D구간)" xfId="2475" xr:uid="{00000000-0005-0000-0000-0000A9090000}"/>
    <cellStyle name="_09-3 토공 평균H 조서_02.구조물및추진,도달기지토공(D구간)" xfId="2476" xr:uid="{00000000-0005-0000-0000-0000AA090000}"/>
    <cellStyle name="_09월소장단회의자료1" xfId="2477" xr:uid="{00000000-0005-0000-0000-0000AB090000}"/>
    <cellStyle name="_09월소장단회의자료1_B-1,B-1-1노선변경실정보고" xfId="2478" xr:uid="{00000000-0005-0000-0000-0000AC090000}"/>
    <cellStyle name="_09월소장단회의자료1_B-1,B-1-1노선변경실정보고_발주내역서(제주도 하수처리장)1" xfId="2479" xr:uid="{00000000-0005-0000-0000-0000AD090000}"/>
    <cellStyle name="_09월소장단회의자료1_B-1,B-1-1노선변경실정보고_번암,산서하수처리장(처리장+관로+마을하수-1)" xfId="2480" xr:uid="{00000000-0005-0000-0000-0000AE090000}"/>
    <cellStyle name="_09월소장단회의자료1_B-1,B-1-1노선변경실정보고_조천배수지 확장사업 내역서" xfId="2481" xr:uid="{00000000-0005-0000-0000-0000AF090000}"/>
    <cellStyle name="_09월소장단회의자료1_B-1,B-1-1노선변경실정보고_진안지방상수도개발사업2-19(마을배수관로미포함)" xfId="2482" xr:uid="{00000000-0005-0000-0000-0000B0090000}"/>
    <cellStyle name="_09월소장단회의자료1_B-1,B-1-1노선변경실정보고_진안지방상수도개발사업2-19(마을배수관로미포함)_고수,공음,신림마을하수도" xfId="2483" xr:uid="{00000000-0005-0000-0000-0000B1090000}"/>
    <cellStyle name="_09월소장단회의자료1_B-1,B-1-1노선변경실정보고_진안지방상수도개발사업2-19(마을배수관로미포함)_고수,공음,신림마을하수도_발주내역서(제주도 하수처리장)1" xfId="2484" xr:uid="{00000000-0005-0000-0000-0000B2090000}"/>
    <cellStyle name="_09월소장단회의자료1_B-1,B-1-1노선변경실정보고_진안지방상수도개발사업2-19(마을배수관로미포함)_고수,공음,신림마을하수도_조천배수지 확장사업 내역서" xfId="2485" xr:uid="{00000000-0005-0000-0000-0000B3090000}"/>
    <cellStyle name="_09월소장단회의자료1_B-1,B-1-1노선변경실정보고_진안지방상수도개발사업2-19(마을배수관로미포함)_발주내역서(제주도 하수처리장)1" xfId="2486" xr:uid="{00000000-0005-0000-0000-0000B4090000}"/>
    <cellStyle name="_09월소장단회의자료1_B-1,B-1-1노선변경실정보고_진안지방상수도개발사업2-19(마을배수관로미포함)_번암,산서하수처리장(처리장+관로+마을하수-1)" xfId="2487" xr:uid="{00000000-0005-0000-0000-0000B5090000}"/>
    <cellStyle name="_09월소장단회의자료1_B-1,B-1-1노선변경실정보고_진안지방상수도개발사업2-19(마을배수관로미포함)_조천배수지 확장사업 내역서" xfId="2488" xr:uid="{00000000-0005-0000-0000-0000B6090000}"/>
    <cellStyle name="_09월소장단회의자료1_발주내역서(제주도 하수처리장)1" xfId="2489" xr:uid="{00000000-0005-0000-0000-0000B7090000}"/>
    <cellStyle name="_09월소장단회의자료1_번암,산서하수처리장(처리장+관로+마을하수-1)" xfId="2490" xr:uid="{00000000-0005-0000-0000-0000B8090000}"/>
    <cellStyle name="_09월소장단회의자료1_조천배수지 확장사업 내역서" xfId="2491" xr:uid="{00000000-0005-0000-0000-0000B9090000}"/>
    <cellStyle name="_09월소장단회의자료1_진안지방상수도개발사업2-19(마을배수관로미포함)" xfId="2492" xr:uid="{00000000-0005-0000-0000-0000BA090000}"/>
    <cellStyle name="_09월소장단회의자료1_진안지방상수도개발사업2-19(마을배수관로미포함)_고수,공음,신림마을하수도" xfId="2493" xr:uid="{00000000-0005-0000-0000-0000BB090000}"/>
    <cellStyle name="_09월소장단회의자료1_진안지방상수도개발사업2-19(마을배수관로미포함)_고수,공음,신림마을하수도_발주내역서(제주도 하수처리장)1" xfId="2494" xr:uid="{00000000-0005-0000-0000-0000BC090000}"/>
    <cellStyle name="_09월소장단회의자료1_진안지방상수도개발사업2-19(마을배수관로미포함)_고수,공음,신림마을하수도_조천배수지 확장사업 내역서" xfId="2495" xr:uid="{00000000-0005-0000-0000-0000BD090000}"/>
    <cellStyle name="_09월소장단회의자료1_진안지방상수도개발사업2-19(마을배수관로미포함)_발주내역서(제주도 하수처리장)1" xfId="2496" xr:uid="{00000000-0005-0000-0000-0000BE090000}"/>
    <cellStyle name="_09월소장단회의자료1_진안지방상수도개발사업2-19(마을배수관로미포함)_번암,산서하수처리장(처리장+관로+마을하수-1)" xfId="2497" xr:uid="{00000000-0005-0000-0000-0000BF090000}"/>
    <cellStyle name="_09월소장단회의자료1_진안지방상수도개발사업2-19(마을배수관로미포함)_조천배수지 확장사업 내역서" xfId="2498" xr:uid="{00000000-0005-0000-0000-0000C0090000}"/>
    <cellStyle name="_09월소장단회의자료1_토공계획" xfId="2499" xr:uid="{00000000-0005-0000-0000-0000C1090000}"/>
    <cellStyle name="_09월소장단회의자료1_토공계획_B-1,B-1-1노선변경실정보고" xfId="2500" xr:uid="{00000000-0005-0000-0000-0000C2090000}"/>
    <cellStyle name="_09월소장단회의자료1_토공계획_B-1,B-1-1노선변경실정보고_발주내역서(제주도 하수처리장)1" xfId="2501" xr:uid="{00000000-0005-0000-0000-0000C3090000}"/>
    <cellStyle name="_09월소장단회의자료1_토공계획_B-1,B-1-1노선변경실정보고_번암,산서하수처리장(처리장+관로+마을하수-1)" xfId="2502" xr:uid="{00000000-0005-0000-0000-0000C4090000}"/>
    <cellStyle name="_09월소장단회의자료1_토공계획_B-1,B-1-1노선변경실정보고_조천배수지 확장사업 내역서" xfId="2503" xr:uid="{00000000-0005-0000-0000-0000C5090000}"/>
    <cellStyle name="_09월소장단회의자료1_토공계획_B-1,B-1-1노선변경실정보고_진안지방상수도개발사업2-19(마을배수관로미포함)" xfId="2504" xr:uid="{00000000-0005-0000-0000-0000C6090000}"/>
    <cellStyle name="_09월소장단회의자료1_토공계획_B-1,B-1-1노선변경실정보고_진안지방상수도개발사업2-19(마을배수관로미포함)_고수,공음,신림마을하수도" xfId="2505" xr:uid="{00000000-0005-0000-0000-0000C7090000}"/>
    <cellStyle name="_09월소장단회의자료1_토공계획_B-1,B-1-1노선변경실정보고_진안지방상수도개발사업2-19(마을배수관로미포함)_고수,공음,신림마을하수도_발주내역서(제주도 하수처리장)1" xfId="2506" xr:uid="{00000000-0005-0000-0000-0000C8090000}"/>
    <cellStyle name="_09월소장단회의자료1_토공계획_B-1,B-1-1노선변경실정보고_진안지방상수도개발사업2-19(마을배수관로미포함)_고수,공음,신림마을하수도_조천배수지 확장사업 내역서" xfId="2507" xr:uid="{00000000-0005-0000-0000-0000C9090000}"/>
    <cellStyle name="_09월소장단회의자료1_토공계획_B-1,B-1-1노선변경실정보고_진안지방상수도개발사업2-19(마을배수관로미포함)_발주내역서(제주도 하수처리장)1" xfId="2508" xr:uid="{00000000-0005-0000-0000-0000CA090000}"/>
    <cellStyle name="_09월소장단회의자료1_토공계획_B-1,B-1-1노선변경실정보고_진안지방상수도개발사업2-19(마을배수관로미포함)_번암,산서하수처리장(처리장+관로+마을하수-1)" xfId="2509" xr:uid="{00000000-0005-0000-0000-0000CB090000}"/>
    <cellStyle name="_09월소장단회의자료1_토공계획_B-1,B-1-1노선변경실정보고_진안지방상수도개발사업2-19(마을배수관로미포함)_조천배수지 확장사업 내역서" xfId="2510" xr:uid="{00000000-0005-0000-0000-0000CC090000}"/>
    <cellStyle name="_09월소장단회의자료1_토공계획_구조물공사시공계획서" xfId="2511" xr:uid="{00000000-0005-0000-0000-0000CD090000}"/>
    <cellStyle name="_09월소장단회의자료1_토공계획_구조물공사시공계획서_B-1,B-1-1노선변경실정보고" xfId="2512" xr:uid="{00000000-0005-0000-0000-0000CE090000}"/>
    <cellStyle name="_09월소장단회의자료1_토공계획_구조물공사시공계획서_B-1,B-1-1노선변경실정보고_발주내역서(제주도 하수처리장)1" xfId="2513" xr:uid="{00000000-0005-0000-0000-0000CF090000}"/>
    <cellStyle name="_09월소장단회의자료1_토공계획_구조물공사시공계획서_B-1,B-1-1노선변경실정보고_번암,산서하수처리장(처리장+관로+마을하수-1)" xfId="2514" xr:uid="{00000000-0005-0000-0000-0000D0090000}"/>
    <cellStyle name="_09월소장단회의자료1_토공계획_구조물공사시공계획서_B-1,B-1-1노선변경실정보고_조천배수지 확장사업 내역서" xfId="2515" xr:uid="{00000000-0005-0000-0000-0000D1090000}"/>
    <cellStyle name="_09월소장단회의자료1_토공계획_구조물공사시공계획서_B-1,B-1-1노선변경실정보고_진안지방상수도개발사업2-19(마을배수관로미포함)" xfId="2516" xr:uid="{00000000-0005-0000-0000-0000D2090000}"/>
    <cellStyle name="_09월소장단회의자료1_토공계획_구조물공사시공계획서_B-1,B-1-1노선변경실정보고_진안지방상수도개발사업2-19(마을배수관로미포함)_고수,공음,신림마을하수도" xfId="2517" xr:uid="{00000000-0005-0000-0000-0000D3090000}"/>
    <cellStyle name="_09월소장단회의자료1_토공계획_구조물공사시공계획서_B-1,B-1-1노선변경실정보고_진안지방상수도개발사업2-19(마을배수관로미포함)_고수,공음,신림마을하수도_발주내역서(제주도 하수처리장)1" xfId="2518" xr:uid="{00000000-0005-0000-0000-0000D4090000}"/>
    <cellStyle name="_09월소장단회의자료1_토공계획_구조물공사시공계획서_B-1,B-1-1노선변경실정보고_진안지방상수도개발사업2-19(마을배수관로미포함)_고수,공음,신림마을하수도_조천배수지 확장사업 내역서" xfId="2519" xr:uid="{00000000-0005-0000-0000-0000D5090000}"/>
    <cellStyle name="_09월소장단회의자료1_토공계획_구조물공사시공계획서_B-1,B-1-1노선변경실정보고_진안지방상수도개발사업2-19(마을배수관로미포함)_발주내역서(제주도 하수처리장)1" xfId="2520" xr:uid="{00000000-0005-0000-0000-0000D6090000}"/>
    <cellStyle name="_09월소장단회의자료1_토공계획_구조물공사시공계획서_B-1,B-1-1노선변경실정보고_진안지방상수도개발사업2-19(마을배수관로미포함)_번암,산서하수처리장(처리장+관로+마을하수-1)" xfId="2521" xr:uid="{00000000-0005-0000-0000-0000D7090000}"/>
    <cellStyle name="_09월소장단회의자료1_토공계획_구조물공사시공계획서_B-1,B-1-1노선변경실정보고_진안지방상수도개발사업2-19(마을배수관로미포함)_조천배수지 확장사업 내역서" xfId="2522" xr:uid="{00000000-0005-0000-0000-0000D8090000}"/>
    <cellStyle name="_09월소장단회의자료1_토공계획_구조물공사시공계획서_발주내역서(제주도 하수처리장)1" xfId="2523" xr:uid="{00000000-0005-0000-0000-0000D9090000}"/>
    <cellStyle name="_09월소장단회의자료1_토공계획_구조물공사시공계획서_번암,산서하수처리장(처리장+관로+마을하수-1)" xfId="2524" xr:uid="{00000000-0005-0000-0000-0000DA090000}"/>
    <cellStyle name="_09월소장단회의자료1_토공계획_구조물공사시공계획서_조천배수지 확장사업 내역서" xfId="2525" xr:uid="{00000000-0005-0000-0000-0000DB090000}"/>
    <cellStyle name="_09월소장단회의자료1_토공계획_구조물공사시공계획서_진안지방상수도개발사업2-19(마을배수관로미포함)" xfId="2526" xr:uid="{00000000-0005-0000-0000-0000DC090000}"/>
    <cellStyle name="_09월소장단회의자료1_토공계획_구조물공사시공계획서_진안지방상수도개발사업2-19(마을배수관로미포함)_고수,공음,신림마을하수도" xfId="2527" xr:uid="{00000000-0005-0000-0000-0000DD090000}"/>
    <cellStyle name="_09월소장단회의자료1_토공계획_구조물공사시공계획서_진안지방상수도개발사업2-19(마을배수관로미포함)_고수,공음,신림마을하수도_발주내역서(제주도 하수처리장)1" xfId="2528" xr:uid="{00000000-0005-0000-0000-0000DE090000}"/>
    <cellStyle name="_09월소장단회의자료1_토공계획_구조물공사시공계획서_진안지방상수도개발사업2-19(마을배수관로미포함)_고수,공음,신림마을하수도_조천배수지 확장사업 내역서" xfId="2529" xr:uid="{00000000-0005-0000-0000-0000DF090000}"/>
    <cellStyle name="_09월소장단회의자료1_토공계획_구조물공사시공계획서_진안지방상수도개발사업2-19(마을배수관로미포함)_발주내역서(제주도 하수처리장)1" xfId="2530" xr:uid="{00000000-0005-0000-0000-0000E0090000}"/>
    <cellStyle name="_09월소장단회의자료1_토공계획_구조물공사시공계획서_진안지방상수도개발사업2-19(마을배수관로미포함)_번암,산서하수처리장(처리장+관로+마을하수-1)" xfId="2531" xr:uid="{00000000-0005-0000-0000-0000E1090000}"/>
    <cellStyle name="_09월소장단회의자료1_토공계획_구조물공사시공계획서_진안지방상수도개발사업2-19(마을배수관로미포함)_조천배수지 확장사업 내역서" xfId="2532" xr:uid="{00000000-0005-0000-0000-0000E2090000}"/>
    <cellStyle name="_09월소장단회의자료1_토공계획_발주내역서(제주도 하수처리장)1" xfId="2533" xr:uid="{00000000-0005-0000-0000-0000E3090000}"/>
    <cellStyle name="_09월소장단회의자료1_토공계획_번암,산서하수처리장(처리장+관로+마을하수-1)" xfId="2534" xr:uid="{00000000-0005-0000-0000-0000E4090000}"/>
    <cellStyle name="_09월소장단회의자료1_토공계획_조천배수지 확장사업 내역서" xfId="2535" xr:uid="{00000000-0005-0000-0000-0000E5090000}"/>
    <cellStyle name="_09월소장단회의자료1_토공계획_진안지방상수도개발사업2-19(마을배수관로미포함)" xfId="2536" xr:uid="{00000000-0005-0000-0000-0000E6090000}"/>
    <cellStyle name="_09월소장단회의자료1_토공계획_진안지방상수도개발사업2-19(마을배수관로미포함)_고수,공음,신림마을하수도" xfId="2537" xr:uid="{00000000-0005-0000-0000-0000E7090000}"/>
    <cellStyle name="_09월소장단회의자료1_토공계획_진안지방상수도개발사업2-19(마을배수관로미포함)_고수,공음,신림마을하수도_발주내역서(제주도 하수처리장)1" xfId="2538" xr:uid="{00000000-0005-0000-0000-0000E8090000}"/>
    <cellStyle name="_09월소장단회의자료1_토공계획_진안지방상수도개발사업2-19(마을배수관로미포함)_고수,공음,신림마을하수도_조천배수지 확장사업 내역서" xfId="2539" xr:uid="{00000000-0005-0000-0000-0000E9090000}"/>
    <cellStyle name="_09월소장단회의자료1_토공계획_진안지방상수도개발사업2-19(마을배수관로미포함)_발주내역서(제주도 하수처리장)1" xfId="2540" xr:uid="{00000000-0005-0000-0000-0000EA090000}"/>
    <cellStyle name="_09월소장단회의자료1_토공계획_진안지방상수도개발사업2-19(마을배수관로미포함)_번암,산서하수처리장(처리장+관로+마을하수-1)" xfId="2541" xr:uid="{00000000-0005-0000-0000-0000EB090000}"/>
    <cellStyle name="_09월소장단회의자료1_토공계획_진안지방상수도개발사업2-19(마을배수관로미포함)_조천배수지 확장사업 내역서" xfId="2542" xr:uid="{00000000-0005-0000-0000-0000EC090000}"/>
    <cellStyle name="_09월소장단회의자료1_토공계획_토공사시공계획서" xfId="2543" xr:uid="{00000000-0005-0000-0000-0000ED090000}"/>
    <cellStyle name="_09월소장단회의자료1_토공계획_토공사시공계획서(포)" xfId="2544" xr:uid="{00000000-0005-0000-0000-0000EE090000}"/>
    <cellStyle name="_09월소장단회의자료1_토공계획_토공사시공계획서(포)_B-1,B-1-1노선변경실정보고" xfId="2545" xr:uid="{00000000-0005-0000-0000-0000EF090000}"/>
    <cellStyle name="_09월소장단회의자료1_토공계획_토공사시공계획서(포)_B-1,B-1-1노선변경실정보고_발주내역서(제주도 하수처리장)1" xfId="2546" xr:uid="{00000000-0005-0000-0000-0000F0090000}"/>
    <cellStyle name="_09월소장단회의자료1_토공계획_토공사시공계획서(포)_B-1,B-1-1노선변경실정보고_번암,산서하수처리장(처리장+관로+마을하수-1)" xfId="2547" xr:uid="{00000000-0005-0000-0000-0000F1090000}"/>
    <cellStyle name="_09월소장단회의자료1_토공계획_토공사시공계획서(포)_B-1,B-1-1노선변경실정보고_조천배수지 확장사업 내역서" xfId="2548" xr:uid="{00000000-0005-0000-0000-0000F2090000}"/>
    <cellStyle name="_09월소장단회의자료1_토공계획_토공사시공계획서(포)_B-1,B-1-1노선변경실정보고_진안지방상수도개발사업2-19(마을배수관로미포함)" xfId="2549" xr:uid="{00000000-0005-0000-0000-0000F3090000}"/>
    <cellStyle name="_09월소장단회의자료1_토공계획_토공사시공계획서(포)_B-1,B-1-1노선변경실정보고_진안지방상수도개발사업2-19(마을배수관로미포함)_고수,공음,신림마을하수도" xfId="2550" xr:uid="{00000000-0005-0000-0000-0000F4090000}"/>
    <cellStyle name="_09월소장단회의자료1_토공계획_토공사시공계획서(포)_B-1,B-1-1노선변경실정보고_진안지방상수도개발사업2-19(마을배수관로미포함)_고수,공음,신림마을하수도_발주내역서(제주도 하수처리장)1" xfId="2551" xr:uid="{00000000-0005-0000-0000-0000F5090000}"/>
    <cellStyle name="_09월소장단회의자료1_토공계획_토공사시공계획서(포)_B-1,B-1-1노선변경실정보고_진안지방상수도개발사업2-19(마을배수관로미포함)_고수,공음,신림마을하수도_조천배수지 확장사업 내역서" xfId="2552" xr:uid="{00000000-0005-0000-0000-0000F6090000}"/>
    <cellStyle name="_09월소장단회의자료1_토공계획_토공사시공계획서(포)_B-1,B-1-1노선변경실정보고_진안지방상수도개발사업2-19(마을배수관로미포함)_발주내역서(제주도 하수처리장)1" xfId="2553" xr:uid="{00000000-0005-0000-0000-0000F7090000}"/>
    <cellStyle name="_09월소장단회의자료1_토공계획_토공사시공계획서(포)_B-1,B-1-1노선변경실정보고_진안지방상수도개발사업2-19(마을배수관로미포함)_번암,산서하수처리장(처리장+관로+마을하수-1)" xfId="2554" xr:uid="{00000000-0005-0000-0000-0000F8090000}"/>
    <cellStyle name="_09월소장단회의자료1_토공계획_토공사시공계획서(포)_B-1,B-1-1노선변경실정보고_진안지방상수도개발사업2-19(마을배수관로미포함)_조천배수지 확장사업 내역서" xfId="2555" xr:uid="{00000000-0005-0000-0000-0000F9090000}"/>
    <cellStyle name="_09월소장단회의자료1_토공계획_토공사시공계획서(포)_발주내역서(제주도 하수처리장)1" xfId="2556" xr:uid="{00000000-0005-0000-0000-0000FA090000}"/>
    <cellStyle name="_09월소장단회의자료1_토공계획_토공사시공계획서(포)_번암,산서하수처리장(처리장+관로+마을하수-1)" xfId="2557" xr:uid="{00000000-0005-0000-0000-0000FB090000}"/>
    <cellStyle name="_09월소장단회의자료1_토공계획_토공사시공계획서(포)_조천배수지 확장사업 내역서" xfId="2558" xr:uid="{00000000-0005-0000-0000-0000FC090000}"/>
    <cellStyle name="_09월소장단회의자료1_토공계획_토공사시공계획서(포)_진안지방상수도개발사업2-19(마을배수관로미포함)" xfId="2559" xr:uid="{00000000-0005-0000-0000-0000FD090000}"/>
    <cellStyle name="_09월소장단회의자료1_토공계획_토공사시공계획서(포)_진안지방상수도개발사업2-19(마을배수관로미포함)_고수,공음,신림마을하수도" xfId="2560" xr:uid="{00000000-0005-0000-0000-0000FE090000}"/>
    <cellStyle name="_09월소장단회의자료1_토공계획_토공사시공계획서(포)_진안지방상수도개발사업2-19(마을배수관로미포함)_고수,공음,신림마을하수도_발주내역서(제주도 하수처리장)1" xfId="2561" xr:uid="{00000000-0005-0000-0000-0000FF090000}"/>
    <cellStyle name="_09월소장단회의자료1_토공계획_토공사시공계획서(포)_진안지방상수도개발사업2-19(마을배수관로미포함)_고수,공음,신림마을하수도_조천배수지 확장사업 내역서" xfId="2562" xr:uid="{00000000-0005-0000-0000-0000000A0000}"/>
    <cellStyle name="_09월소장단회의자료1_토공계획_토공사시공계획서(포)_진안지방상수도개발사업2-19(마을배수관로미포함)_발주내역서(제주도 하수처리장)1" xfId="2563" xr:uid="{00000000-0005-0000-0000-0000010A0000}"/>
    <cellStyle name="_09월소장단회의자료1_토공계획_토공사시공계획서(포)_진안지방상수도개발사업2-19(마을배수관로미포함)_번암,산서하수처리장(처리장+관로+마을하수-1)" xfId="2564" xr:uid="{00000000-0005-0000-0000-0000020A0000}"/>
    <cellStyle name="_09월소장단회의자료1_토공계획_토공사시공계획서(포)_진안지방상수도개발사업2-19(마을배수관로미포함)_조천배수지 확장사업 내역서" xfId="2565" xr:uid="{00000000-0005-0000-0000-0000030A0000}"/>
    <cellStyle name="_09월소장단회의자료1_토공계획_토공사시공계획서_B-1,B-1-1노선변경실정보고" xfId="2566" xr:uid="{00000000-0005-0000-0000-0000040A0000}"/>
    <cellStyle name="_09월소장단회의자료1_토공계획_토공사시공계획서_B-1,B-1-1노선변경실정보고_발주내역서(제주도 하수처리장)1" xfId="2567" xr:uid="{00000000-0005-0000-0000-0000050A0000}"/>
    <cellStyle name="_09월소장단회의자료1_토공계획_토공사시공계획서_B-1,B-1-1노선변경실정보고_번암,산서하수처리장(처리장+관로+마을하수-1)" xfId="2568" xr:uid="{00000000-0005-0000-0000-0000060A0000}"/>
    <cellStyle name="_09월소장단회의자료1_토공계획_토공사시공계획서_B-1,B-1-1노선변경실정보고_조천배수지 확장사업 내역서" xfId="2569" xr:uid="{00000000-0005-0000-0000-0000070A0000}"/>
    <cellStyle name="_09월소장단회의자료1_토공계획_토공사시공계획서_B-1,B-1-1노선변경실정보고_진안지방상수도개발사업2-19(마을배수관로미포함)" xfId="2570" xr:uid="{00000000-0005-0000-0000-0000080A0000}"/>
    <cellStyle name="_09월소장단회의자료1_토공계획_토공사시공계획서_B-1,B-1-1노선변경실정보고_진안지방상수도개발사업2-19(마을배수관로미포함)_고수,공음,신림마을하수도" xfId="2571" xr:uid="{00000000-0005-0000-0000-0000090A0000}"/>
    <cellStyle name="_09월소장단회의자료1_토공계획_토공사시공계획서_B-1,B-1-1노선변경실정보고_진안지방상수도개발사업2-19(마을배수관로미포함)_고수,공음,신림마을하수도_발주내역서(제주도 하수처리장)1" xfId="2572" xr:uid="{00000000-0005-0000-0000-00000A0A0000}"/>
    <cellStyle name="_09월소장단회의자료1_토공계획_토공사시공계획서_B-1,B-1-1노선변경실정보고_진안지방상수도개발사업2-19(마을배수관로미포함)_고수,공음,신림마을하수도_조천배수지 확장사업 내역서" xfId="2573" xr:uid="{00000000-0005-0000-0000-00000B0A0000}"/>
    <cellStyle name="_09월소장단회의자료1_토공계획_토공사시공계획서_B-1,B-1-1노선변경실정보고_진안지방상수도개발사업2-19(마을배수관로미포함)_발주내역서(제주도 하수처리장)1" xfId="2574" xr:uid="{00000000-0005-0000-0000-00000C0A0000}"/>
    <cellStyle name="_09월소장단회의자료1_토공계획_토공사시공계획서_B-1,B-1-1노선변경실정보고_진안지방상수도개발사업2-19(마을배수관로미포함)_번암,산서하수처리장(처리장+관로+마을하수-1)" xfId="2575" xr:uid="{00000000-0005-0000-0000-00000D0A0000}"/>
    <cellStyle name="_09월소장단회의자료1_토공계획_토공사시공계획서_B-1,B-1-1노선변경실정보고_진안지방상수도개발사업2-19(마을배수관로미포함)_조천배수지 확장사업 내역서" xfId="2576" xr:uid="{00000000-0005-0000-0000-00000E0A0000}"/>
    <cellStyle name="_09월소장단회의자료1_토공계획_토공사시공계획서_발주내역서(제주도 하수처리장)1" xfId="2577" xr:uid="{00000000-0005-0000-0000-00000F0A0000}"/>
    <cellStyle name="_09월소장단회의자료1_토공계획_토공사시공계획서_번암,산서하수처리장(처리장+관로+마을하수-1)" xfId="2578" xr:uid="{00000000-0005-0000-0000-0000100A0000}"/>
    <cellStyle name="_09월소장단회의자료1_토공계획_토공사시공계획서_조천배수지 확장사업 내역서" xfId="2579" xr:uid="{00000000-0005-0000-0000-0000110A0000}"/>
    <cellStyle name="_09월소장단회의자료1_토공계획_토공사시공계획서_진안지방상수도개발사업2-19(마을배수관로미포함)" xfId="2580" xr:uid="{00000000-0005-0000-0000-0000120A0000}"/>
    <cellStyle name="_09월소장단회의자료1_토공계획_토공사시공계획서_진안지방상수도개발사업2-19(마을배수관로미포함)_고수,공음,신림마을하수도" xfId="2581" xr:uid="{00000000-0005-0000-0000-0000130A0000}"/>
    <cellStyle name="_09월소장단회의자료1_토공계획_토공사시공계획서_진안지방상수도개발사업2-19(마을배수관로미포함)_고수,공음,신림마을하수도_발주내역서(제주도 하수처리장)1" xfId="2582" xr:uid="{00000000-0005-0000-0000-0000140A0000}"/>
    <cellStyle name="_09월소장단회의자료1_토공계획_토공사시공계획서_진안지방상수도개발사업2-19(마을배수관로미포함)_고수,공음,신림마을하수도_조천배수지 확장사업 내역서" xfId="2583" xr:uid="{00000000-0005-0000-0000-0000150A0000}"/>
    <cellStyle name="_09월소장단회의자료1_토공계획_토공사시공계획서_진안지방상수도개발사업2-19(마을배수관로미포함)_발주내역서(제주도 하수처리장)1" xfId="2584" xr:uid="{00000000-0005-0000-0000-0000160A0000}"/>
    <cellStyle name="_09월소장단회의자료1_토공계획_토공사시공계획서_진안지방상수도개발사업2-19(마을배수관로미포함)_번암,산서하수처리장(처리장+관로+마을하수-1)" xfId="2585" xr:uid="{00000000-0005-0000-0000-0000170A0000}"/>
    <cellStyle name="_09월소장단회의자료1_토공계획_토공사시공계획서_진안지방상수도개발사업2-19(마을배수관로미포함)_조천배수지 확장사업 내역서" xfId="2586" xr:uid="{00000000-0005-0000-0000-0000180A0000}"/>
    <cellStyle name="_09월소장단회의자료1_토공시공계획서(효)" xfId="2587" xr:uid="{00000000-0005-0000-0000-0000190A0000}"/>
    <cellStyle name="_09월소장단회의자료1_토공시공계획서(효)_B-1,B-1-1노선변경실정보고" xfId="2588" xr:uid="{00000000-0005-0000-0000-00001A0A0000}"/>
    <cellStyle name="_09월소장단회의자료1_토공시공계획서(효)_B-1,B-1-1노선변경실정보고_발주내역서(제주도 하수처리장)1" xfId="2589" xr:uid="{00000000-0005-0000-0000-00001B0A0000}"/>
    <cellStyle name="_09월소장단회의자료1_토공시공계획서(효)_B-1,B-1-1노선변경실정보고_번암,산서하수처리장(처리장+관로+마을하수-1)" xfId="2590" xr:uid="{00000000-0005-0000-0000-00001C0A0000}"/>
    <cellStyle name="_09월소장단회의자료1_토공시공계획서(효)_B-1,B-1-1노선변경실정보고_조천배수지 확장사업 내역서" xfId="2591" xr:uid="{00000000-0005-0000-0000-00001D0A0000}"/>
    <cellStyle name="_09월소장단회의자료1_토공시공계획서(효)_B-1,B-1-1노선변경실정보고_진안지방상수도개발사업2-19(마을배수관로미포함)" xfId="2592" xr:uid="{00000000-0005-0000-0000-00001E0A0000}"/>
    <cellStyle name="_09월소장단회의자료1_토공시공계획서(효)_B-1,B-1-1노선변경실정보고_진안지방상수도개발사업2-19(마을배수관로미포함)_고수,공음,신림마을하수도" xfId="2593" xr:uid="{00000000-0005-0000-0000-00001F0A0000}"/>
    <cellStyle name="_09월소장단회의자료1_토공시공계획서(효)_B-1,B-1-1노선변경실정보고_진안지방상수도개발사업2-19(마을배수관로미포함)_고수,공음,신림마을하수도_발주내역서(제주도 하수처리장)1" xfId="2594" xr:uid="{00000000-0005-0000-0000-0000200A0000}"/>
    <cellStyle name="_09월소장단회의자료1_토공시공계획서(효)_B-1,B-1-1노선변경실정보고_진안지방상수도개발사업2-19(마을배수관로미포함)_고수,공음,신림마을하수도_조천배수지 확장사업 내역서" xfId="2595" xr:uid="{00000000-0005-0000-0000-0000210A0000}"/>
    <cellStyle name="_09월소장단회의자료1_토공시공계획서(효)_B-1,B-1-1노선변경실정보고_진안지방상수도개발사업2-19(마을배수관로미포함)_발주내역서(제주도 하수처리장)1" xfId="2596" xr:uid="{00000000-0005-0000-0000-0000220A0000}"/>
    <cellStyle name="_09월소장단회의자료1_토공시공계획서(효)_B-1,B-1-1노선변경실정보고_진안지방상수도개발사업2-19(마을배수관로미포함)_번암,산서하수처리장(처리장+관로+마을하수-1)" xfId="2597" xr:uid="{00000000-0005-0000-0000-0000230A0000}"/>
    <cellStyle name="_09월소장단회의자료1_토공시공계획서(효)_B-1,B-1-1노선변경실정보고_진안지방상수도개발사업2-19(마을배수관로미포함)_조천배수지 확장사업 내역서" xfId="2598" xr:uid="{00000000-0005-0000-0000-0000240A0000}"/>
    <cellStyle name="_09월소장단회의자료1_토공시공계획서(효)_구조물공사시공계획서" xfId="2599" xr:uid="{00000000-0005-0000-0000-0000250A0000}"/>
    <cellStyle name="_09월소장단회의자료1_토공시공계획서(효)_구조물공사시공계획서_B-1,B-1-1노선변경실정보고" xfId="2600" xr:uid="{00000000-0005-0000-0000-0000260A0000}"/>
    <cellStyle name="_09월소장단회의자료1_토공시공계획서(효)_구조물공사시공계획서_B-1,B-1-1노선변경실정보고_발주내역서(제주도 하수처리장)1" xfId="2601" xr:uid="{00000000-0005-0000-0000-0000270A0000}"/>
    <cellStyle name="_09월소장단회의자료1_토공시공계획서(효)_구조물공사시공계획서_B-1,B-1-1노선변경실정보고_번암,산서하수처리장(처리장+관로+마을하수-1)" xfId="2602" xr:uid="{00000000-0005-0000-0000-0000280A0000}"/>
    <cellStyle name="_09월소장단회의자료1_토공시공계획서(효)_구조물공사시공계획서_B-1,B-1-1노선변경실정보고_조천배수지 확장사업 내역서" xfId="2603" xr:uid="{00000000-0005-0000-0000-0000290A0000}"/>
    <cellStyle name="_09월소장단회의자료1_토공시공계획서(효)_구조물공사시공계획서_B-1,B-1-1노선변경실정보고_진안지방상수도개발사업2-19(마을배수관로미포함)" xfId="2604" xr:uid="{00000000-0005-0000-0000-00002A0A0000}"/>
    <cellStyle name="_09월소장단회의자료1_토공시공계획서(효)_구조물공사시공계획서_B-1,B-1-1노선변경실정보고_진안지방상수도개발사업2-19(마을배수관로미포함)_고수,공음,신림마을하수도" xfId="2605" xr:uid="{00000000-0005-0000-0000-00002B0A0000}"/>
    <cellStyle name="_09월소장단회의자료1_토공시공계획서(효)_구조물공사시공계획서_B-1,B-1-1노선변경실정보고_진안지방상수도개발사업2-19(마을배수관로미포함)_고수,공음,신림마을하수도_발주내역서(제주도 하수처리장)1" xfId="2606" xr:uid="{00000000-0005-0000-0000-00002C0A0000}"/>
    <cellStyle name="_09월소장단회의자료1_토공시공계획서(효)_구조물공사시공계획서_B-1,B-1-1노선변경실정보고_진안지방상수도개발사업2-19(마을배수관로미포함)_고수,공음,신림마을하수도_조천배수지 확장사업 내역서" xfId="2607" xr:uid="{00000000-0005-0000-0000-00002D0A0000}"/>
    <cellStyle name="_09월소장단회의자료1_토공시공계획서(효)_구조물공사시공계획서_B-1,B-1-1노선변경실정보고_진안지방상수도개발사업2-19(마을배수관로미포함)_발주내역서(제주도 하수처리장)1" xfId="2608" xr:uid="{00000000-0005-0000-0000-00002E0A0000}"/>
    <cellStyle name="_09월소장단회의자료1_토공시공계획서(효)_구조물공사시공계획서_B-1,B-1-1노선변경실정보고_진안지방상수도개발사업2-19(마을배수관로미포함)_번암,산서하수처리장(처리장+관로+마을하수-1)" xfId="2609" xr:uid="{00000000-0005-0000-0000-00002F0A0000}"/>
    <cellStyle name="_09월소장단회의자료1_토공시공계획서(효)_구조물공사시공계획서_B-1,B-1-1노선변경실정보고_진안지방상수도개발사업2-19(마을배수관로미포함)_조천배수지 확장사업 내역서" xfId="2610" xr:uid="{00000000-0005-0000-0000-0000300A0000}"/>
    <cellStyle name="_09월소장단회의자료1_토공시공계획서(효)_구조물공사시공계획서_발주내역서(제주도 하수처리장)1" xfId="2611" xr:uid="{00000000-0005-0000-0000-0000310A0000}"/>
    <cellStyle name="_09월소장단회의자료1_토공시공계획서(효)_구조물공사시공계획서_번암,산서하수처리장(처리장+관로+마을하수-1)" xfId="2612" xr:uid="{00000000-0005-0000-0000-0000320A0000}"/>
    <cellStyle name="_09월소장단회의자료1_토공시공계획서(효)_구조물공사시공계획서_조천배수지 확장사업 내역서" xfId="2613" xr:uid="{00000000-0005-0000-0000-0000330A0000}"/>
    <cellStyle name="_09월소장단회의자료1_토공시공계획서(효)_구조물공사시공계획서_진안지방상수도개발사업2-19(마을배수관로미포함)" xfId="2614" xr:uid="{00000000-0005-0000-0000-0000340A0000}"/>
    <cellStyle name="_09월소장단회의자료1_토공시공계획서(효)_구조물공사시공계획서_진안지방상수도개발사업2-19(마을배수관로미포함)_고수,공음,신림마을하수도" xfId="2615" xr:uid="{00000000-0005-0000-0000-0000350A0000}"/>
    <cellStyle name="_09월소장단회의자료1_토공시공계획서(효)_구조물공사시공계획서_진안지방상수도개발사업2-19(마을배수관로미포함)_고수,공음,신림마을하수도_발주내역서(제주도 하수처리장)1" xfId="2616" xr:uid="{00000000-0005-0000-0000-0000360A0000}"/>
    <cellStyle name="_09월소장단회의자료1_토공시공계획서(효)_구조물공사시공계획서_진안지방상수도개발사업2-19(마을배수관로미포함)_고수,공음,신림마을하수도_조천배수지 확장사업 내역서" xfId="2617" xr:uid="{00000000-0005-0000-0000-0000370A0000}"/>
    <cellStyle name="_09월소장단회의자료1_토공시공계획서(효)_구조물공사시공계획서_진안지방상수도개발사업2-19(마을배수관로미포함)_발주내역서(제주도 하수처리장)1" xfId="2618" xr:uid="{00000000-0005-0000-0000-0000380A0000}"/>
    <cellStyle name="_09월소장단회의자료1_토공시공계획서(효)_구조물공사시공계획서_진안지방상수도개발사업2-19(마을배수관로미포함)_번암,산서하수처리장(처리장+관로+마을하수-1)" xfId="2619" xr:uid="{00000000-0005-0000-0000-0000390A0000}"/>
    <cellStyle name="_09월소장단회의자료1_토공시공계획서(효)_구조물공사시공계획서_진안지방상수도개발사업2-19(마을배수관로미포함)_조천배수지 확장사업 내역서" xfId="2620" xr:uid="{00000000-0005-0000-0000-00003A0A0000}"/>
    <cellStyle name="_09월소장단회의자료1_토공시공계획서(효)_발주내역서(제주도 하수처리장)1" xfId="2621" xr:uid="{00000000-0005-0000-0000-00003B0A0000}"/>
    <cellStyle name="_09월소장단회의자료1_토공시공계획서(효)_번암,산서하수처리장(처리장+관로+마을하수-1)" xfId="2622" xr:uid="{00000000-0005-0000-0000-00003C0A0000}"/>
    <cellStyle name="_09월소장단회의자료1_토공시공계획서(효)_조천배수지 확장사업 내역서" xfId="2623" xr:uid="{00000000-0005-0000-0000-00003D0A0000}"/>
    <cellStyle name="_09월소장단회의자료1_토공시공계획서(효)_진안지방상수도개발사업2-19(마을배수관로미포함)" xfId="2624" xr:uid="{00000000-0005-0000-0000-00003E0A0000}"/>
    <cellStyle name="_09월소장단회의자료1_토공시공계획서(효)_진안지방상수도개발사업2-19(마을배수관로미포함)_고수,공음,신림마을하수도" xfId="2625" xr:uid="{00000000-0005-0000-0000-00003F0A0000}"/>
    <cellStyle name="_09월소장단회의자료1_토공시공계획서(효)_진안지방상수도개발사업2-19(마을배수관로미포함)_고수,공음,신림마을하수도_발주내역서(제주도 하수처리장)1" xfId="2626" xr:uid="{00000000-0005-0000-0000-0000400A0000}"/>
    <cellStyle name="_09월소장단회의자료1_토공시공계획서(효)_진안지방상수도개발사업2-19(마을배수관로미포함)_고수,공음,신림마을하수도_조천배수지 확장사업 내역서" xfId="2627" xr:uid="{00000000-0005-0000-0000-0000410A0000}"/>
    <cellStyle name="_09월소장단회의자료1_토공시공계획서(효)_진안지방상수도개발사업2-19(마을배수관로미포함)_발주내역서(제주도 하수처리장)1" xfId="2628" xr:uid="{00000000-0005-0000-0000-0000420A0000}"/>
    <cellStyle name="_09월소장단회의자료1_토공시공계획서(효)_진안지방상수도개발사업2-19(마을배수관로미포함)_번암,산서하수처리장(처리장+관로+마을하수-1)" xfId="2629" xr:uid="{00000000-0005-0000-0000-0000430A0000}"/>
    <cellStyle name="_09월소장단회의자료1_토공시공계획서(효)_진안지방상수도개발사업2-19(마을배수관로미포함)_조천배수지 확장사업 내역서" xfId="2630" xr:uid="{00000000-0005-0000-0000-0000440A0000}"/>
    <cellStyle name="_09월소장단회의자료1_토공시공계획서(효)_토공사시공계획서" xfId="2631" xr:uid="{00000000-0005-0000-0000-0000450A0000}"/>
    <cellStyle name="_09월소장단회의자료1_토공시공계획서(효)_토공사시공계획서(포)" xfId="2632" xr:uid="{00000000-0005-0000-0000-0000460A0000}"/>
    <cellStyle name="_09월소장단회의자료1_토공시공계획서(효)_토공사시공계획서(포)_B-1,B-1-1노선변경실정보고" xfId="2633" xr:uid="{00000000-0005-0000-0000-0000470A0000}"/>
    <cellStyle name="_09월소장단회의자료1_토공시공계획서(효)_토공사시공계획서(포)_B-1,B-1-1노선변경실정보고_발주내역서(제주도 하수처리장)1" xfId="2634" xr:uid="{00000000-0005-0000-0000-0000480A0000}"/>
    <cellStyle name="_09월소장단회의자료1_토공시공계획서(효)_토공사시공계획서(포)_B-1,B-1-1노선변경실정보고_번암,산서하수처리장(처리장+관로+마을하수-1)" xfId="2635" xr:uid="{00000000-0005-0000-0000-0000490A0000}"/>
    <cellStyle name="_09월소장단회의자료1_토공시공계획서(효)_토공사시공계획서(포)_B-1,B-1-1노선변경실정보고_조천배수지 확장사업 내역서" xfId="2636" xr:uid="{00000000-0005-0000-0000-00004A0A0000}"/>
    <cellStyle name="_09월소장단회의자료1_토공시공계획서(효)_토공사시공계획서(포)_B-1,B-1-1노선변경실정보고_진안지방상수도개발사업2-19(마을배수관로미포함)" xfId="2637" xr:uid="{00000000-0005-0000-0000-00004B0A0000}"/>
    <cellStyle name="_09월소장단회의자료1_토공시공계획서(효)_토공사시공계획서(포)_B-1,B-1-1노선변경실정보고_진안지방상수도개발사업2-19(마을배수관로미포함)_고수,공음,신림마을하수도" xfId="2638" xr:uid="{00000000-0005-0000-0000-00004C0A0000}"/>
    <cellStyle name="_09월소장단회의자료1_토공시공계획서(효)_토공사시공계획서(포)_B-1,B-1-1노선변경실정보고_진안지방상수도개발사업2-19(마을배수관로미포함)_고수,공음,신림마을하수도_발주내역서(제주도 하수처리장)1" xfId="2639" xr:uid="{00000000-0005-0000-0000-00004D0A0000}"/>
    <cellStyle name="_09월소장단회의자료1_토공시공계획서(효)_토공사시공계획서(포)_B-1,B-1-1노선변경실정보고_진안지방상수도개발사업2-19(마을배수관로미포함)_고수,공음,신림마을하수도_조천배수지 확장사업 내역서" xfId="2640" xr:uid="{00000000-0005-0000-0000-00004E0A0000}"/>
    <cellStyle name="_09월소장단회의자료1_토공시공계획서(효)_토공사시공계획서(포)_B-1,B-1-1노선변경실정보고_진안지방상수도개발사업2-19(마을배수관로미포함)_발주내역서(제주도 하수처리장)1" xfId="2641" xr:uid="{00000000-0005-0000-0000-00004F0A0000}"/>
    <cellStyle name="_09월소장단회의자료1_토공시공계획서(효)_토공사시공계획서(포)_B-1,B-1-1노선변경실정보고_진안지방상수도개발사업2-19(마을배수관로미포함)_번암,산서하수처리장(처리장+관로+마을하수-1)" xfId="2642" xr:uid="{00000000-0005-0000-0000-0000500A0000}"/>
    <cellStyle name="_09월소장단회의자료1_토공시공계획서(효)_토공사시공계획서(포)_B-1,B-1-1노선변경실정보고_진안지방상수도개발사업2-19(마을배수관로미포함)_조천배수지 확장사업 내역서" xfId="2643" xr:uid="{00000000-0005-0000-0000-0000510A0000}"/>
    <cellStyle name="_09월소장단회의자료1_토공시공계획서(효)_토공사시공계획서(포)_발주내역서(제주도 하수처리장)1" xfId="2644" xr:uid="{00000000-0005-0000-0000-0000520A0000}"/>
    <cellStyle name="_09월소장단회의자료1_토공시공계획서(효)_토공사시공계획서(포)_번암,산서하수처리장(처리장+관로+마을하수-1)" xfId="2645" xr:uid="{00000000-0005-0000-0000-0000530A0000}"/>
    <cellStyle name="_09월소장단회의자료1_토공시공계획서(효)_토공사시공계획서(포)_조천배수지 확장사업 내역서" xfId="2646" xr:uid="{00000000-0005-0000-0000-0000540A0000}"/>
    <cellStyle name="_09월소장단회의자료1_토공시공계획서(효)_토공사시공계획서(포)_진안지방상수도개발사업2-19(마을배수관로미포함)" xfId="2647" xr:uid="{00000000-0005-0000-0000-0000550A0000}"/>
    <cellStyle name="_09월소장단회의자료1_토공시공계획서(효)_토공사시공계획서(포)_진안지방상수도개발사업2-19(마을배수관로미포함)_고수,공음,신림마을하수도" xfId="2648" xr:uid="{00000000-0005-0000-0000-0000560A0000}"/>
    <cellStyle name="_09월소장단회의자료1_토공시공계획서(효)_토공사시공계획서(포)_진안지방상수도개발사업2-19(마을배수관로미포함)_고수,공음,신림마을하수도_발주내역서(제주도 하수처리장)1" xfId="2649" xr:uid="{00000000-0005-0000-0000-0000570A0000}"/>
    <cellStyle name="_09월소장단회의자료1_토공시공계획서(효)_토공사시공계획서(포)_진안지방상수도개발사업2-19(마을배수관로미포함)_고수,공음,신림마을하수도_조천배수지 확장사업 내역서" xfId="2650" xr:uid="{00000000-0005-0000-0000-0000580A0000}"/>
    <cellStyle name="_09월소장단회의자료1_토공시공계획서(효)_토공사시공계획서(포)_진안지방상수도개발사업2-19(마을배수관로미포함)_발주내역서(제주도 하수처리장)1" xfId="2651" xr:uid="{00000000-0005-0000-0000-0000590A0000}"/>
    <cellStyle name="_09월소장단회의자료1_토공시공계획서(효)_토공사시공계획서(포)_진안지방상수도개발사업2-19(마을배수관로미포함)_번암,산서하수처리장(처리장+관로+마을하수-1)" xfId="2652" xr:uid="{00000000-0005-0000-0000-00005A0A0000}"/>
    <cellStyle name="_09월소장단회의자료1_토공시공계획서(효)_토공사시공계획서(포)_진안지방상수도개발사업2-19(마을배수관로미포함)_조천배수지 확장사업 내역서" xfId="2653" xr:uid="{00000000-0005-0000-0000-00005B0A0000}"/>
    <cellStyle name="_09월소장단회의자료1_토공시공계획서(효)_토공사시공계획서_B-1,B-1-1노선변경실정보고" xfId="2654" xr:uid="{00000000-0005-0000-0000-00005C0A0000}"/>
    <cellStyle name="_09월소장단회의자료1_토공시공계획서(효)_토공사시공계획서_B-1,B-1-1노선변경실정보고_발주내역서(제주도 하수처리장)1" xfId="2655" xr:uid="{00000000-0005-0000-0000-00005D0A0000}"/>
    <cellStyle name="_09월소장단회의자료1_토공시공계획서(효)_토공사시공계획서_B-1,B-1-1노선변경실정보고_번암,산서하수처리장(처리장+관로+마을하수-1)" xfId="2656" xr:uid="{00000000-0005-0000-0000-00005E0A0000}"/>
    <cellStyle name="_09월소장단회의자료1_토공시공계획서(효)_토공사시공계획서_B-1,B-1-1노선변경실정보고_조천배수지 확장사업 내역서" xfId="2657" xr:uid="{00000000-0005-0000-0000-00005F0A0000}"/>
    <cellStyle name="_09월소장단회의자료1_토공시공계획서(효)_토공사시공계획서_B-1,B-1-1노선변경실정보고_진안지방상수도개발사업2-19(마을배수관로미포함)" xfId="2658" xr:uid="{00000000-0005-0000-0000-0000600A0000}"/>
    <cellStyle name="_09월소장단회의자료1_토공시공계획서(효)_토공사시공계획서_B-1,B-1-1노선변경실정보고_진안지방상수도개발사업2-19(마을배수관로미포함)_고수,공음,신림마을하수도" xfId="2659" xr:uid="{00000000-0005-0000-0000-0000610A0000}"/>
    <cellStyle name="_09월소장단회의자료1_토공시공계획서(효)_토공사시공계획서_B-1,B-1-1노선변경실정보고_진안지방상수도개발사업2-19(마을배수관로미포함)_고수,공음,신림마을하수도_발주내역서(제주도 하수처리장)1" xfId="2660" xr:uid="{00000000-0005-0000-0000-0000620A0000}"/>
    <cellStyle name="_09월소장단회의자료1_토공시공계획서(효)_토공사시공계획서_B-1,B-1-1노선변경실정보고_진안지방상수도개발사업2-19(마을배수관로미포함)_고수,공음,신림마을하수도_조천배수지 확장사업 내역서" xfId="2661" xr:uid="{00000000-0005-0000-0000-0000630A0000}"/>
    <cellStyle name="_09월소장단회의자료1_토공시공계획서(효)_토공사시공계획서_B-1,B-1-1노선변경실정보고_진안지방상수도개발사업2-19(마을배수관로미포함)_발주내역서(제주도 하수처리장)1" xfId="2662" xr:uid="{00000000-0005-0000-0000-0000640A0000}"/>
    <cellStyle name="_09월소장단회의자료1_토공시공계획서(효)_토공사시공계획서_B-1,B-1-1노선변경실정보고_진안지방상수도개발사업2-19(마을배수관로미포함)_번암,산서하수처리장(처리장+관로+마을하수-1)" xfId="2663" xr:uid="{00000000-0005-0000-0000-0000650A0000}"/>
    <cellStyle name="_09월소장단회의자료1_토공시공계획서(효)_토공사시공계획서_B-1,B-1-1노선변경실정보고_진안지방상수도개발사업2-19(마을배수관로미포함)_조천배수지 확장사업 내역서" xfId="2664" xr:uid="{00000000-0005-0000-0000-0000660A0000}"/>
    <cellStyle name="_09월소장단회의자료1_토공시공계획서(효)_토공사시공계획서_발주내역서(제주도 하수처리장)1" xfId="2665" xr:uid="{00000000-0005-0000-0000-0000670A0000}"/>
    <cellStyle name="_09월소장단회의자료1_토공시공계획서(효)_토공사시공계획서_번암,산서하수처리장(처리장+관로+마을하수-1)" xfId="2666" xr:uid="{00000000-0005-0000-0000-0000680A0000}"/>
    <cellStyle name="_09월소장단회의자료1_토공시공계획서(효)_토공사시공계획서_조천배수지 확장사업 내역서" xfId="2667" xr:uid="{00000000-0005-0000-0000-0000690A0000}"/>
    <cellStyle name="_09월소장단회의자료1_토공시공계획서(효)_토공사시공계획서_진안지방상수도개발사업2-19(마을배수관로미포함)" xfId="2668" xr:uid="{00000000-0005-0000-0000-00006A0A0000}"/>
    <cellStyle name="_09월소장단회의자료1_토공시공계획서(효)_토공사시공계획서_진안지방상수도개발사업2-19(마을배수관로미포함)_고수,공음,신림마을하수도" xfId="2669" xr:uid="{00000000-0005-0000-0000-00006B0A0000}"/>
    <cellStyle name="_09월소장단회의자료1_토공시공계획서(효)_토공사시공계획서_진안지방상수도개발사업2-19(마을배수관로미포함)_고수,공음,신림마을하수도_발주내역서(제주도 하수처리장)1" xfId="2670" xr:uid="{00000000-0005-0000-0000-00006C0A0000}"/>
    <cellStyle name="_09월소장단회의자료1_토공시공계획서(효)_토공사시공계획서_진안지방상수도개발사업2-19(마을배수관로미포함)_고수,공음,신림마을하수도_조천배수지 확장사업 내역서" xfId="2671" xr:uid="{00000000-0005-0000-0000-00006D0A0000}"/>
    <cellStyle name="_09월소장단회의자료1_토공시공계획서(효)_토공사시공계획서_진안지방상수도개발사업2-19(마을배수관로미포함)_발주내역서(제주도 하수처리장)1" xfId="2672" xr:uid="{00000000-0005-0000-0000-00006E0A0000}"/>
    <cellStyle name="_09월소장단회의자료1_토공시공계획서(효)_토공사시공계획서_진안지방상수도개발사업2-19(마을배수관로미포함)_번암,산서하수처리장(처리장+관로+마을하수-1)" xfId="2673" xr:uid="{00000000-0005-0000-0000-00006F0A0000}"/>
    <cellStyle name="_09월소장단회의자료1_토공시공계획서(효)_토공사시공계획서_진안지방상수도개발사업2-19(마을배수관로미포함)_조천배수지 확장사업 내역서" xfId="2674" xr:uid="{00000000-0005-0000-0000-0000700A0000}"/>
    <cellStyle name="_1) 토공수량집계(배수A)" xfId="2675" xr:uid="{00000000-0005-0000-0000-0000710A0000}"/>
    <cellStyle name="_1) 토공수량집계(배수A)_01.부대공(동판교3단계(본이설))" xfId="2676" xr:uid="{00000000-0005-0000-0000-0000720A0000}"/>
    <cellStyle name="_1) 토공수량집계(배수A)_02.구조물및추진,도달기지토공(D구간)" xfId="2677" xr:uid="{00000000-0005-0000-0000-0000730A0000}"/>
    <cellStyle name="_1) 토공수량집계(배수B)" xfId="2678" xr:uid="{00000000-0005-0000-0000-0000740A0000}"/>
    <cellStyle name="_1) 토공수량집계(배수B)_01.부대공(동판교3단계(본이설))" xfId="2679" xr:uid="{00000000-0005-0000-0000-0000750A0000}"/>
    <cellStyle name="_1) 토공수량집계(배수B)_02.구조물및추진,도달기지토공(D구간)" xfId="2680" xr:uid="{00000000-0005-0000-0000-0000760A0000}"/>
    <cellStyle name="_1) 토공수량집계(송수A)" xfId="2681" xr:uid="{00000000-0005-0000-0000-0000770A0000}"/>
    <cellStyle name="_1) 토공수량집계(송수A)_01.부대공(동판교3단계(본이설))" xfId="2682" xr:uid="{00000000-0005-0000-0000-0000780A0000}"/>
    <cellStyle name="_1) 토공수량집계(송수A)_02.구조물및추진,도달기지토공(D구간)" xfId="2683" xr:uid="{00000000-0005-0000-0000-0000790A0000}"/>
    <cellStyle name="_1) 토공수량집계(송수A1)" xfId="2684" xr:uid="{00000000-0005-0000-0000-00007A0A0000}"/>
    <cellStyle name="_1) 토공수량집계(송수A1)_01.부대공(동판교3단계(본이설))" xfId="2685" xr:uid="{00000000-0005-0000-0000-00007B0A0000}"/>
    <cellStyle name="_1) 토공수량집계(송수A1)_02.구조물및추진,도달기지토공(D구간)" xfId="2686" xr:uid="{00000000-0005-0000-0000-00007C0A0000}"/>
    <cellStyle name="_1. 예산서(샘플)" xfId="2687" xr:uid="{00000000-0005-0000-0000-00007D0A0000}"/>
    <cellStyle name="_1. 예산서(전화)" xfId="2688" xr:uid="{00000000-0005-0000-0000-00007E0A0000}"/>
    <cellStyle name="_1.0 토공" xfId="2689" xr:uid="{00000000-0005-0000-0000-00007F0A0000}"/>
    <cellStyle name="_1.0설계내역서(전체-최종)" xfId="2690" xr:uid="{00000000-0005-0000-0000-0000800A0000}"/>
    <cellStyle name="_1.0토공" xfId="2691" xr:uid="{00000000-0005-0000-0000-0000810A0000}"/>
    <cellStyle name="_1.토공" xfId="2692" xr:uid="{00000000-0005-0000-0000-0000820A0000}"/>
    <cellStyle name="_10.역T형옹벽(H=5.0),개거(0.5X0.5)" xfId="2693" xr:uid="{00000000-0005-0000-0000-0000830A0000}"/>
    <cellStyle name="_11. 석축" xfId="2694" xr:uid="{00000000-0005-0000-0000-0000840A0000}"/>
    <cellStyle name="_11. 석축_2(변경)-토공" xfId="2695" xr:uid="{00000000-0005-0000-0000-0000850A0000}"/>
    <cellStyle name="_11. 석축_2(변경)-토공_20040423_동해2리 오지도로" xfId="2696" xr:uid="{00000000-0005-0000-0000-0000860A0000}"/>
    <cellStyle name="_11. 석축_2(변경)-토공_20040523_반계3리 오지도로" xfId="2697" xr:uid="{00000000-0005-0000-0000-0000870A0000}"/>
    <cellStyle name="_11. 석축_2(변경)-토공_20040530_양잠2리(사당골)" xfId="2698" xr:uid="{00000000-0005-0000-0000-0000880A0000}"/>
    <cellStyle name="_11. 석축_2(변경)-토공_20040601_누동2리(장곰)" xfId="2699" xr:uid="{00000000-0005-0000-0000-0000890A0000}"/>
    <cellStyle name="_11. 석축_2(변경)-토공_20040610_황촌1리 오지도로" xfId="2700" xr:uid="{00000000-0005-0000-0000-00008A0A0000}"/>
    <cellStyle name="_11. 석축_2(변경)-토공_20040614_고남4리(옷점)" xfId="2701" xr:uid="{00000000-0005-0000-0000-00008B0A0000}"/>
    <cellStyle name="_11. 석축_2(변경)-토공_20040618_고남5리 오지도로" xfId="2702" xr:uid="{00000000-0005-0000-0000-00008C0A0000}"/>
    <cellStyle name="_11. 석축_2(변경)-토공_20040710_장곡2리 오지도로" xfId="2703" xr:uid="{00000000-0005-0000-0000-00008D0A0000}"/>
    <cellStyle name="_11. 석축_2(변경)-토공_20040712_장곡1리 오지도로" xfId="2704" xr:uid="{00000000-0005-0000-0000-00008E0A0000}"/>
    <cellStyle name="_11. 석축_2(변경)-토공_20040920_가의도하천정비" xfId="2705" xr:uid="{00000000-0005-0000-0000-00008F0A0000}"/>
    <cellStyle name="_11. 석축_20040423_동해2리 오지도로" xfId="2706" xr:uid="{00000000-0005-0000-0000-0000900A0000}"/>
    <cellStyle name="_11. 석축_20040523_반계3리 오지도로" xfId="2707" xr:uid="{00000000-0005-0000-0000-0000910A0000}"/>
    <cellStyle name="_11. 석축_20040530_양잠2리(사당골)" xfId="2708" xr:uid="{00000000-0005-0000-0000-0000920A0000}"/>
    <cellStyle name="_11. 석축_20040601_누동2리(장곰)" xfId="2709" xr:uid="{00000000-0005-0000-0000-0000930A0000}"/>
    <cellStyle name="_11. 석축_20040610_황촌1리 오지도로" xfId="2710" xr:uid="{00000000-0005-0000-0000-0000940A0000}"/>
    <cellStyle name="_11. 석축_20040614_고남4리(옷점)" xfId="2711" xr:uid="{00000000-0005-0000-0000-0000950A0000}"/>
    <cellStyle name="_11. 석축_20040618_고남5리 오지도로" xfId="2712" xr:uid="{00000000-0005-0000-0000-0000960A0000}"/>
    <cellStyle name="_11. 석축_20040710_장곡2리 오지도로" xfId="2713" xr:uid="{00000000-0005-0000-0000-0000970A0000}"/>
    <cellStyle name="_11. 석축_20040712_장곡1리 오지도로" xfId="2714" xr:uid="{00000000-0005-0000-0000-0000980A0000}"/>
    <cellStyle name="_11. 석축_20040920_가의도하천정비" xfId="2715" xr:uid="{00000000-0005-0000-0000-0000990A0000}"/>
    <cellStyle name="_11.토공수량및집계최종(03.05.27)" xfId="2716" xr:uid="{00000000-0005-0000-0000-00009A0A0000}"/>
    <cellStyle name="_13(석축)" xfId="2717" xr:uid="{00000000-0005-0000-0000-00009B0A0000}"/>
    <cellStyle name="_13(석축)_2(변경)-토공" xfId="2718" xr:uid="{00000000-0005-0000-0000-00009C0A0000}"/>
    <cellStyle name="_13(석축)_2(변경)-토공_20040423_동해2리 오지도로" xfId="2719" xr:uid="{00000000-0005-0000-0000-00009D0A0000}"/>
    <cellStyle name="_13(석축)_2(변경)-토공_20040523_반계3리 오지도로" xfId="2720" xr:uid="{00000000-0005-0000-0000-00009E0A0000}"/>
    <cellStyle name="_13(석축)_2(변경)-토공_20040530_양잠2리(사당골)" xfId="2721" xr:uid="{00000000-0005-0000-0000-00009F0A0000}"/>
    <cellStyle name="_13(석축)_2(변경)-토공_20040601_누동2리(장곰)" xfId="2722" xr:uid="{00000000-0005-0000-0000-0000A00A0000}"/>
    <cellStyle name="_13(석축)_2(변경)-토공_20040610_황촌1리 오지도로" xfId="2723" xr:uid="{00000000-0005-0000-0000-0000A10A0000}"/>
    <cellStyle name="_13(석축)_2(변경)-토공_20040614_고남4리(옷점)" xfId="2724" xr:uid="{00000000-0005-0000-0000-0000A20A0000}"/>
    <cellStyle name="_13(석축)_2(변경)-토공_20040618_고남5리 오지도로" xfId="2725" xr:uid="{00000000-0005-0000-0000-0000A30A0000}"/>
    <cellStyle name="_13(석축)_2(변경)-토공_20040710_장곡2리 오지도로" xfId="2726" xr:uid="{00000000-0005-0000-0000-0000A40A0000}"/>
    <cellStyle name="_13(석축)_2(변경)-토공_20040712_장곡1리 오지도로" xfId="2727" xr:uid="{00000000-0005-0000-0000-0000A50A0000}"/>
    <cellStyle name="_13(석축)_2(변경)-토공_20040920_가의도하천정비" xfId="2728" xr:uid="{00000000-0005-0000-0000-0000A60A0000}"/>
    <cellStyle name="_13(석축)_20040423_동해2리 오지도로" xfId="2729" xr:uid="{00000000-0005-0000-0000-0000A70A0000}"/>
    <cellStyle name="_13(석축)_20040523_반계3리 오지도로" xfId="2730" xr:uid="{00000000-0005-0000-0000-0000A80A0000}"/>
    <cellStyle name="_13(석축)_20040530_양잠2리(사당골)" xfId="2731" xr:uid="{00000000-0005-0000-0000-0000A90A0000}"/>
    <cellStyle name="_13(석축)_20040601_누동2리(장곰)" xfId="2732" xr:uid="{00000000-0005-0000-0000-0000AA0A0000}"/>
    <cellStyle name="_13(석축)_20040610_황촌1리 오지도로" xfId="2733" xr:uid="{00000000-0005-0000-0000-0000AB0A0000}"/>
    <cellStyle name="_13(석축)_20040614_고남4리(옷점)" xfId="2734" xr:uid="{00000000-0005-0000-0000-0000AC0A0000}"/>
    <cellStyle name="_13(석축)_20040618_고남5리 오지도로" xfId="2735" xr:uid="{00000000-0005-0000-0000-0000AD0A0000}"/>
    <cellStyle name="_13(석축)_20040710_장곡2리 오지도로" xfId="2736" xr:uid="{00000000-0005-0000-0000-0000AE0A0000}"/>
    <cellStyle name="_13(석축)_20040712_장곡1리 오지도로" xfId="2737" xr:uid="{00000000-0005-0000-0000-0000AF0A0000}"/>
    <cellStyle name="_13(석축)_20040920_가의도하천정비" xfId="2738" xr:uid="{00000000-0005-0000-0000-0000B00A0000}"/>
    <cellStyle name="_19.수중보(옹벽포함)" xfId="2739" xr:uid="{00000000-0005-0000-0000-0000B10A0000}"/>
    <cellStyle name="_19.수중보(옹벽포함)_2(변경)-토공" xfId="2740" xr:uid="{00000000-0005-0000-0000-0000B20A0000}"/>
    <cellStyle name="_19.수중보(옹벽포함)_2(변경)-토공_20040423_동해2리 오지도로" xfId="2741" xr:uid="{00000000-0005-0000-0000-0000B30A0000}"/>
    <cellStyle name="_19.수중보(옹벽포함)_2(변경)-토공_20040523_반계3리 오지도로" xfId="2742" xr:uid="{00000000-0005-0000-0000-0000B40A0000}"/>
    <cellStyle name="_19.수중보(옹벽포함)_2(변경)-토공_20040530_양잠2리(사당골)" xfId="2743" xr:uid="{00000000-0005-0000-0000-0000B50A0000}"/>
    <cellStyle name="_19.수중보(옹벽포함)_2(변경)-토공_20040601_누동2리(장곰)" xfId="2744" xr:uid="{00000000-0005-0000-0000-0000B60A0000}"/>
    <cellStyle name="_19.수중보(옹벽포함)_2(변경)-토공_20040610_황촌1리 오지도로" xfId="2745" xr:uid="{00000000-0005-0000-0000-0000B70A0000}"/>
    <cellStyle name="_19.수중보(옹벽포함)_2(변경)-토공_20040614_고남4리(옷점)" xfId="2746" xr:uid="{00000000-0005-0000-0000-0000B80A0000}"/>
    <cellStyle name="_19.수중보(옹벽포함)_2(변경)-토공_20040618_고남5리 오지도로" xfId="2747" xr:uid="{00000000-0005-0000-0000-0000B90A0000}"/>
    <cellStyle name="_19.수중보(옹벽포함)_2(변경)-토공_20040710_장곡2리 오지도로" xfId="2748" xr:uid="{00000000-0005-0000-0000-0000BA0A0000}"/>
    <cellStyle name="_19.수중보(옹벽포함)_2(변경)-토공_20040712_장곡1리 오지도로" xfId="2749" xr:uid="{00000000-0005-0000-0000-0000BB0A0000}"/>
    <cellStyle name="_19.수중보(옹벽포함)_2(변경)-토공_20040920_가의도하천정비" xfId="2750" xr:uid="{00000000-0005-0000-0000-0000BC0A0000}"/>
    <cellStyle name="_19.수중보(옹벽포함)_20040423_동해2리 오지도로" xfId="2751" xr:uid="{00000000-0005-0000-0000-0000BD0A0000}"/>
    <cellStyle name="_19.수중보(옹벽포함)_20040523_반계3리 오지도로" xfId="2752" xr:uid="{00000000-0005-0000-0000-0000BE0A0000}"/>
    <cellStyle name="_19.수중보(옹벽포함)_20040530_양잠2리(사당골)" xfId="2753" xr:uid="{00000000-0005-0000-0000-0000BF0A0000}"/>
    <cellStyle name="_19.수중보(옹벽포함)_20040601_누동2리(장곰)" xfId="2754" xr:uid="{00000000-0005-0000-0000-0000C00A0000}"/>
    <cellStyle name="_19.수중보(옹벽포함)_20040610_황촌1리 오지도로" xfId="2755" xr:uid="{00000000-0005-0000-0000-0000C10A0000}"/>
    <cellStyle name="_19.수중보(옹벽포함)_20040614_고남4리(옷점)" xfId="2756" xr:uid="{00000000-0005-0000-0000-0000C20A0000}"/>
    <cellStyle name="_19.수중보(옹벽포함)_20040618_고남5리 오지도로" xfId="2757" xr:uid="{00000000-0005-0000-0000-0000C30A0000}"/>
    <cellStyle name="_19.수중보(옹벽포함)_20040710_장곡2리 오지도로" xfId="2758" xr:uid="{00000000-0005-0000-0000-0000C40A0000}"/>
    <cellStyle name="_19.수중보(옹벽포함)_20040712_장곡1리 오지도로" xfId="2759" xr:uid="{00000000-0005-0000-0000-0000C50A0000}"/>
    <cellStyle name="_19.수중보(옹벽포함)_20040920_가의도하천정비" xfId="2760" xr:uid="{00000000-0005-0000-0000-0000C60A0000}"/>
    <cellStyle name="_1예산서_전기" xfId="2761" xr:uid="{00000000-0005-0000-0000-0000C70A0000}"/>
    <cellStyle name="_1-토공" xfId="2762" xr:uid="{00000000-0005-0000-0000-0000C80A0000}"/>
    <cellStyle name="_2.1 토공" xfId="2763" xr:uid="{00000000-0005-0000-0000-0000C90A0000}"/>
    <cellStyle name="_2.2 구조물토공" xfId="2764" xr:uid="{00000000-0005-0000-0000-0000CA0A0000}"/>
    <cellStyle name="_2.2 구조물토공_02.구조물및추진,도달기지토공(D구간)" xfId="2765" xr:uid="{00000000-0005-0000-0000-0000CB0A0000}"/>
    <cellStyle name="_2.2 구조물토공_2.3 추진토공" xfId="2766" xr:uid="{00000000-0005-0000-0000-0000CC0A0000}"/>
    <cellStyle name="_2.포장공(4지구)" xfId="2767" xr:uid="{00000000-0005-0000-0000-0000CD0A0000}"/>
    <cellStyle name="_2001년1월소장단회의REV2" xfId="2768" xr:uid="{00000000-0005-0000-0000-0000CE0A0000}"/>
    <cellStyle name="_2001년1월소장단회의REV2_B-1,B-1-1노선변경실정보고" xfId="2769" xr:uid="{00000000-0005-0000-0000-0000CF0A0000}"/>
    <cellStyle name="_2001년1월소장단회의REV2_B-1,B-1-1노선변경실정보고_발주내역서(제주도 하수처리장)1" xfId="2770" xr:uid="{00000000-0005-0000-0000-0000D00A0000}"/>
    <cellStyle name="_2001년1월소장단회의REV2_B-1,B-1-1노선변경실정보고_번암,산서하수처리장(처리장+관로+마을하수-1)" xfId="2771" xr:uid="{00000000-0005-0000-0000-0000D10A0000}"/>
    <cellStyle name="_2001년1월소장단회의REV2_B-1,B-1-1노선변경실정보고_조천배수지 확장사업 내역서" xfId="2772" xr:uid="{00000000-0005-0000-0000-0000D20A0000}"/>
    <cellStyle name="_2001년1월소장단회의REV2_B-1,B-1-1노선변경실정보고_진안지방상수도개발사업2-19(마을배수관로미포함)" xfId="2773" xr:uid="{00000000-0005-0000-0000-0000D30A0000}"/>
    <cellStyle name="_2001년1월소장단회의REV2_B-1,B-1-1노선변경실정보고_진안지방상수도개발사업2-19(마을배수관로미포함)_고수,공음,신림마을하수도" xfId="2774" xr:uid="{00000000-0005-0000-0000-0000D40A0000}"/>
    <cellStyle name="_2001년1월소장단회의REV2_B-1,B-1-1노선변경실정보고_진안지방상수도개발사업2-19(마을배수관로미포함)_고수,공음,신림마을하수도_발주내역서(제주도 하수처리장)1" xfId="2775" xr:uid="{00000000-0005-0000-0000-0000D50A0000}"/>
    <cellStyle name="_2001년1월소장단회의REV2_B-1,B-1-1노선변경실정보고_진안지방상수도개발사업2-19(마을배수관로미포함)_고수,공음,신림마을하수도_조천배수지 확장사업 내역서" xfId="2776" xr:uid="{00000000-0005-0000-0000-0000D60A0000}"/>
    <cellStyle name="_2001년1월소장단회의REV2_B-1,B-1-1노선변경실정보고_진안지방상수도개발사업2-19(마을배수관로미포함)_발주내역서(제주도 하수처리장)1" xfId="2777" xr:uid="{00000000-0005-0000-0000-0000D70A0000}"/>
    <cellStyle name="_2001년1월소장단회의REV2_B-1,B-1-1노선변경실정보고_진안지방상수도개발사업2-19(마을배수관로미포함)_번암,산서하수처리장(처리장+관로+마을하수-1)" xfId="2778" xr:uid="{00000000-0005-0000-0000-0000D80A0000}"/>
    <cellStyle name="_2001년1월소장단회의REV2_B-1,B-1-1노선변경실정보고_진안지방상수도개발사업2-19(마을배수관로미포함)_조천배수지 확장사업 내역서" xfId="2779" xr:uid="{00000000-0005-0000-0000-0000D90A0000}"/>
    <cellStyle name="_2001년1월소장단회의REV2_발주내역서(제주도 하수처리장)1" xfId="2780" xr:uid="{00000000-0005-0000-0000-0000DA0A0000}"/>
    <cellStyle name="_2001년1월소장단회의REV2_번암,산서하수처리장(처리장+관로+마을하수-1)" xfId="2781" xr:uid="{00000000-0005-0000-0000-0000DB0A0000}"/>
    <cellStyle name="_2001년1월소장단회의REV2_조천배수지 확장사업 내역서" xfId="2782" xr:uid="{00000000-0005-0000-0000-0000DC0A0000}"/>
    <cellStyle name="_2001년1월소장단회의REV2_진안지방상수도개발사업2-19(마을배수관로미포함)" xfId="2783" xr:uid="{00000000-0005-0000-0000-0000DD0A0000}"/>
    <cellStyle name="_2001년1월소장단회의REV2_진안지방상수도개발사업2-19(마을배수관로미포함)_고수,공음,신림마을하수도" xfId="2784" xr:uid="{00000000-0005-0000-0000-0000DE0A0000}"/>
    <cellStyle name="_2001년1월소장단회의REV2_진안지방상수도개발사업2-19(마을배수관로미포함)_고수,공음,신림마을하수도_발주내역서(제주도 하수처리장)1" xfId="2785" xr:uid="{00000000-0005-0000-0000-0000DF0A0000}"/>
    <cellStyle name="_2001년1월소장단회의REV2_진안지방상수도개발사업2-19(마을배수관로미포함)_고수,공음,신림마을하수도_조천배수지 확장사업 내역서" xfId="2786" xr:uid="{00000000-0005-0000-0000-0000E00A0000}"/>
    <cellStyle name="_2001년1월소장단회의REV2_진안지방상수도개발사업2-19(마을배수관로미포함)_발주내역서(제주도 하수처리장)1" xfId="2787" xr:uid="{00000000-0005-0000-0000-0000E10A0000}"/>
    <cellStyle name="_2001년1월소장단회의REV2_진안지방상수도개발사업2-19(마을배수관로미포함)_번암,산서하수처리장(처리장+관로+마을하수-1)" xfId="2788" xr:uid="{00000000-0005-0000-0000-0000E20A0000}"/>
    <cellStyle name="_2001년1월소장단회의REV2_진안지방상수도개발사업2-19(마을배수관로미포함)_조천배수지 확장사업 내역서" xfId="2789" xr:uid="{00000000-0005-0000-0000-0000E30A0000}"/>
    <cellStyle name="_2001년1월소장단회의REV2_토공계획" xfId="2790" xr:uid="{00000000-0005-0000-0000-0000E40A0000}"/>
    <cellStyle name="_2001년1월소장단회의REV2_토공계획_B-1,B-1-1노선변경실정보고" xfId="2791" xr:uid="{00000000-0005-0000-0000-0000E50A0000}"/>
    <cellStyle name="_2001년1월소장단회의REV2_토공계획_B-1,B-1-1노선변경실정보고_발주내역서(제주도 하수처리장)1" xfId="2792" xr:uid="{00000000-0005-0000-0000-0000E60A0000}"/>
    <cellStyle name="_2001년1월소장단회의REV2_토공계획_B-1,B-1-1노선변경실정보고_번암,산서하수처리장(처리장+관로+마을하수-1)" xfId="2793" xr:uid="{00000000-0005-0000-0000-0000E70A0000}"/>
    <cellStyle name="_2001년1월소장단회의REV2_토공계획_B-1,B-1-1노선변경실정보고_조천배수지 확장사업 내역서" xfId="2794" xr:uid="{00000000-0005-0000-0000-0000E80A0000}"/>
    <cellStyle name="_2001년1월소장단회의REV2_토공계획_B-1,B-1-1노선변경실정보고_진안지방상수도개발사업2-19(마을배수관로미포함)" xfId="2795" xr:uid="{00000000-0005-0000-0000-0000E90A0000}"/>
    <cellStyle name="_2001년1월소장단회의REV2_토공계획_B-1,B-1-1노선변경실정보고_진안지방상수도개발사업2-19(마을배수관로미포함)_고수,공음,신림마을하수도" xfId="2796" xr:uid="{00000000-0005-0000-0000-0000EA0A0000}"/>
    <cellStyle name="_2001년1월소장단회의REV2_토공계획_B-1,B-1-1노선변경실정보고_진안지방상수도개발사업2-19(마을배수관로미포함)_고수,공음,신림마을하수도_발주내역서(제주도 하수처리장)1" xfId="2797" xr:uid="{00000000-0005-0000-0000-0000EB0A0000}"/>
    <cellStyle name="_2001년1월소장단회의REV2_토공계획_B-1,B-1-1노선변경실정보고_진안지방상수도개발사업2-19(마을배수관로미포함)_고수,공음,신림마을하수도_조천배수지 확장사업 내역서" xfId="2798" xr:uid="{00000000-0005-0000-0000-0000EC0A0000}"/>
    <cellStyle name="_2001년1월소장단회의REV2_토공계획_B-1,B-1-1노선변경실정보고_진안지방상수도개발사업2-19(마을배수관로미포함)_발주내역서(제주도 하수처리장)1" xfId="2799" xr:uid="{00000000-0005-0000-0000-0000ED0A0000}"/>
    <cellStyle name="_2001년1월소장단회의REV2_토공계획_B-1,B-1-1노선변경실정보고_진안지방상수도개발사업2-19(마을배수관로미포함)_번암,산서하수처리장(처리장+관로+마을하수-1)" xfId="2800" xr:uid="{00000000-0005-0000-0000-0000EE0A0000}"/>
    <cellStyle name="_2001년1월소장단회의REV2_토공계획_B-1,B-1-1노선변경실정보고_진안지방상수도개발사업2-19(마을배수관로미포함)_조천배수지 확장사업 내역서" xfId="2801" xr:uid="{00000000-0005-0000-0000-0000EF0A0000}"/>
    <cellStyle name="_2001년1월소장단회의REV2_토공계획_구조물공사시공계획서" xfId="2802" xr:uid="{00000000-0005-0000-0000-0000F00A0000}"/>
    <cellStyle name="_2001년1월소장단회의REV2_토공계획_구조물공사시공계획서_B-1,B-1-1노선변경실정보고" xfId="2803" xr:uid="{00000000-0005-0000-0000-0000F10A0000}"/>
    <cellStyle name="_2001년1월소장단회의REV2_토공계획_구조물공사시공계획서_B-1,B-1-1노선변경실정보고_발주내역서(제주도 하수처리장)1" xfId="2804" xr:uid="{00000000-0005-0000-0000-0000F20A0000}"/>
    <cellStyle name="_2001년1월소장단회의REV2_토공계획_구조물공사시공계획서_B-1,B-1-1노선변경실정보고_번암,산서하수처리장(처리장+관로+마을하수-1)" xfId="2805" xr:uid="{00000000-0005-0000-0000-0000F30A0000}"/>
    <cellStyle name="_2001년1월소장단회의REV2_토공계획_구조물공사시공계획서_B-1,B-1-1노선변경실정보고_조천배수지 확장사업 내역서" xfId="2806" xr:uid="{00000000-0005-0000-0000-0000F40A0000}"/>
    <cellStyle name="_2001년1월소장단회의REV2_토공계획_구조물공사시공계획서_B-1,B-1-1노선변경실정보고_진안지방상수도개발사업2-19(마을배수관로미포함)" xfId="2807" xr:uid="{00000000-0005-0000-0000-0000F50A0000}"/>
    <cellStyle name="_2001년1월소장단회의REV2_토공계획_구조물공사시공계획서_B-1,B-1-1노선변경실정보고_진안지방상수도개발사업2-19(마을배수관로미포함)_고수,공음,신림마을하수도" xfId="2808" xr:uid="{00000000-0005-0000-0000-0000F60A0000}"/>
    <cellStyle name="_2001년1월소장단회의REV2_토공계획_구조물공사시공계획서_B-1,B-1-1노선변경실정보고_진안지방상수도개발사업2-19(마을배수관로미포함)_고수,공음,신림마을하수도_발주내역서(제주도 하수처리장)1" xfId="2809" xr:uid="{00000000-0005-0000-0000-0000F70A0000}"/>
    <cellStyle name="_2001년1월소장단회의REV2_토공계획_구조물공사시공계획서_B-1,B-1-1노선변경실정보고_진안지방상수도개발사업2-19(마을배수관로미포함)_고수,공음,신림마을하수도_조천배수지 확장사업 내역서" xfId="2810" xr:uid="{00000000-0005-0000-0000-0000F80A0000}"/>
    <cellStyle name="_2001년1월소장단회의REV2_토공계획_구조물공사시공계획서_B-1,B-1-1노선변경실정보고_진안지방상수도개발사업2-19(마을배수관로미포함)_발주내역서(제주도 하수처리장)1" xfId="2811" xr:uid="{00000000-0005-0000-0000-0000F90A0000}"/>
    <cellStyle name="_2001년1월소장단회의REV2_토공계획_구조물공사시공계획서_B-1,B-1-1노선변경실정보고_진안지방상수도개발사업2-19(마을배수관로미포함)_번암,산서하수처리장(처리장+관로+마을하수-1)" xfId="2812" xr:uid="{00000000-0005-0000-0000-0000FA0A0000}"/>
    <cellStyle name="_2001년1월소장단회의REV2_토공계획_구조물공사시공계획서_B-1,B-1-1노선변경실정보고_진안지방상수도개발사업2-19(마을배수관로미포함)_조천배수지 확장사업 내역서" xfId="2813" xr:uid="{00000000-0005-0000-0000-0000FB0A0000}"/>
    <cellStyle name="_2001년1월소장단회의REV2_토공계획_구조물공사시공계획서_발주내역서(제주도 하수처리장)1" xfId="2814" xr:uid="{00000000-0005-0000-0000-0000FC0A0000}"/>
    <cellStyle name="_2001년1월소장단회의REV2_토공계획_구조물공사시공계획서_번암,산서하수처리장(처리장+관로+마을하수-1)" xfId="2815" xr:uid="{00000000-0005-0000-0000-0000FD0A0000}"/>
    <cellStyle name="_2001년1월소장단회의REV2_토공계획_구조물공사시공계획서_조천배수지 확장사업 내역서" xfId="2816" xr:uid="{00000000-0005-0000-0000-0000FE0A0000}"/>
    <cellStyle name="_2001년1월소장단회의REV2_토공계획_구조물공사시공계획서_진안지방상수도개발사업2-19(마을배수관로미포함)" xfId="2817" xr:uid="{00000000-0005-0000-0000-0000FF0A0000}"/>
    <cellStyle name="_2001년1월소장단회의REV2_토공계획_구조물공사시공계획서_진안지방상수도개발사업2-19(마을배수관로미포함)_고수,공음,신림마을하수도" xfId="2818" xr:uid="{00000000-0005-0000-0000-0000000B0000}"/>
    <cellStyle name="_2001년1월소장단회의REV2_토공계획_구조물공사시공계획서_진안지방상수도개발사업2-19(마을배수관로미포함)_고수,공음,신림마을하수도_발주내역서(제주도 하수처리장)1" xfId="2819" xr:uid="{00000000-0005-0000-0000-0000010B0000}"/>
    <cellStyle name="_2001년1월소장단회의REV2_토공계획_구조물공사시공계획서_진안지방상수도개발사업2-19(마을배수관로미포함)_고수,공음,신림마을하수도_조천배수지 확장사업 내역서" xfId="2820" xr:uid="{00000000-0005-0000-0000-0000020B0000}"/>
    <cellStyle name="_2001년1월소장단회의REV2_토공계획_구조물공사시공계획서_진안지방상수도개발사업2-19(마을배수관로미포함)_발주내역서(제주도 하수처리장)1" xfId="2821" xr:uid="{00000000-0005-0000-0000-0000030B0000}"/>
    <cellStyle name="_2001년1월소장단회의REV2_토공계획_구조물공사시공계획서_진안지방상수도개발사업2-19(마을배수관로미포함)_번암,산서하수처리장(처리장+관로+마을하수-1)" xfId="2822" xr:uid="{00000000-0005-0000-0000-0000040B0000}"/>
    <cellStyle name="_2001년1월소장단회의REV2_토공계획_구조물공사시공계획서_진안지방상수도개발사업2-19(마을배수관로미포함)_조천배수지 확장사업 내역서" xfId="2823" xr:uid="{00000000-0005-0000-0000-0000050B0000}"/>
    <cellStyle name="_2001년1월소장단회의REV2_토공계획_발주내역서(제주도 하수처리장)1" xfId="2824" xr:uid="{00000000-0005-0000-0000-0000060B0000}"/>
    <cellStyle name="_2001년1월소장단회의REV2_토공계획_번암,산서하수처리장(처리장+관로+마을하수-1)" xfId="2825" xr:uid="{00000000-0005-0000-0000-0000070B0000}"/>
    <cellStyle name="_2001년1월소장단회의REV2_토공계획_조천배수지 확장사업 내역서" xfId="2826" xr:uid="{00000000-0005-0000-0000-0000080B0000}"/>
    <cellStyle name="_2001년1월소장단회의REV2_토공계획_진안지방상수도개발사업2-19(마을배수관로미포함)" xfId="2827" xr:uid="{00000000-0005-0000-0000-0000090B0000}"/>
    <cellStyle name="_2001년1월소장단회의REV2_토공계획_진안지방상수도개발사업2-19(마을배수관로미포함)_고수,공음,신림마을하수도" xfId="2828" xr:uid="{00000000-0005-0000-0000-00000A0B0000}"/>
    <cellStyle name="_2001년1월소장단회의REV2_토공계획_진안지방상수도개발사업2-19(마을배수관로미포함)_고수,공음,신림마을하수도_발주내역서(제주도 하수처리장)1" xfId="2829" xr:uid="{00000000-0005-0000-0000-00000B0B0000}"/>
    <cellStyle name="_2001년1월소장단회의REV2_토공계획_진안지방상수도개발사업2-19(마을배수관로미포함)_고수,공음,신림마을하수도_조천배수지 확장사업 내역서" xfId="2830" xr:uid="{00000000-0005-0000-0000-00000C0B0000}"/>
    <cellStyle name="_2001년1월소장단회의REV2_토공계획_진안지방상수도개발사업2-19(마을배수관로미포함)_발주내역서(제주도 하수처리장)1" xfId="2831" xr:uid="{00000000-0005-0000-0000-00000D0B0000}"/>
    <cellStyle name="_2001년1월소장단회의REV2_토공계획_진안지방상수도개발사업2-19(마을배수관로미포함)_번암,산서하수처리장(처리장+관로+마을하수-1)" xfId="2832" xr:uid="{00000000-0005-0000-0000-00000E0B0000}"/>
    <cellStyle name="_2001년1월소장단회의REV2_토공계획_진안지방상수도개발사업2-19(마을배수관로미포함)_조천배수지 확장사업 내역서" xfId="2833" xr:uid="{00000000-0005-0000-0000-00000F0B0000}"/>
    <cellStyle name="_2001년1월소장단회의REV2_토공계획_토공사시공계획서" xfId="2834" xr:uid="{00000000-0005-0000-0000-0000100B0000}"/>
    <cellStyle name="_2001년1월소장단회의REV2_토공계획_토공사시공계획서(포)" xfId="2835" xr:uid="{00000000-0005-0000-0000-0000110B0000}"/>
    <cellStyle name="_2001년1월소장단회의REV2_토공계획_토공사시공계획서(포)_B-1,B-1-1노선변경실정보고" xfId="2836" xr:uid="{00000000-0005-0000-0000-0000120B0000}"/>
    <cellStyle name="_2001년1월소장단회의REV2_토공계획_토공사시공계획서(포)_B-1,B-1-1노선변경실정보고_발주내역서(제주도 하수처리장)1" xfId="2837" xr:uid="{00000000-0005-0000-0000-0000130B0000}"/>
    <cellStyle name="_2001년1월소장단회의REV2_토공계획_토공사시공계획서(포)_B-1,B-1-1노선변경실정보고_번암,산서하수처리장(처리장+관로+마을하수-1)" xfId="2838" xr:uid="{00000000-0005-0000-0000-0000140B0000}"/>
    <cellStyle name="_2001년1월소장단회의REV2_토공계획_토공사시공계획서(포)_B-1,B-1-1노선변경실정보고_조천배수지 확장사업 내역서" xfId="2839" xr:uid="{00000000-0005-0000-0000-0000150B0000}"/>
    <cellStyle name="_2001년1월소장단회의REV2_토공계획_토공사시공계획서(포)_B-1,B-1-1노선변경실정보고_진안지방상수도개발사업2-19(마을배수관로미포함)" xfId="2840" xr:uid="{00000000-0005-0000-0000-0000160B0000}"/>
    <cellStyle name="_2001년1월소장단회의REV2_토공계획_토공사시공계획서(포)_B-1,B-1-1노선변경실정보고_진안지방상수도개발사업2-19(마을배수관로미포함)_고수,공음,신림마을하수도" xfId="2841" xr:uid="{00000000-0005-0000-0000-0000170B0000}"/>
    <cellStyle name="_2001년1월소장단회의REV2_토공계획_토공사시공계획서(포)_B-1,B-1-1노선변경실정보고_진안지방상수도개발사업2-19(마을배수관로미포함)_고수,공음,신림마을하수도_발주내역서(제주도 하수처리장)1" xfId="2842" xr:uid="{00000000-0005-0000-0000-0000180B0000}"/>
    <cellStyle name="_2001년1월소장단회의REV2_토공계획_토공사시공계획서(포)_B-1,B-1-1노선변경실정보고_진안지방상수도개발사업2-19(마을배수관로미포함)_고수,공음,신림마을하수도_조천배수지 확장사업 내역서" xfId="2843" xr:uid="{00000000-0005-0000-0000-0000190B0000}"/>
    <cellStyle name="_2001년1월소장단회의REV2_토공계획_토공사시공계획서(포)_B-1,B-1-1노선변경실정보고_진안지방상수도개발사업2-19(마을배수관로미포함)_발주내역서(제주도 하수처리장)1" xfId="2844" xr:uid="{00000000-0005-0000-0000-00001A0B0000}"/>
    <cellStyle name="_2001년1월소장단회의REV2_토공계획_토공사시공계획서(포)_B-1,B-1-1노선변경실정보고_진안지방상수도개발사업2-19(마을배수관로미포함)_번암,산서하수처리장(처리장+관로+마을하수-1)" xfId="2845" xr:uid="{00000000-0005-0000-0000-00001B0B0000}"/>
    <cellStyle name="_2001년1월소장단회의REV2_토공계획_토공사시공계획서(포)_B-1,B-1-1노선변경실정보고_진안지방상수도개발사업2-19(마을배수관로미포함)_조천배수지 확장사업 내역서" xfId="2846" xr:uid="{00000000-0005-0000-0000-00001C0B0000}"/>
    <cellStyle name="_2001년1월소장단회의REV2_토공계획_토공사시공계획서(포)_발주내역서(제주도 하수처리장)1" xfId="2847" xr:uid="{00000000-0005-0000-0000-00001D0B0000}"/>
    <cellStyle name="_2001년1월소장단회의REV2_토공계획_토공사시공계획서(포)_번암,산서하수처리장(처리장+관로+마을하수-1)" xfId="2848" xr:uid="{00000000-0005-0000-0000-00001E0B0000}"/>
    <cellStyle name="_2001년1월소장단회의REV2_토공계획_토공사시공계획서(포)_조천배수지 확장사업 내역서" xfId="2849" xr:uid="{00000000-0005-0000-0000-00001F0B0000}"/>
    <cellStyle name="_2001년1월소장단회의REV2_토공계획_토공사시공계획서(포)_진안지방상수도개발사업2-19(마을배수관로미포함)" xfId="2850" xr:uid="{00000000-0005-0000-0000-0000200B0000}"/>
    <cellStyle name="_2001년1월소장단회의REV2_토공계획_토공사시공계획서(포)_진안지방상수도개발사업2-19(마을배수관로미포함)_고수,공음,신림마을하수도" xfId="2851" xr:uid="{00000000-0005-0000-0000-0000210B0000}"/>
    <cellStyle name="_2001년1월소장단회의REV2_토공계획_토공사시공계획서(포)_진안지방상수도개발사업2-19(마을배수관로미포함)_고수,공음,신림마을하수도_발주내역서(제주도 하수처리장)1" xfId="2852" xr:uid="{00000000-0005-0000-0000-0000220B0000}"/>
    <cellStyle name="_2001년1월소장단회의REV2_토공계획_토공사시공계획서(포)_진안지방상수도개발사업2-19(마을배수관로미포함)_고수,공음,신림마을하수도_조천배수지 확장사업 내역서" xfId="2853" xr:uid="{00000000-0005-0000-0000-0000230B0000}"/>
    <cellStyle name="_2001년1월소장단회의REV2_토공계획_토공사시공계획서(포)_진안지방상수도개발사업2-19(마을배수관로미포함)_발주내역서(제주도 하수처리장)1" xfId="2854" xr:uid="{00000000-0005-0000-0000-0000240B0000}"/>
    <cellStyle name="_2001년1월소장단회의REV2_토공계획_토공사시공계획서(포)_진안지방상수도개발사업2-19(마을배수관로미포함)_번암,산서하수처리장(처리장+관로+마을하수-1)" xfId="2855" xr:uid="{00000000-0005-0000-0000-0000250B0000}"/>
    <cellStyle name="_2001년1월소장단회의REV2_토공계획_토공사시공계획서(포)_진안지방상수도개발사업2-19(마을배수관로미포함)_조천배수지 확장사업 내역서" xfId="2856" xr:uid="{00000000-0005-0000-0000-0000260B0000}"/>
    <cellStyle name="_2001년1월소장단회의REV2_토공계획_토공사시공계획서_B-1,B-1-1노선변경실정보고" xfId="2857" xr:uid="{00000000-0005-0000-0000-0000270B0000}"/>
    <cellStyle name="_2001년1월소장단회의REV2_토공계획_토공사시공계획서_B-1,B-1-1노선변경실정보고_발주내역서(제주도 하수처리장)1" xfId="2858" xr:uid="{00000000-0005-0000-0000-0000280B0000}"/>
    <cellStyle name="_2001년1월소장단회의REV2_토공계획_토공사시공계획서_B-1,B-1-1노선변경실정보고_번암,산서하수처리장(처리장+관로+마을하수-1)" xfId="2859" xr:uid="{00000000-0005-0000-0000-0000290B0000}"/>
    <cellStyle name="_2001년1월소장단회의REV2_토공계획_토공사시공계획서_B-1,B-1-1노선변경실정보고_조천배수지 확장사업 내역서" xfId="2860" xr:uid="{00000000-0005-0000-0000-00002A0B0000}"/>
    <cellStyle name="_2001년1월소장단회의REV2_토공계획_토공사시공계획서_B-1,B-1-1노선변경실정보고_진안지방상수도개발사업2-19(마을배수관로미포함)" xfId="2861" xr:uid="{00000000-0005-0000-0000-00002B0B0000}"/>
    <cellStyle name="_2001년1월소장단회의REV2_토공계획_토공사시공계획서_B-1,B-1-1노선변경실정보고_진안지방상수도개발사업2-19(마을배수관로미포함)_고수,공음,신림마을하수도" xfId="2862" xr:uid="{00000000-0005-0000-0000-00002C0B0000}"/>
    <cellStyle name="_2001년1월소장단회의REV2_토공계획_토공사시공계획서_B-1,B-1-1노선변경실정보고_진안지방상수도개발사업2-19(마을배수관로미포함)_고수,공음,신림마을하수도_발주내역서(제주도 하수처리장)1" xfId="2863" xr:uid="{00000000-0005-0000-0000-00002D0B0000}"/>
    <cellStyle name="_2001년1월소장단회의REV2_토공계획_토공사시공계획서_B-1,B-1-1노선변경실정보고_진안지방상수도개발사업2-19(마을배수관로미포함)_고수,공음,신림마을하수도_조천배수지 확장사업 내역서" xfId="2864" xr:uid="{00000000-0005-0000-0000-00002E0B0000}"/>
    <cellStyle name="_2001년1월소장단회의REV2_토공계획_토공사시공계획서_B-1,B-1-1노선변경실정보고_진안지방상수도개발사업2-19(마을배수관로미포함)_발주내역서(제주도 하수처리장)1" xfId="2865" xr:uid="{00000000-0005-0000-0000-00002F0B0000}"/>
    <cellStyle name="_2001년1월소장단회의REV2_토공계획_토공사시공계획서_B-1,B-1-1노선변경실정보고_진안지방상수도개발사업2-19(마을배수관로미포함)_번암,산서하수처리장(처리장+관로+마을하수-1)" xfId="2866" xr:uid="{00000000-0005-0000-0000-0000300B0000}"/>
    <cellStyle name="_2001년1월소장단회의REV2_토공계획_토공사시공계획서_B-1,B-1-1노선변경실정보고_진안지방상수도개발사업2-19(마을배수관로미포함)_조천배수지 확장사업 내역서" xfId="2867" xr:uid="{00000000-0005-0000-0000-0000310B0000}"/>
    <cellStyle name="_2001년1월소장단회의REV2_토공계획_토공사시공계획서_발주내역서(제주도 하수처리장)1" xfId="2868" xr:uid="{00000000-0005-0000-0000-0000320B0000}"/>
    <cellStyle name="_2001년1월소장단회의REV2_토공계획_토공사시공계획서_번암,산서하수처리장(처리장+관로+마을하수-1)" xfId="2869" xr:uid="{00000000-0005-0000-0000-0000330B0000}"/>
    <cellStyle name="_2001년1월소장단회의REV2_토공계획_토공사시공계획서_조천배수지 확장사업 내역서" xfId="2870" xr:uid="{00000000-0005-0000-0000-0000340B0000}"/>
    <cellStyle name="_2001년1월소장단회의REV2_토공계획_토공사시공계획서_진안지방상수도개발사업2-19(마을배수관로미포함)" xfId="2871" xr:uid="{00000000-0005-0000-0000-0000350B0000}"/>
    <cellStyle name="_2001년1월소장단회의REV2_토공계획_토공사시공계획서_진안지방상수도개발사업2-19(마을배수관로미포함)_고수,공음,신림마을하수도" xfId="2872" xr:uid="{00000000-0005-0000-0000-0000360B0000}"/>
    <cellStyle name="_2001년1월소장단회의REV2_토공계획_토공사시공계획서_진안지방상수도개발사업2-19(마을배수관로미포함)_고수,공음,신림마을하수도_발주내역서(제주도 하수처리장)1" xfId="2873" xr:uid="{00000000-0005-0000-0000-0000370B0000}"/>
    <cellStyle name="_2001년1월소장단회의REV2_토공계획_토공사시공계획서_진안지방상수도개발사업2-19(마을배수관로미포함)_고수,공음,신림마을하수도_조천배수지 확장사업 내역서" xfId="2874" xr:uid="{00000000-0005-0000-0000-0000380B0000}"/>
    <cellStyle name="_2001년1월소장단회의REV2_토공계획_토공사시공계획서_진안지방상수도개발사업2-19(마을배수관로미포함)_발주내역서(제주도 하수처리장)1" xfId="2875" xr:uid="{00000000-0005-0000-0000-0000390B0000}"/>
    <cellStyle name="_2001년1월소장단회의REV2_토공계획_토공사시공계획서_진안지방상수도개발사업2-19(마을배수관로미포함)_번암,산서하수처리장(처리장+관로+마을하수-1)" xfId="2876" xr:uid="{00000000-0005-0000-0000-00003A0B0000}"/>
    <cellStyle name="_2001년1월소장단회의REV2_토공계획_토공사시공계획서_진안지방상수도개발사업2-19(마을배수관로미포함)_조천배수지 확장사업 내역서" xfId="2877" xr:uid="{00000000-0005-0000-0000-00003B0B0000}"/>
    <cellStyle name="_2001년1월소장단회의REV2_토공시공계획서(효)" xfId="2878" xr:uid="{00000000-0005-0000-0000-00003C0B0000}"/>
    <cellStyle name="_2001년1월소장단회의REV2_토공시공계획서(효)_B-1,B-1-1노선변경실정보고" xfId="2879" xr:uid="{00000000-0005-0000-0000-00003D0B0000}"/>
    <cellStyle name="_2001년1월소장단회의REV2_토공시공계획서(효)_B-1,B-1-1노선변경실정보고_발주내역서(제주도 하수처리장)1" xfId="2880" xr:uid="{00000000-0005-0000-0000-00003E0B0000}"/>
    <cellStyle name="_2001년1월소장단회의REV2_토공시공계획서(효)_B-1,B-1-1노선변경실정보고_번암,산서하수처리장(처리장+관로+마을하수-1)" xfId="2881" xr:uid="{00000000-0005-0000-0000-00003F0B0000}"/>
    <cellStyle name="_2001년1월소장단회의REV2_토공시공계획서(효)_B-1,B-1-1노선변경실정보고_조천배수지 확장사업 내역서" xfId="2882" xr:uid="{00000000-0005-0000-0000-0000400B0000}"/>
    <cellStyle name="_2001년1월소장단회의REV2_토공시공계획서(효)_B-1,B-1-1노선변경실정보고_진안지방상수도개발사업2-19(마을배수관로미포함)" xfId="2883" xr:uid="{00000000-0005-0000-0000-0000410B0000}"/>
    <cellStyle name="_2001년1월소장단회의REV2_토공시공계획서(효)_B-1,B-1-1노선변경실정보고_진안지방상수도개발사업2-19(마을배수관로미포함)_고수,공음,신림마을하수도" xfId="2884" xr:uid="{00000000-0005-0000-0000-0000420B0000}"/>
    <cellStyle name="_2001년1월소장단회의REV2_토공시공계획서(효)_B-1,B-1-1노선변경실정보고_진안지방상수도개발사업2-19(마을배수관로미포함)_고수,공음,신림마을하수도_발주내역서(제주도 하수처리장)1" xfId="2885" xr:uid="{00000000-0005-0000-0000-0000430B0000}"/>
    <cellStyle name="_2001년1월소장단회의REV2_토공시공계획서(효)_B-1,B-1-1노선변경실정보고_진안지방상수도개발사업2-19(마을배수관로미포함)_고수,공음,신림마을하수도_조천배수지 확장사업 내역서" xfId="2886" xr:uid="{00000000-0005-0000-0000-0000440B0000}"/>
    <cellStyle name="_2001년1월소장단회의REV2_토공시공계획서(효)_B-1,B-1-1노선변경실정보고_진안지방상수도개발사업2-19(마을배수관로미포함)_발주내역서(제주도 하수처리장)1" xfId="2887" xr:uid="{00000000-0005-0000-0000-0000450B0000}"/>
    <cellStyle name="_2001년1월소장단회의REV2_토공시공계획서(효)_B-1,B-1-1노선변경실정보고_진안지방상수도개발사업2-19(마을배수관로미포함)_번암,산서하수처리장(처리장+관로+마을하수-1)" xfId="2888" xr:uid="{00000000-0005-0000-0000-0000460B0000}"/>
    <cellStyle name="_2001년1월소장단회의REV2_토공시공계획서(효)_B-1,B-1-1노선변경실정보고_진안지방상수도개발사업2-19(마을배수관로미포함)_조천배수지 확장사업 내역서" xfId="2889" xr:uid="{00000000-0005-0000-0000-0000470B0000}"/>
    <cellStyle name="_2001년1월소장단회의REV2_토공시공계획서(효)_구조물공사시공계획서" xfId="2890" xr:uid="{00000000-0005-0000-0000-0000480B0000}"/>
    <cellStyle name="_2001년1월소장단회의REV2_토공시공계획서(효)_구조물공사시공계획서_B-1,B-1-1노선변경실정보고" xfId="2891" xr:uid="{00000000-0005-0000-0000-0000490B0000}"/>
    <cellStyle name="_2001년1월소장단회의REV2_토공시공계획서(효)_구조물공사시공계획서_B-1,B-1-1노선변경실정보고_발주내역서(제주도 하수처리장)1" xfId="2892" xr:uid="{00000000-0005-0000-0000-00004A0B0000}"/>
    <cellStyle name="_2001년1월소장단회의REV2_토공시공계획서(효)_구조물공사시공계획서_B-1,B-1-1노선변경실정보고_번암,산서하수처리장(처리장+관로+마을하수-1)" xfId="2893" xr:uid="{00000000-0005-0000-0000-00004B0B0000}"/>
    <cellStyle name="_2001년1월소장단회의REV2_토공시공계획서(효)_구조물공사시공계획서_B-1,B-1-1노선변경실정보고_조천배수지 확장사업 내역서" xfId="2894" xr:uid="{00000000-0005-0000-0000-00004C0B0000}"/>
    <cellStyle name="_2001년1월소장단회의REV2_토공시공계획서(효)_구조물공사시공계획서_B-1,B-1-1노선변경실정보고_진안지방상수도개발사업2-19(마을배수관로미포함)" xfId="2895" xr:uid="{00000000-0005-0000-0000-00004D0B0000}"/>
    <cellStyle name="_2001년1월소장단회의REV2_토공시공계획서(효)_구조물공사시공계획서_B-1,B-1-1노선변경실정보고_진안지방상수도개발사업2-19(마을배수관로미포함)_고수,공음,신림마을하수도" xfId="2896" xr:uid="{00000000-0005-0000-0000-00004E0B0000}"/>
    <cellStyle name="_2001년1월소장단회의REV2_토공시공계획서(효)_구조물공사시공계획서_B-1,B-1-1노선변경실정보고_진안지방상수도개발사업2-19(마을배수관로미포함)_고수,공음,신림마을하수도_발주내역서(제주도 하수처리장)1" xfId="2897" xr:uid="{00000000-0005-0000-0000-00004F0B0000}"/>
    <cellStyle name="_2001년1월소장단회의REV2_토공시공계획서(효)_구조물공사시공계획서_B-1,B-1-1노선변경실정보고_진안지방상수도개발사업2-19(마을배수관로미포함)_고수,공음,신림마을하수도_조천배수지 확장사업 내역서" xfId="2898" xr:uid="{00000000-0005-0000-0000-0000500B0000}"/>
    <cellStyle name="_2001년1월소장단회의REV2_토공시공계획서(효)_구조물공사시공계획서_B-1,B-1-1노선변경실정보고_진안지방상수도개발사업2-19(마을배수관로미포함)_발주내역서(제주도 하수처리장)1" xfId="2899" xr:uid="{00000000-0005-0000-0000-0000510B0000}"/>
    <cellStyle name="_2001년1월소장단회의REV2_토공시공계획서(효)_구조물공사시공계획서_B-1,B-1-1노선변경실정보고_진안지방상수도개발사업2-19(마을배수관로미포함)_번암,산서하수처리장(처리장+관로+마을하수-1)" xfId="2900" xr:uid="{00000000-0005-0000-0000-0000520B0000}"/>
    <cellStyle name="_2001년1월소장단회의REV2_토공시공계획서(효)_구조물공사시공계획서_B-1,B-1-1노선변경실정보고_진안지방상수도개발사업2-19(마을배수관로미포함)_조천배수지 확장사업 내역서" xfId="2901" xr:uid="{00000000-0005-0000-0000-0000530B0000}"/>
    <cellStyle name="_2001년1월소장단회의REV2_토공시공계획서(효)_구조물공사시공계획서_발주내역서(제주도 하수처리장)1" xfId="2902" xr:uid="{00000000-0005-0000-0000-0000540B0000}"/>
    <cellStyle name="_2001년1월소장단회의REV2_토공시공계획서(효)_구조물공사시공계획서_번암,산서하수처리장(처리장+관로+마을하수-1)" xfId="2903" xr:uid="{00000000-0005-0000-0000-0000550B0000}"/>
    <cellStyle name="_2001년1월소장단회의REV2_토공시공계획서(효)_구조물공사시공계획서_조천배수지 확장사업 내역서" xfId="2904" xr:uid="{00000000-0005-0000-0000-0000560B0000}"/>
    <cellStyle name="_2001년1월소장단회의REV2_토공시공계획서(효)_구조물공사시공계획서_진안지방상수도개발사업2-19(마을배수관로미포함)" xfId="2905" xr:uid="{00000000-0005-0000-0000-0000570B0000}"/>
    <cellStyle name="_2001년1월소장단회의REV2_토공시공계획서(효)_구조물공사시공계획서_진안지방상수도개발사업2-19(마을배수관로미포함)_고수,공음,신림마을하수도" xfId="2906" xr:uid="{00000000-0005-0000-0000-0000580B0000}"/>
    <cellStyle name="_2001년1월소장단회의REV2_토공시공계획서(효)_구조물공사시공계획서_진안지방상수도개발사업2-19(마을배수관로미포함)_고수,공음,신림마을하수도_발주내역서(제주도 하수처리장)1" xfId="2907" xr:uid="{00000000-0005-0000-0000-0000590B0000}"/>
    <cellStyle name="_2001년1월소장단회의REV2_토공시공계획서(효)_구조물공사시공계획서_진안지방상수도개발사업2-19(마을배수관로미포함)_고수,공음,신림마을하수도_조천배수지 확장사업 내역서" xfId="2908" xr:uid="{00000000-0005-0000-0000-00005A0B0000}"/>
    <cellStyle name="_2001년1월소장단회의REV2_토공시공계획서(효)_구조물공사시공계획서_진안지방상수도개발사업2-19(마을배수관로미포함)_발주내역서(제주도 하수처리장)1" xfId="2909" xr:uid="{00000000-0005-0000-0000-00005B0B0000}"/>
    <cellStyle name="_2001년1월소장단회의REV2_토공시공계획서(효)_구조물공사시공계획서_진안지방상수도개발사업2-19(마을배수관로미포함)_번암,산서하수처리장(처리장+관로+마을하수-1)" xfId="2910" xr:uid="{00000000-0005-0000-0000-00005C0B0000}"/>
    <cellStyle name="_2001년1월소장단회의REV2_토공시공계획서(효)_구조물공사시공계획서_진안지방상수도개발사업2-19(마을배수관로미포함)_조천배수지 확장사업 내역서" xfId="2911" xr:uid="{00000000-0005-0000-0000-00005D0B0000}"/>
    <cellStyle name="_2001년1월소장단회의REV2_토공시공계획서(효)_발주내역서(제주도 하수처리장)1" xfId="2912" xr:uid="{00000000-0005-0000-0000-00005E0B0000}"/>
    <cellStyle name="_2001년1월소장단회의REV2_토공시공계획서(효)_번암,산서하수처리장(처리장+관로+마을하수-1)" xfId="2913" xr:uid="{00000000-0005-0000-0000-00005F0B0000}"/>
    <cellStyle name="_2001년1월소장단회의REV2_토공시공계획서(효)_조천배수지 확장사업 내역서" xfId="2914" xr:uid="{00000000-0005-0000-0000-0000600B0000}"/>
    <cellStyle name="_2001년1월소장단회의REV2_토공시공계획서(효)_진안지방상수도개발사업2-19(마을배수관로미포함)" xfId="2915" xr:uid="{00000000-0005-0000-0000-0000610B0000}"/>
    <cellStyle name="_2001년1월소장단회의REV2_토공시공계획서(효)_진안지방상수도개발사업2-19(마을배수관로미포함)_고수,공음,신림마을하수도" xfId="2916" xr:uid="{00000000-0005-0000-0000-0000620B0000}"/>
    <cellStyle name="_2001년1월소장단회의REV2_토공시공계획서(효)_진안지방상수도개발사업2-19(마을배수관로미포함)_고수,공음,신림마을하수도_발주내역서(제주도 하수처리장)1" xfId="2917" xr:uid="{00000000-0005-0000-0000-0000630B0000}"/>
    <cellStyle name="_2001년1월소장단회의REV2_토공시공계획서(효)_진안지방상수도개발사업2-19(마을배수관로미포함)_고수,공음,신림마을하수도_조천배수지 확장사업 내역서" xfId="2918" xr:uid="{00000000-0005-0000-0000-0000640B0000}"/>
    <cellStyle name="_2001년1월소장단회의REV2_토공시공계획서(효)_진안지방상수도개발사업2-19(마을배수관로미포함)_발주내역서(제주도 하수처리장)1" xfId="2919" xr:uid="{00000000-0005-0000-0000-0000650B0000}"/>
    <cellStyle name="_2001년1월소장단회의REV2_토공시공계획서(효)_진안지방상수도개발사업2-19(마을배수관로미포함)_번암,산서하수처리장(처리장+관로+마을하수-1)" xfId="2920" xr:uid="{00000000-0005-0000-0000-0000660B0000}"/>
    <cellStyle name="_2001년1월소장단회의REV2_토공시공계획서(효)_진안지방상수도개발사업2-19(마을배수관로미포함)_조천배수지 확장사업 내역서" xfId="2921" xr:uid="{00000000-0005-0000-0000-0000670B0000}"/>
    <cellStyle name="_2001년1월소장단회의REV2_토공시공계획서(효)_토공사시공계획서" xfId="2922" xr:uid="{00000000-0005-0000-0000-0000680B0000}"/>
    <cellStyle name="_2001년1월소장단회의REV2_토공시공계획서(효)_토공사시공계획서(포)" xfId="2923" xr:uid="{00000000-0005-0000-0000-0000690B0000}"/>
    <cellStyle name="_2001년1월소장단회의REV2_토공시공계획서(효)_토공사시공계획서(포)_B-1,B-1-1노선변경실정보고" xfId="2924" xr:uid="{00000000-0005-0000-0000-00006A0B0000}"/>
    <cellStyle name="_2001년1월소장단회의REV2_토공시공계획서(효)_토공사시공계획서(포)_B-1,B-1-1노선변경실정보고_발주내역서(제주도 하수처리장)1" xfId="2925" xr:uid="{00000000-0005-0000-0000-00006B0B0000}"/>
    <cellStyle name="_2001년1월소장단회의REV2_토공시공계획서(효)_토공사시공계획서(포)_B-1,B-1-1노선변경실정보고_번암,산서하수처리장(처리장+관로+마을하수-1)" xfId="2926" xr:uid="{00000000-0005-0000-0000-00006C0B0000}"/>
    <cellStyle name="_2001년1월소장단회의REV2_토공시공계획서(효)_토공사시공계획서(포)_B-1,B-1-1노선변경실정보고_조천배수지 확장사업 내역서" xfId="2927" xr:uid="{00000000-0005-0000-0000-00006D0B0000}"/>
    <cellStyle name="_2001년1월소장단회의REV2_토공시공계획서(효)_토공사시공계획서(포)_B-1,B-1-1노선변경실정보고_진안지방상수도개발사업2-19(마을배수관로미포함)" xfId="2928" xr:uid="{00000000-0005-0000-0000-00006E0B0000}"/>
    <cellStyle name="_2001년1월소장단회의REV2_토공시공계획서(효)_토공사시공계획서(포)_B-1,B-1-1노선변경실정보고_진안지방상수도개발사업2-19(마을배수관로미포함)_고수,공음,신림마을하수도" xfId="2929" xr:uid="{00000000-0005-0000-0000-00006F0B0000}"/>
    <cellStyle name="_2001년1월소장단회의REV2_토공시공계획서(효)_토공사시공계획서(포)_B-1,B-1-1노선변경실정보고_진안지방상수도개발사업2-19(마을배수관로미포함)_고수,공음,신림마을하수도_발주내역서(제주도 하수처리장)1" xfId="2930" xr:uid="{00000000-0005-0000-0000-0000700B0000}"/>
    <cellStyle name="_2001년1월소장단회의REV2_토공시공계획서(효)_토공사시공계획서(포)_B-1,B-1-1노선변경실정보고_진안지방상수도개발사업2-19(마을배수관로미포함)_고수,공음,신림마을하수도_조천배수지 확장사업 내역서" xfId="2931" xr:uid="{00000000-0005-0000-0000-0000710B0000}"/>
    <cellStyle name="_2001년1월소장단회의REV2_토공시공계획서(효)_토공사시공계획서(포)_B-1,B-1-1노선변경실정보고_진안지방상수도개발사업2-19(마을배수관로미포함)_발주내역서(제주도 하수처리장)1" xfId="2932" xr:uid="{00000000-0005-0000-0000-0000720B0000}"/>
    <cellStyle name="_2001년1월소장단회의REV2_토공시공계획서(효)_토공사시공계획서(포)_B-1,B-1-1노선변경실정보고_진안지방상수도개발사업2-19(마을배수관로미포함)_번암,산서하수처리장(처리장+관로+마을하수-1)" xfId="2933" xr:uid="{00000000-0005-0000-0000-0000730B0000}"/>
    <cellStyle name="_2001년1월소장단회의REV2_토공시공계획서(효)_토공사시공계획서(포)_B-1,B-1-1노선변경실정보고_진안지방상수도개발사업2-19(마을배수관로미포함)_조천배수지 확장사업 내역서" xfId="2934" xr:uid="{00000000-0005-0000-0000-0000740B0000}"/>
    <cellStyle name="_2001년1월소장단회의REV2_토공시공계획서(효)_토공사시공계획서(포)_발주내역서(제주도 하수처리장)1" xfId="2935" xr:uid="{00000000-0005-0000-0000-0000750B0000}"/>
    <cellStyle name="_2001년1월소장단회의REV2_토공시공계획서(효)_토공사시공계획서(포)_번암,산서하수처리장(처리장+관로+마을하수-1)" xfId="2936" xr:uid="{00000000-0005-0000-0000-0000760B0000}"/>
    <cellStyle name="_2001년1월소장단회의REV2_토공시공계획서(효)_토공사시공계획서(포)_조천배수지 확장사업 내역서" xfId="2937" xr:uid="{00000000-0005-0000-0000-0000770B0000}"/>
    <cellStyle name="_2001년1월소장단회의REV2_토공시공계획서(효)_토공사시공계획서(포)_진안지방상수도개발사업2-19(마을배수관로미포함)" xfId="2938" xr:uid="{00000000-0005-0000-0000-0000780B0000}"/>
    <cellStyle name="_2001년1월소장단회의REV2_토공시공계획서(효)_토공사시공계획서(포)_진안지방상수도개발사업2-19(마을배수관로미포함)_고수,공음,신림마을하수도" xfId="2939" xr:uid="{00000000-0005-0000-0000-0000790B0000}"/>
    <cellStyle name="_2001년1월소장단회의REV2_토공시공계획서(효)_토공사시공계획서(포)_진안지방상수도개발사업2-19(마을배수관로미포함)_고수,공음,신림마을하수도_발주내역서(제주도 하수처리장)1" xfId="2940" xr:uid="{00000000-0005-0000-0000-00007A0B0000}"/>
    <cellStyle name="_2001년1월소장단회의REV2_토공시공계획서(효)_토공사시공계획서(포)_진안지방상수도개발사업2-19(마을배수관로미포함)_고수,공음,신림마을하수도_조천배수지 확장사업 내역서" xfId="2941" xr:uid="{00000000-0005-0000-0000-00007B0B0000}"/>
    <cellStyle name="_2001년1월소장단회의REV2_토공시공계획서(효)_토공사시공계획서(포)_진안지방상수도개발사업2-19(마을배수관로미포함)_발주내역서(제주도 하수처리장)1" xfId="2942" xr:uid="{00000000-0005-0000-0000-00007C0B0000}"/>
    <cellStyle name="_2001년1월소장단회의REV2_토공시공계획서(효)_토공사시공계획서(포)_진안지방상수도개발사업2-19(마을배수관로미포함)_번암,산서하수처리장(처리장+관로+마을하수-1)" xfId="2943" xr:uid="{00000000-0005-0000-0000-00007D0B0000}"/>
    <cellStyle name="_2001년1월소장단회의REV2_토공시공계획서(효)_토공사시공계획서(포)_진안지방상수도개발사업2-19(마을배수관로미포함)_조천배수지 확장사업 내역서" xfId="2944" xr:uid="{00000000-0005-0000-0000-00007E0B0000}"/>
    <cellStyle name="_2001년1월소장단회의REV2_토공시공계획서(효)_토공사시공계획서_B-1,B-1-1노선변경실정보고" xfId="2945" xr:uid="{00000000-0005-0000-0000-00007F0B0000}"/>
    <cellStyle name="_2001년1월소장단회의REV2_토공시공계획서(효)_토공사시공계획서_B-1,B-1-1노선변경실정보고_발주내역서(제주도 하수처리장)1" xfId="2946" xr:uid="{00000000-0005-0000-0000-0000800B0000}"/>
    <cellStyle name="_2001년1월소장단회의REV2_토공시공계획서(효)_토공사시공계획서_B-1,B-1-1노선변경실정보고_번암,산서하수처리장(처리장+관로+마을하수-1)" xfId="2947" xr:uid="{00000000-0005-0000-0000-0000810B0000}"/>
    <cellStyle name="_2001년1월소장단회의REV2_토공시공계획서(효)_토공사시공계획서_B-1,B-1-1노선변경실정보고_조천배수지 확장사업 내역서" xfId="2948" xr:uid="{00000000-0005-0000-0000-0000820B0000}"/>
    <cellStyle name="_2001년1월소장단회의REV2_토공시공계획서(효)_토공사시공계획서_B-1,B-1-1노선변경실정보고_진안지방상수도개발사업2-19(마을배수관로미포함)" xfId="2949" xr:uid="{00000000-0005-0000-0000-0000830B0000}"/>
    <cellStyle name="_2001년1월소장단회의REV2_토공시공계획서(효)_토공사시공계획서_B-1,B-1-1노선변경실정보고_진안지방상수도개발사업2-19(마을배수관로미포함)_고수,공음,신림마을하수도" xfId="2950" xr:uid="{00000000-0005-0000-0000-0000840B0000}"/>
    <cellStyle name="_2001년1월소장단회의REV2_토공시공계획서(효)_토공사시공계획서_B-1,B-1-1노선변경실정보고_진안지방상수도개발사업2-19(마을배수관로미포함)_고수,공음,신림마을하수도_발주내역서(제주도 하수처리장)1" xfId="2951" xr:uid="{00000000-0005-0000-0000-0000850B0000}"/>
    <cellStyle name="_2001년1월소장단회의REV2_토공시공계획서(효)_토공사시공계획서_B-1,B-1-1노선변경실정보고_진안지방상수도개발사업2-19(마을배수관로미포함)_고수,공음,신림마을하수도_조천배수지 확장사업 내역서" xfId="2952" xr:uid="{00000000-0005-0000-0000-0000860B0000}"/>
    <cellStyle name="_2001년1월소장단회의REV2_토공시공계획서(효)_토공사시공계획서_B-1,B-1-1노선변경실정보고_진안지방상수도개발사업2-19(마을배수관로미포함)_발주내역서(제주도 하수처리장)1" xfId="2953" xr:uid="{00000000-0005-0000-0000-0000870B0000}"/>
    <cellStyle name="_2001년1월소장단회의REV2_토공시공계획서(효)_토공사시공계획서_B-1,B-1-1노선변경실정보고_진안지방상수도개발사업2-19(마을배수관로미포함)_번암,산서하수처리장(처리장+관로+마을하수-1)" xfId="2954" xr:uid="{00000000-0005-0000-0000-0000880B0000}"/>
    <cellStyle name="_2001년1월소장단회의REV2_토공시공계획서(효)_토공사시공계획서_B-1,B-1-1노선변경실정보고_진안지방상수도개발사업2-19(마을배수관로미포함)_조천배수지 확장사업 내역서" xfId="2955" xr:uid="{00000000-0005-0000-0000-0000890B0000}"/>
    <cellStyle name="_2001년1월소장단회의REV2_토공시공계획서(효)_토공사시공계획서_발주내역서(제주도 하수처리장)1" xfId="2956" xr:uid="{00000000-0005-0000-0000-00008A0B0000}"/>
    <cellStyle name="_2001년1월소장단회의REV2_토공시공계획서(효)_토공사시공계획서_번암,산서하수처리장(처리장+관로+마을하수-1)" xfId="2957" xr:uid="{00000000-0005-0000-0000-00008B0B0000}"/>
    <cellStyle name="_2001년1월소장단회의REV2_토공시공계획서(효)_토공사시공계획서_조천배수지 확장사업 내역서" xfId="2958" xr:uid="{00000000-0005-0000-0000-00008C0B0000}"/>
    <cellStyle name="_2001년1월소장단회의REV2_토공시공계획서(효)_토공사시공계획서_진안지방상수도개발사업2-19(마을배수관로미포함)" xfId="2959" xr:uid="{00000000-0005-0000-0000-00008D0B0000}"/>
    <cellStyle name="_2001년1월소장단회의REV2_토공시공계획서(효)_토공사시공계획서_진안지방상수도개발사업2-19(마을배수관로미포함)_고수,공음,신림마을하수도" xfId="2960" xr:uid="{00000000-0005-0000-0000-00008E0B0000}"/>
    <cellStyle name="_2001년1월소장단회의REV2_토공시공계획서(효)_토공사시공계획서_진안지방상수도개발사업2-19(마을배수관로미포함)_고수,공음,신림마을하수도_발주내역서(제주도 하수처리장)1" xfId="2961" xr:uid="{00000000-0005-0000-0000-00008F0B0000}"/>
    <cellStyle name="_2001년1월소장단회의REV2_토공시공계획서(효)_토공사시공계획서_진안지방상수도개발사업2-19(마을배수관로미포함)_고수,공음,신림마을하수도_조천배수지 확장사업 내역서" xfId="2962" xr:uid="{00000000-0005-0000-0000-0000900B0000}"/>
    <cellStyle name="_2001년1월소장단회의REV2_토공시공계획서(효)_토공사시공계획서_진안지방상수도개발사업2-19(마을배수관로미포함)_발주내역서(제주도 하수처리장)1" xfId="2963" xr:uid="{00000000-0005-0000-0000-0000910B0000}"/>
    <cellStyle name="_2001년1월소장단회의REV2_토공시공계획서(효)_토공사시공계획서_진안지방상수도개발사업2-19(마을배수관로미포함)_번암,산서하수처리장(처리장+관로+마을하수-1)" xfId="2964" xr:uid="{00000000-0005-0000-0000-0000920B0000}"/>
    <cellStyle name="_2001년1월소장단회의REV2_토공시공계획서(효)_토공사시공계획서_진안지방상수도개발사업2-19(마을배수관로미포함)_조천배수지 확장사업 내역서" xfId="2965" xr:uid="{00000000-0005-0000-0000-0000930B0000}"/>
    <cellStyle name="_2001년1월소장회의" xfId="2966" xr:uid="{00000000-0005-0000-0000-0000940B0000}"/>
    <cellStyle name="_2001년1월소장회의_B-1,B-1-1노선변경실정보고" xfId="2967" xr:uid="{00000000-0005-0000-0000-0000950B0000}"/>
    <cellStyle name="_2001년1월소장회의_B-1,B-1-1노선변경실정보고_발주내역서(제주도 하수처리장)1" xfId="2968" xr:uid="{00000000-0005-0000-0000-0000960B0000}"/>
    <cellStyle name="_2001년1월소장회의_B-1,B-1-1노선변경실정보고_번암,산서하수처리장(처리장+관로+마을하수-1)" xfId="2969" xr:uid="{00000000-0005-0000-0000-0000970B0000}"/>
    <cellStyle name="_2001년1월소장회의_B-1,B-1-1노선변경실정보고_조천배수지 확장사업 내역서" xfId="2970" xr:uid="{00000000-0005-0000-0000-0000980B0000}"/>
    <cellStyle name="_2001년1월소장회의_B-1,B-1-1노선변경실정보고_진안지방상수도개발사업2-19(마을배수관로미포함)" xfId="2971" xr:uid="{00000000-0005-0000-0000-0000990B0000}"/>
    <cellStyle name="_2001년1월소장회의_B-1,B-1-1노선변경실정보고_진안지방상수도개발사업2-19(마을배수관로미포함)_고수,공음,신림마을하수도" xfId="2972" xr:uid="{00000000-0005-0000-0000-00009A0B0000}"/>
    <cellStyle name="_2001년1월소장회의_B-1,B-1-1노선변경실정보고_진안지방상수도개발사업2-19(마을배수관로미포함)_고수,공음,신림마을하수도_발주내역서(제주도 하수처리장)1" xfId="2973" xr:uid="{00000000-0005-0000-0000-00009B0B0000}"/>
    <cellStyle name="_2001년1월소장회의_B-1,B-1-1노선변경실정보고_진안지방상수도개발사업2-19(마을배수관로미포함)_고수,공음,신림마을하수도_조천배수지 확장사업 내역서" xfId="2974" xr:uid="{00000000-0005-0000-0000-00009C0B0000}"/>
    <cellStyle name="_2001년1월소장회의_B-1,B-1-1노선변경실정보고_진안지방상수도개발사업2-19(마을배수관로미포함)_발주내역서(제주도 하수처리장)1" xfId="2975" xr:uid="{00000000-0005-0000-0000-00009D0B0000}"/>
    <cellStyle name="_2001년1월소장회의_B-1,B-1-1노선변경실정보고_진안지방상수도개발사업2-19(마을배수관로미포함)_번암,산서하수처리장(처리장+관로+마을하수-1)" xfId="2976" xr:uid="{00000000-0005-0000-0000-00009E0B0000}"/>
    <cellStyle name="_2001년1월소장회의_B-1,B-1-1노선변경실정보고_진안지방상수도개발사업2-19(마을배수관로미포함)_조천배수지 확장사업 내역서" xfId="2977" xr:uid="{00000000-0005-0000-0000-00009F0B0000}"/>
    <cellStyle name="_2001년1월소장회의_발주내역서(제주도 하수처리장)1" xfId="2978" xr:uid="{00000000-0005-0000-0000-0000A00B0000}"/>
    <cellStyle name="_2001년1월소장회의_번암,산서하수처리장(처리장+관로+마을하수-1)" xfId="2979" xr:uid="{00000000-0005-0000-0000-0000A10B0000}"/>
    <cellStyle name="_2001년1월소장회의_조천배수지 확장사업 내역서" xfId="2980" xr:uid="{00000000-0005-0000-0000-0000A20B0000}"/>
    <cellStyle name="_2001년1월소장회의_진안지방상수도개발사업2-19(마을배수관로미포함)" xfId="2981" xr:uid="{00000000-0005-0000-0000-0000A30B0000}"/>
    <cellStyle name="_2001년1월소장회의_진안지방상수도개발사업2-19(마을배수관로미포함)_고수,공음,신림마을하수도" xfId="2982" xr:uid="{00000000-0005-0000-0000-0000A40B0000}"/>
    <cellStyle name="_2001년1월소장회의_진안지방상수도개발사업2-19(마을배수관로미포함)_고수,공음,신림마을하수도_발주내역서(제주도 하수처리장)1" xfId="2983" xr:uid="{00000000-0005-0000-0000-0000A50B0000}"/>
    <cellStyle name="_2001년1월소장회의_진안지방상수도개발사업2-19(마을배수관로미포함)_고수,공음,신림마을하수도_조천배수지 확장사업 내역서" xfId="2984" xr:uid="{00000000-0005-0000-0000-0000A60B0000}"/>
    <cellStyle name="_2001년1월소장회의_진안지방상수도개발사업2-19(마을배수관로미포함)_발주내역서(제주도 하수처리장)1" xfId="2985" xr:uid="{00000000-0005-0000-0000-0000A70B0000}"/>
    <cellStyle name="_2001년1월소장회의_진안지방상수도개발사업2-19(마을배수관로미포함)_번암,산서하수처리장(처리장+관로+마을하수-1)" xfId="2986" xr:uid="{00000000-0005-0000-0000-0000A80B0000}"/>
    <cellStyle name="_2001년1월소장회의_진안지방상수도개발사업2-19(마을배수관로미포함)_조천배수지 확장사업 내역서" xfId="2987" xr:uid="{00000000-0005-0000-0000-0000A90B0000}"/>
    <cellStyle name="_2001년1월소장회의_토공계획" xfId="2988" xr:uid="{00000000-0005-0000-0000-0000AA0B0000}"/>
    <cellStyle name="_2001년1월소장회의_토공계획_B-1,B-1-1노선변경실정보고" xfId="2989" xr:uid="{00000000-0005-0000-0000-0000AB0B0000}"/>
    <cellStyle name="_2001년1월소장회의_토공계획_B-1,B-1-1노선변경실정보고_발주내역서(제주도 하수처리장)1" xfId="2990" xr:uid="{00000000-0005-0000-0000-0000AC0B0000}"/>
    <cellStyle name="_2001년1월소장회의_토공계획_B-1,B-1-1노선변경실정보고_번암,산서하수처리장(처리장+관로+마을하수-1)" xfId="2991" xr:uid="{00000000-0005-0000-0000-0000AD0B0000}"/>
    <cellStyle name="_2001년1월소장회의_토공계획_B-1,B-1-1노선변경실정보고_조천배수지 확장사업 내역서" xfId="2992" xr:uid="{00000000-0005-0000-0000-0000AE0B0000}"/>
    <cellStyle name="_2001년1월소장회의_토공계획_B-1,B-1-1노선변경실정보고_진안지방상수도개발사업2-19(마을배수관로미포함)" xfId="2993" xr:uid="{00000000-0005-0000-0000-0000AF0B0000}"/>
    <cellStyle name="_2001년1월소장회의_토공계획_B-1,B-1-1노선변경실정보고_진안지방상수도개발사업2-19(마을배수관로미포함)_고수,공음,신림마을하수도" xfId="2994" xr:uid="{00000000-0005-0000-0000-0000B00B0000}"/>
    <cellStyle name="_2001년1월소장회의_토공계획_B-1,B-1-1노선변경실정보고_진안지방상수도개발사업2-19(마을배수관로미포함)_고수,공음,신림마을하수도_발주내역서(제주도 하수처리장)1" xfId="2995" xr:uid="{00000000-0005-0000-0000-0000B10B0000}"/>
    <cellStyle name="_2001년1월소장회의_토공계획_B-1,B-1-1노선변경실정보고_진안지방상수도개발사업2-19(마을배수관로미포함)_고수,공음,신림마을하수도_조천배수지 확장사업 내역서" xfId="2996" xr:uid="{00000000-0005-0000-0000-0000B20B0000}"/>
    <cellStyle name="_2001년1월소장회의_토공계획_B-1,B-1-1노선변경실정보고_진안지방상수도개발사업2-19(마을배수관로미포함)_발주내역서(제주도 하수처리장)1" xfId="2997" xr:uid="{00000000-0005-0000-0000-0000B30B0000}"/>
    <cellStyle name="_2001년1월소장회의_토공계획_B-1,B-1-1노선변경실정보고_진안지방상수도개발사업2-19(마을배수관로미포함)_번암,산서하수처리장(처리장+관로+마을하수-1)" xfId="2998" xr:uid="{00000000-0005-0000-0000-0000B40B0000}"/>
    <cellStyle name="_2001년1월소장회의_토공계획_B-1,B-1-1노선변경실정보고_진안지방상수도개발사업2-19(마을배수관로미포함)_조천배수지 확장사업 내역서" xfId="2999" xr:uid="{00000000-0005-0000-0000-0000B50B0000}"/>
    <cellStyle name="_2001년1월소장회의_토공계획_구조물공사시공계획서" xfId="3000" xr:uid="{00000000-0005-0000-0000-0000B60B0000}"/>
    <cellStyle name="_2001년1월소장회의_토공계획_구조물공사시공계획서_B-1,B-1-1노선변경실정보고" xfId="3001" xr:uid="{00000000-0005-0000-0000-0000B70B0000}"/>
    <cellStyle name="_2001년1월소장회의_토공계획_구조물공사시공계획서_B-1,B-1-1노선변경실정보고_발주내역서(제주도 하수처리장)1" xfId="3002" xr:uid="{00000000-0005-0000-0000-0000B80B0000}"/>
    <cellStyle name="_2001년1월소장회의_토공계획_구조물공사시공계획서_B-1,B-1-1노선변경실정보고_번암,산서하수처리장(처리장+관로+마을하수-1)" xfId="3003" xr:uid="{00000000-0005-0000-0000-0000B90B0000}"/>
    <cellStyle name="_2001년1월소장회의_토공계획_구조물공사시공계획서_B-1,B-1-1노선변경실정보고_조천배수지 확장사업 내역서" xfId="3004" xr:uid="{00000000-0005-0000-0000-0000BA0B0000}"/>
    <cellStyle name="_2001년1월소장회의_토공계획_구조물공사시공계획서_B-1,B-1-1노선변경실정보고_진안지방상수도개발사업2-19(마을배수관로미포함)" xfId="3005" xr:uid="{00000000-0005-0000-0000-0000BB0B0000}"/>
    <cellStyle name="_2001년1월소장회의_토공계획_구조물공사시공계획서_B-1,B-1-1노선변경실정보고_진안지방상수도개발사업2-19(마을배수관로미포함)_고수,공음,신림마을하수도" xfId="3006" xr:uid="{00000000-0005-0000-0000-0000BC0B0000}"/>
    <cellStyle name="_2001년1월소장회의_토공계획_구조물공사시공계획서_B-1,B-1-1노선변경실정보고_진안지방상수도개발사업2-19(마을배수관로미포함)_고수,공음,신림마을하수도_발주내역서(제주도 하수처리장)1" xfId="3007" xr:uid="{00000000-0005-0000-0000-0000BD0B0000}"/>
    <cellStyle name="_2001년1월소장회의_토공계획_구조물공사시공계획서_B-1,B-1-1노선변경실정보고_진안지방상수도개발사업2-19(마을배수관로미포함)_고수,공음,신림마을하수도_조천배수지 확장사업 내역서" xfId="3008" xr:uid="{00000000-0005-0000-0000-0000BE0B0000}"/>
    <cellStyle name="_2001년1월소장회의_토공계획_구조물공사시공계획서_B-1,B-1-1노선변경실정보고_진안지방상수도개발사업2-19(마을배수관로미포함)_발주내역서(제주도 하수처리장)1" xfId="3009" xr:uid="{00000000-0005-0000-0000-0000BF0B0000}"/>
    <cellStyle name="_2001년1월소장회의_토공계획_구조물공사시공계획서_B-1,B-1-1노선변경실정보고_진안지방상수도개발사업2-19(마을배수관로미포함)_번암,산서하수처리장(처리장+관로+마을하수-1)" xfId="3010" xr:uid="{00000000-0005-0000-0000-0000C00B0000}"/>
    <cellStyle name="_2001년1월소장회의_토공계획_구조물공사시공계획서_B-1,B-1-1노선변경실정보고_진안지방상수도개발사업2-19(마을배수관로미포함)_조천배수지 확장사업 내역서" xfId="3011" xr:uid="{00000000-0005-0000-0000-0000C10B0000}"/>
    <cellStyle name="_2001년1월소장회의_토공계획_구조물공사시공계획서_발주내역서(제주도 하수처리장)1" xfId="3012" xr:uid="{00000000-0005-0000-0000-0000C20B0000}"/>
    <cellStyle name="_2001년1월소장회의_토공계획_구조물공사시공계획서_번암,산서하수처리장(처리장+관로+마을하수-1)" xfId="3013" xr:uid="{00000000-0005-0000-0000-0000C30B0000}"/>
    <cellStyle name="_2001년1월소장회의_토공계획_구조물공사시공계획서_조천배수지 확장사업 내역서" xfId="3014" xr:uid="{00000000-0005-0000-0000-0000C40B0000}"/>
    <cellStyle name="_2001년1월소장회의_토공계획_구조물공사시공계획서_진안지방상수도개발사업2-19(마을배수관로미포함)" xfId="3015" xr:uid="{00000000-0005-0000-0000-0000C50B0000}"/>
    <cellStyle name="_2001년1월소장회의_토공계획_구조물공사시공계획서_진안지방상수도개발사업2-19(마을배수관로미포함)_고수,공음,신림마을하수도" xfId="3016" xr:uid="{00000000-0005-0000-0000-0000C60B0000}"/>
    <cellStyle name="_2001년1월소장회의_토공계획_구조물공사시공계획서_진안지방상수도개발사업2-19(마을배수관로미포함)_고수,공음,신림마을하수도_발주내역서(제주도 하수처리장)1" xfId="3017" xr:uid="{00000000-0005-0000-0000-0000C70B0000}"/>
    <cellStyle name="_2001년1월소장회의_토공계획_구조물공사시공계획서_진안지방상수도개발사업2-19(마을배수관로미포함)_고수,공음,신림마을하수도_조천배수지 확장사업 내역서" xfId="3018" xr:uid="{00000000-0005-0000-0000-0000C80B0000}"/>
    <cellStyle name="_2001년1월소장회의_토공계획_구조물공사시공계획서_진안지방상수도개발사업2-19(마을배수관로미포함)_발주내역서(제주도 하수처리장)1" xfId="3019" xr:uid="{00000000-0005-0000-0000-0000C90B0000}"/>
    <cellStyle name="_2001년1월소장회의_토공계획_구조물공사시공계획서_진안지방상수도개발사업2-19(마을배수관로미포함)_번암,산서하수처리장(처리장+관로+마을하수-1)" xfId="3020" xr:uid="{00000000-0005-0000-0000-0000CA0B0000}"/>
    <cellStyle name="_2001년1월소장회의_토공계획_구조물공사시공계획서_진안지방상수도개발사업2-19(마을배수관로미포함)_조천배수지 확장사업 내역서" xfId="3021" xr:uid="{00000000-0005-0000-0000-0000CB0B0000}"/>
    <cellStyle name="_2001년1월소장회의_토공계획_발주내역서(제주도 하수처리장)1" xfId="3022" xr:uid="{00000000-0005-0000-0000-0000CC0B0000}"/>
    <cellStyle name="_2001년1월소장회의_토공계획_번암,산서하수처리장(처리장+관로+마을하수-1)" xfId="3023" xr:uid="{00000000-0005-0000-0000-0000CD0B0000}"/>
    <cellStyle name="_2001년1월소장회의_토공계획_조천배수지 확장사업 내역서" xfId="3024" xr:uid="{00000000-0005-0000-0000-0000CE0B0000}"/>
    <cellStyle name="_2001년1월소장회의_토공계획_진안지방상수도개발사업2-19(마을배수관로미포함)" xfId="3025" xr:uid="{00000000-0005-0000-0000-0000CF0B0000}"/>
    <cellStyle name="_2001년1월소장회의_토공계획_진안지방상수도개발사업2-19(마을배수관로미포함)_고수,공음,신림마을하수도" xfId="3026" xr:uid="{00000000-0005-0000-0000-0000D00B0000}"/>
    <cellStyle name="_2001년1월소장회의_토공계획_진안지방상수도개발사업2-19(마을배수관로미포함)_고수,공음,신림마을하수도_발주내역서(제주도 하수처리장)1" xfId="3027" xr:uid="{00000000-0005-0000-0000-0000D10B0000}"/>
    <cellStyle name="_2001년1월소장회의_토공계획_진안지방상수도개발사업2-19(마을배수관로미포함)_고수,공음,신림마을하수도_조천배수지 확장사업 내역서" xfId="3028" xr:uid="{00000000-0005-0000-0000-0000D20B0000}"/>
    <cellStyle name="_2001년1월소장회의_토공계획_진안지방상수도개발사업2-19(마을배수관로미포함)_발주내역서(제주도 하수처리장)1" xfId="3029" xr:uid="{00000000-0005-0000-0000-0000D30B0000}"/>
    <cellStyle name="_2001년1월소장회의_토공계획_진안지방상수도개발사업2-19(마을배수관로미포함)_번암,산서하수처리장(처리장+관로+마을하수-1)" xfId="3030" xr:uid="{00000000-0005-0000-0000-0000D40B0000}"/>
    <cellStyle name="_2001년1월소장회의_토공계획_진안지방상수도개발사업2-19(마을배수관로미포함)_조천배수지 확장사업 내역서" xfId="3031" xr:uid="{00000000-0005-0000-0000-0000D50B0000}"/>
    <cellStyle name="_2001년1월소장회의_토공계획_토공사시공계획서" xfId="3032" xr:uid="{00000000-0005-0000-0000-0000D60B0000}"/>
    <cellStyle name="_2001년1월소장회의_토공계획_토공사시공계획서(포)" xfId="3033" xr:uid="{00000000-0005-0000-0000-0000D70B0000}"/>
    <cellStyle name="_2001년1월소장회의_토공계획_토공사시공계획서(포)_B-1,B-1-1노선변경실정보고" xfId="3034" xr:uid="{00000000-0005-0000-0000-0000D80B0000}"/>
    <cellStyle name="_2001년1월소장회의_토공계획_토공사시공계획서(포)_B-1,B-1-1노선변경실정보고_발주내역서(제주도 하수처리장)1" xfId="3035" xr:uid="{00000000-0005-0000-0000-0000D90B0000}"/>
    <cellStyle name="_2001년1월소장회의_토공계획_토공사시공계획서(포)_B-1,B-1-1노선변경실정보고_번암,산서하수처리장(처리장+관로+마을하수-1)" xfId="3036" xr:uid="{00000000-0005-0000-0000-0000DA0B0000}"/>
    <cellStyle name="_2001년1월소장회의_토공계획_토공사시공계획서(포)_B-1,B-1-1노선변경실정보고_조천배수지 확장사업 내역서" xfId="3037" xr:uid="{00000000-0005-0000-0000-0000DB0B0000}"/>
    <cellStyle name="_2001년1월소장회의_토공계획_토공사시공계획서(포)_B-1,B-1-1노선변경실정보고_진안지방상수도개발사업2-19(마을배수관로미포함)" xfId="3038" xr:uid="{00000000-0005-0000-0000-0000DC0B0000}"/>
    <cellStyle name="_2001년1월소장회의_토공계획_토공사시공계획서(포)_B-1,B-1-1노선변경실정보고_진안지방상수도개발사업2-19(마을배수관로미포함)_고수,공음,신림마을하수도" xfId="3039" xr:uid="{00000000-0005-0000-0000-0000DD0B0000}"/>
    <cellStyle name="_2001년1월소장회의_토공계획_토공사시공계획서(포)_B-1,B-1-1노선변경실정보고_진안지방상수도개발사업2-19(마을배수관로미포함)_고수,공음,신림마을하수도_발주내역서(제주도 하수처리장)1" xfId="3040" xr:uid="{00000000-0005-0000-0000-0000DE0B0000}"/>
    <cellStyle name="_2001년1월소장회의_토공계획_토공사시공계획서(포)_B-1,B-1-1노선변경실정보고_진안지방상수도개발사업2-19(마을배수관로미포함)_고수,공음,신림마을하수도_조천배수지 확장사업 내역서" xfId="3041" xr:uid="{00000000-0005-0000-0000-0000DF0B0000}"/>
    <cellStyle name="_2001년1월소장회의_토공계획_토공사시공계획서(포)_B-1,B-1-1노선변경실정보고_진안지방상수도개발사업2-19(마을배수관로미포함)_발주내역서(제주도 하수처리장)1" xfId="3042" xr:uid="{00000000-0005-0000-0000-0000E00B0000}"/>
    <cellStyle name="_2001년1월소장회의_토공계획_토공사시공계획서(포)_B-1,B-1-1노선변경실정보고_진안지방상수도개발사업2-19(마을배수관로미포함)_번암,산서하수처리장(처리장+관로+마을하수-1)" xfId="3043" xr:uid="{00000000-0005-0000-0000-0000E10B0000}"/>
    <cellStyle name="_2001년1월소장회의_토공계획_토공사시공계획서(포)_B-1,B-1-1노선변경실정보고_진안지방상수도개발사업2-19(마을배수관로미포함)_조천배수지 확장사업 내역서" xfId="3044" xr:uid="{00000000-0005-0000-0000-0000E20B0000}"/>
    <cellStyle name="_2001년1월소장회의_토공계획_토공사시공계획서(포)_발주내역서(제주도 하수처리장)1" xfId="3045" xr:uid="{00000000-0005-0000-0000-0000E30B0000}"/>
    <cellStyle name="_2001년1월소장회의_토공계획_토공사시공계획서(포)_번암,산서하수처리장(처리장+관로+마을하수-1)" xfId="3046" xr:uid="{00000000-0005-0000-0000-0000E40B0000}"/>
    <cellStyle name="_2001년1월소장회의_토공계획_토공사시공계획서(포)_조천배수지 확장사업 내역서" xfId="3047" xr:uid="{00000000-0005-0000-0000-0000E50B0000}"/>
    <cellStyle name="_2001년1월소장회의_토공계획_토공사시공계획서(포)_진안지방상수도개발사업2-19(마을배수관로미포함)" xfId="3048" xr:uid="{00000000-0005-0000-0000-0000E60B0000}"/>
    <cellStyle name="_2001년1월소장회의_토공계획_토공사시공계획서(포)_진안지방상수도개발사업2-19(마을배수관로미포함)_고수,공음,신림마을하수도" xfId="3049" xr:uid="{00000000-0005-0000-0000-0000E70B0000}"/>
    <cellStyle name="_2001년1월소장회의_토공계획_토공사시공계획서(포)_진안지방상수도개발사업2-19(마을배수관로미포함)_고수,공음,신림마을하수도_발주내역서(제주도 하수처리장)1" xfId="3050" xr:uid="{00000000-0005-0000-0000-0000E80B0000}"/>
    <cellStyle name="_2001년1월소장회의_토공계획_토공사시공계획서(포)_진안지방상수도개발사업2-19(마을배수관로미포함)_고수,공음,신림마을하수도_조천배수지 확장사업 내역서" xfId="3051" xr:uid="{00000000-0005-0000-0000-0000E90B0000}"/>
    <cellStyle name="_2001년1월소장회의_토공계획_토공사시공계획서(포)_진안지방상수도개발사업2-19(마을배수관로미포함)_발주내역서(제주도 하수처리장)1" xfId="3052" xr:uid="{00000000-0005-0000-0000-0000EA0B0000}"/>
    <cellStyle name="_2001년1월소장회의_토공계획_토공사시공계획서(포)_진안지방상수도개발사업2-19(마을배수관로미포함)_번암,산서하수처리장(처리장+관로+마을하수-1)" xfId="3053" xr:uid="{00000000-0005-0000-0000-0000EB0B0000}"/>
    <cellStyle name="_2001년1월소장회의_토공계획_토공사시공계획서(포)_진안지방상수도개발사업2-19(마을배수관로미포함)_조천배수지 확장사업 내역서" xfId="3054" xr:uid="{00000000-0005-0000-0000-0000EC0B0000}"/>
    <cellStyle name="_2001년1월소장회의_토공계획_토공사시공계획서_B-1,B-1-1노선변경실정보고" xfId="3055" xr:uid="{00000000-0005-0000-0000-0000ED0B0000}"/>
    <cellStyle name="_2001년1월소장회의_토공계획_토공사시공계획서_B-1,B-1-1노선변경실정보고_발주내역서(제주도 하수처리장)1" xfId="3056" xr:uid="{00000000-0005-0000-0000-0000EE0B0000}"/>
    <cellStyle name="_2001년1월소장회의_토공계획_토공사시공계획서_B-1,B-1-1노선변경실정보고_번암,산서하수처리장(처리장+관로+마을하수-1)" xfId="3057" xr:uid="{00000000-0005-0000-0000-0000EF0B0000}"/>
    <cellStyle name="_2001년1월소장회의_토공계획_토공사시공계획서_B-1,B-1-1노선변경실정보고_조천배수지 확장사업 내역서" xfId="3058" xr:uid="{00000000-0005-0000-0000-0000F00B0000}"/>
    <cellStyle name="_2001년1월소장회의_토공계획_토공사시공계획서_B-1,B-1-1노선변경실정보고_진안지방상수도개발사업2-19(마을배수관로미포함)" xfId="3059" xr:uid="{00000000-0005-0000-0000-0000F10B0000}"/>
    <cellStyle name="_2001년1월소장회의_토공계획_토공사시공계획서_B-1,B-1-1노선변경실정보고_진안지방상수도개발사업2-19(마을배수관로미포함)_고수,공음,신림마을하수도" xfId="3060" xr:uid="{00000000-0005-0000-0000-0000F20B0000}"/>
    <cellStyle name="_2001년1월소장회의_토공계획_토공사시공계획서_B-1,B-1-1노선변경실정보고_진안지방상수도개발사업2-19(마을배수관로미포함)_고수,공음,신림마을하수도_발주내역서(제주도 하수처리장)1" xfId="3061" xr:uid="{00000000-0005-0000-0000-0000F30B0000}"/>
    <cellStyle name="_2001년1월소장회의_토공계획_토공사시공계획서_B-1,B-1-1노선변경실정보고_진안지방상수도개발사업2-19(마을배수관로미포함)_고수,공음,신림마을하수도_조천배수지 확장사업 내역서" xfId="3062" xr:uid="{00000000-0005-0000-0000-0000F40B0000}"/>
    <cellStyle name="_2001년1월소장회의_토공계획_토공사시공계획서_B-1,B-1-1노선변경실정보고_진안지방상수도개발사업2-19(마을배수관로미포함)_발주내역서(제주도 하수처리장)1" xfId="3063" xr:uid="{00000000-0005-0000-0000-0000F50B0000}"/>
    <cellStyle name="_2001년1월소장회의_토공계획_토공사시공계획서_B-1,B-1-1노선변경실정보고_진안지방상수도개발사업2-19(마을배수관로미포함)_번암,산서하수처리장(처리장+관로+마을하수-1)" xfId="3064" xr:uid="{00000000-0005-0000-0000-0000F60B0000}"/>
    <cellStyle name="_2001년1월소장회의_토공계획_토공사시공계획서_B-1,B-1-1노선변경실정보고_진안지방상수도개발사업2-19(마을배수관로미포함)_조천배수지 확장사업 내역서" xfId="3065" xr:uid="{00000000-0005-0000-0000-0000F70B0000}"/>
    <cellStyle name="_2001년1월소장회의_토공계획_토공사시공계획서_발주내역서(제주도 하수처리장)1" xfId="3066" xr:uid="{00000000-0005-0000-0000-0000F80B0000}"/>
    <cellStyle name="_2001년1월소장회의_토공계획_토공사시공계획서_번암,산서하수처리장(처리장+관로+마을하수-1)" xfId="3067" xr:uid="{00000000-0005-0000-0000-0000F90B0000}"/>
    <cellStyle name="_2001년1월소장회의_토공계획_토공사시공계획서_조천배수지 확장사업 내역서" xfId="3068" xr:uid="{00000000-0005-0000-0000-0000FA0B0000}"/>
    <cellStyle name="_2001년1월소장회의_토공계획_토공사시공계획서_진안지방상수도개발사업2-19(마을배수관로미포함)" xfId="3069" xr:uid="{00000000-0005-0000-0000-0000FB0B0000}"/>
    <cellStyle name="_2001년1월소장회의_토공계획_토공사시공계획서_진안지방상수도개발사업2-19(마을배수관로미포함)_고수,공음,신림마을하수도" xfId="3070" xr:uid="{00000000-0005-0000-0000-0000FC0B0000}"/>
    <cellStyle name="_2001년1월소장회의_토공계획_토공사시공계획서_진안지방상수도개발사업2-19(마을배수관로미포함)_고수,공음,신림마을하수도_발주내역서(제주도 하수처리장)1" xfId="3071" xr:uid="{00000000-0005-0000-0000-0000FD0B0000}"/>
    <cellStyle name="_2001년1월소장회의_토공계획_토공사시공계획서_진안지방상수도개발사업2-19(마을배수관로미포함)_고수,공음,신림마을하수도_조천배수지 확장사업 내역서" xfId="3072" xr:uid="{00000000-0005-0000-0000-0000FE0B0000}"/>
    <cellStyle name="_2001년1월소장회의_토공계획_토공사시공계획서_진안지방상수도개발사업2-19(마을배수관로미포함)_발주내역서(제주도 하수처리장)1" xfId="3073" xr:uid="{00000000-0005-0000-0000-0000FF0B0000}"/>
    <cellStyle name="_2001년1월소장회의_토공계획_토공사시공계획서_진안지방상수도개발사업2-19(마을배수관로미포함)_번암,산서하수처리장(처리장+관로+마을하수-1)" xfId="3074" xr:uid="{00000000-0005-0000-0000-0000000C0000}"/>
    <cellStyle name="_2001년1월소장회의_토공계획_토공사시공계획서_진안지방상수도개발사업2-19(마을배수관로미포함)_조천배수지 확장사업 내역서" xfId="3075" xr:uid="{00000000-0005-0000-0000-0000010C0000}"/>
    <cellStyle name="_2001년1월소장회의_토공시공계획서(효)" xfId="3076" xr:uid="{00000000-0005-0000-0000-0000020C0000}"/>
    <cellStyle name="_2001년1월소장회의_토공시공계획서(효)_B-1,B-1-1노선변경실정보고" xfId="3077" xr:uid="{00000000-0005-0000-0000-0000030C0000}"/>
    <cellStyle name="_2001년1월소장회의_토공시공계획서(효)_B-1,B-1-1노선변경실정보고_발주내역서(제주도 하수처리장)1" xfId="3078" xr:uid="{00000000-0005-0000-0000-0000040C0000}"/>
    <cellStyle name="_2001년1월소장회의_토공시공계획서(효)_B-1,B-1-1노선변경실정보고_번암,산서하수처리장(처리장+관로+마을하수-1)" xfId="3079" xr:uid="{00000000-0005-0000-0000-0000050C0000}"/>
    <cellStyle name="_2001년1월소장회의_토공시공계획서(효)_B-1,B-1-1노선변경실정보고_조천배수지 확장사업 내역서" xfId="3080" xr:uid="{00000000-0005-0000-0000-0000060C0000}"/>
    <cellStyle name="_2001년1월소장회의_토공시공계획서(효)_B-1,B-1-1노선변경실정보고_진안지방상수도개발사업2-19(마을배수관로미포함)" xfId="3081" xr:uid="{00000000-0005-0000-0000-0000070C0000}"/>
    <cellStyle name="_2001년1월소장회의_토공시공계획서(효)_B-1,B-1-1노선변경실정보고_진안지방상수도개발사업2-19(마을배수관로미포함)_고수,공음,신림마을하수도" xfId="3082" xr:uid="{00000000-0005-0000-0000-0000080C0000}"/>
    <cellStyle name="_2001년1월소장회의_토공시공계획서(효)_B-1,B-1-1노선변경실정보고_진안지방상수도개발사업2-19(마을배수관로미포함)_고수,공음,신림마을하수도_발주내역서(제주도 하수처리장)1" xfId="3083" xr:uid="{00000000-0005-0000-0000-0000090C0000}"/>
    <cellStyle name="_2001년1월소장회의_토공시공계획서(효)_B-1,B-1-1노선변경실정보고_진안지방상수도개발사업2-19(마을배수관로미포함)_고수,공음,신림마을하수도_조천배수지 확장사업 내역서" xfId="3084" xr:uid="{00000000-0005-0000-0000-00000A0C0000}"/>
    <cellStyle name="_2001년1월소장회의_토공시공계획서(효)_B-1,B-1-1노선변경실정보고_진안지방상수도개발사업2-19(마을배수관로미포함)_발주내역서(제주도 하수처리장)1" xfId="3085" xr:uid="{00000000-0005-0000-0000-00000B0C0000}"/>
    <cellStyle name="_2001년1월소장회의_토공시공계획서(효)_B-1,B-1-1노선변경실정보고_진안지방상수도개발사업2-19(마을배수관로미포함)_번암,산서하수처리장(처리장+관로+마을하수-1)" xfId="3086" xr:uid="{00000000-0005-0000-0000-00000C0C0000}"/>
    <cellStyle name="_2001년1월소장회의_토공시공계획서(효)_B-1,B-1-1노선변경실정보고_진안지방상수도개발사업2-19(마을배수관로미포함)_조천배수지 확장사업 내역서" xfId="3087" xr:uid="{00000000-0005-0000-0000-00000D0C0000}"/>
    <cellStyle name="_2001년1월소장회의_토공시공계획서(효)_구조물공사시공계획서" xfId="3088" xr:uid="{00000000-0005-0000-0000-00000E0C0000}"/>
    <cellStyle name="_2001년1월소장회의_토공시공계획서(효)_구조물공사시공계획서_B-1,B-1-1노선변경실정보고" xfId="3089" xr:uid="{00000000-0005-0000-0000-00000F0C0000}"/>
    <cellStyle name="_2001년1월소장회의_토공시공계획서(효)_구조물공사시공계획서_B-1,B-1-1노선변경실정보고_발주내역서(제주도 하수처리장)1" xfId="3090" xr:uid="{00000000-0005-0000-0000-0000100C0000}"/>
    <cellStyle name="_2001년1월소장회의_토공시공계획서(효)_구조물공사시공계획서_B-1,B-1-1노선변경실정보고_번암,산서하수처리장(처리장+관로+마을하수-1)" xfId="3091" xr:uid="{00000000-0005-0000-0000-0000110C0000}"/>
    <cellStyle name="_2001년1월소장회의_토공시공계획서(효)_구조물공사시공계획서_B-1,B-1-1노선변경실정보고_조천배수지 확장사업 내역서" xfId="3092" xr:uid="{00000000-0005-0000-0000-0000120C0000}"/>
    <cellStyle name="_2001년1월소장회의_토공시공계획서(효)_구조물공사시공계획서_B-1,B-1-1노선변경실정보고_진안지방상수도개발사업2-19(마을배수관로미포함)" xfId="3093" xr:uid="{00000000-0005-0000-0000-0000130C0000}"/>
    <cellStyle name="_2001년1월소장회의_토공시공계획서(효)_구조물공사시공계획서_B-1,B-1-1노선변경실정보고_진안지방상수도개발사업2-19(마을배수관로미포함)_고수,공음,신림마을하수도" xfId="3094" xr:uid="{00000000-0005-0000-0000-0000140C0000}"/>
    <cellStyle name="_2001년1월소장회의_토공시공계획서(효)_구조물공사시공계획서_B-1,B-1-1노선변경실정보고_진안지방상수도개발사업2-19(마을배수관로미포함)_고수,공음,신림마을하수도_발주내역서(제주도 하수처리장)1" xfId="3095" xr:uid="{00000000-0005-0000-0000-0000150C0000}"/>
    <cellStyle name="_2001년1월소장회의_토공시공계획서(효)_구조물공사시공계획서_B-1,B-1-1노선변경실정보고_진안지방상수도개발사업2-19(마을배수관로미포함)_고수,공음,신림마을하수도_조천배수지 확장사업 내역서" xfId="3096" xr:uid="{00000000-0005-0000-0000-0000160C0000}"/>
    <cellStyle name="_2001년1월소장회의_토공시공계획서(효)_구조물공사시공계획서_B-1,B-1-1노선변경실정보고_진안지방상수도개발사업2-19(마을배수관로미포함)_발주내역서(제주도 하수처리장)1" xfId="3097" xr:uid="{00000000-0005-0000-0000-0000170C0000}"/>
    <cellStyle name="_2001년1월소장회의_토공시공계획서(효)_구조물공사시공계획서_B-1,B-1-1노선변경실정보고_진안지방상수도개발사업2-19(마을배수관로미포함)_번암,산서하수처리장(처리장+관로+마을하수-1)" xfId="3098" xr:uid="{00000000-0005-0000-0000-0000180C0000}"/>
    <cellStyle name="_2001년1월소장회의_토공시공계획서(효)_구조물공사시공계획서_B-1,B-1-1노선변경실정보고_진안지방상수도개발사업2-19(마을배수관로미포함)_조천배수지 확장사업 내역서" xfId="3099" xr:uid="{00000000-0005-0000-0000-0000190C0000}"/>
    <cellStyle name="_2001년1월소장회의_토공시공계획서(효)_구조물공사시공계획서_발주내역서(제주도 하수처리장)1" xfId="3100" xr:uid="{00000000-0005-0000-0000-00001A0C0000}"/>
    <cellStyle name="_2001년1월소장회의_토공시공계획서(효)_구조물공사시공계획서_번암,산서하수처리장(처리장+관로+마을하수-1)" xfId="3101" xr:uid="{00000000-0005-0000-0000-00001B0C0000}"/>
    <cellStyle name="_2001년1월소장회의_토공시공계획서(효)_구조물공사시공계획서_조천배수지 확장사업 내역서" xfId="3102" xr:uid="{00000000-0005-0000-0000-00001C0C0000}"/>
    <cellStyle name="_2001년1월소장회의_토공시공계획서(효)_구조물공사시공계획서_진안지방상수도개발사업2-19(마을배수관로미포함)" xfId="3103" xr:uid="{00000000-0005-0000-0000-00001D0C0000}"/>
    <cellStyle name="_2001년1월소장회의_토공시공계획서(효)_구조물공사시공계획서_진안지방상수도개발사업2-19(마을배수관로미포함)_고수,공음,신림마을하수도" xfId="3104" xr:uid="{00000000-0005-0000-0000-00001E0C0000}"/>
    <cellStyle name="_2001년1월소장회의_토공시공계획서(효)_구조물공사시공계획서_진안지방상수도개발사업2-19(마을배수관로미포함)_고수,공음,신림마을하수도_발주내역서(제주도 하수처리장)1" xfId="3105" xr:uid="{00000000-0005-0000-0000-00001F0C0000}"/>
    <cellStyle name="_2001년1월소장회의_토공시공계획서(효)_구조물공사시공계획서_진안지방상수도개발사업2-19(마을배수관로미포함)_고수,공음,신림마을하수도_조천배수지 확장사업 내역서" xfId="3106" xr:uid="{00000000-0005-0000-0000-0000200C0000}"/>
    <cellStyle name="_2001년1월소장회의_토공시공계획서(효)_구조물공사시공계획서_진안지방상수도개발사업2-19(마을배수관로미포함)_발주내역서(제주도 하수처리장)1" xfId="3107" xr:uid="{00000000-0005-0000-0000-0000210C0000}"/>
    <cellStyle name="_2001년1월소장회의_토공시공계획서(효)_구조물공사시공계획서_진안지방상수도개발사업2-19(마을배수관로미포함)_번암,산서하수처리장(처리장+관로+마을하수-1)" xfId="3108" xr:uid="{00000000-0005-0000-0000-0000220C0000}"/>
    <cellStyle name="_2001년1월소장회의_토공시공계획서(효)_구조물공사시공계획서_진안지방상수도개발사업2-19(마을배수관로미포함)_조천배수지 확장사업 내역서" xfId="3109" xr:uid="{00000000-0005-0000-0000-0000230C0000}"/>
    <cellStyle name="_2001년1월소장회의_토공시공계획서(효)_발주내역서(제주도 하수처리장)1" xfId="3110" xr:uid="{00000000-0005-0000-0000-0000240C0000}"/>
    <cellStyle name="_2001년1월소장회의_토공시공계획서(효)_번암,산서하수처리장(처리장+관로+마을하수-1)" xfId="3111" xr:uid="{00000000-0005-0000-0000-0000250C0000}"/>
    <cellStyle name="_2001년1월소장회의_토공시공계획서(효)_조천배수지 확장사업 내역서" xfId="3112" xr:uid="{00000000-0005-0000-0000-0000260C0000}"/>
    <cellStyle name="_2001년1월소장회의_토공시공계획서(효)_진안지방상수도개발사업2-19(마을배수관로미포함)" xfId="3113" xr:uid="{00000000-0005-0000-0000-0000270C0000}"/>
    <cellStyle name="_2001년1월소장회의_토공시공계획서(효)_진안지방상수도개발사업2-19(마을배수관로미포함)_고수,공음,신림마을하수도" xfId="3114" xr:uid="{00000000-0005-0000-0000-0000280C0000}"/>
    <cellStyle name="_2001년1월소장회의_토공시공계획서(효)_진안지방상수도개발사업2-19(마을배수관로미포함)_고수,공음,신림마을하수도_발주내역서(제주도 하수처리장)1" xfId="3115" xr:uid="{00000000-0005-0000-0000-0000290C0000}"/>
    <cellStyle name="_2001년1월소장회의_토공시공계획서(효)_진안지방상수도개발사업2-19(마을배수관로미포함)_고수,공음,신림마을하수도_조천배수지 확장사업 내역서" xfId="3116" xr:uid="{00000000-0005-0000-0000-00002A0C0000}"/>
    <cellStyle name="_2001년1월소장회의_토공시공계획서(효)_진안지방상수도개발사업2-19(마을배수관로미포함)_발주내역서(제주도 하수처리장)1" xfId="3117" xr:uid="{00000000-0005-0000-0000-00002B0C0000}"/>
    <cellStyle name="_2001년1월소장회의_토공시공계획서(효)_진안지방상수도개발사업2-19(마을배수관로미포함)_번암,산서하수처리장(처리장+관로+마을하수-1)" xfId="3118" xr:uid="{00000000-0005-0000-0000-00002C0C0000}"/>
    <cellStyle name="_2001년1월소장회의_토공시공계획서(효)_진안지방상수도개발사업2-19(마을배수관로미포함)_조천배수지 확장사업 내역서" xfId="3119" xr:uid="{00000000-0005-0000-0000-00002D0C0000}"/>
    <cellStyle name="_2001년1월소장회의_토공시공계획서(효)_토공사시공계획서" xfId="3120" xr:uid="{00000000-0005-0000-0000-00002E0C0000}"/>
    <cellStyle name="_2001년1월소장회의_토공시공계획서(효)_토공사시공계획서(포)" xfId="3121" xr:uid="{00000000-0005-0000-0000-00002F0C0000}"/>
    <cellStyle name="_2001년1월소장회의_토공시공계획서(효)_토공사시공계획서(포)_B-1,B-1-1노선변경실정보고" xfId="3122" xr:uid="{00000000-0005-0000-0000-0000300C0000}"/>
    <cellStyle name="_2001년1월소장회의_토공시공계획서(효)_토공사시공계획서(포)_B-1,B-1-1노선변경실정보고_발주내역서(제주도 하수처리장)1" xfId="3123" xr:uid="{00000000-0005-0000-0000-0000310C0000}"/>
    <cellStyle name="_2001년1월소장회의_토공시공계획서(효)_토공사시공계획서(포)_B-1,B-1-1노선변경실정보고_번암,산서하수처리장(처리장+관로+마을하수-1)" xfId="3124" xr:uid="{00000000-0005-0000-0000-0000320C0000}"/>
    <cellStyle name="_2001년1월소장회의_토공시공계획서(효)_토공사시공계획서(포)_B-1,B-1-1노선변경실정보고_조천배수지 확장사업 내역서" xfId="3125" xr:uid="{00000000-0005-0000-0000-0000330C0000}"/>
    <cellStyle name="_2001년1월소장회의_토공시공계획서(효)_토공사시공계획서(포)_B-1,B-1-1노선변경실정보고_진안지방상수도개발사업2-19(마을배수관로미포함)" xfId="3126" xr:uid="{00000000-0005-0000-0000-0000340C0000}"/>
    <cellStyle name="_2001년1월소장회의_토공시공계획서(효)_토공사시공계획서(포)_B-1,B-1-1노선변경실정보고_진안지방상수도개발사업2-19(마을배수관로미포함)_고수,공음,신림마을하수도" xfId="3127" xr:uid="{00000000-0005-0000-0000-0000350C0000}"/>
    <cellStyle name="_2001년1월소장회의_토공시공계획서(효)_토공사시공계획서(포)_B-1,B-1-1노선변경실정보고_진안지방상수도개발사업2-19(마을배수관로미포함)_고수,공음,신림마을하수도_발주내역서(제주도 하수처리장)1" xfId="3128" xr:uid="{00000000-0005-0000-0000-0000360C0000}"/>
    <cellStyle name="_2001년1월소장회의_토공시공계획서(효)_토공사시공계획서(포)_B-1,B-1-1노선변경실정보고_진안지방상수도개발사업2-19(마을배수관로미포함)_고수,공음,신림마을하수도_조천배수지 확장사업 내역서" xfId="3129" xr:uid="{00000000-0005-0000-0000-0000370C0000}"/>
    <cellStyle name="_2001년1월소장회의_토공시공계획서(효)_토공사시공계획서(포)_B-1,B-1-1노선변경실정보고_진안지방상수도개발사업2-19(마을배수관로미포함)_발주내역서(제주도 하수처리장)1" xfId="3130" xr:uid="{00000000-0005-0000-0000-0000380C0000}"/>
    <cellStyle name="_2001년1월소장회의_토공시공계획서(효)_토공사시공계획서(포)_B-1,B-1-1노선변경실정보고_진안지방상수도개발사업2-19(마을배수관로미포함)_번암,산서하수처리장(처리장+관로+마을하수-1)" xfId="3131" xr:uid="{00000000-0005-0000-0000-0000390C0000}"/>
    <cellStyle name="_2001년1월소장회의_토공시공계획서(효)_토공사시공계획서(포)_B-1,B-1-1노선변경실정보고_진안지방상수도개발사업2-19(마을배수관로미포함)_조천배수지 확장사업 내역서" xfId="3132" xr:uid="{00000000-0005-0000-0000-00003A0C0000}"/>
    <cellStyle name="_2001년1월소장회의_토공시공계획서(효)_토공사시공계획서(포)_발주내역서(제주도 하수처리장)1" xfId="3133" xr:uid="{00000000-0005-0000-0000-00003B0C0000}"/>
    <cellStyle name="_2001년1월소장회의_토공시공계획서(효)_토공사시공계획서(포)_번암,산서하수처리장(처리장+관로+마을하수-1)" xfId="3134" xr:uid="{00000000-0005-0000-0000-00003C0C0000}"/>
    <cellStyle name="_2001년1월소장회의_토공시공계획서(효)_토공사시공계획서(포)_조천배수지 확장사업 내역서" xfId="3135" xr:uid="{00000000-0005-0000-0000-00003D0C0000}"/>
    <cellStyle name="_2001년1월소장회의_토공시공계획서(효)_토공사시공계획서(포)_진안지방상수도개발사업2-19(마을배수관로미포함)" xfId="3136" xr:uid="{00000000-0005-0000-0000-00003E0C0000}"/>
    <cellStyle name="_2001년1월소장회의_토공시공계획서(효)_토공사시공계획서(포)_진안지방상수도개발사업2-19(마을배수관로미포함)_고수,공음,신림마을하수도" xfId="3137" xr:uid="{00000000-0005-0000-0000-00003F0C0000}"/>
    <cellStyle name="_2001년1월소장회의_토공시공계획서(효)_토공사시공계획서(포)_진안지방상수도개발사업2-19(마을배수관로미포함)_고수,공음,신림마을하수도_발주내역서(제주도 하수처리장)1" xfId="3138" xr:uid="{00000000-0005-0000-0000-0000400C0000}"/>
    <cellStyle name="_2001년1월소장회의_토공시공계획서(효)_토공사시공계획서(포)_진안지방상수도개발사업2-19(마을배수관로미포함)_고수,공음,신림마을하수도_조천배수지 확장사업 내역서" xfId="3139" xr:uid="{00000000-0005-0000-0000-0000410C0000}"/>
    <cellStyle name="_2001년1월소장회의_토공시공계획서(효)_토공사시공계획서(포)_진안지방상수도개발사업2-19(마을배수관로미포함)_발주내역서(제주도 하수처리장)1" xfId="3140" xr:uid="{00000000-0005-0000-0000-0000420C0000}"/>
    <cellStyle name="_2001년1월소장회의_토공시공계획서(효)_토공사시공계획서(포)_진안지방상수도개발사업2-19(마을배수관로미포함)_번암,산서하수처리장(처리장+관로+마을하수-1)" xfId="3141" xr:uid="{00000000-0005-0000-0000-0000430C0000}"/>
    <cellStyle name="_2001년1월소장회의_토공시공계획서(효)_토공사시공계획서(포)_진안지방상수도개발사업2-19(마을배수관로미포함)_조천배수지 확장사업 내역서" xfId="3142" xr:uid="{00000000-0005-0000-0000-0000440C0000}"/>
    <cellStyle name="_2001년1월소장회의_토공시공계획서(효)_토공사시공계획서_B-1,B-1-1노선변경실정보고" xfId="3143" xr:uid="{00000000-0005-0000-0000-0000450C0000}"/>
    <cellStyle name="_2001년1월소장회의_토공시공계획서(효)_토공사시공계획서_B-1,B-1-1노선변경실정보고_발주내역서(제주도 하수처리장)1" xfId="3144" xr:uid="{00000000-0005-0000-0000-0000460C0000}"/>
    <cellStyle name="_2001년1월소장회의_토공시공계획서(효)_토공사시공계획서_B-1,B-1-1노선변경실정보고_번암,산서하수처리장(처리장+관로+마을하수-1)" xfId="3145" xr:uid="{00000000-0005-0000-0000-0000470C0000}"/>
    <cellStyle name="_2001년1월소장회의_토공시공계획서(효)_토공사시공계획서_B-1,B-1-1노선변경실정보고_조천배수지 확장사업 내역서" xfId="3146" xr:uid="{00000000-0005-0000-0000-0000480C0000}"/>
    <cellStyle name="_2001년1월소장회의_토공시공계획서(효)_토공사시공계획서_B-1,B-1-1노선변경실정보고_진안지방상수도개발사업2-19(마을배수관로미포함)" xfId="3147" xr:uid="{00000000-0005-0000-0000-0000490C0000}"/>
    <cellStyle name="_2001년1월소장회의_토공시공계획서(효)_토공사시공계획서_B-1,B-1-1노선변경실정보고_진안지방상수도개발사업2-19(마을배수관로미포함)_고수,공음,신림마을하수도" xfId="3148" xr:uid="{00000000-0005-0000-0000-00004A0C0000}"/>
    <cellStyle name="_2001년1월소장회의_토공시공계획서(효)_토공사시공계획서_B-1,B-1-1노선변경실정보고_진안지방상수도개발사업2-19(마을배수관로미포함)_고수,공음,신림마을하수도_발주내역서(제주도 하수처리장)1" xfId="3149" xr:uid="{00000000-0005-0000-0000-00004B0C0000}"/>
    <cellStyle name="_2001년1월소장회의_토공시공계획서(효)_토공사시공계획서_B-1,B-1-1노선변경실정보고_진안지방상수도개발사업2-19(마을배수관로미포함)_고수,공음,신림마을하수도_조천배수지 확장사업 내역서" xfId="3150" xr:uid="{00000000-0005-0000-0000-00004C0C0000}"/>
    <cellStyle name="_2001년1월소장회의_토공시공계획서(효)_토공사시공계획서_B-1,B-1-1노선변경실정보고_진안지방상수도개발사업2-19(마을배수관로미포함)_발주내역서(제주도 하수처리장)1" xfId="3151" xr:uid="{00000000-0005-0000-0000-00004D0C0000}"/>
    <cellStyle name="_2001년1월소장회의_토공시공계획서(효)_토공사시공계획서_B-1,B-1-1노선변경실정보고_진안지방상수도개발사업2-19(마을배수관로미포함)_번암,산서하수처리장(처리장+관로+마을하수-1)" xfId="3152" xr:uid="{00000000-0005-0000-0000-00004E0C0000}"/>
    <cellStyle name="_2001년1월소장회의_토공시공계획서(효)_토공사시공계획서_B-1,B-1-1노선변경실정보고_진안지방상수도개발사업2-19(마을배수관로미포함)_조천배수지 확장사업 내역서" xfId="3153" xr:uid="{00000000-0005-0000-0000-00004F0C0000}"/>
    <cellStyle name="_2001년1월소장회의_토공시공계획서(효)_토공사시공계획서_발주내역서(제주도 하수처리장)1" xfId="3154" xr:uid="{00000000-0005-0000-0000-0000500C0000}"/>
    <cellStyle name="_2001년1월소장회의_토공시공계획서(효)_토공사시공계획서_번암,산서하수처리장(처리장+관로+마을하수-1)" xfId="3155" xr:uid="{00000000-0005-0000-0000-0000510C0000}"/>
    <cellStyle name="_2001년1월소장회의_토공시공계획서(효)_토공사시공계획서_조천배수지 확장사업 내역서" xfId="3156" xr:uid="{00000000-0005-0000-0000-0000520C0000}"/>
    <cellStyle name="_2001년1월소장회의_토공시공계획서(효)_토공사시공계획서_진안지방상수도개발사업2-19(마을배수관로미포함)" xfId="3157" xr:uid="{00000000-0005-0000-0000-0000530C0000}"/>
    <cellStyle name="_2001년1월소장회의_토공시공계획서(효)_토공사시공계획서_진안지방상수도개발사업2-19(마을배수관로미포함)_고수,공음,신림마을하수도" xfId="3158" xr:uid="{00000000-0005-0000-0000-0000540C0000}"/>
    <cellStyle name="_2001년1월소장회의_토공시공계획서(효)_토공사시공계획서_진안지방상수도개발사업2-19(마을배수관로미포함)_고수,공음,신림마을하수도_발주내역서(제주도 하수처리장)1" xfId="3159" xr:uid="{00000000-0005-0000-0000-0000550C0000}"/>
    <cellStyle name="_2001년1월소장회의_토공시공계획서(효)_토공사시공계획서_진안지방상수도개발사업2-19(마을배수관로미포함)_고수,공음,신림마을하수도_조천배수지 확장사업 내역서" xfId="3160" xr:uid="{00000000-0005-0000-0000-0000560C0000}"/>
    <cellStyle name="_2001년1월소장회의_토공시공계획서(효)_토공사시공계획서_진안지방상수도개발사업2-19(마을배수관로미포함)_발주내역서(제주도 하수처리장)1" xfId="3161" xr:uid="{00000000-0005-0000-0000-0000570C0000}"/>
    <cellStyle name="_2001년1월소장회의_토공시공계획서(효)_토공사시공계획서_진안지방상수도개발사업2-19(마을배수관로미포함)_번암,산서하수처리장(처리장+관로+마을하수-1)" xfId="3162" xr:uid="{00000000-0005-0000-0000-0000580C0000}"/>
    <cellStyle name="_2001년1월소장회의_토공시공계획서(효)_토공사시공계획서_진안지방상수도개발사업2-19(마을배수관로미포함)_조천배수지 확장사업 내역서" xfId="3163" xr:uid="{00000000-0005-0000-0000-0000590C0000}"/>
    <cellStyle name="_2001년만" xfId="3164" xr:uid="{00000000-0005-0000-0000-00005A0C0000}"/>
    <cellStyle name="_2001년만_(11-6)2001중장기계획(총괄)1" xfId="3165" xr:uid="{00000000-0005-0000-0000-00005B0C0000}"/>
    <cellStyle name="_2001년만_~MF1128" xfId="3166" xr:uid="{00000000-0005-0000-0000-00005C0C0000}"/>
    <cellStyle name="_2001년만_~MF1128_(11-6)2001중장기계획(총괄)1" xfId="3167" xr:uid="{00000000-0005-0000-0000-00005D0C0000}"/>
    <cellStyle name="_2001년만_~MF1128_~MF2110" xfId="3168" xr:uid="{00000000-0005-0000-0000-00005E0C0000}"/>
    <cellStyle name="_2001년만_~MF1128_~MF373C" xfId="3169" xr:uid="{00000000-0005-0000-0000-00005F0C0000}"/>
    <cellStyle name="_2001년만_~MF1128_2001예산배정액 및 내역2" xfId="3170" xr:uid="{00000000-0005-0000-0000-0000600C0000}"/>
    <cellStyle name="_2001년만_~MF2110" xfId="3171" xr:uid="{00000000-0005-0000-0000-0000610C0000}"/>
    <cellStyle name="_2001년만_~MF373C" xfId="3172" xr:uid="{00000000-0005-0000-0000-0000620C0000}"/>
    <cellStyle name="_2001년만_2001예산배정액 및 내역2" xfId="3173" xr:uid="{00000000-0005-0000-0000-0000630C0000}"/>
    <cellStyle name="_2001예산배정액 및 내역" xfId="3174" xr:uid="{00000000-0005-0000-0000-0000640C0000}"/>
    <cellStyle name="_2001예산배정액 및 내역2" xfId="3175" xr:uid="{00000000-0005-0000-0000-0000650C0000}"/>
    <cellStyle name="_20020914_장곡1-4리 오지도로포장공사_2 변경설계서" xfId="3176" xr:uid="{00000000-0005-0000-0000-0000660C0000}"/>
    <cellStyle name="_20031216_고남5리 마을안길 포장" xfId="3177" xr:uid="{00000000-0005-0000-0000-0000670C0000}"/>
    <cellStyle name="_2003년 설계서(서울시-기준점측량1)" xfId="3178" xr:uid="{00000000-0005-0000-0000-0000680C0000}"/>
    <cellStyle name="_2003년 설계서(서울시-기준점측량1)_02._서울시_위례신도시_차집관거_설계예산서(전체)_0217" xfId="3179" xr:uid="{00000000-0005-0000-0000-0000690C0000}"/>
    <cellStyle name="_2003년설계품v2.1" xfId="3180" xr:uid="{00000000-0005-0000-0000-00006A0C0000}"/>
    <cellStyle name="_2003년설계품v2.1_0.무심천 및 율량처리분구 분류식화 관거정비계획 용역내역서-20억" xfId="3181" xr:uid="{00000000-0005-0000-0000-00006B0C0000}"/>
    <cellStyle name="_2003년설계품v2.1_02._서울시_위례신도시_차집관거_설계예산서(전체)_0217" xfId="3182" xr:uid="{00000000-0005-0000-0000-00006C0C0000}"/>
    <cellStyle name="_2003년실행양식" xfId="3183" xr:uid="{00000000-0005-0000-0000-00006D0C0000}"/>
    <cellStyle name="_2003년실행양식_4.추진공(공암)" xfId="3184" xr:uid="{00000000-0005-0000-0000-00006E0C0000}"/>
    <cellStyle name="_2003년실행양식_4.추진공(공암SAMPLE" xfId="3185" xr:uid="{00000000-0005-0000-0000-00006F0C0000}"/>
    <cellStyle name="_2003년실행양식_4.추진공(서산)" xfId="3186" xr:uid="{00000000-0005-0000-0000-0000700C0000}"/>
    <cellStyle name="_2003년실행양식_4.추진공(읍내)" xfId="3187" xr:uid="{00000000-0005-0000-0000-0000710C0000}"/>
    <cellStyle name="_2003년실행양식_4.추진공(황간)" xfId="3188" xr:uid="{00000000-0005-0000-0000-0000720C0000}"/>
    <cellStyle name="_2003년실행양식_영동군추진가시설수량" xfId="3189" xr:uid="{00000000-0005-0000-0000-0000730C0000}"/>
    <cellStyle name="_2003년실행양식0" xfId="3190" xr:uid="{00000000-0005-0000-0000-0000740C0000}"/>
    <cellStyle name="_2003년실행양식0_4.추진공(공암)" xfId="3191" xr:uid="{00000000-0005-0000-0000-0000750C0000}"/>
    <cellStyle name="_2003년실행양식0_4.추진공(공암SAMPLE" xfId="3192" xr:uid="{00000000-0005-0000-0000-0000760C0000}"/>
    <cellStyle name="_2003년실행양식0_4.추진공(서산)" xfId="3193" xr:uid="{00000000-0005-0000-0000-0000770C0000}"/>
    <cellStyle name="_2003년실행양식0_4.추진공(읍내)" xfId="3194" xr:uid="{00000000-0005-0000-0000-0000780C0000}"/>
    <cellStyle name="_2003년실행양식0_4.추진공(황간)" xfId="3195" xr:uid="{00000000-0005-0000-0000-0000790C0000}"/>
    <cellStyle name="_2003년실행양식0_영동군추진가시설수량" xfId="3196" xr:uid="{00000000-0005-0000-0000-00007A0C0000}"/>
    <cellStyle name="_2003년실행양식-1" xfId="3197" xr:uid="{00000000-0005-0000-0000-00007B0C0000}"/>
    <cellStyle name="_2003년실행양식-1_4.추진공(공암)" xfId="3198" xr:uid="{00000000-0005-0000-0000-00007C0C0000}"/>
    <cellStyle name="_2003년실행양식-1_4.추진공(공암SAMPLE" xfId="3199" xr:uid="{00000000-0005-0000-0000-00007D0C0000}"/>
    <cellStyle name="_2003년실행양식-1_4.추진공(서산)" xfId="3200" xr:uid="{00000000-0005-0000-0000-00007E0C0000}"/>
    <cellStyle name="_2003년실행양식-1_4.추진공(읍내)" xfId="3201" xr:uid="{00000000-0005-0000-0000-00007F0C0000}"/>
    <cellStyle name="_2003년실행양식-1_4.추진공(황간)" xfId="3202" xr:uid="{00000000-0005-0000-0000-0000800C0000}"/>
    <cellStyle name="_2003년실행양식-1_영동군추진가시설수량" xfId="3203" xr:uid="{00000000-0005-0000-0000-0000810C0000}"/>
    <cellStyle name="_2004_가격산출 근거서" xfId="3204" xr:uid="{00000000-0005-0000-0000-0000820C0000}"/>
    <cellStyle name="_2004_가격산출 근거서_수정" xfId="3205" xr:uid="{00000000-0005-0000-0000-0000830C0000}"/>
    <cellStyle name="_20040423_동해2리 오지도로" xfId="3206" xr:uid="{00000000-0005-0000-0000-0000840C0000}"/>
    <cellStyle name="_20040523_반계3리 오지도로" xfId="3207" xr:uid="{00000000-0005-0000-0000-0000850C0000}"/>
    <cellStyle name="_20040530_양잠2리(사당골)" xfId="3208" xr:uid="{00000000-0005-0000-0000-0000860C0000}"/>
    <cellStyle name="_20040601_누동2리(장곰)" xfId="3209" xr:uid="{00000000-0005-0000-0000-0000870C0000}"/>
    <cellStyle name="_20040607_장곡2리오지도로" xfId="3210" xr:uid="{00000000-0005-0000-0000-0000880C0000}"/>
    <cellStyle name="_20040610_황촌1리 오지도로" xfId="3211" xr:uid="{00000000-0005-0000-0000-0000890C0000}"/>
    <cellStyle name="_20040614_고남4리(옷점)" xfId="3212" xr:uid="{00000000-0005-0000-0000-00008A0C0000}"/>
    <cellStyle name="_20040618_고남5리 오지도로" xfId="3213" xr:uid="{00000000-0005-0000-0000-00008B0C0000}"/>
    <cellStyle name="_20040623_장곡1리 오지도로" xfId="3214" xr:uid="{00000000-0005-0000-0000-00008C0C0000}"/>
    <cellStyle name="_20040712_장곡1리 오지도로" xfId="3215" xr:uid="{00000000-0005-0000-0000-00008D0C0000}"/>
    <cellStyle name="_20040920_가의도 하천정비" xfId="3216" xr:uid="{00000000-0005-0000-0000-00008E0C0000}"/>
    <cellStyle name="_20050510(지노시스템_서울시청 도로 굴착,복구)" xfId="3217" xr:uid="{00000000-0005-0000-0000-00008F0C0000}"/>
    <cellStyle name="_2005년 가로등 시설물 복구공사(송파)" xfId="3218" xr:uid="{00000000-0005-0000-0000-0000900C0000}"/>
    <cellStyle name="_2005년 가로등(연간단가)원본" xfId="3219" xr:uid="{00000000-0005-0000-0000-0000910C0000}"/>
    <cellStyle name="_2005년 가로등공사(공통대가)" xfId="3220" xr:uid="{00000000-0005-0000-0000-0000920C0000}"/>
    <cellStyle name="_2005년 사업 시스템 부문 설계내역서_2.0" xfId="3221" xr:uid="{00000000-0005-0000-0000-0000930C0000}"/>
    <cellStyle name="_2005하반기통신노무임" xfId="3222" xr:uid="{00000000-0005-0000-0000-0000940C0000}"/>
    <cellStyle name="_2008년도 소하천정비공사 실시설계용역(진동천)" xfId="3223" xr:uid="{00000000-0005-0000-0000-0000950C0000}"/>
    <cellStyle name="_2-1공구토공수량" xfId="3224" xr:uid="{00000000-0005-0000-0000-0000960C0000}"/>
    <cellStyle name="_2-1공구토공수량_2-1공구토공수량" xfId="3225" xr:uid="{00000000-0005-0000-0000-0000970C0000}"/>
    <cellStyle name="_2-1공구토공수량_우보토공" xfId="3226" xr:uid="{00000000-0005-0000-0000-0000980C0000}"/>
    <cellStyle name="_2-2공구토공수량" xfId="3227" xr:uid="{00000000-0005-0000-0000-0000990C0000}"/>
    <cellStyle name="_2-2공구토공수량_2-1공구토공수량" xfId="3228" xr:uid="{00000000-0005-0000-0000-00009A0C0000}"/>
    <cellStyle name="_2-2공구토공수량_우보토공" xfId="3229" xr:uid="{00000000-0005-0000-0000-00009B0C0000}"/>
    <cellStyle name="_2-4.상반기실적부문별요약" xfId="3230" xr:uid="{00000000-0005-0000-0000-00009C0C0000}"/>
    <cellStyle name="_2-4.상반기실적부문별요약(표지및목차포함)" xfId="3231" xr:uid="{00000000-0005-0000-0000-00009D0C0000}"/>
    <cellStyle name="_2-4.상반기실적부문별요약(표지및목차포함)_1" xfId="3232" xr:uid="{00000000-0005-0000-0000-00009E0C0000}"/>
    <cellStyle name="_2-4.상반기실적부문별요약_1" xfId="3233" xr:uid="{00000000-0005-0000-0000-00009F0C0000}"/>
    <cellStyle name="_251Q-339(지오투정보기술_토지적성평가용)" xfId="3234" xr:uid="{00000000-0005-0000-0000-0000A00C0000}"/>
    <cellStyle name="_2공구" xfId="3235" xr:uid="{00000000-0005-0000-0000-0000A10C0000}"/>
    <cellStyle name="_2배수관공" xfId="3236" xr:uid="{00000000-0005-0000-0000-0000A20C0000}"/>
    <cellStyle name="_2수량산출서_계장" xfId="3237" xr:uid="{00000000-0005-0000-0000-0000A30C0000}"/>
    <cellStyle name="_2차 팔당1취수장 시설 개대체 예산서 재작성" xfId="3238" xr:uid="{00000000-0005-0000-0000-0000A40C0000}"/>
    <cellStyle name="_3(석축,con포장)" xfId="3239" xr:uid="{00000000-0005-0000-0000-0000A50C0000}"/>
    <cellStyle name="_3(석축,con포장)_2(변경)-토공" xfId="3240" xr:uid="{00000000-0005-0000-0000-0000A60C0000}"/>
    <cellStyle name="_3(석축,con포장)_2(변경)-토공_20040423_동해2리 오지도로" xfId="3241" xr:uid="{00000000-0005-0000-0000-0000A70C0000}"/>
    <cellStyle name="_3(석축,con포장)_2(변경)-토공_20040523_반계3리 오지도로" xfId="3242" xr:uid="{00000000-0005-0000-0000-0000A80C0000}"/>
    <cellStyle name="_3(석축,con포장)_2(변경)-토공_20040530_양잠2리(사당골)" xfId="3243" xr:uid="{00000000-0005-0000-0000-0000A90C0000}"/>
    <cellStyle name="_3(석축,con포장)_2(변경)-토공_20040601_누동2리(장곰)" xfId="3244" xr:uid="{00000000-0005-0000-0000-0000AA0C0000}"/>
    <cellStyle name="_3(석축,con포장)_2(변경)-토공_20040610_황촌1리 오지도로" xfId="3245" xr:uid="{00000000-0005-0000-0000-0000AB0C0000}"/>
    <cellStyle name="_3(석축,con포장)_2(변경)-토공_20040614_고남4리(옷점)" xfId="3246" xr:uid="{00000000-0005-0000-0000-0000AC0C0000}"/>
    <cellStyle name="_3(석축,con포장)_2(변경)-토공_20040618_고남5리 오지도로" xfId="3247" xr:uid="{00000000-0005-0000-0000-0000AD0C0000}"/>
    <cellStyle name="_3(석축,con포장)_2(변경)-토공_20040710_장곡2리 오지도로" xfId="3248" xr:uid="{00000000-0005-0000-0000-0000AE0C0000}"/>
    <cellStyle name="_3(석축,con포장)_2(변경)-토공_20040712_장곡1리 오지도로" xfId="3249" xr:uid="{00000000-0005-0000-0000-0000AF0C0000}"/>
    <cellStyle name="_3(석축,con포장)_2(변경)-토공_20040920_가의도하천정비" xfId="3250" xr:uid="{00000000-0005-0000-0000-0000B00C0000}"/>
    <cellStyle name="_3(석축,con포장)_20040423_동해2리 오지도로" xfId="3251" xr:uid="{00000000-0005-0000-0000-0000B10C0000}"/>
    <cellStyle name="_3(석축,con포장)_20040523_반계3리 오지도로" xfId="3252" xr:uid="{00000000-0005-0000-0000-0000B20C0000}"/>
    <cellStyle name="_3(석축,con포장)_20040530_양잠2리(사당골)" xfId="3253" xr:uid="{00000000-0005-0000-0000-0000B30C0000}"/>
    <cellStyle name="_3(석축,con포장)_20040601_누동2리(장곰)" xfId="3254" xr:uid="{00000000-0005-0000-0000-0000B40C0000}"/>
    <cellStyle name="_3(석축,con포장)_20040610_황촌1리 오지도로" xfId="3255" xr:uid="{00000000-0005-0000-0000-0000B50C0000}"/>
    <cellStyle name="_3(석축,con포장)_20040614_고남4리(옷점)" xfId="3256" xr:uid="{00000000-0005-0000-0000-0000B60C0000}"/>
    <cellStyle name="_3(석축,con포장)_20040618_고남5리 오지도로" xfId="3257" xr:uid="{00000000-0005-0000-0000-0000B70C0000}"/>
    <cellStyle name="_3(석축,con포장)_20040710_장곡2리 오지도로" xfId="3258" xr:uid="{00000000-0005-0000-0000-0000B80C0000}"/>
    <cellStyle name="_3(석축,con포장)_20040712_장곡1리 오지도로" xfId="3259" xr:uid="{00000000-0005-0000-0000-0000B90C0000}"/>
    <cellStyle name="_3(석축,con포장)_20040920_가의도하천정비" xfId="3260" xr:uid="{00000000-0005-0000-0000-0000BA0C0000}"/>
    <cellStyle name="_3. 삼태천외 2개소 용역내역서" xfId="3261" xr:uid="{00000000-0005-0000-0000-0000BB0C0000}"/>
    <cellStyle name="_3. 상도문1리" xfId="3262" xr:uid="{00000000-0005-0000-0000-0000BC0C0000}"/>
    <cellStyle name="_3. 상도문1리 2" xfId="3263" xr:uid="{00000000-0005-0000-0000-0000BD0C0000}"/>
    <cellStyle name="_3. 상도문1리 3" xfId="3264" xr:uid="{00000000-0005-0000-0000-0000BE0C0000}"/>
    <cellStyle name="_3. 우도면 용수공급시설 내역(해상, 육상포함)" xfId="3265" xr:uid="{00000000-0005-0000-0000-0000BF0C0000}"/>
    <cellStyle name="_3. 전화수량산출서" xfId="3266" xr:uid="{00000000-0005-0000-0000-0000C00C0000}"/>
    <cellStyle name="_3.2 압송관로토공" xfId="3267" xr:uid="{00000000-0005-0000-0000-0000C10C0000}"/>
    <cellStyle name="_3.2-6배수공" xfId="3268" xr:uid="{00000000-0005-0000-0000-0000C20C0000}"/>
    <cellStyle name="_3.구조물공" xfId="3269" xr:uid="{00000000-0005-0000-0000-0000C30C0000}"/>
    <cellStyle name="_3.군포수도정비예산서(계약+보할+예정공정표)(최종)" xfId="3270" xr:uid="{00000000-0005-0000-0000-0000C40C0000}"/>
    <cellStyle name="_3.배수공" xfId="3271" xr:uid="{00000000-0005-0000-0000-0000C50C0000}"/>
    <cellStyle name="_3.배수공_1" xfId="3272" xr:uid="{00000000-0005-0000-0000-0000C60C0000}"/>
    <cellStyle name="_3.배수공_수량" xfId="3273" xr:uid="{00000000-0005-0000-0000-0000C70C0000}"/>
    <cellStyle name="_3.배수공_수량(휴게소동)" xfId="3274" xr:uid="{00000000-0005-0000-0000-0000C80C0000}"/>
    <cellStyle name="_4단지내역및수량산출서" xfId="3275" xr:uid="{00000000-0005-0000-0000-0000C90C0000}"/>
    <cellStyle name="_5.0 부대공(송산 2리)" xfId="3276" xr:uid="{00000000-0005-0000-0000-0000CA0C0000}"/>
    <cellStyle name="_6.포장공" xfId="3277" xr:uid="{00000000-0005-0000-0000-0000CB0C0000}"/>
    <cellStyle name="_96수량포장공" xfId="3278" xr:uid="{00000000-0005-0000-0000-0000CC0C0000}"/>
    <cellStyle name="_96수량포장공_96수량포장공" xfId="3279" xr:uid="{00000000-0005-0000-0000-0000CD0C0000}"/>
    <cellStyle name="_96수량포장공_96수량포장공_배수공" xfId="3280" xr:uid="{00000000-0005-0000-0000-0000CE0C0000}"/>
    <cellStyle name="_96수량포장공_96수량포장공_배수공_1" xfId="3281" xr:uid="{00000000-0005-0000-0000-0000CF0C0000}"/>
    <cellStyle name="_96수량포장공_96수량포장공_배수공_1_총괄자재집계(대2-28)" xfId="3282" xr:uid="{00000000-0005-0000-0000-0000D00C0000}"/>
    <cellStyle name="_96수량포장공_96수량포장공_배수공_배수공" xfId="3283" xr:uid="{00000000-0005-0000-0000-0000D10C0000}"/>
    <cellStyle name="_96수량포장공_96수량포장공_배수공_배수공_총괄자재집계(대2-28)" xfId="3284" xr:uid="{00000000-0005-0000-0000-0000D20C0000}"/>
    <cellStyle name="_96수량포장공_96수량포장공_배수공_총괄자재집계(대2-28)" xfId="3285" xr:uid="{00000000-0005-0000-0000-0000D30C0000}"/>
    <cellStyle name="_96수량포장공_96수량포장공_배수공_포장공사" xfId="3286" xr:uid="{00000000-0005-0000-0000-0000D40C0000}"/>
    <cellStyle name="_96수량포장공_96수량포장공_배수공_포장공사_총괄자재집계(대2-28)" xfId="3287" xr:uid="{00000000-0005-0000-0000-0000D50C0000}"/>
    <cellStyle name="_96수량포장공_96수량포장공_배수공_포장공사_포장공사" xfId="3288" xr:uid="{00000000-0005-0000-0000-0000D60C0000}"/>
    <cellStyle name="_96수량포장공_96수량포장공_배수공_포장공사_포장공사_총괄자재집계(대2-28)" xfId="3289" xr:uid="{00000000-0005-0000-0000-0000D70C0000}"/>
    <cellStyle name="_96수량포장공_96수량포장공_총괄자재집계(대2-28)" xfId="3290" xr:uid="{00000000-0005-0000-0000-0000D80C0000}"/>
    <cellStyle name="_96수량포장공_96수량포장공_포장공사" xfId="3291" xr:uid="{00000000-0005-0000-0000-0000D90C0000}"/>
    <cellStyle name="_96수량포장공_96수량포장공_포장공사_총괄자재집계(대2-28)" xfId="3292" xr:uid="{00000000-0005-0000-0000-0000DA0C0000}"/>
    <cellStyle name="_96수량포장공_96수량포장공_포장공사_포장공사" xfId="3293" xr:uid="{00000000-0005-0000-0000-0000DB0C0000}"/>
    <cellStyle name="_96수량포장공_96수량포장공_포장공사_포장공사_총괄자재집계(대2-28)" xfId="3294" xr:uid="{00000000-0005-0000-0000-0000DC0C0000}"/>
    <cellStyle name="_96수량포장공_배수공" xfId="3295" xr:uid="{00000000-0005-0000-0000-0000DD0C0000}"/>
    <cellStyle name="_96수량포장공_배수공_1" xfId="3296" xr:uid="{00000000-0005-0000-0000-0000DE0C0000}"/>
    <cellStyle name="_96수량포장공_배수공_1_총괄자재집계(대2-28)" xfId="3297" xr:uid="{00000000-0005-0000-0000-0000DF0C0000}"/>
    <cellStyle name="_96수량포장공_배수공_배수공" xfId="3298" xr:uid="{00000000-0005-0000-0000-0000E00C0000}"/>
    <cellStyle name="_96수량포장공_배수공_배수공_총괄자재집계(대2-28)" xfId="3299" xr:uid="{00000000-0005-0000-0000-0000E10C0000}"/>
    <cellStyle name="_96수량포장공_배수공_총괄자재집계(대2-28)" xfId="3300" xr:uid="{00000000-0005-0000-0000-0000E20C0000}"/>
    <cellStyle name="_96수량포장공_배수공_포장공사" xfId="3301" xr:uid="{00000000-0005-0000-0000-0000E30C0000}"/>
    <cellStyle name="_96수량포장공_배수공_포장공사_총괄자재집계(대2-28)" xfId="3302" xr:uid="{00000000-0005-0000-0000-0000E40C0000}"/>
    <cellStyle name="_96수량포장공_배수공_포장공사_포장공사" xfId="3303" xr:uid="{00000000-0005-0000-0000-0000E50C0000}"/>
    <cellStyle name="_96수량포장공_배수공_포장공사_포장공사_총괄자재집계(대2-28)" xfId="3304" xr:uid="{00000000-0005-0000-0000-0000E60C0000}"/>
    <cellStyle name="_96수량포장공_총괄자재집계(대2-28)" xfId="3305" xr:uid="{00000000-0005-0000-0000-0000E70C0000}"/>
    <cellStyle name="_96수량포장공_포장공사" xfId="3306" xr:uid="{00000000-0005-0000-0000-0000E80C0000}"/>
    <cellStyle name="_96수량포장공_포장공사_총괄자재집계(대2-28)" xfId="3307" xr:uid="{00000000-0005-0000-0000-0000E90C0000}"/>
    <cellStyle name="_96수량포장공_포장공사_포장공사" xfId="3308" xr:uid="{00000000-0005-0000-0000-0000EA0C0000}"/>
    <cellStyle name="_96수량포장공_포장공사_포장공사_총괄자재집계(대2-28)" xfId="3309" xr:uid="{00000000-0005-0000-0000-0000EB0C0000}"/>
    <cellStyle name="_99민간위탁(보령,부안)" xfId="3310" xr:uid="{00000000-0005-0000-0000-0000EC0C0000}"/>
    <cellStyle name="_99민간위탁(보령,부안)_설계2임시" xfId="3311" xr:uid="{00000000-0005-0000-0000-0000ED0C0000}"/>
    <cellStyle name="_99민간위탁(보령,부안)_설계2임시_설계서(장)" xfId="3312" xr:uid="{00000000-0005-0000-0000-0000EE0C0000}"/>
    <cellStyle name="_99민간위탁(보령,부안)_설계2임시_설계최종" xfId="3313" xr:uid="{00000000-0005-0000-0000-0000EF0C0000}"/>
    <cellStyle name="_99민간위탁(보령,부안)_설계서(보령,전주,부안)" xfId="3314" xr:uid="{00000000-0005-0000-0000-0000F00C0000}"/>
    <cellStyle name="_99민간위탁(보령,부안)_설계서(보령,전주,부안)_설계2임시" xfId="3315" xr:uid="{00000000-0005-0000-0000-0000F10C0000}"/>
    <cellStyle name="_99민간위탁(보령,부안)_설계서(보령,전주,부안)_설계2임시_설계서(장)" xfId="3316" xr:uid="{00000000-0005-0000-0000-0000F20C0000}"/>
    <cellStyle name="_99민간위탁(보령,부안)_설계서(보령,전주,부안)_설계2임시_설계최종" xfId="3317" xr:uid="{00000000-0005-0000-0000-0000F30C0000}"/>
    <cellStyle name="_'99상반기경영개선활동결과(게시용)" xfId="3318" xr:uid="{00000000-0005-0000-0000-0000F40C0000}"/>
    <cellStyle name="_A1-토공-유점1L-1" xfId="3319" xr:uid="{00000000-0005-0000-0000-0000F50C0000}"/>
    <cellStyle name="_B-LINE 가시설공" xfId="3320" xr:uid="{00000000-0005-0000-0000-0000F60C0000}"/>
    <cellStyle name="_Book1" xfId="3321" xr:uid="{00000000-0005-0000-0000-0000F70C0000}"/>
    <cellStyle name="_Book1_01-02.맨홀토공(OPEN-0.3)D-LINE" xfId="3322" xr:uid="{00000000-0005-0000-0000-0000F80C0000}"/>
    <cellStyle name="_Book1_01-02.맨홀토공(OPEN-0.3)D-LINE_01-02.맨홀토공(OPEN-0.3)C-LINE" xfId="3323" xr:uid="{00000000-0005-0000-0000-0000F90C0000}"/>
    <cellStyle name="_Book1_01-02.맨홀토공(OPEN-0.3)D-LINE_01-02.맨홀토공(OPEN-0.3)C-LINE_02.구조물및추진,도달기지토공(D구간)" xfId="3324" xr:uid="{00000000-0005-0000-0000-0000FA0C0000}"/>
    <cellStyle name="_Book1_01-02.맨홀토공(OPEN-0.3)D-LINE_01-02.맨홀토공(OPEN-0.3)D-LINE" xfId="3325" xr:uid="{00000000-0005-0000-0000-0000FB0C0000}"/>
    <cellStyle name="_Book1_01-02.맨홀토공(OPEN-0.3)D-LINE_01-02.맨홀토공(OPEN-0.3)D-LINE_02.구조물및추진,도달기지토공(D구간)" xfId="3326" xr:uid="{00000000-0005-0000-0000-0000FC0C0000}"/>
    <cellStyle name="_Book1_01-02.맨홀토공(OPEN-0.3)D-LINE_02.구조물및추진,도달기지토공(D구간)" xfId="3327" xr:uid="{00000000-0005-0000-0000-0000FD0C0000}"/>
    <cellStyle name="_Book1_01-3.옥구오수신설  맨홀토공(OPEN-0.3)" xfId="3328" xr:uid="{00000000-0005-0000-0000-0000FE0C0000}"/>
    <cellStyle name="_Book1_01-3.옥구오수신설  맨홀토공(OPEN-0.3)_01-02.맨홀토공(OPEN-0.3)C-LINE" xfId="3329" xr:uid="{00000000-0005-0000-0000-0000FF0C0000}"/>
    <cellStyle name="_Book1_01-3.옥구오수신설  맨홀토공(OPEN-0.3)_01-02.맨홀토공(OPEN-0.3)C-LINE_02.구조물및추진,도달기지토공(D구간)" xfId="3330" xr:uid="{00000000-0005-0000-0000-0000000D0000}"/>
    <cellStyle name="_Book1_01-3.옥구오수신설  맨홀토공(OPEN-0.3)_01-02.맨홀토공(OPEN-0.3)D-LINE" xfId="3331" xr:uid="{00000000-0005-0000-0000-0000010D0000}"/>
    <cellStyle name="_Book1_01-3.옥구오수신설  맨홀토공(OPEN-0.3)_01-02.맨홀토공(OPEN-0.3)D-LINE_02.구조물및추진,도달기지토공(D구간)" xfId="3332" xr:uid="{00000000-0005-0000-0000-0000020D0000}"/>
    <cellStyle name="_Book1_01-3.옥구오수신설  맨홀토공(OPEN-0.3)_02.구조물및추진,도달기지토공(D구간)" xfId="3333" xr:uid="{00000000-0005-0000-0000-0000030D0000}"/>
    <cellStyle name="_Book1_01-3.옥서오수신설  맨홀토공(OPEN-0.3)" xfId="3334" xr:uid="{00000000-0005-0000-0000-0000040D0000}"/>
    <cellStyle name="_Book1_01-3.옥서오수신설  맨홀토공(OPEN-0.3)_01-02.맨홀토공(OPEN-0.3)C-LINE" xfId="3335" xr:uid="{00000000-0005-0000-0000-0000050D0000}"/>
    <cellStyle name="_Book1_01-3.옥서오수신설  맨홀토공(OPEN-0.3)_01-02.맨홀토공(OPEN-0.3)C-LINE_02.구조물및추진,도달기지토공(D구간)" xfId="3336" xr:uid="{00000000-0005-0000-0000-0000060D0000}"/>
    <cellStyle name="_Book1_01-3.옥서오수신설  맨홀토공(OPEN-0.3)_01-02.맨홀토공(OPEN-0.3)D-LINE" xfId="3337" xr:uid="{00000000-0005-0000-0000-0000070D0000}"/>
    <cellStyle name="_Book1_01-3.옥서오수신설  맨홀토공(OPEN-0.3)_01-02.맨홀토공(OPEN-0.3)D-LINE_02.구조물및추진,도달기지토공(D구간)" xfId="3338" xr:uid="{00000000-0005-0000-0000-0000080D0000}"/>
    <cellStyle name="_Book1_01-3.옥서오수신설  맨홀토공(OPEN-0.3)_02.구조물및추진,도달기지토공(D구간)" xfId="3339" xr:uid="{00000000-0005-0000-0000-0000090D0000}"/>
    <cellStyle name="_Book1_02.구조물및추진,도달기지토공(D구간)" xfId="3340" xr:uid="{00000000-0005-0000-0000-00000A0D0000}"/>
    <cellStyle name="_Book1_1" xfId="3341" xr:uid="{00000000-0005-0000-0000-00000B0D0000}"/>
    <cellStyle name="_Book3" xfId="3342" xr:uid="{00000000-0005-0000-0000-00000C0D0000}"/>
    <cellStyle name="_BOQ(구조물공)" xfId="3343" xr:uid="{00000000-0005-0000-0000-00000D0D0000}"/>
    <cellStyle name="_BOQ(청산~백의)" xfId="3344" xr:uid="{00000000-0005-0000-0000-00000E0D0000}"/>
    <cellStyle name="_Boq수량" xfId="3345" xr:uid="{00000000-0005-0000-0000-00000F0D0000}"/>
    <cellStyle name="_CPQRC_Storage_Dec05" xfId="3346" xr:uid="{00000000-0005-0000-0000-0000100D0000}"/>
    <cellStyle name="_DB부분 설계서(Ver3.0)" xfId="3347" xr:uid="{00000000-0005-0000-0000-0000110D0000}"/>
    <cellStyle name="_DB부분 설계서(Ver3.1)" xfId="3348" xr:uid="{00000000-0005-0000-0000-0000120D0000}"/>
    <cellStyle name="_DB설계" xfId="3349" xr:uid="{00000000-0005-0000-0000-0000130D0000}"/>
    <cellStyle name="_DL760(엑사큐뷰-김상현) 0304 mail" xfId="3350" xr:uid="{00000000-0005-0000-0000-0000140D0000}"/>
    <cellStyle name="_E280R외(2-4)발송" xfId="3351" xr:uid="{00000000-0005-0000-0000-0000150D0000}"/>
    <cellStyle name="_E280R외(2-4)발송-수정" xfId="3352" xr:uid="{00000000-0005-0000-0000-0000160D0000}"/>
    <cellStyle name="_FAX1" xfId="3353" xr:uid="{00000000-0005-0000-0000-0000170D0000}"/>
    <cellStyle name="_FAX1_4.추진공(공암)" xfId="3354" xr:uid="{00000000-0005-0000-0000-0000180D0000}"/>
    <cellStyle name="_FAX1_4.추진공(공암SAMPLE" xfId="3355" xr:uid="{00000000-0005-0000-0000-0000190D0000}"/>
    <cellStyle name="_FAX1_4.추진공(서산)" xfId="3356" xr:uid="{00000000-0005-0000-0000-00001A0D0000}"/>
    <cellStyle name="_FAX1_4.추진공(읍내)" xfId="3357" xr:uid="{00000000-0005-0000-0000-00001B0D0000}"/>
    <cellStyle name="_FAX1_4.추진공(황간)" xfId="3358" xr:uid="{00000000-0005-0000-0000-00001C0D0000}"/>
    <cellStyle name="_FAX1_선정안(삼산)" xfId="3359" xr:uid="{00000000-0005-0000-0000-00001D0D0000}"/>
    <cellStyle name="_FAX1_선정안(삼산)_4.추진공(공암)" xfId="3360" xr:uid="{00000000-0005-0000-0000-00001E0D0000}"/>
    <cellStyle name="_FAX1_선정안(삼산)_4.추진공(공암SAMPLE" xfId="3361" xr:uid="{00000000-0005-0000-0000-00001F0D0000}"/>
    <cellStyle name="_FAX1_선정안(삼산)_4.추진공(서산)" xfId="3362" xr:uid="{00000000-0005-0000-0000-0000200D0000}"/>
    <cellStyle name="_FAX1_선정안(삼산)_4.추진공(읍내)" xfId="3363" xr:uid="{00000000-0005-0000-0000-0000210D0000}"/>
    <cellStyle name="_FAX1_선정안(삼산)_4.추진공(황간)" xfId="3364" xr:uid="{00000000-0005-0000-0000-0000220D0000}"/>
    <cellStyle name="_FAX1_선정안(삼산)_영동군추진가시설수량" xfId="3365" xr:uid="{00000000-0005-0000-0000-0000230D0000}"/>
    <cellStyle name="_FAX1_영동군추진가시설수량" xfId="3366" xr:uid="{00000000-0005-0000-0000-0000240D0000}"/>
    <cellStyle name="_FAX1_추풍령" xfId="3367" xr:uid="{00000000-0005-0000-0000-0000250D0000}"/>
    <cellStyle name="_FAX1_추풍령_4.추진공(공암)" xfId="3368" xr:uid="{00000000-0005-0000-0000-0000260D0000}"/>
    <cellStyle name="_FAX1_추풍령_4.추진공(공암SAMPLE" xfId="3369" xr:uid="{00000000-0005-0000-0000-0000270D0000}"/>
    <cellStyle name="_FAX1_추풍령_4.추진공(서산)" xfId="3370" xr:uid="{00000000-0005-0000-0000-0000280D0000}"/>
    <cellStyle name="_FAX1_추풍령_4.추진공(읍내)" xfId="3371" xr:uid="{00000000-0005-0000-0000-0000290D0000}"/>
    <cellStyle name="_FAX1_추풍령_4.추진공(황간)" xfId="3372" xr:uid="{00000000-0005-0000-0000-00002A0D0000}"/>
    <cellStyle name="_FAX1_추풍령_영동군추진가시설수량" xfId="3373" xr:uid="{00000000-0005-0000-0000-00002B0D0000}"/>
    <cellStyle name="_FAX1_추풍령-1" xfId="3374" xr:uid="{00000000-0005-0000-0000-00002C0D0000}"/>
    <cellStyle name="_FAX1_추풍령-1_4.추진공(공암)" xfId="3375" xr:uid="{00000000-0005-0000-0000-00002D0D0000}"/>
    <cellStyle name="_FAX1_추풍령-1_4.추진공(공암SAMPLE" xfId="3376" xr:uid="{00000000-0005-0000-0000-00002E0D0000}"/>
    <cellStyle name="_FAX1_추풍령-1_4.추진공(서산)" xfId="3377" xr:uid="{00000000-0005-0000-0000-00002F0D0000}"/>
    <cellStyle name="_FAX1_추풍령-1_4.추진공(읍내)" xfId="3378" xr:uid="{00000000-0005-0000-0000-0000300D0000}"/>
    <cellStyle name="_FAX1_추풍령-1_4.추진공(황간)" xfId="3379" xr:uid="{00000000-0005-0000-0000-0000310D0000}"/>
    <cellStyle name="_FAX1_추풍령-1_영동군추진가시설수량" xfId="3380" xr:uid="{00000000-0005-0000-0000-0000320D0000}"/>
    <cellStyle name="_FAX2" xfId="3381" xr:uid="{00000000-0005-0000-0000-0000330D0000}"/>
    <cellStyle name="_FAX2_4.추진공(공암)" xfId="3382" xr:uid="{00000000-0005-0000-0000-0000340D0000}"/>
    <cellStyle name="_FAX2_4.추진공(공암SAMPLE" xfId="3383" xr:uid="{00000000-0005-0000-0000-0000350D0000}"/>
    <cellStyle name="_FAX2_4.추진공(서산)" xfId="3384" xr:uid="{00000000-0005-0000-0000-0000360D0000}"/>
    <cellStyle name="_FAX2_4.추진공(읍내)" xfId="3385" xr:uid="{00000000-0005-0000-0000-0000370D0000}"/>
    <cellStyle name="_FAX2_4.추진공(황간)" xfId="3386" xr:uid="{00000000-0005-0000-0000-0000380D0000}"/>
    <cellStyle name="_FAX2_선정안(삼산)" xfId="3387" xr:uid="{00000000-0005-0000-0000-0000390D0000}"/>
    <cellStyle name="_FAX2_선정안(삼산)_4.추진공(공암)" xfId="3388" xr:uid="{00000000-0005-0000-0000-00003A0D0000}"/>
    <cellStyle name="_FAX2_선정안(삼산)_4.추진공(공암SAMPLE" xfId="3389" xr:uid="{00000000-0005-0000-0000-00003B0D0000}"/>
    <cellStyle name="_FAX2_선정안(삼산)_4.추진공(서산)" xfId="3390" xr:uid="{00000000-0005-0000-0000-00003C0D0000}"/>
    <cellStyle name="_FAX2_선정안(삼산)_4.추진공(읍내)" xfId="3391" xr:uid="{00000000-0005-0000-0000-00003D0D0000}"/>
    <cellStyle name="_FAX2_선정안(삼산)_4.추진공(황간)" xfId="3392" xr:uid="{00000000-0005-0000-0000-00003E0D0000}"/>
    <cellStyle name="_FAX2_선정안(삼산)_영동군추진가시설수량" xfId="3393" xr:uid="{00000000-0005-0000-0000-00003F0D0000}"/>
    <cellStyle name="_FAX2_영동군추진가시설수량" xfId="3394" xr:uid="{00000000-0005-0000-0000-0000400D0000}"/>
    <cellStyle name="_FAX2_추풍령" xfId="3395" xr:uid="{00000000-0005-0000-0000-0000410D0000}"/>
    <cellStyle name="_FAX2_추풍령_4.추진공(공암)" xfId="3396" xr:uid="{00000000-0005-0000-0000-0000420D0000}"/>
    <cellStyle name="_FAX2_추풍령_4.추진공(공암SAMPLE" xfId="3397" xr:uid="{00000000-0005-0000-0000-0000430D0000}"/>
    <cellStyle name="_FAX2_추풍령_4.추진공(서산)" xfId="3398" xr:uid="{00000000-0005-0000-0000-0000440D0000}"/>
    <cellStyle name="_FAX2_추풍령_4.추진공(읍내)" xfId="3399" xr:uid="{00000000-0005-0000-0000-0000450D0000}"/>
    <cellStyle name="_FAX2_추풍령_4.추진공(황간)" xfId="3400" xr:uid="{00000000-0005-0000-0000-0000460D0000}"/>
    <cellStyle name="_FAX2_추풍령_영동군추진가시설수량" xfId="3401" xr:uid="{00000000-0005-0000-0000-0000470D0000}"/>
    <cellStyle name="_FAX2_추풍령-1" xfId="3402" xr:uid="{00000000-0005-0000-0000-0000480D0000}"/>
    <cellStyle name="_FAX2_추풍령-1_4.추진공(공암)" xfId="3403" xr:uid="{00000000-0005-0000-0000-0000490D0000}"/>
    <cellStyle name="_FAX2_추풍령-1_4.추진공(공암SAMPLE" xfId="3404" xr:uid="{00000000-0005-0000-0000-00004A0D0000}"/>
    <cellStyle name="_FAX2_추풍령-1_4.추진공(서산)" xfId="3405" xr:uid="{00000000-0005-0000-0000-00004B0D0000}"/>
    <cellStyle name="_FAX2_추풍령-1_4.추진공(읍내)" xfId="3406" xr:uid="{00000000-0005-0000-0000-00004C0D0000}"/>
    <cellStyle name="_FAX2_추풍령-1_4.추진공(황간)" xfId="3407" xr:uid="{00000000-0005-0000-0000-00004D0D0000}"/>
    <cellStyle name="_FAX2_추풍령-1_영동군추진가시설수량" xfId="3408" xr:uid="{00000000-0005-0000-0000-00004E0D0000}"/>
    <cellStyle name="_FCST (2)" xfId="3409" xr:uid="{00000000-0005-0000-0000-00004F0D0000}"/>
    <cellStyle name="_FP_설계내역샘플_(가중치직접산정방식)_New" xfId="3410" xr:uid="{00000000-0005-0000-0000-0000500D0000}"/>
    <cellStyle name="_FP_설계내역샘플_(가중치직접산정방식)_New 2" xfId="3411" xr:uid="{00000000-0005-0000-0000-0000510D0000}"/>
    <cellStyle name="_FP_설계내역샘플_(가중치직접산정방식)_New_02._서울시_위례신도시_차집관거_설계예산서(전체)_0217" xfId="3412" xr:uid="{00000000-0005-0000-0000-0000520D0000}"/>
    <cellStyle name="_FP_설계내역샘플_(평균가중치방식)_New" xfId="3413" xr:uid="{00000000-0005-0000-0000-0000530D0000}"/>
    <cellStyle name="_IBM" xfId="3414" xr:uid="{00000000-0005-0000-0000-0000540D0000}"/>
    <cellStyle name="_MBR1~3 (version 1)" xfId="3415" xr:uid="{00000000-0005-0000-0000-0000550D0000}"/>
    <cellStyle name="_ms(엑사큐뷰-김상현) 0411" xfId="3416" xr:uid="{00000000-0005-0000-0000-0000560D0000}"/>
    <cellStyle name="_NEGS_1화 [0]_nh_x0010_통화 [0]_OCT-Price" xfId="3417" xr:uid="{00000000-0005-0000-0000-0000570D0000}"/>
    <cellStyle name="_PRICE" xfId="3418" xr:uid="{00000000-0005-0000-0000-0000580D0000}"/>
    <cellStyle name="_ProCurve Quick Reference Card - December 2005" xfId="3419" xr:uid="{00000000-0005-0000-0000-0000590D0000}"/>
    <cellStyle name="_ProCurve Quick Reference Card - January 2006" xfId="3420" xr:uid="{00000000-0005-0000-0000-00005A0D0000}"/>
    <cellStyle name="_ProCurve Quick Reference Card - July 1 2005" xfId="3421" xr:uid="{00000000-0005-0000-0000-00005B0D0000}"/>
    <cellStyle name="_ProCurve Quick Reference Card - July 1 2005_Book1" xfId="3422" xr:uid="{00000000-0005-0000-0000-00005C0D0000}"/>
    <cellStyle name="_ProCurve Quick Reference Card - July 1 2005_HP_Care_Pack_Aug05" xfId="3423" xr:uid="{00000000-0005-0000-0000-00005D0D0000}"/>
    <cellStyle name="_ProCurve Quick Reference Card - July 1 2005_HP_Care_Pack_July05" xfId="3424" xr:uid="{00000000-0005-0000-0000-00005E0D0000}"/>
    <cellStyle name="_ProCurve Quick Reference Card - October 1  2005" xfId="3425" xr:uid="{00000000-0005-0000-0000-00005F0D0000}"/>
    <cellStyle name="_ProCurve Quick Reference Card - October 2005 v2" xfId="3426" xr:uid="{00000000-0005-0000-0000-0000600D0000}"/>
    <cellStyle name="_QHP40000514-DY1(엑사큐브)1" xfId="3427" xr:uid="{00000000-0005-0000-0000-0000610D0000}"/>
    <cellStyle name="_R8_CPQRC Storage 7-29-05" xfId="3428" xr:uid="{00000000-0005-0000-0000-0000620D0000}"/>
    <cellStyle name="_RAMP-E교-최종000" xfId="3429" xr:uid="{00000000-0005-0000-0000-0000630D0000}"/>
    <cellStyle name="_RAMP-E교-최종000_20020914_장곡1-4리 오지도로포장공사_2 변경설계서" xfId="3430" xr:uid="{00000000-0005-0000-0000-0000640D0000}"/>
    <cellStyle name="_RAMP-E교-최종000_경지정리 지구내 배수로 준설공사" xfId="3431" xr:uid="{00000000-0005-0000-0000-0000650D0000}"/>
    <cellStyle name="_RAMP-E교-최종000_시방서" xfId="3432" xr:uid="{00000000-0005-0000-0000-0000660D0000}"/>
    <cellStyle name="_RAMP-E교-최종000_파도 - 모항선 횡배수관 확장" xfId="3433" xr:uid="{00000000-0005-0000-0000-0000670D0000}"/>
    <cellStyle name="_RAMP-E교-최종000_파도 - 모항선 횡배수관 확장_20020914_장곡1-4리 오지도로포장공사_2 변경설계서" xfId="3434" xr:uid="{00000000-0005-0000-0000-0000680D0000}"/>
    <cellStyle name="_RAMP-E교-최종000_파도 - 모항선 횡배수관 확장_경지정리 지구내 배수로 준설공사" xfId="3435" xr:uid="{00000000-0005-0000-0000-0000690D0000}"/>
    <cellStyle name="_RAMP-E교-최종000_파도 - 모항선 횡배수관 확장_시방서" xfId="3436" xr:uid="{00000000-0005-0000-0000-00006A0D0000}"/>
    <cellStyle name="_RESULTS" xfId="3437" xr:uid="{00000000-0005-0000-0000-00006B0D0000}"/>
    <cellStyle name="_sample" xfId="3438" xr:uid="{00000000-0005-0000-0000-00006C0D0000}"/>
    <cellStyle name="_sample_1111" xfId="3439" xr:uid="{00000000-0005-0000-0000-00006D0D0000}"/>
    <cellStyle name="_sample_상부수량(범물육교)" xfId="3440" xr:uid="{00000000-0005-0000-0000-00006E0D0000}"/>
    <cellStyle name="_sample_슬래브수량(RAMP-E)" xfId="3441" xr:uid="{00000000-0005-0000-0000-00006F0D0000}"/>
    <cellStyle name="_sample_슬래브수량(범물br1)" xfId="3442" xr:uid="{00000000-0005-0000-0000-0000700D0000}"/>
    <cellStyle name="_sample_슬래브수량(범물방향)추가" xfId="3443" xr:uid="{00000000-0005-0000-0000-0000710D0000}"/>
    <cellStyle name="_sample_슬래브수량(범물방향-br123)" xfId="3444" xr:uid="{00000000-0005-0000-0000-0000720D0000}"/>
    <cellStyle name="_sample_슬래브수량(상인방향)" xfId="3445" xr:uid="{00000000-0005-0000-0000-0000730D0000}"/>
    <cellStyle name="_sample-성남제2처리장발주내역서(6.14)" xfId="3446" xr:uid="{00000000-0005-0000-0000-0000740D0000}"/>
    <cellStyle name="_SDQ031036캐드랜드(거제시청)" xfId="3447" xr:uid="{00000000-0005-0000-0000-0000750D0000}"/>
    <cellStyle name="_Sheet1" xfId="3448" xr:uid="{00000000-0005-0000-0000-0000760D0000}"/>
    <cellStyle name="_SI부문_김천시" xfId="3449" xr:uid="{00000000-0005-0000-0000-0000770D0000}"/>
    <cellStyle name="_THP관설치" xfId="3450" xr:uid="{00000000-0005-0000-0000-0000780D0000}"/>
    <cellStyle name="_THP관설치_토공(3지구)" xfId="3451" xr:uid="{00000000-0005-0000-0000-0000790D0000}"/>
    <cellStyle name="_THP관설치_토공(3지구)_토공(4지구)" xfId="3452" xr:uid="{00000000-0005-0000-0000-00007A0D0000}"/>
    <cellStyle name="_THP관설치_토공(3지구)_토공(4지구)_토공(4지구)" xfId="3453" xr:uid="{00000000-0005-0000-0000-00007B0D0000}"/>
    <cellStyle name="_THP관설치_토공(4지구)" xfId="3454" xr:uid="{00000000-0005-0000-0000-00007C0D0000}"/>
    <cellStyle name="_THP관설치_토공(4지구)_토공(4지구)" xfId="3455" xr:uid="{00000000-0005-0000-0000-00007D0D0000}"/>
    <cellStyle name="_THP관설치_토공(4지구)_토공(4지구)_토공(3지구)" xfId="3456" xr:uid="{00000000-0005-0000-0000-00007E0D0000}"/>
    <cellStyle name="_THP관설치_토공(4지구)_토공(4지구)_토공(3지구)_토공(4지구)" xfId="3457" xr:uid="{00000000-0005-0000-0000-00007F0D0000}"/>
    <cellStyle name="_THP관설치_토공(4지구)_토공(4지구)_토공(3지구)_토공(4지구)_토공(4지구)" xfId="3458" xr:uid="{00000000-0005-0000-0000-0000800D0000}"/>
    <cellStyle name="_THP관설치_토공(4지구)_토공(4지구)_토공(4지구)" xfId="3459" xr:uid="{00000000-0005-0000-0000-0000810D0000}"/>
    <cellStyle name="_U TYPE" xfId="3460" xr:uid="{00000000-0005-0000-0000-0000820D0000}"/>
    <cellStyle name="_U형측구" xfId="3461" xr:uid="{00000000-0005-0000-0000-0000830D0000}"/>
    <cellStyle name="_WebGIS기능_본수_데이터(ver1.0)" xfId="3462" xr:uid="{00000000-0005-0000-0000-0000840D0000}"/>
    <cellStyle name="_X440 0410" xfId="3463" xr:uid="{00000000-0005-0000-0000-0000850D0000}"/>
    <cellStyle name="_X440 0506" xfId="3464" xr:uid="{00000000-0005-0000-0000-0000860D0000}"/>
    <cellStyle name="_가격산출내역서_93" xfId="3465" xr:uid="{00000000-0005-0000-0000-0000870D0000}"/>
    <cellStyle name="_가격제안서" xfId="3466" xr:uid="{00000000-0005-0000-0000-0000880D0000}"/>
    <cellStyle name="_가고리" xfId="3467" xr:uid="{00000000-0005-0000-0000-0000890D0000}"/>
    <cellStyle name="_가로등3차공사전체분" xfId="3468" xr:uid="{00000000-0005-0000-0000-00008A0D0000}"/>
    <cellStyle name="_가로등3차공사전체분_팔당수변전집계" xfId="3469" xr:uid="{00000000-0005-0000-0000-00008B0D0000}"/>
    <cellStyle name="_가로등3차공사전체분_팔당수변전집계_개대체공사내역서" xfId="3470" xr:uid="{00000000-0005-0000-0000-00008C0D0000}"/>
    <cellStyle name="_가운지구 건축전기계산서" xfId="3471" xr:uid="{00000000-0005-0000-0000-00008D0D0000}"/>
    <cellStyle name="_간지" xfId="3472" xr:uid="{00000000-0005-0000-0000-00008E0D0000}"/>
    <cellStyle name="_감리예산설계서" xfId="3473" xr:uid="{00000000-0005-0000-0000-00008F0D0000}"/>
    <cellStyle name="_갑지(1221)" xfId="3474" xr:uid="{00000000-0005-0000-0000-0000900D0000}"/>
    <cellStyle name="_갑지(총)" xfId="3475" xr:uid="{00000000-0005-0000-0000-0000910D0000}"/>
    <cellStyle name="_갑천3지구-낙찰후(최종진짜)" xfId="3476" xr:uid="{00000000-0005-0000-0000-0000920D0000}"/>
    <cellStyle name="_강과장(Fronnix,설계가1126)" xfId="3477" xr:uid="{00000000-0005-0000-0000-0000930D0000}"/>
    <cellStyle name="_강구배수설비수량_rev3" xfId="3478" xr:uid="{00000000-0005-0000-0000-0000940D0000}"/>
    <cellStyle name="_강구처리구역" xfId="3479" xr:uid="{00000000-0005-0000-0000-0000950D0000}"/>
    <cellStyle name="_강남대_네트웍_컴스(시스코쓰리콤견적)" xfId="3480" xr:uid="{00000000-0005-0000-0000-0000960D0000}"/>
    <cellStyle name="_강내 인도설치1" xfId="3481" xr:uid="{00000000-0005-0000-0000-0000970D0000}"/>
    <cellStyle name="_강릉대학술정보지원센터총괄(월드2낙찰)" xfId="3482" xr:uid="{00000000-0005-0000-0000-0000980D0000}"/>
    <cellStyle name="_개  거" xfId="3483" xr:uid="{00000000-0005-0000-0000-0000990D0000}"/>
    <cellStyle name="_개  거_토공(3지구)" xfId="3484" xr:uid="{00000000-0005-0000-0000-00009A0D0000}"/>
    <cellStyle name="_개  거_토공(3지구)_토공(4지구)" xfId="3485" xr:uid="{00000000-0005-0000-0000-00009B0D0000}"/>
    <cellStyle name="_개  거_토공(3지구)_토공(4지구)_토공(4지구)" xfId="3486" xr:uid="{00000000-0005-0000-0000-00009C0D0000}"/>
    <cellStyle name="_개  거_토공(4지구)" xfId="3487" xr:uid="{00000000-0005-0000-0000-00009D0D0000}"/>
    <cellStyle name="_개  거_토공(4지구)_토공(4지구)" xfId="3488" xr:uid="{00000000-0005-0000-0000-00009E0D0000}"/>
    <cellStyle name="_개  거_토공(4지구)_토공(4지구)_토공(3지구)" xfId="3489" xr:uid="{00000000-0005-0000-0000-00009F0D0000}"/>
    <cellStyle name="_개  거_토공(4지구)_토공(4지구)_토공(3지구)_토공(4지구)" xfId="3490" xr:uid="{00000000-0005-0000-0000-0000A00D0000}"/>
    <cellStyle name="_개  거_토공(4지구)_토공(4지구)_토공(3지구)_토공(4지구)_토공(4지구)" xfId="3491" xr:uid="{00000000-0005-0000-0000-0000A10D0000}"/>
    <cellStyle name="_개  거_토공(4지구)_토공(4지구)_토공(4지구)" xfId="3492" xr:uid="{00000000-0005-0000-0000-0000A20D0000}"/>
    <cellStyle name="_개설및개량사업내역서(당초변경0.69)R2" xfId="3493" xr:uid="{00000000-0005-0000-0000-0000A30D0000}"/>
    <cellStyle name="_건교부_과천server내역서3" xfId="3494" xr:uid="{00000000-0005-0000-0000-0000A40D0000}"/>
    <cellStyle name="_건국대학교 매체제작실 견적서 03.0929" xfId="3495" xr:uid="{00000000-0005-0000-0000-0000A50D0000}"/>
    <cellStyle name="_건축전기용량계산서" xfId="3496" xr:uid="{00000000-0005-0000-0000-0000A60D0000}"/>
    <cellStyle name="_견적결과" xfId="3497" xr:uid="{00000000-0005-0000-0000-0000A70D0000}"/>
    <cellStyle name="_견적결과_4.추진공(공암)" xfId="3498" xr:uid="{00000000-0005-0000-0000-0000A80D0000}"/>
    <cellStyle name="_견적결과_4.추진공(공암SAMPLE" xfId="3499" xr:uid="{00000000-0005-0000-0000-0000A90D0000}"/>
    <cellStyle name="_견적결과_4.추진공(서산)" xfId="3500" xr:uid="{00000000-0005-0000-0000-0000AA0D0000}"/>
    <cellStyle name="_견적결과_4.추진공(읍내)" xfId="3501" xr:uid="{00000000-0005-0000-0000-0000AB0D0000}"/>
    <cellStyle name="_견적결과_4.추진공(황간)" xfId="3502" xr:uid="{00000000-0005-0000-0000-0000AC0D0000}"/>
    <cellStyle name="_견적결과_선정안(삼산)" xfId="3503" xr:uid="{00000000-0005-0000-0000-0000AD0D0000}"/>
    <cellStyle name="_견적결과_선정안(삼산)_4.추진공(공암)" xfId="3504" xr:uid="{00000000-0005-0000-0000-0000AE0D0000}"/>
    <cellStyle name="_견적결과_선정안(삼산)_4.추진공(공암SAMPLE" xfId="3505" xr:uid="{00000000-0005-0000-0000-0000AF0D0000}"/>
    <cellStyle name="_견적결과_선정안(삼산)_4.추진공(서산)" xfId="3506" xr:uid="{00000000-0005-0000-0000-0000B00D0000}"/>
    <cellStyle name="_견적결과_선정안(삼산)_4.추진공(읍내)" xfId="3507" xr:uid="{00000000-0005-0000-0000-0000B10D0000}"/>
    <cellStyle name="_견적결과_선정안(삼산)_4.추진공(황간)" xfId="3508" xr:uid="{00000000-0005-0000-0000-0000B20D0000}"/>
    <cellStyle name="_견적결과_선정안(삼산)_영동군추진가시설수량" xfId="3509" xr:uid="{00000000-0005-0000-0000-0000B30D0000}"/>
    <cellStyle name="_견적결과_영동군추진가시설수량" xfId="3510" xr:uid="{00000000-0005-0000-0000-0000B40D0000}"/>
    <cellStyle name="_견적결과_추풍령" xfId="3511" xr:uid="{00000000-0005-0000-0000-0000B50D0000}"/>
    <cellStyle name="_견적결과_추풍령_4.추진공(공암)" xfId="3512" xr:uid="{00000000-0005-0000-0000-0000B60D0000}"/>
    <cellStyle name="_견적결과_추풍령_4.추진공(공암SAMPLE" xfId="3513" xr:uid="{00000000-0005-0000-0000-0000B70D0000}"/>
    <cellStyle name="_견적결과_추풍령_4.추진공(서산)" xfId="3514" xr:uid="{00000000-0005-0000-0000-0000B80D0000}"/>
    <cellStyle name="_견적결과_추풍령_4.추진공(읍내)" xfId="3515" xr:uid="{00000000-0005-0000-0000-0000B90D0000}"/>
    <cellStyle name="_견적결과_추풍령_4.추진공(황간)" xfId="3516" xr:uid="{00000000-0005-0000-0000-0000BA0D0000}"/>
    <cellStyle name="_견적결과_추풍령_영동군추진가시설수량" xfId="3517" xr:uid="{00000000-0005-0000-0000-0000BB0D0000}"/>
    <cellStyle name="_견적결과_추풍령-1" xfId="3518" xr:uid="{00000000-0005-0000-0000-0000BC0D0000}"/>
    <cellStyle name="_견적결과_추풍령-1_4.추진공(공암)" xfId="3519" xr:uid="{00000000-0005-0000-0000-0000BD0D0000}"/>
    <cellStyle name="_견적결과_추풍령-1_4.추진공(공암SAMPLE" xfId="3520" xr:uid="{00000000-0005-0000-0000-0000BE0D0000}"/>
    <cellStyle name="_견적결과_추풍령-1_4.추진공(서산)" xfId="3521" xr:uid="{00000000-0005-0000-0000-0000BF0D0000}"/>
    <cellStyle name="_견적결과_추풍령-1_4.추진공(읍내)" xfId="3522" xr:uid="{00000000-0005-0000-0000-0000C00D0000}"/>
    <cellStyle name="_견적결과_추풍령-1_4.추진공(황간)" xfId="3523" xr:uid="{00000000-0005-0000-0000-0000C10D0000}"/>
    <cellStyle name="_견적결과_추풍령-1_영동군추진가시설수량" xfId="3524" xr:uid="{00000000-0005-0000-0000-0000C20D0000}"/>
    <cellStyle name="_견적서(1014)" xfId="3525" xr:uid="{00000000-0005-0000-0000-0000C30D0000}"/>
    <cellStyle name="_견적서-제출용0306" xfId="3526" xr:uid="{00000000-0005-0000-0000-0000C40D0000}"/>
    <cellStyle name="_견적조건" xfId="3527" xr:uid="{00000000-0005-0000-0000-0000C50D0000}"/>
    <cellStyle name="_견적조건_4.추진공(공암)" xfId="3528" xr:uid="{00000000-0005-0000-0000-0000C60D0000}"/>
    <cellStyle name="_견적조건_4.추진공(공암SAMPLE" xfId="3529" xr:uid="{00000000-0005-0000-0000-0000C70D0000}"/>
    <cellStyle name="_견적조건_4.추진공(서산)" xfId="3530" xr:uid="{00000000-0005-0000-0000-0000C80D0000}"/>
    <cellStyle name="_견적조건_4.추진공(읍내)" xfId="3531" xr:uid="{00000000-0005-0000-0000-0000C90D0000}"/>
    <cellStyle name="_견적조건_4.추진공(황간)" xfId="3532" xr:uid="{00000000-0005-0000-0000-0000CA0D0000}"/>
    <cellStyle name="_견적조건_선정안(삼산)" xfId="3533" xr:uid="{00000000-0005-0000-0000-0000CB0D0000}"/>
    <cellStyle name="_견적조건_선정안(삼산)_4.추진공(공암)" xfId="3534" xr:uid="{00000000-0005-0000-0000-0000CC0D0000}"/>
    <cellStyle name="_견적조건_선정안(삼산)_4.추진공(공암SAMPLE" xfId="3535" xr:uid="{00000000-0005-0000-0000-0000CD0D0000}"/>
    <cellStyle name="_견적조건_선정안(삼산)_4.추진공(서산)" xfId="3536" xr:uid="{00000000-0005-0000-0000-0000CE0D0000}"/>
    <cellStyle name="_견적조건_선정안(삼산)_4.추진공(읍내)" xfId="3537" xr:uid="{00000000-0005-0000-0000-0000CF0D0000}"/>
    <cellStyle name="_견적조건_선정안(삼산)_4.추진공(황간)" xfId="3538" xr:uid="{00000000-0005-0000-0000-0000D00D0000}"/>
    <cellStyle name="_견적조건_선정안(삼산)_영동군추진가시설수량" xfId="3539" xr:uid="{00000000-0005-0000-0000-0000D10D0000}"/>
    <cellStyle name="_견적조건_영동군추진가시설수량" xfId="3540" xr:uid="{00000000-0005-0000-0000-0000D20D0000}"/>
    <cellStyle name="_견적조건_추풍령" xfId="3541" xr:uid="{00000000-0005-0000-0000-0000D30D0000}"/>
    <cellStyle name="_견적조건_추풍령_4.추진공(공암)" xfId="3542" xr:uid="{00000000-0005-0000-0000-0000D40D0000}"/>
    <cellStyle name="_견적조건_추풍령_4.추진공(공암SAMPLE" xfId="3543" xr:uid="{00000000-0005-0000-0000-0000D50D0000}"/>
    <cellStyle name="_견적조건_추풍령_4.추진공(서산)" xfId="3544" xr:uid="{00000000-0005-0000-0000-0000D60D0000}"/>
    <cellStyle name="_견적조건_추풍령_4.추진공(읍내)" xfId="3545" xr:uid="{00000000-0005-0000-0000-0000D70D0000}"/>
    <cellStyle name="_견적조건_추풍령_4.추진공(황간)" xfId="3546" xr:uid="{00000000-0005-0000-0000-0000D80D0000}"/>
    <cellStyle name="_견적조건_추풍령_영동군추진가시설수량" xfId="3547" xr:uid="{00000000-0005-0000-0000-0000D90D0000}"/>
    <cellStyle name="_견적조건_추풍령-1" xfId="3548" xr:uid="{00000000-0005-0000-0000-0000DA0D0000}"/>
    <cellStyle name="_견적조건_추풍령-1_4.추진공(공암)" xfId="3549" xr:uid="{00000000-0005-0000-0000-0000DB0D0000}"/>
    <cellStyle name="_견적조건_추풍령-1_4.추진공(공암SAMPLE" xfId="3550" xr:uid="{00000000-0005-0000-0000-0000DC0D0000}"/>
    <cellStyle name="_견적조건_추풍령-1_4.추진공(서산)" xfId="3551" xr:uid="{00000000-0005-0000-0000-0000DD0D0000}"/>
    <cellStyle name="_견적조건_추풍령-1_4.추진공(읍내)" xfId="3552" xr:uid="{00000000-0005-0000-0000-0000DE0D0000}"/>
    <cellStyle name="_견적조건_추풍령-1_4.추진공(황간)" xfId="3553" xr:uid="{00000000-0005-0000-0000-0000DF0D0000}"/>
    <cellStyle name="_견적조건_추풍령-1_영동군추진가시설수량" xfId="3554" xr:uid="{00000000-0005-0000-0000-0000E00D0000}"/>
    <cellStyle name="_경남교통표지판" xfId="3555" xr:uid="{00000000-0005-0000-0000-0000E10D0000}"/>
    <cellStyle name="_경남교통표지판_문화의 거리 농로포장(김병국2차)" xfId="3556" xr:uid="{00000000-0005-0000-0000-0000E20D0000}"/>
    <cellStyle name="_경남교통표지판_문화의 거리 농로포장(김병국2차)_문화의 거리 농로포장(김병국2차)" xfId="3557" xr:uid="{00000000-0005-0000-0000-0000E30D0000}"/>
    <cellStyle name="_경북영주시1124" xfId="3558" xr:uid="{00000000-0005-0000-0000-0000E40D0000}"/>
    <cellStyle name="_경산 블록시스템구축 기본계획(수정)" xfId="3559" xr:uid="{00000000-0005-0000-0000-0000E50D0000}"/>
    <cellStyle name="_경산시 관망정비기본계획용역설계서(070409)" xfId="3560" xr:uid="{00000000-0005-0000-0000-0000E60D0000}"/>
    <cellStyle name="_경영개선활동상반기실적(990708)" xfId="3561" xr:uid="{00000000-0005-0000-0000-0000E70D0000}"/>
    <cellStyle name="_경영개선활동상반기실적(990708)_1" xfId="3562" xr:uid="{00000000-0005-0000-0000-0000E80D0000}"/>
    <cellStyle name="_경영개선활동상반기실적(990708)_2" xfId="3563" xr:uid="{00000000-0005-0000-0000-0000E90D0000}"/>
    <cellStyle name="_경영개선활성화방안(990802)" xfId="3564" xr:uid="{00000000-0005-0000-0000-0000EA0D0000}"/>
    <cellStyle name="_경영개선활성화방안(990802)_1" xfId="3565" xr:uid="{00000000-0005-0000-0000-0000EB0D0000}"/>
    <cellStyle name="_경전철조사측량내역" xfId="3566" xr:uid="{00000000-0005-0000-0000-0000EC0D0000}"/>
    <cellStyle name="_계약내역서" xfId="3567" xr:uid="{00000000-0005-0000-0000-0000ED0D0000}"/>
    <cellStyle name="_계장내역서" xfId="3568" xr:uid="{00000000-0005-0000-0000-0000EE0D0000}"/>
    <cellStyle name="_고남5리오지도로" xfId="3569" xr:uid="{00000000-0005-0000-0000-0000EF0D0000}"/>
    <cellStyle name="_고산교하부일반수량" xfId="3570" xr:uid="{00000000-0005-0000-0000-0000F00D0000}"/>
    <cellStyle name="_공문 " xfId="3571" xr:uid="{00000000-0005-0000-0000-0000F10D0000}"/>
    <cellStyle name="_공문 _내역서" xfId="3572" xr:uid="{00000000-0005-0000-0000-0000F20D0000}"/>
    <cellStyle name="_공문양식" xfId="3573" xr:uid="{00000000-0005-0000-0000-0000F30D0000}"/>
    <cellStyle name="_공사요율표-031008" xfId="3574" xr:uid="{00000000-0005-0000-0000-0000F40D0000}"/>
    <cellStyle name="_관보호공" xfId="3575" xr:uid="{00000000-0005-0000-0000-0000F50D0000}"/>
    <cellStyle name="_광교-자재골재이월집계(no print)" xfId="3576" xr:uid="{00000000-0005-0000-0000-0000F60D0000}"/>
    <cellStyle name="_광양 좌표변환설계-1" xfId="3577" xr:uid="{00000000-0005-0000-0000-0000F70D0000}"/>
    <cellStyle name="_광주광역시_Web GIS_설계내역_5(3억)" xfId="3578" xr:uid="{00000000-0005-0000-0000-0000F80D0000}"/>
    <cellStyle name="_광주시 2차 시스템" xfId="3579" xr:uid="{00000000-0005-0000-0000-0000F90D0000}"/>
    <cellStyle name="_광주시 도로와 지하시설물도 공동구축사업(2차) 설계내역서_1.0" xfId="3580" xr:uid="{00000000-0005-0000-0000-0000FA0D0000}"/>
    <cellStyle name="_광주시 도로와 지하시설물도 공동구축사업(2차) 설계내역서_2.0" xfId="3581" xr:uid="{00000000-0005-0000-0000-0000FB0D0000}"/>
    <cellStyle name="_광주시도로와지하시설물도공동구축사업_04072" xfId="3582" xr:uid="{00000000-0005-0000-0000-0000FC0D0000}"/>
    <cellStyle name="_교대점검계단(PRECAST콘크리트블럭)" xfId="3583" xr:uid="{00000000-0005-0000-0000-0000FD0D0000}"/>
    <cellStyle name="_교량공집계표" xfId="3584" xr:uid="{00000000-0005-0000-0000-0000FE0D0000}"/>
    <cellStyle name="_교량공집계표(교량공)" xfId="3585" xr:uid="{00000000-0005-0000-0000-0000FF0D0000}"/>
    <cellStyle name="_교량수량" xfId="3586" xr:uid="{00000000-0005-0000-0000-0000000E0000}"/>
    <cellStyle name="_구조물공" xfId="3587" xr:uid="{00000000-0005-0000-0000-0000010E0000}"/>
    <cellStyle name="_구조물공집계표" xfId="3588" xr:uid="{00000000-0005-0000-0000-0000020E0000}"/>
    <cellStyle name="_구조물구조변수16공구" xfId="3589" xr:uid="{00000000-0005-0000-0000-0000030E0000}"/>
    <cellStyle name="_구조물깨기(남일보은2-1공구) " xfId="3590" xr:uid="{00000000-0005-0000-0000-0000040E0000}"/>
    <cellStyle name="_구조물깨기(남일보은2-1공구) _2-1공구토공수량" xfId="3591" xr:uid="{00000000-0005-0000-0000-0000050E0000}"/>
    <cellStyle name="_구조물깨기(남일보은2-1공구) _우보토공" xfId="3592" xr:uid="{00000000-0005-0000-0000-0000060E0000}"/>
    <cellStyle name="_구조물토공" xfId="3593" xr:uid="{00000000-0005-0000-0000-0000070E0000}"/>
    <cellStyle name="_구조물토공_01-02.맨홀토공(OPEN-0.3)D-LINE" xfId="3594" xr:uid="{00000000-0005-0000-0000-0000080E0000}"/>
    <cellStyle name="_구조물토공_01-02.맨홀토공(OPEN-0.3)D-LINE_01-02.맨홀토공(OPEN-0.3)C-LINE" xfId="3595" xr:uid="{00000000-0005-0000-0000-0000090E0000}"/>
    <cellStyle name="_구조물토공_01-02.맨홀토공(OPEN-0.3)D-LINE_01-02.맨홀토공(OPEN-0.3)C-LINE_02.구조물및추진,도달기지토공(D구간)" xfId="3596" xr:uid="{00000000-0005-0000-0000-00000A0E0000}"/>
    <cellStyle name="_구조물토공_01-02.맨홀토공(OPEN-0.3)D-LINE_01-02.맨홀토공(OPEN-0.3)D-LINE" xfId="3597" xr:uid="{00000000-0005-0000-0000-00000B0E0000}"/>
    <cellStyle name="_구조물토공_01-02.맨홀토공(OPEN-0.3)D-LINE_01-02.맨홀토공(OPEN-0.3)D-LINE_02.구조물및추진,도달기지토공(D구간)" xfId="3598" xr:uid="{00000000-0005-0000-0000-00000C0E0000}"/>
    <cellStyle name="_구조물토공_01-02.맨홀토공(OPEN-0.3)D-LINE_02.구조물및추진,도달기지토공(D구간)" xfId="3599" xr:uid="{00000000-0005-0000-0000-00000D0E0000}"/>
    <cellStyle name="_구조물토공_01-3.옥구오수신설  맨홀토공(OPEN-0.3)" xfId="3600" xr:uid="{00000000-0005-0000-0000-00000E0E0000}"/>
    <cellStyle name="_구조물토공_01-3.옥구오수신설  맨홀토공(OPEN-0.3)_01-02.맨홀토공(OPEN-0.3)C-LINE" xfId="3601" xr:uid="{00000000-0005-0000-0000-00000F0E0000}"/>
    <cellStyle name="_구조물토공_01-3.옥구오수신설  맨홀토공(OPEN-0.3)_01-02.맨홀토공(OPEN-0.3)C-LINE_02.구조물및추진,도달기지토공(D구간)" xfId="3602" xr:uid="{00000000-0005-0000-0000-0000100E0000}"/>
    <cellStyle name="_구조물토공_01-3.옥구오수신설  맨홀토공(OPEN-0.3)_01-02.맨홀토공(OPEN-0.3)D-LINE" xfId="3603" xr:uid="{00000000-0005-0000-0000-0000110E0000}"/>
    <cellStyle name="_구조물토공_01-3.옥구오수신설  맨홀토공(OPEN-0.3)_01-02.맨홀토공(OPEN-0.3)D-LINE_02.구조물및추진,도달기지토공(D구간)" xfId="3604" xr:uid="{00000000-0005-0000-0000-0000120E0000}"/>
    <cellStyle name="_구조물토공_01-3.옥구오수신설  맨홀토공(OPEN-0.3)_02.구조물및추진,도달기지토공(D구간)" xfId="3605" xr:uid="{00000000-0005-0000-0000-0000130E0000}"/>
    <cellStyle name="_구조물토공_01-3.옥서오수신설  맨홀토공(OPEN-0.3)" xfId="3606" xr:uid="{00000000-0005-0000-0000-0000140E0000}"/>
    <cellStyle name="_구조물토공_01-3.옥서오수신설  맨홀토공(OPEN-0.3)_01-02.맨홀토공(OPEN-0.3)C-LINE" xfId="3607" xr:uid="{00000000-0005-0000-0000-0000150E0000}"/>
    <cellStyle name="_구조물토공_01-3.옥서오수신설  맨홀토공(OPEN-0.3)_01-02.맨홀토공(OPEN-0.3)C-LINE_02.구조물및추진,도달기지토공(D구간)" xfId="3608" xr:uid="{00000000-0005-0000-0000-0000160E0000}"/>
    <cellStyle name="_구조물토공_01-3.옥서오수신설  맨홀토공(OPEN-0.3)_01-02.맨홀토공(OPEN-0.3)D-LINE" xfId="3609" xr:uid="{00000000-0005-0000-0000-0000170E0000}"/>
    <cellStyle name="_구조물토공_01-3.옥서오수신설  맨홀토공(OPEN-0.3)_01-02.맨홀토공(OPEN-0.3)D-LINE_02.구조물및추진,도달기지토공(D구간)" xfId="3610" xr:uid="{00000000-0005-0000-0000-0000180E0000}"/>
    <cellStyle name="_구조물토공_01-3.옥서오수신설  맨홀토공(OPEN-0.3)_02.구조물및추진,도달기지토공(D구간)" xfId="3611" xr:uid="{00000000-0005-0000-0000-0000190E0000}"/>
    <cellStyle name="_구조물토공_02.구조물및추진,도달기지토공(D구간)" xfId="3612" xr:uid="{00000000-0005-0000-0000-00001A0E0000}"/>
    <cellStyle name="_구즉내역서" xfId="3613" xr:uid="{00000000-0005-0000-0000-00001B0E0000}"/>
    <cellStyle name="_국가보안목표_CCTV내역취합(17)_최종" xfId="3614" xr:uid="{00000000-0005-0000-0000-00001C0E0000}"/>
    <cellStyle name="_국도23호선영암연소지구내역서" xfId="3615" xr:uid="{00000000-0005-0000-0000-00001D0E0000}"/>
    <cellStyle name="_국도38호선통리지구내역서" xfId="3616" xr:uid="{00000000-0005-0000-0000-00001E0E0000}"/>
    <cellStyle name="_국도42호선여량지구오르막차로" xfId="3617" xr:uid="{00000000-0005-0000-0000-00001F0E0000}"/>
    <cellStyle name="_국수교수량" xfId="3618" xr:uid="{00000000-0005-0000-0000-0000200E0000}"/>
    <cellStyle name="_국수교수량_1111" xfId="3619" xr:uid="{00000000-0005-0000-0000-0000210E0000}"/>
    <cellStyle name="_국수교수량_백마지하차도(BOX구간)" xfId="3620" xr:uid="{00000000-0005-0000-0000-0000220E0000}"/>
    <cellStyle name="_국수교수량_백마지하차도(BOX구간)_BOQ" xfId="3621" xr:uid="{00000000-0005-0000-0000-0000230E0000}"/>
    <cellStyle name="_국수교수량_백마지하차도(BOX구간)_구조물공수량집계" xfId="3622" xr:uid="{00000000-0005-0000-0000-0000240E0000}"/>
    <cellStyle name="_국수교수량_백마지하차도(BOX구간)_백마지하차도(BOX구간)" xfId="3623" xr:uid="{00000000-0005-0000-0000-0000250E0000}"/>
    <cellStyle name="_국수교수량_백마지하차도(BOX구간)_일산지하차도(BOX구간)" xfId="3624" xr:uid="{00000000-0005-0000-0000-0000260E0000}"/>
    <cellStyle name="_국수교수량_백마지하차도(BOX구간)_접속슬래브" xfId="3625" xr:uid="{00000000-0005-0000-0000-0000270E0000}"/>
    <cellStyle name="_국수교수량_백마지하차도(BOX구간)_지하차도BOX(TYPE&quot;C&quot;)" xfId="3626" xr:uid="{00000000-0005-0000-0000-0000280E0000}"/>
    <cellStyle name="_국수교수량_백마지하차도(BOX구간)_지하차도BOX(집계)" xfId="3627" xr:uid="{00000000-0005-0000-0000-0000290E0000}"/>
    <cellStyle name="_국수교수량_변경내역서(의왕수도정비)-07.12.10(보할수정)-김후호수정" xfId="3628" xr:uid="{00000000-0005-0000-0000-00002A0E0000}"/>
    <cellStyle name="_국수교수량_변경예정공정표(최종)" xfId="3629" xr:uid="{00000000-0005-0000-0000-00002B0E0000}"/>
    <cellStyle name="_국수교수량_상부수량(범물육교)" xfId="3630" xr:uid="{00000000-0005-0000-0000-00002C0E0000}"/>
    <cellStyle name="_국수교수량_설계예" xfId="3631" xr:uid="{00000000-0005-0000-0000-00002D0E0000}"/>
    <cellStyle name="_국수교수량_설계예_변경내역서(의왕수도정비)-07.12.10(보할수정)-김후호수정" xfId="3632" xr:uid="{00000000-0005-0000-0000-00002E0E0000}"/>
    <cellStyle name="_국수교수량_설계예_변경예정공정표(최종)" xfId="3633" xr:uid="{00000000-0005-0000-0000-00002F0E0000}"/>
    <cellStyle name="_국수교수량_슬래브수량(RAMP-E)" xfId="3634" xr:uid="{00000000-0005-0000-0000-0000300E0000}"/>
    <cellStyle name="_국수교수량_슬래브수량(범물br1)" xfId="3635" xr:uid="{00000000-0005-0000-0000-0000310E0000}"/>
    <cellStyle name="_국수교수량_슬래브수량(범물방향)추가" xfId="3636" xr:uid="{00000000-0005-0000-0000-0000320E0000}"/>
    <cellStyle name="_국수교수량_슬래브수량(범물방향-br123)" xfId="3637" xr:uid="{00000000-0005-0000-0000-0000330E0000}"/>
    <cellStyle name="_국수교수량_슬래브수량(상인방향)" xfId="3638" xr:uid="{00000000-0005-0000-0000-0000340E0000}"/>
    <cellStyle name="_국수교수량_암거" xfId="3639" xr:uid="{00000000-0005-0000-0000-0000350E0000}"/>
    <cellStyle name="_국수교수량_암거_측구" xfId="3640" xr:uid="{00000000-0005-0000-0000-0000360E0000}"/>
    <cellStyle name="_국수교수량_암거_측구_망상측구공" xfId="3641" xr:uid="{00000000-0005-0000-0000-0000370E0000}"/>
    <cellStyle name="_국수교수량_암거_측구_측구공(1+840~2+780)" xfId="3642" xr:uid="{00000000-0005-0000-0000-0000380E0000}"/>
    <cellStyle name="_국수교수량_암거01" xfId="3643" xr:uid="{00000000-0005-0000-0000-0000390E0000}"/>
    <cellStyle name="_국수교수량_암거01_측구" xfId="3644" xr:uid="{00000000-0005-0000-0000-00003A0E0000}"/>
    <cellStyle name="_국수교수량_암거01_측구_망상측구공" xfId="3645" xr:uid="{00000000-0005-0000-0000-00003B0E0000}"/>
    <cellStyle name="_국수교수량_암거01_측구_측구공(1+840~2+780)" xfId="3646" xr:uid="{00000000-0005-0000-0000-00003C0E0000}"/>
    <cellStyle name="_국수교수량_청담1교" xfId="3647" xr:uid="{00000000-0005-0000-0000-00003D0E0000}"/>
    <cellStyle name="_국수교수량_측구" xfId="3648" xr:uid="{00000000-0005-0000-0000-00003E0E0000}"/>
    <cellStyle name="_국수교수량_측구_망상측구공" xfId="3649" xr:uid="{00000000-0005-0000-0000-00003F0E0000}"/>
    <cellStyle name="_국수교수량_측구_측구공(1+840~2+780)" xfId="3650" xr:uid="{00000000-0005-0000-0000-0000400E0000}"/>
    <cellStyle name="_국수교수량_평사교총괄집계표" xfId="3651" xr:uid="{00000000-0005-0000-0000-0000410E0000}"/>
    <cellStyle name="_국수교수량_평사교총괄집계표_BOQ" xfId="3652" xr:uid="{00000000-0005-0000-0000-0000420E0000}"/>
    <cellStyle name="_국수교수량_평사교총괄집계표_구조물공수량집계" xfId="3653" xr:uid="{00000000-0005-0000-0000-0000430E0000}"/>
    <cellStyle name="_국수교수량_평사교총괄집계표_백마지하차도(BOX구간)" xfId="3654" xr:uid="{00000000-0005-0000-0000-0000440E0000}"/>
    <cellStyle name="_국수교수량_평사교총괄집계표_일산지하차도(BOX구간)" xfId="3655" xr:uid="{00000000-0005-0000-0000-0000450E0000}"/>
    <cellStyle name="_국수교수량_평사교총괄집계표_접속슬래브" xfId="3656" xr:uid="{00000000-0005-0000-0000-0000460E0000}"/>
    <cellStyle name="_국수교수량_평사교총괄집계표_지하차도BOX(TYPE&quot;C&quot;)" xfId="3657" xr:uid="{00000000-0005-0000-0000-0000470E0000}"/>
    <cellStyle name="_국수교수량_평사교총괄집계표_지하차도BOX(집계)" xfId="3658" xr:uid="{00000000-0005-0000-0000-0000480E0000}"/>
    <cellStyle name="_국수교수량_평촌교수량" xfId="3659" xr:uid="{00000000-0005-0000-0000-0000490E0000}"/>
    <cellStyle name="_국수교수량_평촌교수량_암거" xfId="3660" xr:uid="{00000000-0005-0000-0000-00004A0E0000}"/>
    <cellStyle name="_국수교수량_평촌교수량_암거_측구" xfId="3661" xr:uid="{00000000-0005-0000-0000-00004B0E0000}"/>
    <cellStyle name="_국수교수량_평촌교수량_암거_측구_망상측구공" xfId="3662" xr:uid="{00000000-0005-0000-0000-00004C0E0000}"/>
    <cellStyle name="_국수교수량_평촌교수량_암거_측구_측구공(1+840~2+780)" xfId="3663" xr:uid="{00000000-0005-0000-0000-00004D0E0000}"/>
    <cellStyle name="_국수교수량_평촌교수량_암거01" xfId="3664" xr:uid="{00000000-0005-0000-0000-00004E0E0000}"/>
    <cellStyle name="_국수교수량_평촌교수량_암거01_측구" xfId="3665" xr:uid="{00000000-0005-0000-0000-00004F0E0000}"/>
    <cellStyle name="_국수교수량_평촌교수량_암거01_측구_망상측구공" xfId="3666" xr:uid="{00000000-0005-0000-0000-0000500E0000}"/>
    <cellStyle name="_국수교수량_평촌교수량_암거01_측구_측구공(1+840~2+780)" xfId="3667" xr:uid="{00000000-0005-0000-0000-0000510E0000}"/>
    <cellStyle name="_국수교수량_평촌교수량_측구" xfId="3668" xr:uid="{00000000-0005-0000-0000-0000520E0000}"/>
    <cellStyle name="_국수교수량_평촌교수량_측구_망상측구공" xfId="3669" xr:uid="{00000000-0005-0000-0000-0000530E0000}"/>
    <cellStyle name="_국수교수량_평촌교수량_측구_측구공(1+840~2+780)" xfId="3670" xr:uid="{00000000-0005-0000-0000-0000540E0000}"/>
    <cellStyle name="_군도11호선" xfId="3671" xr:uid="{00000000-0005-0000-0000-0000550E0000}"/>
    <cellStyle name="_군산시_UIS설계서(0308)" xfId="3672" xr:uid="{00000000-0005-0000-0000-0000560E0000}"/>
    <cellStyle name="_군산해수담수화내역서(통합28)_발주최종" xfId="3673" xr:uid="{00000000-0005-0000-0000-0000570E0000}"/>
    <cellStyle name="_군포시 지하시설물통합정보시스템 구축사업 설계내역서_2.3" xfId="3674" xr:uid="{00000000-0005-0000-0000-0000580E0000}"/>
    <cellStyle name="_금강Ⅱ지구김제2-2공구토목공사(동도)" xfId="3675" xr:uid="{00000000-0005-0000-0000-0000590E0000}"/>
    <cellStyle name="_금산제수량(70m)" xfId="3676" xr:uid="{00000000-0005-0000-0000-00005A0E0000}"/>
    <cellStyle name="_금산제수량(70m)_토공(3지구)" xfId="3677" xr:uid="{00000000-0005-0000-0000-00005B0E0000}"/>
    <cellStyle name="_금산제수량(70m)_토공(3지구)_토공(4지구)" xfId="3678" xr:uid="{00000000-0005-0000-0000-00005C0E0000}"/>
    <cellStyle name="_금산제수량(70m)_토공(3지구)_토공(4지구)_토공(4지구)" xfId="3679" xr:uid="{00000000-0005-0000-0000-00005D0E0000}"/>
    <cellStyle name="_금산제수량(70m)_토공(4지구)" xfId="3680" xr:uid="{00000000-0005-0000-0000-00005E0E0000}"/>
    <cellStyle name="_금산제수량(70m)_토공(4지구)_토공(4지구)" xfId="3681" xr:uid="{00000000-0005-0000-0000-00005F0E0000}"/>
    <cellStyle name="_금산제수량(70m)_토공(4지구)_토공(4지구)_토공(3지구)" xfId="3682" xr:uid="{00000000-0005-0000-0000-0000600E0000}"/>
    <cellStyle name="_금산제수량(70m)_토공(4지구)_토공(4지구)_토공(3지구)_토공(4지구)" xfId="3683" xr:uid="{00000000-0005-0000-0000-0000610E0000}"/>
    <cellStyle name="_금산제수량(70m)_토공(4지구)_토공(4지구)_토공(3지구)_토공(4지구)_토공(4지구)" xfId="3684" xr:uid="{00000000-0005-0000-0000-0000620E0000}"/>
    <cellStyle name="_금산제수량(70m)_토공(4지구)_토공(4지구)_토공(4지구)" xfId="3685" xr:uid="{00000000-0005-0000-0000-0000630E0000}"/>
    <cellStyle name="_금산제수량(전체최종)" xfId="3686" xr:uid="{00000000-0005-0000-0000-0000640E0000}"/>
    <cellStyle name="_금산제수량(전체최종)_토공(3지구)" xfId="3687" xr:uid="{00000000-0005-0000-0000-0000650E0000}"/>
    <cellStyle name="_금산제수량(전체최종)_토공(3지구)_토공(4지구)" xfId="3688" xr:uid="{00000000-0005-0000-0000-0000660E0000}"/>
    <cellStyle name="_금산제수량(전체최종)_토공(3지구)_토공(4지구)_토공(4지구)" xfId="3689" xr:uid="{00000000-0005-0000-0000-0000670E0000}"/>
    <cellStyle name="_금산제수량(전체최종)_토공(4지구)" xfId="3690" xr:uid="{00000000-0005-0000-0000-0000680E0000}"/>
    <cellStyle name="_금산제수량(전체최종)_토공(4지구)_토공(4지구)" xfId="3691" xr:uid="{00000000-0005-0000-0000-0000690E0000}"/>
    <cellStyle name="_금산제수량(전체최종)_토공(4지구)_토공(4지구)_토공(3지구)" xfId="3692" xr:uid="{00000000-0005-0000-0000-00006A0E0000}"/>
    <cellStyle name="_금산제수량(전체최종)_토공(4지구)_토공(4지구)_토공(3지구)_토공(4지구)" xfId="3693" xr:uid="{00000000-0005-0000-0000-00006B0E0000}"/>
    <cellStyle name="_금산제수량(전체최종)_토공(4지구)_토공(4지구)_토공(3지구)_토공(4지구)_토공(4지구)" xfId="3694" xr:uid="{00000000-0005-0000-0000-00006C0E0000}"/>
    <cellStyle name="_금산제수량(전체최종)_토공(4지구)_토공(4지구)_토공(4지구)" xfId="3695" xr:uid="{00000000-0005-0000-0000-00006D0E0000}"/>
    <cellStyle name="_금산제수량산출서" xfId="3696" xr:uid="{00000000-0005-0000-0000-00006E0E0000}"/>
    <cellStyle name="_금산제수량산출서_토공(3지구)" xfId="3697" xr:uid="{00000000-0005-0000-0000-00006F0E0000}"/>
    <cellStyle name="_금산제수량산출서_토공(3지구)_토공(4지구)" xfId="3698" xr:uid="{00000000-0005-0000-0000-0000700E0000}"/>
    <cellStyle name="_금산제수량산출서_토공(3지구)_토공(4지구)_토공(4지구)" xfId="3699" xr:uid="{00000000-0005-0000-0000-0000710E0000}"/>
    <cellStyle name="_금산제수량산출서_토공(4지구)" xfId="3700" xr:uid="{00000000-0005-0000-0000-0000720E0000}"/>
    <cellStyle name="_금산제수량산출서_토공(4지구)_토공(4지구)" xfId="3701" xr:uid="{00000000-0005-0000-0000-0000730E0000}"/>
    <cellStyle name="_금산제수량산출서_토공(4지구)_토공(4지구)_토공(3지구)" xfId="3702" xr:uid="{00000000-0005-0000-0000-0000740E0000}"/>
    <cellStyle name="_금산제수량산출서_토공(4지구)_토공(4지구)_토공(3지구)_토공(4지구)" xfId="3703" xr:uid="{00000000-0005-0000-0000-0000750E0000}"/>
    <cellStyle name="_금산제수량산출서_토공(4지구)_토공(4지구)_토공(3지구)_토공(4지구)_토공(4지구)" xfId="3704" xr:uid="{00000000-0005-0000-0000-0000760E0000}"/>
    <cellStyle name="_금산제수량산출서_토공(4지구)_토공(4지구)_토공(4지구)" xfId="3705" xr:uid="{00000000-0005-0000-0000-0000770E0000}"/>
    <cellStyle name="_금천청소년수련관(토목林)" xfId="3706" xr:uid="{00000000-0005-0000-0000-0000780E0000}"/>
    <cellStyle name="_기계설계서-변경" xfId="3707" xr:uid="{00000000-0005-0000-0000-0000790E0000}"/>
    <cellStyle name="_기본 및 실시설계" xfId="3708" xr:uid="{00000000-0005-0000-0000-00007A0E0000}"/>
    <cellStyle name="_기본계획산출내역서(최종)" xfId="3709" xr:uid="{00000000-0005-0000-0000-00007B0E0000}"/>
    <cellStyle name="_기성검사원" xfId="3710" xr:uid="{00000000-0005-0000-0000-00007C0E0000}"/>
    <cellStyle name="_기성검사원_내역서" xfId="3711" xr:uid="{00000000-0005-0000-0000-00007D0E0000}"/>
    <cellStyle name="_기자재관급내역서" xfId="3712" xr:uid="{00000000-0005-0000-0000-00007E0E0000}"/>
    <cellStyle name="_기흥읍청사신축공사(조원)" xfId="3713" xr:uid="{00000000-0005-0000-0000-00007F0E0000}"/>
    <cellStyle name="_김제시 GIS 구축사업 설계내역서_시스템부문_4" xfId="3714" xr:uid="{00000000-0005-0000-0000-0000800E0000}"/>
    <cellStyle name="_김제시 도로와 지하시설물 공동구축사업 설계서_계약(1차년도)_1" xfId="3715" xr:uid="{00000000-0005-0000-0000-0000810E0000}"/>
    <cellStyle name="_김제시 도로와 지하시설물 공동구축사업 설계서_계약(총괄)" xfId="3716" xr:uid="{00000000-0005-0000-0000-0000820E0000}"/>
    <cellStyle name="_김제시_UIS설계서(0706)" xfId="3717" xr:uid="{00000000-0005-0000-0000-0000830E0000}"/>
    <cellStyle name="_김천시설계서(제출용)" xfId="3718" xr:uid="{00000000-0005-0000-0000-0000840E0000}"/>
    <cellStyle name="_김포GIS설계1차(최종본.01.05)" xfId="3719" xr:uid="{00000000-0005-0000-0000-0000850E0000}"/>
    <cellStyle name="_김포시 DB 설계서" xfId="3720" xr:uid="{00000000-0005-0000-0000-0000860E0000}"/>
    <cellStyle name="_김포시 DB 설계서_중앙항업" xfId="3721" xr:uid="{00000000-0005-0000-0000-0000870E0000}"/>
    <cellStyle name="_김포시 UIS 시스템부문 설계내역서_1.2" xfId="3722" xr:uid="{00000000-0005-0000-0000-0000880E0000}"/>
    <cellStyle name="_김포시 UIS-설계내역서" xfId="3723" xr:uid="{00000000-0005-0000-0000-0000890E0000}"/>
    <cellStyle name="_김해분성고(동성)" xfId="3724" xr:uid="{00000000-0005-0000-0000-00008A0E0000}"/>
    <cellStyle name="_김해시 도로및지하시설물도공동구축사업 설계내역서.2.8" xfId="3725" xr:uid="{00000000-0005-0000-0000-00008B0E0000}"/>
    <cellStyle name="_김해시_도로와지하시설물도공동구축사업 설계내역서.2.9" xfId="3726" xr:uid="{00000000-0005-0000-0000-00008C0E0000}"/>
    <cellStyle name="_김해시_도로와지하시설물도공동구축사업 설계내역서.2.9_02._서울시_위례신도시_차집관거_설계예산서(전체)_0217" xfId="3727" xr:uid="{00000000-0005-0000-0000-00008D0E0000}"/>
    <cellStyle name="_깨기수량_2-1공구" xfId="3728" xr:uid="{00000000-0005-0000-0000-00008E0E0000}"/>
    <cellStyle name="_깨기수량_2-1공구_2-1공구토공수량" xfId="3729" xr:uid="{00000000-0005-0000-0000-00008F0E0000}"/>
    <cellStyle name="_깨기수량_2-1공구_우보토공" xfId="3730" xr:uid="{00000000-0005-0000-0000-0000900E0000}"/>
    <cellStyle name="_깨기수량_2-2공구" xfId="3731" xr:uid="{00000000-0005-0000-0000-0000910E0000}"/>
    <cellStyle name="_남산인공폭포모터교체" xfId="3732" xr:uid="{00000000-0005-0000-0000-0000920E0000}"/>
    <cellStyle name="_남석덕곡배수설비7.21" xfId="3733" xr:uid="{00000000-0005-0000-0000-0000930E0000}"/>
    <cellStyle name="_남석분구연결관" xfId="3734" xr:uid="{00000000-0005-0000-0000-0000940E0000}"/>
    <cellStyle name="_남원시_UIS설계서(0624)" xfId="3735" xr:uid="{00000000-0005-0000-0000-0000950E0000}"/>
    <cellStyle name="_내역및수량(전면도로)1-11" xfId="3736" xr:uid="{00000000-0005-0000-0000-0000960E0000}"/>
    <cellStyle name="_내역및수량(전면도로)1-19" xfId="3737" xr:uid="{00000000-0005-0000-0000-0000970E0000}"/>
    <cellStyle name="_내역및수량산출서(실적)" xfId="3738" xr:uid="{00000000-0005-0000-0000-0000980E0000}"/>
    <cellStyle name="_내역및수량산출서(위례성길)-new" xfId="3739" xr:uid="{00000000-0005-0000-0000-0000990E0000}"/>
    <cellStyle name="_내역서" xfId="3740" xr:uid="{00000000-0005-0000-0000-00009A0E0000}"/>
    <cellStyle name="_내역서(개발계획단계-환지)" xfId="3741" xr:uid="{00000000-0005-0000-0000-00009B0E0000}"/>
    <cellStyle name="_내역서(개발실시)1227" xfId="3742" xr:uid="{00000000-0005-0000-0000-00009C0E0000}"/>
    <cellStyle name="_내역서(실시계획)수정" xfId="3743" xr:uid="{00000000-0005-0000-0000-00009D0E0000}"/>
    <cellStyle name="_내역서(실시계획단계)" xfId="3744" xr:uid="{00000000-0005-0000-0000-00009E0E0000}"/>
    <cellStyle name="_내역서(전기)" xfId="3745" xr:uid="{00000000-0005-0000-0000-00009F0E0000}"/>
    <cellStyle name="_내역서(전기)-0919" xfId="3746" xr:uid="{00000000-0005-0000-0000-0000A00E0000}"/>
    <cellStyle name="_내역서.김해산단타당성(김해시원본)" xfId="3747" xr:uid="{00000000-0005-0000-0000-0000A10E0000}"/>
    <cellStyle name="_내역서_문화의 거리 농로포장(김병국2차)" xfId="3748" xr:uid="{00000000-0005-0000-0000-0000A20E0000}"/>
    <cellStyle name="_내역서_문화의 거리 농로포장(김병국2차)_문화의 거리 농로포장(김병국2차)" xfId="3749" xr:uid="{00000000-0005-0000-0000-0000A30E0000}"/>
    <cellStyle name="_내역서_진천산수산업단지 진입도로 개설공사 사후환경영향조사용역(계약심사)" xfId="3750" xr:uid="{00000000-0005-0000-0000-0000A40E0000}"/>
    <cellStyle name="_내역서및설계서" xfId="3751" xr:uid="{00000000-0005-0000-0000-0000A50E0000}"/>
    <cellStyle name="_내역서적용수량" xfId="3752" xr:uid="{00000000-0005-0000-0000-0000A60E0000}"/>
    <cellStyle name="_내역서적용수량_96수량포장공" xfId="3753" xr:uid="{00000000-0005-0000-0000-0000A70E0000}"/>
    <cellStyle name="_내역서적용수량_96수량포장공_96수량포장공" xfId="3754" xr:uid="{00000000-0005-0000-0000-0000A80E0000}"/>
    <cellStyle name="_내역서적용수량_96수량포장공_96수량포장공_배수공" xfId="3755" xr:uid="{00000000-0005-0000-0000-0000A90E0000}"/>
    <cellStyle name="_내역서적용수량_96수량포장공_96수량포장공_배수공_1" xfId="3756" xr:uid="{00000000-0005-0000-0000-0000AA0E0000}"/>
    <cellStyle name="_내역서적용수량_96수량포장공_96수량포장공_배수공_1_총괄자재집계(대2-28)" xfId="3757" xr:uid="{00000000-0005-0000-0000-0000AB0E0000}"/>
    <cellStyle name="_내역서적용수량_96수량포장공_96수량포장공_배수공_배수공" xfId="3758" xr:uid="{00000000-0005-0000-0000-0000AC0E0000}"/>
    <cellStyle name="_내역서적용수량_96수량포장공_96수량포장공_배수공_배수공_총괄자재집계(대2-28)" xfId="3759" xr:uid="{00000000-0005-0000-0000-0000AD0E0000}"/>
    <cellStyle name="_내역서적용수량_96수량포장공_96수량포장공_배수공_총괄자재집계(대2-28)" xfId="3760" xr:uid="{00000000-0005-0000-0000-0000AE0E0000}"/>
    <cellStyle name="_내역서적용수량_96수량포장공_96수량포장공_배수공_포장공사" xfId="3761" xr:uid="{00000000-0005-0000-0000-0000AF0E0000}"/>
    <cellStyle name="_내역서적용수량_96수량포장공_96수량포장공_배수공_포장공사_총괄자재집계(대2-28)" xfId="3762" xr:uid="{00000000-0005-0000-0000-0000B00E0000}"/>
    <cellStyle name="_내역서적용수량_96수량포장공_96수량포장공_배수공_포장공사_포장공사" xfId="3763" xr:uid="{00000000-0005-0000-0000-0000B10E0000}"/>
    <cellStyle name="_내역서적용수량_96수량포장공_96수량포장공_배수공_포장공사_포장공사_총괄자재집계(대2-28)" xfId="3764" xr:uid="{00000000-0005-0000-0000-0000B20E0000}"/>
    <cellStyle name="_내역서적용수량_96수량포장공_96수량포장공_총괄자재집계(대2-28)" xfId="3765" xr:uid="{00000000-0005-0000-0000-0000B30E0000}"/>
    <cellStyle name="_내역서적용수량_96수량포장공_96수량포장공_포장공사" xfId="3766" xr:uid="{00000000-0005-0000-0000-0000B40E0000}"/>
    <cellStyle name="_내역서적용수량_96수량포장공_96수량포장공_포장공사_총괄자재집계(대2-28)" xfId="3767" xr:uid="{00000000-0005-0000-0000-0000B50E0000}"/>
    <cellStyle name="_내역서적용수량_96수량포장공_96수량포장공_포장공사_포장공사" xfId="3768" xr:uid="{00000000-0005-0000-0000-0000B60E0000}"/>
    <cellStyle name="_내역서적용수량_96수량포장공_96수량포장공_포장공사_포장공사_총괄자재집계(대2-28)" xfId="3769" xr:uid="{00000000-0005-0000-0000-0000B70E0000}"/>
    <cellStyle name="_내역서적용수량_96수량포장공_배수공" xfId="3770" xr:uid="{00000000-0005-0000-0000-0000B80E0000}"/>
    <cellStyle name="_내역서적용수량_96수량포장공_배수공_1" xfId="3771" xr:uid="{00000000-0005-0000-0000-0000B90E0000}"/>
    <cellStyle name="_내역서적용수량_96수량포장공_배수공_1_총괄자재집계(대2-28)" xfId="3772" xr:uid="{00000000-0005-0000-0000-0000BA0E0000}"/>
    <cellStyle name="_내역서적용수량_96수량포장공_배수공_배수공" xfId="3773" xr:uid="{00000000-0005-0000-0000-0000BB0E0000}"/>
    <cellStyle name="_내역서적용수량_96수량포장공_배수공_배수공_총괄자재집계(대2-28)" xfId="3774" xr:uid="{00000000-0005-0000-0000-0000BC0E0000}"/>
    <cellStyle name="_내역서적용수량_96수량포장공_배수공_총괄자재집계(대2-28)" xfId="3775" xr:uid="{00000000-0005-0000-0000-0000BD0E0000}"/>
    <cellStyle name="_내역서적용수량_96수량포장공_배수공_포장공사" xfId="3776" xr:uid="{00000000-0005-0000-0000-0000BE0E0000}"/>
    <cellStyle name="_내역서적용수량_96수량포장공_배수공_포장공사_총괄자재집계(대2-28)" xfId="3777" xr:uid="{00000000-0005-0000-0000-0000BF0E0000}"/>
    <cellStyle name="_내역서적용수량_96수량포장공_배수공_포장공사_포장공사" xfId="3778" xr:uid="{00000000-0005-0000-0000-0000C00E0000}"/>
    <cellStyle name="_내역서적용수량_96수량포장공_배수공_포장공사_포장공사_총괄자재집계(대2-28)" xfId="3779" xr:uid="{00000000-0005-0000-0000-0000C10E0000}"/>
    <cellStyle name="_내역서적용수량_96수량포장공_총괄자재집계(대2-28)" xfId="3780" xr:uid="{00000000-0005-0000-0000-0000C20E0000}"/>
    <cellStyle name="_내역서적용수량_96수량포장공_포장공사" xfId="3781" xr:uid="{00000000-0005-0000-0000-0000C30E0000}"/>
    <cellStyle name="_내역서적용수량_96수량포장공_포장공사_총괄자재집계(대2-28)" xfId="3782" xr:uid="{00000000-0005-0000-0000-0000C40E0000}"/>
    <cellStyle name="_내역서적용수량_96수량포장공_포장공사_포장공사" xfId="3783" xr:uid="{00000000-0005-0000-0000-0000C50E0000}"/>
    <cellStyle name="_내역서적용수량_96수량포장공_포장공사_포장공사_총괄자재집계(대2-28)" xfId="3784" xr:uid="{00000000-0005-0000-0000-0000C60E0000}"/>
    <cellStyle name="_내역서적용수량_배수공" xfId="3785" xr:uid="{00000000-0005-0000-0000-0000C70E0000}"/>
    <cellStyle name="_내역서적용수량_배수공_1" xfId="3786" xr:uid="{00000000-0005-0000-0000-0000C80E0000}"/>
    <cellStyle name="_내역서적용수량_배수공_1_총괄자재집계(대2-28)" xfId="3787" xr:uid="{00000000-0005-0000-0000-0000C90E0000}"/>
    <cellStyle name="_내역서적용수량_배수공_배수공" xfId="3788" xr:uid="{00000000-0005-0000-0000-0000CA0E0000}"/>
    <cellStyle name="_내역서적용수량_배수공_배수공_1" xfId="3789" xr:uid="{00000000-0005-0000-0000-0000CB0E0000}"/>
    <cellStyle name="_내역서적용수량_배수공_배수공_1_총괄자재집계(대2-28)" xfId="3790" xr:uid="{00000000-0005-0000-0000-0000CC0E0000}"/>
    <cellStyle name="_내역서적용수량_배수공_배수공_배수공" xfId="3791" xr:uid="{00000000-0005-0000-0000-0000CD0E0000}"/>
    <cellStyle name="_내역서적용수량_배수공_배수공_배수공_총괄자재집계(대2-28)" xfId="3792" xr:uid="{00000000-0005-0000-0000-0000CE0E0000}"/>
    <cellStyle name="_내역서적용수량_배수공_배수공_총괄자재집계(대2-28)" xfId="3793" xr:uid="{00000000-0005-0000-0000-0000CF0E0000}"/>
    <cellStyle name="_내역서적용수량_배수공_배수공_포장공사" xfId="3794" xr:uid="{00000000-0005-0000-0000-0000D00E0000}"/>
    <cellStyle name="_내역서적용수량_배수공_배수공_포장공사_총괄자재집계(대2-28)" xfId="3795" xr:uid="{00000000-0005-0000-0000-0000D10E0000}"/>
    <cellStyle name="_내역서적용수량_배수공_배수공_포장공사_포장공사" xfId="3796" xr:uid="{00000000-0005-0000-0000-0000D20E0000}"/>
    <cellStyle name="_내역서적용수량_배수공_배수공_포장공사_포장공사_총괄자재집계(대2-28)" xfId="3797" xr:uid="{00000000-0005-0000-0000-0000D30E0000}"/>
    <cellStyle name="_내역서적용수량_배수공_총괄자재집계(대2-28)" xfId="3798" xr:uid="{00000000-0005-0000-0000-0000D40E0000}"/>
    <cellStyle name="_내역서적용수량_배수공_포장공사" xfId="3799" xr:uid="{00000000-0005-0000-0000-0000D50E0000}"/>
    <cellStyle name="_내역서적용수량_배수공_포장공사_총괄자재집계(대2-28)" xfId="3800" xr:uid="{00000000-0005-0000-0000-0000D60E0000}"/>
    <cellStyle name="_내역서적용수량_배수공_포장공사_포장공사" xfId="3801" xr:uid="{00000000-0005-0000-0000-0000D70E0000}"/>
    <cellStyle name="_내역서적용수량_배수공_포장공사_포장공사_총괄자재집계(대2-28)" xfId="3802" xr:uid="{00000000-0005-0000-0000-0000D80E0000}"/>
    <cellStyle name="_내역서적용수량_배수공1" xfId="3803" xr:uid="{00000000-0005-0000-0000-0000D90E0000}"/>
    <cellStyle name="_내역서적용수량_배수공1_배수공" xfId="3804" xr:uid="{00000000-0005-0000-0000-0000DA0E0000}"/>
    <cellStyle name="_내역서적용수량_배수공1_배수공_총괄자재집계(대2-28)" xfId="3805" xr:uid="{00000000-0005-0000-0000-0000DB0E0000}"/>
    <cellStyle name="_내역서적용수량_배수공1_총괄자재집계(대2-28)" xfId="3806" xr:uid="{00000000-0005-0000-0000-0000DC0E0000}"/>
    <cellStyle name="_내역서적용수량_배수공1_포장공사" xfId="3807" xr:uid="{00000000-0005-0000-0000-0000DD0E0000}"/>
    <cellStyle name="_내역서적용수량_배수공1_포장공사_총괄자재집계(대2-28)" xfId="3808" xr:uid="{00000000-0005-0000-0000-0000DE0E0000}"/>
    <cellStyle name="_내역서적용수량_배수공1_포장공사_포장공사" xfId="3809" xr:uid="{00000000-0005-0000-0000-0000DF0E0000}"/>
    <cellStyle name="_내역서적용수량_배수공1_포장공사_포장공사_총괄자재집계(대2-28)" xfId="3810" xr:uid="{00000000-0005-0000-0000-0000E00E0000}"/>
    <cellStyle name="_내역서적용수량_총괄자재집계(대2-28)" xfId="3811" xr:uid="{00000000-0005-0000-0000-0000E10E0000}"/>
    <cellStyle name="_내역서적용수량_포장공사" xfId="3812" xr:uid="{00000000-0005-0000-0000-0000E20E0000}"/>
    <cellStyle name="_내역서적용수량_포장공사_총괄자재집계(대2-28)" xfId="3813" xr:uid="{00000000-0005-0000-0000-0000E30E0000}"/>
    <cellStyle name="_내역서적용수량_포장공사_포장공사" xfId="3814" xr:uid="{00000000-0005-0000-0000-0000E40E0000}"/>
    <cellStyle name="_내역서적용수량_포장공사_포장공사_총괄자재집계(대2-28)" xfId="3815" xr:uid="{00000000-0005-0000-0000-0000E50E0000}"/>
    <cellStyle name="_내역서-추후제외-타견적" xfId="3816" xr:uid="{00000000-0005-0000-0000-0000E60E0000}"/>
    <cellStyle name="_노천1지구1공구" xfId="3817" xr:uid="{00000000-0005-0000-0000-0000E70E0000}"/>
    <cellStyle name="_노천1지구2공구" xfId="3818" xr:uid="{00000000-0005-0000-0000-0000E80E0000}"/>
    <cellStyle name="_노천1지구2공구_2(변경)-토공" xfId="3819" xr:uid="{00000000-0005-0000-0000-0000E90E0000}"/>
    <cellStyle name="_노천1지구2공구_2(변경)-토공_20040423_동해2리 오지도로" xfId="3820" xr:uid="{00000000-0005-0000-0000-0000EA0E0000}"/>
    <cellStyle name="_노천1지구2공구_2(변경)-토공_20040523_반계3리 오지도로" xfId="3821" xr:uid="{00000000-0005-0000-0000-0000EB0E0000}"/>
    <cellStyle name="_노천1지구2공구_2(변경)-토공_20040530_양잠2리(사당골)" xfId="3822" xr:uid="{00000000-0005-0000-0000-0000EC0E0000}"/>
    <cellStyle name="_노천1지구2공구_2(변경)-토공_20040601_누동2리(장곰)" xfId="3823" xr:uid="{00000000-0005-0000-0000-0000ED0E0000}"/>
    <cellStyle name="_노천1지구2공구_2(변경)-토공_20040610_황촌1리 오지도로" xfId="3824" xr:uid="{00000000-0005-0000-0000-0000EE0E0000}"/>
    <cellStyle name="_노천1지구2공구_2(변경)-토공_20040614_고남4리(옷점)" xfId="3825" xr:uid="{00000000-0005-0000-0000-0000EF0E0000}"/>
    <cellStyle name="_노천1지구2공구_2(변경)-토공_20040618_고남5리 오지도로" xfId="3826" xr:uid="{00000000-0005-0000-0000-0000F00E0000}"/>
    <cellStyle name="_노천1지구2공구_2(변경)-토공_20040710_장곡2리 오지도로" xfId="3827" xr:uid="{00000000-0005-0000-0000-0000F10E0000}"/>
    <cellStyle name="_노천1지구2공구_2(변경)-토공_20040712_장곡1리 오지도로" xfId="3828" xr:uid="{00000000-0005-0000-0000-0000F20E0000}"/>
    <cellStyle name="_노천1지구2공구_2(변경)-토공_20040920_가의도하천정비" xfId="3829" xr:uid="{00000000-0005-0000-0000-0000F30E0000}"/>
    <cellStyle name="_노천1지구2공구_20040423_동해2리 오지도로" xfId="3830" xr:uid="{00000000-0005-0000-0000-0000F40E0000}"/>
    <cellStyle name="_노천1지구2공구_20040523_반계3리 오지도로" xfId="3831" xr:uid="{00000000-0005-0000-0000-0000F50E0000}"/>
    <cellStyle name="_노천1지구2공구_20040530_양잠2리(사당골)" xfId="3832" xr:uid="{00000000-0005-0000-0000-0000F60E0000}"/>
    <cellStyle name="_노천1지구2공구_20040601_누동2리(장곰)" xfId="3833" xr:uid="{00000000-0005-0000-0000-0000F70E0000}"/>
    <cellStyle name="_노천1지구2공구_20040610_황촌1리 오지도로" xfId="3834" xr:uid="{00000000-0005-0000-0000-0000F80E0000}"/>
    <cellStyle name="_노천1지구2공구_20040614_고남4리(옷점)" xfId="3835" xr:uid="{00000000-0005-0000-0000-0000F90E0000}"/>
    <cellStyle name="_노천1지구2공구_20040618_고남5리 오지도로" xfId="3836" xr:uid="{00000000-0005-0000-0000-0000FA0E0000}"/>
    <cellStyle name="_노천1지구2공구_20040710_장곡2리 오지도로" xfId="3837" xr:uid="{00000000-0005-0000-0000-0000FB0E0000}"/>
    <cellStyle name="_노천1지구2공구_20040712_장곡1리 오지도로" xfId="3838" xr:uid="{00000000-0005-0000-0000-0000FC0E0000}"/>
    <cellStyle name="_노천1지구2공구_20040920_가의도하천정비" xfId="3839" xr:uid="{00000000-0005-0000-0000-0000FD0E0000}"/>
    <cellStyle name="_노천1지구2공구_토공수량산출서-1공구-순성토(090425)" xfId="3840" xr:uid="{00000000-0005-0000-0000-0000FE0E0000}"/>
    <cellStyle name="_노천1지구2공구_토공수량산출서-1공구-순성토(090713)" xfId="3841" xr:uid="{00000000-0005-0000-0000-0000FF0E0000}"/>
    <cellStyle name="_노천1지구2공구_토공수량산출서-2공구-사토(080930)---자체발파암해결" xfId="3842" xr:uid="{00000000-0005-0000-0000-0000000F0000}"/>
    <cellStyle name="_노천1지구2공구_토공수량산출서-2공구-사토(090225)" xfId="3843" xr:uid="{00000000-0005-0000-0000-0000010F0000}"/>
    <cellStyle name="_노천1지구2공구_토공수량산출서-3공구-사토" xfId="3844" xr:uid="{00000000-0005-0000-0000-0000020F0000}"/>
    <cellStyle name="_노천3지구3공구" xfId="3845" xr:uid="{00000000-0005-0000-0000-0000030F0000}"/>
    <cellStyle name="_누동지구수량산출서(변경)1" xfId="3846" xr:uid="{00000000-0005-0000-0000-0000040F0000}"/>
    <cellStyle name="_다우SW(1023)" xfId="3847" xr:uid="{00000000-0005-0000-0000-0000050F0000}"/>
    <cellStyle name="_단계천(수량)" xfId="3848" xr:uid="{00000000-0005-0000-0000-0000060F0000}"/>
    <cellStyle name="_단계천(수량)_토공(3지구)" xfId="3849" xr:uid="{00000000-0005-0000-0000-0000070F0000}"/>
    <cellStyle name="_단계천(수량)_토공(3지구)_토공(4지구)" xfId="3850" xr:uid="{00000000-0005-0000-0000-0000080F0000}"/>
    <cellStyle name="_단계천(수량)_토공(3지구)_토공(4지구)_토공(4지구)" xfId="3851" xr:uid="{00000000-0005-0000-0000-0000090F0000}"/>
    <cellStyle name="_단계천(수량)_토공(4지구)" xfId="3852" xr:uid="{00000000-0005-0000-0000-00000A0F0000}"/>
    <cellStyle name="_단계천(수량)_토공(4지구)_토공(4지구)" xfId="3853" xr:uid="{00000000-0005-0000-0000-00000B0F0000}"/>
    <cellStyle name="_단계천(수량)_토공(4지구)_토공(4지구)_토공(3지구)" xfId="3854" xr:uid="{00000000-0005-0000-0000-00000C0F0000}"/>
    <cellStyle name="_단계천(수량)_토공(4지구)_토공(4지구)_토공(3지구)_토공(4지구)" xfId="3855" xr:uid="{00000000-0005-0000-0000-00000D0F0000}"/>
    <cellStyle name="_단계천(수량)_토공(4지구)_토공(4지구)_토공(3지구)_토공(4지구)_토공(4지구)" xfId="3856" xr:uid="{00000000-0005-0000-0000-00000E0F0000}"/>
    <cellStyle name="_단계천(수량)_토공(4지구)_토공(4지구)_토공(4지구)" xfId="3857" xr:uid="{00000000-0005-0000-0000-00000F0F0000}"/>
    <cellStyle name="_달성 3차산업단지(항측)_수정_2차(최종)" xfId="3858" xr:uid="{00000000-0005-0000-0000-0000100F0000}"/>
    <cellStyle name="_당동(청강)" xfId="3859" xr:uid="{00000000-0005-0000-0000-0000110F0000}"/>
    <cellStyle name="_대구논공초" xfId="3860" xr:uid="{00000000-0005-0000-0000-0000120F0000}"/>
    <cellStyle name="_대전서붕고하도급" xfId="3861" xr:uid="{00000000-0005-0000-0000-0000130F0000}"/>
    <cellStyle name="_덕례교교량공총괄" xfId="3862" xr:uid="{00000000-0005-0000-0000-0000140F0000}"/>
    <cellStyle name="_덕례교교량공총괄_(구조물)깨기" xfId="3863" xr:uid="{00000000-0005-0000-0000-0000150F0000}"/>
    <cellStyle name="_덕례교교량공총괄_(구조물)깨기_01 콘크리트(구조물)깨기" xfId="3864" xr:uid="{00000000-0005-0000-0000-0000160F0000}"/>
    <cellStyle name="_덕례교교량공총괄_0.토공수량(영동)" xfId="3865" xr:uid="{00000000-0005-0000-0000-0000170F0000}"/>
    <cellStyle name="_덕례교교량공총괄_0.토공수량(영동)_00.토공" xfId="3866" xr:uid="{00000000-0005-0000-0000-0000180F0000}"/>
    <cellStyle name="_덕례교교량공총괄_0.토공수량(영동)_Book1" xfId="3867" xr:uid="{00000000-0005-0000-0000-0000190F0000}"/>
    <cellStyle name="_덕례교교량공총괄_00.토공" xfId="3868" xr:uid="{00000000-0005-0000-0000-00001A0F0000}"/>
    <cellStyle name="_덕례교교량공총괄_00.토공_00.토공" xfId="3869" xr:uid="{00000000-0005-0000-0000-00001B0F0000}"/>
    <cellStyle name="_덕례교교량공총괄_00.토공_Book1" xfId="3870" xr:uid="{00000000-0005-0000-0000-00001C0F0000}"/>
    <cellStyle name="_덕례교교량공총괄_02.포장깨기(남해선)" xfId="3871" xr:uid="{00000000-0005-0000-0000-00001D0F0000}"/>
    <cellStyle name="_덕례교교량공총괄_02.포장깨기(남해선)_02.포장깨기(남해선)" xfId="3872" xr:uid="{00000000-0005-0000-0000-00001E0F0000}"/>
    <cellStyle name="_덕례교교량공총괄_깨기-취합" xfId="3873" xr:uid="{00000000-0005-0000-0000-00001F0F0000}"/>
    <cellStyle name="_덕례교교량공총괄_깨기-취합_(구조물)깨기" xfId="3874" xr:uid="{00000000-0005-0000-0000-0000200F0000}"/>
    <cellStyle name="_덕례교교량공총괄_깨기-취합_(구조물)깨기_01 콘크리트(구조물)깨기" xfId="3875" xr:uid="{00000000-0005-0000-0000-0000210F0000}"/>
    <cellStyle name="_덕례교교량공총괄_깨기-취합_02.포장깨기(남해선)" xfId="3876" xr:uid="{00000000-0005-0000-0000-0000220F0000}"/>
    <cellStyle name="_덕례교교량공총괄_깨기-취합_02.포장깨기(남해선)_02.포장깨기(남해선)" xfId="3877" xr:uid="{00000000-0005-0000-0000-0000230F0000}"/>
    <cellStyle name="_덕례교교량공총괄_깨기-취합_영동깨기최종(세준)" xfId="3878" xr:uid="{00000000-0005-0000-0000-0000240F0000}"/>
    <cellStyle name="_덕례교교량공총괄_깨기-취합_영동깨기최종(세준)_(구조물)깨기" xfId="3879" xr:uid="{00000000-0005-0000-0000-0000250F0000}"/>
    <cellStyle name="_덕례교교량공총괄_깨기-취합_영동깨기최종(세준)_(구조물)깨기_01 콘크리트(구조물)깨기" xfId="3880" xr:uid="{00000000-0005-0000-0000-0000260F0000}"/>
    <cellStyle name="_덕례교교량공총괄_깨기-취합_영동깨기최종(세준)_02.포장깨기(남해선)" xfId="3881" xr:uid="{00000000-0005-0000-0000-0000270F0000}"/>
    <cellStyle name="_덕례교교량공총괄_깨기-취합_영동깨기최종(세준)_02.포장깨기(남해선)_02.포장깨기(남해선)" xfId="3882" xr:uid="{00000000-0005-0000-0000-0000280F0000}"/>
    <cellStyle name="_덕례교교량공총괄_깨기-취합_영동깨기최종(세준)_포장깨기" xfId="3883" xr:uid="{00000000-0005-0000-0000-0000290F0000}"/>
    <cellStyle name="_덕례교교량공총괄_깨기-취합_포장깨기" xfId="3884" xr:uid="{00000000-0005-0000-0000-00002A0F0000}"/>
    <cellStyle name="_덕례교교량공총괄_마륜교교량공총괄" xfId="3885" xr:uid="{00000000-0005-0000-0000-00002B0F0000}"/>
    <cellStyle name="_덕례교교량공총괄_마륜교교량공총괄_(구조물)깨기" xfId="3886" xr:uid="{00000000-0005-0000-0000-00002C0F0000}"/>
    <cellStyle name="_덕례교교량공총괄_마륜교교량공총괄_(구조물)깨기_01 콘크리트(구조물)깨기" xfId="3887" xr:uid="{00000000-0005-0000-0000-00002D0F0000}"/>
    <cellStyle name="_덕례교교량공총괄_마륜교교량공총괄_0.토공수량(영동)" xfId="3888" xr:uid="{00000000-0005-0000-0000-00002E0F0000}"/>
    <cellStyle name="_덕례교교량공총괄_마륜교교량공총괄_0.토공수량(영동)_00.토공" xfId="3889" xr:uid="{00000000-0005-0000-0000-00002F0F0000}"/>
    <cellStyle name="_덕례교교량공총괄_마륜교교량공총괄_0.토공수량(영동)_Book1" xfId="3890" xr:uid="{00000000-0005-0000-0000-0000300F0000}"/>
    <cellStyle name="_덕례교교량공총괄_마륜교교량공총괄_00.토공" xfId="3891" xr:uid="{00000000-0005-0000-0000-0000310F0000}"/>
    <cellStyle name="_덕례교교량공총괄_마륜교교량공총괄_00.토공_00.토공" xfId="3892" xr:uid="{00000000-0005-0000-0000-0000320F0000}"/>
    <cellStyle name="_덕례교교량공총괄_마륜교교량공총괄_00.토공_Book1" xfId="3893" xr:uid="{00000000-0005-0000-0000-0000330F0000}"/>
    <cellStyle name="_덕례교교량공총괄_마륜교교량공총괄_02.포장깨기(남해선)" xfId="3894" xr:uid="{00000000-0005-0000-0000-0000340F0000}"/>
    <cellStyle name="_덕례교교량공총괄_마륜교교량공총괄_02.포장깨기(남해선)_02.포장깨기(남해선)" xfId="3895" xr:uid="{00000000-0005-0000-0000-0000350F0000}"/>
    <cellStyle name="_덕례교교량공총괄_마륜교교량공총괄_깨기-취합" xfId="3896" xr:uid="{00000000-0005-0000-0000-0000360F0000}"/>
    <cellStyle name="_덕례교교량공총괄_마륜교교량공총괄_깨기-취합_(구조물)깨기" xfId="3897" xr:uid="{00000000-0005-0000-0000-0000370F0000}"/>
    <cellStyle name="_덕례교교량공총괄_마륜교교량공총괄_깨기-취합_(구조물)깨기_01 콘크리트(구조물)깨기" xfId="3898" xr:uid="{00000000-0005-0000-0000-0000380F0000}"/>
    <cellStyle name="_덕례교교량공총괄_마륜교교량공총괄_깨기-취합_02.포장깨기(남해선)" xfId="3899" xr:uid="{00000000-0005-0000-0000-0000390F0000}"/>
    <cellStyle name="_덕례교교량공총괄_마륜교교량공총괄_깨기-취합_02.포장깨기(남해선)_02.포장깨기(남해선)" xfId="3900" xr:uid="{00000000-0005-0000-0000-00003A0F0000}"/>
    <cellStyle name="_덕례교교량공총괄_마륜교교량공총괄_깨기-취합_영동깨기최종(세준)" xfId="3901" xr:uid="{00000000-0005-0000-0000-00003B0F0000}"/>
    <cellStyle name="_덕례교교량공총괄_마륜교교량공총괄_깨기-취합_영동깨기최종(세준)_(구조물)깨기" xfId="3902" xr:uid="{00000000-0005-0000-0000-00003C0F0000}"/>
    <cellStyle name="_덕례교교량공총괄_마륜교교량공총괄_깨기-취합_영동깨기최종(세준)_(구조물)깨기_01 콘크리트(구조물)깨기" xfId="3903" xr:uid="{00000000-0005-0000-0000-00003D0F0000}"/>
    <cellStyle name="_덕례교교량공총괄_마륜교교량공총괄_깨기-취합_영동깨기최종(세준)_02.포장깨기(남해선)" xfId="3904" xr:uid="{00000000-0005-0000-0000-00003E0F0000}"/>
    <cellStyle name="_덕례교교량공총괄_마륜교교량공총괄_깨기-취합_영동깨기최종(세준)_02.포장깨기(남해선)_02.포장깨기(남해선)" xfId="3905" xr:uid="{00000000-0005-0000-0000-00003F0F0000}"/>
    <cellStyle name="_덕례교교량공총괄_마륜교교량공총괄_깨기-취합_영동깨기최종(세준)_포장깨기" xfId="3906" xr:uid="{00000000-0005-0000-0000-0000400F0000}"/>
    <cellStyle name="_덕례교교량공총괄_마륜교교량공총괄_깨기-취합_포장깨기" xfId="3907" xr:uid="{00000000-0005-0000-0000-0000410F0000}"/>
    <cellStyle name="_덕례교교량공총괄_마륜교교량공총괄_포장깨기" xfId="3908" xr:uid="{00000000-0005-0000-0000-0000420F0000}"/>
    <cellStyle name="_덕례교교량공총괄_순천JCT1교교량공총괄" xfId="3909" xr:uid="{00000000-0005-0000-0000-0000430F0000}"/>
    <cellStyle name="_덕례교교량공총괄_순천JCT1교교량공총괄_(구조물)깨기" xfId="3910" xr:uid="{00000000-0005-0000-0000-0000440F0000}"/>
    <cellStyle name="_덕례교교량공총괄_순천JCT1교교량공총괄_(구조물)깨기_01 콘크리트(구조물)깨기" xfId="3911" xr:uid="{00000000-0005-0000-0000-0000450F0000}"/>
    <cellStyle name="_덕례교교량공총괄_순천JCT1교교량공총괄_0.토공수량(영동)" xfId="3912" xr:uid="{00000000-0005-0000-0000-0000460F0000}"/>
    <cellStyle name="_덕례교교량공총괄_순천JCT1교교량공총괄_0.토공수량(영동)_00.토공" xfId="3913" xr:uid="{00000000-0005-0000-0000-0000470F0000}"/>
    <cellStyle name="_덕례교교량공총괄_순천JCT1교교량공총괄_0.토공수량(영동)_Book1" xfId="3914" xr:uid="{00000000-0005-0000-0000-0000480F0000}"/>
    <cellStyle name="_덕례교교량공총괄_순천JCT1교교량공총괄_00.토공" xfId="3915" xr:uid="{00000000-0005-0000-0000-0000490F0000}"/>
    <cellStyle name="_덕례교교량공총괄_순천JCT1교교량공총괄_00.토공_00.토공" xfId="3916" xr:uid="{00000000-0005-0000-0000-00004A0F0000}"/>
    <cellStyle name="_덕례교교량공총괄_순천JCT1교교량공총괄_00.토공_Book1" xfId="3917" xr:uid="{00000000-0005-0000-0000-00004B0F0000}"/>
    <cellStyle name="_덕례교교량공총괄_순천JCT1교교량공총괄_02.포장깨기(남해선)" xfId="3918" xr:uid="{00000000-0005-0000-0000-00004C0F0000}"/>
    <cellStyle name="_덕례교교량공총괄_순천JCT1교교량공총괄_02.포장깨기(남해선)_02.포장깨기(남해선)" xfId="3919" xr:uid="{00000000-0005-0000-0000-00004D0F0000}"/>
    <cellStyle name="_덕례교교량공총괄_순천JCT1교교량공총괄_깨기-취합" xfId="3920" xr:uid="{00000000-0005-0000-0000-00004E0F0000}"/>
    <cellStyle name="_덕례교교량공총괄_순천JCT1교교량공총괄_깨기-취합_(구조물)깨기" xfId="3921" xr:uid="{00000000-0005-0000-0000-00004F0F0000}"/>
    <cellStyle name="_덕례교교량공총괄_순천JCT1교교량공총괄_깨기-취합_(구조물)깨기_01 콘크리트(구조물)깨기" xfId="3922" xr:uid="{00000000-0005-0000-0000-0000500F0000}"/>
    <cellStyle name="_덕례교교량공총괄_순천JCT1교교량공총괄_깨기-취합_02.포장깨기(남해선)" xfId="3923" xr:uid="{00000000-0005-0000-0000-0000510F0000}"/>
    <cellStyle name="_덕례교교량공총괄_순천JCT1교교량공총괄_깨기-취합_02.포장깨기(남해선)_02.포장깨기(남해선)" xfId="3924" xr:uid="{00000000-0005-0000-0000-0000520F0000}"/>
    <cellStyle name="_덕례교교량공총괄_순천JCT1교교량공총괄_깨기-취합_영동깨기최종(세준)" xfId="3925" xr:uid="{00000000-0005-0000-0000-0000530F0000}"/>
    <cellStyle name="_덕례교교량공총괄_순천JCT1교교량공총괄_깨기-취합_영동깨기최종(세준)_(구조물)깨기" xfId="3926" xr:uid="{00000000-0005-0000-0000-0000540F0000}"/>
    <cellStyle name="_덕례교교량공총괄_순천JCT1교교량공총괄_깨기-취합_영동깨기최종(세준)_(구조물)깨기_01 콘크리트(구조물)깨기" xfId="3927" xr:uid="{00000000-0005-0000-0000-0000550F0000}"/>
    <cellStyle name="_덕례교교량공총괄_순천JCT1교교량공총괄_깨기-취합_영동깨기최종(세준)_02.포장깨기(남해선)" xfId="3928" xr:uid="{00000000-0005-0000-0000-0000560F0000}"/>
    <cellStyle name="_덕례교교량공총괄_순천JCT1교교량공총괄_깨기-취합_영동깨기최종(세준)_02.포장깨기(남해선)_02.포장깨기(남해선)" xfId="3929" xr:uid="{00000000-0005-0000-0000-0000570F0000}"/>
    <cellStyle name="_덕례교교량공총괄_순천JCT1교교량공총괄_깨기-취합_영동깨기최종(세준)_포장깨기" xfId="3930" xr:uid="{00000000-0005-0000-0000-0000580F0000}"/>
    <cellStyle name="_덕례교교량공총괄_순천JCT1교교량공총괄_깨기-취합_포장깨기" xfId="3931" xr:uid="{00000000-0005-0000-0000-0000590F0000}"/>
    <cellStyle name="_덕례교교량공총괄_순천JCT1교교량공총괄_포장깨기" xfId="3932" xr:uid="{00000000-0005-0000-0000-00005A0F0000}"/>
    <cellStyle name="_덕례교교량공총괄_순천JCT2교교량공총괄" xfId="3933" xr:uid="{00000000-0005-0000-0000-00005B0F0000}"/>
    <cellStyle name="_덕례교교량공총괄_순천JCT2교교량공총괄_(구조물)깨기" xfId="3934" xr:uid="{00000000-0005-0000-0000-00005C0F0000}"/>
    <cellStyle name="_덕례교교량공총괄_순천JCT2교교량공총괄_(구조물)깨기_01 콘크리트(구조물)깨기" xfId="3935" xr:uid="{00000000-0005-0000-0000-00005D0F0000}"/>
    <cellStyle name="_덕례교교량공총괄_순천JCT2교교량공총괄_0.토공수량(영동)" xfId="3936" xr:uid="{00000000-0005-0000-0000-00005E0F0000}"/>
    <cellStyle name="_덕례교교량공총괄_순천JCT2교교량공총괄_0.토공수량(영동)_00.토공" xfId="3937" xr:uid="{00000000-0005-0000-0000-00005F0F0000}"/>
    <cellStyle name="_덕례교교량공총괄_순천JCT2교교량공총괄_0.토공수량(영동)_Book1" xfId="3938" xr:uid="{00000000-0005-0000-0000-0000600F0000}"/>
    <cellStyle name="_덕례교교량공총괄_순천JCT2교교량공총괄_00.토공" xfId="3939" xr:uid="{00000000-0005-0000-0000-0000610F0000}"/>
    <cellStyle name="_덕례교교량공총괄_순천JCT2교교량공총괄_00.토공_00.토공" xfId="3940" xr:uid="{00000000-0005-0000-0000-0000620F0000}"/>
    <cellStyle name="_덕례교교량공총괄_순천JCT2교교량공총괄_00.토공_Book1" xfId="3941" xr:uid="{00000000-0005-0000-0000-0000630F0000}"/>
    <cellStyle name="_덕례교교량공총괄_순천JCT2교교량공총괄_02.포장깨기(남해선)" xfId="3942" xr:uid="{00000000-0005-0000-0000-0000640F0000}"/>
    <cellStyle name="_덕례교교량공총괄_순천JCT2교교량공총괄_02.포장깨기(남해선)_02.포장깨기(남해선)" xfId="3943" xr:uid="{00000000-0005-0000-0000-0000650F0000}"/>
    <cellStyle name="_덕례교교량공총괄_순천JCT2교교량공총괄_깨기-취합" xfId="3944" xr:uid="{00000000-0005-0000-0000-0000660F0000}"/>
    <cellStyle name="_덕례교교량공총괄_순천JCT2교교량공총괄_깨기-취합_(구조물)깨기" xfId="3945" xr:uid="{00000000-0005-0000-0000-0000670F0000}"/>
    <cellStyle name="_덕례교교량공총괄_순천JCT2교교량공총괄_깨기-취합_(구조물)깨기_01 콘크리트(구조물)깨기" xfId="3946" xr:uid="{00000000-0005-0000-0000-0000680F0000}"/>
    <cellStyle name="_덕례교교량공총괄_순천JCT2교교량공총괄_깨기-취합_02.포장깨기(남해선)" xfId="3947" xr:uid="{00000000-0005-0000-0000-0000690F0000}"/>
    <cellStyle name="_덕례교교량공총괄_순천JCT2교교량공총괄_깨기-취합_02.포장깨기(남해선)_02.포장깨기(남해선)" xfId="3948" xr:uid="{00000000-0005-0000-0000-00006A0F0000}"/>
    <cellStyle name="_덕례교교량공총괄_순천JCT2교교량공총괄_깨기-취합_영동깨기최종(세준)" xfId="3949" xr:uid="{00000000-0005-0000-0000-00006B0F0000}"/>
    <cellStyle name="_덕례교교량공총괄_순천JCT2교교량공총괄_깨기-취합_영동깨기최종(세준)_(구조물)깨기" xfId="3950" xr:uid="{00000000-0005-0000-0000-00006C0F0000}"/>
    <cellStyle name="_덕례교교량공총괄_순천JCT2교교량공총괄_깨기-취합_영동깨기최종(세준)_(구조물)깨기_01 콘크리트(구조물)깨기" xfId="3951" xr:uid="{00000000-0005-0000-0000-00006D0F0000}"/>
    <cellStyle name="_덕례교교량공총괄_순천JCT2교교량공총괄_깨기-취합_영동깨기최종(세준)_02.포장깨기(남해선)" xfId="3952" xr:uid="{00000000-0005-0000-0000-00006E0F0000}"/>
    <cellStyle name="_덕례교교량공총괄_순천JCT2교교량공총괄_깨기-취합_영동깨기최종(세준)_02.포장깨기(남해선)_02.포장깨기(남해선)" xfId="3953" xr:uid="{00000000-0005-0000-0000-00006F0F0000}"/>
    <cellStyle name="_덕례교교량공총괄_순천JCT2교교량공총괄_깨기-취합_영동깨기최종(세준)_포장깨기" xfId="3954" xr:uid="{00000000-0005-0000-0000-0000700F0000}"/>
    <cellStyle name="_덕례교교량공총괄_순천JCT2교교량공총괄_깨기-취합_포장깨기" xfId="3955" xr:uid="{00000000-0005-0000-0000-0000710F0000}"/>
    <cellStyle name="_덕례교교량공총괄_순천JCT2교교량공총괄_포장깨기" xfId="3956" xr:uid="{00000000-0005-0000-0000-0000720F0000}"/>
    <cellStyle name="_덕례교교량공총괄_순천JCT3교교량공총괄" xfId="3957" xr:uid="{00000000-0005-0000-0000-0000730F0000}"/>
    <cellStyle name="_덕례교교량공총괄_순천JCT3교교량공총괄_(구조물)깨기" xfId="3958" xr:uid="{00000000-0005-0000-0000-0000740F0000}"/>
    <cellStyle name="_덕례교교량공총괄_순천JCT3교교량공총괄_(구조물)깨기_01 콘크리트(구조물)깨기" xfId="3959" xr:uid="{00000000-0005-0000-0000-0000750F0000}"/>
    <cellStyle name="_덕례교교량공총괄_순천JCT3교교량공총괄_0.토공수량(영동)" xfId="3960" xr:uid="{00000000-0005-0000-0000-0000760F0000}"/>
    <cellStyle name="_덕례교교량공총괄_순천JCT3교교량공총괄_0.토공수량(영동)_00.토공" xfId="3961" xr:uid="{00000000-0005-0000-0000-0000770F0000}"/>
    <cellStyle name="_덕례교교량공총괄_순천JCT3교교량공총괄_0.토공수량(영동)_Book1" xfId="3962" xr:uid="{00000000-0005-0000-0000-0000780F0000}"/>
    <cellStyle name="_덕례교교량공총괄_순천JCT3교교량공총괄_00.토공" xfId="3963" xr:uid="{00000000-0005-0000-0000-0000790F0000}"/>
    <cellStyle name="_덕례교교량공총괄_순천JCT3교교량공총괄_00.토공_00.토공" xfId="3964" xr:uid="{00000000-0005-0000-0000-00007A0F0000}"/>
    <cellStyle name="_덕례교교량공총괄_순천JCT3교교량공총괄_00.토공_Book1" xfId="3965" xr:uid="{00000000-0005-0000-0000-00007B0F0000}"/>
    <cellStyle name="_덕례교교량공총괄_순천JCT3교교량공총괄_02.포장깨기(남해선)" xfId="3966" xr:uid="{00000000-0005-0000-0000-00007C0F0000}"/>
    <cellStyle name="_덕례교교량공총괄_순천JCT3교교량공총괄_02.포장깨기(남해선)_02.포장깨기(남해선)" xfId="3967" xr:uid="{00000000-0005-0000-0000-00007D0F0000}"/>
    <cellStyle name="_덕례교교량공총괄_순천JCT3교교량공총괄_깨기-취합" xfId="3968" xr:uid="{00000000-0005-0000-0000-00007E0F0000}"/>
    <cellStyle name="_덕례교교량공총괄_순천JCT3교교량공총괄_깨기-취합_(구조물)깨기" xfId="3969" xr:uid="{00000000-0005-0000-0000-00007F0F0000}"/>
    <cellStyle name="_덕례교교량공총괄_순천JCT3교교량공총괄_깨기-취합_(구조물)깨기_01 콘크리트(구조물)깨기" xfId="3970" xr:uid="{00000000-0005-0000-0000-0000800F0000}"/>
    <cellStyle name="_덕례교교량공총괄_순천JCT3교교량공총괄_깨기-취합_02.포장깨기(남해선)" xfId="3971" xr:uid="{00000000-0005-0000-0000-0000810F0000}"/>
    <cellStyle name="_덕례교교량공총괄_순천JCT3교교량공총괄_깨기-취합_02.포장깨기(남해선)_02.포장깨기(남해선)" xfId="3972" xr:uid="{00000000-0005-0000-0000-0000820F0000}"/>
    <cellStyle name="_덕례교교량공총괄_순천JCT3교교량공총괄_깨기-취합_영동깨기최종(세준)" xfId="3973" xr:uid="{00000000-0005-0000-0000-0000830F0000}"/>
    <cellStyle name="_덕례교교량공총괄_순천JCT3교교량공총괄_깨기-취합_영동깨기최종(세준)_(구조물)깨기" xfId="3974" xr:uid="{00000000-0005-0000-0000-0000840F0000}"/>
    <cellStyle name="_덕례교교량공총괄_순천JCT3교교량공총괄_깨기-취합_영동깨기최종(세준)_(구조물)깨기_01 콘크리트(구조물)깨기" xfId="3975" xr:uid="{00000000-0005-0000-0000-0000850F0000}"/>
    <cellStyle name="_덕례교교량공총괄_순천JCT3교교량공총괄_깨기-취합_영동깨기최종(세준)_02.포장깨기(남해선)" xfId="3976" xr:uid="{00000000-0005-0000-0000-0000860F0000}"/>
    <cellStyle name="_덕례교교량공총괄_순천JCT3교교량공총괄_깨기-취합_영동깨기최종(세준)_02.포장깨기(남해선)_02.포장깨기(남해선)" xfId="3977" xr:uid="{00000000-0005-0000-0000-0000870F0000}"/>
    <cellStyle name="_덕례교교량공총괄_순천JCT3교교량공총괄_깨기-취합_영동깨기최종(세준)_포장깨기" xfId="3978" xr:uid="{00000000-0005-0000-0000-0000880F0000}"/>
    <cellStyle name="_덕례교교량공총괄_순천JCT3교교량공총괄_깨기-취합_포장깨기" xfId="3979" xr:uid="{00000000-0005-0000-0000-0000890F0000}"/>
    <cellStyle name="_덕례교교량공총괄_순천JCT3교교량공총괄_포장깨기" xfId="3980" xr:uid="{00000000-0005-0000-0000-00008A0F0000}"/>
    <cellStyle name="_덕례교교량공총괄_포장깨기" xfId="3981" xr:uid="{00000000-0005-0000-0000-00008B0F0000}"/>
    <cellStyle name="_데이터변환 설계품" xfId="3982" xr:uid="{00000000-0005-0000-0000-00008C0F0000}"/>
    <cellStyle name="_도곡1교 교대 수량" xfId="3983" xr:uid="{00000000-0005-0000-0000-00008D0F0000}"/>
    <cellStyle name="_도곡1교 교대 수량_2(변경)-토공" xfId="3984" xr:uid="{00000000-0005-0000-0000-00008E0F0000}"/>
    <cellStyle name="_도곡1교 교대 수량_2(변경)-토공_20040423_동해2리 오지도로" xfId="3985" xr:uid="{00000000-0005-0000-0000-00008F0F0000}"/>
    <cellStyle name="_도곡1교 교대 수량_2(변경)-토공_20040523_반계3리 오지도로" xfId="3986" xr:uid="{00000000-0005-0000-0000-0000900F0000}"/>
    <cellStyle name="_도곡1교 교대 수량_2(변경)-토공_20040530_양잠2리(사당골)" xfId="3987" xr:uid="{00000000-0005-0000-0000-0000910F0000}"/>
    <cellStyle name="_도곡1교 교대 수량_2(변경)-토공_20040601_누동2리(장곰)" xfId="3988" xr:uid="{00000000-0005-0000-0000-0000920F0000}"/>
    <cellStyle name="_도곡1교 교대 수량_2(변경)-토공_20040610_황촌1리 오지도로" xfId="3989" xr:uid="{00000000-0005-0000-0000-0000930F0000}"/>
    <cellStyle name="_도곡1교 교대 수량_2(변경)-토공_20040614_고남4리(옷점)" xfId="3990" xr:uid="{00000000-0005-0000-0000-0000940F0000}"/>
    <cellStyle name="_도곡1교 교대 수량_2(변경)-토공_20040618_고남5리 오지도로" xfId="3991" xr:uid="{00000000-0005-0000-0000-0000950F0000}"/>
    <cellStyle name="_도곡1교 교대 수량_2(변경)-토공_20040710_장곡2리 오지도로" xfId="3992" xr:uid="{00000000-0005-0000-0000-0000960F0000}"/>
    <cellStyle name="_도곡1교 교대 수량_2(변경)-토공_20040712_장곡1리 오지도로" xfId="3993" xr:uid="{00000000-0005-0000-0000-0000970F0000}"/>
    <cellStyle name="_도곡1교 교대 수량_2(변경)-토공_20040920_가의도하천정비" xfId="3994" xr:uid="{00000000-0005-0000-0000-0000980F0000}"/>
    <cellStyle name="_도곡1교 교대 수량_20031216_고남5리 마을안길 포장" xfId="3995" xr:uid="{00000000-0005-0000-0000-0000990F0000}"/>
    <cellStyle name="_도곡1교 교대 수량_20040423_동해2리 오지도로" xfId="3996" xr:uid="{00000000-0005-0000-0000-00009A0F0000}"/>
    <cellStyle name="_도곡1교 교대 수량_20040523_반계3리 오지도로" xfId="3997" xr:uid="{00000000-0005-0000-0000-00009B0F0000}"/>
    <cellStyle name="_도곡1교 교대 수량_20040530_양잠2리(사당골)" xfId="3998" xr:uid="{00000000-0005-0000-0000-00009C0F0000}"/>
    <cellStyle name="_도곡1교 교대 수량_20040601_누동2리(장곰)" xfId="3999" xr:uid="{00000000-0005-0000-0000-00009D0F0000}"/>
    <cellStyle name="_도곡1교 교대 수량_20040610_황촌1리 오지도로" xfId="4000" xr:uid="{00000000-0005-0000-0000-00009E0F0000}"/>
    <cellStyle name="_도곡1교 교대 수량_20040614_고남4리(옷점)" xfId="4001" xr:uid="{00000000-0005-0000-0000-00009F0F0000}"/>
    <cellStyle name="_도곡1교 교대 수량_20040618_고남5리 오지도로" xfId="4002" xr:uid="{00000000-0005-0000-0000-0000A00F0000}"/>
    <cellStyle name="_도곡1교 교대 수량_20040710_장곡2리 오지도로" xfId="4003" xr:uid="{00000000-0005-0000-0000-0000A10F0000}"/>
    <cellStyle name="_도곡1교 교대 수량_20040712_장곡1리 오지도로" xfId="4004" xr:uid="{00000000-0005-0000-0000-0000A20F0000}"/>
    <cellStyle name="_도곡1교 교대 수량_20040920_가의도하천정비" xfId="4005" xr:uid="{00000000-0005-0000-0000-0000A30F0000}"/>
    <cellStyle name="_도곡1교 교대 수량_2-1공구토공수량" xfId="4006" xr:uid="{00000000-0005-0000-0000-0000A40F0000}"/>
    <cellStyle name="_도곡1교 교대 수량_2-1공구토공수량_2-1공구토공수량" xfId="4007" xr:uid="{00000000-0005-0000-0000-0000A50F0000}"/>
    <cellStyle name="_도곡1교 교대 수량_2-1공구토공수량_우보토공" xfId="4008" xr:uid="{00000000-0005-0000-0000-0000A60F0000}"/>
    <cellStyle name="_도곡1교 교대 수량_2-2공구토공수량" xfId="4009" xr:uid="{00000000-0005-0000-0000-0000A70F0000}"/>
    <cellStyle name="_도곡1교 교대 수량_2-2공구토공수량_2-1공구토공수량" xfId="4010" xr:uid="{00000000-0005-0000-0000-0000A80F0000}"/>
    <cellStyle name="_도곡1교 교대 수량_2-2공구토공수량_우보토공" xfId="4011" xr:uid="{00000000-0005-0000-0000-0000A90F0000}"/>
    <cellStyle name="_도곡1교 교대 수량_RAMP-E교-최종000" xfId="4012" xr:uid="{00000000-0005-0000-0000-0000AA0F0000}"/>
    <cellStyle name="_도곡1교 교대 수량_RAMP-E교-최종000_20020914_장곡1-4리 오지도로포장공사_2 변경설계서" xfId="4013" xr:uid="{00000000-0005-0000-0000-0000AB0F0000}"/>
    <cellStyle name="_도곡1교 교대 수량_RAMP-E교-최종000_경지정리 지구내 배수로 준설공사" xfId="4014" xr:uid="{00000000-0005-0000-0000-0000AC0F0000}"/>
    <cellStyle name="_도곡1교 교대 수량_RAMP-E교-최종000_시방서" xfId="4015" xr:uid="{00000000-0005-0000-0000-0000AD0F0000}"/>
    <cellStyle name="_도곡1교 교대 수량_RAMP-E교-최종000_파도 - 모항선 횡배수관 확장" xfId="4016" xr:uid="{00000000-0005-0000-0000-0000AE0F0000}"/>
    <cellStyle name="_도곡1교 교대 수량_RAMP-E교-최종000_파도 - 모항선 횡배수관 확장_20020914_장곡1-4리 오지도로포장공사_2 변경설계서" xfId="4017" xr:uid="{00000000-0005-0000-0000-0000AF0F0000}"/>
    <cellStyle name="_도곡1교 교대 수량_RAMP-E교-최종000_파도 - 모항선 횡배수관 확장_경지정리 지구내 배수로 준설공사" xfId="4018" xr:uid="{00000000-0005-0000-0000-0000B00F0000}"/>
    <cellStyle name="_도곡1교 교대 수량_RAMP-E교-최종000_파도 - 모항선 횡배수관 확장_시방서" xfId="4019" xr:uid="{00000000-0005-0000-0000-0000B10F0000}"/>
    <cellStyle name="_도곡1교 교대 수량_경지정리 지구내 배수로 준설공사" xfId="4020" xr:uid="{00000000-0005-0000-0000-0000B20F0000}"/>
    <cellStyle name="_도곡1교 교대 수량_구조물깨기(남일보은2-1공구) " xfId="4021" xr:uid="{00000000-0005-0000-0000-0000B30F0000}"/>
    <cellStyle name="_도곡1교 교대 수량_구조물깨기(남일보은2-1공구) _2-1공구토공수량" xfId="4022" xr:uid="{00000000-0005-0000-0000-0000B40F0000}"/>
    <cellStyle name="_도곡1교 교대 수량_구조물깨기(남일보은2-1공구) _우보토공" xfId="4023" xr:uid="{00000000-0005-0000-0000-0000B50F0000}"/>
    <cellStyle name="_도곡1교 교대 수량_깨기수량_2-1공구" xfId="4024" xr:uid="{00000000-0005-0000-0000-0000B60F0000}"/>
    <cellStyle name="_도곡1교 교대 수량_깨기수량_2-1공구_2-1공구토공수량" xfId="4025" xr:uid="{00000000-0005-0000-0000-0000B70F0000}"/>
    <cellStyle name="_도곡1교 교대 수량_깨기수량_2-1공구_우보토공" xfId="4026" xr:uid="{00000000-0005-0000-0000-0000B80F0000}"/>
    <cellStyle name="_도곡1교 교대 수량_깨기수량_2-2공구" xfId="4027" xr:uid="{00000000-0005-0000-0000-0000B90F0000}"/>
    <cellStyle name="_도곡1교 교대 수량_시방서" xfId="4028" xr:uid="{00000000-0005-0000-0000-0000BA0F0000}"/>
    <cellStyle name="_도곡1교 교대 수량_토공수량산출서-1공구-순성토(090425)" xfId="4029" xr:uid="{00000000-0005-0000-0000-0000BB0F0000}"/>
    <cellStyle name="_도곡1교 교대 수량_토공수량산출서-1공구-순성토(090713)" xfId="4030" xr:uid="{00000000-0005-0000-0000-0000BC0F0000}"/>
    <cellStyle name="_도곡1교 교대 수량_토공수량산출서-2공구-사토(080930)---자체발파암해결" xfId="4031" xr:uid="{00000000-0005-0000-0000-0000BD0F0000}"/>
    <cellStyle name="_도곡1교 교대 수량_토공수량산출서-2공구-사토(090225)" xfId="4032" xr:uid="{00000000-0005-0000-0000-0000BE0F0000}"/>
    <cellStyle name="_도곡1교 교대 수량_토공수량산출서-3공구-사토" xfId="4033" xr:uid="{00000000-0005-0000-0000-0000BF0F0000}"/>
    <cellStyle name="_도곡1교 교대(시점) 수량" xfId="4034" xr:uid="{00000000-0005-0000-0000-0000C00F0000}"/>
    <cellStyle name="_도곡1교 교대(시점) 수량_2(변경)-토공" xfId="4035" xr:uid="{00000000-0005-0000-0000-0000C10F0000}"/>
    <cellStyle name="_도곡1교 교대(시점) 수량_2(변경)-토공_20040423_동해2리 오지도로" xfId="4036" xr:uid="{00000000-0005-0000-0000-0000C20F0000}"/>
    <cellStyle name="_도곡1교 교대(시점) 수량_2(변경)-토공_20040523_반계3리 오지도로" xfId="4037" xr:uid="{00000000-0005-0000-0000-0000C30F0000}"/>
    <cellStyle name="_도곡1교 교대(시점) 수량_2(변경)-토공_20040530_양잠2리(사당골)" xfId="4038" xr:uid="{00000000-0005-0000-0000-0000C40F0000}"/>
    <cellStyle name="_도곡1교 교대(시점) 수량_2(변경)-토공_20040601_누동2리(장곰)" xfId="4039" xr:uid="{00000000-0005-0000-0000-0000C50F0000}"/>
    <cellStyle name="_도곡1교 교대(시점) 수량_2(변경)-토공_20040610_황촌1리 오지도로" xfId="4040" xr:uid="{00000000-0005-0000-0000-0000C60F0000}"/>
    <cellStyle name="_도곡1교 교대(시점) 수량_2(변경)-토공_20040614_고남4리(옷점)" xfId="4041" xr:uid="{00000000-0005-0000-0000-0000C70F0000}"/>
    <cellStyle name="_도곡1교 교대(시점) 수량_2(변경)-토공_20040618_고남5리 오지도로" xfId="4042" xr:uid="{00000000-0005-0000-0000-0000C80F0000}"/>
    <cellStyle name="_도곡1교 교대(시점) 수량_2(변경)-토공_20040710_장곡2리 오지도로" xfId="4043" xr:uid="{00000000-0005-0000-0000-0000C90F0000}"/>
    <cellStyle name="_도곡1교 교대(시점) 수량_2(변경)-토공_20040712_장곡1리 오지도로" xfId="4044" xr:uid="{00000000-0005-0000-0000-0000CA0F0000}"/>
    <cellStyle name="_도곡1교 교대(시점) 수량_2(변경)-토공_20040920_가의도하천정비" xfId="4045" xr:uid="{00000000-0005-0000-0000-0000CB0F0000}"/>
    <cellStyle name="_도곡1교 교대(시점) 수량_20031216_고남5리 마을안길 포장" xfId="4046" xr:uid="{00000000-0005-0000-0000-0000CC0F0000}"/>
    <cellStyle name="_도곡1교 교대(시점) 수량_20040423_동해2리 오지도로" xfId="4047" xr:uid="{00000000-0005-0000-0000-0000CD0F0000}"/>
    <cellStyle name="_도곡1교 교대(시점) 수량_20040523_반계3리 오지도로" xfId="4048" xr:uid="{00000000-0005-0000-0000-0000CE0F0000}"/>
    <cellStyle name="_도곡1교 교대(시점) 수량_20040530_양잠2리(사당골)" xfId="4049" xr:uid="{00000000-0005-0000-0000-0000CF0F0000}"/>
    <cellStyle name="_도곡1교 교대(시점) 수량_20040601_누동2리(장곰)" xfId="4050" xr:uid="{00000000-0005-0000-0000-0000D00F0000}"/>
    <cellStyle name="_도곡1교 교대(시점) 수량_20040610_황촌1리 오지도로" xfId="4051" xr:uid="{00000000-0005-0000-0000-0000D10F0000}"/>
    <cellStyle name="_도곡1교 교대(시점) 수량_20040614_고남4리(옷점)" xfId="4052" xr:uid="{00000000-0005-0000-0000-0000D20F0000}"/>
    <cellStyle name="_도곡1교 교대(시점) 수량_20040618_고남5리 오지도로" xfId="4053" xr:uid="{00000000-0005-0000-0000-0000D30F0000}"/>
    <cellStyle name="_도곡1교 교대(시점) 수량_20040710_장곡2리 오지도로" xfId="4054" xr:uid="{00000000-0005-0000-0000-0000D40F0000}"/>
    <cellStyle name="_도곡1교 교대(시점) 수량_20040712_장곡1리 오지도로" xfId="4055" xr:uid="{00000000-0005-0000-0000-0000D50F0000}"/>
    <cellStyle name="_도곡1교 교대(시점) 수량_20040920_가의도하천정비" xfId="4056" xr:uid="{00000000-0005-0000-0000-0000D60F0000}"/>
    <cellStyle name="_도곡1교 교대(시점) 수량_2-1공구토공수량" xfId="4057" xr:uid="{00000000-0005-0000-0000-0000D70F0000}"/>
    <cellStyle name="_도곡1교 교대(시점) 수량_2-1공구토공수량_2-1공구토공수량" xfId="4058" xr:uid="{00000000-0005-0000-0000-0000D80F0000}"/>
    <cellStyle name="_도곡1교 교대(시점) 수량_2-1공구토공수량_우보토공" xfId="4059" xr:uid="{00000000-0005-0000-0000-0000D90F0000}"/>
    <cellStyle name="_도곡1교 교대(시점) 수량_2-2공구토공수량" xfId="4060" xr:uid="{00000000-0005-0000-0000-0000DA0F0000}"/>
    <cellStyle name="_도곡1교 교대(시점) 수량_2-2공구토공수량_2-1공구토공수량" xfId="4061" xr:uid="{00000000-0005-0000-0000-0000DB0F0000}"/>
    <cellStyle name="_도곡1교 교대(시점) 수량_2-2공구토공수량_우보토공" xfId="4062" xr:uid="{00000000-0005-0000-0000-0000DC0F0000}"/>
    <cellStyle name="_도곡1교 교대(시점) 수량_RAMP-E교-최종000" xfId="4063" xr:uid="{00000000-0005-0000-0000-0000DD0F0000}"/>
    <cellStyle name="_도곡1교 교대(시점) 수량_RAMP-E교-최종000_20020914_장곡1-4리 오지도로포장공사_2 변경설계서" xfId="4064" xr:uid="{00000000-0005-0000-0000-0000DE0F0000}"/>
    <cellStyle name="_도곡1교 교대(시점) 수량_RAMP-E교-최종000_경지정리 지구내 배수로 준설공사" xfId="4065" xr:uid="{00000000-0005-0000-0000-0000DF0F0000}"/>
    <cellStyle name="_도곡1교 교대(시점) 수량_RAMP-E교-최종000_시방서" xfId="4066" xr:uid="{00000000-0005-0000-0000-0000E00F0000}"/>
    <cellStyle name="_도곡1교 교대(시점) 수량_RAMP-E교-최종000_파도 - 모항선 횡배수관 확장" xfId="4067" xr:uid="{00000000-0005-0000-0000-0000E10F0000}"/>
    <cellStyle name="_도곡1교 교대(시점) 수량_RAMP-E교-최종000_파도 - 모항선 횡배수관 확장_20020914_장곡1-4리 오지도로포장공사_2 변경설계서" xfId="4068" xr:uid="{00000000-0005-0000-0000-0000E20F0000}"/>
    <cellStyle name="_도곡1교 교대(시점) 수량_RAMP-E교-최종000_파도 - 모항선 횡배수관 확장_경지정리 지구내 배수로 준설공사" xfId="4069" xr:uid="{00000000-0005-0000-0000-0000E30F0000}"/>
    <cellStyle name="_도곡1교 교대(시점) 수량_RAMP-E교-최종000_파도 - 모항선 횡배수관 확장_시방서" xfId="4070" xr:uid="{00000000-0005-0000-0000-0000E40F0000}"/>
    <cellStyle name="_도곡1교 교대(시점) 수량_경지정리 지구내 배수로 준설공사" xfId="4071" xr:uid="{00000000-0005-0000-0000-0000E50F0000}"/>
    <cellStyle name="_도곡1교 교대(시점) 수량_구조물깨기(남일보은2-1공구) " xfId="4072" xr:uid="{00000000-0005-0000-0000-0000E60F0000}"/>
    <cellStyle name="_도곡1교 교대(시점) 수량_구조물깨기(남일보은2-1공구) _2-1공구토공수량" xfId="4073" xr:uid="{00000000-0005-0000-0000-0000E70F0000}"/>
    <cellStyle name="_도곡1교 교대(시점) 수량_구조물깨기(남일보은2-1공구) _우보토공" xfId="4074" xr:uid="{00000000-0005-0000-0000-0000E80F0000}"/>
    <cellStyle name="_도곡1교 교대(시점) 수량_깨기수량_2-1공구" xfId="4075" xr:uid="{00000000-0005-0000-0000-0000E90F0000}"/>
    <cellStyle name="_도곡1교 교대(시점) 수량_깨기수량_2-1공구_2-1공구토공수량" xfId="4076" xr:uid="{00000000-0005-0000-0000-0000EA0F0000}"/>
    <cellStyle name="_도곡1교 교대(시점) 수량_깨기수량_2-1공구_우보토공" xfId="4077" xr:uid="{00000000-0005-0000-0000-0000EB0F0000}"/>
    <cellStyle name="_도곡1교 교대(시점) 수량_깨기수량_2-2공구" xfId="4078" xr:uid="{00000000-0005-0000-0000-0000EC0F0000}"/>
    <cellStyle name="_도곡1교 교대(시점) 수량_시방서" xfId="4079" xr:uid="{00000000-0005-0000-0000-0000ED0F0000}"/>
    <cellStyle name="_도곡1교 교대(시점) 수량_토공수량산출서-1공구-순성토(090425)" xfId="4080" xr:uid="{00000000-0005-0000-0000-0000EE0F0000}"/>
    <cellStyle name="_도곡1교 교대(시점) 수량_토공수량산출서-1공구-순성토(090713)" xfId="4081" xr:uid="{00000000-0005-0000-0000-0000EF0F0000}"/>
    <cellStyle name="_도곡1교 교대(시점) 수량_토공수량산출서-2공구-사토(080930)---자체발파암해결" xfId="4082" xr:uid="{00000000-0005-0000-0000-0000F00F0000}"/>
    <cellStyle name="_도곡1교 교대(시점) 수량_토공수량산출서-2공구-사토(090225)" xfId="4083" xr:uid="{00000000-0005-0000-0000-0000F10F0000}"/>
    <cellStyle name="_도곡1교 교대(시점) 수량_토공수량산출서-3공구-사토" xfId="4084" xr:uid="{00000000-0005-0000-0000-0000F20F0000}"/>
    <cellStyle name="_도곡1교 하부공 수량" xfId="4085" xr:uid="{00000000-0005-0000-0000-0000F30F0000}"/>
    <cellStyle name="_도곡1교 하부공 수량_2(변경)-토공" xfId="4086" xr:uid="{00000000-0005-0000-0000-0000F40F0000}"/>
    <cellStyle name="_도곡1교 하부공 수량_2(변경)-토공_20040423_동해2리 오지도로" xfId="4087" xr:uid="{00000000-0005-0000-0000-0000F50F0000}"/>
    <cellStyle name="_도곡1교 하부공 수량_2(변경)-토공_20040523_반계3리 오지도로" xfId="4088" xr:uid="{00000000-0005-0000-0000-0000F60F0000}"/>
    <cellStyle name="_도곡1교 하부공 수량_2(변경)-토공_20040530_양잠2리(사당골)" xfId="4089" xr:uid="{00000000-0005-0000-0000-0000F70F0000}"/>
    <cellStyle name="_도곡1교 하부공 수량_2(변경)-토공_20040601_누동2리(장곰)" xfId="4090" xr:uid="{00000000-0005-0000-0000-0000F80F0000}"/>
    <cellStyle name="_도곡1교 하부공 수량_2(변경)-토공_20040610_황촌1리 오지도로" xfId="4091" xr:uid="{00000000-0005-0000-0000-0000F90F0000}"/>
    <cellStyle name="_도곡1교 하부공 수량_2(변경)-토공_20040614_고남4리(옷점)" xfId="4092" xr:uid="{00000000-0005-0000-0000-0000FA0F0000}"/>
    <cellStyle name="_도곡1교 하부공 수량_2(변경)-토공_20040618_고남5리 오지도로" xfId="4093" xr:uid="{00000000-0005-0000-0000-0000FB0F0000}"/>
    <cellStyle name="_도곡1교 하부공 수량_2(변경)-토공_20040710_장곡2리 오지도로" xfId="4094" xr:uid="{00000000-0005-0000-0000-0000FC0F0000}"/>
    <cellStyle name="_도곡1교 하부공 수량_2(변경)-토공_20040712_장곡1리 오지도로" xfId="4095" xr:uid="{00000000-0005-0000-0000-0000FD0F0000}"/>
    <cellStyle name="_도곡1교 하부공 수량_2(변경)-토공_20040920_가의도하천정비" xfId="4096" xr:uid="{00000000-0005-0000-0000-0000FE0F0000}"/>
    <cellStyle name="_도곡1교 하부공 수량_20031216_고남5리 마을안길 포장" xfId="4097" xr:uid="{00000000-0005-0000-0000-0000FF0F0000}"/>
    <cellStyle name="_도곡1교 하부공 수량_20040423_동해2리 오지도로" xfId="4098" xr:uid="{00000000-0005-0000-0000-000000100000}"/>
    <cellStyle name="_도곡1교 하부공 수량_20040523_반계3리 오지도로" xfId="4099" xr:uid="{00000000-0005-0000-0000-000001100000}"/>
    <cellStyle name="_도곡1교 하부공 수량_20040530_양잠2리(사당골)" xfId="4100" xr:uid="{00000000-0005-0000-0000-000002100000}"/>
    <cellStyle name="_도곡1교 하부공 수량_20040601_누동2리(장곰)" xfId="4101" xr:uid="{00000000-0005-0000-0000-000003100000}"/>
    <cellStyle name="_도곡1교 하부공 수량_20040610_황촌1리 오지도로" xfId="4102" xr:uid="{00000000-0005-0000-0000-000004100000}"/>
    <cellStyle name="_도곡1교 하부공 수량_20040614_고남4리(옷점)" xfId="4103" xr:uid="{00000000-0005-0000-0000-000005100000}"/>
    <cellStyle name="_도곡1교 하부공 수량_20040618_고남5리 오지도로" xfId="4104" xr:uid="{00000000-0005-0000-0000-000006100000}"/>
    <cellStyle name="_도곡1교 하부공 수량_20040710_장곡2리 오지도로" xfId="4105" xr:uid="{00000000-0005-0000-0000-000007100000}"/>
    <cellStyle name="_도곡1교 하부공 수량_20040712_장곡1리 오지도로" xfId="4106" xr:uid="{00000000-0005-0000-0000-000008100000}"/>
    <cellStyle name="_도곡1교 하부공 수량_20040920_가의도하천정비" xfId="4107" xr:uid="{00000000-0005-0000-0000-000009100000}"/>
    <cellStyle name="_도곡1교 하부공 수량_2-1공구토공수량" xfId="4108" xr:uid="{00000000-0005-0000-0000-00000A100000}"/>
    <cellStyle name="_도곡1교 하부공 수량_2-1공구토공수량_2-1공구토공수량" xfId="4109" xr:uid="{00000000-0005-0000-0000-00000B100000}"/>
    <cellStyle name="_도곡1교 하부공 수량_2-1공구토공수량_우보토공" xfId="4110" xr:uid="{00000000-0005-0000-0000-00000C100000}"/>
    <cellStyle name="_도곡1교 하부공 수량_2-2공구토공수량" xfId="4111" xr:uid="{00000000-0005-0000-0000-00000D100000}"/>
    <cellStyle name="_도곡1교 하부공 수량_2-2공구토공수량_2-1공구토공수량" xfId="4112" xr:uid="{00000000-0005-0000-0000-00000E100000}"/>
    <cellStyle name="_도곡1교 하부공 수량_2-2공구토공수량_우보토공" xfId="4113" xr:uid="{00000000-0005-0000-0000-00000F100000}"/>
    <cellStyle name="_도곡1교 하부공 수량_RAMP-E교-최종000" xfId="4114" xr:uid="{00000000-0005-0000-0000-000010100000}"/>
    <cellStyle name="_도곡1교 하부공 수량_RAMP-E교-최종000_20020914_장곡1-4리 오지도로포장공사_2 변경설계서" xfId="4115" xr:uid="{00000000-0005-0000-0000-000011100000}"/>
    <cellStyle name="_도곡1교 하부공 수량_RAMP-E교-최종000_경지정리 지구내 배수로 준설공사" xfId="4116" xr:uid="{00000000-0005-0000-0000-000012100000}"/>
    <cellStyle name="_도곡1교 하부공 수량_RAMP-E교-최종000_시방서" xfId="4117" xr:uid="{00000000-0005-0000-0000-000013100000}"/>
    <cellStyle name="_도곡1교 하부공 수량_RAMP-E교-최종000_파도 - 모항선 횡배수관 확장" xfId="4118" xr:uid="{00000000-0005-0000-0000-000014100000}"/>
    <cellStyle name="_도곡1교 하부공 수량_RAMP-E교-최종000_파도 - 모항선 횡배수관 확장_20020914_장곡1-4리 오지도로포장공사_2 변경설계서" xfId="4119" xr:uid="{00000000-0005-0000-0000-000015100000}"/>
    <cellStyle name="_도곡1교 하부공 수량_RAMP-E교-최종000_파도 - 모항선 횡배수관 확장_경지정리 지구내 배수로 준설공사" xfId="4120" xr:uid="{00000000-0005-0000-0000-000016100000}"/>
    <cellStyle name="_도곡1교 하부공 수량_RAMP-E교-최종000_파도 - 모항선 횡배수관 확장_시방서" xfId="4121" xr:uid="{00000000-0005-0000-0000-000017100000}"/>
    <cellStyle name="_도곡1교 하부공 수량_경지정리 지구내 배수로 준설공사" xfId="4122" xr:uid="{00000000-0005-0000-0000-000018100000}"/>
    <cellStyle name="_도곡1교 하부공 수량_구조물깨기(남일보은2-1공구) " xfId="4123" xr:uid="{00000000-0005-0000-0000-000019100000}"/>
    <cellStyle name="_도곡1교 하부공 수량_구조물깨기(남일보은2-1공구) _2-1공구토공수량" xfId="4124" xr:uid="{00000000-0005-0000-0000-00001A100000}"/>
    <cellStyle name="_도곡1교 하부공 수량_구조물깨기(남일보은2-1공구) _우보토공" xfId="4125" xr:uid="{00000000-0005-0000-0000-00001B100000}"/>
    <cellStyle name="_도곡1교 하부공 수량_깨기수량_2-1공구" xfId="4126" xr:uid="{00000000-0005-0000-0000-00001C100000}"/>
    <cellStyle name="_도곡1교 하부공 수량_깨기수량_2-1공구_2-1공구토공수량" xfId="4127" xr:uid="{00000000-0005-0000-0000-00001D100000}"/>
    <cellStyle name="_도곡1교 하부공 수량_깨기수량_2-1공구_우보토공" xfId="4128" xr:uid="{00000000-0005-0000-0000-00001E100000}"/>
    <cellStyle name="_도곡1교 하부공 수량_깨기수량_2-2공구" xfId="4129" xr:uid="{00000000-0005-0000-0000-00001F100000}"/>
    <cellStyle name="_도곡1교 하부공 수량_시방서" xfId="4130" xr:uid="{00000000-0005-0000-0000-000020100000}"/>
    <cellStyle name="_도곡1교 하부공 수량_토공수량산출서-1공구-순성토(090425)" xfId="4131" xr:uid="{00000000-0005-0000-0000-000021100000}"/>
    <cellStyle name="_도곡1교 하부공 수량_토공수량산출서-1공구-순성토(090713)" xfId="4132" xr:uid="{00000000-0005-0000-0000-000022100000}"/>
    <cellStyle name="_도곡1교 하부공 수량_토공수량산출서-2공구-사토(080930)---자체발파암해결" xfId="4133" xr:uid="{00000000-0005-0000-0000-000023100000}"/>
    <cellStyle name="_도곡1교 하부공 수량_토공수량산출서-2공구-사토(090225)" xfId="4134" xr:uid="{00000000-0005-0000-0000-000024100000}"/>
    <cellStyle name="_도곡1교 하부공 수량_토공수량산출서-3공구-사토" xfId="4135" xr:uid="{00000000-0005-0000-0000-000025100000}"/>
    <cellStyle name="_도곡2교 교대 수량" xfId="4136" xr:uid="{00000000-0005-0000-0000-000026100000}"/>
    <cellStyle name="_도곡2교 교대 수량_2(변경)-토공" xfId="4137" xr:uid="{00000000-0005-0000-0000-000027100000}"/>
    <cellStyle name="_도곡2교 교대 수량_2(변경)-토공_20040423_동해2리 오지도로" xfId="4138" xr:uid="{00000000-0005-0000-0000-000028100000}"/>
    <cellStyle name="_도곡2교 교대 수량_2(변경)-토공_20040523_반계3리 오지도로" xfId="4139" xr:uid="{00000000-0005-0000-0000-000029100000}"/>
    <cellStyle name="_도곡2교 교대 수량_2(변경)-토공_20040530_양잠2리(사당골)" xfId="4140" xr:uid="{00000000-0005-0000-0000-00002A100000}"/>
    <cellStyle name="_도곡2교 교대 수량_2(변경)-토공_20040601_누동2리(장곰)" xfId="4141" xr:uid="{00000000-0005-0000-0000-00002B100000}"/>
    <cellStyle name="_도곡2교 교대 수량_2(변경)-토공_20040610_황촌1리 오지도로" xfId="4142" xr:uid="{00000000-0005-0000-0000-00002C100000}"/>
    <cellStyle name="_도곡2교 교대 수량_2(변경)-토공_20040614_고남4리(옷점)" xfId="4143" xr:uid="{00000000-0005-0000-0000-00002D100000}"/>
    <cellStyle name="_도곡2교 교대 수량_2(변경)-토공_20040618_고남5리 오지도로" xfId="4144" xr:uid="{00000000-0005-0000-0000-00002E100000}"/>
    <cellStyle name="_도곡2교 교대 수량_2(변경)-토공_20040710_장곡2리 오지도로" xfId="4145" xr:uid="{00000000-0005-0000-0000-00002F100000}"/>
    <cellStyle name="_도곡2교 교대 수량_2(변경)-토공_20040712_장곡1리 오지도로" xfId="4146" xr:uid="{00000000-0005-0000-0000-000030100000}"/>
    <cellStyle name="_도곡2교 교대 수량_2(변경)-토공_20040920_가의도하천정비" xfId="4147" xr:uid="{00000000-0005-0000-0000-000031100000}"/>
    <cellStyle name="_도곡2교 교대 수량_20031216_고남5리 마을안길 포장" xfId="4148" xr:uid="{00000000-0005-0000-0000-000032100000}"/>
    <cellStyle name="_도곡2교 교대 수량_20040423_동해2리 오지도로" xfId="4149" xr:uid="{00000000-0005-0000-0000-000033100000}"/>
    <cellStyle name="_도곡2교 교대 수량_20040523_반계3리 오지도로" xfId="4150" xr:uid="{00000000-0005-0000-0000-000034100000}"/>
    <cellStyle name="_도곡2교 교대 수량_20040530_양잠2리(사당골)" xfId="4151" xr:uid="{00000000-0005-0000-0000-000035100000}"/>
    <cellStyle name="_도곡2교 교대 수량_20040601_누동2리(장곰)" xfId="4152" xr:uid="{00000000-0005-0000-0000-000036100000}"/>
    <cellStyle name="_도곡2교 교대 수량_20040610_황촌1리 오지도로" xfId="4153" xr:uid="{00000000-0005-0000-0000-000037100000}"/>
    <cellStyle name="_도곡2교 교대 수량_20040614_고남4리(옷점)" xfId="4154" xr:uid="{00000000-0005-0000-0000-000038100000}"/>
    <cellStyle name="_도곡2교 교대 수량_20040618_고남5리 오지도로" xfId="4155" xr:uid="{00000000-0005-0000-0000-000039100000}"/>
    <cellStyle name="_도곡2교 교대 수량_20040710_장곡2리 오지도로" xfId="4156" xr:uid="{00000000-0005-0000-0000-00003A100000}"/>
    <cellStyle name="_도곡2교 교대 수량_20040712_장곡1리 오지도로" xfId="4157" xr:uid="{00000000-0005-0000-0000-00003B100000}"/>
    <cellStyle name="_도곡2교 교대 수량_20040920_가의도하천정비" xfId="4158" xr:uid="{00000000-0005-0000-0000-00003C100000}"/>
    <cellStyle name="_도곡2교 교대 수량_2-1공구토공수량" xfId="4159" xr:uid="{00000000-0005-0000-0000-00003D100000}"/>
    <cellStyle name="_도곡2교 교대 수량_2-1공구토공수량_2-1공구토공수량" xfId="4160" xr:uid="{00000000-0005-0000-0000-00003E100000}"/>
    <cellStyle name="_도곡2교 교대 수량_2-1공구토공수량_우보토공" xfId="4161" xr:uid="{00000000-0005-0000-0000-00003F100000}"/>
    <cellStyle name="_도곡2교 교대 수량_2-2공구토공수량" xfId="4162" xr:uid="{00000000-0005-0000-0000-000040100000}"/>
    <cellStyle name="_도곡2교 교대 수량_2-2공구토공수량_2-1공구토공수량" xfId="4163" xr:uid="{00000000-0005-0000-0000-000041100000}"/>
    <cellStyle name="_도곡2교 교대 수량_2-2공구토공수량_우보토공" xfId="4164" xr:uid="{00000000-0005-0000-0000-000042100000}"/>
    <cellStyle name="_도곡2교 교대 수량_RAMP-E교-최종000" xfId="4165" xr:uid="{00000000-0005-0000-0000-000043100000}"/>
    <cellStyle name="_도곡2교 교대 수량_RAMP-E교-최종000_20020914_장곡1-4리 오지도로포장공사_2 변경설계서" xfId="4166" xr:uid="{00000000-0005-0000-0000-000044100000}"/>
    <cellStyle name="_도곡2교 교대 수량_RAMP-E교-최종000_경지정리 지구내 배수로 준설공사" xfId="4167" xr:uid="{00000000-0005-0000-0000-000045100000}"/>
    <cellStyle name="_도곡2교 교대 수량_RAMP-E교-최종000_시방서" xfId="4168" xr:uid="{00000000-0005-0000-0000-000046100000}"/>
    <cellStyle name="_도곡2교 교대 수량_RAMP-E교-최종000_파도 - 모항선 횡배수관 확장" xfId="4169" xr:uid="{00000000-0005-0000-0000-000047100000}"/>
    <cellStyle name="_도곡2교 교대 수량_RAMP-E교-최종000_파도 - 모항선 횡배수관 확장_20020914_장곡1-4리 오지도로포장공사_2 변경설계서" xfId="4170" xr:uid="{00000000-0005-0000-0000-000048100000}"/>
    <cellStyle name="_도곡2교 교대 수량_RAMP-E교-최종000_파도 - 모항선 횡배수관 확장_경지정리 지구내 배수로 준설공사" xfId="4171" xr:uid="{00000000-0005-0000-0000-000049100000}"/>
    <cellStyle name="_도곡2교 교대 수량_RAMP-E교-최종000_파도 - 모항선 횡배수관 확장_시방서" xfId="4172" xr:uid="{00000000-0005-0000-0000-00004A100000}"/>
    <cellStyle name="_도곡2교 교대 수량_경지정리 지구내 배수로 준설공사" xfId="4173" xr:uid="{00000000-0005-0000-0000-00004B100000}"/>
    <cellStyle name="_도곡2교 교대 수량_구조물깨기(남일보은2-1공구) " xfId="4174" xr:uid="{00000000-0005-0000-0000-00004C100000}"/>
    <cellStyle name="_도곡2교 교대 수량_구조물깨기(남일보은2-1공구) _2-1공구토공수량" xfId="4175" xr:uid="{00000000-0005-0000-0000-00004D100000}"/>
    <cellStyle name="_도곡2교 교대 수량_구조물깨기(남일보은2-1공구) _우보토공" xfId="4176" xr:uid="{00000000-0005-0000-0000-00004E100000}"/>
    <cellStyle name="_도곡2교 교대 수량_깨기수량_2-1공구" xfId="4177" xr:uid="{00000000-0005-0000-0000-00004F100000}"/>
    <cellStyle name="_도곡2교 교대 수량_깨기수량_2-1공구_2-1공구토공수량" xfId="4178" xr:uid="{00000000-0005-0000-0000-000050100000}"/>
    <cellStyle name="_도곡2교 교대 수량_깨기수량_2-1공구_우보토공" xfId="4179" xr:uid="{00000000-0005-0000-0000-000051100000}"/>
    <cellStyle name="_도곡2교 교대 수량_깨기수량_2-2공구" xfId="4180" xr:uid="{00000000-0005-0000-0000-000052100000}"/>
    <cellStyle name="_도곡2교 교대 수량_시방서" xfId="4181" xr:uid="{00000000-0005-0000-0000-000053100000}"/>
    <cellStyle name="_도곡2교 교대 수량_토공수량산출서-1공구-순성토(090425)" xfId="4182" xr:uid="{00000000-0005-0000-0000-000054100000}"/>
    <cellStyle name="_도곡2교 교대 수량_토공수량산출서-1공구-순성토(090713)" xfId="4183" xr:uid="{00000000-0005-0000-0000-000055100000}"/>
    <cellStyle name="_도곡2교 교대 수량_토공수량산출서-2공구-사토(080930)---자체발파암해결" xfId="4184" xr:uid="{00000000-0005-0000-0000-000056100000}"/>
    <cellStyle name="_도곡2교 교대 수량_토공수량산출서-2공구-사토(090225)" xfId="4185" xr:uid="{00000000-0005-0000-0000-000057100000}"/>
    <cellStyle name="_도곡2교 교대 수량_토공수량산출서-3공구-사토" xfId="4186" xr:uid="{00000000-0005-0000-0000-000058100000}"/>
    <cellStyle name="_도곡2교 교대(종점) 수량" xfId="4187" xr:uid="{00000000-0005-0000-0000-000059100000}"/>
    <cellStyle name="_도곡2교 교대(종점) 수량_2(변경)-토공" xfId="4188" xr:uid="{00000000-0005-0000-0000-00005A100000}"/>
    <cellStyle name="_도곡2교 교대(종점) 수량_2(변경)-토공_20040423_동해2리 오지도로" xfId="4189" xr:uid="{00000000-0005-0000-0000-00005B100000}"/>
    <cellStyle name="_도곡2교 교대(종점) 수량_2(변경)-토공_20040523_반계3리 오지도로" xfId="4190" xr:uid="{00000000-0005-0000-0000-00005C100000}"/>
    <cellStyle name="_도곡2교 교대(종점) 수량_2(변경)-토공_20040530_양잠2리(사당골)" xfId="4191" xr:uid="{00000000-0005-0000-0000-00005D100000}"/>
    <cellStyle name="_도곡2교 교대(종점) 수량_2(변경)-토공_20040601_누동2리(장곰)" xfId="4192" xr:uid="{00000000-0005-0000-0000-00005E100000}"/>
    <cellStyle name="_도곡2교 교대(종점) 수량_2(변경)-토공_20040610_황촌1리 오지도로" xfId="4193" xr:uid="{00000000-0005-0000-0000-00005F100000}"/>
    <cellStyle name="_도곡2교 교대(종점) 수량_2(변경)-토공_20040614_고남4리(옷점)" xfId="4194" xr:uid="{00000000-0005-0000-0000-000060100000}"/>
    <cellStyle name="_도곡2교 교대(종점) 수량_2(변경)-토공_20040618_고남5리 오지도로" xfId="4195" xr:uid="{00000000-0005-0000-0000-000061100000}"/>
    <cellStyle name="_도곡2교 교대(종점) 수량_2(변경)-토공_20040710_장곡2리 오지도로" xfId="4196" xr:uid="{00000000-0005-0000-0000-000062100000}"/>
    <cellStyle name="_도곡2교 교대(종점) 수량_2(변경)-토공_20040712_장곡1리 오지도로" xfId="4197" xr:uid="{00000000-0005-0000-0000-000063100000}"/>
    <cellStyle name="_도곡2교 교대(종점) 수량_2(변경)-토공_20040920_가의도하천정비" xfId="4198" xr:uid="{00000000-0005-0000-0000-000064100000}"/>
    <cellStyle name="_도곡2교 교대(종점) 수량_20031216_고남5리 마을안길 포장" xfId="4199" xr:uid="{00000000-0005-0000-0000-000065100000}"/>
    <cellStyle name="_도곡2교 교대(종점) 수량_20040423_동해2리 오지도로" xfId="4200" xr:uid="{00000000-0005-0000-0000-000066100000}"/>
    <cellStyle name="_도곡2교 교대(종점) 수량_20040523_반계3리 오지도로" xfId="4201" xr:uid="{00000000-0005-0000-0000-000067100000}"/>
    <cellStyle name="_도곡2교 교대(종점) 수량_20040530_양잠2리(사당골)" xfId="4202" xr:uid="{00000000-0005-0000-0000-000068100000}"/>
    <cellStyle name="_도곡2교 교대(종점) 수량_20040601_누동2리(장곰)" xfId="4203" xr:uid="{00000000-0005-0000-0000-000069100000}"/>
    <cellStyle name="_도곡2교 교대(종점) 수량_20040610_황촌1리 오지도로" xfId="4204" xr:uid="{00000000-0005-0000-0000-00006A100000}"/>
    <cellStyle name="_도곡2교 교대(종점) 수량_20040614_고남4리(옷점)" xfId="4205" xr:uid="{00000000-0005-0000-0000-00006B100000}"/>
    <cellStyle name="_도곡2교 교대(종점) 수량_20040618_고남5리 오지도로" xfId="4206" xr:uid="{00000000-0005-0000-0000-00006C100000}"/>
    <cellStyle name="_도곡2교 교대(종점) 수량_20040710_장곡2리 오지도로" xfId="4207" xr:uid="{00000000-0005-0000-0000-00006D100000}"/>
    <cellStyle name="_도곡2교 교대(종점) 수량_20040712_장곡1리 오지도로" xfId="4208" xr:uid="{00000000-0005-0000-0000-00006E100000}"/>
    <cellStyle name="_도곡2교 교대(종점) 수량_20040920_가의도하천정비" xfId="4209" xr:uid="{00000000-0005-0000-0000-00006F100000}"/>
    <cellStyle name="_도곡2교 교대(종점) 수량_2-1공구토공수량" xfId="4210" xr:uid="{00000000-0005-0000-0000-000070100000}"/>
    <cellStyle name="_도곡2교 교대(종점) 수량_2-1공구토공수량_2-1공구토공수량" xfId="4211" xr:uid="{00000000-0005-0000-0000-000071100000}"/>
    <cellStyle name="_도곡2교 교대(종점) 수량_2-1공구토공수량_우보토공" xfId="4212" xr:uid="{00000000-0005-0000-0000-000072100000}"/>
    <cellStyle name="_도곡2교 교대(종점) 수량_2-2공구토공수량" xfId="4213" xr:uid="{00000000-0005-0000-0000-000073100000}"/>
    <cellStyle name="_도곡2교 교대(종점) 수량_2-2공구토공수량_2-1공구토공수량" xfId="4214" xr:uid="{00000000-0005-0000-0000-000074100000}"/>
    <cellStyle name="_도곡2교 교대(종점) 수량_2-2공구토공수량_우보토공" xfId="4215" xr:uid="{00000000-0005-0000-0000-000075100000}"/>
    <cellStyle name="_도곡2교 교대(종점) 수량_RAMP-E교-최종000" xfId="4216" xr:uid="{00000000-0005-0000-0000-000076100000}"/>
    <cellStyle name="_도곡2교 교대(종점) 수량_RAMP-E교-최종000_20020914_장곡1-4리 오지도로포장공사_2 변경설계서" xfId="4217" xr:uid="{00000000-0005-0000-0000-000077100000}"/>
    <cellStyle name="_도곡2교 교대(종점) 수량_RAMP-E교-최종000_경지정리 지구내 배수로 준설공사" xfId="4218" xr:uid="{00000000-0005-0000-0000-000078100000}"/>
    <cellStyle name="_도곡2교 교대(종점) 수량_RAMP-E교-최종000_시방서" xfId="4219" xr:uid="{00000000-0005-0000-0000-000079100000}"/>
    <cellStyle name="_도곡2교 교대(종점) 수량_RAMP-E교-최종000_파도 - 모항선 횡배수관 확장" xfId="4220" xr:uid="{00000000-0005-0000-0000-00007A100000}"/>
    <cellStyle name="_도곡2교 교대(종점) 수량_RAMP-E교-최종000_파도 - 모항선 횡배수관 확장_20020914_장곡1-4리 오지도로포장공사_2 변경설계서" xfId="4221" xr:uid="{00000000-0005-0000-0000-00007B100000}"/>
    <cellStyle name="_도곡2교 교대(종점) 수량_RAMP-E교-최종000_파도 - 모항선 횡배수관 확장_경지정리 지구내 배수로 준설공사" xfId="4222" xr:uid="{00000000-0005-0000-0000-00007C100000}"/>
    <cellStyle name="_도곡2교 교대(종점) 수량_RAMP-E교-최종000_파도 - 모항선 횡배수관 확장_시방서" xfId="4223" xr:uid="{00000000-0005-0000-0000-00007D100000}"/>
    <cellStyle name="_도곡2교 교대(종점) 수량_경지정리 지구내 배수로 준설공사" xfId="4224" xr:uid="{00000000-0005-0000-0000-00007E100000}"/>
    <cellStyle name="_도곡2교 교대(종점) 수량_구조물깨기(남일보은2-1공구) " xfId="4225" xr:uid="{00000000-0005-0000-0000-00007F100000}"/>
    <cellStyle name="_도곡2교 교대(종점) 수량_구조물깨기(남일보은2-1공구) _2-1공구토공수량" xfId="4226" xr:uid="{00000000-0005-0000-0000-000080100000}"/>
    <cellStyle name="_도곡2교 교대(종점) 수량_구조물깨기(남일보은2-1공구) _우보토공" xfId="4227" xr:uid="{00000000-0005-0000-0000-000081100000}"/>
    <cellStyle name="_도곡2교 교대(종점) 수량_깨기수량_2-1공구" xfId="4228" xr:uid="{00000000-0005-0000-0000-000082100000}"/>
    <cellStyle name="_도곡2교 교대(종점) 수량_깨기수량_2-1공구_2-1공구토공수량" xfId="4229" xr:uid="{00000000-0005-0000-0000-000083100000}"/>
    <cellStyle name="_도곡2교 교대(종점) 수량_깨기수량_2-1공구_우보토공" xfId="4230" xr:uid="{00000000-0005-0000-0000-000084100000}"/>
    <cellStyle name="_도곡2교 교대(종점) 수량_깨기수량_2-2공구" xfId="4231" xr:uid="{00000000-0005-0000-0000-000085100000}"/>
    <cellStyle name="_도곡2교 교대(종점) 수량_시방서" xfId="4232" xr:uid="{00000000-0005-0000-0000-000086100000}"/>
    <cellStyle name="_도곡2교 교대(종점) 수량_토공수량산출서-1공구-순성토(090425)" xfId="4233" xr:uid="{00000000-0005-0000-0000-000087100000}"/>
    <cellStyle name="_도곡2교 교대(종점) 수량_토공수량산출서-1공구-순성토(090713)" xfId="4234" xr:uid="{00000000-0005-0000-0000-000088100000}"/>
    <cellStyle name="_도곡2교 교대(종점) 수량_토공수량산출서-2공구-사토(080930)---자체발파암해결" xfId="4235" xr:uid="{00000000-0005-0000-0000-000089100000}"/>
    <cellStyle name="_도곡2교 교대(종점) 수량_토공수량산출서-2공구-사토(090225)" xfId="4236" xr:uid="{00000000-0005-0000-0000-00008A100000}"/>
    <cellStyle name="_도곡2교 교대(종점) 수량_토공수량산출서-3공구-사토" xfId="4237" xr:uid="{00000000-0005-0000-0000-00008B100000}"/>
    <cellStyle name="_도곡3교 교대 수량" xfId="4238" xr:uid="{00000000-0005-0000-0000-00008C100000}"/>
    <cellStyle name="_도곡3교 교대 수량_2(변경)-토공" xfId="4239" xr:uid="{00000000-0005-0000-0000-00008D100000}"/>
    <cellStyle name="_도곡3교 교대 수량_2(변경)-토공_20040423_동해2리 오지도로" xfId="4240" xr:uid="{00000000-0005-0000-0000-00008E100000}"/>
    <cellStyle name="_도곡3교 교대 수량_2(변경)-토공_20040523_반계3리 오지도로" xfId="4241" xr:uid="{00000000-0005-0000-0000-00008F100000}"/>
    <cellStyle name="_도곡3교 교대 수량_2(변경)-토공_20040530_양잠2리(사당골)" xfId="4242" xr:uid="{00000000-0005-0000-0000-000090100000}"/>
    <cellStyle name="_도곡3교 교대 수량_2(변경)-토공_20040601_누동2리(장곰)" xfId="4243" xr:uid="{00000000-0005-0000-0000-000091100000}"/>
    <cellStyle name="_도곡3교 교대 수량_2(변경)-토공_20040610_황촌1리 오지도로" xfId="4244" xr:uid="{00000000-0005-0000-0000-000092100000}"/>
    <cellStyle name="_도곡3교 교대 수량_2(변경)-토공_20040614_고남4리(옷점)" xfId="4245" xr:uid="{00000000-0005-0000-0000-000093100000}"/>
    <cellStyle name="_도곡3교 교대 수량_2(변경)-토공_20040618_고남5리 오지도로" xfId="4246" xr:uid="{00000000-0005-0000-0000-000094100000}"/>
    <cellStyle name="_도곡3교 교대 수량_2(변경)-토공_20040710_장곡2리 오지도로" xfId="4247" xr:uid="{00000000-0005-0000-0000-000095100000}"/>
    <cellStyle name="_도곡3교 교대 수량_2(변경)-토공_20040712_장곡1리 오지도로" xfId="4248" xr:uid="{00000000-0005-0000-0000-000096100000}"/>
    <cellStyle name="_도곡3교 교대 수량_2(변경)-토공_20040920_가의도하천정비" xfId="4249" xr:uid="{00000000-0005-0000-0000-000097100000}"/>
    <cellStyle name="_도곡3교 교대 수량_20031216_고남5리 마을안길 포장" xfId="4250" xr:uid="{00000000-0005-0000-0000-000098100000}"/>
    <cellStyle name="_도곡3교 교대 수량_20040423_동해2리 오지도로" xfId="4251" xr:uid="{00000000-0005-0000-0000-000099100000}"/>
    <cellStyle name="_도곡3교 교대 수량_20040523_반계3리 오지도로" xfId="4252" xr:uid="{00000000-0005-0000-0000-00009A100000}"/>
    <cellStyle name="_도곡3교 교대 수량_20040530_양잠2리(사당골)" xfId="4253" xr:uid="{00000000-0005-0000-0000-00009B100000}"/>
    <cellStyle name="_도곡3교 교대 수량_20040601_누동2리(장곰)" xfId="4254" xr:uid="{00000000-0005-0000-0000-00009C100000}"/>
    <cellStyle name="_도곡3교 교대 수량_20040610_황촌1리 오지도로" xfId="4255" xr:uid="{00000000-0005-0000-0000-00009D100000}"/>
    <cellStyle name="_도곡3교 교대 수량_20040614_고남4리(옷점)" xfId="4256" xr:uid="{00000000-0005-0000-0000-00009E100000}"/>
    <cellStyle name="_도곡3교 교대 수량_20040618_고남5리 오지도로" xfId="4257" xr:uid="{00000000-0005-0000-0000-00009F100000}"/>
    <cellStyle name="_도곡3교 교대 수량_20040710_장곡2리 오지도로" xfId="4258" xr:uid="{00000000-0005-0000-0000-0000A0100000}"/>
    <cellStyle name="_도곡3교 교대 수량_20040712_장곡1리 오지도로" xfId="4259" xr:uid="{00000000-0005-0000-0000-0000A1100000}"/>
    <cellStyle name="_도곡3교 교대 수량_20040920_가의도하천정비" xfId="4260" xr:uid="{00000000-0005-0000-0000-0000A2100000}"/>
    <cellStyle name="_도곡3교 교대 수량_2-1공구토공수량" xfId="4261" xr:uid="{00000000-0005-0000-0000-0000A3100000}"/>
    <cellStyle name="_도곡3교 교대 수량_2-1공구토공수량_2-1공구토공수량" xfId="4262" xr:uid="{00000000-0005-0000-0000-0000A4100000}"/>
    <cellStyle name="_도곡3교 교대 수량_2-1공구토공수량_우보토공" xfId="4263" xr:uid="{00000000-0005-0000-0000-0000A5100000}"/>
    <cellStyle name="_도곡3교 교대 수량_2-2공구토공수량" xfId="4264" xr:uid="{00000000-0005-0000-0000-0000A6100000}"/>
    <cellStyle name="_도곡3교 교대 수량_2-2공구토공수량_2-1공구토공수량" xfId="4265" xr:uid="{00000000-0005-0000-0000-0000A7100000}"/>
    <cellStyle name="_도곡3교 교대 수량_2-2공구토공수량_우보토공" xfId="4266" xr:uid="{00000000-0005-0000-0000-0000A8100000}"/>
    <cellStyle name="_도곡3교 교대 수량_RAMP-E교-최종000" xfId="4267" xr:uid="{00000000-0005-0000-0000-0000A9100000}"/>
    <cellStyle name="_도곡3교 교대 수량_RAMP-E교-최종000_20020914_장곡1-4리 오지도로포장공사_2 변경설계서" xfId="4268" xr:uid="{00000000-0005-0000-0000-0000AA100000}"/>
    <cellStyle name="_도곡3교 교대 수량_RAMP-E교-최종000_경지정리 지구내 배수로 준설공사" xfId="4269" xr:uid="{00000000-0005-0000-0000-0000AB100000}"/>
    <cellStyle name="_도곡3교 교대 수량_RAMP-E교-최종000_시방서" xfId="4270" xr:uid="{00000000-0005-0000-0000-0000AC100000}"/>
    <cellStyle name="_도곡3교 교대 수량_RAMP-E교-최종000_파도 - 모항선 횡배수관 확장" xfId="4271" xr:uid="{00000000-0005-0000-0000-0000AD100000}"/>
    <cellStyle name="_도곡3교 교대 수량_RAMP-E교-최종000_파도 - 모항선 횡배수관 확장_20020914_장곡1-4리 오지도로포장공사_2 변경설계서" xfId="4272" xr:uid="{00000000-0005-0000-0000-0000AE100000}"/>
    <cellStyle name="_도곡3교 교대 수량_RAMP-E교-최종000_파도 - 모항선 횡배수관 확장_경지정리 지구내 배수로 준설공사" xfId="4273" xr:uid="{00000000-0005-0000-0000-0000AF100000}"/>
    <cellStyle name="_도곡3교 교대 수량_RAMP-E교-최종000_파도 - 모항선 횡배수관 확장_시방서" xfId="4274" xr:uid="{00000000-0005-0000-0000-0000B0100000}"/>
    <cellStyle name="_도곡3교 교대 수량_경지정리 지구내 배수로 준설공사" xfId="4275" xr:uid="{00000000-0005-0000-0000-0000B1100000}"/>
    <cellStyle name="_도곡3교 교대 수량_구조물깨기(남일보은2-1공구) " xfId="4276" xr:uid="{00000000-0005-0000-0000-0000B2100000}"/>
    <cellStyle name="_도곡3교 교대 수량_구조물깨기(남일보은2-1공구) _2-1공구토공수량" xfId="4277" xr:uid="{00000000-0005-0000-0000-0000B3100000}"/>
    <cellStyle name="_도곡3교 교대 수량_구조물깨기(남일보은2-1공구) _우보토공" xfId="4278" xr:uid="{00000000-0005-0000-0000-0000B4100000}"/>
    <cellStyle name="_도곡3교 교대 수량_깨기수량_2-1공구" xfId="4279" xr:uid="{00000000-0005-0000-0000-0000B5100000}"/>
    <cellStyle name="_도곡3교 교대 수량_깨기수량_2-1공구_2-1공구토공수량" xfId="4280" xr:uid="{00000000-0005-0000-0000-0000B6100000}"/>
    <cellStyle name="_도곡3교 교대 수량_깨기수량_2-1공구_우보토공" xfId="4281" xr:uid="{00000000-0005-0000-0000-0000B7100000}"/>
    <cellStyle name="_도곡3교 교대 수량_깨기수량_2-2공구" xfId="4282" xr:uid="{00000000-0005-0000-0000-0000B8100000}"/>
    <cellStyle name="_도곡3교 교대 수량_시방서" xfId="4283" xr:uid="{00000000-0005-0000-0000-0000B9100000}"/>
    <cellStyle name="_도곡3교 교대 수량_토공수량산출서-1공구-순성토(090425)" xfId="4284" xr:uid="{00000000-0005-0000-0000-0000BA100000}"/>
    <cellStyle name="_도곡3교 교대 수량_토공수량산출서-1공구-순성토(090713)" xfId="4285" xr:uid="{00000000-0005-0000-0000-0000BB100000}"/>
    <cellStyle name="_도곡3교 교대 수량_토공수량산출서-2공구-사토(080930)---자체발파암해결" xfId="4286" xr:uid="{00000000-0005-0000-0000-0000BC100000}"/>
    <cellStyle name="_도곡3교 교대 수량_토공수량산출서-2공구-사토(090225)" xfId="4287" xr:uid="{00000000-0005-0000-0000-0000BD100000}"/>
    <cellStyle name="_도곡3교 교대 수량_토공수량산출서-3공구-사토" xfId="4288" xr:uid="{00000000-0005-0000-0000-0000BE100000}"/>
    <cellStyle name="_도곡4교 하부공 수량" xfId="4289" xr:uid="{00000000-0005-0000-0000-0000BF100000}"/>
    <cellStyle name="_도곡4교 하부공 수량_2(변경)-토공" xfId="4290" xr:uid="{00000000-0005-0000-0000-0000C0100000}"/>
    <cellStyle name="_도곡4교 하부공 수량_2(변경)-토공_20040423_동해2리 오지도로" xfId="4291" xr:uid="{00000000-0005-0000-0000-0000C1100000}"/>
    <cellStyle name="_도곡4교 하부공 수량_2(변경)-토공_20040523_반계3리 오지도로" xfId="4292" xr:uid="{00000000-0005-0000-0000-0000C2100000}"/>
    <cellStyle name="_도곡4교 하부공 수량_2(변경)-토공_20040530_양잠2리(사당골)" xfId="4293" xr:uid="{00000000-0005-0000-0000-0000C3100000}"/>
    <cellStyle name="_도곡4교 하부공 수량_2(변경)-토공_20040601_누동2리(장곰)" xfId="4294" xr:uid="{00000000-0005-0000-0000-0000C4100000}"/>
    <cellStyle name="_도곡4교 하부공 수량_2(변경)-토공_20040610_황촌1리 오지도로" xfId="4295" xr:uid="{00000000-0005-0000-0000-0000C5100000}"/>
    <cellStyle name="_도곡4교 하부공 수량_2(변경)-토공_20040614_고남4리(옷점)" xfId="4296" xr:uid="{00000000-0005-0000-0000-0000C6100000}"/>
    <cellStyle name="_도곡4교 하부공 수량_2(변경)-토공_20040618_고남5리 오지도로" xfId="4297" xr:uid="{00000000-0005-0000-0000-0000C7100000}"/>
    <cellStyle name="_도곡4교 하부공 수량_2(변경)-토공_20040710_장곡2리 오지도로" xfId="4298" xr:uid="{00000000-0005-0000-0000-0000C8100000}"/>
    <cellStyle name="_도곡4교 하부공 수량_2(변경)-토공_20040712_장곡1리 오지도로" xfId="4299" xr:uid="{00000000-0005-0000-0000-0000C9100000}"/>
    <cellStyle name="_도곡4교 하부공 수량_2(변경)-토공_20040920_가의도하천정비" xfId="4300" xr:uid="{00000000-0005-0000-0000-0000CA100000}"/>
    <cellStyle name="_도곡4교 하부공 수량_20031216_고남5리 마을안길 포장" xfId="4301" xr:uid="{00000000-0005-0000-0000-0000CB100000}"/>
    <cellStyle name="_도곡4교 하부공 수량_20040423_동해2리 오지도로" xfId="4302" xr:uid="{00000000-0005-0000-0000-0000CC100000}"/>
    <cellStyle name="_도곡4교 하부공 수량_20040523_반계3리 오지도로" xfId="4303" xr:uid="{00000000-0005-0000-0000-0000CD100000}"/>
    <cellStyle name="_도곡4교 하부공 수량_20040530_양잠2리(사당골)" xfId="4304" xr:uid="{00000000-0005-0000-0000-0000CE100000}"/>
    <cellStyle name="_도곡4교 하부공 수량_20040601_누동2리(장곰)" xfId="4305" xr:uid="{00000000-0005-0000-0000-0000CF100000}"/>
    <cellStyle name="_도곡4교 하부공 수량_20040610_황촌1리 오지도로" xfId="4306" xr:uid="{00000000-0005-0000-0000-0000D0100000}"/>
    <cellStyle name="_도곡4교 하부공 수량_20040614_고남4리(옷점)" xfId="4307" xr:uid="{00000000-0005-0000-0000-0000D1100000}"/>
    <cellStyle name="_도곡4교 하부공 수량_20040618_고남5리 오지도로" xfId="4308" xr:uid="{00000000-0005-0000-0000-0000D2100000}"/>
    <cellStyle name="_도곡4교 하부공 수량_20040710_장곡2리 오지도로" xfId="4309" xr:uid="{00000000-0005-0000-0000-0000D3100000}"/>
    <cellStyle name="_도곡4교 하부공 수량_20040712_장곡1리 오지도로" xfId="4310" xr:uid="{00000000-0005-0000-0000-0000D4100000}"/>
    <cellStyle name="_도곡4교 하부공 수량_20040920_가의도하천정비" xfId="4311" xr:uid="{00000000-0005-0000-0000-0000D5100000}"/>
    <cellStyle name="_도곡4교 하부공 수량_2-1공구토공수량" xfId="4312" xr:uid="{00000000-0005-0000-0000-0000D6100000}"/>
    <cellStyle name="_도곡4교 하부공 수량_2-1공구토공수량_2-1공구토공수량" xfId="4313" xr:uid="{00000000-0005-0000-0000-0000D7100000}"/>
    <cellStyle name="_도곡4교 하부공 수량_2-1공구토공수량_우보토공" xfId="4314" xr:uid="{00000000-0005-0000-0000-0000D8100000}"/>
    <cellStyle name="_도곡4교 하부공 수량_2-2공구토공수량" xfId="4315" xr:uid="{00000000-0005-0000-0000-0000D9100000}"/>
    <cellStyle name="_도곡4교 하부공 수량_2-2공구토공수량_2-1공구토공수량" xfId="4316" xr:uid="{00000000-0005-0000-0000-0000DA100000}"/>
    <cellStyle name="_도곡4교 하부공 수량_2-2공구토공수량_우보토공" xfId="4317" xr:uid="{00000000-0005-0000-0000-0000DB100000}"/>
    <cellStyle name="_도곡4교 하부공 수량_RAMP-E교-최종000" xfId="4318" xr:uid="{00000000-0005-0000-0000-0000DC100000}"/>
    <cellStyle name="_도곡4교 하부공 수량_RAMP-E교-최종000_20020914_장곡1-4리 오지도로포장공사_2 변경설계서" xfId="4319" xr:uid="{00000000-0005-0000-0000-0000DD100000}"/>
    <cellStyle name="_도곡4교 하부공 수량_RAMP-E교-최종000_경지정리 지구내 배수로 준설공사" xfId="4320" xr:uid="{00000000-0005-0000-0000-0000DE100000}"/>
    <cellStyle name="_도곡4교 하부공 수량_RAMP-E교-최종000_시방서" xfId="4321" xr:uid="{00000000-0005-0000-0000-0000DF100000}"/>
    <cellStyle name="_도곡4교 하부공 수량_RAMP-E교-최종000_파도 - 모항선 횡배수관 확장" xfId="4322" xr:uid="{00000000-0005-0000-0000-0000E0100000}"/>
    <cellStyle name="_도곡4교 하부공 수량_RAMP-E교-최종000_파도 - 모항선 횡배수관 확장_20020914_장곡1-4리 오지도로포장공사_2 변경설계서" xfId="4323" xr:uid="{00000000-0005-0000-0000-0000E1100000}"/>
    <cellStyle name="_도곡4교 하부공 수량_RAMP-E교-최종000_파도 - 모항선 횡배수관 확장_경지정리 지구내 배수로 준설공사" xfId="4324" xr:uid="{00000000-0005-0000-0000-0000E2100000}"/>
    <cellStyle name="_도곡4교 하부공 수량_RAMP-E교-최종000_파도 - 모항선 횡배수관 확장_시방서" xfId="4325" xr:uid="{00000000-0005-0000-0000-0000E3100000}"/>
    <cellStyle name="_도곡4교 하부공 수량_경지정리 지구내 배수로 준설공사" xfId="4326" xr:uid="{00000000-0005-0000-0000-0000E4100000}"/>
    <cellStyle name="_도곡4교 하부공 수량_구조물깨기(남일보은2-1공구) " xfId="4327" xr:uid="{00000000-0005-0000-0000-0000E5100000}"/>
    <cellStyle name="_도곡4교 하부공 수량_구조물깨기(남일보은2-1공구) _2-1공구토공수량" xfId="4328" xr:uid="{00000000-0005-0000-0000-0000E6100000}"/>
    <cellStyle name="_도곡4교 하부공 수량_구조물깨기(남일보은2-1공구) _우보토공" xfId="4329" xr:uid="{00000000-0005-0000-0000-0000E7100000}"/>
    <cellStyle name="_도곡4교 하부공 수량_깨기수량_2-1공구" xfId="4330" xr:uid="{00000000-0005-0000-0000-0000E8100000}"/>
    <cellStyle name="_도곡4교 하부공 수량_깨기수량_2-1공구_2-1공구토공수량" xfId="4331" xr:uid="{00000000-0005-0000-0000-0000E9100000}"/>
    <cellStyle name="_도곡4교 하부공 수량_깨기수량_2-1공구_우보토공" xfId="4332" xr:uid="{00000000-0005-0000-0000-0000EA100000}"/>
    <cellStyle name="_도곡4교 하부공 수량_깨기수량_2-2공구" xfId="4333" xr:uid="{00000000-0005-0000-0000-0000EB100000}"/>
    <cellStyle name="_도곡4교 하부공 수량_시방서" xfId="4334" xr:uid="{00000000-0005-0000-0000-0000EC100000}"/>
    <cellStyle name="_도곡4교 하부공 수량_토공수량산출서-1공구-순성토(090425)" xfId="4335" xr:uid="{00000000-0005-0000-0000-0000ED100000}"/>
    <cellStyle name="_도곡4교 하부공 수량_토공수량산출서-1공구-순성토(090713)" xfId="4336" xr:uid="{00000000-0005-0000-0000-0000EE100000}"/>
    <cellStyle name="_도곡4교 하부공 수량_토공수량산출서-2공구-사토(080930)---자체발파암해결" xfId="4337" xr:uid="{00000000-0005-0000-0000-0000EF100000}"/>
    <cellStyle name="_도곡4교 하부공 수량_토공수량산출서-2공구-사토(090225)" xfId="4338" xr:uid="{00000000-0005-0000-0000-0000F0100000}"/>
    <cellStyle name="_도곡4교 하부공 수량_토공수량산출서-3공구-사토" xfId="4339" xr:uid="{00000000-0005-0000-0000-0000F1100000}"/>
    <cellStyle name="_도곡교 교대 수량" xfId="4340" xr:uid="{00000000-0005-0000-0000-0000F2100000}"/>
    <cellStyle name="_도곡교 교대 수량_2(변경)-토공" xfId="4341" xr:uid="{00000000-0005-0000-0000-0000F3100000}"/>
    <cellStyle name="_도곡교 교대 수량_2(변경)-토공_20040423_동해2리 오지도로" xfId="4342" xr:uid="{00000000-0005-0000-0000-0000F4100000}"/>
    <cellStyle name="_도곡교 교대 수량_2(변경)-토공_20040523_반계3리 오지도로" xfId="4343" xr:uid="{00000000-0005-0000-0000-0000F5100000}"/>
    <cellStyle name="_도곡교 교대 수량_2(변경)-토공_20040530_양잠2리(사당골)" xfId="4344" xr:uid="{00000000-0005-0000-0000-0000F6100000}"/>
    <cellStyle name="_도곡교 교대 수량_2(변경)-토공_20040601_누동2리(장곰)" xfId="4345" xr:uid="{00000000-0005-0000-0000-0000F7100000}"/>
    <cellStyle name="_도곡교 교대 수량_2(변경)-토공_20040610_황촌1리 오지도로" xfId="4346" xr:uid="{00000000-0005-0000-0000-0000F8100000}"/>
    <cellStyle name="_도곡교 교대 수량_2(변경)-토공_20040614_고남4리(옷점)" xfId="4347" xr:uid="{00000000-0005-0000-0000-0000F9100000}"/>
    <cellStyle name="_도곡교 교대 수량_2(변경)-토공_20040618_고남5리 오지도로" xfId="4348" xr:uid="{00000000-0005-0000-0000-0000FA100000}"/>
    <cellStyle name="_도곡교 교대 수량_2(변경)-토공_20040710_장곡2리 오지도로" xfId="4349" xr:uid="{00000000-0005-0000-0000-0000FB100000}"/>
    <cellStyle name="_도곡교 교대 수량_2(변경)-토공_20040712_장곡1리 오지도로" xfId="4350" xr:uid="{00000000-0005-0000-0000-0000FC100000}"/>
    <cellStyle name="_도곡교 교대 수량_2(변경)-토공_20040920_가의도하천정비" xfId="4351" xr:uid="{00000000-0005-0000-0000-0000FD100000}"/>
    <cellStyle name="_도곡교 교대 수량_20031216_고남5리 마을안길 포장" xfId="4352" xr:uid="{00000000-0005-0000-0000-0000FE100000}"/>
    <cellStyle name="_도곡교 교대 수량_20040423_동해2리 오지도로" xfId="4353" xr:uid="{00000000-0005-0000-0000-0000FF100000}"/>
    <cellStyle name="_도곡교 교대 수량_20040523_반계3리 오지도로" xfId="4354" xr:uid="{00000000-0005-0000-0000-000000110000}"/>
    <cellStyle name="_도곡교 교대 수량_20040530_양잠2리(사당골)" xfId="4355" xr:uid="{00000000-0005-0000-0000-000001110000}"/>
    <cellStyle name="_도곡교 교대 수량_20040601_누동2리(장곰)" xfId="4356" xr:uid="{00000000-0005-0000-0000-000002110000}"/>
    <cellStyle name="_도곡교 교대 수량_20040610_황촌1리 오지도로" xfId="4357" xr:uid="{00000000-0005-0000-0000-000003110000}"/>
    <cellStyle name="_도곡교 교대 수량_20040614_고남4리(옷점)" xfId="4358" xr:uid="{00000000-0005-0000-0000-000004110000}"/>
    <cellStyle name="_도곡교 교대 수량_20040618_고남5리 오지도로" xfId="4359" xr:uid="{00000000-0005-0000-0000-000005110000}"/>
    <cellStyle name="_도곡교 교대 수량_20040710_장곡2리 오지도로" xfId="4360" xr:uid="{00000000-0005-0000-0000-000006110000}"/>
    <cellStyle name="_도곡교 교대 수량_20040712_장곡1리 오지도로" xfId="4361" xr:uid="{00000000-0005-0000-0000-000007110000}"/>
    <cellStyle name="_도곡교 교대 수량_20040920_가의도하천정비" xfId="4362" xr:uid="{00000000-0005-0000-0000-000008110000}"/>
    <cellStyle name="_도곡교 교대 수량_2-1공구토공수량" xfId="4363" xr:uid="{00000000-0005-0000-0000-000009110000}"/>
    <cellStyle name="_도곡교 교대 수량_2-1공구토공수량_2-1공구토공수량" xfId="4364" xr:uid="{00000000-0005-0000-0000-00000A110000}"/>
    <cellStyle name="_도곡교 교대 수량_2-1공구토공수량_우보토공" xfId="4365" xr:uid="{00000000-0005-0000-0000-00000B110000}"/>
    <cellStyle name="_도곡교 교대 수량_2-2공구토공수량" xfId="4366" xr:uid="{00000000-0005-0000-0000-00000C110000}"/>
    <cellStyle name="_도곡교 교대 수량_2-2공구토공수량_2-1공구토공수량" xfId="4367" xr:uid="{00000000-0005-0000-0000-00000D110000}"/>
    <cellStyle name="_도곡교 교대 수량_2-2공구토공수량_우보토공" xfId="4368" xr:uid="{00000000-0005-0000-0000-00000E110000}"/>
    <cellStyle name="_도곡교 교대 수량_RAMP-E교-최종000" xfId="4369" xr:uid="{00000000-0005-0000-0000-00000F110000}"/>
    <cellStyle name="_도곡교 교대 수량_RAMP-E교-최종000_20020914_장곡1-4리 오지도로포장공사_2 변경설계서" xfId="4370" xr:uid="{00000000-0005-0000-0000-000010110000}"/>
    <cellStyle name="_도곡교 교대 수량_RAMP-E교-최종000_경지정리 지구내 배수로 준설공사" xfId="4371" xr:uid="{00000000-0005-0000-0000-000011110000}"/>
    <cellStyle name="_도곡교 교대 수량_RAMP-E교-최종000_시방서" xfId="4372" xr:uid="{00000000-0005-0000-0000-000012110000}"/>
    <cellStyle name="_도곡교 교대 수량_RAMP-E교-최종000_파도 - 모항선 횡배수관 확장" xfId="4373" xr:uid="{00000000-0005-0000-0000-000013110000}"/>
    <cellStyle name="_도곡교 교대 수량_RAMP-E교-최종000_파도 - 모항선 횡배수관 확장_20020914_장곡1-4리 오지도로포장공사_2 변경설계서" xfId="4374" xr:uid="{00000000-0005-0000-0000-000014110000}"/>
    <cellStyle name="_도곡교 교대 수량_RAMP-E교-최종000_파도 - 모항선 횡배수관 확장_경지정리 지구내 배수로 준설공사" xfId="4375" xr:uid="{00000000-0005-0000-0000-000015110000}"/>
    <cellStyle name="_도곡교 교대 수량_RAMP-E교-최종000_파도 - 모항선 횡배수관 확장_시방서" xfId="4376" xr:uid="{00000000-0005-0000-0000-000016110000}"/>
    <cellStyle name="_도곡교 교대 수량_경지정리 지구내 배수로 준설공사" xfId="4377" xr:uid="{00000000-0005-0000-0000-000017110000}"/>
    <cellStyle name="_도곡교 교대 수량_구조물깨기(남일보은2-1공구) " xfId="4378" xr:uid="{00000000-0005-0000-0000-000018110000}"/>
    <cellStyle name="_도곡교 교대 수량_구조물깨기(남일보은2-1공구) _2-1공구토공수량" xfId="4379" xr:uid="{00000000-0005-0000-0000-000019110000}"/>
    <cellStyle name="_도곡교 교대 수량_구조물깨기(남일보은2-1공구) _우보토공" xfId="4380" xr:uid="{00000000-0005-0000-0000-00001A110000}"/>
    <cellStyle name="_도곡교 교대 수량_깨기수량_2-1공구" xfId="4381" xr:uid="{00000000-0005-0000-0000-00001B110000}"/>
    <cellStyle name="_도곡교 교대 수량_깨기수량_2-1공구_2-1공구토공수량" xfId="4382" xr:uid="{00000000-0005-0000-0000-00001C110000}"/>
    <cellStyle name="_도곡교 교대 수량_깨기수량_2-1공구_우보토공" xfId="4383" xr:uid="{00000000-0005-0000-0000-00001D110000}"/>
    <cellStyle name="_도곡교 교대 수량_깨기수량_2-2공구" xfId="4384" xr:uid="{00000000-0005-0000-0000-00001E110000}"/>
    <cellStyle name="_도곡교 교대 수량_시방서" xfId="4385" xr:uid="{00000000-0005-0000-0000-00001F110000}"/>
    <cellStyle name="_도곡교 교대 수량_토공수량산출서-1공구-순성토(090425)" xfId="4386" xr:uid="{00000000-0005-0000-0000-000020110000}"/>
    <cellStyle name="_도곡교 교대 수량_토공수량산출서-1공구-순성토(090713)" xfId="4387" xr:uid="{00000000-0005-0000-0000-000021110000}"/>
    <cellStyle name="_도곡교 교대 수량_토공수량산출서-2공구-사토(080930)---자체발파암해결" xfId="4388" xr:uid="{00000000-0005-0000-0000-000022110000}"/>
    <cellStyle name="_도곡교 교대 수량_토공수량산출서-2공구-사토(090225)" xfId="4389" xr:uid="{00000000-0005-0000-0000-000023110000}"/>
    <cellStyle name="_도곡교 교대 수량_토공수량산출서-3공구-사토" xfId="4390" xr:uid="{00000000-0005-0000-0000-000024110000}"/>
    <cellStyle name="_도로,상,하수 DB구축설계서(2,4급)_2005" xfId="4391" xr:uid="{00000000-0005-0000-0000-000025110000}"/>
    <cellStyle name="_도로+상수+하수총괄분(진주시)-총괄-최종" xfId="4392" xr:uid="{00000000-0005-0000-0000-000026110000}"/>
    <cellStyle name="_도로공사대전지사" xfId="4393" xr:uid="{00000000-0005-0000-0000-000027110000}"/>
    <cellStyle name="_도로및지하시설물도공동구축사업 설계내역서.1.0" xfId="4394" xr:uid="{00000000-0005-0000-0000-000028110000}"/>
    <cellStyle name="_도로및지하시설물도공동구축사업 설계내역서.1.0_02._서울시_위례신도시_차집관거_설계예산서(전체)_0217" xfId="4395" xr:uid="{00000000-0005-0000-0000-000029110000}"/>
    <cellStyle name="_도로부대공표지" xfId="4396" xr:uid="{00000000-0005-0000-0000-00002A110000}"/>
    <cellStyle name="_도로시설물020517총괄" xfId="4397" xr:uid="{00000000-0005-0000-0000-00002B110000}"/>
    <cellStyle name="_도로와 지하시설물도 구축사업(2차) 설계내역서_v4" xfId="4398" xr:uid="{00000000-0005-0000-0000-00002C110000}"/>
    <cellStyle name="_도로와 지하시설물도 시범사업 설계내역서_1.2" xfId="4399" xr:uid="{00000000-0005-0000-0000-00002D110000}"/>
    <cellStyle name="_도리농로" xfId="4400" xr:uid="{00000000-0005-0000-0000-00002E110000}"/>
    <cellStyle name="_도시관리계획내역(1026)" xfId="4401" xr:uid="{00000000-0005-0000-0000-00002F110000}"/>
    <cellStyle name="_도원동내역및수량산출서(0813)" xfId="4402" xr:uid="{00000000-0005-0000-0000-000030110000}"/>
    <cellStyle name="_돌고개농로" xfId="4403" xr:uid="{00000000-0005-0000-0000-000031110000}"/>
    <cellStyle name="_돌망태수량(바이리)" xfId="4404" xr:uid="{00000000-0005-0000-0000-000032110000}"/>
    <cellStyle name="_동대문실내체육관(천마낙찰)" xfId="4405" xr:uid="{00000000-0005-0000-0000-000033110000}"/>
    <cellStyle name="_동원꽃농원" xfId="4406" xr:uid="{00000000-0005-0000-0000-000034110000}"/>
    <cellStyle name="_동해2리오지도로" xfId="4407" xr:uid="{00000000-0005-0000-0000-000035110000}"/>
    <cellStyle name="_동홍천외12개하천(도급내역)" xfId="4408" xr:uid="{00000000-0005-0000-0000-000036110000}"/>
    <cellStyle name="_두계변전소하도급" xfId="4409" xr:uid="{00000000-0005-0000-0000-000037110000}"/>
    <cellStyle name="_등촌고등총괄(동현하도급)" xfId="4410" xr:uid="{00000000-0005-0000-0000-000038110000}"/>
    <cellStyle name="_라멘교 토공" xfId="4411" xr:uid="{00000000-0005-0000-0000-000039110000}"/>
    <cellStyle name="_마현~생창국도건설공사" xfId="4412" xr:uid="{00000000-0005-0000-0000-00003A110000}"/>
    <cellStyle name="_맹암거깨기" xfId="4413" xr:uid="{00000000-0005-0000-0000-00003B110000}"/>
    <cellStyle name="_명암지-산성간" xfId="4414" xr:uid="{00000000-0005-0000-0000-00003C110000}"/>
    <cellStyle name="_모바일 지리정보 현장관리시스템 설계서" xfId="4415" xr:uid="{00000000-0005-0000-0000-00003D110000}"/>
    <cellStyle name="_모점3공구" xfId="4416" xr:uid="{00000000-0005-0000-0000-00003E110000}"/>
    <cellStyle name="_몽산포 원가계산서" xfId="4417" xr:uid="{00000000-0005-0000-0000-00003F110000}"/>
    <cellStyle name="_무안군_UIS설계서(1013)" xfId="4418" xr:uid="{00000000-0005-0000-0000-000040110000}"/>
    <cellStyle name="_무주(선진지견학)" xfId="4419" xr:uid="{00000000-0005-0000-0000-000041110000}"/>
    <cellStyle name="_문의 미천 가로등" xfId="4420" xr:uid="{00000000-0005-0000-0000-000042110000}"/>
    <cellStyle name="_문화재GIS_설계내역_040718_v3" xfId="4421" xr:uid="{00000000-0005-0000-0000-000043110000}"/>
    <cellStyle name="_물건조사" xfId="4422" xr:uid="{00000000-0005-0000-0000-000044110000}"/>
    <cellStyle name="_반계3리오지도로" xfId="4423" xr:uid="{00000000-0005-0000-0000-000045110000}"/>
    <cellStyle name="_반월정수장전기시설공사(060118)" xfId="4424" xr:uid="{00000000-0005-0000-0000-000046110000}"/>
    <cellStyle name="_발주내역서(추자도090527) ver2" xfId="4425" xr:uid="{00000000-0005-0000-0000-000047110000}"/>
    <cellStyle name="_발주내역서(추자도090708) ver2" xfId="4426" xr:uid="{00000000-0005-0000-0000-000048110000}"/>
    <cellStyle name="_방동" xfId="4427" xr:uid="{00000000-0005-0000-0000-000049110000}"/>
    <cellStyle name="_방동_03구조~1" xfId="4428" xr:uid="{00000000-0005-0000-0000-00004A110000}"/>
    <cellStyle name="_방동_03구조~1_라멘교 토공" xfId="4429" xr:uid="{00000000-0005-0000-0000-00004B110000}"/>
    <cellStyle name="_방동_03구조~1_포장" xfId="4430" xr:uid="{00000000-0005-0000-0000-00004C110000}"/>
    <cellStyle name="_방동_03구조~1_포장_라멘교 토공" xfId="4431" xr:uid="{00000000-0005-0000-0000-00004D110000}"/>
    <cellStyle name="_방동_03구조물공" xfId="4432" xr:uid="{00000000-0005-0000-0000-00004E110000}"/>
    <cellStyle name="_방동_03구조물공_라멘교 토공" xfId="4433" xr:uid="{00000000-0005-0000-0000-00004F110000}"/>
    <cellStyle name="_방동_03구조물공_포장" xfId="4434" xr:uid="{00000000-0005-0000-0000-000050110000}"/>
    <cellStyle name="_방동_03구조물공_포장_라멘교 토공" xfId="4435" xr:uid="{00000000-0005-0000-0000-000051110000}"/>
    <cellStyle name="_방동_동막리소교량" xfId="4436" xr:uid="{00000000-0005-0000-0000-000052110000}"/>
    <cellStyle name="_방동_동막리소교량_라멘교 토공" xfId="4437" xr:uid="{00000000-0005-0000-0000-000053110000}"/>
    <cellStyle name="_방동_동막리소교량_포장" xfId="4438" xr:uid="{00000000-0005-0000-0000-000054110000}"/>
    <cellStyle name="_방동_동막리소교량_포장_라멘교 토공" xfId="4439" xr:uid="{00000000-0005-0000-0000-000055110000}"/>
    <cellStyle name="_방동_라멘교 토공" xfId="4440" xr:uid="{00000000-0005-0000-0000-000056110000}"/>
    <cellStyle name="_방동_마현12~1" xfId="4441" xr:uid="{00000000-0005-0000-0000-000057110000}"/>
    <cellStyle name="_방동_마현12~1_라멘교 토공" xfId="4442" xr:uid="{00000000-0005-0000-0000-000058110000}"/>
    <cellStyle name="_방동_마현12~1_포장" xfId="4443" xr:uid="{00000000-0005-0000-0000-000059110000}"/>
    <cellStyle name="_방동_마현12~1_포장_라멘교 토공" xfId="4444" xr:uid="{00000000-0005-0000-0000-00005A110000}"/>
    <cellStyle name="_방동_문혜3리" xfId="4445" xr:uid="{00000000-0005-0000-0000-00005B110000}"/>
    <cellStyle name="_방동_문혜3리_라멘교 토공" xfId="4446" xr:uid="{00000000-0005-0000-0000-00005C110000}"/>
    <cellStyle name="_방동_문혜3리_포장" xfId="4447" xr:uid="{00000000-0005-0000-0000-00005D110000}"/>
    <cellStyle name="_방동_문혜3리_포장_라멘교 토공" xfId="4448" xr:uid="{00000000-0005-0000-0000-00005E110000}"/>
    <cellStyle name="_방동_방동" xfId="4449" xr:uid="{00000000-0005-0000-0000-00005F110000}"/>
    <cellStyle name="_방동_방동_라멘교 토공" xfId="4450" xr:uid="{00000000-0005-0000-0000-000060110000}"/>
    <cellStyle name="_방동_방동_포장" xfId="4451" xr:uid="{00000000-0005-0000-0000-000061110000}"/>
    <cellStyle name="_방동_방동_포장_라멘교 토공" xfId="4452" xr:uid="{00000000-0005-0000-0000-000062110000}"/>
    <cellStyle name="_방동_산양2리지구" xfId="4453" xr:uid="{00000000-0005-0000-0000-000063110000}"/>
    <cellStyle name="_방동_산양2리지구_라멘교 토공" xfId="4454" xr:uid="{00000000-0005-0000-0000-000064110000}"/>
    <cellStyle name="_방동_산양2리지구_포장" xfId="4455" xr:uid="{00000000-0005-0000-0000-000065110000}"/>
    <cellStyle name="_방동_산양2리지구_포장_라멘교 토공" xfId="4456" xr:uid="{00000000-0005-0000-0000-000066110000}"/>
    <cellStyle name="_방동_산양리지구" xfId="4457" xr:uid="{00000000-0005-0000-0000-000067110000}"/>
    <cellStyle name="_방동_산양리지구_라멘교 토공" xfId="4458" xr:uid="{00000000-0005-0000-0000-000068110000}"/>
    <cellStyle name="_방동_산양리지구_포장" xfId="4459" xr:uid="{00000000-0005-0000-0000-000069110000}"/>
    <cellStyle name="_방동_산양리지구_포장_라멘교 토공" xfId="4460" xr:uid="{00000000-0005-0000-0000-00006A110000}"/>
    <cellStyle name="_방동_서상2리" xfId="4461" xr:uid="{00000000-0005-0000-0000-00006B110000}"/>
    <cellStyle name="_방동_서상2리_라멘교 토공" xfId="4462" xr:uid="{00000000-0005-0000-0000-00006C110000}"/>
    <cellStyle name="_방동_서상2리_포장" xfId="4463" xr:uid="{00000000-0005-0000-0000-00006D110000}"/>
    <cellStyle name="_방동_서상2리_포장_라멘교 토공" xfId="4464" xr:uid="{00000000-0005-0000-0000-00006E110000}"/>
    <cellStyle name="_방동_오항" xfId="4465" xr:uid="{00000000-0005-0000-0000-00006F110000}"/>
    <cellStyle name="_방동_오항_라멘교 토공" xfId="4466" xr:uid="{00000000-0005-0000-0000-000070110000}"/>
    <cellStyle name="_방동_오항_포장" xfId="4467" xr:uid="{00000000-0005-0000-0000-000071110000}"/>
    <cellStyle name="_방동_오항_포장_라멘교 토공" xfId="4468" xr:uid="{00000000-0005-0000-0000-000072110000}"/>
    <cellStyle name="_방동_원평" xfId="4469" xr:uid="{00000000-0005-0000-0000-000073110000}"/>
    <cellStyle name="_방동_원평_라멘교 토공" xfId="4470" xr:uid="{00000000-0005-0000-0000-000074110000}"/>
    <cellStyle name="_방동_원평_포장" xfId="4471" xr:uid="{00000000-0005-0000-0000-000075110000}"/>
    <cellStyle name="_방동_원평_포장_라멘교 토공" xfId="4472" xr:uid="{00000000-0005-0000-0000-000076110000}"/>
    <cellStyle name="_방동_추곡" xfId="4473" xr:uid="{00000000-0005-0000-0000-000077110000}"/>
    <cellStyle name="_방동_추곡_라멘교 토공" xfId="4474" xr:uid="{00000000-0005-0000-0000-000078110000}"/>
    <cellStyle name="_방동_추곡_포장" xfId="4475" xr:uid="{00000000-0005-0000-0000-000079110000}"/>
    <cellStyle name="_방동_추곡_포장_라멘교 토공" xfId="4476" xr:uid="{00000000-0005-0000-0000-00007A110000}"/>
    <cellStyle name="_방동_포장" xfId="4477" xr:uid="{00000000-0005-0000-0000-00007B110000}"/>
    <cellStyle name="_방동_포장_라멘교 토공" xfId="4478" xr:uid="{00000000-0005-0000-0000-00007C110000}"/>
    <cellStyle name="_방음벽수량" xfId="4479" xr:uid="{00000000-0005-0000-0000-00007D110000}"/>
    <cellStyle name="_방음벽수량_(구조물)깨기" xfId="4480" xr:uid="{00000000-0005-0000-0000-00007E110000}"/>
    <cellStyle name="_방음벽수량_(구조물)깨기_01 콘크리트(구조물)깨기" xfId="4481" xr:uid="{00000000-0005-0000-0000-00007F110000}"/>
    <cellStyle name="_방음벽수량_0.토공수량(영동)" xfId="4482" xr:uid="{00000000-0005-0000-0000-000080110000}"/>
    <cellStyle name="_방음벽수량_0.토공수량(영동)_00.토공" xfId="4483" xr:uid="{00000000-0005-0000-0000-000081110000}"/>
    <cellStyle name="_방음벽수량_0.토공수량(영동)_Book1" xfId="4484" xr:uid="{00000000-0005-0000-0000-000082110000}"/>
    <cellStyle name="_방음벽수량_00.토공" xfId="4485" xr:uid="{00000000-0005-0000-0000-000083110000}"/>
    <cellStyle name="_방음벽수량_00.토공_00.토공" xfId="4486" xr:uid="{00000000-0005-0000-0000-000084110000}"/>
    <cellStyle name="_방음벽수량_00.토공_Book1" xfId="4487" xr:uid="{00000000-0005-0000-0000-000085110000}"/>
    <cellStyle name="_방음벽수량_02.포장깨기(남해선)" xfId="4488" xr:uid="{00000000-0005-0000-0000-000086110000}"/>
    <cellStyle name="_방음벽수량_02.포장깨기(남해선)_02.포장깨기(남해선)" xfId="4489" xr:uid="{00000000-0005-0000-0000-000087110000}"/>
    <cellStyle name="_방음벽수량_깨기-취합" xfId="4490" xr:uid="{00000000-0005-0000-0000-000088110000}"/>
    <cellStyle name="_방음벽수량_깨기-취합_(구조물)깨기" xfId="4491" xr:uid="{00000000-0005-0000-0000-000089110000}"/>
    <cellStyle name="_방음벽수량_깨기-취합_(구조물)깨기_01 콘크리트(구조물)깨기" xfId="4492" xr:uid="{00000000-0005-0000-0000-00008A110000}"/>
    <cellStyle name="_방음벽수량_깨기-취합_02.포장깨기(남해선)" xfId="4493" xr:uid="{00000000-0005-0000-0000-00008B110000}"/>
    <cellStyle name="_방음벽수량_깨기-취합_02.포장깨기(남해선)_02.포장깨기(남해선)" xfId="4494" xr:uid="{00000000-0005-0000-0000-00008C110000}"/>
    <cellStyle name="_방음벽수량_깨기-취합_영동깨기최종(세준)" xfId="4495" xr:uid="{00000000-0005-0000-0000-00008D110000}"/>
    <cellStyle name="_방음벽수량_깨기-취합_영동깨기최종(세준)_(구조물)깨기" xfId="4496" xr:uid="{00000000-0005-0000-0000-00008E110000}"/>
    <cellStyle name="_방음벽수량_깨기-취합_영동깨기최종(세준)_(구조물)깨기_01 콘크리트(구조물)깨기" xfId="4497" xr:uid="{00000000-0005-0000-0000-00008F110000}"/>
    <cellStyle name="_방음벽수량_깨기-취합_영동깨기최종(세준)_02.포장깨기(남해선)" xfId="4498" xr:uid="{00000000-0005-0000-0000-000090110000}"/>
    <cellStyle name="_방음벽수량_깨기-취합_영동깨기최종(세준)_02.포장깨기(남해선)_02.포장깨기(남해선)" xfId="4499" xr:uid="{00000000-0005-0000-0000-000091110000}"/>
    <cellStyle name="_방음벽수량_깨기-취합_영동깨기최종(세준)_포장깨기" xfId="4500" xr:uid="{00000000-0005-0000-0000-000092110000}"/>
    <cellStyle name="_방음벽수량_깨기-취합_포장깨기" xfId="4501" xr:uid="{00000000-0005-0000-0000-000093110000}"/>
    <cellStyle name="_방음벽수량_포장깨기" xfId="4502" xr:uid="{00000000-0005-0000-0000-000094110000}"/>
    <cellStyle name="_방재내역서 기본계획" xfId="4503" xr:uid="{00000000-0005-0000-0000-000095110000}"/>
    <cellStyle name="_배,포,부,자" xfId="4504" xr:uid="{00000000-0005-0000-0000-000096110000}"/>
    <cellStyle name="_배,포,부,자재집" xfId="4505" xr:uid="{00000000-0005-0000-0000-000097110000}"/>
    <cellStyle name="_배수공" xfId="4506" xr:uid="{00000000-0005-0000-0000-000098110000}"/>
    <cellStyle name="_배수공_배수공" xfId="4507" xr:uid="{00000000-0005-0000-0000-000099110000}"/>
    <cellStyle name="_배수공_배수공_1" xfId="4508" xr:uid="{00000000-0005-0000-0000-00009A110000}"/>
    <cellStyle name="_배수공_배수공_1_총괄자재집계(대2-28)" xfId="4509" xr:uid="{00000000-0005-0000-0000-00009B110000}"/>
    <cellStyle name="_배수공_배수공_배수공" xfId="4510" xr:uid="{00000000-0005-0000-0000-00009C110000}"/>
    <cellStyle name="_배수공_배수공_배수공_총괄자재집계(대2-28)" xfId="4511" xr:uid="{00000000-0005-0000-0000-00009D110000}"/>
    <cellStyle name="_배수공_배수공_총괄자재집계(대2-28)" xfId="4512" xr:uid="{00000000-0005-0000-0000-00009E110000}"/>
    <cellStyle name="_배수공_배수공_포장공사" xfId="4513" xr:uid="{00000000-0005-0000-0000-00009F110000}"/>
    <cellStyle name="_배수공_배수공_포장공사_총괄자재집계(대2-28)" xfId="4514" xr:uid="{00000000-0005-0000-0000-0000A0110000}"/>
    <cellStyle name="_배수공_배수공_포장공사_포장공사" xfId="4515" xr:uid="{00000000-0005-0000-0000-0000A1110000}"/>
    <cellStyle name="_배수공_배수공_포장공사_포장공사_총괄자재집계(대2-28)" xfId="4516" xr:uid="{00000000-0005-0000-0000-0000A2110000}"/>
    <cellStyle name="_배수공_총괄자재집계(대2-28)" xfId="4517" xr:uid="{00000000-0005-0000-0000-0000A3110000}"/>
    <cellStyle name="_배수공_포장공사" xfId="4518" xr:uid="{00000000-0005-0000-0000-0000A4110000}"/>
    <cellStyle name="_배수공_포장공사_총괄자재집계(대2-28)" xfId="4519" xr:uid="{00000000-0005-0000-0000-0000A5110000}"/>
    <cellStyle name="_배수공_포장공사_포장공사" xfId="4520" xr:uid="{00000000-0005-0000-0000-0000A6110000}"/>
    <cellStyle name="_배수공_포장공사_포장공사_총괄자재집계(대2-28)" xfId="4521" xr:uid="{00000000-0005-0000-0000-0000A7110000}"/>
    <cellStyle name="_배수공1" xfId="4522" xr:uid="{00000000-0005-0000-0000-0000A8110000}"/>
    <cellStyle name="_배수공1_배수공" xfId="4523" xr:uid="{00000000-0005-0000-0000-0000A9110000}"/>
    <cellStyle name="_배수공1_배수공_총괄자재집계(대2-28)" xfId="4524" xr:uid="{00000000-0005-0000-0000-0000AA110000}"/>
    <cellStyle name="_배수공1_총괄자재집계(대2-28)" xfId="4525" xr:uid="{00000000-0005-0000-0000-0000AB110000}"/>
    <cellStyle name="_배수공1_포장공사" xfId="4526" xr:uid="{00000000-0005-0000-0000-0000AC110000}"/>
    <cellStyle name="_배수공1_포장공사_총괄자재집계(대2-28)" xfId="4527" xr:uid="{00000000-0005-0000-0000-0000AD110000}"/>
    <cellStyle name="_배수공1_포장공사_포장공사" xfId="4528" xr:uid="{00000000-0005-0000-0000-0000AE110000}"/>
    <cellStyle name="_배수공1_포장공사_포장공사_총괄자재집계(대2-28)" xfId="4529" xr:uid="{00000000-0005-0000-0000-0000AF110000}"/>
    <cellStyle name="_배수공3" xfId="4530" xr:uid="{00000000-0005-0000-0000-0000B0110000}"/>
    <cellStyle name="_배수공단량(변경)" xfId="4531" xr:uid="{00000000-0005-0000-0000-0000B1110000}"/>
    <cellStyle name="_배수공단량(변경)_배수공" xfId="4532" xr:uid="{00000000-0005-0000-0000-0000B2110000}"/>
    <cellStyle name="_배수공단량(변경)_배수공_총괄자재집계(대2-28)" xfId="4533" xr:uid="{00000000-0005-0000-0000-0000B3110000}"/>
    <cellStyle name="_배수공단량(변경)_총괄자재집계(대2-28)" xfId="4534" xr:uid="{00000000-0005-0000-0000-0000B4110000}"/>
    <cellStyle name="_배수공단량(변경)_포장공사" xfId="4535" xr:uid="{00000000-0005-0000-0000-0000B5110000}"/>
    <cellStyle name="_배수공단량(변경)_포장공사_총괄자재집계(대2-28)" xfId="4536" xr:uid="{00000000-0005-0000-0000-0000B6110000}"/>
    <cellStyle name="_배수공단량(변경)_포장공사_포장공사" xfId="4537" xr:uid="{00000000-0005-0000-0000-0000B7110000}"/>
    <cellStyle name="_배수공단량(변경)_포장공사_포장공사_총괄자재집계(대2-28)" xfId="4538" xr:uid="{00000000-0005-0000-0000-0000B8110000}"/>
    <cellStyle name="_배수공사" xfId="4539" xr:uid="{00000000-0005-0000-0000-0000B9110000}"/>
    <cellStyle name="_배수공사(발주분)" xfId="4540" xr:uid="{00000000-0005-0000-0000-0000BA110000}"/>
    <cellStyle name="_배수공집계" xfId="4541" xr:uid="{00000000-0005-0000-0000-0000BB110000}"/>
    <cellStyle name="_배수공집계_토공(3지구)" xfId="4542" xr:uid="{00000000-0005-0000-0000-0000BC110000}"/>
    <cellStyle name="_배수공집계_토공(3지구)_토공(4지구)" xfId="4543" xr:uid="{00000000-0005-0000-0000-0000BD110000}"/>
    <cellStyle name="_배수공집계_토공(3지구)_토공(4지구)_토공(4지구)" xfId="4544" xr:uid="{00000000-0005-0000-0000-0000BE110000}"/>
    <cellStyle name="_배수공집계_토공(4지구)" xfId="4545" xr:uid="{00000000-0005-0000-0000-0000BF110000}"/>
    <cellStyle name="_배수공집계_토공(4지구)_토공(4지구)" xfId="4546" xr:uid="{00000000-0005-0000-0000-0000C0110000}"/>
    <cellStyle name="_배수공집계_토공(4지구)_토공(4지구)_토공(3지구)" xfId="4547" xr:uid="{00000000-0005-0000-0000-0000C1110000}"/>
    <cellStyle name="_배수공집계_토공(4지구)_토공(4지구)_토공(3지구)_토공(4지구)" xfId="4548" xr:uid="{00000000-0005-0000-0000-0000C2110000}"/>
    <cellStyle name="_배수공집계_토공(4지구)_토공(4지구)_토공(3지구)_토공(4지구)_토공(4지구)" xfId="4549" xr:uid="{00000000-0005-0000-0000-0000C3110000}"/>
    <cellStyle name="_배수공집계_토공(4지구)_토공(4지구)_토공(4지구)" xfId="4550" xr:uid="{00000000-0005-0000-0000-0000C4110000}"/>
    <cellStyle name="_배수설비 수량산출( TYPE-B)" xfId="4551" xr:uid="{00000000-0005-0000-0000-0000C5110000}"/>
    <cellStyle name="_백마지하차도(BOX구간)" xfId="4552" xr:uid="{00000000-0005-0000-0000-0000C6110000}"/>
    <cellStyle name="_백마지하차도(BOX구간)_BOQ" xfId="4553" xr:uid="{00000000-0005-0000-0000-0000C7110000}"/>
    <cellStyle name="_백마지하차도(BOX구간)_구조물공수량집계" xfId="4554" xr:uid="{00000000-0005-0000-0000-0000C8110000}"/>
    <cellStyle name="_백마지하차도(BOX구간)_백마지하차도(BOX구간)" xfId="4555" xr:uid="{00000000-0005-0000-0000-0000C9110000}"/>
    <cellStyle name="_백마지하차도(BOX구간)_일산지하차도(BOX구간)" xfId="4556" xr:uid="{00000000-0005-0000-0000-0000CA110000}"/>
    <cellStyle name="_백마지하차도(BOX구간)_접속슬래브" xfId="4557" xr:uid="{00000000-0005-0000-0000-0000CB110000}"/>
    <cellStyle name="_백마지하차도(BOX구간)_지하차도BOX(TYPE&quot;C&quot;)" xfId="4558" xr:uid="{00000000-0005-0000-0000-0000CC110000}"/>
    <cellStyle name="_백마지하차도(BOX구간)_지하차도BOX(집계)" xfId="4559" xr:uid="{00000000-0005-0000-0000-0000CD110000}"/>
    <cellStyle name="_범용 공동구축사업 설계내역서_샘플1.3" xfId="4560" xr:uid="{00000000-0005-0000-0000-0000CE110000}"/>
    <cellStyle name="_범용 공동구축사업 설계내역서_샘플1.3_02._서울시_위례신도시_차집관거_설계예산서(전체)_0217" xfId="4561" xr:uid="{00000000-0005-0000-0000-0000CF110000}"/>
    <cellStyle name="_범용 공동구축사업 설계내역서_샘플1.4" xfId="4562" xr:uid="{00000000-0005-0000-0000-0000D0110000}"/>
    <cellStyle name="_범용 공동구축사업 설계내역서_샘플1.4_02._서울시_위례신도시_차집관거_설계예산서(전체)_0217" xfId="4563" xr:uid="{00000000-0005-0000-0000-0000D1110000}"/>
    <cellStyle name="_범용추가개발 설계내역서(평균가중치방식)" xfId="4564" xr:uid="{00000000-0005-0000-0000-0000D2110000}"/>
    <cellStyle name="_범용추가개발 설계내역서(평균가중치방식) 2" xfId="4565" xr:uid="{00000000-0005-0000-0000-0000D3110000}"/>
    <cellStyle name="_범용추가개발 설계내역서(평균가중치방식)_0.무심천 및 율량처리분구 분류식화 관거정비계획 용역내역서-20억" xfId="4566" xr:uid="{00000000-0005-0000-0000-0000D4110000}"/>
    <cellStyle name="_범용추가개발 설계내역서(평균가중치방식)_02._서울시_위례신도시_차집관거_설계예산서(전체)_0217" xfId="4567" xr:uid="{00000000-0005-0000-0000-0000D5110000}"/>
    <cellStyle name="_범용추가개발내역" xfId="4568" xr:uid="{00000000-0005-0000-0000-0000D6110000}"/>
    <cellStyle name="_범용프로그램도입 예산설계서(2003기준)_1.6" xfId="4569" xr:uid="{00000000-0005-0000-0000-0000D7110000}"/>
    <cellStyle name="_범용프로그램도입 예산설계서(2003기준)_1.6_0.무심천 및 율량처리분구 분류식화 관거정비계획 용역내역서-20억" xfId="4570" xr:uid="{00000000-0005-0000-0000-0000D8110000}"/>
    <cellStyle name="_범용프로그램도입 예산설계서(2003기준)_1.6_02._서울시_위례신도시_차집관거_설계예산서(전체)_0217" xfId="4571" xr:uid="{00000000-0005-0000-0000-0000D9110000}"/>
    <cellStyle name="_범용프로그램도입 예산설계서_1.2" xfId="4572" xr:uid="{00000000-0005-0000-0000-0000DA110000}"/>
    <cellStyle name="_범용프로그램도입 예산설계서_1.2_0.무심천 및 율량처리분구 분류식화 관거정비계획 용역내역서-20억" xfId="4573" xr:uid="{00000000-0005-0000-0000-0000DB110000}"/>
    <cellStyle name="_범용프로그램도입 예산설계서_1.2_02._서울시_위례신도시_차집관거_설계예산서(전체)_0217" xfId="4574" xr:uid="{00000000-0005-0000-0000-0000DC110000}"/>
    <cellStyle name="_별첨(계획서및실적서양식)" xfId="4575" xr:uid="{00000000-0005-0000-0000-0000DD110000}"/>
    <cellStyle name="_별첨(계획서및실적서양식)_1" xfId="4576" xr:uid="{00000000-0005-0000-0000-0000DE110000}"/>
    <cellStyle name="_보령시 GIS 기본계획 산출내역서" xfId="4577" xr:uid="{00000000-0005-0000-0000-0000DF110000}"/>
    <cellStyle name="_보령시 ISP 예산설계서_v1" xfId="4578" xr:uid="{00000000-0005-0000-0000-0000E0110000}"/>
    <cellStyle name="_보령시gis기본계획설계-최종2안" xfId="4579" xr:uid="{00000000-0005-0000-0000-0000E1110000}"/>
    <cellStyle name="_보완측량_시설물" xfId="4580" xr:uid="{00000000-0005-0000-0000-0000E2110000}"/>
    <cellStyle name="_복성교교량공총괄" xfId="4581" xr:uid="{00000000-0005-0000-0000-0000E3110000}"/>
    <cellStyle name="_봉곡중내역서(대지건설)" xfId="4582" xr:uid="{00000000-0005-0000-0000-0000E4110000}"/>
    <cellStyle name="_봉곡중총괄(대지완결)" xfId="4583" xr:uid="{00000000-0005-0000-0000-0000E5110000}"/>
    <cellStyle name="_부대공" xfId="4584" xr:uid="{00000000-0005-0000-0000-0000E6110000}"/>
    <cellStyle name="_부대공(오수D-LINE)" xfId="4585" xr:uid="{00000000-0005-0000-0000-0000E7110000}"/>
    <cellStyle name="_부대공A" xfId="4586" xr:uid="{00000000-0005-0000-0000-0000E8110000}"/>
    <cellStyle name="_부대공A_토공(3지구)" xfId="4587" xr:uid="{00000000-0005-0000-0000-0000E9110000}"/>
    <cellStyle name="_부대공A_토공(3지구)_토공(4지구)" xfId="4588" xr:uid="{00000000-0005-0000-0000-0000EA110000}"/>
    <cellStyle name="_부대공A_토공(3지구)_토공(4지구)_토공(4지구)" xfId="4589" xr:uid="{00000000-0005-0000-0000-0000EB110000}"/>
    <cellStyle name="_부대공A_토공(4지구)" xfId="4590" xr:uid="{00000000-0005-0000-0000-0000EC110000}"/>
    <cellStyle name="_부대공A_토공(4지구)_토공(4지구)" xfId="4591" xr:uid="{00000000-0005-0000-0000-0000ED110000}"/>
    <cellStyle name="_부대공A_토공(4지구)_토공(4지구)_토공(3지구)" xfId="4592" xr:uid="{00000000-0005-0000-0000-0000EE110000}"/>
    <cellStyle name="_부대공A_토공(4지구)_토공(4지구)_토공(3지구)_토공(4지구)" xfId="4593" xr:uid="{00000000-0005-0000-0000-0000EF110000}"/>
    <cellStyle name="_부대공A_토공(4지구)_토공(4지구)_토공(3지구)_토공(4지구)_토공(4지구)" xfId="4594" xr:uid="{00000000-0005-0000-0000-0000F0110000}"/>
    <cellStyle name="_부대공A_토공(4지구)_토공(4지구)_토공(4지구)" xfId="4595" xr:uid="{00000000-0005-0000-0000-0000F1110000}"/>
    <cellStyle name="_부대공-A1" xfId="4596" xr:uid="{00000000-0005-0000-0000-0000F2110000}"/>
    <cellStyle name="_부대시설물수량산출" xfId="4597" xr:uid="{00000000-0005-0000-0000-0000F3110000}"/>
    <cellStyle name="_부대입찰확약서" xfId="4598" xr:uid="{00000000-0005-0000-0000-0000F4110000}"/>
    <cellStyle name="_부림제(혁성종합)" xfId="4599" xr:uid="{00000000-0005-0000-0000-0000F5110000}"/>
    <cellStyle name="_부천시 지하시설물통합정보시스템 구축사업 설계내역서_0514(FP)" xfId="4600" xr:uid="{00000000-0005-0000-0000-0000F6110000}"/>
    <cellStyle name="_부천시 지하시설물통합정보시스템 구축사업 설계내역서_0514(FP)_02._서울시_위례신도시_차집관거_설계예산서(전체)_0217" xfId="4601" xr:uid="{00000000-0005-0000-0000-0000F7110000}"/>
    <cellStyle name="_부천시 지하시설물통합정보시스템 구축사업 설계내역서_2.1(FP)" xfId="4602" xr:uid="{00000000-0005-0000-0000-0000F8110000}"/>
    <cellStyle name="_부천시 지하시설물통합정보시스템 구축사업 설계내역서_2.1(FP) 2" xfId="4603" xr:uid="{00000000-0005-0000-0000-0000F9110000}"/>
    <cellStyle name="_부천시 지하시설물통합정보시스템 구축사업 설계내역서_2.1(FP)_02._서울시_위례신도시_차집관거_설계예산서(전체)_0217" xfId="4604" xr:uid="{00000000-0005-0000-0000-0000FA110000}"/>
    <cellStyle name="_부천시 현장시설물관리시스템 구축사업 설계내역서_1.2" xfId="4605" xr:uid="{00000000-0005-0000-0000-0000FB110000}"/>
    <cellStyle name="_부천시 현장시설물관리시스템 구축사업 설계내역서_2.1(FP)" xfId="4606" xr:uid="{00000000-0005-0000-0000-0000FC110000}"/>
    <cellStyle name="_부천시 현장시설물관리시스템 구축사업 설계내역서_2.1(FP) 2" xfId="4607" xr:uid="{00000000-0005-0000-0000-0000FD110000}"/>
    <cellStyle name="_부천시 현장시설물관리시스템 구축사업 설계내역서_2.1(FP)_02._서울시_위례신도시_차집관거_설계예산서(전체)_0217" xfId="4608" xr:uid="{00000000-0005-0000-0000-0000FE110000}"/>
    <cellStyle name="_비석교일반수량" xfId="4609" xr:uid="{00000000-0005-0000-0000-0000FF110000}"/>
    <cellStyle name="_비탈면보호공" xfId="4610" xr:uid="{00000000-0005-0000-0000-000000120000}"/>
    <cellStyle name="_사본 - 승본도로수량(금회분)" xfId="4611" xr:uid="{00000000-0005-0000-0000-000001120000}"/>
    <cellStyle name="_사본 - 승본도로수량(금회분)_토공(3지구)" xfId="4612" xr:uid="{00000000-0005-0000-0000-000002120000}"/>
    <cellStyle name="_사본 - 승본도로수량(금회분)_토공(3지구)_토공(4지구)" xfId="4613" xr:uid="{00000000-0005-0000-0000-000003120000}"/>
    <cellStyle name="_사본 - 승본도로수량(금회분)_토공(3지구)_토공(4지구)_토공(4지구)" xfId="4614" xr:uid="{00000000-0005-0000-0000-000004120000}"/>
    <cellStyle name="_사본 - 승본도로수량(금회분)_토공(4지구)" xfId="4615" xr:uid="{00000000-0005-0000-0000-000005120000}"/>
    <cellStyle name="_사본 - 승본도로수량(금회분)_토공(4지구)_토공(4지구)" xfId="4616" xr:uid="{00000000-0005-0000-0000-000006120000}"/>
    <cellStyle name="_사본 - 승본도로수량(금회분)_토공(4지구)_토공(4지구)_토공(3지구)" xfId="4617" xr:uid="{00000000-0005-0000-0000-000007120000}"/>
    <cellStyle name="_사본 - 승본도로수량(금회분)_토공(4지구)_토공(4지구)_토공(3지구)_토공(4지구)" xfId="4618" xr:uid="{00000000-0005-0000-0000-000008120000}"/>
    <cellStyle name="_사본 - 승본도로수량(금회분)_토공(4지구)_토공(4지구)_토공(3지구)_토공(4지구)_토공(4지구)" xfId="4619" xr:uid="{00000000-0005-0000-0000-000009120000}"/>
    <cellStyle name="_사본 - 승본도로수량(금회분)_토공(4지구)_토공(4지구)_토공(4지구)" xfId="4620" xr:uid="{00000000-0005-0000-0000-00000A120000}"/>
    <cellStyle name="_사시농로" xfId="4621" xr:uid="{00000000-0005-0000-0000-00000B120000}"/>
    <cellStyle name="_사업대가기준(최신자료)" xfId="4622" xr:uid="{00000000-0005-0000-0000-00000C120000}"/>
    <cellStyle name="_사유서" xfId="4623" xr:uid="{00000000-0005-0000-0000-00000D120000}"/>
    <cellStyle name="_사유서_내역서" xfId="4624" xr:uid="{00000000-0005-0000-0000-00000E120000}"/>
    <cellStyle name="_사진대지" xfId="4625" xr:uid="{00000000-0005-0000-0000-00000F120000}"/>
    <cellStyle name="_사진대지_B-1,B-1-1노선변경실정보고" xfId="4626" xr:uid="{00000000-0005-0000-0000-000010120000}"/>
    <cellStyle name="_사진대지_B-1,B-1-1노선변경실정보고_발주내역서(제주도 하수처리장)1" xfId="4627" xr:uid="{00000000-0005-0000-0000-000011120000}"/>
    <cellStyle name="_사진대지_B-1,B-1-1노선변경실정보고_번암,산서하수처리장(처리장+관로+마을하수-1)" xfId="4628" xr:uid="{00000000-0005-0000-0000-000012120000}"/>
    <cellStyle name="_사진대지_B-1,B-1-1노선변경실정보고_조천배수지 확장사업 내역서" xfId="4629" xr:uid="{00000000-0005-0000-0000-000013120000}"/>
    <cellStyle name="_사진대지_B-1,B-1-1노선변경실정보고_진안지방상수도개발사업2-19(마을배수관로미포함)" xfId="4630" xr:uid="{00000000-0005-0000-0000-000014120000}"/>
    <cellStyle name="_사진대지_B-1,B-1-1노선변경실정보고_진안지방상수도개발사업2-19(마을배수관로미포함)_고수,공음,신림마을하수도" xfId="4631" xr:uid="{00000000-0005-0000-0000-000015120000}"/>
    <cellStyle name="_사진대지_B-1,B-1-1노선변경실정보고_진안지방상수도개발사업2-19(마을배수관로미포함)_고수,공음,신림마을하수도_발주내역서(제주도 하수처리장)1" xfId="4632" xr:uid="{00000000-0005-0000-0000-000016120000}"/>
    <cellStyle name="_사진대지_B-1,B-1-1노선변경실정보고_진안지방상수도개발사업2-19(마을배수관로미포함)_고수,공음,신림마을하수도_조천배수지 확장사업 내역서" xfId="4633" xr:uid="{00000000-0005-0000-0000-000017120000}"/>
    <cellStyle name="_사진대지_B-1,B-1-1노선변경실정보고_진안지방상수도개발사업2-19(마을배수관로미포함)_발주내역서(제주도 하수처리장)1" xfId="4634" xr:uid="{00000000-0005-0000-0000-000018120000}"/>
    <cellStyle name="_사진대지_B-1,B-1-1노선변경실정보고_진안지방상수도개발사업2-19(마을배수관로미포함)_번암,산서하수처리장(처리장+관로+마을하수-1)" xfId="4635" xr:uid="{00000000-0005-0000-0000-000019120000}"/>
    <cellStyle name="_사진대지_B-1,B-1-1노선변경실정보고_진안지방상수도개발사업2-19(마을배수관로미포함)_조천배수지 확장사업 내역서" xfId="4636" xr:uid="{00000000-0005-0000-0000-00001A120000}"/>
    <cellStyle name="_사진대지_발주내역서(제주도 하수처리장)1" xfId="4637" xr:uid="{00000000-0005-0000-0000-00001B120000}"/>
    <cellStyle name="_사진대지_번암,산서하수처리장(처리장+관로+마을하수-1)" xfId="4638" xr:uid="{00000000-0005-0000-0000-00001C120000}"/>
    <cellStyle name="_사진대지_조천배수지 확장사업 내역서" xfId="4639" xr:uid="{00000000-0005-0000-0000-00001D120000}"/>
    <cellStyle name="_사진대지_진안지방상수도개발사업2-19(마을배수관로미포함)" xfId="4640" xr:uid="{00000000-0005-0000-0000-00001E120000}"/>
    <cellStyle name="_사진대지_진안지방상수도개발사업2-19(마을배수관로미포함)_고수,공음,신림마을하수도" xfId="4641" xr:uid="{00000000-0005-0000-0000-00001F120000}"/>
    <cellStyle name="_사진대지_진안지방상수도개발사업2-19(마을배수관로미포함)_고수,공음,신림마을하수도_발주내역서(제주도 하수처리장)1" xfId="4642" xr:uid="{00000000-0005-0000-0000-000020120000}"/>
    <cellStyle name="_사진대지_진안지방상수도개발사업2-19(마을배수관로미포함)_고수,공음,신림마을하수도_조천배수지 확장사업 내역서" xfId="4643" xr:uid="{00000000-0005-0000-0000-000021120000}"/>
    <cellStyle name="_사진대지_진안지방상수도개발사업2-19(마을배수관로미포함)_발주내역서(제주도 하수처리장)1" xfId="4644" xr:uid="{00000000-0005-0000-0000-000022120000}"/>
    <cellStyle name="_사진대지_진안지방상수도개발사업2-19(마을배수관로미포함)_번암,산서하수처리장(처리장+관로+마을하수-1)" xfId="4645" xr:uid="{00000000-0005-0000-0000-000023120000}"/>
    <cellStyle name="_사진대지_진안지방상수도개발사업2-19(마을배수관로미포함)_조천배수지 확장사업 내역서" xfId="4646" xr:uid="{00000000-0005-0000-0000-000024120000}"/>
    <cellStyle name="_사천시 2차사업 설계내역서_최종(2004.6.10)" xfId="4647" xr:uid="{00000000-0005-0000-0000-000025120000}"/>
    <cellStyle name="_사천시_인트라넷설계서(0316)" xfId="4648" xr:uid="{00000000-0005-0000-0000-000026120000}"/>
    <cellStyle name="_산동2리수량" xfId="4649" xr:uid="{00000000-0005-0000-0000-000027120000}"/>
    <cellStyle name="_산림감시시스템 이전 설치공사 내역서" xfId="4650" xr:uid="{00000000-0005-0000-0000-000028120000}"/>
    <cellStyle name="_산업단지(33만평)기본및실시설계내역서" xfId="4651" xr:uid="{00000000-0005-0000-0000-000029120000}"/>
    <cellStyle name="_산업단지(33만평)지구지정(개발계획) 내역서" xfId="4652" xr:uid="{00000000-0005-0000-0000-00002A120000}"/>
    <cellStyle name="_산업단지(40만평)내역서" xfId="4653" xr:uid="{00000000-0005-0000-0000-00002B120000}"/>
    <cellStyle name="_산업단지(40만평)지구지정(개발계획) 내역서" xfId="4654" xr:uid="{00000000-0005-0000-0000-00002C120000}"/>
    <cellStyle name="_산출문막기준(일위-단산)감사조정-1" xfId="4655" xr:uid="{00000000-0005-0000-0000-00002D120000}"/>
    <cellStyle name="_삼남" xfId="4656" xr:uid="{00000000-0005-0000-0000-00002E120000}"/>
    <cellStyle name="_삼남_2차변경단가산출근거" xfId="4657" xr:uid="{00000000-0005-0000-0000-00002F120000}"/>
    <cellStyle name="_삼남_2차변경단가산출근거_3차변경단가산출근거" xfId="4658" xr:uid="{00000000-0005-0000-0000-000030120000}"/>
    <cellStyle name="_삼남_2차변경단가산출근거_3차변경단가산출근거_문화의 거리 농로포장(김병국2차)" xfId="4659" xr:uid="{00000000-0005-0000-0000-000031120000}"/>
    <cellStyle name="_삼남_2차변경단가산출근거_3차변경단가산출근거_문화의 거리 농로포장(김병국2차)_문화의 거리 농로포장(김병국2차)" xfId="4660" xr:uid="{00000000-0005-0000-0000-000032120000}"/>
    <cellStyle name="_삼남_2차변경단가산출근거_문화의 거리 농로포장(김병국2차)" xfId="4661" xr:uid="{00000000-0005-0000-0000-000033120000}"/>
    <cellStyle name="_삼남_2차변경단가산출근거_문화의 거리 농로포장(김병국2차)_문화의 거리 농로포장(김병국2차)" xfId="4662" xr:uid="{00000000-0005-0000-0000-000034120000}"/>
    <cellStyle name="_삼남_문화의 거리 농로포장(김병국2차)" xfId="4663" xr:uid="{00000000-0005-0000-0000-000035120000}"/>
    <cellStyle name="_삼남_문화의 거리 농로포장(김병국2차)_문화의 거리 농로포장(김병국2차)" xfId="4664" xr:uid="{00000000-0005-0000-0000-000036120000}"/>
    <cellStyle name="_삼남_외국인투자지역" xfId="4665" xr:uid="{00000000-0005-0000-0000-000037120000}"/>
    <cellStyle name="_삼남_외국인투자지역_3차변경단가산출근거" xfId="4666" xr:uid="{00000000-0005-0000-0000-000038120000}"/>
    <cellStyle name="_삼남_외국인투자지역_3차변경단가산출근거_문화의 거리 농로포장(김병국2차)" xfId="4667" xr:uid="{00000000-0005-0000-0000-000039120000}"/>
    <cellStyle name="_삼남_외국인투자지역_3차변경단가산출근거_문화의 거리 농로포장(김병국2차)_문화의 거리 농로포장(김병국2차)" xfId="4668" xr:uid="{00000000-0005-0000-0000-00003A120000}"/>
    <cellStyle name="_삼남_외국인투자지역_문화의 거리 농로포장(김병국2차)" xfId="4669" xr:uid="{00000000-0005-0000-0000-00003B120000}"/>
    <cellStyle name="_삼남_외국인투자지역_문화의 거리 농로포장(김병국2차)_문화의 거리 농로포장(김병국2차)" xfId="4670" xr:uid="{00000000-0005-0000-0000-00003C120000}"/>
    <cellStyle name="_삼사처리구역" xfId="4671" xr:uid="{00000000-0005-0000-0000-00003D120000}"/>
    <cellStyle name="_삼척산업단지폐수처리기본계획수립용역설계서" xfId="4672" xr:uid="{00000000-0005-0000-0000-00003E120000}"/>
    <cellStyle name="_삼척시GIS구축사업장비견적_기준가_0731" xfId="4673" xr:uid="{00000000-0005-0000-0000-00003F120000}"/>
    <cellStyle name="_상리~사천간국도4차로공사내역" xfId="4674" xr:uid="{00000000-0005-0000-0000-000040120000}"/>
    <cellStyle name="_상방부력" xfId="4675" xr:uid="{00000000-0005-0000-0000-000041120000}"/>
    <cellStyle name="_상방부력_02측구공" xfId="4676" xr:uid="{00000000-0005-0000-0000-000042120000}"/>
    <cellStyle name="_상방부력_05U(5823)" xfId="4677" xr:uid="{00000000-0005-0000-0000-000043120000}"/>
    <cellStyle name="_상방부력_05U(5823)_02측구공" xfId="4678" xr:uid="{00000000-0005-0000-0000-000044120000}"/>
    <cellStyle name="_상방부력_05U(5823)_수로BOX  (version 3)" xfId="4679" xr:uid="{00000000-0005-0000-0000-000045120000}"/>
    <cellStyle name="_상방부력_05U(5823)_통로BOX " xfId="4680" xr:uid="{00000000-0005-0000-0000-000046120000}"/>
    <cellStyle name="_상방부력_U-12" xfId="4681" xr:uid="{00000000-0005-0000-0000-000047120000}"/>
    <cellStyle name="_상방부력_U-12_02측구공" xfId="4682" xr:uid="{00000000-0005-0000-0000-000048120000}"/>
    <cellStyle name="_상방부력_U-12_수로BOX  (version 3)" xfId="4683" xr:uid="{00000000-0005-0000-0000-000049120000}"/>
    <cellStyle name="_상방부력_U-12_통로BOX " xfId="4684" xr:uid="{00000000-0005-0000-0000-00004A120000}"/>
    <cellStyle name="_상방부력_U-13" xfId="4685" xr:uid="{00000000-0005-0000-0000-00004B120000}"/>
    <cellStyle name="_상방부력_U-13_02측구공" xfId="4686" xr:uid="{00000000-0005-0000-0000-00004C120000}"/>
    <cellStyle name="_상방부력_U-13_수로BOX  (version 3)" xfId="4687" xr:uid="{00000000-0005-0000-0000-00004D120000}"/>
    <cellStyle name="_상방부력_U-13_통로BOX " xfId="4688" xr:uid="{00000000-0005-0000-0000-00004E120000}"/>
    <cellStyle name="_상방부력_U-14" xfId="4689" xr:uid="{00000000-0005-0000-0000-00004F120000}"/>
    <cellStyle name="_상방부력_U-14_02측구공" xfId="4690" xr:uid="{00000000-0005-0000-0000-000050120000}"/>
    <cellStyle name="_상방부력_U-14_수로BOX  (version 3)" xfId="4691" xr:uid="{00000000-0005-0000-0000-000051120000}"/>
    <cellStyle name="_상방부력_U-14_통로BOX " xfId="4692" xr:uid="{00000000-0005-0000-0000-000052120000}"/>
    <cellStyle name="_상방부력_U-14-1" xfId="4693" xr:uid="{00000000-0005-0000-0000-000053120000}"/>
    <cellStyle name="_상방부력_U-14-1_02측구공" xfId="4694" xr:uid="{00000000-0005-0000-0000-000054120000}"/>
    <cellStyle name="_상방부력_U-14-1_수로BOX  (version 3)" xfId="4695" xr:uid="{00000000-0005-0000-0000-000055120000}"/>
    <cellStyle name="_상방부력_U-14-1_통로BOX " xfId="4696" xr:uid="{00000000-0005-0000-0000-000056120000}"/>
    <cellStyle name="_상방부력_수로BOX  (version 3)" xfId="4697" xr:uid="{00000000-0005-0000-0000-000057120000}"/>
    <cellStyle name="_상방부력_통로BOX " xfId="4698" xr:uid="{00000000-0005-0000-0000-000058120000}"/>
    <cellStyle name="_상부 수량(최종)" xfId="4699" xr:uid="{00000000-0005-0000-0000-000059120000}"/>
    <cellStyle name="_상부수량산출서(상현교)" xfId="4700" xr:uid="{00000000-0005-0000-0000-00005A120000}"/>
    <cellStyle name="_상주GIS기본계획수립설계내역서(총괄)" xfId="4701" xr:uid="{00000000-0005-0000-0000-00005B120000}"/>
    <cellStyle name="_상주시 지리정보시스템(GIS) 기본계획수립용역 설계내역서" xfId="4702" xr:uid="{00000000-0005-0000-0000-00005C120000}"/>
    <cellStyle name="_상하수도 범용도입 설계내역서2.0" xfId="4703" xr:uid="{00000000-0005-0000-0000-00005D120000}"/>
    <cellStyle name="_상하수도 범용도입 설계내역서2.0_02._서울시_위례신도시_차집관거_설계예산서(전체)_0217" xfId="4704" xr:uid="{00000000-0005-0000-0000-00005E120000}"/>
    <cellStyle name="_새들초등학교(동성)" xfId="4705" xr:uid="{00000000-0005-0000-0000-00005F120000}"/>
    <cellStyle name="_새주소웹서버" xfId="4706" xr:uid="{00000000-0005-0000-0000-000060120000}"/>
    <cellStyle name="_새주소웹서버_0.무심천 및 율량처리분구 분류식화 관거정비계획 용역내역서-20억" xfId="4707" xr:uid="{00000000-0005-0000-0000-000061120000}"/>
    <cellStyle name="_새주소웹서버_02._서울시_위례신도시_차집관거_설계예산서(전체)_0217" xfId="4708" xr:uid="{00000000-0005-0000-0000-000062120000}"/>
    <cellStyle name="_서영빌딩(변경후)실행" xfId="4709" xr:uid="{00000000-0005-0000-0000-000063120000}"/>
    <cellStyle name="_서울시 도로굴착복구관리시스템(2단계) 설계내역서_v6" xfId="4710" xr:uid="{00000000-0005-0000-0000-000064120000}"/>
    <cellStyle name="_서울시_측량기준점관리시스템_설계내역서_v5" xfId="4711" xr:uid="{00000000-0005-0000-0000-000065120000}"/>
    <cellStyle name="_서울시_측량기준점관리시스템_설계내역서_v5 2" xfId="4712" xr:uid="{00000000-0005-0000-0000-000066120000}"/>
    <cellStyle name="_서울시_측량기준점관리시스템_설계내역서_v5_02._서울시_위례신도시_차집관거_설계예산서(전체)_0217" xfId="4713" xr:uid="{00000000-0005-0000-0000-000067120000}"/>
    <cellStyle name="_서울여대(20020516)" xfId="4714" xr:uid="{00000000-0005-0000-0000-000068120000}"/>
    <cellStyle name="_서울화일초(덕동)" xfId="4715" xr:uid="{00000000-0005-0000-0000-000069120000}"/>
    <cellStyle name="_석 축A" xfId="4716" xr:uid="{00000000-0005-0000-0000-00006A120000}"/>
    <cellStyle name="_석 축A_토공(3지구)" xfId="4717" xr:uid="{00000000-0005-0000-0000-00006B120000}"/>
    <cellStyle name="_석 축A_토공(3지구)_토공(4지구)" xfId="4718" xr:uid="{00000000-0005-0000-0000-00006C120000}"/>
    <cellStyle name="_석 축A_토공(3지구)_토공(4지구)_토공(4지구)" xfId="4719" xr:uid="{00000000-0005-0000-0000-00006D120000}"/>
    <cellStyle name="_석 축A_토공(4지구)" xfId="4720" xr:uid="{00000000-0005-0000-0000-00006E120000}"/>
    <cellStyle name="_석 축A_토공(4지구)_토공(4지구)" xfId="4721" xr:uid="{00000000-0005-0000-0000-00006F120000}"/>
    <cellStyle name="_석 축A_토공(4지구)_토공(4지구)_토공(3지구)" xfId="4722" xr:uid="{00000000-0005-0000-0000-000070120000}"/>
    <cellStyle name="_석 축A_토공(4지구)_토공(4지구)_토공(3지구)_토공(4지구)" xfId="4723" xr:uid="{00000000-0005-0000-0000-000071120000}"/>
    <cellStyle name="_석 축A_토공(4지구)_토공(4지구)_토공(3지구)_토공(4지구)_토공(4지구)" xfId="4724" xr:uid="{00000000-0005-0000-0000-000072120000}"/>
    <cellStyle name="_석 축A_토공(4지구)_토공(4지구)_토공(4지구)" xfId="4725" xr:uid="{00000000-0005-0000-0000-000073120000}"/>
    <cellStyle name="_석교농로" xfId="4726" xr:uid="{00000000-0005-0000-0000-000074120000}"/>
    <cellStyle name="_석축공" xfId="4727" xr:uid="{00000000-0005-0000-0000-000075120000}"/>
    <cellStyle name="_선정(1)" xfId="4728" xr:uid="{00000000-0005-0000-0000-000076120000}"/>
    <cellStyle name="_선정(1)_4.추진공(공암)" xfId="4729" xr:uid="{00000000-0005-0000-0000-000077120000}"/>
    <cellStyle name="_선정(1)_4.추진공(공암SAMPLE" xfId="4730" xr:uid="{00000000-0005-0000-0000-000078120000}"/>
    <cellStyle name="_선정(1)_4.추진공(서산)" xfId="4731" xr:uid="{00000000-0005-0000-0000-000079120000}"/>
    <cellStyle name="_선정(1)_4.추진공(읍내)" xfId="4732" xr:uid="{00000000-0005-0000-0000-00007A120000}"/>
    <cellStyle name="_선정(1)_4.추진공(황간)" xfId="4733" xr:uid="{00000000-0005-0000-0000-00007B120000}"/>
    <cellStyle name="_선정(1)_선정안(삼산)" xfId="4734" xr:uid="{00000000-0005-0000-0000-00007C120000}"/>
    <cellStyle name="_선정(1)_선정안(삼산)_4.추진공(공암)" xfId="4735" xr:uid="{00000000-0005-0000-0000-00007D120000}"/>
    <cellStyle name="_선정(1)_선정안(삼산)_4.추진공(공암SAMPLE" xfId="4736" xr:uid="{00000000-0005-0000-0000-00007E120000}"/>
    <cellStyle name="_선정(1)_선정안(삼산)_4.추진공(서산)" xfId="4737" xr:uid="{00000000-0005-0000-0000-00007F120000}"/>
    <cellStyle name="_선정(1)_선정안(삼산)_4.추진공(읍내)" xfId="4738" xr:uid="{00000000-0005-0000-0000-000080120000}"/>
    <cellStyle name="_선정(1)_선정안(삼산)_4.추진공(황간)" xfId="4739" xr:uid="{00000000-0005-0000-0000-000081120000}"/>
    <cellStyle name="_선정(1)_선정안(삼산)_영동군추진가시설수량" xfId="4740" xr:uid="{00000000-0005-0000-0000-000082120000}"/>
    <cellStyle name="_선정(1)_영동군추진가시설수량" xfId="4741" xr:uid="{00000000-0005-0000-0000-000083120000}"/>
    <cellStyle name="_선정(1)_추풍령" xfId="4742" xr:uid="{00000000-0005-0000-0000-000084120000}"/>
    <cellStyle name="_선정(1)_추풍령_4.추진공(공암)" xfId="4743" xr:uid="{00000000-0005-0000-0000-000085120000}"/>
    <cellStyle name="_선정(1)_추풍령_4.추진공(공암SAMPLE" xfId="4744" xr:uid="{00000000-0005-0000-0000-000086120000}"/>
    <cellStyle name="_선정(1)_추풍령_4.추진공(서산)" xfId="4745" xr:uid="{00000000-0005-0000-0000-000087120000}"/>
    <cellStyle name="_선정(1)_추풍령_4.추진공(읍내)" xfId="4746" xr:uid="{00000000-0005-0000-0000-000088120000}"/>
    <cellStyle name="_선정(1)_추풍령_4.추진공(황간)" xfId="4747" xr:uid="{00000000-0005-0000-0000-000089120000}"/>
    <cellStyle name="_선정(1)_추풍령_영동군추진가시설수량" xfId="4748" xr:uid="{00000000-0005-0000-0000-00008A120000}"/>
    <cellStyle name="_선정(1)_추풍령-1" xfId="4749" xr:uid="{00000000-0005-0000-0000-00008B120000}"/>
    <cellStyle name="_선정(1)_추풍령-1_4.추진공(공암)" xfId="4750" xr:uid="{00000000-0005-0000-0000-00008C120000}"/>
    <cellStyle name="_선정(1)_추풍령-1_4.추진공(공암SAMPLE" xfId="4751" xr:uid="{00000000-0005-0000-0000-00008D120000}"/>
    <cellStyle name="_선정(1)_추풍령-1_4.추진공(서산)" xfId="4752" xr:uid="{00000000-0005-0000-0000-00008E120000}"/>
    <cellStyle name="_선정(1)_추풍령-1_4.추진공(읍내)" xfId="4753" xr:uid="{00000000-0005-0000-0000-00008F120000}"/>
    <cellStyle name="_선정(1)_추풍령-1_4.추진공(황간)" xfId="4754" xr:uid="{00000000-0005-0000-0000-000090120000}"/>
    <cellStyle name="_선정(1)_추풍령-1_영동군추진가시설수량" xfId="4755" xr:uid="{00000000-0005-0000-0000-000091120000}"/>
    <cellStyle name="_선정(2)" xfId="4756" xr:uid="{00000000-0005-0000-0000-000092120000}"/>
    <cellStyle name="_선정(2)_4.추진공(공암)" xfId="4757" xr:uid="{00000000-0005-0000-0000-000093120000}"/>
    <cellStyle name="_선정(2)_4.추진공(공암SAMPLE" xfId="4758" xr:uid="{00000000-0005-0000-0000-000094120000}"/>
    <cellStyle name="_선정(2)_4.추진공(서산)" xfId="4759" xr:uid="{00000000-0005-0000-0000-000095120000}"/>
    <cellStyle name="_선정(2)_4.추진공(읍내)" xfId="4760" xr:uid="{00000000-0005-0000-0000-000096120000}"/>
    <cellStyle name="_선정(2)_4.추진공(황간)" xfId="4761" xr:uid="{00000000-0005-0000-0000-000097120000}"/>
    <cellStyle name="_선정(2)_선정안(삼산)" xfId="4762" xr:uid="{00000000-0005-0000-0000-000098120000}"/>
    <cellStyle name="_선정(2)_선정안(삼산)_4.추진공(공암)" xfId="4763" xr:uid="{00000000-0005-0000-0000-000099120000}"/>
    <cellStyle name="_선정(2)_선정안(삼산)_4.추진공(공암SAMPLE" xfId="4764" xr:uid="{00000000-0005-0000-0000-00009A120000}"/>
    <cellStyle name="_선정(2)_선정안(삼산)_4.추진공(서산)" xfId="4765" xr:uid="{00000000-0005-0000-0000-00009B120000}"/>
    <cellStyle name="_선정(2)_선정안(삼산)_4.추진공(읍내)" xfId="4766" xr:uid="{00000000-0005-0000-0000-00009C120000}"/>
    <cellStyle name="_선정(2)_선정안(삼산)_4.추진공(황간)" xfId="4767" xr:uid="{00000000-0005-0000-0000-00009D120000}"/>
    <cellStyle name="_선정(2)_선정안(삼산)_영동군추진가시설수량" xfId="4768" xr:uid="{00000000-0005-0000-0000-00009E120000}"/>
    <cellStyle name="_선정(2)_영동군추진가시설수량" xfId="4769" xr:uid="{00000000-0005-0000-0000-00009F120000}"/>
    <cellStyle name="_선정(2)_추풍령" xfId="4770" xr:uid="{00000000-0005-0000-0000-0000A0120000}"/>
    <cellStyle name="_선정(2)_추풍령_4.추진공(공암)" xfId="4771" xr:uid="{00000000-0005-0000-0000-0000A1120000}"/>
    <cellStyle name="_선정(2)_추풍령_4.추진공(공암SAMPLE" xfId="4772" xr:uid="{00000000-0005-0000-0000-0000A2120000}"/>
    <cellStyle name="_선정(2)_추풍령_4.추진공(서산)" xfId="4773" xr:uid="{00000000-0005-0000-0000-0000A3120000}"/>
    <cellStyle name="_선정(2)_추풍령_4.추진공(읍내)" xfId="4774" xr:uid="{00000000-0005-0000-0000-0000A4120000}"/>
    <cellStyle name="_선정(2)_추풍령_4.추진공(황간)" xfId="4775" xr:uid="{00000000-0005-0000-0000-0000A5120000}"/>
    <cellStyle name="_선정(2)_추풍령_영동군추진가시설수량" xfId="4776" xr:uid="{00000000-0005-0000-0000-0000A6120000}"/>
    <cellStyle name="_선정(2)_추풍령-1" xfId="4777" xr:uid="{00000000-0005-0000-0000-0000A7120000}"/>
    <cellStyle name="_선정(2)_추풍령-1_4.추진공(공암)" xfId="4778" xr:uid="{00000000-0005-0000-0000-0000A8120000}"/>
    <cellStyle name="_선정(2)_추풍령-1_4.추진공(공암SAMPLE" xfId="4779" xr:uid="{00000000-0005-0000-0000-0000A9120000}"/>
    <cellStyle name="_선정(2)_추풍령-1_4.추진공(서산)" xfId="4780" xr:uid="{00000000-0005-0000-0000-0000AA120000}"/>
    <cellStyle name="_선정(2)_추풍령-1_4.추진공(읍내)" xfId="4781" xr:uid="{00000000-0005-0000-0000-0000AB120000}"/>
    <cellStyle name="_선정(2)_추풍령-1_4.추진공(황간)" xfId="4782" xr:uid="{00000000-0005-0000-0000-0000AC120000}"/>
    <cellStyle name="_선정(2)_추풍령-1_영동군추진가시설수량" xfId="4783" xr:uid="{00000000-0005-0000-0000-0000AD120000}"/>
    <cellStyle name="_선정(3)" xfId="4784" xr:uid="{00000000-0005-0000-0000-0000AE120000}"/>
    <cellStyle name="_선정(3)_4.추진공(공암)" xfId="4785" xr:uid="{00000000-0005-0000-0000-0000AF120000}"/>
    <cellStyle name="_선정(3)_4.추진공(공암SAMPLE" xfId="4786" xr:uid="{00000000-0005-0000-0000-0000B0120000}"/>
    <cellStyle name="_선정(3)_4.추진공(서산)" xfId="4787" xr:uid="{00000000-0005-0000-0000-0000B1120000}"/>
    <cellStyle name="_선정(3)_4.추진공(읍내)" xfId="4788" xr:uid="{00000000-0005-0000-0000-0000B2120000}"/>
    <cellStyle name="_선정(3)_4.추진공(황간)" xfId="4789" xr:uid="{00000000-0005-0000-0000-0000B3120000}"/>
    <cellStyle name="_선정(3)_선정안(삼산)" xfId="4790" xr:uid="{00000000-0005-0000-0000-0000B4120000}"/>
    <cellStyle name="_선정(3)_선정안(삼산)_4.추진공(공암)" xfId="4791" xr:uid="{00000000-0005-0000-0000-0000B5120000}"/>
    <cellStyle name="_선정(3)_선정안(삼산)_4.추진공(공암SAMPLE" xfId="4792" xr:uid="{00000000-0005-0000-0000-0000B6120000}"/>
    <cellStyle name="_선정(3)_선정안(삼산)_4.추진공(서산)" xfId="4793" xr:uid="{00000000-0005-0000-0000-0000B7120000}"/>
    <cellStyle name="_선정(3)_선정안(삼산)_4.추진공(읍내)" xfId="4794" xr:uid="{00000000-0005-0000-0000-0000B8120000}"/>
    <cellStyle name="_선정(3)_선정안(삼산)_4.추진공(황간)" xfId="4795" xr:uid="{00000000-0005-0000-0000-0000B9120000}"/>
    <cellStyle name="_선정(3)_선정안(삼산)_영동군추진가시설수량" xfId="4796" xr:uid="{00000000-0005-0000-0000-0000BA120000}"/>
    <cellStyle name="_선정(3)_영동군추진가시설수량" xfId="4797" xr:uid="{00000000-0005-0000-0000-0000BB120000}"/>
    <cellStyle name="_선정(3)_추풍령" xfId="4798" xr:uid="{00000000-0005-0000-0000-0000BC120000}"/>
    <cellStyle name="_선정(3)_추풍령_4.추진공(공암)" xfId="4799" xr:uid="{00000000-0005-0000-0000-0000BD120000}"/>
    <cellStyle name="_선정(3)_추풍령_4.추진공(공암SAMPLE" xfId="4800" xr:uid="{00000000-0005-0000-0000-0000BE120000}"/>
    <cellStyle name="_선정(3)_추풍령_4.추진공(서산)" xfId="4801" xr:uid="{00000000-0005-0000-0000-0000BF120000}"/>
    <cellStyle name="_선정(3)_추풍령_4.추진공(읍내)" xfId="4802" xr:uid="{00000000-0005-0000-0000-0000C0120000}"/>
    <cellStyle name="_선정(3)_추풍령_4.추진공(황간)" xfId="4803" xr:uid="{00000000-0005-0000-0000-0000C1120000}"/>
    <cellStyle name="_선정(3)_추풍령_영동군추진가시설수량" xfId="4804" xr:uid="{00000000-0005-0000-0000-0000C2120000}"/>
    <cellStyle name="_선정(3)_추풍령-1" xfId="4805" xr:uid="{00000000-0005-0000-0000-0000C3120000}"/>
    <cellStyle name="_선정(3)_추풍령-1_4.추진공(공암)" xfId="4806" xr:uid="{00000000-0005-0000-0000-0000C4120000}"/>
    <cellStyle name="_선정(3)_추풍령-1_4.추진공(공암SAMPLE" xfId="4807" xr:uid="{00000000-0005-0000-0000-0000C5120000}"/>
    <cellStyle name="_선정(3)_추풍령-1_4.추진공(서산)" xfId="4808" xr:uid="{00000000-0005-0000-0000-0000C6120000}"/>
    <cellStyle name="_선정(3)_추풍령-1_4.추진공(읍내)" xfId="4809" xr:uid="{00000000-0005-0000-0000-0000C7120000}"/>
    <cellStyle name="_선정(3)_추풍령-1_4.추진공(황간)" xfId="4810" xr:uid="{00000000-0005-0000-0000-0000C8120000}"/>
    <cellStyle name="_선정(3)_추풍령-1_영동군추진가시설수량" xfId="4811" xr:uid="{00000000-0005-0000-0000-0000C9120000}"/>
    <cellStyle name="_선정(4)" xfId="4812" xr:uid="{00000000-0005-0000-0000-0000CA120000}"/>
    <cellStyle name="_선정(4)_4.추진공(공암)" xfId="4813" xr:uid="{00000000-0005-0000-0000-0000CB120000}"/>
    <cellStyle name="_선정(4)_4.추진공(공암SAMPLE" xfId="4814" xr:uid="{00000000-0005-0000-0000-0000CC120000}"/>
    <cellStyle name="_선정(4)_4.추진공(서산)" xfId="4815" xr:uid="{00000000-0005-0000-0000-0000CD120000}"/>
    <cellStyle name="_선정(4)_4.추진공(읍내)" xfId="4816" xr:uid="{00000000-0005-0000-0000-0000CE120000}"/>
    <cellStyle name="_선정(4)_4.추진공(황간)" xfId="4817" xr:uid="{00000000-0005-0000-0000-0000CF120000}"/>
    <cellStyle name="_선정(4)_선정안(삼산)" xfId="4818" xr:uid="{00000000-0005-0000-0000-0000D0120000}"/>
    <cellStyle name="_선정(4)_선정안(삼산)_4.추진공(공암)" xfId="4819" xr:uid="{00000000-0005-0000-0000-0000D1120000}"/>
    <cellStyle name="_선정(4)_선정안(삼산)_4.추진공(공암SAMPLE" xfId="4820" xr:uid="{00000000-0005-0000-0000-0000D2120000}"/>
    <cellStyle name="_선정(4)_선정안(삼산)_4.추진공(서산)" xfId="4821" xr:uid="{00000000-0005-0000-0000-0000D3120000}"/>
    <cellStyle name="_선정(4)_선정안(삼산)_4.추진공(읍내)" xfId="4822" xr:uid="{00000000-0005-0000-0000-0000D4120000}"/>
    <cellStyle name="_선정(4)_선정안(삼산)_4.추진공(황간)" xfId="4823" xr:uid="{00000000-0005-0000-0000-0000D5120000}"/>
    <cellStyle name="_선정(4)_선정안(삼산)_영동군추진가시설수량" xfId="4824" xr:uid="{00000000-0005-0000-0000-0000D6120000}"/>
    <cellStyle name="_선정(4)_영동군추진가시설수량" xfId="4825" xr:uid="{00000000-0005-0000-0000-0000D7120000}"/>
    <cellStyle name="_선정(4)_추풍령" xfId="4826" xr:uid="{00000000-0005-0000-0000-0000D8120000}"/>
    <cellStyle name="_선정(4)_추풍령_4.추진공(공암)" xfId="4827" xr:uid="{00000000-0005-0000-0000-0000D9120000}"/>
    <cellStyle name="_선정(4)_추풍령_4.추진공(공암SAMPLE" xfId="4828" xr:uid="{00000000-0005-0000-0000-0000DA120000}"/>
    <cellStyle name="_선정(4)_추풍령_4.추진공(서산)" xfId="4829" xr:uid="{00000000-0005-0000-0000-0000DB120000}"/>
    <cellStyle name="_선정(4)_추풍령_4.추진공(읍내)" xfId="4830" xr:uid="{00000000-0005-0000-0000-0000DC120000}"/>
    <cellStyle name="_선정(4)_추풍령_4.추진공(황간)" xfId="4831" xr:uid="{00000000-0005-0000-0000-0000DD120000}"/>
    <cellStyle name="_선정(4)_추풍령_영동군추진가시설수량" xfId="4832" xr:uid="{00000000-0005-0000-0000-0000DE120000}"/>
    <cellStyle name="_선정(4)_추풍령-1" xfId="4833" xr:uid="{00000000-0005-0000-0000-0000DF120000}"/>
    <cellStyle name="_선정(4)_추풍령-1_4.추진공(공암)" xfId="4834" xr:uid="{00000000-0005-0000-0000-0000E0120000}"/>
    <cellStyle name="_선정(4)_추풍령-1_4.추진공(공암SAMPLE" xfId="4835" xr:uid="{00000000-0005-0000-0000-0000E1120000}"/>
    <cellStyle name="_선정(4)_추풍령-1_4.추진공(서산)" xfId="4836" xr:uid="{00000000-0005-0000-0000-0000E2120000}"/>
    <cellStyle name="_선정(4)_추풍령-1_4.추진공(읍내)" xfId="4837" xr:uid="{00000000-0005-0000-0000-0000E3120000}"/>
    <cellStyle name="_선정(4)_추풍령-1_4.추진공(황간)" xfId="4838" xr:uid="{00000000-0005-0000-0000-0000E4120000}"/>
    <cellStyle name="_선정(4)_추풍령-1_영동군추진가시설수량" xfId="4839" xr:uid="{00000000-0005-0000-0000-0000E5120000}"/>
    <cellStyle name="_선정(5)" xfId="4840" xr:uid="{00000000-0005-0000-0000-0000E6120000}"/>
    <cellStyle name="_선정(5)_4.추진공(공암)" xfId="4841" xr:uid="{00000000-0005-0000-0000-0000E7120000}"/>
    <cellStyle name="_선정(5)_4.추진공(공암SAMPLE" xfId="4842" xr:uid="{00000000-0005-0000-0000-0000E8120000}"/>
    <cellStyle name="_선정(5)_4.추진공(서산)" xfId="4843" xr:uid="{00000000-0005-0000-0000-0000E9120000}"/>
    <cellStyle name="_선정(5)_4.추진공(읍내)" xfId="4844" xr:uid="{00000000-0005-0000-0000-0000EA120000}"/>
    <cellStyle name="_선정(5)_4.추진공(황간)" xfId="4845" xr:uid="{00000000-0005-0000-0000-0000EB120000}"/>
    <cellStyle name="_선정(5)_선정안(삼산)" xfId="4846" xr:uid="{00000000-0005-0000-0000-0000EC120000}"/>
    <cellStyle name="_선정(5)_선정안(삼산)_4.추진공(공암)" xfId="4847" xr:uid="{00000000-0005-0000-0000-0000ED120000}"/>
    <cellStyle name="_선정(5)_선정안(삼산)_4.추진공(공암SAMPLE" xfId="4848" xr:uid="{00000000-0005-0000-0000-0000EE120000}"/>
    <cellStyle name="_선정(5)_선정안(삼산)_4.추진공(서산)" xfId="4849" xr:uid="{00000000-0005-0000-0000-0000EF120000}"/>
    <cellStyle name="_선정(5)_선정안(삼산)_4.추진공(읍내)" xfId="4850" xr:uid="{00000000-0005-0000-0000-0000F0120000}"/>
    <cellStyle name="_선정(5)_선정안(삼산)_4.추진공(황간)" xfId="4851" xr:uid="{00000000-0005-0000-0000-0000F1120000}"/>
    <cellStyle name="_선정(5)_선정안(삼산)_영동군추진가시설수량" xfId="4852" xr:uid="{00000000-0005-0000-0000-0000F2120000}"/>
    <cellStyle name="_선정(5)_영동군추진가시설수량" xfId="4853" xr:uid="{00000000-0005-0000-0000-0000F3120000}"/>
    <cellStyle name="_선정(5)_추풍령" xfId="4854" xr:uid="{00000000-0005-0000-0000-0000F4120000}"/>
    <cellStyle name="_선정(5)_추풍령_4.추진공(공암)" xfId="4855" xr:uid="{00000000-0005-0000-0000-0000F5120000}"/>
    <cellStyle name="_선정(5)_추풍령_4.추진공(공암SAMPLE" xfId="4856" xr:uid="{00000000-0005-0000-0000-0000F6120000}"/>
    <cellStyle name="_선정(5)_추풍령_4.추진공(서산)" xfId="4857" xr:uid="{00000000-0005-0000-0000-0000F7120000}"/>
    <cellStyle name="_선정(5)_추풍령_4.추진공(읍내)" xfId="4858" xr:uid="{00000000-0005-0000-0000-0000F8120000}"/>
    <cellStyle name="_선정(5)_추풍령_4.추진공(황간)" xfId="4859" xr:uid="{00000000-0005-0000-0000-0000F9120000}"/>
    <cellStyle name="_선정(5)_추풍령_영동군추진가시설수량" xfId="4860" xr:uid="{00000000-0005-0000-0000-0000FA120000}"/>
    <cellStyle name="_선정(5)_추풍령-1" xfId="4861" xr:uid="{00000000-0005-0000-0000-0000FB120000}"/>
    <cellStyle name="_선정(5)_추풍령-1_4.추진공(공암)" xfId="4862" xr:uid="{00000000-0005-0000-0000-0000FC120000}"/>
    <cellStyle name="_선정(5)_추풍령-1_4.추진공(공암SAMPLE" xfId="4863" xr:uid="{00000000-0005-0000-0000-0000FD120000}"/>
    <cellStyle name="_선정(5)_추풍령-1_4.추진공(서산)" xfId="4864" xr:uid="{00000000-0005-0000-0000-0000FE120000}"/>
    <cellStyle name="_선정(5)_추풍령-1_4.추진공(읍내)" xfId="4865" xr:uid="{00000000-0005-0000-0000-0000FF120000}"/>
    <cellStyle name="_선정(5)_추풍령-1_4.추진공(황간)" xfId="4866" xr:uid="{00000000-0005-0000-0000-000000130000}"/>
    <cellStyle name="_선정(5)_추풍령-1_영동군추진가시설수량" xfId="4867" xr:uid="{00000000-0005-0000-0000-000001130000}"/>
    <cellStyle name="_설계(2002기존)" xfId="4868" xr:uid="{00000000-0005-0000-0000-000002130000}"/>
    <cellStyle name="_설계(발주)" xfId="4869" xr:uid="{00000000-0005-0000-0000-000003130000}"/>
    <cellStyle name="_설계(수정발주)" xfId="4870" xr:uid="{00000000-0005-0000-0000-000004130000}"/>
    <cellStyle name="_설계2임시" xfId="4871" xr:uid="{00000000-0005-0000-0000-000005130000}"/>
    <cellStyle name="_설계2임시_설계서(장)" xfId="4872" xr:uid="{00000000-0005-0000-0000-000006130000}"/>
    <cellStyle name="_설계2임시_설계최종" xfId="4873" xr:uid="{00000000-0005-0000-0000-000007130000}"/>
    <cellStyle name="_설계내역서(0208)" xfId="4874" xr:uid="{00000000-0005-0000-0000-000008130000}"/>
    <cellStyle name="_설계내역서(0208)1" xfId="4875" xr:uid="{00000000-0005-0000-0000-000009130000}"/>
    <cellStyle name="_설계내역서(2_3차분)_계약예정" xfId="4876" xr:uid="{00000000-0005-0000-0000-00000A130000}"/>
    <cellStyle name="_설계내역서(제영향평가)" xfId="4877" xr:uid="{00000000-0005-0000-0000-00000B130000}"/>
    <cellStyle name="_설계내역서(준산업단지)" xfId="4878" xr:uid="{00000000-0005-0000-0000-00000C130000}"/>
    <cellStyle name="_설계내역서(총인)" xfId="4879" xr:uid="{00000000-0005-0000-0000-00000D130000}"/>
    <cellStyle name="_설계내역서(최종)" xfId="4880" xr:uid="{00000000-0005-0000-0000-00000E130000}"/>
    <cellStyle name="_설계내역서1(1)" xfId="4881" xr:uid="{00000000-0005-0000-0000-00000F130000}"/>
    <cellStyle name="_설계도서" xfId="4882" xr:uid="{00000000-0005-0000-0000-000010130000}"/>
    <cellStyle name="_설계변경내역서(최종)" xfId="4883" xr:uid="{00000000-0005-0000-0000-000011130000}"/>
    <cellStyle name="_설계변경전체분(4회,초안)" xfId="4884" xr:uid="{00000000-0005-0000-0000-000012130000}"/>
    <cellStyle name="_설계서" xfId="4885" xr:uid="{00000000-0005-0000-0000-000013130000}"/>
    <cellStyle name="_설계서(2004년 sample)" xfId="4886" xr:uid="{00000000-0005-0000-0000-000014130000}"/>
    <cellStyle name="_설계서(남차율리)" xfId="4887" xr:uid="{00000000-0005-0000-0000-000015130000}"/>
    <cellStyle name="_설계서00_연기" xfId="4888" xr:uid="{00000000-0005-0000-0000-000016130000}"/>
    <cellStyle name="_설계예" xfId="4889" xr:uid="{00000000-0005-0000-0000-000017130000}"/>
    <cellStyle name="_설계예산서(전면도로)-토목" xfId="4890" xr:uid="{00000000-0005-0000-0000-000018130000}"/>
    <cellStyle name="_설계용HW_SW_목록" xfId="4891" xr:uid="{00000000-0005-0000-0000-000019130000}"/>
    <cellStyle name="_설계원가 및 손익계산서(극장)" xfId="4892" xr:uid="{00000000-0005-0000-0000-00001A130000}"/>
    <cellStyle name="_설계원가 및 손익계산서(백화점)" xfId="4893" xr:uid="{00000000-0005-0000-0000-00001B130000}"/>
    <cellStyle name="_설계원가 및 손익계산서(이광환)" xfId="4894" xr:uid="{00000000-0005-0000-0000-00001C130000}"/>
    <cellStyle name="_설계최종" xfId="4895" xr:uid="{00000000-0005-0000-0000-00001D130000}"/>
    <cellStyle name="_설비(1218)" xfId="4896" xr:uid="{00000000-0005-0000-0000-00001E130000}"/>
    <cellStyle name="_성서공단" xfId="4897" xr:uid="{00000000-0005-0000-0000-00001F130000}"/>
    <cellStyle name="_세계측지계변환 변경내역서" xfId="4898" xr:uid="{00000000-0005-0000-0000-000020130000}"/>
    <cellStyle name="_세포IC교_상부일반수량" xfId="4899" xr:uid="{00000000-0005-0000-0000-000021130000}"/>
    <cellStyle name="_소형맨홀소서" xfId="4900" xr:uid="{00000000-0005-0000-0000-000022130000}"/>
    <cellStyle name="_소형맨홀소서_01-02.맨홀토공(OPEN-0.3)D-LINE" xfId="4901" xr:uid="{00000000-0005-0000-0000-000023130000}"/>
    <cellStyle name="_소형맨홀소서_01-02.맨홀토공(OPEN-0.3)D-LINE_01-02.맨홀토공(OPEN-0.3)C-LINE" xfId="4902" xr:uid="{00000000-0005-0000-0000-000024130000}"/>
    <cellStyle name="_소형맨홀소서_01-02.맨홀토공(OPEN-0.3)D-LINE_01-02.맨홀토공(OPEN-0.3)C-LINE_02.구조물및추진,도달기지토공(D구간)" xfId="4903" xr:uid="{00000000-0005-0000-0000-000025130000}"/>
    <cellStyle name="_소형맨홀소서_01-02.맨홀토공(OPEN-0.3)D-LINE_01-02.맨홀토공(OPEN-0.3)D-LINE" xfId="4904" xr:uid="{00000000-0005-0000-0000-000026130000}"/>
    <cellStyle name="_소형맨홀소서_01-02.맨홀토공(OPEN-0.3)D-LINE_01-02.맨홀토공(OPEN-0.3)D-LINE_02.구조물및추진,도달기지토공(D구간)" xfId="4905" xr:uid="{00000000-0005-0000-0000-000027130000}"/>
    <cellStyle name="_소형맨홀소서_01-02.맨홀토공(OPEN-0.3)D-LINE_02.구조물및추진,도달기지토공(D구간)" xfId="4906" xr:uid="{00000000-0005-0000-0000-000028130000}"/>
    <cellStyle name="_소형맨홀소서_01-3.옥구오수신설  맨홀토공(OPEN-0.3)" xfId="4907" xr:uid="{00000000-0005-0000-0000-000029130000}"/>
    <cellStyle name="_소형맨홀소서_01-3.옥구오수신설  맨홀토공(OPEN-0.3)_01-02.맨홀토공(OPEN-0.3)C-LINE" xfId="4908" xr:uid="{00000000-0005-0000-0000-00002A130000}"/>
    <cellStyle name="_소형맨홀소서_01-3.옥구오수신설  맨홀토공(OPEN-0.3)_01-02.맨홀토공(OPEN-0.3)C-LINE_02.구조물및추진,도달기지토공(D구간)" xfId="4909" xr:uid="{00000000-0005-0000-0000-00002B130000}"/>
    <cellStyle name="_소형맨홀소서_01-3.옥구오수신설  맨홀토공(OPEN-0.3)_01-02.맨홀토공(OPEN-0.3)D-LINE" xfId="4910" xr:uid="{00000000-0005-0000-0000-00002C130000}"/>
    <cellStyle name="_소형맨홀소서_01-3.옥구오수신설  맨홀토공(OPEN-0.3)_01-02.맨홀토공(OPEN-0.3)D-LINE_02.구조물및추진,도달기지토공(D구간)" xfId="4911" xr:uid="{00000000-0005-0000-0000-00002D130000}"/>
    <cellStyle name="_소형맨홀소서_01-3.옥구오수신설  맨홀토공(OPEN-0.3)_02.구조물및추진,도달기지토공(D구간)" xfId="4912" xr:uid="{00000000-0005-0000-0000-00002E130000}"/>
    <cellStyle name="_소형맨홀소서_01-3.옥서오수신설  맨홀토공(OPEN-0.3)" xfId="4913" xr:uid="{00000000-0005-0000-0000-00002F130000}"/>
    <cellStyle name="_소형맨홀소서_01-3.옥서오수신설  맨홀토공(OPEN-0.3)_01-02.맨홀토공(OPEN-0.3)C-LINE" xfId="4914" xr:uid="{00000000-0005-0000-0000-000030130000}"/>
    <cellStyle name="_소형맨홀소서_01-3.옥서오수신설  맨홀토공(OPEN-0.3)_01-02.맨홀토공(OPEN-0.3)C-LINE_02.구조물및추진,도달기지토공(D구간)" xfId="4915" xr:uid="{00000000-0005-0000-0000-000031130000}"/>
    <cellStyle name="_소형맨홀소서_01-3.옥서오수신설  맨홀토공(OPEN-0.3)_01-02.맨홀토공(OPEN-0.3)D-LINE" xfId="4916" xr:uid="{00000000-0005-0000-0000-000032130000}"/>
    <cellStyle name="_소형맨홀소서_01-3.옥서오수신설  맨홀토공(OPEN-0.3)_01-02.맨홀토공(OPEN-0.3)D-LINE_02.구조물및추진,도달기지토공(D구간)" xfId="4917" xr:uid="{00000000-0005-0000-0000-000033130000}"/>
    <cellStyle name="_소형맨홀소서_01-3.옥서오수신설  맨홀토공(OPEN-0.3)_02.구조물및추진,도달기지토공(D구간)" xfId="4918" xr:uid="{00000000-0005-0000-0000-000034130000}"/>
    <cellStyle name="_소형맨홀소서_02.구조물및추진,도달기지토공(D구간)" xfId="4919" xr:uid="{00000000-0005-0000-0000-000035130000}"/>
    <cellStyle name="_송산고(백산하도급포함)" xfId="4920" xr:uid="{00000000-0005-0000-0000-000036130000}"/>
    <cellStyle name="_송전선로입찰실행(지중+가공비교)-rev.A" xfId="4921" xr:uid="{00000000-0005-0000-0000-000037130000}"/>
    <cellStyle name="_수 량 연화.내감" xfId="4922" xr:uid="{00000000-0005-0000-0000-000038130000}"/>
    <cellStyle name="_수 량 연화.내감_금산제수량(전체최종)" xfId="4923" xr:uid="{00000000-0005-0000-0000-000039130000}"/>
    <cellStyle name="_수 량 연화.내감_금산제수량(전체최종)_토공(3지구)" xfId="4924" xr:uid="{00000000-0005-0000-0000-00003A130000}"/>
    <cellStyle name="_수 량 연화.내감_금산제수량(전체최종)_토공(3지구)_토공(4지구)" xfId="4925" xr:uid="{00000000-0005-0000-0000-00003B130000}"/>
    <cellStyle name="_수 량 연화.내감_금산제수량(전체최종)_토공(3지구)_토공(4지구)_토공(4지구)" xfId="4926" xr:uid="{00000000-0005-0000-0000-00003C130000}"/>
    <cellStyle name="_수 량 연화.내감_금산제수량(전체최종)_토공(4지구)" xfId="4927" xr:uid="{00000000-0005-0000-0000-00003D130000}"/>
    <cellStyle name="_수 량 연화.내감_금산제수량(전체최종)_토공(4지구)_토공(4지구)" xfId="4928" xr:uid="{00000000-0005-0000-0000-00003E130000}"/>
    <cellStyle name="_수 량 연화.내감_금산제수량(전체최종)_토공(4지구)_토공(4지구)_토공(3지구)" xfId="4929" xr:uid="{00000000-0005-0000-0000-00003F130000}"/>
    <cellStyle name="_수 량 연화.내감_금산제수량(전체최종)_토공(4지구)_토공(4지구)_토공(3지구)_토공(4지구)" xfId="4930" xr:uid="{00000000-0005-0000-0000-000040130000}"/>
    <cellStyle name="_수 량 연화.내감_금산제수량(전체최종)_토공(4지구)_토공(4지구)_토공(3지구)_토공(4지구)_토공(4지구)" xfId="4931" xr:uid="{00000000-0005-0000-0000-000041130000}"/>
    <cellStyle name="_수 량 연화.내감_금산제수량(전체최종)_토공(4지구)_토공(4지구)_토공(4지구)" xfId="4932" xr:uid="{00000000-0005-0000-0000-000042130000}"/>
    <cellStyle name="_수 량 연화.내감_토공(3지구)" xfId="4933" xr:uid="{00000000-0005-0000-0000-000043130000}"/>
    <cellStyle name="_수 량 연화.내감_토공(3지구)_토공(4지구)" xfId="4934" xr:uid="{00000000-0005-0000-0000-000044130000}"/>
    <cellStyle name="_수 량 연화.내감_토공(3지구)_토공(4지구)_토공(4지구)" xfId="4935" xr:uid="{00000000-0005-0000-0000-000045130000}"/>
    <cellStyle name="_수 량 연화.내감_토공(4지구)" xfId="4936" xr:uid="{00000000-0005-0000-0000-000046130000}"/>
    <cellStyle name="_수 량 연화.내감_토공(4지구)_토공(4지구)" xfId="4937" xr:uid="{00000000-0005-0000-0000-000047130000}"/>
    <cellStyle name="_수 량 연화.내감_토공(4지구)_토공(4지구)_토공(3지구)" xfId="4938" xr:uid="{00000000-0005-0000-0000-000048130000}"/>
    <cellStyle name="_수 량 연화.내감_토공(4지구)_토공(4지구)_토공(3지구)_토공(4지구)" xfId="4939" xr:uid="{00000000-0005-0000-0000-000049130000}"/>
    <cellStyle name="_수 량 연화.내감_토공(4지구)_토공(4지구)_토공(3지구)_토공(4지구)_토공(4지구)" xfId="4940" xr:uid="{00000000-0005-0000-0000-00004A130000}"/>
    <cellStyle name="_수 량 연화.내감_토공(4지구)_토공(4지구)_토공(4지구)" xfId="4941" xr:uid="{00000000-0005-0000-0000-00004B130000}"/>
    <cellStyle name="_수량" xfId="4942" xr:uid="{00000000-0005-0000-0000-00004C130000}"/>
    <cellStyle name="_수량(3)" xfId="4943" xr:uid="{00000000-0005-0000-0000-00004D130000}"/>
    <cellStyle name="_수량_1" xfId="4944" xr:uid="{00000000-0005-0000-0000-00004E130000}"/>
    <cellStyle name="_수량_2" xfId="4945" xr:uid="{00000000-0005-0000-0000-00004F130000}"/>
    <cellStyle name="_수량1" xfId="4946" xr:uid="{00000000-0005-0000-0000-000050130000}"/>
    <cellStyle name="_수량1_1" xfId="4947" xr:uid="{00000000-0005-0000-0000-000051130000}"/>
    <cellStyle name="_수량2" xfId="4948" xr:uid="{00000000-0005-0000-0000-000052130000}"/>
    <cellStyle name="_수량2_1" xfId="4949" xr:uid="{00000000-0005-0000-0000-000053130000}"/>
    <cellStyle name="_수량last" xfId="4950" xr:uid="{00000000-0005-0000-0000-000054130000}"/>
    <cellStyle name="_수량last_1" xfId="4951" xr:uid="{00000000-0005-0000-0000-000055130000}"/>
    <cellStyle name="_수량last_2" xfId="4952" xr:uid="{00000000-0005-0000-0000-000056130000}"/>
    <cellStyle name="_수량금회 연화.내감" xfId="4953" xr:uid="{00000000-0005-0000-0000-000057130000}"/>
    <cellStyle name="_수량금회 연화.내감_금산제수량(전체최종)" xfId="4954" xr:uid="{00000000-0005-0000-0000-000058130000}"/>
    <cellStyle name="_수량금회 연화.내감_금산제수량(전체최종)_토공(3지구)" xfId="4955" xr:uid="{00000000-0005-0000-0000-000059130000}"/>
    <cellStyle name="_수량금회 연화.내감_금산제수량(전체최종)_토공(3지구)_토공(4지구)" xfId="4956" xr:uid="{00000000-0005-0000-0000-00005A130000}"/>
    <cellStyle name="_수량금회 연화.내감_금산제수량(전체최종)_토공(3지구)_토공(4지구)_토공(4지구)" xfId="4957" xr:uid="{00000000-0005-0000-0000-00005B130000}"/>
    <cellStyle name="_수량금회 연화.내감_금산제수량(전체최종)_토공(4지구)" xfId="4958" xr:uid="{00000000-0005-0000-0000-00005C130000}"/>
    <cellStyle name="_수량금회 연화.내감_금산제수량(전체최종)_토공(4지구)_토공(4지구)" xfId="4959" xr:uid="{00000000-0005-0000-0000-00005D130000}"/>
    <cellStyle name="_수량금회 연화.내감_금산제수량(전체최종)_토공(4지구)_토공(4지구)_토공(3지구)" xfId="4960" xr:uid="{00000000-0005-0000-0000-00005E130000}"/>
    <cellStyle name="_수량금회 연화.내감_금산제수량(전체최종)_토공(4지구)_토공(4지구)_토공(3지구)_토공(4지구)" xfId="4961" xr:uid="{00000000-0005-0000-0000-00005F130000}"/>
    <cellStyle name="_수량금회 연화.내감_금산제수량(전체최종)_토공(4지구)_토공(4지구)_토공(3지구)_토공(4지구)_토공(4지구)" xfId="4962" xr:uid="{00000000-0005-0000-0000-000060130000}"/>
    <cellStyle name="_수량금회 연화.내감_금산제수량(전체최종)_토공(4지구)_토공(4지구)_토공(4지구)" xfId="4963" xr:uid="{00000000-0005-0000-0000-000061130000}"/>
    <cellStyle name="_수량금회 연화.내감_토공(3지구)" xfId="4964" xr:uid="{00000000-0005-0000-0000-000062130000}"/>
    <cellStyle name="_수량금회 연화.내감_토공(3지구)_토공(4지구)" xfId="4965" xr:uid="{00000000-0005-0000-0000-000063130000}"/>
    <cellStyle name="_수량금회 연화.내감_토공(3지구)_토공(4지구)_토공(4지구)" xfId="4966" xr:uid="{00000000-0005-0000-0000-000064130000}"/>
    <cellStyle name="_수량금회 연화.내감_토공(4지구)" xfId="4967" xr:uid="{00000000-0005-0000-0000-000065130000}"/>
    <cellStyle name="_수량금회 연화.내감_토공(4지구)_토공(4지구)" xfId="4968" xr:uid="{00000000-0005-0000-0000-000066130000}"/>
    <cellStyle name="_수량금회 연화.내감_토공(4지구)_토공(4지구)_토공(3지구)" xfId="4969" xr:uid="{00000000-0005-0000-0000-000067130000}"/>
    <cellStyle name="_수량금회 연화.내감_토공(4지구)_토공(4지구)_토공(3지구)_토공(4지구)" xfId="4970" xr:uid="{00000000-0005-0000-0000-000068130000}"/>
    <cellStyle name="_수량금회 연화.내감_토공(4지구)_토공(4지구)_토공(3지구)_토공(4지구)_토공(4지구)" xfId="4971" xr:uid="{00000000-0005-0000-0000-000069130000}"/>
    <cellStyle name="_수량금회 연화.내감_토공(4지구)_토공(4지구)_토공(4지구)" xfId="4972" xr:uid="{00000000-0005-0000-0000-00006A130000}"/>
    <cellStyle name="_수량산출 구눌하수도" xfId="4973" xr:uid="{00000000-0005-0000-0000-00006B130000}"/>
    <cellStyle name="_수량산출 구눌하수도_금산제수량(전체최종)" xfId="4974" xr:uid="{00000000-0005-0000-0000-00006C130000}"/>
    <cellStyle name="_수량산출 구눌하수도_금산제수량(전체최종)_토공(3지구)" xfId="4975" xr:uid="{00000000-0005-0000-0000-00006D130000}"/>
    <cellStyle name="_수량산출 구눌하수도_금산제수량(전체최종)_토공(3지구)_토공(4지구)" xfId="4976" xr:uid="{00000000-0005-0000-0000-00006E130000}"/>
    <cellStyle name="_수량산출 구눌하수도_금산제수량(전체최종)_토공(3지구)_토공(4지구)_토공(4지구)" xfId="4977" xr:uid="{00000000-0005-0000-0000-00006F130000}"/>
    <cellStyle name="_수량산출 구눌하수도_금산제수량(전체최종)_토공(4지구)" xfId="4978" xr:uid="{00000000-0005-0000-0000-000070130000}"/>
    <cellStyle name="_수량산출 구눌하수도_금산제수량(전체최종)_토공(4지구)_토공(4지구)" xfId="4979" xr:uid="{00000000-0005-0000-0000-000071130000}"/>
    <cellStyle name="_수량산출 구눌하수도_금산제수량(전체최종)_토공(4지구)_토공(4지구)_토공(3지구)" xfId="4980" xr:uid="{00000000-0005-0000-0000-000072130000}"/>
    <cellStyle name="_수량산출 구눌하수도_금산제수량(전체최종)_토공(4지구)_토공(4지구)_토공(3지구)_토공(4지구)" xfId="4981" xr:uid="{00000000-0005-0000-0000-000073130000}"/>
    <cellStyle name="_수량산출 구눌하수도_금산제수량(전체최종)_토공(4지구)_토공(4지구)_토공(3지구)_토공(4지구)_토공(4지구)" xfId="4982" xr:uid="{00000000-0005-0000-0000-000074130000}"/>
    <cellStyle name="_수량산출 구눌하수도_금산제수량(전체최종)_토공(4지구)_토공(4지구)_토공(4지구)" xfId="4983" xr:uid="{00000000-0005-0000-0000-000075130000}"/>
    <cellStyle name="_수량산출 구눌하수도_토공(3지구)" xfId="4984" xr:uid="{00000000-0005-0000-0000-000076130000}"/>
    <cellStyle name="_수량산출 구눌하수도_토공(3지구)_토공(4지구)" xfId="4985" xr:uid="{00000000-0005-0000-0000-000077130000}"/>
    <cellStyle name="_수량산출 구눌하수도_토공(3지구)_토공(4지구)_토공(4지구)" xfId="4986" xr:uid="{00000000-0005-0000-0000-000078130000}"/>
    <cellStyle name="_수량산출 구눌하수도_토공(4지구)" xfId="4987" xr:uid="{00000000-0005-0000-0000-000079130000}"/>
    <cellStyle name="_수량산출 구눌하수도_토공(4지구)_토공(4지구)" xfId="4988" xr:uid="{00000000-0005-0000-0000-00007A130000}"/>
    <cellStyle name="_수량산출 구눌하수도_토공(4지구)_토공(4지구)_토공(3지구)" xfId="4989" xr:uid="{00000000-0005-0000-0000-00007B130000}"/>
    <cellStyle name="_수량산출 구눌하수도_토공(4지구)_토공(4지구)_토공(3지구)_토공(4지구)" xfId="4990" xr:uid="{00000000-0005-0000-0000-00007C130000}"/>
    <cellStyle name="_수량산출 구눌하수도_토공(4지구)_토공(4지구)_토공(3지구)_토공(4지구)_토공(4지구)" xfId="4991" xr:uid="{00000000-0005-0000-0000-00007D130000}"/>
    <cellStyle name="_수량산출 구눌하수도_토공(4지구)_토공(4지구)_토공(4지구)" xfId="4992" xr:uid="{00000000-0005-0000-0000-00007E130000}"/>
    <cellStyle name="_수량산출 음지하천" xfId="4993" xr:uid="{00000000-0005-0000-0000-00007F130000}"/>
    <cellStyle name="_수량산출 음지하천_금산제수량(전체최종)" xfId="4994" xr:uid="{00000000-0005-0000-0000-000080130000}"/>
    <cellStyle name="_수량산출 음지하천_금산제수량(전체최종)_토공(3지구)" xfId="4995" xr:uid="{00000000-0005-0000-0000-000081130000}"/>
    <cellStyle name="_수량산출 음지하천_금산제수량(전체최종)_토공(3지구)_토공(4지구)" xfId="4996" xr:uid="{00000000-0005-0000-0000-000082130000}"/>
    <cellStyle name="_수량산출 음지하천_금산제수량(전체최종)_토공(3지구)_토공(4지구)_토공(4지구)" xfId="4997" xr:uid="{00000000-0005-0000-0000-000083130000}"/>
    <cellStyle name="_수량산출 음지하천_금산제수량(전체최종)_토공(4지구)" xfId="4998" xr:uid="{00000000-0005-0000-0000-000084130000}"/>
    <cellStyle name="_수량산출 음지하천_금산제수량(전체최종)_토공(4지구)_토공(4지구)" xfId="4999" xr:uid="{00000000-0005-0000-0000-000085130000}"/>
    <cellStyle name="_수량산출 음지하천_금산제수량(전체최종)_토공(4지구)_토공(4지구)_토공(3지구)" xfId="5000" xr:uid="{00000000-0005-0000-0000-000086130000}"/>
    <cellStyle name="_수량산출 음지하천_금산제수량(전체최종)_토공(4지구)_토공(4지구)_토공(3지구)_토공(4지구)" xfId="5001" xr:uid="{00000000-0005-0000-0000-000087130000}"/>
    <cellStyle name="_수량산출 음지하천_금산제수량(전체최종)_토공(4지구)_토공(4지구)_토공(3지구)_토공(4지구)_토공(4지구)" xfId="5002" xr:uid="{00000000-0005-0000-0000-000088130000}"/>
    <cellStyle name="_수량산출 음지하천_금산제수량(전체최종)_토공(4지구)_토공(4지구)_토공(4지구)" xfId="5003" xr:uid="{00000000-0005-0000-0000-000089130000}"/>
    <cellStyle name="_수량산출 음지하천_토공(3지구)" xfId="5004" xr:uid="{00000000-0005-0000-0000-00008A130000}"/>
    <cellStyle name="_수량산출 음지하천_토공(3지구)_토공(4지구)" xfId="5005" xr:uid="{00000000-0005-0000-0000-00008B130000}"/>
    <cellStyle name="_수량산출 음지하천_토공(3지구)_토공(4지구)_토공(4지구)" xfId="5006" xr:uid="{00000000-0005-0000-0000-00008C130000}"/>
    <cellStyle name="_수량산출 음지하천_토공(4지구)" xfId="5007" xr:uid="{00000000-0005-0000-0000-00008D130000}"/>
    <cellStyle name="_수량산출 음지하천_토공(4지구)_토공(4지구)" xfId="5008" xr:uid="{00000000-0005-0000-0000-00008E130000}"/>
    <cellStyle name="_수량산출 음지하천_토공(4지구)_토공(4지구)_토공(3지구)" xfId="5009" xr:uid="{00000000-0005-0000-0000-00008F130000}"/>
    <cellStyle name="_수량산출 음지하천_토공(4지구)_토공(4지구)_토공(3지구)_토공(4지구)" xfId="5010" xr:uid="{00000000-0005-0000-0000-000090130000}"/>
    <cellStyle name="_수량산출 음지하천_토공(4지구)_토공(4지구)_토공(3지구)_토공(4지구)_토공(4지구)" xfId="5011" xr:uid="{00000000-0005-0000-0000-000091130000}"/>
    <cellStyle name="_수량산출 음지하천_토공(4지구)_토공(4지구)_토공(4지구)" xfId="5012" xr:uid="{00000000-0005-0000-0000-000092130000}"/>
    <cellStyle name="_수량제목" xfId="5013" xr:uid="{00000000-0005-0000-0000-000093130000}"/>
    <cellStyle name="_수량제목_내역서" xfId="5014" xr:uid="{00000000-0005-0000-0000-000094130000}"/>
    <cellStyle name="_수로BOX  (version 3)" xfId="5015" xr:uid="{00000000-0005-0000-0000-000095130000}"/>
    <cellStyle name="_수로암거" xfId="5016" xr:uid="{00000000-0005-0000-0000-000096130000}"/>
    <cellStyle name="_수영내역서(변경11.21)" xfId="5017" xr:uid="{00000000-0005-0000-0000-000097130000}"/>
    <cellStyle name="_수원시_장기미집행관리프록그램_설계내역_v1" xfId="5018" xr:uid="{00000000-0005-0000-0000-000098130000}"/>
    <cellStyle name="_수원시_장기미집행관리프록그램_설계내역_v1 2" xfId="5019" xr:uid="{00000000-0005-0000-0000-000099130000}"/>
    <cellStyle name="_수원시_장기미집행관리프록그램_설계내역_v1_02._서울시_위례신도시_차집관거_설계예산서(전체)_0217" xfId="5020" xr:uid="{00000000-0005-0000-0000-00009A130000}"/>
    <cellStyle name="_수정갑지" xfId="5021" xr:uid="{00000000-0005-0000-0000-00009B130000}"/>
    <cellStyle name="_순천jct교교량공총괄" xfId="5022" xr:uid="{00000000-0005-0000-0000-00009C130000}"/>
    <cellStyle name="_순천jct교교량공총괄_(구조물)깨기" xfId="5023" xr:uid="{00000000-0005-0000-0000-00009D130000}"/>
    <cellStyle name="_순천jct교교량공총괄_(구조물)깨기_01 콘크리트(구조물)깨기" xfId="5024" xr:uid="{00000000-0005-0000-0000-00009E130000}"/>
    <cellStyle name="_순천jct교교량공총괄_0.토공수량(영동)" xfId="5025" xr:uid="{00000000-0005-0000-0000-00009F130000}"/>
    <cellStyle name="_순천jct교교량공총괄_0.토공수량(영동)_00.토공" xfId="5026" xr:uid="{00000000-0005-0000-0000-0000A0130000}"/>
    <cellStyle name="_순천jct교교량공총괄_0.토공수량(영동)_Book1" xfId="5027" xr:uid="{00000000-0005-0000-0000-0000A1130000}"/>
    <cellStyle name="_순천jct교교량공총괄_00.토공" xfId="5028" xr:uid="{00000000-0005-0000-0000-0000A2130000}"/>
    <cellStyle name="_순천jct교교량공총괄_00.토공_00.토공" xfId="5029" xr:uid="{00000000-0005-0000-0000-0000A3130000}"/>
    <cellStyle name="_순천jct교교량공총괄_00.토공_Book1" xfId="5030" xr:uid="{00000000-0005-0000-0000-0000A4130000}"/>
    <cellStyle name="_순천jct교교량공총괄_02.포장깨기(남해선)" xfId="5031" xr:uid="{00000000-0005-0000-0000-0000A5130000}"/>
    <cellStyle name="_순천jct교교량공총괄_02.포장깨기(남해선)_02.포장깨기(남해선)" xfId="5032" xr:uid="{00000000-0005-0000-0000-0000A6130000}"/>
    <cellStyle name="_순천jct교교량공총괄_깨기-취합" xfId="5033" xr:uid="{00000000-0005-0000-0000-0000A7130000}"/>
    <cellStyle name="_순천jct교교량공총괄_깨기-취합_(구조물)깨기" xfId="5034" xr:uid="{00000000-0005-0000-0000-0000A8130000}"/>
    <cellStyle name="_순천jct교교량공총괄_깨기-취합_(구조물)깨기_01 콘크리트(구조물)깨기" xfId="5035" xr:uid="{00000000-0005-0000-0000-0000A9130000}"/>
    <cellStyle name="_순천jct교교량공총괄_깨기-취합_02.포장깨기(남해선)" xfId="5036" xr:uid="{00000000-0005-0000-0000-0000AA130000}"/>
    <cellStyle name="_순천jct교교량공총괄_깨기-취합_02.포장깨기(남해선)_02.포장깨기(남해선)" xfId="5037" xr:uid="{00000000-0005-0000-0000-0000AB130000}"/>
    <cellStyle name="_순천jct교교량공총괄_깨기-취합_영동깨기최종(세준)" xfId="5038" xr:uid="{00000000-0005-0000-0000-0000AC130000}"/>
    <cellStyle name="_순천jct교교량공총괄_깨기-취합_영동깨기최종(세준)_(구조물)깨기" xfId="5039" xr:uid="{00000000-0005-0000-0000-0000AD130000}"/>
    <cellStyle name="_순천jct교교량공총괄_깨기-취합_영동깨기최종(세준)_(구조물)깨기_01 콘크리트(구조물)깨기" xfId="5040" xr:uid="{00000000-0005-0000-0000-0000AE130000}"/>
    <cellStyle name="_순천jct교교량공총괄_깨기-취합_영동깨기최종(세준)_02.포장깨기(남해선)" xfId="5041" xr:uid="{00000000-0005-0000-0000-0000AF130000}"/>
    <cellStyle name="_순천jct교교량공총괄_깨기-취합_영동깨기최종(세준)_02.포장깨기(남해선)_02.포장깨기(남해선)" xfId="5042" xr:uid="{00000000-0005-0000-0000-0000B0130000}"/>
    <cellStyle name="_순천jct교교량공총괄_깨기-취합_영동깨기최종(세준)_포장깨기" xfId="5043" xr:uid="{00000000-0005-0000-0000-0000B1130000}"/>
    <cellStyle name="_순천jct교교량공총괄_깨기-취합_포장깨기" xfId="5044" xr:uid="{00000000-0005-0000-0000-0000B2130000}"/>
    <cellStyle name="_순천jct교교량공총괄_순천JCT2교교량공총괄" xfId="5045" xr:uid="{00000000-0005-0000-0000-0000B3130000}"/>
    <cellStyle name="_순천jct교교량공총괄_순천JCT2교교량공총괄_(구조물)깨기" xfId="5046" xr:uid="{00000000-0005-0000-0000-0000B4130000}"/>
    <cellStyle name="_순천jct교교량공총괄_순천JCT2교교량공총괄_(구조물)깨기_01 콘크리트(구조물)깨기" xfId="5047" xr:uid="{00000000-0005-0000-0000-0000B5130000}"/>
    <cellStyle name="_순천jct교교량공총괄_순천JCT2교교량공총괄_0.토공수량(영동)" xfId="5048" xr:uid="{00000000-0005-0000-0000-0000B6130000}"/>
    <cellStyle name="_순천jct교교량공총괄_순천JCT2교교량공총괄_0.토공수량(영동)_00.토공" xfId="5049" xr:uid="{00000000-0005-0000-0000-0000B7130000}"/>
    <cellStyle name="_순천jct교교량공총괄_순천JCT2교교량공총괄_0.토공수량(영동)_Book1" xfId="5050" xr:uid="{00000000-0005-0000-0000-0000B8130000}"/>
    <cellStyle name="_순천jct교교량공총괄_순천JCT2교교량공총괄_00.토공" xfId="5051" xr:uid="{00000000-0005-0000-0000-0000B9130000}"/>
    <cellStyle name="_순천jct교교량공총괄_순천JCT2교교량공총괄_00.토공_00.토공" xfId="5052" xr:uid="{00000000-0005-0000-0000-0000BA130000}"/>
    <cellStyle name="_순천jct교교량공총괄_순천JCT2교교량공총괄_00.토공_Book1" xfId="5053" xr:uid="{00000000-0005-0000-0000-0000BB130000}"/>
    <cellStyle name="_순천jct교교량공총괄_순천JCT2교교량공총괄_02.포장깨기(남해선)" xfId="5054" xr:uid="{00000000-0005-0000-0000-0000BC130000}"/>
    <cellStyle name="_순천jct교교량공총괄_순천JCT2교교량공총괄_02.포장깨기(남해선)_02.포장깨기(남해선)" xfId="5055" xr:uid="{00000000-0005-0000-0000-0000BD130000}"/>
    <cellStyle name="_순천jct교교량공총괄_순천JCT2교교량공총괄_깨기-취합" xfId="5056" xr:uid="{00000000-0005-0000-0000-0000BE130000}"/>
    <cellStyle name="_순천jct교교량공총괄_순천JCT2교교량공총괄_깨기-취합_(구조물)깨기" xfId="5057" xr:uid="{00000000-0005-0000-0000-0000BF130000}"/>
    <cellStyle name="_순천jct교교량공총괄_순천JCT2교교량공총괄_깨기-취합_(구조물)깨기_01 콘크리트(구조물)깨기" xfId="5058" xr:uid="{00000000-0005-0000-0000-0000C0130000}"/>
    <cellStyle name="_순천jct교교량공총괄_순천JCT2교교량공총괄_깨기-취합_02.포장깨기(남해선)" xfId="5059" xr:uid="{00000000-0005-0000-0000-0000C1130000}"/>
    <cellStyle name="_순천jct교교량공총괄_순천JCT2교교량공총괄_깨기-취합_02.포장깨기(남해선)_02.포장깨기(남해선)" xfId="5060" xr:uid="{00000000-0005-0000-0000-0000C2130000}"/>
    <cellStyle name="_순천jct교교량공총괄_순천JCT2교교량공총괄_깨기-취합_영동깨기최종(세준)" xfId="5061" xr:uid="{00000000-0005-0000-0000-0000C3130000}"/>
    <cellStyle name="_순천jct교교량공총괄_순천JCT2교교량공총괄_깨기-취합_영동깨기최종(세준)_(구조물)깨기" xfId="5062" xr:uid="{00000000-0005-0000-0000-0000C4130000}"/>
    <cellStyle name="_순천jct교교량공총괄_순천JCT2교교량공총괄_깨기-취합_영동깨기최종(세준)_(구조물)깨기_01 콘크리트(구조물)깨기" xfId="5063" xr:uid="{00000000-0005-0000-0000-0000C5130000}"/>
    <cellStyle name="_순천jct교교량공총괄_순천JCT2교교량공총괄_깨기-취합_영동깨기최종(세준)_02.포장깨기(남해선)" xfId="5064" xr:uid="{00000000-0005-0000-0000-0000C6130000}"/>
    <cellStyle name="_순천jct교교량공총괄_순천JCT2교교량공총괄_깨기-취합_영동깨기최종(세준)_02.포장깨기(남해선)_02.포장깨기(남해선)" xfId="5065" xr:uid="{00000000-0005-0000-0000-0000C7130000}"/>
    <cellStyle name="_순천jct교교량공총괄_순천JCT2교교량공총괄_깨기-취합_영동깨기최종(세준)_포장깨기" xfId="5066" xr:uid="{00000000-0005-0000-0000-0000C8130000}"/>
    <cellStyle name="_순천jct교교량공총괄_순천JCT2교교량공총괄_깨기-취합_포장깨기" xfId="5067" xr:uid="{00000000-0005-0000-0000-0000C9130000}"/>
    <cellStyle name="_순천jct교교량공총괄_순천JCT2교교량공총괄_포장깨기" xfId="5068" xr:uid="{00000000-0005-0000-0000-0000CA130000}"/>
    <cellStyle name="_순천jct교교량공총괄_순천JCT3교교량공총괄" xfId="5069" xr:uid="{00000000-0005-0000-0000-0000CB130000}"/>
    <cellStyle name="_순천jct교교량공총괄_순천JCT3교교량공총괄_(구조물)깨기" xfId="5070" xr:uid="{00000000-0005-0000-0000-0000CC130000}"/>
    <cellStyle name="_순천jct교교량공총괄_순천JCT3교교량공총괄_(구조물)깨기_01 콘크리트(구조물)깨기" xfId="5071" xr:uid="{00000000-0005-0000-0000-0000CD130000}"/>
    <cellStyle name="_순천jct교교량공총괄_순천JCT3교교량공총괄_0.토공수량(영동)" xfId="5072" xr:uid="{00000000-0005-0000-0000-0000CE130000}"/>
    <cellStyle name="_순천jct교교량공총괄_순천JCT3교교량공총괄_0.토공수량(영동)_00.토공" xfId="5073" xr:uid="{00000000-0005-0000-0000-0000CF130000}"/>
    <cellStyle name="_순천jct교교량공총괄_순천JCT3교교량공총괄_0.토공수량(영동)_Book1" xfId="5074" xr:uid="{00000000-0005-0000-0000-0000D0130000}"/>
    <cellStyle name="_순천jct교교량공총괄_순천JCT3교교량공총괄_00.토공" xfId="5075" xr:uid="{00000000-0005-0000-0000-0000D1130000}"/>
    <cellStyle name="_순천jct교교량공총괄_순천JCT3교교량공총괄_00.토공_00.토공" xfId="5076" xr:uid="{00000000-0005-0000-0000-0000D2130000}"/>
    <cellStyle name="_순천jct교교량공총괄_순천JCT3교교량공총괄_00.토공_Book1" xfId="5077" xr:uid="{00000000-0005-0000-0000-0000D3130000}"/>
    <cellStyle name="_순천jct교교량공총괄_순천JCT3교교량공총괄_02.포장깨기(남해선)" xfId="5078" xr:uid="{00000000-0005-0000-0000-0000D4130000}"/>
    <cellStyle name="_순천jct교교량공총괄_순천JCT3교교량공총괄_02.포장깨기(남해선)_02.포장깨기(남해선)" xfId="5079" xr:uid="{00000000-0005-0000-0000-0000D5130000}"/>
    <cellStyle name="_순천jct교교량공총괄_순천JCT3교교량공총괄_깨기-취합" xfId="5080" xr:uid="{00000000-0005-0000-0000-0000D6130000}"/>
    <cellStyle name="_순천jct교교량공총괄_순천JCT3교교량공총괄_깨기-취합_(구조물)깨기" xfId="5081" xr:uid="{00000000-0005-0000-0000-0000D7130000}"/>
    <cellStyle name="_순천jct교교량공총괄_순천JCT3교교량공총괄_깨기-취합_(구조물)깨기_01 콘크리트(구조물)깨기" xfId="5082" xr:uid="{00000000-0005-0000-0000-0000D8130000}"/>
    <cellStyle name="_순천jct교교량공총괄_순천JCT3교교량공총괄_깨기-취합_02.포장깨기(남해선)" xfId="5083" xr:uid="{00000000-0005-0000-0000-0000D9130000}"/>
    <cellStyle name="_순천jct교교량공총괄_순천JCT3교교량공총괄_깨기-취합_02.포장깨기(남해선)_02.포장깨기(남해선)" xfId="5084" xr:uid="{00000000-0005-0000-0000-0000DA130000}"/>
    <cellStyle name="_순천jct교교량공총괄_순천JCT3교교량공총괄_깨기-취합_영동깨기최종(세준)" xfId="5085" xr:uid="{00000000-0005-0000-0000-0000DB130000}"/>
    <cellStyle name="_순천jct교교량공총괄_순천JCT3교교량공총괄_깨기-취합_영동깨기최종(세준)_(구조물)깨기" xfId="5086" xr:uid="{00000000-0005-0000-0000-0000DC130000}"/>
    <cellStyle name="_순천jct교교량공총괄_순천JCT3교교량공총괄_깨기-취합_영동깨기최종(세준)_(구조물)깨기_01 콘크리트(구조물)깨기" xfId="5087" xr:uid="{00000000-0005-0000-0000-0000DD130000}"/>
    <cellStyle name="_순천jct교교량공총괄_순천JCT3교교량공총괄_깨기-취합_영동깨기최종(세준)_02.포장깨기(남해선)" xfId="5088" xr:uid="{00000000-0005-0000-0000-0000DE130000}"/>
    <cellStyle name="_순천jct교교량공총괄_순천JCT3교교량공총괄_깨기-취합_영동깨기최종(세준)_02.포장깨기(남해선)_02.포장깨기(남해선)" xfId="5089" xr:uid="{00000000-0005-0000-0000-0000DF130000}"/>
    <cellStyle name="_순천jct교교량공총괄_순천JCT3교교량공총괄_깨기-취합_영동깨기최종(세준)_포장깨기" xfId="5090" xr:uid="{00000000-0005-0000-0000-0000E0130000}"/>
    <cellStyle name="_순천jct교교량공총괄_순천JCT3교교량공총괄_깨기-취합_포장깨기" xfId="5091" xr:uid="{00000000-0005-0000-0000-0000E1130000}"/>
    <cellStyle name="_순천jct교교량공총괄_순천JCT3교교량공총괄_포장깨기" xfId="5092" xr:uid="{00000000-0005-0000-0000-0000E2130000}"/>
    <cellStyle name="_순천jct교교량공총괄_포장깨기" xfId="5093" xr:uid="{00000000-0005-0000-0000-0000E3130000}"/>
    <cellStyle name="_승본도로수량(금회분)" xfId="5094" xr:uid="{00000000-0005-0000-0000-0000E4130000}"/>
    <cellStyle name="_승본도로수량(금회분)_토공(3지구)" xfId="5095" xr:uid="{00000000-0005-0000-0000-0000E5130000}"/>
    <cellStyle name="_승본도로수량(금회분)_토공(3지구)_토공(4지구)" xfId="5096" xr:uid="{00000000-0005-0000-0000-0000E6130000}"/>
    <cellStyle name="_승본도로수량(금회분)_토공(3지구)_토공(4지구)_토공(4지구)" xfId="5097" xr:uid="{00000000-0005-0000-0000-0000E7130000}"/>
    <cellStyle name="_승본도로수량(금회분)_토공(4지구)" xfId="5098" xr:uid="{00000000-0005-0000-0000-0000E8130000}"/>
    <cellStyle name="_승본도로수량(금회분)_토공(4지구)_토공(4지구)" xfId="5099" xr:uid="{00000000-0005-0000-0000-0000E9130000}"/>
    <cellStyle name="_승본도로수량(금회분)_토공(4지구)_토공(4지구)_토공(3지구)" xfId="5100" xr:uid="{00000000-0005-0000-0000-0000EA130000}"/>
    <cellStyle name="_승본도로수량(금회분)_토공(4지구)_토공(4지구)_토공(3지구)_토공(4지구)" xfId="5101" xr:uid="{00000000-0005-0000-0000-0000EB130000}"/>
    <cellStyle name="_승본도로수량(금회분)_토공(4지구)_토공(4지구)_토공(3지구)_토공(4지구)_토공(4지구)" xfId="5102" xr:uid="{00000000-0005-0000-0000-0000EC130000}"/>
    <cellStyle name="_승본도로수량(금회분)_토공(4지구)_토공(4지구)_토공(4지구)" xfId="5103" xr:uid="{00000000-0005-0000-0000-0000ED130000}"/>
    <cellStyle name="_승본도로수량산출" xfId="5104" xr:uid="{00000000-0005-0000-0000-0000EE130000}"/>
    <cellStyle name="_승본도로수량산출_토공(3지구)" xfId="5105" xr:uid="{00000000-0005-0000-0000-0000EF130000}"/>
    <cellStyle name="_승본도로수량산출_토공(3지구)_토공(4지구)" xfId="5106" xr:uid="{00000000-0005-0000-0000-0000F0130000}"/>
    <cellStyle name="_승본도로수량산출_토공(3지구)_토공(4지구)_토공(4지구)" xfId="5107" xr:uid="{00000000-0005-0000-0000-0000F1130000}"/>
    <cellStyle name="_승본도로수량산출_토공(4지구)" xfId="5108" xr:uid="{00000000-0005-0000-0000-0000F2130000}"/>
    <cellStyle name="_승본도로수량산출_토공(4지구)_토공(4지구)" xfId="5109" xr:uid="{00000000-0005-0000-0000-0000F3130000}"/>
    <cellStyle name="_승본도로수량산출_토공(4지구)_토공(4지구)_토공(3지구)" xfId="5110" xr:uid="{00000000-0005-0000-0000-0000F4130000}"/>
    <cellStyle name="_승본도로수량산출_토공(4지구)_토공(4지구)_토공(3지구)_토공(4지구)" xfId="5111" xr:uid="{00000000-0005-0000-0000-0000F5130000}"/>
    <cellStyle name="_승본도로수량산출_토공(4지구)_토공(4지구)_토공(3지구)_토공(4지구)_토공(4지구)" xfId="5112" xr:uid="{00000000-0005-0000-0000-0000F6130000}"/>
    <cellStyle name="_승본도로수량산출_토공(4지구)_토공(4지구)_토공(4지구)" xfId="5113" xr:uid="{00000000-0005-0000-0000-0000F7130000}"/>
    <cellStyle name="_시방서" xfId="5114" xr:uid="{00000000-0005-0000-0000-0000F8130000}"/>
    <cellStyle name="_시선유도" xfId="5115" xr:uid="{00000000-0005-0000-0000-0000F9130000}"/>
    <cellStyle name="_시스템" xfId="5116" xr:uid="{00000000-0005-0000-0000-0000FA130000}"/>
    <cellStyle name="_시스템개발산출양식_2003" xfId="5117" xr:uid="{00000000-0005-0000-0000-0000FB130000}"/>
    <cellStyle name="_시스템설계서(7_26)." xfId="5118" xr:uid="{00000000-0005-0000-0000-0000FC130000}"/>
    <cellStyle name="_시흥시견적" xfId="5119" xr:uid="{00000000-0005-0000-0000-0000FD130000}"/>
    <cellStyle name="_신당천수량 변경(전체)" xfId="5120" xr:uid="{00000000-0005-0000-0000-0000FE130000}"/>
    <cellStyle name="_신당천수량 변경(전체)_토공(3지구)" xfId="5121" xr:uid="{00000000-0005-0000-0000-0000FF130000}"/>
    <cellStyle name="_신당천수량 변경(전체)_토공(3지구)_토공(4지구)" xfId="5122" xr:uid="{00000000-0005-0000-0000-000000140000}"/>
    <cellStyle name="_신당천수량 변경(전체)_토공(3지구)_토공(4지구)_토공(4지구)" xfId="5123" xr:uid="{00000000-0005-0000-0000-000001140000}"/>
    <cellStyle name="_신당천수량 변경(전체)_토공(4지구)" xfId="5124" xr:uid="{00000000-0005-0000-0000-000002140000}"/>
    <cellStyle name="_신당천수량 변경(전체)_토공(4지구)_토공(4지구)" xfId="5125" xr:uid="{00000000-0005-0000-0000-000003140000}"/>
    <cellStyle name="_신당천수량 변경(전체)_토공(4지구)_토공(4지구)_토공(3지구)" xfId="5126" xr:uid="{00000000-0005-0000-0000-000004140000}"/>
    <cellStyle name="_신당천수량 변경(전체)_토공(4지구)_토공(4지구)_토공(3지구)_토공(4지구)" xfId="5127" xr:uid="{00000000-0005-0000-0000-000005140000}"/>
    <cellStyle name="_신당천수량 변경(전체)_토공(4지구)_토공(4지구)_토공(3지구)_토공(4지구)_토공(4지구)" xfId="5128" xr:uid="{00000000-0005-0000-0000-000006140000}"/>
    <cellStyle name="_신당천수량 변경(전체)_토공(4지구)_토공(4지구)_토공(4지구)" xfId="5129" xr:uid="{00000000-0005-0000-0000-000007140000}"/>
    <cellStyle name="_신대농로" xfId="5130" xr:uid="{00000000-0005-0000-0000-000008140000}"/>
    <cellStyle name="_신언1공구수량산출" xfId="5131" xr:uid="{00000000-0005-0000-0000-000009140000}"/>
    <cellStyle name="_신영소하천" xfId="5132" xr:uid="{00000000-0005-0000-0000-00000A140000}"/>
    <cellStyle name="_신철원2교" xfId="5133" xr:uid="{00000000-0005-0000-0000-00000B140000}"/>
    <cellStyle name="_실시계획내역서(최종안)-원내역" xfId="5134" xr:uid="{00000000-0005-0000-0000-00000C140000}"/>
    <cellStyle name="_실적공사비-최종" xfId="5135" xr:uid="{00000000-0005-0000-0000-00000D140000}"/>
    <cellStyle name="_실행내역2001년1월변경" xfId="5136" xr:uid="{00000000-0005-0000-0000-00000E140000}"/>
    <cellStyle name="_실행내역2001년1월변경_2003년실행양식" xfId="5137" xr:uid="{00000000-0005-0000-0000-00000F140000}"/>
    <cellStyle name="_실행내역2001년1월변경_2003년실행양식_4.추진공(공암)" xfId="5138" xr:uid="{00000000-0005-0000-0000-000010140000}"/>
    <cellStyle name="_실행내역2001년1월변경_2003년실행양식_4.추진공(공암SAMPLE" xfId="5139" xr:uid="{00000000-0005-0000-0000-000011140000}"/>
    <cellStyle name="_실행내역2001년1월변경_2003년실행양식_4.추진공(서산)" xfId="5140" xr:uid="{00000000-0005-0000-0000-000012140000}"/>
    <cellStyle name="_실행내역2001년1월변경_2003년실행양식_4.추진공(읍내)" xfId="5141" xr:uid="{00000000-0005-0000-0000-000013140000}"/>
    <cellStyle name="_실행내역2001년1월변경_2003년실행양식_4.추진공(황간)" xfId="5142" xr:uid="{00000000-0005-0000-0000-000014140000}"/>
    <cellStyle name="_실행내역2001년1월변경_2003년실행양식_영동군추진가시설수량" xfId="5143" xr:uid="{00000000-0005-0000-0000-000015140000}"/>
    <cellStyle name="_실행내역2001년1월변경_2003년실행양식0" xfId="5144" xr:uid="{00000000-0005-0000-0000-000016140000}"/>
    <cellStyle name="_실행내역2001년1월변경_2003년실행양식0_4.추진공(공암)" xfId="5145" xr:uid="{00000000-0005-0000-0000-000017140000}"/>
    <cellStyle name="_실행내역2001년1월변경_2003년실행양식0_4.추진공(공암SAMPLE" xfId="5146" xr:uid="{00000000-0005-0000-0000-000018140000}"/>
    <cellStyle name="_실행내역2001년1월변경_2003년실행양식0_4.추진공(서산)" xfId="5147" xr:uid="{00000000-0005-0000-0000-000019140000}"/>
    <cellStyle name="_실행내역2001년1월변경_2003년실행양식0_4.추진공(읍내)" xfId="5148" xr:uid="{00000000-0005-0000-0000-00001A140000}"/>
    <cellStyle name="_실행내역2001년1월변경_2003년실행양식0_4.추진공(황간)" xfId="5149" xr:uid="{00000000-0005-0000-0000-00001B140000}"/>
    <cellStyle name="_실행내역2001년1월변경_2003년실행양식0_영동군추진가시설수량" xfId="5150" xr:uid="{00000000-0005-0000-0000-00001C140000}"/>
    <cellStyle name="_실행내역2001년1월변경_2003년실행양식-1" xfId="5151" xr:uid="{00000000-0005-0000-0000-00001D140000}"/>
    <cellStyle name="_실행내역2001년1월변경_2003년실행양식-1_4.추진공(공암)" xfId="5152" xr:uid="{00000000-0005-0000-0000-00001E140000}"/>
    <cellStyle name="_실행내역2001년1월변경_2003년실행양식-1_4.추진공(공암SAMPLE" xfId="5153" xr:uid="{00000000-0005-0000-0000-00001F140000}"/>
    <cellStyle name="_실행내역2001년1월변경_2003년실행양식-1_4.추진공(서산)" xfId="5154" xr:uid="{00000000-0005-0000-0000-000020140000}"/>
    <cellStyle name="_실행내역2001년1월변경_2003년실행양식-1_4.추진공(읍내)" xfId="5155" xr:uid="{00000000-0005-0000-0000-000021140000}"/>
    <cellStyle name="_실행내역2001년1월변경_2003년실행양식-1_4.추진공(황간)" xfId="5156" xr:uid="{00000000-0005-0000-0000-000022140000}"/>
    <cellStyle name="_실행내역2001년1월변경_2003년실행양식-1_영동군추진가시설수량" xfId="5157" xr:uid="{00000000-0005-0000-0000-000023140000}"/>
    <cellStyle name="_실행내역2001년1월변경_4.추진공(공암)" xfId="5158" xr:uid="{00000000-0005-0000-0000-000024140000}"/>
    <cellStyle name="_실행내역2001년1월변경_4.추진공(공암SAMPLE" xfId="5159" xr:uid="{00000000-0005-0000-0000-000025140000}"/>
    <cellStyle name="_실행내역2001년1월변경_4.추진공(서산)" xfId="5160" xr:uid="{00000000-0005-0000-0000-000026140000}"/>
    <cellStyle name="_실행내역2001년1월변경_4.추진공(읍내)" xfId="5161" xr:uid="{00000000-0005-0000-0000-000027140000}"/>
    <cellStyle name="_실행내역2001년1월변경_4.추진공(황간)" xfId="5162" xr:uid="{00000000-0005-0000-0000-000028140000}"/>
    <cellStyle name="_실행내역2001년1월변경_영동군추진가시설수량" xfId="5163" xr:uid="{00000000-0005-0000-0000-000029140000}"/>
    <cellStyle name="_아산설계" xfId="5164" xr:uid="{00000000-0005-0000-0000-00002A140000}"/>
    <cellStyle name="_아산설계_설계2임시" xfId="5165" xr:uid="{00000000-0005-0000-0000-00002B140000}"/>
    <cellStyle name="_아산설계_설계2임시_설계서(장)" xfId="5166" xr:uid="{00000000-0005-0000-0000-00002C140000}"/>
    <cellStyle name="_아산설계_설계2임시_설계최종" xfId="5167" xr:uid="{00000000-0005-0000-0000-00002D140000}"/>
    <cellStyle name="_아산설계_설계서(보령,전주,부안)" xfId="5168" xr:uid="{00000000-0005-0000-0000-00002E140000}"/>
    <cellStyle name="_아산설계_설계서(보령,전주,부안)_설계2임시" xfId="5169" xr:uid="{00000000-0005-0000-0000-00002F140000}"/>
    <cellStyle name="_아산설계_설계서(보령,전주,부안)_설계2임시_설계서(장)" xfId="5170" xr:uid="{00000000-0005-0000-0000-000030140000}"/>
    <cellStyle name="_아산설계_설계서(보령,전주,부안)_설계2임시_설계최종" xfId="5171" xr:uid="{00000000-0005-0000-0000-000031140000}"/>
    <cellStyle name="_안계실시계측제어내역서" xfId="5172" xr:uid="{00000000-0005-0000-0000-000032140000}"/>
    <cellStyle name="_안성시 GIS 총괄 설계내역서_1.0" xfId="5173" xr:uid="{00000000-0005-0000-0000-000033140000}"/>
    <cellStyle name="_암  거" xfId="5174" xr:uid="{00000000-0005-0000-0000-000034140000}"/>
    <cellStyle name="_암  거_토공(3지구)" xfId="5175" xr:uid="{00000000-0005-0000-0000-000035140000}"/>
    <cellStyle name="_암  거_토공(3지구)_토공(4지구)" xfId="5176" xr:uid="{00000000-0005-0000-0000-000036140000}"/>
    <cellStyle name="_암  거_토공(3지구)_토공(4지구)_토공(4지구)" xfId="5177" xr:uid="{00000000-0005-0000-0000-000037140000}"/>
    <cellStyle name="_암  거_토공(4지구)" xfId="5178" xr:uid="{00000000-0005-0000-0000-000038140000}"/>
    <cellStyle name="_암  거_토공(4지구)_토공(4지구)" xfId="5179" xr:uid="{00000000-0005-0000-0000-000039140000}"/>
    <cellStyle name="_암  거_토공(4지구)_토공(4지구)_토공(3지구)" xfId="5180" xr:uid="{00000000-0005-0000-0000-00003A140000}"/>
    <cellStyle name="_암  거_토공(4지구)_토공(4지구)_토공(3지구)_토공(4지구)" xfId="5181" xr:uid="{00000000-0005-0000-0000-00003B140000}"/>
    <cellStyle name="_암  거_토공(4지구)_토공(4지구)_토공(3지구)_토공(4지구)_토공(4지구)" xfId="5182" xr:uid="{00000000-0005-0000-0000-00003C140000}"/>
    <cellStyle name="_암  거_토공(4지구)_토공(4지구)_토공(4지구)" xfId="5183" xr:uid="{00000000-0005-0000-0000-00003D140000}"/>
    <cellStyle name="_암  거04" xfId="5184" xr:uid="{00000000-0005-0000-0000-00003E140000}"/>
    <cellStyle name="_암  거04_토공(3지구)" xfId="5185" xr:uid="{00000000-0005-0000-0000-00003F140000}"/>
    <cellStyle name="_암  거04_토공(3지구)_토공(4지구)" xfId="5186" xr:uid="{00000000-0005-0000-0000-000040140000}"/>
    <cellStyle name="_암  거04_토공(3지구)_토공(4지구)_토공(4지구)" xfId="5187" xr:uid="{00000000-0005-0000-0000-000041140000}"/>
    <cellStyle name="_암  거04_토공(4지구)" xfId="5188" xr:uid="{00000000-0005-0000-0000-000042140000}"/>
    <cellStyle name="_암  거04_토공(4지구)_토공(4지구)" xfId="5189" xr:uid="{00000000-0005-0000-0000-000043140000}"/>
    <cellStyle name="_암  거04_토공(4지구)_토공(4지구)_토공(3지구)" xfId="5190" xr:uid="{00000000-0005-0000-0000-000044140000}"/>
    <cellStyle name="_암  거04_토공(4지구)_토공(4지구)_토공(3지구)_토공(4지구)" xfId="5191" xr:uid="{00000000-0005-0000-0000-000045140000}"/>
    <cellStyle name="_암  거04_토공(4지구)_토공(4지구)_토공(3지구)_토공(4지구)_토공(4지구)" xfId="5192" xr:uid="{00000000-0005-0000-0000-000046140000}"/>
    <cellStyle name="_암  거04_토공(4지구)_토공(4지구)_토공(4지구)" xfId="5193" xr:uid="{00000000-0005-0000-0000-000047140000}"/>
    <cellStyle name="_앙성수량총괄(관수정)" xfId="5194" xr:uid="{00000000-0005-0000-0000-000048140000}"/>
    <cellStyle name="_앙성수량총괄(관수정)_1" xfId="5195" xr:uid="{00000000-0005-0000-0000-000049140000}"/>
    <cellStyle name="_앙성수량총괄(관수정)_2" xfId="5196" xr:uid="{00000000-0005-0000-0000-00004A140000}"/>
    <cellStyle name="_앙성수량총괄(관수정)_2_대부리총괄수량집계표" xfId="5197" xr:uid="{00000000-0005-0000-0000-00004B140000}"/>
    <cellStyle name="_앙성수량총괄(관수정)_대부리총괄수량집계표" xfId="5198" xr:uid="{00000000-0005-0000-0000-00004C140000}"/>
    <cellStyle name="_양산시 가격설계내역서_1" xfId="5199" xr:uid="{00000000-0005-0000-0000-00004D140000}"/>
    <cellStyle name="_양산시 가격설계내역서_1_02._서울시_위례신도시_차집관거_설계예산서(전체)_0217" xfId="5200" xr:uid="{00000000-0005-0000-0000-00004E140000}"/>
    <cellStyle name="_양식" xfId="5201" xr:uid="{00000000-0005-0000-0000-00004F140000}"/>
    <cellStyle name="_양식_1" xfId="5202" xr:uid="{00000000-0005-0000-0000-000050140000}"/>
    <cellStyle name="_양식_2" xfId="5203" xr:uid="{00000000-0005-0000-0000-000051140000}"/>
    <cellStyle name="_엑사큐브- 건기원납품업체" xfId="5204" xr:uid="{00000000-0005-0000-0000-000052140000}"/>
    <cellStyle name="_엑사큐브한국건설기술협회" xfId="5205" xr:uid="{00000000-0005-0000-0000-000053140000}"/>
    <cellStyle name="_연구시설단지설계용역" xfId="5206" xr:uid="{00000000-0005-0000-0000-000054140000}"/>
    <cellStyle name="_연습" xfId="5207" xr:uid="{00000000-0005-0000-0000-000055140000}"/>
    <cellStyle name="_연풍방향" xfId="5208" xr:uid="{00000000-0005-0000-0000-000056140000}"/>
    <cellStyle name="_연화지제(3공구) 수량" xfId="5209" xr:uid="{00000000-0005-0000-0000-000057140000}"/>
    <cellStyle name="_연화지제(3공구) 수량_토공(3지구)" xfId="5210" xr:uid="{00000000-0005-0000-0000-000058140000}"/>
    <cellStyle name="_연화지제(3공구) 수량_토공(3지구)_토공(4지구)" xfId="5211" xr:uid="{00000000-0005-0000-0000-000059140000}"/>
    <cellStyle name="_연화지제(3공구) 수량_토공(3지구)_토공(4지구)_토공(4지구)" xfId="5212" xr:uid="{00000000-0005-0000-0000-00005A140000}"/>
    <cellStyle name="_연화지제(3공구) 수량_토공(4지구)" xfId="5213" xr:uid="{00000000-0005-0000-0000-00005B140000}"/>
    <cellStyle name="_연화지제(3공구) 수량_토공(4지구)_토공(4지구)" xfId="5214" xr:uid="{00000000-0005-0000-0000-00005C140000}"/>
    <cellStyle name="_연화지제(3공구) 수량_토공(4지구)_토공(4지구)_토공(3지구)" xfId="5215" xr:uid="{00000000-0005-0000-0000-00005D140000}"/>
    <cellStyle name="_연화지제(3공구) 수량_토공(4지구)_토공(4지구)_토공(3지구)_토공(4지구)" xfId="5216" xr:uid="{00000000-0005-0000-0000-00005E140000}"/>
    <cellStyle name="_연화지제(3공구) 수량_토공(4지구)_토공(4지구)_토공(3지구)_토공(4지구)_토공(4지구)" xfId="5217" xr:uid="{00000000-0005-0000-0000-00005F140000}"/>
    <cellStyle name="_연화지제(3공구) 수량_토공(4지구)_토공(4지구)_토공(4지구)" xfId="5218" xr:uid="{00000000-0005-0000-0000-000060140000}"/>
    <cellStyle name="_영상산출내역서" xfId="5219" xr:uid="{00000000-0005-0000-0000-000061140000}"/>
    <cellStyle name="_영주시-계약용_설계내역서" xfId="5220" xr:uid="{00000000-0005-0000-0000-000062140000}"/>
    <cellStyle name="_예정공정표" xfId="5221" xr:uid="{00000000-0005-0000-0000-000063140000}"/>
    <cellStyle name="_오송생명과학단지 항공사진측량용역" xfId="5222" xr:uid="{00000000-0005-0000-0000-000064140000}"/>
    <cellStyle name="_옥동천변경내역(최종)" xfId="5223" xr:uid="{00000000-0005-0000-0000-000065140000}"/>
    <cellStyle name="_옥련고총괄(100%)" xfId="5224" xr:uid="{00000000-0005-0000-0000-000066140000}"/>
    <cellStyle name="_와핑(연속지적편집)" xfId="5225" xr:uid="{00000000-0005-0000-0000-000067140000}"/>
    <cellStyle name="_왕가봉정비공사" xfId="5226" xr:uid="{00000000-0005-0000-0000-000068140000}"/>
    <cellStyle name="_외동하수(계측제어)예산서-R" xfId="5227" xr:uid="{00000000-0005-0000-0000-000069140000}"/>
    <cellStyle name="_용수교-일반수량(하부)" xfId="5228" xr:uid="{00000000-0005-0000-0000-00006A140000}"/>
    <cellStyle name="_용수교하부일반수량" xfId="5229" xr:uid="{00000000-0005-0000-0000-00006B140000}"/>
    <cellStyle name="_용정2p3(아포)" xfId="5230" xr:uid="{00000000-0005-0000-0000-00006C140000}"/>
    <cellStyle name="_용정2p3(아포)_08부대공" xfId="5231" xr:uid="{00000000-0005-0000-0000-00006D140000}"/>
    <cellStyle name="_용정2p3(아포)_08부대공_02토공" xfId="5232" xr:uid="{00000000-0005-0000-0000-00006E140000}"/>
    <cellStyle name="_용정2p3(아포)_1토공(배수지만)" xfId="5233" xr:uid="{00000000-0005-0000-0000-00006F140000}"/>
    <cellStyle name="_용정2p3(아포)_가곡계산서" xfId="5234" xr:uid="{00000000-0005-0000-0000-000070140000}"/>
    <cellStyle name="_용정2p3(아포)_가압장계산서" xfId="5235" xr:uid="{00000000-0005-0000-0000-000071140000}"/>
    <cellStyle name="_용정2p3(아포)_가압장계산서_가곡계산서" xfId="5236" xr:uid="{00000000-0005-0000-0000-000072140000}"/>
    <cellStyle name="_용정2p3(아포)_가압장계산서_계산서" xfId="5237" xr:uid="{00000000-0005-0000-0000-000073140000}"/>
    <cellStyle name="_용정2p3(아포)_가압장계산서_계산서_가곡계산서" xfId="5238" xr:uid="{00000000-0005-0000-0000-000074140000}"/>
    <cellStyle name="_용정2p3(아포)_가압장계산서_무이2리계산서" xfId="5239" xr:uid="{00000000-0005-0000-0000-000075140000}"/>
    <cellStyle name="_용정2p3(아포)_가압장계산서_무이2리계산서_가곡계산서" xfId="5240" xr:uid="{00000000-0005-0000-0000-000076140000}"/>
    <cellStyle name="_용정2p3(아포)_가압장계산서_봉양계산서" xfId="5241" xr:uid="{00000000-0005-0000-0000-000077140000}"/>
    <cellStyle name="_용정2p3(아포)_가압장계산서_봉양계산서_가곡계산서" xfId="5242" xr:uid="{00000000-0005-0000-0000-000078140000}"/>
    <cellStyle name="_용정2p3(아포)_가압장계산서_삼가처리장" xfId="5243" xr:uid="{00000000-0005-0000-0000-000079140000}"/>
    <cellStyle name="_용정2p3(아포)_가압장계산서_삼가처리장_가곡계산서" xfId="5244" xr:uid="{00000000-0005-0000-0000-00007A140000}"/>
    <cellStyle name="_용정2p3(아포)_가압장계산서_신기계산서(최종)" xfId="5245" xr:uid="{00000000-0005-0000-0000-00007B140000}"/>
    <cellStyle name="_용정2p3(아포)_가압장계산서_신기계산서(최종)_가곡계산서" xfId="5246" xr:uid="{00000000-0005-0000-0000-00007C140000}"/>
    <cellStyle name="_용정2p3(아포)_가압장계산서_영월배수지" xfId="5247" xr:uid="{00000000-0005-0000-0000-00007D140000}"/>
    <cellStyle name="_용정2p3(아포)_가압장계산서_영월배수지_가곡계산서" xfId="5248" xr:uid="{00000000-0005-0000-0000-00007E140000}"/>
    <cellStyle name="_용정2p3(아포)_가압장계산서_우곡계산서" xfId="5249" xr:uid="{00000000-0005-0000-0000-00007F140000}"/>
    <cellStyle name="_용정2p3(아포)_가압장계산서_우곡계산서_가곡계산서" xfId="5250" xr:uid="{00000000-0005-0000-0000-000080140000}"/>
    <cellStyle name="_용정2p3(아포)_가압장계산서_유입부(최종)" xfId="5251" xr:uid="{00000000-0005-0000-0000-000081140000}"/>
    <cellStyle name="_용정2p3(아포)_가압장계산서_유입부(최종)_가곡계산서" xfId="5252" xr:uid="{00000000-0005-0000-0000-000082140000}"/>
    <cellStyle name="_용정2p3(아포)_가압장계산서_유입부(최종)_삼가처리장" xfId="5253" xr:uid="{00000000-0005-0000-0000-000083140000}"/>
    <cellStyle name="_용정2p3(아포)_가압장계산서_유입부(최종)_삼가처리장_가곡계산서" xfId="5254" xr:uid="{00000000-0005-0000-0000-000084140000}"/>
    <cellStyle name="_용정2p3(아포)_가압장계산서_유입부(최종)_하수처리장" xfId="5255" xr:uid="{00000000-0005-0000-0000-000085140000}"/>
    <cellStyle name="_용정2p3(아포)_가압장계산서_유입부(최종)_하수처리장_가곡계산서" xfId="5256" xr:uid="{00000000-0005-0000-0000-000086140000}"/>
    <cellStyle name="_용정2p3(아포)_가압장계산서_유입부(최종)_하수처리장_오음리하수처리장" xfId="5257" xr:uid="{00000000-0005-0000-0000-000087140000}"/>
    <cellStyle name="_용정2p3(아포)_가압장계산서_유입부(최종)_하수처리장_오음리하수처리장_가곡계산서" xfId="5258" xr:uid="{00000000-0005-0000-0000-000088140000}"/>
    <cellStyle name="_용정2p3(아포)_가압장계산서_유입부(최종)_화천봉오리" xfId="5259" xr:uid="{00000000-0005-0000-0000-000089140000}"/>
    <cellStyle name="_용정2p3(아포)_가압장계산서_유입부(최종)_화천봉오리_가곡계산서" xfId="5260" xr:uid="{00000000-0005-0000-0000-00008A140000}"/>
    <cellStyle name="_용정2p3(아포)_가압장계산서_하수처리장" xfId="5261" xr:uid="{00000000-0005-0000-0000-00008B140000}"/>
    <cellStyle name="_용정2p3(아포)_가압장계산서_하수처리장_가곡계산서" xfId="5262" xr:uid="{00000000-0005-0000-0000-00008C140000}"/>
    <cellStyle name="_용정2p3(아포)_가압장계산서_하수처리장_오음리하수처리장" xfId="5263" xr:uid="{00000000-0005-0000-0000-00008D140000}"/>
    <cellStyle name="_용정2p3(아포)_가압장계산서_하수처리장_오음리하수처리장_가곡계산서" xfId="5264" xr:uid="{00000000-0005-0000-0000-00008E140000}"/>
    <cellStyle name="_용정2p3(아포)_가압장계산서_화천봉오리" xfId="5265" xr:uid="{00000000-0005-0000-0000-00008F140000}"/>
    <cellStyle name="_용정2p3(아포)_가압장계산서_화천봉오리_가곡계산서" xfId="5266" xr:uid="{00000000-0005-0000-0000-000090140000}"/>
    <cellStyle name="_용정2p3(아포)_계산서" xfId="5267" xr:uid="{00000000-0005-0000-0000-000091140000}"/>
    <cellStyle name="_용정2p3(아포)_계산서_가곡계산서" xfId="5268" xr:uid="{00000000-0005-0000-0000-000092140000}"/>
    <cellStyle name="_용정2p3(아포)_구조물공(A-LINE)" xfId="5269" xr:uid="{00000000-0005-0000-0000-000093140000}"/>
    <cellStyle name="_용정2p3(아포)_구조물공(A-LINE)_02토공" xfId="5270" xr:uid="{00000000-0005-0000-0000-000094140000}"/>
    <cellStyle name="_용정2p3(아포)_구조물공(A-LINE)_1토공(배수지만)" xfId="5271" xr:uid="{00000000-0005-0000-0000-000095140000}"/>
    <cellStyle name="_용정2p3(아포)_구조물공(A-LINE)_A-LINE" xfId="5272" xr:uid="{00000000-0005-0000-0000-000096140000}"/>
    <cellStyle name="_용정2p3(아포)_구조물공(A-LINE)_A-LINE_02토공" xfId="5273" xr:uid="{00000000-0005-0000-0000-000097140000}"/>
    <cellStyle name="_용정2p3(아포)_구조물공(A-LINE)_A-LINE_1토공(배수지만)" xfId="5274" xr:uid="{00000000-0005-0000-0000-000098140000}"/>
    <cellStyle name="_용정2p3(아포)_구조물공(A-LINE)_B-LINE" xfId="5275" xr:uid="{00000000-0005-0000-0000-000099140000}"/>
    <cellStyle name="_용정2p3(아포)_구조물공(A-LINE)_B-LINE_02토공" xfId="5276" xr:uid="{00000000-0005-0000-0000-00009A140000}"/>
    <cellStyle name="_용정2p3(아포)_구조물공(A-LINE)_B-LINE_1토공(배수지만)" xfId="5277" xr:uid="{00000000-0005-0000-0000-00009B140000}"/>
    <cellStyle name="_용정2p3(아포)_구조물공(도수1)" xfId="5278" xr:uid="{00000000-0005-0000-0000-00009C140000}"/>
    <cellStyle name="_용정2p3(아포)_구조물공(도수1)_02토공" xfId="5279" xr:uid="{00000000-0005-0000-0000-00009D140000}"/>
    <cellStyle name="_용정2p3(아포)_구조물공(도수1)_1토공(배수지만)" xfId="5280" xr:uid="{00000000-0005-0000-0000-00009E140000}"/>
    <cellStyle name="_용정2p3(아포)_구조물공(도수1)_구조물공(A-LINE)" xfId="5281" xr:uid="{00000000-0005-0000-0000-00009F140000}"/>
    <cellStyle name="_용정2p3(아포)_구조물공(도수1)_구조물공(A-LINE)_02토공" xfId="5282" xr:uid="{00000000-0005-0000-0000-0000A0140000}"/>
    <cellStyle name="_용정2p3(아포)_구조물공(도수1)_구조물공(A-LINE)_1토공(배수지만)" xfId="5283" xr:uid="{00000000-0005-0000-0000-0000A1140000}"/>
    <cellStyle name="_용정2p3(아포)_구조물공(도수1)_구조물공(A-LINE)_A-LINE" xfId="5284" xr:uid="{00000000-0005-0000-0000-0000A2140000}"/>
    <cellStyle name="_용정2p3(아포)_구조물공(도수1)_구조물공(A-LINE)_A-LINE_02토공" xfId="5285" xr:uid="{00000000-0005-0000-0000-0000A3140000}"/>
    <cellStyle name="_용정2p3(아포)_구조물공(도수1)_구조물공(A-LINE)_A-LINE_1토공(배수지만)" xfId="5286" xr:uid="{00000000-0005-0000-0000-0000A4140000}"/>
    <cellStyle name="_용정2p3(아포)_구조물공(도수1)_구조물공(A-LINE)_B-LINE" xfId="5287" xr:uid="{00000000-0005-0000-0000-0000A5140000}"/>
    <cellStyle name="_용정2p3(아포)_구조물공(도수1)_구조물공(A-LINE)_B-LINE_02토공" xfId="5288" xr:uid="{00000000-0005-0000-0000-0000A6140000}"/>
    <cellStyle name="_용정2p3(아포)_구조물공(도수1)_구조물공(A-LINE)_B-LINE_1토공(배수지만)" xfId="5289" xr:uid="{00000000-0005-0000-0000-0000A7140000}"/>
    <cellStyle name="_용정2p3(아포)_무이2리계산서" xfId="5290" xr:uid="{00000000-0005-0000-0000-0000A8140000}"/>
    <cellStyle name="_용정2p3(아포)_무이2리계산서_가곡계산서" xfId="5291" xr:uid="{00000000-0005-0000-0000-0000A9140000}"/>
    <cellStyle name="_용정2p3(아포)_반응조1" xfId="5292" xr:uid="{00000000-0005-0000-0000-0000AA140000}"/>
    <cellStyle name="_용정2p3(아포)_반응조1_가곡계산서" xfId="5293" xr:uid="{00000000-0005-0000-0000-0000AB140000}"/>
    <cellStyle name="_용정2p3(아포)_반응조1_추부계산서" xfId="5294" xr:uid="{00000000-0005-0000-0000-0000AC140000}"/>
    <cellStyle name="_용정2p3(아포)_반응조1_추부계산서_가곡계산서" xfId="5295" xr:uid="{00000000-0005-0000-0000-0000AD140000}"/>
    <cellStyle name="_용정2p3(아포)_반응조1_추부계산서_계산서" xfId="5296" xr:uid="{00000000-0005-0000-0000-0000AE140000}"/>
    <cellStyle name="_용정2p3(아포)_반응조1_추부계산서_계산서_가곡계산서" xfId="5297" xr:uid="{00000000-0005-0000-0000-0000AF140000}"/>
    <cellStyle name="_용정2p3(아포)_반응조1_추부계산서_무이2리계산서" xfId="5298" xr:uid="{00000000-0005-0000-0000-0000B0140000}"/>
    <cellStyle name="_용정2p3(아포)_반응조1_추부계산서_무이2리계산서_가곡계산서" xfId="5299" xr:uid="{00000000-0005-0000-0000-0000B1140000}"/>
    <cellStyle name="_용정2p3(아포)_반응조1_추부계산서_봉양계산서" xfId="5300" xr:uid="{00000000-0005-0000-0000-0000B2140000}"/>
    <cellStyle name="_용정2p3(아포)_반응조1_추부계산서_봉양계산서_가곡계산서" xfId="5301" xr:uid="{00000000-0005-0000-0000-0000B3140000}"/>
    <cellStyle name="_용정2p3(아포)_봉양계산서" xfId="5302" xr:uid="{00000000-0005-0000-0000-0000B4140000}"/>
    <cellStyle name="_용정2p3(아포)_봉양계산서_가곡계산서" xfId="5303" xr:uid="{00000000-0005-0000-0000-0000B5140000}"/>
    <cellStyle name="_용정2p3(아포)_삼가처리장" xfId="5304" xr:uid="{00000000-0005-0000-0000-0000B6140000}"/>
    <cellStyle name="_용정2p3(아포)_삼가처리장_가곡계산서" xfId="5305" xr:uid="{00000000-0005-0000-0000-0000B7140000}"/>
    <cellStyle name="_용정2p3(아포)_상수도급수난지역개선공사 일위대가표" xfId="5306" xr:uid="{00000000-0005-0000-0000-0000B8140000}"/>
    <cellStyle name="_용정2p3(아포)_설비동" xfId="5307" xr:uid="{00000000-0005-0000-0000-0000B9140000}"/>
    <cellStyle name="_용정2p3(아포)_설비동_가곡계산서" xfId="5308" xr:uid="{00000000-0005-0000-0000-0000BA140000}"/>
    <cellStyle name="_용정2p3(아포)_설비동_반응조" xfId="5309" xr:uid="{00000000-0005-0000-0000-0000BB140000}"/>
    <cellStyle name="_용정2p3(아포)_설비동_반응조_가곡계산서" xfId="5310" xr:uid="{00000000-0005-0000-0000-0000BC140000}"/>
    <cellStyle name="_용정2p3(아포)_설비동_반응조_계산서" xfId="5311" xr:uid="{00000000-0005-0000-0000-0000BD140000}"/>
    <cellStyle name="_용정2p3(아포)_설비동_반응조_계산서_가곡계산서" xfId="5312" xr:uid="{00000000-0005-0000-0000-0000BE140000}"/>
    <cellStyle name="_용정2p3(아포)_설비동_반응조_무이2리계산서" xfId="5313" xr:uid="{00000000-0005-0000-0000-0000BF140000}"/>
    <cellStyle name="_용정2p3(아포)_설비동_반응조_무이2리계산서_가곡계산서" xfId="5314" xr:uid="{00000000-0005-0000-0000-0000C0140000}"/>
    <cellStyle name="_용정2p3(아포)_설비동_반응조_반응조1" xfId="5315" xr:uid="{00000000-0005-0000-0000-0000C1140000}"/>
    <cellStyle name="_용정2p3(아포)_설비동_반응조_반응조1_가곡계산서" xfId="5316" xr:uid="{00000000-0005-0000-0000-0000C2140000}"/>
    <cellStyle name="_용정2p3(아포)_설비동_반응조_반응조1_추부계산서" xfId="5317" xr:uid="{00000000-0005-0000-0000-0000C3140000}"/>
    <cellStyle name="_용정2p3(아포)_설비동_반응조_반응조1_추부계산서_가곡계산서" xfId="5318" xr:uid="{00000000-0005-0000-0000-0000C4140000}"/>
    <cellStyle name="_용정2p3(아포)_설비동_반응조_반응조1_추부계산서_계산서" xfId="5319" xr:uid="{00000000-0005-0000-0000-0000C5140000}"/>
    <cellStyle name="_용정2p3(아포)_설비동_반응조_반응조1_추부계산서_계산서_가곡계산서" xfId="5320" xr:uid="{00000000-0005-0000-0000-0000C6140000}"/>
    <cellStyle name="_용정2p3(아포)_설비동_반응조_반응조1_추부계산서_무이2리계산서" xfId="5321" xr:uid="{00000000-0005-0000-0000-0000C7140000}"/>
    <cellStyle name="_용정2p3(아포)_설비동_반응조_반응조1_추부계산서_무이2리계산서_가곡계산서" xfId="5322" xr:uid="{00000000-0005-0000-0000-0000C8140000}"/>
    <cellStyle name="_용정2p3(아포)_설비동_반응조_반응조1_추부계산서_봉양계산서" xfId="5323" xr:uid="{00000000-0005-0000-0000-0000C9140000}"/>
    <cellStyle name="_용정2p3(아포)_설비동_반응조_반응조1_추부계산서_봉양계산서_가곡계산서" xfId="5324" xr:uid="{00000000-0005-0000-0000-0000CA140000}"/>
    <cellStyle name="_용정2p3(아포)_설비동_반응조_봉양계산서" xfId="5325" xr:uid="{00000000-0005-0000-0000-0000CB140000}"/>
    <cellStyle name="_용정2p3(아포)_설비동_반응조_봉양계산서_가곡계산서" xfId="5326" xr:uid="{00000000-0005-0000-0000-0000CC140000}"/>
    <cellStyle name="_용정2p3(아포)_설비동_반응조_영월배수지" xfId="5327" xr:uid="{00000000-0005-0000-0000-0000CD140000}"/>
    <cellStyle name="_용정2p3(아포)_설비동_반응조_영월배수지_가곡계산서" xfId="5328" xr:uid="{00000000-0005-0000-0000-0000CE140000}"/>
    <cellStyle name="_용정2p3(아포)_설비동_반응조_우곡계산서" xfId="5329" xr:uid="{00000000-0005-0000-0000-0000CF140000}"/>
    <cellStyle name="_용정2p3(아포)_설비동_반응조_우곡계산서_가곡계산서" xfId="5330" xr:uid="{00000000-0005-0000-0000-0000D0140000}"/>
    <cellStyle name="_용정2p3(아포)_설비동_반응조_지진" xfId="5331" xr:uid="{00000000-0005-0000-0000-0000D1140000}"/>
    <cellStyle name="_용정2p3(아포)_설비동_반응조_지진_가곡계산서" xfId="5332" xr:uid="{00000000-0005-0000-0000-0000D2140000}"/>
    <cellStyle name="_용정2p3(아포)_설비동_반응조_지진_추부계산서" xfId="5333" xr:uid="{00000000-0005-0000-0000-0000D3140000}"/>
    <cellStyle name="_용정2p3(아포)_설비동_반응조_지진_추부계산서_가곡계산서" xfId="5334" xr:uid="{00000000-0005-0000-0000-0000D4140000}"/>
    <cellStyle name="_용정2p3(아포)_설비동_반응조_지진_추부계산서_계산서" xfId="5335" xr:uid="{00000000-0005-0000-0000-0000D5140000}"/>
    <cellStyle name="_용정2p3(아포)_설비동_반응조_지진_추부계산서_계산서_가곡계산서" xfId="5336" xr:uid="{00000000-0005-0000-0000-0000D6140000}"/>
    <cellStyle name="_용정2p3(아포)_설비동_반응조_지진_추부계산서_무이2리계산서" xfId="5337" xr:uid="{00000000-0005-0000-0000-0000D7140000}"/>
    <cellStyle name="_용정2p3(아포)_설비동_반응조_지진_추부계산서_무이2리계산서_가곡계산서" xfId="5338" xr:uid="{00000000-0005-0000-0000-0000D8140000}"/>
    <cellStyle name="_용정2p3(아포)_설비동_반응조_지진_추부계산서_봉양계산서" xfId="5339" xr:uid="{00000000-0005-0000-0000-0000D9140000}"/>
    <cellStyle name="_용정2p3(아포)_설비동_반응조_지진_추부계산서_봉양계산서_가곡계산서" xfId="5340" xr:uid="{00000000-0005-0000-0000-0000DA140000}"/>
    <cellStyle name="_용정2p3(아포)_설비동_삼가처리장" xfId="5341" xr:uid="{00000000-0005-0000-0000-0000DB140000}"/>
    <cellStyle name="_용정2p3(아포)_설비동_삼가처리장_가곡계산서" xfId="5342" xr:uid="{00000000-0005-0000-0000-0000DC140000}"/>
    <cellStyle name="_용정2p3(아포)_설비동_소양강" xfId="5343" xr:uid="{00000000-0005-0000-0000-0000DD140000}"/>
    <cellStyle name="_용정2p3(아포)_설비동_소양강_가곡계산서" xfId="5344" xr:uid="{00000000-0005-0000-0000-0000DE140000}"/>
    <cellStyle name="_용정2p3(아포)_설비동_스크린실" xfId="5345" xr:uid="{00000000-0005-0000-0000-0000DF140000}"/>
    <cellStyle name="_용정2p3(아포)_설비동_스크린실_가곡계산서" xfId="5346" xr:uid="{00000000-0005-0000-0000-0000E0140000}"/>
    <cellStyle name="_용정2p3(아포)_설비동_스크린실_오음리하수처리장" xfId="5347" xr:uid="{00000000-0005-0000-0000-0000E1140000}"/>
    <cellStyle name="_용정2p3(아포)_설비동_스크린실_오음리하수처리장_가곡계산서" xfId="5348" xr:uid="{00000000-0005-0000-0000-0000E2140000}"/>
    <cellStyle name="_용정2p3(아포)_설비동_스크린실_화천봉오리" xfId="5349" xr:uid="{00000000-0005-0000-0000-0000E3140000}"/>
    <cellStyle name="_용정2p3(아포)_설비동_스크린실_화천봉오리_가곡계산서" xfId="5350" xr:uid="{00000000-0005-0000-0000-0000E4140000}"/>
    <cellStyle name="_용정2p3(아포)_설비동_오음리하수처리장" xfId="5351" xr:uid="{00000000-0005-0000-0000-0000E5140000}"/>
    <cellStyle name="_용정2p3(아포)_설비동_오음리하수처리장_가곡계산서" xfId="5352" xr:uid="{00000000-0005-0000-0000-0000E6140000}"/>
    <cellStyle name="_용정2p3(아포)_설비동_추부계산서" xfId="5353" xr:uid="{00000000-0005-0000-0000-0000E7140000}"/>
    <cellStyle name="_용정2p3(아포)_설비동_추부계산서_가곡계산서" xfId="5354" xr:uid="{00000000-0005-0000-0000-0000E8140000}"/>
    <cellStyle name="_용정2p3(아포)_설비동_추부계산서_계산서" xfId="5355" xr:uid="{00000000-0005-0000-0000-0000E9140000}"/>
    <cellStyle name="_용정2p3(아포)_설비동_추부계산서_계산서_가곡계산서" xfId="5356" xr:uid="{00000000-0005-0000-0000-0000EA140000}"/>
    <cellStyle name="_용정2p3(아포)_설비동_추부계산서_무이2리계산서" xfId="5357" xr:uid="{00000000-0005-0000-0000-0000EB140000}"/>
    <cellStyle name="_용정2p3(아포)_설비동_추부계산서_무이2리계산서_가곡계산서" xfId="5358" xr:uid="{00000000-0005-0000-0000-0000EC140000}"/>
    <cellStyle name="_용정2p3(아포)_설비동_추부계산서_봉양계산서" xfId="5359" xr:uid="{00000000-0005-0000-0000-0000ED140000}"/>
    <cellStyle name="_용정2p3(아포)_설비동_추부계산서_봉양계산서_가곡계산서" xfId="5360" xr:uid="{00000000-0005-0000-0000-0000EE140000}"/>
    <cellStyle name="_용정2p3(아포)_설비동_화천봉오리" xfId="5361" xr:uid="{00000000-0005-0000-0000-0000EF140000}"/>
    <cellStyle name="_용정2p3(아포)_설비동_화천봉오리_가곡계산서" xfId="5362" xr:uid="{00000000-0005-0000-0000-0000F0140000}"/>
    <cellStyle name="_용정2p3(아포)_송절2구(토공)" xfId="5363" xr:uid="{00000000-0005-0000-0000-0000F1140000}"/>
    <cellStyle name="_용정2p3(아포)_송절2구(토공)_시설관리사업소-급수난지역 2005-10" xfId="5364" xr:uid="{00000000-0005-0000-0000-0000F2140000}"/>
    <cellStyle name="_용정2p3(아포)_시설관리사업소-급수난지역 2005-10" xfId="5365" xr:uid="{00000000-0005-0000-0000-0000F3140000}"/>
    <cellStyle name="_용정2p3(아포)_신기계산서(최종)" xfId="5366" xr:uid="{00000000-0005-0000-0000-0000F4140000}"/>
    <cellStyle name="_용정2p3(아포)_신기계산서(최종)_가곡계산서" xfId="5367" xr:uid="{00000000-0005-0000-0000-0000F5140000}"/>
    <cellStyle name="_용정2p3(아포)_영월배수지" xfId="5368" xr:uid="{00000000-0005-0000-0000-0000F6140000}"/>
    <cellStyle name="_용정2p3(아포)_영월배수지_가곡계산서" xfId="5369" xr:uid="{00000000-0005-0000-0000-0000F7140000}"/>
    <cellStyle name="_용정2p3(아포)_완도중계펌프장" xfId="5370" xr:uid="{00000000-0005-0000-0000-0000F8140000}"/>
    <cellStyle name="_용정2p3(아포)_완도중계펌프장_가곡계산서" xfId="5371" xr:uid="{00000000-0005-0000-0000-0000F9140000}"/>
    <cellStyle name="_용정2p3(아포)_완도중계펌프장_계산서" xfId="5372" xr:uid="{00000000-0005-0000-0000-0000FA140000}"/>
    <cellStyle name="_용정2p3(아포)_완도중계펌프장_계산서_가곡계산서" xfId="5373" xr:uid="{00000000-0005-0000-0000-0000FB140000}"/>
    <cellStyle name="_용정2p3(아포)_완도중계펌프장_무이2리계산서" xfId="5374" xr:uid="{00000000-0005-0000-0000-0000FC140000}"/>
    <cellStyle name="_용정2p3(아포)_완도중계펌프장_무이2리계산서_가곡계산서" xfId="5375" xr:uid="{00000000-0005-0000-0000-0000FD140000}"/>
    <cellStyle name="_용정2p3(아포)_완도중계펌프장_봉양계산서" xfId="5376" xr:uid="{00000000-0005-0000-0000-0000FE140000}"/>
    <cellStyle name="_용정2p3(아포)_완도중계펌프장_봉양계산서_가곡계산서" xfId="5377" xr:uid="{00000000-0005-0000-0000-0000FF140000}"/>
    <cellStyle name="_용정2p3(아포)_완도중계펌프장_삼가처리장" xfId="5378" xr:uid="{00000000-0005-0000-0000-000000150000}"/>
    <cellStyle name="_용정2p3(아포)_완도중계펌프장_삼가처리장_가곡계산서" xfId="5379" xr:uid="{00000000-0005-0000-0000-000001150000}"/>
    <cellStyle name="_용정2p3(아포)_완도중계펌프장_신기계산서(최종)" xfId="5380" xr:uid="{00000000-0005-0000-0000-000002150000}"/>
    <cellStyle name="_용정2p3(아포)_완도중계펌프장_신기계산서(최종)_가곡계산서" xfId="5381" xr:uid="{00000000-0005-0000-0000-000003150000}"/>
    <cellStyle name="_용정2p3(아포)_완도중계펌프장_영월배수지" xfId="5382" xr:uid="{00000000-0005-0000-0000-000004150000}"/>
    <cellStyle name="_용정2p3(아포)_완도중계펌프장_영월배수지_가곡계산서" xfId="5383" xr:uid="{00000000-0005-0000-0000-000005150000}"/>
    <cellStyle name="_용정2p3(아포)_완도중계펌프장_우곡계산서" xfId="5384" xr:uid="{00000000-0005-0000-0000-000006150000}"/>
    <cellStyle name="_용정2p3(아포)_완도중계펌프장_우곡계산서_가곡계산서" xfId="5385" xr:uid="{00000000-0005-0000-0000-000007150000}"/>
    <cellStyle name="_용정2p3(아포)_완도중계펌프장_유입부(최종)" xfId="5386" xr:uid="{00000000-0005-0000-0000-000008150000}"/>
    <cellStyle name="_용정2p3(아포)_완도중계펌프장_유입부(최종)_가곡계산서" xfId="5387" xr:uid="{00000000-0005-0000-0000-000009150000}"/>
    <cellStyle name="_용정2p3(아포)_완도중계펌프장_유입부(최종)_삼가처리장" xfId="5388" xr:uid="{00000000-0005-0000-0000-00000A150000}"/>
    <cellStyle name="_용정2p3(아포)_완도중계펌프장_유입부(최종)_삼가처리장_가곡계산서" xfId="5389" xr:uid="{00000000-0005-0000-0000-00000B150000}"/>
    <cellStyle name="_용정2p3(아포)_완도중계펌프장_유입부(최종)_하수처리장" xfId="5390" xr:uid="{00000000-0005-0000-0000-00000C150000}"/>
    <cellStyle name="_용정2p3(아포)_완도중계펌프장_유입부(최종)_하수처리장_가곡계산서" xfId="5391" xr:uid="{00000000-0005-0000-0000-00000D150000}"/>
    <cellStyle name="_용정2p3(아포)_완도중계펌프장_유입부(최종)_하수처리장_오음리하수처리장" xfId="5392" xr:uid="{00000000-0005-0000-0000-00000E150000}"/>
    <cellStyle name="_용정2p3(아포)_완도중계펌프장_유입부(최종)_하수처리장_오음리하수처리장_가곡계산서" xfId="5393" xr:uid="{00000000-0005-0000-0000-00000F150000}"/>
    <cellStyle name="_용정2p3(아포)_완도중계펌프장_유입부(최종)_화천봉오리" xfId="5394" xr:uid="{00000000-0005-0000-0000-000010150000}"/>
    <cellStyle name="_용정2p3(아포)_완도중계펌프장_유입부(최종)_화천봉오리_가곡계산서" xfId="5395" xr:uid="{00000000-0005-0000-0000-000011150000}"/>
    <cellStyle name="_용정2p3(아포)_완도중계펌프장_하수처리장" xfId="5396" xr:uid="{00000000-0005-0000-0000-000012150000}"/>
    <cellStyle name="_용정2p3(아포)_완도중계펌프장_하수처리장_가곡계산서" xfId="5397" xr:uid="{00000000-0005-0000-0000-000013150000}"/>
    <cellStyle name="_용정2p3(아포)_완도중계펌프장_하수처리장_오음리하수처리장" xfId="5398" xr:uid="{00000000-0005-0000-0000-000014150000}"/>
    <cellStyle name="_용정2p3(아포)_완도중계펌프장_하수처리장_오음리하수처리장_가곡계산서" xfId="5399" xr:uid="{00000000-0005-0000-0000-000015150000}"/>
    <cellStyle name="_용정2p3(아포)_완도중계펌프장_화천봉오리" xfId="5400" xr:uid="{00000000-0005-0000-0000-000016150000}"/>
    <cellStyle name="_용정2p3(아포)_완도중계펌프장_화천봉오리_가곡계산서" xfId="5401" xr:uid="{00000000-0005-0000-0000-000017150000}"/>
    <cellStyle name="_용정2p3(아포)_완도중계펌프장-2" xfId="5402" xr:uid="{00000000-0005-0000-0000-000018150000}"/>
    <cellStyle name="_용정2p3(아포)_완도중계펌프장-2_가곡계산서" xfId="5403" xr:uid="{00000000-0005-0000-0000-000019150000}"/>
    <cellStyle name="_용정2p3(아포)_완도중계펌프장-2_계산서" xfId="5404" xr:uid="{00000000-0005-0000-0000-00001A150000}"/>
    <cellStyle name="_용정2p3(아포)_완도중계펌프장-2_계산서_가곡계산서" xfId="5405" xr:uid="{00000000-0005-0000-0000-00001B150000}"/>
    <cellStyle name="_용정2p3(아포)_완도중계펌프장-2_무이2리계산서" xfId="5406" xr:uid="{00000000-0005-0000-0000-00001C150000}"/>
    <cellStyle name="_용정2p3(아포)_완도중계펌프장-2_무이2리계산서_가곡계산서" xfId="5407" xr:uid="{00000000-0005-0000-0000-00001D150000}"/>
    <cellStyle name="_용정2p3(아포)_완도중계펌프장-2_봉양계산서" xfId="5408" xr:uid="{00000000-0005-0000-0000-00001E150000}"/>
    <cellStyle name="_용정2p3(아포)_완도중계펌프장-2_봉양계산서_가곡계산서" xfId="5409" xr:uid="{00000000-0005-0000-0000-00001F150000}"/>
    <cellStyle name="_용정2p3(아포)_완도중계펌프장-2_삼가처리장" xfId="5410" xr:uid="{00000000-0005-0000-0000-000020150000}"/>
    <cellStyle name="_용정2p3(아포)_완도중계펌프장-2_삼가처리장_가곡계산서" xfId="5411" xr:uid="{00000000-0005-0000-0000-000021150000}"/>
    <cellStyle name="_용정2p3(아포)_완도중계펌프장-2_신기계산서(최종)" xfId="5412" xr:uid="{00000000-0005-0000-0000-000022150000}"/>
    <cellStyle name="_용정2p3(아포)_완도중계펌프장-2_신기계산서(최종)_가곡계산서" xfId="5413" xr:uid="{00000000-0005-0000-0000-000023150000}"/>
    <cellStyle name="_용정2p3(아포)_완도중계펌프장-2_영월배수지" xfId="5414" xr:uid="{00000000-0005-0000-0000-000024150000}"/>
    <cellStyle name="_용정2p3(아포)_완도중계펌프장-2_영월배수지_가곡계산서" xfId="5415" xr:uid="{00000000-0005-0000-0000-000025150000}"/>
    <cellStyle name="_용정2p3(아포)_완도중계펌프장-2_우곡계산서" xfId="5416" xr:uid="{00000000-0005-0000-0000-000026150000}"/>
    <cellStyle name="_용정2p3(아포)_완도중계펌프장-2_우곡계산서_가곡계산서" xfId="5417" xr:uid="{00000000-0005-0000-0000-000027150000}"/>
    <cellStyle name="_용정2p3(아포)_완도중계펌프장-2_유입부(최종)" xfId="5418" xr:uid="{00000000-0005-0000-0000-000028150000}"/>
    <cellStyle name="_용정2p3(아포)_완도중계펌프장-2_유입부(최종)_가곡계산서" xfId="5419" xr:uid="{00000000-0005-0000-0000-000029150000}"/>
    <cellStyle name="_용정2p3(아포)_완도중계펌프장-2_유입부(최종)_삼가처리장" xfId="5420" xr:uid="{00000000-0005-0000-0000-00002A150000}"/>
    <cellStyle name="_용정2p3(아포)_완도중계펌프장-2_유입부(최종)_삼가처리장_가곡계산서" xfId="5421" xr:uid="{00000000-0005-0000-0000-00002B150000}"/>
    <cellStyle name="_용정2p3(아포)_완도중계펌프장-2_유입부(최종)_하수처리장" xfId="5422" xr:uid="{00000000-0005-0000-0000-00002C150000}"/>
    <cellStyle name="_용정2p3(아포)_완도중계펌프장-2_유입부(최종)_하수처리장_가곡계산서" xfId="5423" xr:uid="{00000000-0005-0000-0000-00002D150000}"/>
    <cellStyle name="_용정2p3(아포)_완도중계펌프장-2_유입부(최종)_하수처리장_오음리하수처리장" xfId="5424" xr:uid="{00000000-0005-0000-0000-00002E150000}"/>
    <cellStyle name="_용정2p3(아포)_완도중계펌프장-2_유입부(최종)_하수처리장_오음리하수처리장_가곡계산서" xfId="5425" xr:uid="{00000000-0005-0000-0000-00002F150000}"/>
    <cellStyle name="_용정2p3(아포)_완도중계펌프장-2_유입부(최종)_화천봉오리" xfId="5426" xr:uid="{00000000-0005-0000-0000-000030150000}"/>
    <cellStyle name="_용정2p3(아포)_완도중계펌프장-2_유입부(최종)_화천봉오리_가곡계산서" xfId="5427" xr:uid="{00000000-0005-0000-0000-000031150000}"/>
    <cellStyle name="_용정2p3(아포)_완도중계펌프장-2_하수처리장" xfId="5428" xr:uid="{00000000-0005-0000-0000-000032150000}"/>
    <cellStyle name="_용정2p3(아포)_완도중계펌프장-2_하수처리장_가곡계산서" xfId="5429" xr:uid="{00000000-0005-0000-0000-000033150000}"/>
    <cellStyle name="_용정2p3(아포)_완도중계펌프장-2_하수처리장_오음리하수처리장" xfId="5430" xr:uid="{00000000-0005-0000-0000-000034150000}"/>
    <cellStyle name="_용정2p3(아포)_완도중계펌프장-2_하수처리장_오음리하수처리장_가곡계산서" xfId="5431" xr:uid="{00000000-0005-0000-0000-000035150000}"/>
    <cellStyle name="_용정2p3(아포)_완도중계펌프장-2_화천봉오리" xfId="5432" xr:uid="{00000000-0005-0000-0000-000036150000}"/>
    <cellStyle name="_용정2p3(아포)_완도중계펌프장-2_화천봉오리_가곡계산서" xfId="5433" xr:uid="{00000000-0005-0000-0000-000037150000}"/>
    <cellStyle name="_용정2p3(아포)_우곡계산서" xfId="5434" xr:uid="{00000000-0005-0000-0000-000038150000}"/>
    <cellStyle name="_용정2p3(아포)_우곡계산서_가곡계산서" xfId="5435" xr:uid="{00000000-0005-0000-0000-000039150000}"/>
    <cellStyle name="_용정2p3(아포)_우수C-line(1.5x1.5)" xfId="5436" xr:uid="{00000000-0005-0000-0000-00003A150000}"/>
    <cellStyle name="_용정2p3(아포)_우수C-line(1.5x1.5)_가곡계산서" xfId="5437" xr:uid="{00000000-0005-0000-0000-00003B150000}"/>
    <cellStyle name="_용정2p3(아포)_우수C-line(1.5x1.5)_계산서" xfId="5438" xr:uid="{00000000-0005-0000-0000-00003C150000}"/>
    <cellStyle name="_용정2p3(아포)_우수C-line(1.5x1.5)_계산서_가곡계산서" xfId="5439" xr:uid="{00000000-0005-0000-0000-00003D150000}"/>
    <cellStyle name="_용정2p3(아포)_우수C-line(1.5x1.5)_무이2리계산서" xfId="5440" xr:uid="{00000000-0005-0000-0000-00003E150000}"/>
    <cellStyle name="_용정2p3(아포)_우수C-line(1.5x1.5)_무이2리계산서_가곡계산서" xfId="5441" xr:uid="{00000000-0005-0000-0000-00003F150000}"/>
    <cellStyle name="_용정2p3(아포)_우수C-line(1.5x1.5)_봉양계산서" xfId="5442" xr:uid="{00000000-0005-0000-0000-000040150000}"/>
    <cellStyle name="_용정2p3(아포)_우수C-line(1.5x1.5)_봉양계산서_가곡계산서" xfId="5443" xr:uid="{00000000-0005-0000-0000-000041150000}"/>
    <cellStyle name="_용정2p3(아포)_우수C-line(1.5x1.5)_삼가처리장" xfId="5444" xr:uid="{00000000-0005-0000-0000-000042150000}"/>
    <cellStyle name="_용정2p3(아포)_우수C-line(1.5x1.5)_삼가처리장_가곡계산서" xfId="5445" xr:uid="{00000000-0005-0000-0000-000043150000}"/>
    <cellStyle name="_용정2p3(아포)_우수C-line(1.5x1.5)_신기계산서(최종)" xfId="5446" xr:uid="{00000000-0005-0000-0000-000044150000}"/>
    <cellStyle name="_용정2p3(아포)_우수C-line(1.5x1.5)_신기계산서(최종)_가곡계산서" xfId="5447" xr:uid="{00000000-0005-0000-0000-000045150000}"/>
    <cellStyle name="_용정2p3(아포)_우수C-line(1.5x1.5)_영월배수지" xfId="5448" xr:uid="{00000000-0005-0000-0000-000046150000}"/>
    <cellStyle name="_용정2p3(아포)_우수C-line(1.5x1.5)_영월배수지_가곡계산서" xfId="5449" xr:uid="{00000000-0005-0000-0000-000047150000}"/>
    <cellStyle name="_용정2p3(아포)_우수C-line(1.5x1.5)_우곡계산서" xfId="5450" xr:uid="{00000000-0005-0000-0000-000048150000}"/>
    <cellStyle name="_용정2p3(아포)_우수C-line(1.5x1.5)_우곡계산서_가곡계산서" xfId="5451" xr:uid="{00000000-0005-0000-0000-000049150000}"/>
    <cellStyle name="_용정2p3(아포)_우수C-line(1.5x1.5)_유입부(최종)" xfId="5452" xr:uid="{00000000-0005-0000-0000-00004A150000}"/>
    <cellStyle name="_용정2p3(아포)_우수C-line(1.5x1.5)_유입부(최종)_가곡계산서" xfId="5453" xr:uid="{00000000-0005-0000-0000-00004B150000}"/>
    <cellStyle name="_용정2p3(아포)_우수C-line(1.5x1.5)_유입부(최종)_삼가처리장" xfId="5454" xr:uid="{00000000-0005-0000-0000-00004C150000}"/>
    <cellStyle name="_용정2p3(아포)_우수C-line(1.5x1.5)_유입부(최종)_삼가처리장_가곡계산서" xfId="5455" xr:uid="{00000000-0005-0000-0000-00004D150000}"/>
    <cellStyle name="_용정2p3(아포)_우수C-line(1.5x1.5)_유입부(최종)_하수처리장" xfId="5456" xr:uid="{00000000-0005-0000-0000-00004E150000}"/>
    <cellStyle name="_용정2p3(아포)_우수C-line(1.5x1.5)_유입부(최종)_하수처리장_가곡계산서" xfId="5457" xr:uid="{00000000-0005-0000-0000-00004F150000}"/>
    <cellStyle name="_용정2p3(아포)_우수C-line(1.5x1.5)_유입부(최종)_하수처리장_오음리하수처리장" xfId="5458" xr:uid="{00000000-0005-0000-0000-000050150000}"/>
    <cellStyle name="_용정2p3(아포)_우수C-line(1.5x1.5)_유입부(최종)_하수처리장_오음리하수처리장_가곡계산서" xfId="5459" xr:uid="{00000000-0005-0000-0000-000051150000}"/>
    <cellStyle name="_용정2p3(아포)_우수C-line(1.5x1.5)_유입부(최종)_화천봉오리" xfId="5460" xr:uid="{00000000-0005-0000-0000-000052150000}"/>
    <cellStyle name="_용정2p3(아포)_우수C-line(1.5x1.5)_유입부(최종)_화천봉오리_가곡계산서" xfId="5461" xr:uid="{00000000-0005-0000-0000-000053150000}"/>
    <cellStyle name="_용정2p3(아포)_우수C-line(1.5x1.5)_하수처리장" xfId="5462" xr:uid="{00000000-0005-0000-0000-000054150000}"/>
    <cellStyle name="_용정2p3(아포)_우수C-line(1.5x1.5)_하수처리장_가곡계산서" xfId="5463" xr:uid="{00000000-0005-0000-0000-000055150000}"/>
    <cellStyle name="_용정2p3(아포)_우수C-line(1.5x1.5)_하수처리장_오음리하수처리장" xfId="5464" xr:uid="{00000000-0005-0000-0000-000056150000}"/>
    <cellStyle name="_용정2p3(아포)_우수C-line(1.5x1.5)_하수처리장_오음리하수처리장_가곡계산서" xfId="5465" xr:uid="{00000000-0005-0000-0000-000057150000}"/>
    <cellStyle name="_용정2p3(아포)_우수C-line(1.5x1.5)_화천봉오리" xfId="5466" xr:uid="{00000000-0005-0000-0000-000058150000}"/>
    <cellStyle name="_용정2p3(아포)_우수C-line(1.5x1.5)_화천봉오리_가곡계산서" xfId="5467" xr:uid="{00000000-0005-0000-0000-000059150000}"/>
    <cellStyle name="_용정2p3(아포)_유입부(최종)" xfId="5468" xr:uid="{00000000-0005-0000-0000-00005A150000}"/>
    <cellStyle name="_용정2p3(아포)_유입부(최종)_가곡계산서" xfId="5469" xr:uid="{00000000-0005-0000-0000-00005B150000}"/>
    <cellStyle name="_용정2p3(아포)_유입부(최종)_삼가처리장" xfId="5470" xr:uid="{00000000-0005-0000-0000-00005C150000}"/>
    <cellStyle name="_용정2p3(아포)_유입부(최종)_삼가처리장_가곡계산서" xfId="5471" xr:uid="{00000000-0005-0000-0000-00005D150000}"/>
    <cellStyle name="_용정2p3(아포)_유입부(최종)_하수처리장" xfId="5472" xr:uid="{00000000-0005-0000-0000-00005E150000}"/>
    <cellStyle name="_용정2p3(아포)_유입부(최종)_하수처리장_가곡계산서" xfId="5473" xr:uid="{00000000-0005-0000-0000-00005F150000}"/>
    <cellStyle name="_용정2p3(아포)_유입부(최종)_하수처리장_오음리하수처리장" xfId="5474" xr:uid="{00000000-0005-0000-0000-000060150000}"/>
    <cellStyle name="_용정2p3(아포)_유입부(최종)_하수처리장_오음리하수처리장_가곡계산서" xfId="5475" xr:uid="{00000000-0005-0000-0000-000061150000}"/>
    <cellStyle name="_용정2p3(아포)_유입부(최종)_화천봉오리" xfId="5476" xr:uid="{00000000-0005-0000-0000-000062150000}"/>
    <cellStyle name="_용정2p3(아포)_유입부(최종)_화천봉오리_가곡계산서" xfId="5477" xr:uid="{00000000-0005-0000-0000-000063150000}"/>
    <cellStyle name="_용정2p3(아포)_자연휴양림가압장" xfId="5478" xr:uid="{00000000-0005-0000-0000-000064150000}"/>
    <cellStyle name="_용정2p3(아포)_자연휴양림가압장_가곡계산서" xfId="5479" xr:uid="{00000000-0005-0000-0000-000065150000}"/>
    <cellStyle name="_용정2p3(아포)_자연휴양림가압장_계산서" xfId="5480" xr:uid="{00000000-0005-0000-0000-000066150000}"/>
    <cellStyle name="_용정2p3(아포)_자연휴양림가압장_계산서_가곡계산서" xfId="5481" xr:uid="{00000000-0005-0000-0000-000067150000}"/>
    <cellStyle name="_용정2p3(아포)_자연휴양림가압장_무이2리계산서" xfId="5482" xr:uid="{00000000-0005-0000-0000-000068150000}"/>
    <cellStyle name="_용정2p3(아포)_자연휴양림가압장_무이2리계산서_가곡계산서" xfId="5483" xr:uid="{00000000-0005-0000-0000-000069150000}"/>
    <cellStyle name="_용정2p3(아포)_자연휴양림가압장_봉양계산서" xfId="5484" xr:uid="{00000000-0005-0000-0000-00006A150000}"/>
    <cellStyle name="_용정2p3(아포)_자연휴양림가압장_봉양계산서_가곡계산서" xfId="5485" xr:uid="{00000000-0005-0000-0000-00006B150000}"/>
    <cellStyle name="_용정2p3(아포)_자연휴양림가압장_삼가처리장" xfId="5486" xr:uid="{00000000-0005-0000-0000-00006C150000}"/>
    <cellStyle name="_용정2p3(아포)_자연휴양림가압장_삼가처리장_가곡계산서" xfId="5487" xr:uid="{00000000-0005-0000-0000-00006D150000}"/>
    <cellStyle name="_용정2p3(아포)_자연휴양림가압장_신기계산서(최종)" xfId="5488" xr:uid="{00000000-0005-0000-0000-00006E150000}"/>
    <cellStyle name="_용정2p3(아포)_자연휴양림가압장_신기계산서(최종)_가곡계산서" xfId="5489" xr:uid="{00000000-0005-0000-0000-00006F150000}"/>
    <cellStyle name="_용정2p3(아포)_자연휴양림가압장_영월배수지" xfId="5490" xr:uid="{00000000-0005-0000-0000-000070150000}"/>
    <cellStyle name="_용정2p3(아포)_자연휴양림가압장_영월배수지_가곡계산서" xfId="5491" xr:uid="{00000000-0005-0000-0000-000071150000}"/>
    <cellStyle name="_용정2p3(아포)_자연휴양림가압장_우곡계산서" xfId="5492" xr:uid="{00000000-0005-0000-0000-000072150000}"/>
    <cellStyle name="_용정2p3(아포)_자연휴양림가압장_우곡계산서_가곡계산서" xfId="5493" xr:uid="{00000000-0005-0000-0000-000073150000}"/>
    <cellStyle name="_용정2p3(아포)_자연휴양림가압장_유입부(최종)" xfId="5494" xr:uid="{00000000-0005-0000-0000-000074150000}"/>
    <cellStyle name="_용정2p3(아포)_자연휴양림가압장_유입부(최종)_가곡계산서" xfId="5495" xr:uid="{00000000-0005-0000-0000-000075150000}"/>
    <cellStyle name="_용정2p3(아포)_자연휴양림가압장_유입부(최종)_삼가처리장" xfId="5496" xr:uid="{00000000-0005-0000-0000-000076150000}"/>
    <cellStyle name="_용정2p3(아포)_자연휴양림가압장_유입부(최종)_삼가처리장_가곡계산서" xfId="5497" xr:uid="{00000000-0005-0000-0000-000077150000}"/>
    <cellStyle name="_용정2p3(아포)_자연휴양림가압장_유입부(최종)_하수처리장" xfId="5498" xr:uid="{00000000-0005-0000-0000-000078150000}"/>
    <cellStyle name="_용정2p3(아포)_자연휴양림가압장_유입부(최종)_하수처리장_가곡계산서" xfId="5499" xr:uid="{00000000-0005-0000-0000-000079150000}"/>
    <cellStyle name="_용정2p3(아포)_자연휴양림가압장_유입부(최종)_하수처리장_오음리하수처리장" xfId="5500" xr:uid="{00000000-0005-0000-0000-00007A150000}"/>
    <cellStyle name="_용정2p3(아포)_자연휴양림가압장_유입부(최종)_하수처리장_오음리하수처리장_가곡계산서" xfId="5501" xr:uid="{00000000-0005-0000-0000-00007B150000}"/>
    <cellStyle name="_용정2p3(아포)_자연휴양림가압장_유입부(최종)_화천봉오리" xfId="5502" xr:uid="{00000000-0005-0000-0000-00007C150000}"/>
    <cellStyle name="_용정2p3(아포)_자연휴양림가압장_유입부(최종)_화천봉오리_가곡계산서" xfId="5503" xr:uid="{00000000-0005-0000-0000-00007D150000}"/>
    <cellStyle name="_용정2p3(아포)_자연휴양림가압장_하수처리장" xfId="5504" xr:uid="{00000000-0005-0000-0000-00007E150000}"/>
    <cellStyle name="_용정2p3(아포)_자연휴양림가압장_하수처리장_가곡계산서" xfId="5505" xr:uid="{00000000-0005-0000-0000-00007F150000}"/>
    <cellStyle name="_용정2p3(아포)_자연휴양림가압장_하수처리장_오음리하수처리장" xfId="5506" xr:uid="{00000000-0005-0000-0000-000080150000}"/>
    <cellStyle name="_용정2p3(아포)_자연휴양림가압장_하수처리장_오음리하수처리장_가곡계산서" xfId="5507" xr:uid="{00000000-0005-0000-0000-000081150000}"/>
    <cellStyle name="_용정2p3(아포)_자연휴양림가압장_화천봉오리" xfId="5508" xr:uid="{00000000-0005-0000-0000-000082150000}"/>
    <cellStyle name="_용정2p3(아포)_자연휴양림가압장_화천봉오리_가곡계산서" xfId="5509" xr:uid="{00000000-0005-0000-0000-000083150000}"/>
    <cellStyle name="_용정2p3(아포)_지진" xfId="5510" xr:uid="{00000000-0005-0000-0000-000084150000}"/>
    <cellStyle name="_용정2p3(아포)_지진_가곡계산서" xfId="5511" xr:uid="{00000000-0005-0000-0000-000085150000}"/>
    <cellStyle name="_용정2p3(아포)_지진_추부계산서" xfId="5512" xr:uid="{00000000-0005-0000-0000-000086150000}"/>
    <cellStyle name="_용정2p3(아포)_지진_추부계산서_가곡계산서" xfId="5513" xr:uid="{00000000-0005-0000-0000-000087150000}"/>
    <cellStyle name="_용정2p3(아포)_지진_추부계산서_계산서" xfId="5514" xr:uid="{00000000-0005-0000-0000-000088150000}"/>
    <cellStyle name="_용정2p3(아포)_지진_추부계산서_계산서_가곡계산서" xfId="5515" xr:uid="{00000000-0005-0000-0000-000089150000}"/>
    <cellStyle name="_용정2p3(아포)_지진_추부계산서_무이2리계산서" xfId="5516" xr:uid="{00000000-0005-0000-0000-00008A150000}"/>
    <cellStyle name="_용정2p3(아포)_지진_추부계산서_무이2리계산서_가곡계산서" xfId="5517" xr:uid="{00000000-0005-0000-0000-00008B150000}"/>
    <cellStyle name="_용정2p3(아포)_지진_추부계산서_봉양계산서" xfId="5518" xr:uid="{00000000-0005-0000-0000-00008C150000}"/>
    <cellStyle name="_용정2p3(아포)_지진_추부계산서_봉양계산서_가곡계산서" xfId="5519" xr:uid="{00000000-0005-0000-0000-00008D150000}"/>
    <cellStyle name="_용정2p3(아포)_처리장" xfId="5520" xr:uid="{00000000-0005-0000-0000-00008E150000}"/>
    <cellStyle name="_용정2p3(아포)_처리장_가곡계산서" xfId="5521" xr:uid="{00000000-0005-0000-0000-00008F150000}"/>
    <cellStyle name="_용정2p3(아포)_처리장_계산서" xfId="5522" xr:uid="{00000000-0005-0000-0000-000090150000}"/>
    <cellStyle name="_용정2p3(아포)_처리장_계산서_가곡계산서" xfId="5523" xr:uid="{00000000-0005-0000-0000-000091150000}"/>
    <cellStyle name="_용정2p3(아포)_처리장_무이2리계산서" xfId="5524" xr:uid="{00000000-0005-0000-0000-000092150000}"/>
    <cellStyle name="_용정2p3(아포)_처리장_무이2리계산서_가곡계산서" xfId="5525" xr:uid="{00000000-0005-0000-0000-000093150000}"/>
    <cellStyle name="_용정2p3(아포)_처리장_봉양계산서" xfId="5526" xr:uid="{00000000-0005-0000-0000-000094150000}"/>
    <cellStyle name="_용정2p3(아포)_처리장_봉양계산서_가곡계산서" xfId="5527" xr:uid="{00000000-0005-0000-0000-000095150000}"/>
    <cellStyle name="_용정2p3(아포)_처리장_삼가처리장" xfId="5528" xr:uid="{00000000-0005-0000-0000-000096150000}"/>
    <cellStyle name="_용정2p3(아포)_처리장_삼가처리장_가곡계산서" xfId="5529" xr:uid="{00000000-0005-0000-0000-000097150000}"/>
    <cellStyle name="_용정2p3(아포)_처리장_신기계산서(최종)" xfId="5530" xr:uid="{00000000-0005-0000-0000-000098150000}"/>
    <cellStyle name="_용정2p3(아포)_처리장_신기계산서(최종)_가곡계산서" xfId="5531" xr:uid="{00000000-0005-0000-0000-000099150000}"/>
    <cellStyle name="_용정2p3(아포)_처리장_영월배수지" xfId="5532" xr:uid="{00000000-0005-0000-0000-00009A150000}"/>
    <cellStyle name="_용정2p3(아포)_처리장_영월배수지_가곡계산서" xfId="5533" xr:uid="{00000000-0005-0000-0000-00009B150000}"/>
    <cellStyle name="_용정2p3(아포)_처리장_우곡계산서" xfId="5534" xr:uid="{00000000-0005-0000-0000-00009C150000}"/>
    <cellStyle name="_용정2p3(아포)_처리장_우곡계산서_가곡계산서" xfId="5535" xr:uid="{00000000-0005-0000-0000-00009D150000}"/>
    <cellStyle name="_용정2p3(아포)_처리장_유입부(최종)" xfId="5536" xr:uid="{00000000-0005-0000-0000-00009E150000}"/>
    <cellStyle name="_용정2p3(아포)_처리장_유입부(최종)_가곡계산서" xfId="5537" xr:uid="{00000000-0005-0000-0000-00009F150000}"/>
    <cellStyle name="_용정2p3(아포)_처리장_유입부(최종)_삼가처리장" xfId="5538" xr:uid="{00000000-0005-0000-0000-0000A0150000}"/>
    <cellStyle name="_용정2p3(아포)_처리장_유입부(최종)_삼가처리장_가곡계산서" xfId="5539" xr:uid="{00000000-0005-0000-0000-0000A1150000}"/>
    <cellStyle name="_용정2p3(아포)_처리장_유입부(최종)_하수처리장" xfId="5540" xr:uid="{00000000-0005-0000-0000-0000A2150000}"/>
    <cellStyle name="_용정2p3(아포)_처리장_유입부(최종)_하수처리장_가곡계산서" xfId="5541" xr:uid="{00000000-0005-0000-0000-0000A3150000}"/>
    <cellStyle name="_용정2p3(아포)_처리장_유입부(최종)_하수처리장_오음리하수처리장" xfId="5542" xr:uid="{00000000-0005-0000-0000-0000A4150000}"/>
    <cellStyle name="_용정2p3(아포)_처리장_유입부(최종)_하수처리장_오음리하수처리장_가곡계산서" xfId="5543" xr:uid="{00000000-0005-0000-0000-0000A5150000}"/>
    <cellStyle name="_용정2p3(아포)_처리장_유입부(최종)_화천봉오리" xfId="5544" xr:uid="{00000000-0005-0000-0000-0000A6150000}"/>
    <cellStyle name="_용정2p3(아포)_처리장_유입부(최종)_화천봉오리_가곡계산서" xfId="5545" xr:uid="{00000000-0005-0000-0000-0000A7150000}"/>
    <cellStyle name="_용정2p3(아포)_처리장_하수처리장" xfId="5546" xr:uid="{00000000-0005-0000-0000-0000A8150000}"/>
    <cellStyle name="_용정2p3(아포)_처리장_하수처리장_가곡계산서" xfId="5547" xr:uid="{00000000-0005-0000-0000-0000A9150000}"/>
    <cellStyle name="_용정2p3(아포)_처리장_하수처리장_오음리하수처리장" xfId="5548" xr:uid="{00000000-0005-0000-0000-0000AA150000}"/>
    <cellStyle name="_용정2p3(아포)_처리장_하수처리장_오음리하수처리장_가곡계산서" xfId="5549" xr:uid="{00000000-0005-0000-0000-0000AB150000}"/>
    <cellStyle name="_용정2p3(아포)_처리장_화천봉오리" xfId="5550" xr:uid="{00000000-0005-0000-0000-0000AC150000}"/>
    <cellStyle name="_용정2p3(아포)_처리장_화천봉오리_가곡계산서" xfId="5551" xr:uid="{00000000-0005-0000-0000-0000AD150000}"/>
    <cellStyle name="_용정2p3(아포)_토공" xfId="5552" xr:uid="{00000000-0005-0000-0000-0000AE150000}"/>
    <cellStyle name="_용정2p3(아포)_토공(오근장동)" xfId="5553" xr:uid="{00000000-0005-0000-0000-0000AF150000}"/>
    <cellStyle name="_용정2p3(아포)_토공(오근장동)_시설관리사업소-급수난지역 2005-10" xfId="5554" xr:uid="{00000000-0005-0000-0000-0000B0150000}"/>
    <cellStyle name="_용정2p3(아포)_토공_02토공" xfId="5555" xr:uid="{00000000-0005-0000-0000-0000B1150000}"/>
    <cellStyle name="_용정2p3(아포)_판교1교(광양-p1,6직접)" xfId="5556" xr:uid="{00000000-0005-0000-0000-0000B2150000}"/>
    <cellStyle name="_용정2p3(아포)_판교1교(광양-p1,6직접)_가곡계산서" xfId="5557" xr:uid="{00000000-0005-0000-0000-0000B3150000}"/>
    <cellStyle name="_용정2p3(아포)_판교1교(광양-p1,6직접)_계산서" xfId="5558" xr:uid="{00000000-0005-0000-0000-0000B4150000}"/>
    <cellStyle name="_용정2p3(아포)_판교1교(광양-p1,6직접)_계산서_가곡계산서" xfId="5559" xr:uid="{00000000-0005-0000-0000-0000B5150000}"/>
    <cellStyle name="_용정2p3(아포)_판교1교(광양-p1,6직접)_무이2리계산서" xfId="5560" xr:uid="{00000000-0005-0000-0000-0000B6150000}"/>
    <cellStyle name="_용정2p3(아포)_판교1교(광양-p1,6직접)_무이2리계산서_가곡계산서" xfId="5561" xr:uid="{00000000-0005-0000-0000-0000B7150000}"/>
    <cellStyle name="_용정2p3(아포)_판교1교(광양-p1,6직접)_반응조1" xfId="5562" xr:uid="{00000000-0005-0000-0000-0000B8150000}"/>
    <cellStyle name="_용정2p3(아포)_판교1교(광양-p1,6직접)_반응조1_가곡계산서" xfId="5563" xr:uid="{00000000-0005-0000-0000-0000B9150000}"/>
    <cellStyle name="_용정2p3(아포)_판교1교(광양-p1,6직접)_반응조1_추부계산서" xfId="5564" xr:uid="{00000000-0005-0000-0000-0000BA150000}"/>
    <cellStyle name="_용정2p3(아포)_판교1교(광양-p1,6직접)_반응조1_추부계산서_가곡계산서" xfId="5565" xr:uid="{00000000-0005-0000-0000-0000BB150000}"/>
    <cellStyle name="_용정2p3(아포)_판교1교(광양-p1,6직접)_반응조1_추부계산서_계산서" xfId="5566" xr:uid="{00000000-0005-0000-0000-0000BC150000}"/>
    <cellStyle name="_용정2p3(아포)_판교1교(광양-p1,6직접)_반응조1_추부계산서_계산서_가곡계산서" xfId="5567" xr:uid="{00000000-0005-0000-0000-0000BD150000}"/>
    <cellStyle name="_용정2p3(아포)_판교1교(광양-p1,6직접)_반응조1_추부계산서_무이2리계산서" xfId="5568" xr:uid="{00000000-0005-0000-0000-0000BE150000}"/>
    <cellStyle name="_용정2p3(아포)_판교1교(광양-p1,6직접)_반응조1_추부계산서_무이2리계산서_가곡계산서" xfId="5569" xr:uid="{00000000-0005-0000-0000-0000BF150000}"/>
    <cellStyle name="_용정2p3(아포)_판교1교(광양-p1,6직접)_반응조1_추부계산서_봉양계산서" xfId="5570" xr:uid="{00000000-0005-0000-0000-0000C0150000}"/>
    <cellStyle name="_용정2p3(아포)_판교1교(광양-p1,6직접)_반응조1_추부계산서_봉양계산서_가곡계산서" xfId="5571" xr:uid="{00000000-0005-0000-0000-0000C1150000}"/>
    <cellStyle name="_용정2p3(아포)_판교1교(광양-p1,6직접)_봉양계산서" xfId="5572" xr:uid="{00000000-0005-0000-0000-0000C2150000}"/>
    <cellStyle name="_용정2p3(아포)_판교1교(광양-p1,6직접)_봉양계산서_가곡계산서" xfId="5573" xr:uid="{00000000-0005-0000-0000-0000C3150000}"/>
    <cellStyle name="_용정2p3(아포)_판교1교(광양-p1,6직접)_삼가처리장" xfId="5574" xr:uid="{00000000-0005-0000-0000-0000C4150000}"/>
    <cellStyle name="_용정2p3(아포)_판교1교(광양-p1,6직접)_삼가처리장_가곡계산서" xfId="5575" xr:uid="{00000000-0005-0000-0000-0000C5150000}"/>
    <cellStyle name="_용정2p3(아포)_판교1교(광양-p1,6직접)_설비동" xfId="5576" xr:uid="{00000000-0005-0000-0000-0000C6150000}"/>
    <cellStyle name="_용정2p3(아포)_판교1교(광양-p1,6직접)_설비동_가곡계산서" xfId="5577" xr:uid="{00000000-0005-0000-0000-0000C7150000}"/>
    <cellStyle name="_용정2p3(아포)_판교1교(광양-p1,6직접)_설비동_반응조" xfId="5578" xr:uid="{00000000-0005-0000-0000-0000C8150000}"/>
    <cellStyle name="_용정2p3(아포)_판교1교(광양-p1,6직접)_설비동_반응조_가곡계산서" xfId="5579" xr:uid="{00000000-0005-0000-0000-0000C9150000}"/>
    <cellStyle name="_용정2p3(아포)_판교1교(광양-p1,6직접)_설비동_반응조_계산서" xfId="5580" xr:uid="{00000000-0005-0000-0000-0000CA150000}"/>
    <cellStyle name="_용정2p3(아포)_판교1교(광양-p1,6직접)_설비동_반응조_계산서_가곡계산서" xfId="5581" xr:uid="{00000000-0005-0000-0000-0000CB150000}"/>
    <cellStyle name="_용정2p3(아포)_판교1교(광양-p1,6직접)_설비동_반응조_무이2리계산서" xfId="5582" xr:uid="{00000000-0005-0000-0000-0000CC150000}"/>
    <cellStyle name="_용정2p3(아포)_판교1교(광양-p1,6직접)_설비동_반응조_무이2리계산서_가곡계산서" xfId="5583" xr:uid="{00000000-0005-0000-0000-0000CD150000}"/>
    <cellStyle name="_용정2p3(아포)_판교1교(광양-p1,6직접)_설비동_반응조_반응조1" xfId="5584" xr:uid="{00000000-0005-0000-0000-0000CE150000}"/>
    <cellStyle name="_용정2p3(아포)_판교1교(광양-p1,6직접)_설비동_반응조_반응조1_가곡계산서" xfId="5585" xr:uid="{00000000-0005-0000-0000-0000CF150000}"/>
    <cellStyle name="_용정2p3(아포)_판교1교(광양-p1,6직접)_설비동_반응조_반응조1_추부계산서" xfId="5586" xr:uid="{00000000-0005-0000-0000-0000D0150000}"/>
    <cellStyle name="_용정2p3(아포)_판교1교(광양-p1,6직접)_설비동_반응조_반응조1_추부계산서_가곡계산서" xfId="5587" xr:uid="{00000000-0005-0000-0000-0000D1150000}"/>
    <cellStyle name="_용정2p3(아포)_판교1교(광양-p1,6직접)_설비동_반응조_반응조1_추부계산서_계산서" xfId="5588" xr:uid="{00000000-0005-0000-0000-0000D2150000}"/>
    <cellStyle name="_용정2p3(아포)_판교1교(광양-p1,6직접)_설비동_반응조_반응조1_추부계산서_계산서_가곡계산서" xfId="5589" xr:uid="{00000000-0005-0000-0000-0000D3150000}"/>
    <cellStyle name="_용정2p3(아포)_판교1교(광양-p1,6직접)_설비동_반응조_반응조1_추부계산서_무이2리계산서" xfId="5590" xr:uid="{00000000-0005-0000-0000-0000D4150000}"/>
    <cellStyle name="_용정2p3(아포)_판교1교(광양-p1,6직접)_설비동_반응조_반응조1_추부계산서_무이2리계산서_가곡계산서" xfId="5591" xr:uid="{00000000-0005-0000-0000-0000D5150000}"/>
    <cellStyle name="_용정2p3(아포)_판교1교(광양-p1,6직접)_설비동_반응조_반응조1_추부계산서_봉양계산서" xfId="5592" xr:uid="{00000000-0005-0000-0000-0000D6150000}"/>
    <cellStyle name="_용정2p3(아포)_판교1교(광양-p1,6직접)_설비동_반응조_반응조1_추부계산서_봉양계산서_가곡계산서" xfId="5593" xr:uid="{00000000-0005-0000-0000-0000D7150000}"/>
    <cellStyle name="_용정2p3(아포)_판교1교(광양-p1,6직접)_설비동_반응조_봉양계산서" xfId="5594" xr:uid="{00000000-0005-0000-0000-0000D8150000}"/>
    <cellStyle name="_용정2p3(아포)_판교1교(광양-p1,6직접)_설비동_반응조_봉양계산서_가곡계산서" xfId="5595" xr:uid="{00000000-0005-0000-0000-0000D9150000}"/>
    <cellStyle name="_용정2p3(아포)_판교1교(광양-p1,6직접)_설비동_반응조_영월배수지" xfId="5596" xr:uid="{00000000-0005-0000-0000-0000DA150000}"/>
    <cellStyle name="_용정2p3(아포)_판교1교(광양-p1,6직접)_설비동_반응조_영월배수지_가곡계산서" xfId="5597" xr:uid="{00000000-0005-0000-0000-0000DB150000}"/>
    <cellStyle name="_용정2p3(아포)_판교1교(광양-p1,6직접)_설비동_반응조_우곡계산서" xfId="5598" xr:uid="{00000000-0005-0000-0000-0000DC150000}"/>
    <cellStyle name="_용정2p3(아포)_판교1교(광양-p1,6직접)_설비동_반응조_우곡계산서_가곡계산서" xfId="5599" xr:uid="{00000000-0005-0000-0000-0000DD150000}"/>
    <cellStyle name="_용정2p3(아포)_판교1교(광양-p1,6직접)_설비동_반응조_지진" xfId="5600" xr:uid="{00000000-0005-0000-0000-0000DE150000}"/>
    <cellStyle name="_용정2p3(아포)_판교1교(광양-p1,6직접)_설비동_반응조_지진_가곡계산서" xfId="5601" xr:uid="{00000000-0005-0000-0000-0000DF150000}"/>
    <cellStyle name="_용정2p3(아포)_판교1교(광양-p1,6직접)_설비동_반응조_지진_추부계산서" xfId="5602" xr:uid="{00000000-0005-0000-0000-0000E0150000}"/>
    <cellStyle name="_용정2p3(아포)_판교1교(광양-p1,6직접)_설비동_반응조_지진_추부계산서_가곡계산서" xfId="5603" xr:uid="{00000000-0005-0000-0000-0000E1150000}"/>
    <cellStyle name="_용정2p3(아포)_판교1교(광양-p1,6직접)_설비동_반응조_지진_추부계산서_계산서" xfId="5604" xr:uid="{00000000-0005-0000-0000-0000E2150000}"/>
    <cellStyle name="_용정2p3(아포)_판교1교(광양-p1,6직접)_설비동_반응조_지진_추부계산서_계산서_가곡계산서" xfId="5605" xr:uid="{00000000-0005-0000-0000-0000E3150000}"/>
    <cellStyle name="_용정2p3(아포)_판교1교(광양-p1,6직접)_설비동_반응조_지진_추부계산서_무이2리계산서" xfId="5606" xr:uid="{00000000-0005-0000-0000-0000E4150000}"/>
    <cellStyle name="_용정2p3(아포)_판교1교(광양-p1,6직접)_설비동_반응조_지진_추부계산서_무이2리계산서_가곡계산서" xfId="5607" xr:uid="{00000000-0005-0000-0000-0000E5150000}"/>
    <cellStyle name="_용정2p3(아포)_판교1교(광양-p1,6직접)_설비동_반응조_지진_추부계산서_봉양계산서" xfId="5608" xr:uid="{00000000-0005-0000-0000-0000E6150000}"/>
    <cellStyle name="_용정2p3(아포)_판교1교(광양-p1,6직접)_설비동_반응조_지진_추부계산서_봉양계산서_가곡계산서" xfId="5609" xr:uid="{00000000-0005-0000-0000-0000E7150000}"/>
    <cellStyle name="_용정2p3(아포)_판교1교(광양-p1,6직접)_설비동_삼가처리장" xfId="5610" xr:uid="{00000000-0005-0000-0000-0000E8150000}"/>
    <cellStyle name="_용정2p3(아포)_판교1교(광양-p1,6직접)_설비동_삼가처리장_가곡계산서" xfId="5611" xr:uid="{00000000-0005-0000-0000-0000E9150000}"/>
    <cellStyle name="_용정2p3(아포)_판교1교(광양-p1,6직접)_설비동_소양강" xfId="5612" xr:uid="{00000000-0005-0000-0000-0000EA150000}"/>
    <cellStyle name="_용정2p3(아포)_판교1교(광양-p1,6직접)_설비동_소양강_가곡계산서" xfId="5613" xr:uid="{00000000-0005-0000-0000-0000EB150000}"/>
    <cellStyle name="_용정2p3(아포)_판교1교(광양-p1,6직접)_설비동_스크린실" xfId="5614" xr:uid="{00000000-0005-0000-0000-0000EC150000}"/>
    <cellStyle name="_용정2p3(아포)_판교1교(광양-p1,6직접)_설비동_스크린실_가곡계산서" xfId="5615" xr:uid="{00000000-0005-0000-0000-0000ED150000}"/>
    <cellStyle name="_용정2p3(아포)_판교1교(광양-p1,6직접)_설비동_스크린실_오음리하수처리장" xfId="5616" xr:uid="{00000000-0005-0000-0000-0000EE150000}"/>
    <cellStyle name="_용정2p3(아포)_판교1교(광양-p1,6직접)_설비동_스크린실_오음리하수처리장_가곡계산서" xfId="5617" xr:uid="{00000000-0005-0000-0000-0000EF150000}"/>
    <cellStyle name="_용정2p3(아포)_판교1교(광양-p1,6직접)_설비동_스크린실_화천봉오리" xfId="5618" xr:uid="{00000000-0005-0000-0000-0000F0150000}"/>
    <cellStyle name="_용정2p3(아포)_판교1교(광양-p1,6직접)_설비동_스크린실_화천봉오리_가곡계산서" xfId="5619" xr:uid="{00000000-0005-0000-0000-0000F1150000}"/>
    <cellStyle name="_용정2p3(아포)_판교1교(광양-p1,6직접)_설비동_오음리하수처리장" xfId="5620" xr:uid="{00000000-0005-0000-0000-0000F2150000}"/>
    <cellStyle name="_용정2p3(아포)_판교1교(광양-p1,6직접)_설비동_오음리하수처리장_가곡계산서" xfId="5621" xr:uid="{00000000-0005-0000-0000-0000F3150000}"/>
    <cellStyle name="_용정2p3(아포)_판교1교(광양-p1,6직접)_설비동_추부계산서" xfId="5622" xr:uid="{00000000-0005-0000-0000-0000F4150000}"/>
    <cellStyle name="_용정2p3(아포)_판교1교(광양-p1,6직접)_설비동_추부계산서_가곡계산서" xfId="5623" xr:uid="{00000000-0005-0000-0000-0000F5150000}"/>
    <cellStyle name="_용정2p3(아포)_판교1교(광양-p1,6직접)_설비동_추부계산서_계산서" xfId="5624" xr:uid="{00000000-0005-0000-0000-0000F6150000}"/>
    <cellStyle name="_용정2p3(아포)_판교1교(광양-p1,6직접)_설비동_추부계산서_계산서_가곡계산서" xfId="5625" xr:uid="{00000000-0005-0000-0000-0000F7150000}"/>
    <cellStyle name="_용정2p3(아포)_판교1교(광양-p1,6직접)_설비동_추부계산서_무이2리계산서" xfId="5626" xr:uid="{00000000-0005-0000-0000-0000F8150000}"/>
    <cellStyle name="_용정2p3(아포)_판교1교(광양-p1,6직접)_설비동_추부계산서_무이2리계산서_가곡계산서" xfId="5627" xr:uid="{00000000-0005-0000-0000-0000F9150000}"/>
    <cellStyle name="_용정2p3(아포)_판교1교(광양-p1,6직접)_설비동_추부계산서_봉양계산서" xfId="5628" xr:uid="{00000000-0005-0000-0000-0000FA150000}"/>
    <cellStyle name="_용정2p3(아포)_판교1교(광양-p1,6직접)_설비동_추부계산서_봉양계산서_가곡계산서" xfId="5629" xr:uid="{00000000-0005-0000-0000-0000FB150000}"/>
    <cellStyle name="_용정2p3(아포)_판교1교(광양-p1,6직접)_설비동_화천봉오리" xfId="5630" xr:uid="{00000000-0005-0000-0000-0000FC150000}"/>
    <cellStyle name="_용정2p3(아포)_판교1교(광양-p1,6직접)_설비동_화천봉오리_가곡계산서" xfId="5631" xr:uid="{00000000-0005-0000-0000-0000FD150000}"/>
    <cellStyle name="_용정2p3(아포)_판교1교(광양-p1,6직접)_영월배수지" xfId="5632" xr:uid="{00000000-0005-0000-0000-0000FE150000}"/>
    <cellStyle name="_용정2p3(아포)_판교1교(광양-p1,6직접)_영월배수지_가곡계산서" xfId="5633" xr:uid="{00000000-0005-0000-0000-0000FF150000}"/>
    <cellStyle name="_용정2p3(아포)_판교1교(광양-p1,6직접)_오음리하수처리장" xfId="5634" xr:uid="{00000000-0005-0000-0000-000000160000}"/>
    <cellStyle name="_용정2p3(아포)_판교1교(광양-p1,6직접)_오음리하수처리장_가곡계산서" xfId="5635" xr:uid="{00000000-0005-0000-0000-000001160000}"/>
    <cellStyle name="_용정2p3(아포)_판교1교(광양-p1,6직접)_우곡계산서" xfId="5636" xr:uid="{00000000-0005-0000-0000-000002160000}"/>
    <cellStyle name="_용정2p3(아포)_판교1교(광양-p1,6직접)_우곡계산서_가곡계산서" xfId="5637" xr:uid="{00000000-0005-0000-0000-000003160000}"/>
    <cellStyle name="_용정2p3(아포)_판교1교(광양-p1,6직접)_지진" xfId="5638" xr:uid="{00000000-0005-0000-0000-000004160000}"/>
    <cellStyle name="_용정2p3(아포)_판교1교(광양-p1,6직접)_지진_가곡계산서" xfId="5639" xr:uid="{00000000-0005-0000-0000-000005160000}"/>
    <cellStyle name="_용정2p3(아포)_판교1교(광양-p1,6직접)_지진_추부계산서" xfId="5640" xr:uid="{00000000-0005-0000-0000-000006160000}"/>
    <cellStyle name="_용정2p3(아포)_판교1교(광양-p1,6직접)_지진_추부계산서_가곡계산서" xfId="5641" xr:uid="{00000000-0005-0000-0000-000007160000}"/>
    <cellStyle name="_용정2p3(아포)_판교1교(광양-p1,6직접)_지진_추부계산서_계산서" xfId="5642" xr:uid="{00000000-0005-0000-0000-000008160000}"/>
    <cellStyle name="_용정2p3(아포)_판교1교(광양-p1,6직접)_지진_추부계산서_계산서_가곡계산서" xfId="5643" xr:uid="{00000000-0005-0000-0000-000009160000}"/>
    <cellStyle name="_용정2p3(아포)_판교1교(광양-p1,6직접)_지진_추부계산서_무이2리계산서" xfId="5644" xr:uid="{00000000-0005-0000-0000-00000A160000}"/>
    <cellStyle name="_용정2p3(아포)_판교1교(광양-p1,6직접)_지진_추부계산서_무이2리계산서_가곡계산서" xfId="5645" xr:uid="{00000000-0005-0000-0000-00000B160000}"/>
    <cellStyle name="_용정2p3(아포)_판교1교(광양-p1,6직접)_지진_추부계산서_봉양계산서" xfId="5646" xr:uid="{00000000-0005-0000-0000-00000C160000}"/>
    <cellStyle name="_용정2p3(아포)_판교1교(광양-p1,6직접)_지진_추부계산서_봉양계산서_가곡계산서" xfId="5647" xr:uid="{00000000-0005-0000-0000-00000D160000}"/>
    <cellStyle name="_용정2p3(아포)_판교1교(광양-p1,6직접)_화천봉오리" xfId="5648" xr:uid="{00000000-0005-0000-0000-00000E160000}"/>
    <cellStyle name="_용정2p3(아포)_판교1교(광양-p1,6직접)_화천봉오리_가곡계산서" xfId="5649" xr:uid="{00000000-0005-0000-0000-00000F160000}"/>
    <cellStyle name="_용정2p3(아포)_하수처리장" xfId="5650" xr:uid="{00000000-0005-0000-0000-000010160000}"/>
    <cellStyle name="_용정2p3(아포)_하수처리장_가곡계산서" xfId="5651" xr:uid="{00000000-0005-0000-0000-000011160000}"/>
    <cellStyle name="_용정2p3(아포)_하수처리장_오음리하수처리장" xfId="5652" xr:uid="{00000000-0005-0000-0000-000012160000}"/>
    <cellStyle name="_용정2p3(아포)_하수처리장_오음리하수처리장_가곡계산서" xfId="5653" xr:uid="{00000000-0005-0000-0000-000013160000}"/>
    <cellStyle name="_용정2p3(아포)_화천봉오리" xfId="5654" xr:uid="{00000000-0005-0000-0000-000014160000}"/>
    <cellStyle name="_용정2p3(아포)_화천봉오리_가곡계산서" xfId="5655" xr:uid="{00000000-0005-0000-0000-000015160000}"/>
    <cellStyle name="_용정2p3(아포)_효포가압장" xfId="5656" xr:uid="{00000000-0005-0000-0000-000016160000}"/>
    <cellStyle name="_용정2p3(아포)_효포가압장_가곡계산서" xfId="5657" xr:uid="{00000000-0005-0000-0000-000017160000}"/>
    <cellStyle name="_용정2p3(아포)_효포가압장_계산서" xfId="5658" xr:uid="{00000000-0005-0000-0000-000018160000}"/>
    <cellStyle name="_용정2p3(아포)_효포가압장_계산서_가곡계산서" xfId="5659" xr:uid="{00000000-0005-0000-0000-000019160000}"/>
    <cellStyle name="_용정2p3(아포)_효포가압장_무이2리계산서" xfId="5660" xr:uid="{00000000-0005-0000-0000-00001A160000}"/>
    <cellStyle name="_용정2p3(아포)_효포가압장_무이2리계산서_가곡계산서" xfId="5661" xr:uid="{00000000-0005-0000-0000-00001B160000}"/>
    <cellStyle name="_용정2p3(아포)_효포가압장_봉양계산서" xfId="5662" xr:uid="{00000000-0005-0000-0000-00001C160000}"/>
    <cellStyle name="_용정2p3(아포)_효포가압장_봉양계산서_가곡계산서" xfId="5663" xr:uid="{00000000-0005-0000-0000-00001D160000}"/>
    <cellStyle name="_용정2p3(아포)_효포가압장_삼가처리장" xfId="5664" xr:uid="{00000000-0005-0000-0000-00001E160000}"/>
    <cellStyle name="_용정2p3(아포)_효포가압장_삼가처리장_가곡계산서" xfId="5665" xr:uid="{00000000-0005-0000-0000-00001F160000}"/>
    <cellStyle name="_용정2p3(아포)_효포가압장_신기계산서(최종)" xfId="5666" xr:uid="{00000000-0005-0000-0000-000020160000}"/>
    <cellStyle name="_용정2p3(아포)_효포가압장_신기계산서(최종)_가곡계산서" xfId="5667" xr:uid="{00000000-0005-0000-0000-000021160000}"/>
    <cellStyle name="_용정2p3(아포)_효포가압장_영월배수지" xfId="5668" xr:uid="{00000000-0005-0000-0000-000022160000}"/>
    <cellStyle name="_용정2p3(아포)_효포가압장_영월배수지_가곡계산서" xfId="5669" xr:uid="{00000000-0005-0000-0000-000023160000}"/>
    <cellStyle name="_용정2p3(아포)_효포가압장_우곡계산서" xfId="5670" xr:uid="{00000000-0005-0000-0000-000024160000}"/>
    <cellStyle name="_용정2p3(아포)_효포가압장_우곡계산서_가곡계산서" xfId="5671" xr:uid="{00000000-0005-0000-0000-000025160000}"/>
    <cellStyle name="_용정2p3(아포)_효포가압장_유입부(최종)" xfId="5672" xr:uid="{00000000-0005-0000-0000-000026160000}"/>
    <cellStyle name="_용정2p3(아포)_효포가압장_유입부(최종)_가곡계산서" xfId="5673" xr:uid="{00000000-0005-0000-0000-000027160000}"/>
    <cellStyle name="_용정2p3(아포)_효포가압장_유입부(최종)_삼가처리장" xfId="5674" xr:uid="{00000000-0005-0000-0000-000028160000}"/>
    <cellStyle name="_용정2p3(아포)_효포가압장_유입부(최종)_삼가처리장_가곡계산서" xfId="5675" xr:uid="{00000000-0005-0000-0000-000029160000}"/>
    <cellStyle name="_용정2p3(아포)_효포가압장_유입부(최종)_하수처리장" xfId="5676" xr:uid="{00000000-0005-0000-0000-00002A160000}"/>
    <cellStyle name="_용정2p3(아포)_효포가압장_유입부(최종)_하수처리장_가곡계산서" xfId="5677" xr:uid="{00000000-0005-0000-0000-00002B160000}"/>
    <cellStyle name="_용정2p3(아포)_효포가압장_유입부(최종)_하수처리장_오음리하수처리장" xfId="5678" xr:uid="{00000000-0005-0000-0000-00002C160000}"/>
    <cellStyle name="_용정2p3(아포)_효포가압장_유입부(최종)_하수처리장_오음리하수처리장_가곡계산서" xfId="5679" xr:uid="{00000000-0005-0000-0000-00002D160000}"/>
    <cellStyle name="_용정2p3(아포)_효포가압장_유입부(최종)_화천봉오리" xfId="5680" xr:uid="{00000000-0005-0000-0000-00002E160000}"/>
    <cellStyle name="_용정2p3(아포)_효포가압장_유입부(최종)_화천봉오리_가곡계산서" xfId="5681" xr:uid="{00000000-0005-0000-0000-00002F160000}"/>
    <cellStyle name="_용정2p3(아포)_효포가압장_하수처리장" xfId="5682" xr:uid="{00000000-0005-0000-0000-000030160000}"/>
    <cellStyle name="_용정2p3(아포)_효포가압장_하수처리장_가곡계산서" xfId="5683" xr:uid="{00000000-0005-0000-0000-000031160000}"/>
    <cellStyle name="_용정2p3(아포)_효포가압장_하수처리장_오음리하수처리장" xfId="5684" xr:uid="{00000000-0005-0000-0000-000032160000}"/>
    <cellStyle name="_용정2p3(아포)_효포가압장_하수처리장_오음리하수처리장_가곡계산서" xfId="5685" xr:uid="{00000000-0005-0000-0000-000033160000}"/>
    <cellStyle name="_용정2p3(아포)_효포가압장_화천봉오리" xfId="5686" xr:uid="{00000000-0005-0000-0000-000034160000}"/>
    <cellStyle name="_용정2p3(아포)_효포가압장_화천봉오리_가곡계산서" xfId="5687" xr:uid="{00000000-0005-0000-0000-000035160000}"/>
    <cellStyle name="_우수토실폐쇄" xfId="5688" xr:uid="{00000000-0005-0000-0000-000036160000}"/>
    <cellStyle name="_울산시_현장관리시스템_설계내역서_v1" xfId="5689" xr:uid="{00000000-0005-0000-0000-000037160000}"/>
    <cellStyle name="_울산시총괄안-20030509v1" xfId="5690" xr:uid="{00000000-0005-0000-0000-000038160000}"/>
    <cellStyle name="_울산시총괄안-20030509v1 2" xfId="5691" xr:uid="{00000000-0005-0000-0000-000039160000}"/>
    <cellStyle name="_울산시총괄안-20030509v1_0.무심천 및 율량처리분구 분류식화 관거정비계획 용역내역서-20억" xfId="5692" xr:uid="{00000000-0005-0000-0000-00003A160000}"/>
    <cellStyle name="_울산시총괄안-20030509v1_02._서울시_위례신도시_차집관거_설계예산서(전체)_0217" xfId="5693" xr:uid="{00000000-0005-0000-0000-00003B160000}"/>
    <cellStyle name="_울진군폐기물처리시설" xfId="5694" xr:uid="{00000000-0005-0000-0000-00003C160000}"/>
    <cellStyle name="_원가계산" xfId="5695" xr:uid="{00000000-0005-0000-0000-00003D160000}"/>
    <cellStyle name="_원가계산서" xfId="5696" xr:uid="{00000000-0005-0000-0000-00003E160000}"/>
    <cellStyle name="_원가분석(1217)" xfId="5697" xr:uid="{00000000-0005-0000-0000-00003F160000}"/>
    <cellStyle name="_원가분석(아이0208)" xfId="5698" xr:uid="{00000000-0005-0000-0000-000040160000}"/>
    <cellStyle name="_원형1호맨홀평균H" xfId="5699" xr:uid="{00000000-0005-0000-0000-000041160000}"/>
    <cellStyle name="_원형1호맨홀평균H_01-02.맨홀토공(OPEN-0.3)D-LINE" xfId="5700" xr:uid="{00000000-0005-0000-0000-000042160000}"/>
    <cellStyle name="_원형1호맨홀평균H_01-02.맨홀토공(OPEN-0.3)D-LINE_01-02.맨홀토공(OPEN-0.3)C-LINE" xfId="5701" xr:uid="{00000000-0005-0000-0000-000043160000}"/>
    <cellStyle name="_원형1호맨홀평균H_01-02.맨홀토공(OPEN-0.3)D-LINE_01-02.맨홀토공(OPEN-0.3)C-LINE_02.구조물및추진,도달기지토공(D구간)" xfId="5702" xr:uid="{00000000-0005-0000-0000-000044160000}"/>
    <cellStyle name="_원형1호맨홀평균H_01-02.맨홀토공(OPEN-0.3)D-LINE_01-02.맨홀토공(OPEN-0.3)D-LINE" xfId="5703" xr:uid="{00000000-0005-0000-0000-000045160000}"/>
    <cellStyle name="_원형1호맨홀평균H_01-02.맨홀토공(OPEN-0.3)D-LINE_01-02.맨홀토공(OPEN-0.3)D-LINE_02.구조물및추진,도달기지토공(D구간)" xfId="5704" xr:uid="{00000000-0005-0000-0000-000046160000}"/>
    <cellStyle name="_원형1호맨홀평균H_01-02.맨홀토공(OPEN-0.3)D-LINE_02.구조물및추진,도달기지토공(D구간)" xfId="5705" xr:uid="{00000000-0005-0000-0000-000047160000}"/>
    <cellStyle name="_원형1호맨홀평균H_01-3.옥구오수신설  맨홀토공(OPEN-0.3)" xfId="5706" xr:uid="{00000000-0005-0000-0000-000048160000}"/>
    <cellStyle name="_원형1호맨홀평균H_01-3.옥구오수신설  맨홀토공(OPEN-0.3)_01-02.맨홀토공(OPEN-0.3)C-LINE" xfId="5707" xr:uid="{00000000-0005-0000-0000-000049160000}"/>
    <cellStyle name="_원형1호맨홀평균H_01-3.옥구오수신설  맨홀토공(OPEN-0.3)_01-02.맨홀토공(OPEN-0.3)C-LINE_02.구조물및추진,도달기지토공(D구간)" xfId="5708" xr:uid="{00000000-0005-0000-0000-00004A160000}"/>
    <cellStyle name="_원형1호맨홀평균H_01-3.옥구오수신설  맨홀토공(OPEN-0.3)_01-02.맨홀토공(OPEN-0.3)D-LINE" xfId="5709" xr:uid="{00000000-0005-0000-0000-00004B160000}"/>
    <cellStyle name="_원형1호맨홀평균H_01-3.옥구오수신설  맨홀토공(OPEN-0.3)_01-02.맨홀토공(OPEN-0.3)D-LINE_02.구조물및추진,도달기지토공(D구간)" xfId="5710" xr:uid="{00000000-0005-0000-0000-00004C160000}"/>
    <cellStyle name="_원형1호맨홀평균H_01-3.옥구오수신설  맨홀토공(OPEN-0.3)_02.구조물및추진,도달기지토공(D구간)" xfId="5711" xr:uid="{00000000-0005-0000-0000-00004D160000}"/>
    <cellStyle name="_원형1호맨홀평균H_01-3.옥서오수신설  맨홀토공(OPEN-0.3)" xfId="5712" xr:uid="{00000000-0005-0000-0000-00004E160000}"/>
    <cellStyle name="_원형1호맨홀평균H_01-3.옥서오수신설  맨홀토공(OPEN-0.3)_01-02.맨홀토공(OPEN-0.3)C-LINE" xfId="5713" xr:uid="{00000000-0005-0000-0000-00004F160000}"/>
    <cellStyle name="_원형1호맨홀평균H_01-3.옥서오수신설  맨홀토공(OPEN-0.3)_01-02.맨홀토공(OPEN-0.3)C-LINE_02.구조물및추진,도달기지토공(D구간)" xfId="5714" xr:uid="{00000000-0005-0000-0000-000050160000}"/>
    <cellStyle name="_원형1호맨홀평균H_01-3.옥서오수신설  맨홀토공(OPEN-0.3)_01-02.맨홀토공(OPEN-0.3)D-LINE" xfId="5715" xr:uid="{00000000-0005-0000-0000-000051160000}"/>
    <cellStyle name="_원형1호맨홀평균H_01-3.옥서오수신설  맨홀토공(OPEN-0.3)_01-02.맨홀토공(OPEN-0.3)D-LINE_02.구조물및추진,도달기지토공(D구간)" xfId="5716" xr:uid="{00000000-0005-0000-0000-000052160000}"/>
    <cellStyle name="_원형1호맨홀평균H_01-3.옥서오수신설  맨홀토공(OPEN-0.3)_02.구조물및추진,도달기지토공(D구간)" xfId="5717" xr:uid="{00000000-0005-0000-0000-000053160000}"/>
    <cellStyle name="_원형1호맨홀평균H_02.구조물및추진,도달기지토공(D구간)" xfId="5718" xr:uid="{00000000-0005-0000-0000-000054160000}"/>
    <cellStyle name="_웹기반 범용프로그램 기본설계용역 예산설계서_050322" xfId="5719" xr:uid="{00000000-0005-0000-0000-000055160000}"/>
    <cellStyle name="_웹기반 범용프로그램 기본설계용역 예산설계서_051006" xfId="5720" xr:uid="{00000000-0005-0000-0000-000056160000}"/>
    <cellStyle name="_웹기반 수치지도 관리시스템 개발 용역 산출내역서_1.2" xfId="5721" xr:uid="{00000000-0005-0000-0000-000057160000}"/>
    <cellStyle name="_웹기반 수치지도 활용시스템 도입 설계서_1.1" xfId="5722" xr:uid="{00000000-0005-0000-0000-000058160000}"/>
    <cellStyle name="_웹기반 수치지도 활용시스템 도입 설계서_1.1 2" xfId="5723" xr:uid="{00000000-0005-0000-0000-000059160000}"/>
    <cellStyle name="_웹기반 수치지도 활용시스템 도입 설계서_1.1_0.무심천 및 율량처리분구 분류식화 관거정비계획 용역내역서-20억" xfId="5724" xr:uid="{00000000-0005-0000-0000-00005A160000}"/>
    <cellStyle name="_웹기반 수치지도 활용시스템 도입 설계서_1.1_02._서울시_위례신도시_차집관거_설계예산서(전체)_0217" xfId="5725" xr:uid="{00000000-0005-0000-0000-00005B160000}"/>
    <cellStyle name="_웹기반 수치지도 활용시스템 도입 설계서_2.0" xfId="5726" xr:uid="{00000000-0005-0000-0000-00005C160000}"/>
    <cellStyle name="_웹기반 수치지도 활용시스템 도입 설계서_2.0 2" xfId="5727" xr:uid="{00000000-0005-0000-0000-00005D160000}"/>
    <cellStyle name="_웹기반 수치지도 활용시스템 도입 설계서_2.0_02._서울시_위례신도시_차집관거_설계예산서(전체)_0217" xfId="5728" xr:uid="{00000000-0005-0000-0000-00005E160000}"/>
    <cellStyle name="_유량계실" xfId="5729" xr:uid="{00000000-0005-0000-0000-00005F160000}"/>
    <cellStyle name="_유량계실(여천)" xfId="5730" xr:uid="{00000000-0005-0000-0000-000060160000}"/>
    <cellStyle name="_유량계실(여천)_01.부대공(동판교3단계(본이설))" xfId="5731" xr:uid="{00000000-0005-0000-0000-000061160000}"/>
    <cellStyle name="_유량계실(여천)_02.구조물및추진,도달기지토공(D구간)" xfId="5732" xr:uid="{00000000-0005-0000-0000-000062160000}"/>
    <cellStyle name="_유량계실_01.부대공(동판교3단계(본이설))" xfId="5733" xr:uid="{00000000-0005-0000-0000-000063160000}"/>
    <cellStyle name="_유량계실_02.구조물및추진,도달기지토공(D구간)" xfId="5734" xr:uid="{00000000-0005-0000-0000-000064160000}"/>
    <cellStyle name="_유재복차장(CP10,17,HP5100_mail)" xfId="5735" xr:uid="{00000000-0005-0000-0000-000065160000}"/>
    <cellStyle name="_유첨3(서식)" xfId="5736" xr:uid="{00000000-0005-0000-0000-000066160000}"/>
    <cellStyle name="_유첨3(서식)_1" xfId="5737" xr:uid="{00000000-0005-0000-0000-000067160000}"/>
    <cellStyle name="_은평공원테니스장정비공사" xfId="5738" xr:uid="{00000000-0005-0000-0000-000068160000}"/>
    <cellStyle name="_음성방향-p1" xfId="5739" xr:uid="{00000000-0005-0000-0000-000069160000}"/>
    <cellStyle name="_의왕시공정표(기존-최종)" xfId="5740" xr:uid="{00000000-0005-0000-0000-00006A160000}"/>
    <cellStyle name="_의왕시공정표(최종)" xfId="5741" xr:uid="{00000000-0005-0000-0000-00006B160000}"/>
    <cellStyle name="_의왕시공정표(최종)_변경내역서" xfId="5742" xr:uid="{00000000-0005-0000-0000-00006C160000}"/>
    <cellStyle name="_의왕시공정표(최종)_변경내역서_변경내역서(의왕수도정비)-07.12.10(보할수정)-김후호수정" xfId="5743" xr:uid="{00000000-0005-0000-0000-00006D160000}"/>
    <cellStyle name="_의왕시공정표(최종)_변경내역서_변경예정공정표(최종)" xfId="5744" xr:uid="{00000000-0005-0000-0000-00006E160000}"/>
    <cellStyle name="_의정부  상하수도 설계내역서_1.2" xfId="5745" xr:uid="{00000000-0005-0000-0000-00006F160000}"/>
    <cellStyle name="_의정부  상하수도 설계내역서_1.2_02._서울시_위례신도시_차집관거_설계예산서(전체)_0217" xfId="5746" xr:uid="{00000000-0005-0000-0000-000070160000}"/>
    <cellStyle name="_의정부_설계내역서" xfId="5747" xr:uid="{00000000-0005-0000-0000-000071160000}"/>
    <cellStyle name="_의정부_설계내역서(제출용)" xfId="5748" xr:uid="{00000000-0005-0000-0000-000072160000}"/>
    <cellStyle name="_의정부계약내역서" xfId="5749" xr:uid="{00000000-0005-0000-0000-000073160000}"/>
    <cellStyle name="_의항리 상수관로 매설 변경(최종)" xfId="5750" xr:uid="{00000000-0005-0000-0000-000074160000}"/>
    <cellStyle name="_이담지리지 보완확장사업 설계내역서_1.1" xfId="5751" xr:uid="{00000000-0005-0000-0000-000075160000}"/>
    <cellStyle name="_인원계획표 " xfId="5752" xr:uid="{00000000-0005-0000-0000-000076160000}"/>
    <cellStyle name="_인원계획표 _(현풍)실시설계내역서(대구광역시)" xfId="5753" xr:uid="{00000000-0005-0000-0000-000077160000}"/>
    <cellStyle name="_인원계획표 _(현풍)실시설계내역서(대구광역시)_발주내역서(안양박달)" xfId="5754" xr:uid="{00000000-0005-0000-0000-000078160000}"/>
    <cellStyle name="_인원계획표 _(현풍)실시설계내역서(대구광역시)_사본 - 설계내역서(대구하수) REV3(1188)-견학8박10일로" xfId="5755" xr:uid="{00000000-0005-0000-0000-000079160000}"/>
    <cellStyle name="_인원계획표 _(현풍)실시설계내역서(대구광역시)_설계내역서(대구수질)" xfId="5756" xr:uid="{00000000-0005-0000-0000-00007A160000}"/>
    <cellStyle name="_인원계획표 _(현풍)실시설계내역서(대구광역시)_설계내역서(대구수질) ver10-최(선진해외)" xfId="5757" xr:uid="{00000000-0005-0000-0000-00007B160000}"/>
    <cellStyle name="_인원계획표 _(현풍)실시설계내역서(대구광역시)_성서공단 설계내역서(0402)" xfId="5758" xr:uid="{00000000-0005-0000-0000-00007C160000}"/>
    <cellStyle name="_인원계획표 _(현풍)실시설계내역서(대구광역시)_용암입찰안내서(보정계수포함)" xfId="5759" xr:uid="{00000000-0005-0000-0000-00007D160000}"/>
    <cellStyle name="_인원계획표 _(현풍)실시설계내역서(대구광역시)_총인처리시설 설계내역서(심사)" xfId="5760" xr:uid="{00000000-0005-0000-0000-00007E160000}"/>
    <cellStyle name="_인원계획표 _0.창원반송정수장 오존공정 도입공사(정수설비)-1" xfId="5761" xr:uid="{00000000-0005-0000-0000-00007F160000}"/>
    <cellStyle name="_인원계획표 _2003년실행양식" xfId="5762" xr:uid="{00000000-0005-0000-0000-000080160000}"/>
    <cellStyle name="_인원계획표 _2003년실행양식_4.추진공(공암)" xfId="5763" xr:uid="{00000000-0005-0000-0000-000081160000}"/>
    <cellStyle name="_인원계획표 _2003년실행양식_4.추진공(공암SAMPLE" xfId="5764" xr:uid="{00000000-0005-0000-0000-000082160000}"/>
    <cellStyle name="_인원계획표 _2003년실행양식_4.추진공(서산)" xfId="5765" xr:uid="{00000000-0005-0000-0000-000083160000}"/>
    <cellStyle name="_인원계획표 _2003년실행양식_4.추진공(읍내)" xfId="5766" xr:uid="{00000000-0005-0000-0000-000084160000}"/>
    <cellStyle name="_인원계획표 _2003년실행양식_4.추진공(황간)" xfId="5767" xr:uid="{00000000-0005-0000-0000-000085160000}"/>
    <cellStyle name="_인원계획표 _2003년실행양식_영동군추진가시설수량" xfId="5768" xr:uid="{00000000-0005-0000-0000-000086160000}"/>
    <cellStyle name="_인원계획표 _2003년실행양식0" xfId="5769" xr:uid="{00000000-0005-0000-0000-000087160000}"/>
    <cellStyle name="_인원계획표 _2003년실행양식0_4.추진공(공암)" xfId="5770" xr:uid="{00000000-0005-0000-0000-000088160000}"/>
    <cellStyle name="_인원계획표 _2003년실행양식0_4.추진공(공암SAMPLE" xfId="5771" xr:uid="{00000000-0005-0000-0000-000089160000}"/>
    <cellStyle name="_인원계획표 _2003년실행양식0_4.추진공(서산)" xfId="5772" xr:uid="{00000000-0005-0000-0000-00008A160000}"/>
    <cellStyle name="_인원계획표 _2003년실행양식0_4.추진공(읍내)" xfId="5773" xr:uid="{00000000-0005-0000-0000-00008B160000}"/>
    <cellStyle name="_인원계획표 _2003년실행양식0_4.추진공(황간)" xfId="5774" xr:uid="{00000000-0005-0000-0000-00008C160000}"/>
    <cellStyle name="_인원계획표 _2003년실행양식0_영동군추진가시설수량" xfId="5775" xr:uid="{00000000-0005-0000-0000-00008D160000}"/>
    <cellStyle name="_인원계획표 _2003년실행양식-1" xfId="5776" xr:uid="{00000000-0005-0000-0000-00008E160000}"/>
    <cellStyle name="_인원계획표 _2003년실행양식-1_4.추진공(공암)" xfId="5777" xr:uid="{00000000-0005-0000-0000-00008F160000}"/>
    <cellStyle name="_인원계획표 _2003년실행양식-1_4.추진공(공암SAMPLE" xfId="5778" xr:uid="{00000000-0005-0000-0000-000090160000}"/>
    <cellStyle name="_인원계획표 _2003년실행양식-1_4.추진공(서산)" xfId="5779" xr:uid="{00000000-0005-0000-0000-000091160000}"/>
    <cellStyle name="_인원계획표 _2003년실행양식-1_4.추진공(읍내)" xfId="5780" xr:uid="{00000000-0005-0000-0000-000092160000}"/>
    <cellStyle name="_인원계획표 _2003년실행양식-1_4.추진공(황간)" xfId="5781" xr:uid="{00000000-0005-0000-0000-000093160000}"/>
    <cellStyle name="_인원계획표 _2003년실행양식-1_영동군추진가시설수량" xfId="5782" xr:uid="{00000000-0005-0000-0000-000094160000}"/>
    <cellStyle name="_인원계획표 _4.추진공(공암)" xfId="5783" xr:uid="{00000000-0005-0000-0000-000095160000}"/>
    <cellStyle name="_인원계획표 _4.추진공(공암SAMPLE" xfId="5784" xr:uid="{00000000-0005-0000-0000-000096160000}"/>
    <cellStyle name="_인원계획표 _4.추진공(서산)" xfId="5785" xr:uid="{00000000-0005-0000-0000-000097160000}"/>
    <cellStyle name="_인원계획표 _4.추진공(읍내)" xfId="5786" xr:uid="{00000000-0005-0000-0000-000098160000}"/>
    <cellStyle name="_인원계획표 _4.추진공(황간)" xfId="5787" xr:uid="{00000000-0005-0000-0000-000099160000}"/>
    <cellStyle name="_인원계획표 _대구도시철도3호선실시설계내역서(070206)" xfId="5788" xr:uid="{00000000-0005-0000-0000-00009A160000}"/>
    <cellStyle name="_인원계획표 _대구도시철도3호선실시설계내역서(070207)" xfId="5789" xr:uid="{00000000-0005-0000-0000-00009B160000}"/>
    <cellStyle name="_인원계획표 _발주내역서(안양박달)" xfId="5790" xr:uid="{00000000-0005-0000-0000-00009C160000}"/>
    <cellStyle name="_인원계획표 _사본 - 설계내역서(대구하수) REV3(1188)-견학8박10일로" xfId="5791" xr:uid="{00000000-0005-0000-0000-00009D160000}"/>
    <cellStyle name="_인원계획표 _사본임-창원반송정수장 오존공정 도입공사(도급)-2" xfId="5792" xr:uid="{00000000-0005-0000-0000-00009E160000}"/>
    <cellStyle name="_인원계획표 _산출내역(전기11.21)" xfId="5793" xr:uid="{00000000-0005-0000-0000-00009F160000}"/>
    <cellStyle name="_인원계획표 _산출내역(전기11.21)_0.창원반송정수장 오존공정 도입공사(정수설비)-1" xfId="5794" xr:uid="{00000000-0005-0000-0000-0000A0160000}"/>
    <cellStyle name="_인원계획표 _산출내역(전기11.21)_사본임-창원반송정수장 오존공정 도입공사(도급)-2" xfId="5795" xr:uid="{00000000-0005-0000-0000-0000A1160000}"/>
    <cellStyle name="_인원계획표 _산출내역(전기11.21)_순공사비(전체분)_20070504_PAC 회수금삭제" xfId="5796" xr:uid="{00000000-0005-0000-0000-0000A2160000}"/>
    <cellStyle name="_인원계획표 _산출내역(전기11.21)_순공사비(전체분)_20070504_PAC 회수금삭제_0.창원반송정수장 오존공정 도입공사(정수설비)-1" xfId="5797" xr:uid="{00000000-0005-0000-0000-0000A3160000}"/>
    <cellStyle name="_인원계획표 _산출내역(전기11.21)_순공사비(전체분)_20070504_PAC 회수금삭제_사본임-창원반송정수장 오존공정 도입공사(도급)-2" xfId="5798" xr:uid="{00000000-0005-0000-0000-0000A4160000}"/>
    <cellStyle name="_인원계획표 _산출내역(전기11.21)_순공사비(전체분)_20070504_PAC 회수금삭제_순공사비(전체분)_20070504_PAC 회수금삭제" xfId="5799" xr:uid="{00000000-0005-0000-0000-0000A5160000}"/>
    <cellStyle name="_인원계획표 _산출내역(전기11.21)_순공사비(전체분)_20070504_PAC 회수금삭제_순공사비(전체분)_20070504_PAC 회수금삭제_0.창원반송정수장 오존공정 도입공사(정수설비)-1" xfId="5800" xr:uid="{00000000-0005-0000-0000-0000A6160000}"/>
    <cellStyle name="_인원계획표 _산출내역(전기11.21)_순공사비(전체분)_20070504_PAC 회수금삭제_순공사비(전체분)_20070504_PAC 회수금삭제_사본임-창원반송정수장 오존공정 도입공사(도급)-2" xfId="5801" xr:uid="{00000000-0005-0000-0000-0000A7160000}"/>
    <cellStyle name="_인원계획표 _산출내역(전기11.21)_순공사비(전체분)_20070504_PAC 회수금삭제_순공사비(전체분)_20070504_PAC 회수금삭제_창원반송정수장 오존공정 도입공사(도급)-2" xfId="5802" xr:uid="{00000000-0005-0000-0000-0000A8160000}"/>
    <cellStyle name="_인원계획표 _산출내역(전기11.21)_순공사비(전체분)_20070504_PAC 회수금삭제_창원반송정수장 오존공정 도입공사(도급)-2" xfId="5803" xr:uid="{00000000-0005-0000-0000-0000A9160000}"/>
    <cellStyle name="_인원계획표 _산출내역(전기11.21)_창원반송정수장 오존공정 도입공사(도급)-2" xfId="5804" xr:uid="{00000000-0005-0000-0000-0000AA160000}"/>
    <cellStyle name="_인원계획표 _산출내역(전기11.21)_총괄집계및영구설비내역12.22" xfId="5805" xr:uid="{00000000-0005-0000-0000-0000AB160000}"/>
    <cellStyle name="_인원계획표 _산출내역(전기11.21)_총괄집계및영구설비내역12.22_0.창원반송정수장 오존공정 도입공사(정수설비)-1" xfId="5806" xr:uid="{00000000-0005-0000-0000-0000AC160000}"/>
    <cellStyle name="_인원계획표 _산출내역(전기11.21)_총괄집계및영구설비내역12.22_사본임-창원반송정수장 오존공정 도입공사(도급)-2" xfId="5807" xr:uid="{00000000-0005-0000-0000-0000AD160000}"/>
    <cellStyle name="_인원계획표 _산출내역(전기11.21)_총괄집계및영구설비내역12.22_순공사비(전체분)_20070504_PAC 회수금삭제" xfId="5808" xr:uid="{00000000-0005-0000-0000-0000AE160000}"/>
    <cellStyle name="_인원계획표 _산출내역(전기11.21)_총괄집계및영구설비내역12.22_순공사비(전체분)_20070504_PAC 회수금삭제_0.창원반송정수장 오존공정 도입공사(정수설비)-1" xfId="5809" xr:uid="{00000000-0005-0000-0000-0000AF160000}"/>
    <cellStyle name="_인원계획표 _산출내역(전기11.21)_총괄집계및영구설비내역12.22_순공사비(전체분)_20070504_PAC 회수금삭제_사본임-창원반송정수장 오존공정 도입공사(도급)-2" xfId="5810" xr:uid="{00000000-0005-0000-0000-0000B0160000}"/>
    <cellStyle name="_인원계획표 _산출내역(전기11.21)_총괄집계및영구설비내역12.22_순공사비(전체분)_20070504_PAC 회수금삭제_순공사비(전체분)_20070504_PAC 회수금삭제" xfId="5811" xr:uid="{00000000-0005-0000-0000-0000B1160000}"/>
    <cellStyle name="_인원계획표 _산출내역(전기11.21)_총괄집계및영구설비내역12.22_순공사비(전체분)_20070504_PAC 회수금삭제_순공사비(전체분)_20070504_PAC 회수금삭제_0.창원반송정수장 오존공정 도입공사(정수설비)-1" xfId="5812" xr:uid="{00000000-0005-0000-0000-0000B2160000}"/>
    <cellStyle name="_인원계획표 _산출내역(전기11.21)_총괄집계및영구설비내역12.22_순공사비(전체분)_20070504_PAC 회수금삭제_순공사비(전체분)_20070504_PAC 회수금삭제_사본임-창원반송정수장 오존공정 도입공사(도급)-2" xfId="5813" xr:uid="{00000000-0005-0000-0000-0000B3160000}"/>
    <cellStyle name="_인원계획표 _산출내역(전기11.21)_총괄집계및영구설비내역12.22_순공사비(전체분)_20070504_PAC 회수금삭제_순공사비(전체분)_20070504_PAC 회수금삭제_창원반송정수장 오존공정 도입공사(도급)-2" xfId="5814" xr:uid="{00000000-0005-0000-0000-0000B4160000}"/>
    <cellStyle name="_인원계획표 _산출내역(전기11.21)_총괄집계및영구설비내역12.22_순공사비(전체분)_20070504_PAC 회수금삭제_창원반송정수장 오존공정 도입공사(도급)-2" xfId="5815" xr:uid="{00000000-0005-0000-0000-0000B5160000}"/>
    <cellStyle name="_인원계획표 _산출내역(전기11.21)_총괄집계및영구설비내역12.22_창원반송정수장 오존공정 도입공사(도급)-2" xfId="5816" xr:uid="{00000000-0005-0000-0000-0000B6160000}"/>
    <cellStyle name="_인원계획표 _산출내역서(양식검토)" xfId="5817" xr:uid="{00000000-0005-0000-0000-0000B7160000}"/>
    <cellStyle name="_인원계획표 _산출내역서(양식검토)_0.창원반송정수장 오존공정 도입공사(정수설비)-1" xfId="5818" xr:uid="{00000000-0005-0000-0000-0000B8160000}"/>
    <cellStyle name="_인원계획표 _산출내역서(양식검토)_사본임-창원반송정수장 오존공정 도입공사(도급)-2" xfId="5819" xr:uid="{00000000-0005-0000-0000-0000B9160000}"/>
    <cellStyle name="_인원계획표 _산출내역서(양식검토)_순공사비(전체분)_20070504_PAC 회수금삭제" xfId="5820" xr:uid="{00000000-0005-0000-0000-0000BA160000}"/>
    <cellStyle name="_인원계획표 _산출내역서(양식검토)_순공사비(전체분)_20070504_PAC 회수금삭제_0.창원반송정수장 오존공정 도입공사(정수설비)-1" xfId="5821" xr:uid="{00000000-0005-0000-0000-0000BB160000}"/>
    <cellStyle name="_인원계획표 _산출내역서(양식검토)_순공사비(전체분)_20070504_PAC 회수금삭제_사본임-창원반송정수장 오존공정 도입공사(도급)-2" xfId="5822" xr:uid="{00000000-0005-0000-0000-0000BC160000}"/>
    <cellStyle name="_인원계획표 _산출내역서(양식검토)_순공사비(전체분)_20070504_PAC 회수금삭제_순공사비(전체분)_20070504_PAC 회수금삭제" xfId="5823" xr:uid="{00000000-0005-0000-0000-0000BD160000}"/>
    <cellStyle name="_인원계획표 _산출내역서(양식검토)_순공사비(전체분)_20070504_PAC 회수금삭제_순공사비(전체분)_20070504_PAC 회수금삭제_0.창원반송정수장 오존공정 도입공사(정수설비)-1" xfId="5824" xr:uid="{00000000-0005-0000-0000-0000BE160000}"/>
    <cellStyle name="_인원계획표 _산출내역서(양식검토)_순공사비(전체분)_20070504_PAC 회수금삭제_순공사비(전체분)_20070504_PAC 회수금삭제_사본임-창원반송정수장 오존공정 도입공사(도급)-2" xfId="5825" xr:uid="{00000000-0005-0000-0000-0000BF160000}"/>
    <cellStyle name="_인원계획표 _산출내역서(양식검토)_순공사비(전체분)_20070504_PAC 회수금삭제_순공사비(전체분)_20070504_PAC 회수금삭제_창원반송정수장 오존공정 도입공사(도급)-2" xfId="5826" xr:uid="{00000000-0005-0000-0000-0000C0160000}"/>
    <cellStyle name="_인원계획표 _산출내역서(양식검토)_순공사비(전체분)_20070504_PAC 회수금삭제_창원반송정수장 오존공정 도입공사(도급)-2" xfId="5827" xr:uid="{00000000-0005-0000-0000-0000C1160000}"/>
    <cellStyle name="_인원계획표 _산출내역서(양식검토)_창원반송정수장 오존공정 도입공사(도급)-2" xfId="5828" xr:uid="{00000000-0005-0000-0000-0000C2160000}"/>
    <cellStyle name="_인원계획표 _설계내역서(대구수질)" xfId="5829" xr:uid="{00000000-0005-0000-0000-0000C3160000}"/>
    <cellStyle name="_인원계획표 _설계내역서(대구수질) ver10-최(선진해외)" xfId="5830" xr:uid="{00000000-0005-0000-0000-0000C4160000}"/>
    <cellStyle name="_인원계획표 _성서공단 설계내역서(0402)" xfId="5831" xr:uid="{00000000-0005-0000-0000-0000C5160000}"/>
    <cellStyle name="_인원계획표 _순공사비(전체분)_20070504_PAC 회수금삭제" xfId="5832" xr:uid="{00000000-0005-0000-0000-0000C6160000}"/>
    <cellStyle name="_인원계획표 _순공사비(전체분)_20070504_PAC 회수금삭제_0.창원반송정수장 오존공정 도입공사(정수설비)-1" xfId="5833" xr:uid="{00000000-0005-0000-0000-0000C7160000}"/>
    <cellStyle name="_인원계획표 _순공사비(전체분)_20070504_PAC 회수금삭제_사본임-창원반송정수장 오존공정 도입공사(도급)-2" xfId="5834" xr:uid="{00000000-0005-0000-0000-0000C8160000}"/>
    <cellStyle name="_인원계획표 _순공사비(전체분)_20070504_PAC 회수금삭제_순공사비(전체분)_20070504_PAC 회수금삭제" xfId="5835" xr:uid="{00000000-0005-0000-0000-0000C9160000}"/>
    <cellStyle name="_인원계획표 _순공사비(전체분)_20070504_PAC 회수금삭제_순공사비(전체분)_20070504_PAC 회수금삭제_0.창원반송정수장 오존공정 도입공사(정수설비)-1" xfId="5836" xr:uid="{00000000-0005-0000-0000-0000CA160000}"/>
    <cellStyle name="_인원계획표 _순공사비(전체분)_20070504_PAC 회수금삭제_순공사비(전체분)_20070504_PAC 회수금삭제_사본임-창원반송정수장 오존공정 도입공사(도급)-2" xfId="5837" xr:uid="{00000000-0005-0000-0000-0000CB160000}"/>
    <cellStyle name="_인원계획표 _순공사비(전체분)_20070504_PAC 회수금삭제_순공사비(전체분)_20070504_PAC 회수금삭제_창원반송정수장 오존공정 도입공사(도급)-2" xfId="5838" xr:uid="{00000000-0005-0000-0000-0000CC160000}"/>
    <cellStyle name="_인원계획표 _순공사비(전체분)_20070504_PAC 회수금삭제_창원반송정수장 오존공정 도입공사(도급)-2" xfId="5839" xr:uid="{00000000-0005-0000-0000-0000CD160000}"/>
    <cellStyle name="_인원계획표 _실행내역2001년1월변경" xfId="5840" xr:uid="{00000000-0005-0000-0000-0000CE160000}"/>
    <cellStyle name="_인원계획표 _실행내역2001년1월변경_2003년실행양식" xfId="5841" xr:uid="{00000000-0005-0000-0000-0000CF160000}"/>
    <cellStyle name="_인원계획표 _실행내역2001년1월변경_2003년실행양식_4.추진공(공암)" xfId="5842" xr:uid="{00000000-0005-0000-0000-0000D0160000}"/>
    <cellStyle name="_인원계획표 _실행내역2001년1월변경_2003년실행양식_4.추진공(공암SAMPLE" xfId="5843" xr:uid="{00000000-0005-0000-0000-0000D1160000}"/>
    <cellStyle name="_인원계획표 _실행내역2001년1월변경_2003년실행양식_4.추진공(서산)" xfId="5844" xr:uid="{00000000-0005-0000-0000-0000D2160000}"/>
    <cellStyle name="_인원계획표 _실행내역2001년1월변경_2003년실행양식_4.추진공(읍내)" xfId="5845" xr:uid="{00000000-0005-0000-0000-0000D3160000}"/>
    <cellStyle name="_인원계획표 _실행내역2001년1월변경_2003년실행양식_4.추진공(황간)" xfId="5846" xr:uid="{00000000-0005-0000-0000-0000D4160000}"/>
    <cellStyle name="_인원계획표 _실행내역2001년1월변경_2003년실행양식_영동군추진가시설수량" xfId="5847" xr:uid="{00000000-0005-0000-0000-0000D5160000}"/>
    <cellStyle name="_인원계획표 _실행내역2001년1월변경_2003년실행양식0" xfId="5848" xr:uid="{00000000-0005-0000-0000-0000D6160000}"/>
    <cellStyle name="_인원계획표 _실행내역2001년1월변경_2003년실행양식0_4.추진공(공암)" xfId="5849" xr:uid="{00000000-0005-0000-0000-0000D7160000}"/>
    <cellStyle name="_인원계획표 _실행내역2001년1월변경_2003년실행양식0_4.추진공(공암SAMPLE" xfId="5850" xr:uid="{00000000-0005-0000-0000-0000D8160000}"/>
    <cellStyle name="_인원계획표 _실행내역2001년1월변경_2003년실행양식0_4.추진공(서산)" xfId="5851" xr:uid="{00000000-0005-0000-0000-0000D9160000}"/>
    <cellStyle name="_인원계획표 _실행내역2001년1월변경_2003년실행양식0_4.추진공(읍내)" xfId="5852" xr:uid="{00000000-0005-0000-0000-0000DA160000}"/>
    <cellStyle name="_인원계획표 _실행내역2001년1월변경_2003년실행양식0_4.추진공(황간)" xfId="5853" xr:uid="{00000000-0005-0000-0000-0000DB160000}"/>
    <cellStyle name="_인원계획표 _실행내역2001년1월변경_2003년실행양식0_영동군추진가시설수량" xfId="5854" xr:uid="{00000000-0005-0000-0000-0000DC160000}"/>
    <cellStyle name="_인원계획표 _실행내역2001년1월변경_2003년실행양식-1" xfId="5855" xr:uid="{00000000-0005-0000-0000-0000DD160000}"/>
    <cellStyle name="_인원계획표 _실행내역2001년1월변경_2003년실행양식-1_4.추진공(공암)" xfId="5856" xr:uid="{00000000-0005-0000-0000-0000DE160000}"/>
    <cellStyle name="_인원계획표 _실행내역2001년1월변경_2003년실행양식-1_4.추진공(공암SAMPLE" xfId="5857" xr:uid="{00000000-0005-0000-0000-0000DF160000}"/>
    <cellStyle name="_인원계획표 _실행내역2001년1월변경_2003년실행양식-1_4.추진공(서산)" xfId="5858" xr:uid="{00000000-0005-0000-0000-0000E0160000}"/>
    <cellStyle name="_인원계획표 _실행내역2001년1월변경_2003년실행양식-1_4.추진공(읍내)" xfId="5859" xr:uid="{00000000-0005-0000-0000-0000E1160000}"/>
    <cellStyle name="_인원계획표 _실행내역2001년1월변경_2003년실행양식-1_4.추진공(황간)" xfId="5860" xr:uid="{00000000-0005-0000-0000-0000E2160000}"/>
    <cellStyle name="_인원계획표 _실행내역2001년1월변경_2003년실행양식-1_영동군추진가시설수량" xfId="5861" xr:uid="{00000000-0005-0000-0000-0000E3160000}"/>
    <cellStyle name="_인원계획표 _실행내역2001년1월변경_4.추진공(공암)" xfId="5862" xr:uid="{00000000-0005-0000-0000-0000E4160000}"/>
    <cellStyle name="_인원계획표 _실행내역2001년1월변경_4.추진공(공암SAMPLE" xfId="5863" xr:uid="{00000000-0005-0000-0000-0000E5160000}"/>
    <cellStyle name="_인원계획표 _실행내역2001년1월변경_4.추진공(서산)" xfId="5864" xr:uid="{00000000-0005-0000-0000-0000E6160000}"/>
    <cellStyle name="_인원계획표 _실행내역2001년1월변경_4.추진공(읍내)" xfId="5865" xr:uid="{00000000-0005-0000-0000-0000E7160000}"/>
    <cellStyle name="_인원계획표 _실행내역2001년1월변경_4.추진공(황간)" xfId="5866" xr:uid="{00000000-0005-0000-0000-0000E8160000}"/>
    <cellStyle name="_인원계획표 _실행내역2001년1월변경_영동군추진가시설수량" xfId="5867" xr:uid="{00000000-0005-0000-0000-0000E9160000}"/>
    <cellStyle name="_인원계획표 _영동군추진가시설수량" xfId="5868" xr:uid="{00000000-0005-0000-0000-0000EA160000}"/>
    <cellStyle name="_인원계획표 _용암입찰안내서(보정계수포함)" xfId="5869" xr:uid="{00000000-0005-0000-0000-0000EB160000}"/>
    <cellStyle name="_인원계획표 _원가계산서" xfId="5870" xr:uid="{00000000-0005-0000-0000-0000EC160000}"/>
    <cellStyle name="_인원계획표 _원가계산서,총괄산출내역서-2005" xfId="5871" xr:uid="{00000000-0005-0000-0000-0000ED160000}"/>
    <cellStyle name="_인원계획표 _원가계산서,총괄산출내역서-2005_0.창원반송정수장 오존공정 도입공사(정수설비)-1" xfId="5872" xr:uid="{00000000-0005-0000-0000-0000EE160000}"/>
    <cellStyle name="_인원계획표 _원가계산서,총괄산출내역서-2005_사본임-창원반송정수장 오존공정 도입공사(도급)-2" xfId="5873" xr:uid="{00000000-0005-0000-0000-0000EF160000}"/>
    <cellStyle name="_인원계획표 _원가계산서,총괄산출내역서-2005_순공사비(전체분)_20070504_PAC 회수금삭제" xfId="5874" xr:uid="{00000000-0005-0000-0000-0000F0160000}"/>
    <cellStyle name="_인원계획표 _원가계산서,총괄산출내역서-2005_순공사비(전체분)_20070504_PAC 회수금삭제_0.창원반송정수장 오존공정 도입공사(정수설비)-1" xfId="5875" xr:uid="{00000000-0005-0000-0000-0000F1160000}"/>
    <cellStyle name="_인원계획표 _원가계산서,총괄산출내역서-2005_순공사비(전체분)_20070504_PAC 회수금삭제_사본임-창원반송정수장 오존공정 도입공사(도급)-2" xfId="5876" xr:uid="{00000000-0005-0000-0000-0000F2160000}"/>
    <cellStyle name="_인원계획표 _원가계산서,총괄산출내역서-2005_순공사비(전체분)_20070504_PAC 회수금삭제_순공사비(전체분)_20070504_PAC 회수금삭제" xfId="5877" xr:uid="{00000000-0005-0000-0000-0000F3160000}"/>
    <cellStyle name="_인원계획표 _원가계산서,총괄산출내역서-2005_순공사비(전체분)_20070504_PAC 회수금삭제_순공사비(전체분)_20070504_PAC 회수금삭제_0.창원반송정수장 오존공정 도입공사(정수설비)-1" xfId="5878" xr:uid="{00000000-0005-0000-0000-0000F4160000}"/>
    <cellStyle name="_인원계획표 _원가계산서,총괄산출내역서-2005_순공사비(전체분)_20070504_PAC 회수금삭제_순공사비(전체분)_20070504_PAC 회수금삭제_사본임-창원반송정수장 오존공정 도입공사(도급)-2" xfId="5879" xr:uid="{00000000-0005-0000-0000-0000F5160000}"/>
    <cellStyle name="_인원계획표 _원가계산서,총괄산출내역서-2005_순공사비(전체분)_20070504_PAC 회수금삭제_순공사비(전체분)_20070504_PAC 회수금삭제_창원반송정수장 오존공정 도입공사(도급)-2" xfId="5880" xr:uid="{00000000-0005-0000-0000-0000F6160000}"/>
    <cellStyle name="_인원계획표 _원가계산서,총괄산출내역서-2005_순공사비(전체분)_20070504_PAC 회수금삭제_창원반송정수장 오존공정 도입공사(도급)-2" xfId="5881" xr:uid="{00000000-0005-0000-0000-0000F7160000}"/>
    <cellStyle name="_인원계획표 _원가계산서,총괄산출내역서-2005_창원반송정수장 오존공정 도입공사(도급)-2" xfId="5882" xr:uid="{00000000-0005-0000-0000-0000F8160000}"/>
    <cellStyle name="_인원계획표 _원가계산서_0.창원반송정수장 오존공정 도입공사(정수설비)-1" xfId="5883" xr:uid="{00000000-0005-0000-0000-0000F9160000}"/>
    <cellStyle name="_인원계획표 _원가계산서_사본임-창원반송정수장 오존공정 도입공사(도급)-2" xfId="5884" xr:uid="{00000000-0005-0000-0000-0000FA160000}"/>
    <cellStyle name="_인원계획표 _원가계산서_순공사비(전체분)_20070504_PAC 회수금삭제" xfId="5885" xr:uid="{00000000-0005-0000-0000-0000FB160000}"/>
    <cellStyle name="_인원계획표 _원가계산서_순공사비(전체분)_20070504_PAC 회수금삭제_0.창원반송정수장 오존공정 도입공사(정수설비)-1" xfId="5886" xr:uid="{00000000-0005-0000-0000-0000FC160000}"/>
    <cellStyle name="_인원계획표 _원가계산서_순공사비(전체분)_20070504_PAC 회수금삭제_사본임-창원반송정수장 오존공정 도입공사(도급)-2" xfId="5887" xr:uid="{00000000-0005-0000-0000-0000FD160000}"/>
    <cellStyle name="_인원계획표 _원가계산서_순공사비(전체분)_20070504_PAC 회수금삭제_순공사비(전체분)_20070504_PAC 회수금삭제" xfId="5888" xr:uid="{00000000-0005-0000-0000-0000FE160000}"/>
    <cellStyle name="_인원계획표 _원가계산서_순공사비(전체분)_20070504_PAC 회수금삭제_순공사비(전체분)_20070504_PAC 회수금삭제_0.창원반송정수장 오존공정 도입공사(정수설비)-1" xfId="5889" xr:uid="{00000000-0005-0000-0000-0000FF160000}"/>
    <cellStyle name="_인원계획표 _원가계산서_순공사비(전체분)_20070504_PAC 회수금삭제_순공사비(전체분)_20070504_PAC 회수금삭제_사본임-창원반송정수장 오존공정 도입공사(도급)-2" xfId="5890" xr:uid="{00000000-0005-0000-0000-000000170000}"/>
    <cellStyle name="_인원계획표 _원가계산서_순공사비(전체분)_20070504_PAC 회수금삭제_순공사비(전체분)_20070504_PAC 회수금삭제_창원반송정수장 오존공정 도입공사(도급)-2" xfId="5891" xr:uid="{00000000-0005-0000-0000-000001170000}"/>
    <cellStyle name="_인원계획표 _원가계산서_순공사비(전체분)_20070504_PAC 회수금삭제_창원반송정수장 오존공정 도입공사(도급)-2" xfId="5892" xr:uid="{00000000-0005-0000-0000-000002170000}"/>
    <cellStyle name="_인원계획표 _원가계산서_창원반송정수장 오존공정 도입공사(도급)-2" xfId="5893" xr:uid="{00000000-0005-0000-0000-000003170000}"/>
    <cellStyle name="_인원계획표 _적격 " xfId="5894" xr:uid="{00000000-0005-0000-0000-000004170000}"/>
    <cellStyle name="_인원계획표 _적격 _0.창원반송정수장 오존공정 도입공사(정수설비)-1" xfId="5895" xr:uid="{00000000-0005-0000-0000-000005170000}"/>
    <cellStyle name="_인원계획표 _적격 _2003년실행양식" xfId="5896" xr:uid="{00000000-0005-0000-0000-000006170000}"/>
    <cellStyle name="_인원계획표 _적격 _2003년실행양식_4.추진공(공암)" xfId="5897" xr:uid="{00000000-0005-0000-0000-000007170000}"/>
    <cellStyle name="_인원계획표 _적격 _2003년실행양식_4.추진공(공암SAMPLE" xfId="5898" xr:uid="{00000000-0005-0000-0000-000008170000}"/>
    <cellStyle name="_인원계획표 _적격 _2003년실행양식_4.추진공(서산)" xfId="5899" xr:uid="{00000000-0005-0000-0000-000009170000}"/>
    <cellStyle name="_인원계획표 _적격 _2003년실행양식_4.추진공(읍내)" xfId="5900" xr:uid="{00000000-0005-0000-0000-00000A170000}"/>
    <cellStyle name="_인원계획표 _적격 _2003년실행양식_4.추진공(황간)" xfId="5901" xr:uid="{00000000-0005-0000-0000-00000B170000}"/>
    <cellStyle name="_인원계획표 _적격 _2003년실행양식_영동군추진가시설수량" xfId="5902" xr:uid="{00000000-0005-0000-0000-00000C170000}"/>
    <cellStyle name="_인원계획표 _적격 _2003년실행양식0" xfId="5903" xr:uid="{00000000-0005-0000-0000-00000D170000}"/>
    <cellStyle name="_인원계획표 _적격 _2003년실행양식0_4.추진공(공암)" xfId="5904" xr:uid="{00000000-0005-0000-0000-00000E170000}"/>
    <cellStyle name="_인원계획표 _적격 _2003년실행양식0_4.추진공(공암SAMPLE" xfId="5905" xr:uid="{00000000-0005-0000-0000-00000F170000}"/>
    <cellStyle name="_인원계획표 _적격 _2003년실행양식0_4.추진공(서산)" xfId="5906" xr:uid="{00000000-0005-0000-0000-000010170000}"/>
    <cellStyle name="_인원계획표 _적격 _2003년실행양식0_4.추진공(읍내)" xfId="5907" xr:uid="{00000000-0005-0000-0000-000011170000}"/>
    <cellStyle name="_인원계획표 _적격 _2003년실행양식0_4.추진공(황간)" xfId="5908" xr:uid="{00000000-0005-0000-0000-000012170000}"/>
    <cellStyle name="_인원계획표 _적격 _2003년실행양식0_영동군추진가시설수량" xfId="5909" xr:uid="{00000000-0005-0000-0000-000013170000}"/>
    <cellStyle name="_인원계획표 _적격 _2003년실행양식-1" xfId="5910" xr:uid="{00000000-0005-0000-0000-000014170000}"/>
    <cellStyle name="_인원계획표 _적격 _2003년실행양식-1_4.추진공(공암)" xfId="5911" xr:uid="{00000000-0005-0000-0000-000015170000}"/>
    <cellStyle name="_인원계획표 _적격 _2003년실행양식-1_4.추진공(공암SAMPLE" xfId="5912" xr:uid="{00000000-0005-0000-0000-000016170000}"/>
    <cellStyle name="_인원계획표 _적격 _2003년실행양식-1_4.추진공(서산)" xfId="5913" xr:uid="{00000000-0005-0000-0000-000017170000}"/>
    <cellStyle name="_인원계획표 _적격 _2003년실행양식-1_4.추진공(읍내)" xfId="5914" xr:uid="{00000000-0005-0000-0000-000018170000}"/>
    <cellStyle name="_인원계획표 _적격 _2003년실행양식-1_4.추진공(황간)" xfId="5915" xr:uid="{00000000-0005-0000-0000-000019170000}"/>
    <cellStyle name="_인원계획표 _적격 _2003년실행양식-1_영동군추진가시설수량" xfId="5916" xr:uid="{00000000-0005-0000-0000-00001A170000}"/>
    <cellStyle name="_인원계획표 _적격 _4.추진공(공암)" xfId="5917" xr:uid="{00000000-0005-0000-0000-00001B170000}"/>
    <cellStyle name="_인원계획표 _적격 _4.추진공(공암SAMPLE" xfId="5918" xr:uid="{00000000-0005-0000-0000-00001C170000}"/>
    <cellStyle name="_인원계획표 _적격 _4.추진공(서산)" xfId="5919" xr:uid="{00000000-0005-0000-0000-00001D170000}"/>
    <cellStyle name="_인원계획표 _적격 _4.추진공(읍내)" xfId="5920" xr:uid="{00000000-0005-0000-0000-00001E170000}"/>
    <cellStyle name="_인원계획표 _적격 _4.추진공(황간)" xfId="5921" xr:uid="{00000000-0005-0000-0000-00001F170000}"/>
    <cellStyle name="_인원계획표 _적격 _대구도시철도3호선실시설계내역서(070206)" xfId="5922" xr:uid="{00000000-0005-0000-0000-000020170000}"/>
    <cellStyle name="_인원계획표 _적격 _대구도시철도3호선실시설계내역서(070207)" xfId="5923" xr:uid="{00000000-0005-0000-0000-000021170000}"/>
    <cellStyle name="_인원계획표 _적격 _사본임-창원반송정수장 오존공정 도입공사(도급)-2" xfId="5924" xr:uid="{00000000-0005-0000-0000-000022170000}"/>
    <cellStyle name="_인원계획표 _적격 _산출내역(전기11.21)" xfId="5925" xr:uid="{00000000-0005-0000-0000-000023170000}"/>
    <cellStyle name="_인원계획표 _적격 _산출내역(전기11.21)_0.창원반송정수장 오존공정 도입공사(정수설비)-1" xfId="5926" xr:uid="{00000000-0005-0000-0000-000024170000}"/>
    <cellStyle name="_인원계획표 _적격 _산출내역(전기11.21)_사본임-창원반송정수장 오존공정 도입공사(도급)-2" xfId="5927" xr:uid="{00000000-0005-0000-0000-000025170000}"/>
    <cellStyle name="_인원계획표 _적격 _산출내역(전기11.21)_순공사비(전체분)_20070504_PAC 회수금삭제" xfId="5928" xr:uid="{00000000-0005-0000-0000-000026170000}"/>
    <cellStyle name="_인원계획표 _적격 _산출내역(전기11.21)_순공사비(전체분)_20070504_PAC 회수금삭제_0.창원반송정수장 오존공정 도입공사(정수설비)-1" xfId="5929" xr:uid="{00000000-0005-0000-0000-000027170000}"/>
    <cellStyle name="_인원계획표 _적격 _산출내역(전기11.21)_순공사비(전체분)_20070504_PAC 회수금삭제_사본임-창원반송정수장 오존공정 도입공사(도급)-2" xfId="5930" xr:uid="{00000000-0005-0000-0000-000028170000}"/>
    <cellStyle name="_인원계획표 _적격 _산출내역(전기11.21)_순공사비(전체분)_20070504_PAC 회수금삭제_순공사비(전체분)_20070504_PAC 회수금삭제" xfId="5931" xr:uid="{00000000-0005-0000-0000-000029170000}"/>
    <cellStyle name="_인원계획표 _적격 _산출내역(전기11.21)_순공사비(전체분)_20070504_PAC 회수금삭제_순공사비(전체분)_20070504_PAC 회수금삭제_0.창원반송정수장 오존공정 도입공사(정수설비)-1" xfId="5932" xr:uid="{00000000-0005-0000-0000-00002A170000}"/>
    <cellStyle name="_인원계획표 _적격 _산출내역(전기11.21)_순공사비(전체분)_20070504_PAC 회수금삭제_순공사비(전체분)_20070504_PAC 회수금삭제_사본임-창원반송정수장 오존공정 도입공사(도급)-2" xfId="5933" xr:uid="{00000000-0005-0000-0000-00002B170000}"/>
    <cellStyle name="_인원계획표 _적격 _산출내역(전기11.21)_순공사비(전체분)_20070504_PAC 회수금삭제_순공사비(전체분)_20070504_PAC 회수금삭제_창원반송정수장 오존공정 도입공사(도급)-2" xfId="5934" xr:uid="{00000000-0005-0000-0000-00002C170000}"/>
    <cellStyle name="_인원계획표 _적격 _산출내역(전기11.21)_순공사비(전체분)_20070504_PAC 회수금삭제_창원반송정수장 오존공정 도입공사(도급)-2" xfId="5935" xr:uid="{00000000-0005-0000-0000-00002D170000}"/>
    <cellStyle name="_인원계획표 _적격 _산출내역(전기11.21)_창원반송정수장 오존공정 도입공사(도급)-2" xfId="5936" xr:uid="{00000000-0005-0000-0000-00002E170000}"/>
    <cellStyle name="_인원계획표 _적격 _산출내역(전기11.21)_총괄집계및영구설비내역12.22" xfId="5937" xr:uid="{00000000-0005-0000-0000-00002F170000}"/>
    <cellStyle name="_인원계획표 _적격 _산출내역(전기11.21)_총괄집계및영구설비내역12.22_0.창원반송정수장 오존공정 도입공사(정수설비)-1" xfId="5938" xr:uid="{00000000-0005-0000-0000-000030170000}"/>
    <cellStyle name="_인원계획표 _적격 _산출내역(전기11.21)_총괄집계및영구설비내역12.22_사본임-창원반송정수장 오존공정 도입공사(도급)-2" xfId="5939" xr:uid="{00000000-0005-0000-0000-000031170000}"/>
    <cellStyle name="_인원계획표 _적격 _산출내역(전기11.21)_총괄집계및영구설비내역12.22_순공사비(전체분)_20070504_PAC 회수금삭제" xfId="5940" xr:uid="{00000000-0005-0000-0000-000032170000}"/>
    <cellStyle name="_인원계획표 _적격 _산출내역(전기11.21)_총괄집계및영구설비내역12.22_순공사비(전체분)_20070504_PAC 회수금삭제_0.창원반송정수장 오존공정 도입공사(정수설비)-1" xfId="5941" xr:uid="{00000000-0005-0000-0000-000033170000}"/>
    <cellStyle name="_인원계획표 _적격 _산출내역(전기11.21)_총괄집계및영구설비내역12.22_순공사비(전체분)_20070504_PAC 회수금삭제_사본임-창원반송정수장 오존공정 도입공사(도급)-2" xfId="5942" xr:uid="{00000000-0005-0000-0000-000034170000}"/>
    <cellStyle name="_인원계획표 _적격 _산출내역(전기11.21)_총괄집계및영구설비내역12.22_순공사비(전체분)_20070504_PAC 회수금삭제_순공사비(전체분)_20070504_PAC 회수금삭제" xfId="5943" xr:uid="{00000000-0005-0000-0000-000035170000}"/>
    <cellStyle name="_인원계획표 _적격 _산출내역(전기11.21)_총괄집계및영구설비내역12.22_순공사비(전체분)_20070504_PAC 회수금삭제_순공사비(전체분)_20070504_PAC 회수금삭제_0.창원반송정수장 오존공정 도입공사(정수설비)-1" xfId="5944" xr:uid="{00000000-0005-0000-0000-000036170000}"/>
    <cellStyle name="_인원계획표 _적격 _산출내역(전기11.21)_총괄집계및영구설비내역12.22_순공사비(전체분)_20070504_PAC 회수금삭제_순공사비(전체분)_20070504_PAC 회수금삭제_사본임-창원반송정수장 오존공정 도입공사(도급)-2" xfId="5945" xr:uid="{00000000-0005-0000-0000-000037170000}"/>
    <cellStyle name="_인원계획표 _적격 _산출내역(전기11.21)_총괄집계및영구설비내역12.22_순공사비(전체분)_20070504_PAC 회수금삭제_순공사비(전체분)_20070504_PAC 회수금삭제_창원반송정수장 오존공정 도입공사(도급)-2" xfId="5946" xr:uid="{00000000-0005-0000-0000-000038170000}"/>
    <cellStyle name="_인원계획표 _적격 _산출내역(전기11.21)_총괄집계및영구설비내역12.22_순공사비(전체분)_20070504_PAC 회수금삭제_창원반송정수장 오존공정 도입공사(도급)-2" xfId="5947" xr:uid="{00000000-0005-0000-0000-000039170000}"/>
    <cellStyle name="_인원계획표 _적격 _산출내역(전기11.21)_총괄집계및영구설비내역12.22_창원반송정수장 오존공정 도입공사(도급)-2" xfId="5948" xr:uid="{00000000-0005-0000-0000-00003A170000}"/>
    <cellStyle name="_인원계획표 _적격 _산출내역서(양식검토)" xfId="5949" xr:uid="{00000000-0005-0000-0000-00003B170000}"/>
    <cellStyle name="_인원계획표 _적격 _산출내역서(양식검토)_0.창원반송정수장 오존공정 도입공사(정수설비)-1" xfId="5950" xr:uid="{00000000-0005-0000-0000-00003C170000}"/>
    <cellStyle name="_인원계획표 _적격 _산출내역서(양식검토)_사본임-창원반송정수장 오존공정 도입공사(도급)-2" xfId="5951" xr:uid="{00000000-0005-0000-0000-00003D170000}"/>
    <cellStyle name="_인원계획표 _적격 _산출내역서(양식검토)_순공사비(전체분)_20070504_PAC 회수금삭제" xfId="5952" xr:uid="{00000000-0005-0000-0000-00003E170000}"/>
    <cellStyle name="_인원계획표 _적격 _산출내역서(양식검토)_순공사비(전체분)_20070504_PAC 회수금삭제_0.창원반송정수장 오존공정 도입공사(정수설비)-1" xfId="5953" xr:uid="{00000000-0005-0000-0000-00003F170000}"/>
    <cellStyle name="_인원계획표 _적격 _산출내역서(양식검토)_순공사비(전체분)_20070504_PAC 회수금삭제_사본임-창원반송정수장 오존공정 도입공사(도급)-2" xfId="5954" xr:uid="{00000000-0005-0000-0000-000040170000}"/>
    <cellStyle name="_인원계획표 _적격 _산출내역서(양식검토)_순공사비(전체분)_20070504_PAC 회수금삭제_순공사비(전체분)_20070504_PAC 회수금삭제" xfId="5955" xr:uid="{00000000-0005-0000-0000-000041170000}"/>
    <cellStyle name="_인원계획표 _적격 _산출내역서(양식검토)_순공사비(전체분)_20070504_PAC 회수금삭제_순공사비(전체분)_20070504_PAC 회수금삭제_0.창원반송정수장 오존공정 도입공사(정수설비)-1" xfId="5956" xr:uid="{00000000-0005-0000-0000-000042170000}"/>
    <cellStyle name="_인원계획표 _적격 _산출내역서(양식검토)_순공사비(전체분)_20070504_PAC 회수금삭제_순공사비(전체분)_20070504_PAC 회수금삭제_사본임-창원반송정수장 오존공정 도입공사(도급)-2" xfId="5957" xr:uid="{00000000-0005-0000-0000-000043170000}"/>
    <cellStyle name="_인원계획표 _적격 _산출내역서(양식검토)_순공사비(전체분)_20070504_PAC 회수금삭제_순공사비(전체분)_20070504_PAC 회수금삭제_창원반송정수장 오존공정 도입공사(도급)-2" xfId="5958" xr:uid="{00000000-0005-0000-0000-000044170000}"/>
    <cellStyle name="_인원계획표 _적격 _산출내역서(양식검토)_순공사비(전체분)_20070504_PAC 회수금삭제_창원반송정수장 오존공정 도입공사(도급)-2" xfId="5959" xr:uid="{00000000-0005-0000-0000-000045170000}"/>
    <cellStyle name="_인원계획표 _적격 _산출내역서(양식검토)_창원반송정수장 오존공정 도입공사(도급)-2" xfId="5960" xr:uid="{00000000-0005-0000-0000-000046170000}"/>
    <cellStyle name="_인원계획표 _적격 _순공사비(전체분)_20070504_PAC 회수금삭제" xfId="5961" xr:uid="{00000000-0005-0000-0000-000047170000}"/>
    <cellStyle name="_인원계획표 _적격 _순공사비(전체분)_20070504_PAC 회수금삭제_0.창원반송정수장 오존공정 도입공사(정수설비)-1" xfId="5962" xr:uid="{00000000-0005-0000-0000-000048170000}"/>
    <cellStyle name="_인원계획표 _적격 _순공사비(전체분)_20070504_PAC 회수금삭제_사본임-창원반송정수장 오존공정 도입공사(도급)-2" xfId="5963" xr:uid="{00000000-0005-0000-0000-000049170000}"/>
    <cellStyle name="_인원계획표 _적격 _순공사비(전체분)_20070504_PAC 회수금삭제_순공사비(전체분)_20070504_PAC 회수금삭제" xfId="5964" xr:uid="{00000000-0005-0000-0000-00004A170000}"/>
    <cellStyle name="_인원계획표 _적격 _순공사비(전체분)_20070504_PAC 회수금삭제_순공사비(전체분)_20070504_PAC 회수금삭제_0.창원반송정수장 오존공정 도입공사(정수설비)-1" xfId="5965" xr:uid="{00000000-0005-0000-0000-00004B170000}"/>
    <cellStyle name="_인원계획표 _적격 _순공사비(전체분)_20070504_PAC 회수금삭제_순공사비(전체분)_20070504_PAC 회수금삭제_사본임-창원반송정수장 오존공정 도입공사(도급)-2" xfId="5966" xr:uid="{00000000-0005-0000-0000-00004C170000}"/>
    <cellStyle name="_인원계획표 _적격 _순공사비(전체분)_20070504_PAC 회수금삭제_순공사비(전체분)_20070504_PAC 회수금삭제_창원반송정수장 오존공정 도입공사(도급)-2" xfId="5967" xr:uid="{00000000-0005-0000-0000-00004D170000}"/>
    <cellStyle name="_인원계획표 _적격 _순공사비(전체분)_20070504_PAC 회수금삭제_창원반송정수장 오존공정 도입공사(도급)-2" xfId="5968" xr:uid="{00000000-0005-0000-0000-00004E170000}"/>
    <cellStyle name="_인원계획표 _적격 _실행내역2001년1월변경" xfId="5969" xr:uid="{00000000-0005-0000-0000-00004F170000}"/>
    <cellStyle name="_인원계획표 _적격 _실행내역2001년1월변경_2003년실행양식" xfId="5970" xr:uid="{00000000-0005-0000-0000-000050170000}"/>
    <cellStyle name="_인원계획표 _적격 _실행내역2001년1월변경_2003년실행양식_4.추진공(공암)" xfId="5971" xr:uid="{00000000-0005-0000-0000-000051170000}"/>
    <cellStyle name="_인원계획표 _적격 _실행내역2001년1월변경_2003년실행양식_4.추진공(공암SAMPLE" xfId="5972" xr:uid="{00000000-0005-0000-0000-000052170000}"/>
    <cellStyle name="_인원계획표 _적격 _실행내역2001년1월변경_2003년실행양식_4.추진공(서산)" xfId="5973" xr:uid="{00000000-0005-0000-0000-000053170000}"/>
    <cellStyle name="_인원계획표 _적격 _실행내역2001년1월변경_2003년실행양식_4.추진공(읍내)" xfId="5974" xr:uid="{00000000-0005-0000-0000-000054170000}"/>
    <cellStyle name="_인원계획표 _적격 _실행내역2001년1월변경_2003년실행양식_4.추진공(황간)" xfId="5975" xr:uid="{00000000-0005-0000-0000-000055170000}"/>
    <cellStyle name="_인원계획표 _적격 _실행내역2001년1월변경_2003년실행양식_영동군추진가시설수량" xfId="5976" xr:uid="{00000000-0005-0000-0000-000056170000}"/>
    <cellStyle name="_인원계획표 _적격 _실행내역2001년1월변경_2003년실행양식0" xfId="5977" xr:uid="{00000000-0005-0000-0000-000057170000}"/>
    <cellStyle name="_인원계획표 _적격 _실행내역2001년1월변경_2003년실행양식0_4.추진공(공암)" xfId="5978" xr:uid="{00000000-0005-0000-0000-000058170000}"/>
    <cellStyle name="_인원계획표 _적격 _실행내역2001년1월변경_2003년실행양식0_4.추진공(공암SAMPLE" xfId="5979" xr:uid="{00000000-0005-0000-0000-000059170000}"/>
    <cellStyle name="_인원계획표 _적격 _실행내역2001년1월변경_2003년실행양식0_4.추진공(서산)" xfId="5980" xr:uid="{00000000-0005-0000-0000-00005A170000}"/>
    <cellStyle name="_인원계획표 _적격 _실행내역2001년1월변경_2003년실행양식0_4.추진공(읍내)" xfId="5981" xr:uid="{00000000-0005-0000-0000-00005B170000}"/>
    <cellStyle name="_인원계획표 _적격 _실행내역2001년1월변경_2003년실행양식0_4.추진공(황간)" xfId="5982" xr:uid="{00000000-0005-0000-0000-00005C170000}"/>
    <cellStyle name="_인원계획표 _적격 _실행내역2001년1월변경_2003년실행양식0_영동군추진가시설수량" xfId="5983" xr:uid="{00000000-0005-0000-0000-00005D170000}"/>
    <cellStyle name="_인원계획표 _적격 _실행내역2001년1월변경_2003년실행양식-1" xfId="5984" xr:uid="{00000000-0005-0000-0000-00005E170000}"/>
    <cellStyle name="_인원계획표 _적격 _실행내역2001년1월변경_2003년실행양식-1_4.추진공(공암)" xfId="5985" xr:uid="{00000000-0005-0000-0000-00005F170000}"/>
    <cellStyle name="_인원계획표 _적격 _실행내역2001년1월변경_2003년실행양식-1_4.추진공(공암SAMPLE" xfId="5986" xr:uid="{00000000-0005-0000-0000-000060170000}"/>
    <cellStyle name="_인원계획표 _적격 _실행내역2001년1월변경_2003년실행양식-1_4.추진공(서산)" xfId="5987" xr:uid="{00000000-0005-0000-0000-000061170000}"/>
    <cellStyle name="_인원계획표 _적격 _실행내역2001년1월변경_2003년실행양식-1_4.추진공(읍내)" xfId="5988" xr:uid="{00000000-0005-0000-0000-000062170000}"/>
    <cellStyle name="_인원계획표 _적격 _실행내역2001년1월변경_2003년실행양식-1_4.추진공(황간)" xfId="5989" xr:uid="{00000000-0005-0000-0000-000063170000}"/>
    <cellStyle name="_인원계획표 _적격 _실행내역2001년1월변경_2003년실행양식-1_영동군추진가시설수량" xfId="5990" xr:uid="{00000000-0005-0000-0000-000064170000}"/>
    <cellStyle name="_인원계획표 _적격 _실행내역2001년1월변경_4.추진공(공암)" xfId="5991" xr:uid="{00000000-0005-0000-0000-000065170000}"/>
    <cellStyle name="_인원계획표 _적격 _실행내역2001년1월변경_4.추진공(공암SAMPLE" xfId="5992" xr:uid="{00000000-0005-0000-0000-000066170000}"/>
    <cellStyle name="_인원계획표 _적격 _실행내역2001년1월변경_4.추진공(서산)" xfId="5993" xr:uid="{00000000-0005-0000-0000-000067170000}"/>
    <cellStyle name="_인원계획표 _적격 _실행내역2001년1월변경_4.추진공(읍내)" xfId="5994" xr:uid="{00000000-0005-0000-0000-000068170000}"/>
    <cellStyle name="_인원계획표 _적격 _실행내역2001년1월변경_4.추진공(황간)" xfId="5995" xr:uid="{00000000-0005-0000-0000-000069170000}"/>
    <cellStyle name="_인원계획표 _적격 _실행내역2001년1월변경_영동군추진가시설수량" xfId="5996" xr:uid="{00000000-0005-0000-0000-00006A170000}"/>
    <cellStyle name="_인원계획표 _적격 _영동군추진가시설수량" xfId="5997" xr:uid="{00000000-0005-0000-0000-00006B170000}"/>
    <cellStyle name="_인원계획표 _적격 _원가계산서" xfId="5998" xr:uid="{00000000-0005-0000-0000-00006C170000}"/>
    <cellStyle name="_인원계획표 _적격 _원가계산서,총괄산출내역서-2005" xfId="5999" xr:uid="{00000000-0005-0000-0000-00006D170000}"/>
    <cellStyle name="_인원계획표 _적격 _원가계산서,총괄산출내역서-2005_0.창원반송정수장 오존공정 도입공사(정수설비)-1" xfId="6000" xr:uid="{00000000-0005-0000-0000-00006E170000}"/>
    <cellStyle name="_인원계획표 _적격 _원가계산서,총괄산출내역서-2005_사본임-창원반송정수장 오존공정 도입공사(도급)-2" xfId="6001" xr:uid="{00000000-0005-0000-0000-00006F170000}"/>
    <cellStyle name="_인원계획표 _적격 _원가계산서,총괄산출내역서-2005_순공사비(전체분)_20070504_PAC 회수금삭제" xfId="6002" xr:uid="{00000000-0005-0000-0000-000070170000}"/>
    <cellStyle name="_인원계획표 _적격 _원가계산서,총괄산출내역서-2005_순공사비(전체분)_20070504_PAC 회수금삭제_0.창원반송정수장 오존공정 도입공사(정수설비)-1" xfId="6003" xr:uid="{00000000-0005-0000-0000-000071170000}"/>
    <cellStyle name="_인원계획표 _적격 _원가계산서,총괄산출내역서-2005_순공사비(전체분)_20070504_PAC 회수금삭제_사본임-창원반송정수장 오존공정 도입공사(도급)-2" xfId="6004" xr:uid="{00000000-0005-0000-0000-000072170000}"/>
    <cellStyle name="_인원계획표 _적격 _원가계산서,총괄산출내역서-2005_순공사비(전체분)_20070504_PAC 회수금삭제_순공사비(전체분)_20070504_PAC 회수금삭제" xfId="6005" xr:uid="{00000000-0005-0000-0000-000073170000}"/>
    <cellStyle name="_인원계획표 _적격 _원가계산서,총괄산출내역서-2005_순공사비(전체분)_20070504_PAC 회수금삭제_순공사비(전체분)_20070504_PAC 회수금삭제_0.창원반송정수장 오존공정 도입공사(정수설비)-1" xfId="6006" xr:uid="{00000000-0005-0000-0000-000074170000}"/>
    <cellStyle name="_인원계획표 _적격 _원가계산서,총괄산출내역서-2005_순공사비(전체분)_20070504_PAC 회수금삭제_순공사비(전체분)_20070504_PAC 회수금삭제_사본임-창원반송정수장 오존공정 도입공사(도급)-2" xfId="6007" xr:uid="{00000000-0005-0000-0000-000075170000}"/>
    <cellStyle name="_인원계획표 _적격 _원가계산서,총괄산출내역서-2005_순공사비(전체분)_20070504_PAC 회수금삭제_순공사비(전체분)_20070504_PAC 회수금삭제_창원반송정수장 오존공정 도입공사(도급)-2" xfId="6008" xr:uid="{00000000-0005-0000-0000-000076170000}"/>
    <cellStyle name="_인원계획표 _적격 _원가계산서,총괄산출내역서-2005_순공사비(전체분)_20070504_PAC 회수금삭제_창원반송정수장 오존공정 도입공사(도급)-2" xfId="6009" xr:uid="{00000000-0005-0000-0000-000077170000}"/>
    <cellStyle name="_인원계획표 _적격 _원가계산서,총괄산출내역서-2005_창원반송정수장 오존공정 도입공사(도급)-2" xfId="6010" xr:uid="{00000000-0005-0000-0000-000078170000}"/>
    <cellStyle name="_인원계획표 _적격 _원가계산서_0.창원반송정수장 오존공정 도입공사(정수설비)-1" xfId="6011" xr:uid="{00000000-0005-0000-0000-000079170000}"/>
    <cellStyle name="_인원계획표 _적격 _원가계산서_사본임-창원반송정수장 오존공정 도입공사(도급)-2" xfId="6012" xr:uid="{00000000-0005-0000-0000-00007A170000}"/>
    <cellStyle name="_인원계획표 _적격 _원가계산서_순공사비(전체분)_20070504_PAC 회수금삭제" xfId="6013" xr:uid="{00000000-0005-0000-0000-00007B170000}"/>
    <cellStyle name="_인원계획표 _적격 _원가계산서_순공사비(전체분)_20070504_PAC 회수금삭제_0.창원반송정수장 오존공정 도입공사(정수설비)-1" xfId="6014" xr:uid="{00000000-0005-0000-0000-00007C170000}"/>
    <cellStyle name="_인원계획표 _적격 _원가계산서_순공사비(전체분)_20070504_PAC 회수금삭제_사본임-창원반송정수장 오존공정 도입공사(도급)-2" xfId="6015" xr:uid="{00000000-0005-0000-0000-00007D170000}"/>
    <cellStyle name="_인원계획표 _적격 _원가계산서_순공사비(전체분)_20070504_PAC 회수금삭제_순공사비(전체분)_20070504_PAC 회수금삭제" xfId="6016" xr:uid="{00000000-0005-0000-0000-00007E170000}"/>
    <cellStyle name="_인원계획표 _적격 _원가계산서_순공사비(전체분)_20070504_PAC 회수금삭제_순공사비(전체분)_20070504_PAC 회수금삭제_0.창원반송정수장 오존공정 도입공사(정수설비)-1" xfId="6017" xr:uid="{00000000-0005-0000-0000-00007F170000}"/>
    <cellStyle name="_인원계획표 _적격 _원가계산서_순공사비(전체분)_20070504_PAC 회수금삭제_순공사비(전체분)_20070504_PAC 회수금삭제_사본임-창원반송정수장 오존공정 도입공사(도급)-2" xfId="6018" xr:uid="{00000000-0005-0000-0000-000080170000}"/>
    <cellStyle name="_인원계획표 _적격 _원가계산서_순공사비(전체분)_20070504_PAC 회수금삭제_순공사비(전체분)_20070504_PAC 회수금삭제_창원반송정수장 오존공정 도입공사(도급)-2" xfId="6019" xr:uid="{00000000-0005-0000-0000-000081170000}"/>
    <cellStyle name="_인원계획표 _적격 _원가계산서_순공사비(전체분)_20070504_PAC 회수금삭제_창원반송정수장 오존공정 도입공사(도급)-2" xfId="6020" xr:uid="{00000000-0005-0000-0000-000082170000}"/>
    <cellStyle name="_인원계획표 _적격 _원가계산서_창원반송정수장 오존공정 도입공사(도급)-2" xfId="6021" xr:uid="{00000000-0005-0000-0000-000083170000}"/>
    <cellStyle name="_인원계획표 _적격 _창원반송정수장 오존공정 도입공사(도급)-2" xfId="6022" xr:uid="{00000000-0005-0000-0000-000084170000}"/>
    <cellStyle name="_인원계획표 _적격 _총괄집계및영구설비내역12.22" xfId="6023" xr:uid="{00000000-0005-0000-0000-000085170000}"/>
    <cellStyle name="_인원계획표 _적격 _총괄집계및영구설비내역12.22_0.창원반송정수장 오존공정 도입공사(정수설비)-1" xfId="6024" xr:uid="{00000000-0005-0000-0000-000086170000}"/>
    <cellStyle name="_인원계획표 _적격 _총괄집계및영구설비내역12.22_사본임-창원반송정수장 오존공정 도입공사(도급)-2" xfId="6025" xr:uid="{00000000-0005-0000-0000-000087170000}"/>
    <cellStyle name="_인원계획표 _적격 _총괄집계및영구설비내역12.22_순공사비(전체분)_20070504_PAC 회수금삭제" xfId="6026" xr:uid="{00000000-0005-0000-0000-000088170000}"/>
    <cellStyle name="_인원계획표 _적격 _총괄집계및영구설비내역12.22_순공사비(전체분)_20070504_PAC 회수금삭제_0.창원반송정수장 오존공정 도입공사(정수설비)-1" xfId="6027" xr:uid="{00000000-0005-0000-0000-000089170000}"/>
    <cellStyle name="_인원계획표 _적격 _총괄집계및영구설비내역12.22_순공사비(전체분)_20070504_PAC 회수금삭제_사본임-창원반송정수장 오존공정 도입공사(도급)-2" xfId="6028" xr:uid="{00000000-0005-0000-0000-00008A170000}"/>
    <cellStyle name="_인원계획표 _적격 _총괄집계및영구설비내역12.22_순공사비(전체분)_20070504_PAC 회수금삭제_순공사비(전체분)_20070504_PAC 회수금삭제" xfId="6029" xr:uid="{00000000-0005-0000-0000-00008B170000}"/>
    <cellStyle name="_인원계획표 _적격 _총괄집계및영구설비내역12.22_순공사비(전체분)_20070504_PAC 회수금삭제_순공사비(전체분)_20070504_PAC 회수금삭제_0.창원반송정수장 오존공정 도입공사(정수설비)-1" xfId="6030" xr:uid="{00000000-0005-0000-0000-00008C170000}"/>
    <cellStyle name="_인원계획표 _적격 _총괄집계및영구설비내역12.22_순공사비(전체분)_20070504_PAC 회수금삭제_순공사비(전체분)_20070504_PAC 회수금삭제_사본임-창원반송정수장 오존공정 도입공사(도급)-2" xfId="6031" xr:uid="{00000000-0005-0000-0000-00008D170000}"/>
    <cellStyle name="_인원계획표 _적격 _총괄집계및영구설비내역12.22_순공사비(전체분)_20070504_PAC 회수금삭제_순공사비(전체분)_20070504_PAC 회수금삭제_창원반송정수장 오존공정 도입공사(도급)-2" xfId="6032" xr:uid="{00000000-0005-0000-0000-00008E170000}"/>
    <cellStyle name="_인원계획표 _적격 _총괄집계및영구설비내역12.22_순공사비(전체분)_20070504_PAC 회수금삭제_창원반송정수장 오존공정 도입공사(도급)-2" xfId="6033" xr:uid="{00000000-0005-0000-0000-00008F170000}"/>
    <cellStyle name="_인원계획표 _적격 _총괄집계및영구설비내역12.22_창원반송정수장 오존공정 도입공사(도급)-2" xfId="6034" xr:uid="{00000000-0005-0000-0000-000090170000}"/>
    <cellStyle name="_인원계획표 _적격 _총괄집계및영구설비내역12.22_총괄집계및영구설비내역12.22" xfId="6035" xr:uid="{00000000-0005-0000-0000-000091170000}"/>
    <cellStyle name="_인원계획표 _적격 _총괄집계및영구설비내역12.22_총괄집계및영구설비내역12.22_0.창원반송정수장 오존공정 도입공사(정수설비)-1" xfId="6036" xr:uid="{00000000-0005-0000-0000-000092170000}"/>
    <cellStyle name="_인원계획표 _적격 _총괄집계및영구설비내역12.22_총괄집계및영구설비내역12.22_사본임-창원반송정수장 오존공정 도입공사(도급)-2" xfId="6037" xr:uid="{00000000-0005-0000-0000-000093170000}"/>
    <cellStyle name="_인원계획표 _적격 _총괄집계및영구설비내역12.22_총괄집계및영구설비내역12.22_순공사비(전체분)_20070504_PAC 회수금삭제" xfId="6038" xr:uid="{00000000-0005-0000-0000-000094170000}"/>
    <cellStyle name="_인원계획표 _적격 _총괄집계및영구설비내역12.22_총괄집계및영구설비내역12.22_순공사비(전체분)_20070504_PAC 회수금삭제_0.창원반송정수장 오존공정 도입공사(정수설비)-1" xfId="6039" xr:uid="{00000000-0005-0000-0000-000095170000}"/>
    <cellStyle name="_인원계획표 _적격 _총괄집계및영구설비내역12.22_총괄집계및영구설비내역12.22_순공사비(전체분)_20070504_PAC 회수금삭제_사본임-창원반송정수장 오존공정 도입공사(도급)-2" xfId="6040" xr:uid="{00000000-0005-0000-0000-000096170000}"/>
    <cellStyle name="_인원계획표 _적격 _총괄집계및영구설비내역12.22_총괄집계및영구설비내역12.22_순공사비(전체분)_20070504_PAC 회수금삭제_순공사비(전체분)_20070504_PAC 회수금삭제" xfId="6041" xr:uid="{00000000-0005-0000-0000-000097170000}"/>
    <cellStyle name="_인원계획표 _적격 _총괄집계및영구설비내역12.22_총괄집계및영구설비내역12.22_순공사비(전체분)_20070504_PAC 회수금삭제_순공사비(전체분)_20070504_PAC 회수금삭제_0.창원반송정수장 오존공정 도입공사(정수설비)-1" xfId="6042" xr:uid="{00000000-0005-0000-0000-000098170000}"/>
    <cellStyle name="_인원계획표 _적격 _총괄집계및영구설비내역12.22_총괄집계및영구설비내역12.22_순공사비(전체분)_20070504_PAC 회수금삭제_순공사비(전체분)_20070504_PAC 회수금삭제_사본임-창원반송정수장 오존공정 도입공사(도급)-2" xfId="6043" xr:uid="{00000000-0005-0000-0000-000099170000}"/>
    <cellStyle name="_인원계획표 _적격 _총괄집계및영구설비내역12.22_총괄집계및영구설비내역12.22_순공사비(전체분)_20070504_PAC 회수금삭제_순공사비(전체분)_20070504_PAC 회수금삭제_창원반송정수장 오존공정 도입공사(도급)-2" xfId="6044" xr:uid="{00000000-0005-0000-0000-00009A170000}"/>
    <cellStyle name="_인원계획표 _적격 _총괄집계및영구설비내역12.22_총괄집계및영구설비내역12.22_순공사비(전체분)_20070504_PAC 회수금삭제_창원반송정수장 오존공정 도입공사(도급)-2" xfId="6045" xr:uid="{00000000-0005-0000-0000-00009B170000}"/>
    <cellStyle name="_인원계획표 _적격 _총괄집계및영구설비내역12.22_총괄집계및영구설비내역12.22_창원반송정수장 오존공정 도입공사(도급)-2" xfId="6046" xr:uid="{00000000-0005-0000-0000-00009C170000}"/>
    <cellStyle name="_인원계획표 _적격 _투찰서(시화)" xfId="6047" xr:uid="{00000000-0005-0000-0000-00009D170000}"/>
    <cellStyle name="_인원계획표 _적격 _투찰서(시화)_0.창원반송정수장 오존공정 도입공사(정수설비)-1" xfId="6048" xr:uid="{00000000-0005-0000-0000-00009E170000}"/>
    <cellStyle name="_인원계획표 _적격 _투찰서(시화)_사본임-창원반송정수장 오존공정 도입공사(도급)-2" xfId="6049" xr:uid="{00000000-0005-0000-0000-00009F170000}"/>
    <cellStyle name="_인원계획표 _적격 _투찰서(시화)_순공사비(전체분)_20070504_PAC 회수금삭제" xfId="6050" xr:uid="{00000000-0005-0000-0000-0000A0170000}"/>
    <cellStyle name="_인원계획표 _적격 _투찰서(시화)_순공사비(전체분)_20070504_PAC 회수금삭제_0.창원반송정수장 오존공정 도입공사(정수설비)-1" xfId="6051" xr:uid="{00000000-0005-0000-0000-0000A1170000}"/>
    <cellStyle name="_인원계획표 _적격 _투찰서(시화)_순공사비(전체분)_20070504_PAC 회수금삭제_사본임-창원반송정수장 오존공정 도입공사(도급)-2" xfId="6052" xr:uid="{00000000-0005-0000-0000-0000A2170000}"/>
    <cellStyle name="_인원계획표 _적격 _투찰서(시화)_순공사비(전체분)_20070504_PAC 회수금삭제_순공사비(전체분)_20070504_PAC 회수금삭제" xfId="6053" xr:uid="{00000000-0005-0000-0000-0000A3170000}"/>
    <cellStyle name="_인원계획표 _적격 _투찰서(시화)_순공사비(전체분)_20070504_PAC 회수금삭제_순공사비(전체분)_20070504_PAC 회수금삭제_0.창원반송정수장 오존공정 도입공사(정수설비)-1" xfId="6054" xr:uid="{00000000-0005-0000-0000-0000A4170000}"/>
    <cellStyle name="_인원계획표 _적격 _투찰서(시화)_순공사비(전체분)_20070504_PAC 회수금삭제_순공사비(전체분)_20070504_PAC 회수금삭제_사본임-창원반송정수장 오존공정 도입공사(도급)-2" xfId="6055" xr:uid="{00000000-0005-0000-0000-0000A5170000}"/>
    <cellStyle name="_인원계획표 _적격 _투찰서(시화)_순공사비(전체분)_20070504_PAC 회수금삭제_순공사비(전체분)_20070504_PAC 회수금삭제_창원반송정수장 오존공정 도입공사(도급)-2" xfId="6056" xr:uid="{00000000-0005-0000-0000-0000A6170000}"/>
    <cellStyle name="_인원계획표 _적격 _투찰서(시화)_순공사비(전체분)_20070504_PAC 회수금삭제_창원반송정수장 오존공정 도입공사(도급)-2" xfId="6057" xr:uid="{00000000-0005-0000-0000-0000A7170000}"/>
    <cellStyle name="_인원계획표 _적격 _투찰서(시화)_창원반송정수장 오존공정 도입공사(도급)-2" xfId="6058" xr:uid="{00000000-0005-0000-0000-0000A8170000}"/>
    <cellStyle name="_인원계획표 _적격 _투찰서(시화조력)" xfId="6059" xr:uid="{00000000-0005-0000-0000-0000A9170000}"/>
    <cellStyle name="_인원계획표 _적격 _투찰서(시화조력)_0.창원반송정수장 오존공정 도입공사(정수설비)-1" xfId="6060" xr:uid="{00000000-0005-0000-0000-0000AA170000}"/>
    <cellStyle name="_인원계획표 _적격 _투찰서(시화조력)_사본임-창원반송정수장 오존공정 도입공사(도급)-2" xfId="6061" xr:uid="{00000000-0005-0000-0000-0000AB170000}"/>
    <cellStyle name="_인원계획표 _적격 _투찰서(시화조력)_순공사비(전체분)_20070504_PAC 회수금삭제" xfId="6062" xr:uid="{00000000-0005-0000-0000-0000AC170000}"/>
    <cellStyle name="_인원계획표 _적격 _투찰서(시화조력)_순공사비(전체분)_20070504_PAC 회수금삭제_0.창원반송정수장 오존공정 도입공사(정수설비)-1" xfId="6063" xr:uid="{00000000-0005-0000-0000-0000AD170000}"/>
    <cellStyle name="_인원계획표 _적격 _투찰서(시화조력)_순공사비(전체분)_20070504_PAC 회수금삭제_사본임-창원반송정수장 오존공정 도입공사(도급)-2" xfId="6064" xr:uid="{00000000-0005-0000-0000-0000AE170000}"/>
    <cellStyle name="_인원계획표 _적격 _투찰서(시화조력)_순공사비(전체분)_20070504_PAC 회수금삭제_순공사비(전체분)_20070504_PAC 회수금삭제" xfId="6065" xr:uid="{00000000-0005-0000-0000-0000AF170000}"/>
    <cellStyle name="_인원계획표 _적격 _투찰서(시화조력)_순공사비(전체분)_20070504_PAC 회수금삭제_순공사비(전체분)_20070504_PAC 회수금삭제_0.창원반송정수장 오존공정 도입공사(정수설비)-1" xfId="6066" xr:uid="{00000000-0005-0000-0000-0000B0170000}"/>
    <cellStyle name="_인원계획표 _적격 _투찰서(시화조력)_순공사비(전체분)_20070504_PAC 회수금삭제_순공사비(전체분)_20070504_PAC 회수금삭제_사본임-창원반송정수장 오존공정 도입공사(도급)-2" xfId="6067" xr:uid="{00000000-0005-0000-0000-0000B1170000}"/>
    <cellStyle name="_인원계획표 _적격 _투찰서(시화조력)_순공사비(전체분)_20070504_PAC 회수금삭제_순공사비(전체분)_20070504_PAC 회수금삭제_창원반송정수장 오존공정 도입공사(도급)-2" xfId="6068" xr:uid="{00000000-0005-0000-0000-0000B2170000}"/>
    <cellStyle name="_인원계획표 _적격 _투찰서(시화조력)_순공사비(전체분)_20070504_PAC 회수금삭제_창원반송정수장 오존공정 도입공사(도급)-2" xfId="6069" xr:uid="{00000000-0005-0000-0000-0000B3170000}"/>
    <cellStyle name="_인원계획표 _적격 _투찰서(시화조력)_창원반송정수장 오존공정 도입공사(도급)-2" xfId="6070" xr:uid="{00000000-0005-0000-0000-0000B4170000}"/>
    <cellStyle name="_인원계획표 _창원반송정수장 오존공정 도입공사(도급)-2" xfId="6071" xr:uid="{00000000-0005-0000-0000-0000B5170000}"/>
    <cellStyle name="_인원계획표 _총괄집계및영구설비내역12.22" xfId="6072" xr:uid="{00000000-0005-0000-0000-0000B6170000}"/>
    <cellStyle name="_인원계획표 _총괄집계및영구설비내역12.22_0.창원반송정수장 오존공정 도입공사(정수설비)-1" xfId="6073" xr:uid="{00000000-0005-0000-0000-0000B7170000}"/>
    <cellStyle name="_인원계획표 _총괄집계및영구설비내역12.22_사본임-창원반송정수장 오존공정 도입공사(도급)-2" xfId="6074" xr:uid="{00000000-0005-0000-0000-0000B8170000}"/>
    <cellStyle name="_인원계획표 _총괄집계및영구설비내역12.22_순공사비(전체분)_20070504_PAC 회수금삭제" xfId="6075" xr:uid="{00000000-0005-0000-0000-0000B9170000}"/>
    <cellStyle name="_인원계획표 _총괄집계및영구설비내역12.22_순공사비(전체분)_20070504_PAC 회수금삭제_0.창원반송정수장 오존공정 도입공사(정수설비)-1" xfId="6076" xr:uid="{00000000-0005-0000-0000-0000BA170000}"/>
    <cellStyle name="_인원계획표 _총괄집계및영구설비내역12.22_순공사비(전체분)_20070504_PAC 회수금삭제_사본임-창원반송정수장 오존공정 도입공사(도급)-2" xfId="6077" xr:uid="{00000000-0005-0000-0000-0000BB170000}"/>
    <cellStyle name="_인원계획표 _총괄집계및영구설비내역12.22_순공사비(전체분)_20070504_PAC 회수금삭제_순공사비(전체분)_20070504_PAC 회수금삭제" xfId="6078" xr:uid="{00000000-0005-0000-0000-0000BC170000}"/>
    <cellStyle name="_인원계획표 _총괄집계및영구설비내역12.22_순공사비(전체분)_20070504_PAC 회수금삭제_순공사비(전체분)_20070504_PAC 회수금삭제_0.창원반송정수장 오존공정 도입공사(정수설비)-1" xfId="6079" xr:uid="{00000000-0005-0000-0000-0000BD170000}"/>
    <cellStyle name="_인원계획표 _총괄집계및영구설비내역12.22_순공사비(전체분)_20070504_PAC 회수금삭제_순공사비(전체분)_20070504_PAC 회수금삭제_사본임-창원반송정수장 오존공정 도입공사(도급)-2" xfId="6080" xr:uid="{00000000-0005-0000-0000-0000BE170000}"/>
    <cellStyle name="_인원계획표 _총괄집계및영구설비내역12.22_순공사비(전체분)_20070504_PAC 회수금삭제_순공사비(전체분)_20070504_PAC 회수금삭제_창원반송정수장 오존공정 도입공사(도급)-2" xfId="6081" xr:uid="{00000000-0005-0000-0000-0000BF170000}"/>
    <cellStyle name="_인원계획표 _총괄집계및영구설비내역12.22_순공사비(전체분)_20070504_PAC 회수금삭제_창원반송정수장 오존공정 도입공사(도급)-2" xfId="6082" xr:uid="{00000000-0005-0000-0000-0000C0170000}"/>
    <cellStyle name="_인원계획표 _총괄집계및영구설비내역12.22_창원반송정수장 오존공정 도입공사(도급)-2" xfId="6083" xr:uid="{00000000-0005-0000-0000-0000C1170000}"/>
    <cellStyle name="_인원계획표 _총괄집계및영구설비내역12.22_총괄집계및영구설비내역12.22" xfId="6084" xr:uid="{00000000-0005-0000-0000-0000C2170000}"/>
    <cellStyle name="_인원계획표 _총괄집계및영구설비내역12.22_총괄집계및영구설비내역12.22_0.창원반송정수장 오존공정 도입공사(정수설비)-1" xfId="6085" xr:uid="{00000000-0005-0000-0000-0000C3170000}"/>
    <cellStyle name="_인원계획표 _총괄집계및영구설비내역12.22_총괄집계및영구설비내역12.22_사본임-창원반송정수장 오존공정 도입공사(도급)-2" xfId="6086" xr:uid="{00000000-0005-0000-0000-0000C4170000}"/>
    <cellStyle name="_인원계획표 _총괄집계및영구설비내역12.22_총괄집계및영구설비내역12.22_순공사비(전체분)_20070504_PAC 회수금삭제" xfId="6087" xr:uid="{00000000-0005-0000-0000-0000C5170000}"/>
    <cellStyle name="_인원계획표 _총괄집계및영구설비내역12.22_총괄집계및영구설비내역12.22_순공사비(전체분)_20070504_PAC 회수금삭제_0.창원반송정수장 오존공정 도입공사(정수설비)-1" xfId="6088" xr:uid="{00000000-0005-0000-0000-0000C6170000}"/>
    <cellStyle name="_인원계획표 _총괄집계및영구설비내역12.22_총괄집계및영구설비내역12.22_순공사비(전체분)_20070504_PAC 회수금삭제_사본임-창원반송정수장 오존공정 도입공사(도급)-2" xfId="6089" xr:uid="{00000000-0005-0000-0000-0000C7170000}"/>
    <cellStyle name="_인원계획표 _총괄집계및영구설비내역12.22_총괄집계및영구설비내역12.22_순공사비(전체분)_20070504_PAC 회수금삭제_순공사비(전체분)_20070504_PAC 회수금삭제" xfId="6090" xr:uid="{00000000-0005-0000-0000-0000C8170000}"/>
    <cellStyle name="_인원계획표 _총괄집계및영구설비내역12.22_총괄집계및영구설비내역12.22_순공사비(전체분)_20070504_PAC 회수금삭제_순공사비(전체분)_20070504_PAC 회수금삭제_0.창원반송정수장 오존공정 도입공사(정수설비)-1" xfId="6091" xr:uid="{00000000-0005-0000-0000-0000C9170000}"/>
    <cellStyle name="_인원계획표 _총괄집계및영구설비내역12.22_총괄집계및영구설비내역12.22_순공사비(전체분)_20070504_PAC 회수금삭제_순공사비(전체분)_20070504_PAC 회수금삭제_사본임-창원반송정수장 오존공정 도입공사(도급)-2" xfId="6092" xr:uid="{00000000-0005-0000-0000-0000CA170000}"/>
    <cellStyle name="_인원계획표 _총괄집계및영구설비내역12.22_총괄집계및영구설비내역12.22_순공사비(전체분)_20070504_PAC 회수금삭제_순공사비(전체분)_20070504_PAC 회수금삭제_창원반송정수장 오존공정 도입공사(도급)-2" xfId="6093" xr:uid="{00000000-0005-0000-0000-0000CB170000}"/>
    <cellStyle name="_인원계획표 _총괄집계및영구설비내역12.22_총괄집계및영구설비내역12.22_순공사비(전체분)_20070504_PAC 회수금삭제_창원반송정수장 오존공정 도입공사(도급)-2" xfId="6094" xr:uid="{00000000-0005-0000-0000-0000CC170000}"/>
    <cellStyle name="_인원계획표 _총괄집계및영구설비내역12.22_총괄집계및영구설비내역12.22_창원반송정수장 오존공정 도입공사(도급)-2" xfId="6095" xr:uid="{00000000-0005-0000-0000-0000CD170000}"/>
    <cellStyle name="_인원계획표 _총인처리시설 설계내역서(심사)" xfId="6096" xr:uid="{00000000-0005-0000-0000-0000CE170000}"/>
    <cellStyle name="_인원계획표 _투찰서(시화)" xfId="6097" xr:uid="{00000000-0005-0000-0000-0000CF170000}"/>
    <cellStyle name="_인원계획표 _투찰서(시화)_0.창원반송정수장 오존공정 도입공사(정수설비)-1" xfId="6098" xr:uid="{00000000-0005-0000-0000-0000D0170000}"/>
    <cellStyle name="_인원계획표 _투찰서(시화)_사본임-창원반송정수장 오존공정 도입공사(도급)-2" xfId="6099" xr:uid="{00000000-0005-0000-0000-0000D1170000}"/>
    <cellStyle name="_인원계획표 _투찰서(시화)_순공사비(전체분)_20070504_PAC 회수금삭제" xfId="6100" xr:uid="{00000000-0005-0000-0000-0000D2170000}"/>
    <cellStyle name="_인원계획표 _투찰서(시화)_순공사비(전체분)_20070504_PAC 회수금삭제_0.창원반송정수장 오존공정 도입공사(정수설비)-1" xfId="6101" xr:uid="{00000000-0005-0000-0000-0000D3170000}"/>
    <cellStyle name="_인원계획표 _투찰서(시화)_순공사비(전체분)_20070504_PAC 회수금삭제_사본임-창원반송정수장 오존공정 도입공사(도급)-2" xfId="6102" xr:uid="{00000000-0005-0000-0000-0000D4170000}"/>
    <cellStyle name="_인원계획표 _투찰서(시화)_순공사비(전체분)_20070504_PAC 회수금삭제_순공사비(전체분)_20070504_PAC 회수금삭제" xfId="6103" xr:uid="{00000000-0005-0000-0000-0000D5170000}"/>
    <cellStyle name="_인원계획표 _투찰서(시화)_순공사비(전체분)_20070504_PAC 회수금삭제_순공사비(전체분)_20070504_PAC 회수금삭제_0.창원반송정수장 오존공정 도입공사(정수설비)-1" xfId="6104" xr:uid="{00000000-0005-0000-0000-0000D6170000}"/>
    <cellStyle name="_인원계획표 _투찰서(시화)_순공사비(전체분)_20070504_PAC 회수금삭제_순공사비(전체분)_20070504_PAC 회수금삭제_사본임-창원반송정수장 오존공정 도입공사(도급)-2" xfId="6105" xr:uid="{00000000-0005-0000-0000-0000D7170000}"/>
    <cellStyle name="_인원계획표 _투찰서(시화)_순공사비(전체분)_20070504_PAC 회수금삭제_순공사비(전체분)_20070504_PAC 회수금삭제_창원반송정수장 오존공정 도입공사(도급)-2" xfId="6106" xr:uid="{00000000-0005-0000-0000-0000D8170000}"/>
    <cellStyle name="_인원계획표 _투찰서(시화)_순공사비(전체분)_20070504_PAC 회수금삭제_창원반송정수장 오존공정 도입공사(도급)-2" xfId="6107" xr:uid="{00000000-0005-0000-0000-0000D9170000}"/>
    <cellStyle name="_인원계획표 _투찰서(시화)_창원반송정수장 오존공정 도입공사(도급)-2" xfId="6108" xr:uid="{00000000-0005-0000-0000-0000DA170000}"/>
    <cellStyle name="_인원계획표 _투찰서(시화조력)" xfId="6109" xr:uid="{00000000-0005-0000-0000-0000DB170000}"/>
    <cellStyle name="_인원계획표 _투찰서(시화조력)_0.창원반송정수장 오존공정 도입공사(정수설비)-1" xfId="6110" xr:uid="{00000000-0005-0000-0000-0000DC170000}"/>
    <cellStyle name="_인원계획표 _투찰서(시화조력)_사본임-창원반송정수장 오존공정 도입공사(도급)-2" xfId="6111" xr:uid="{00000000-0005-0000-0000-0000DD170000}"/>
    <cellStyle name="_인원계획표 _투찰서(시화조력)_순공사비(전체분)_20070504_PAC 회수금삭제" xfId="6112" xr:uid="{00000000-0005-0000-0000-0000DE170000}"/>
    <cellStyle name="_인원계획표 _투찰서(시화조력)_순공사비(전체분)_20070504_PAC 회수금삭제_0.창원반송정수장 오존공정 도입공사(정수설비)-1" xfId="6113" xr:uid="{00000000-0005-0000-0000-0000DF170000}"/>
    <cellStyle name="_인원계획표 _투찰서(시화조력)_순공사비(전체분)_20070504_PAC 회수금삭제_사본임-창원반송정수장 오존공정 도입공사(도급)-2" xfId="6114" xr:uid="{00000000-0005-0000-0000-0000E0170000}"/>
    <cellStyle name="_인원계획표 _투찰서(시화조력)_순공사비(전체분)_20070504_PAC 회수금삭제_순공사비(전체분)_20070504_PAC 회수금삭제" xfId="6115" xr:uid="{00000000-0005-0000-0000-0000E1170000}"/>
    <cellStyle name="_인원계획표 _투찰서(시화조력)_순공사비(전체분)_20070504_PAC 회수금삭제_순공사비(전체분)_20070504_PAC 회수금삭제_0.창원반송정수장 오존공정 도입공사(정수설비)-1" xfId="6116" xr:uid="{00000000-0005-0000-0000-0000E2170000}"/>
    <cellStyle name="_인원계획표 _투찰서(시화조력)_순공사비(전체분)_20070504_PAC 회수금삭제_순공사비(전체분)_20070504_PAC 회수금삭제_사본임-창원반송정수장 오존공정 도입공사(도급)-2" xfId="6117" xr:uid="{00000000-0005-0000-0000-0000E3170000}"/>
    <cellStyle name="_인원계획표 _투찰서(시화조력)_순공사비(전체분)_20070504_PAC 회수금삭제_순공사비(전체분)_20070504_PAC 회수금삭제_창원반송정수장 오존공정 도입공사(도급)-2" xfId="6118" xr:uid="{00000000-0005-0000-0000-0000E4170000}"/>
    <cellStyle name="_인원계획표 _투찰서(시화조력)_순공사비(전체분)_20070504_PAC 회수금삭제_창원반송정수장 오존공정 도입공사(도급)-2" xfId="6119" xr:uid="{00000000-0005-0000-0000-0000E5170000}"/>
    <cellStyle name="_인원계획표 _투찰서(시화조력)_창원반송정수장 오존공정 도입공사(도급)-2" xfId="6120" xr:uid="{00000000-0005-0000-0000-0000E6170000}"/>
    <cellStyle name="_인증견적자료" xfId="6121" xr:uid="{00000000-0005-0000-0000-0000E7170000}"/>
    <cellStyle name="_인천북항관공선부두(수정내역)" xfId="6122" xr:uid="{00000000-0005-0000-0000-0000E8170000}"/>
    <cellStyle name="_인천시 지하시설물통합정보시스템 구축사업 설계내역서_0514(FP)" xfId="6123" xr:uid="{00000000-0005-0000-0000-0000E9170000}"/>
    <cellStyle name="_인천시 지하시설물통합정보시스템 구축사업 설계내역서_0514(FP)_02._서울시_위례신도시_차집관거_설계예산서(전체)_0217" xfId="6124" xr:uid="{00000000-0005-0000-0000-0000EA170000}"/>
    <cellStyle name="_인터넷서버 " xfId="6125" xr:uid="{00000000-0005-0000-0000-0000EB170000}"/>
    <cellStyle name="_인트라넷개발내역" xfId="6126" xr:uid="{00000000-0005-0000-0000-0000EC170000}"/>
    <cellStyle name="_일산지하차도(BOX구간)" xfId="6127" xr:uid="{00000000-0005-0000-0000-0000ED170000}"/>
    <cellStyle name="_일위대가표-2" xfId="6128" xr:uid="{00000000-0005-0000-0000-0000EE170000}"/>
    <cellStyle name="_입찰표지 " xfId="6129" xr:uid="{00000000-0005-0000-0000-0000EF170000}"/>
    <cellStyle name="_입찰표지 _(현풍)실시설계내역서(대구광역시)" xfId="6130" xr:uid="{00000000-0005-0000-0000-0000F0170000}"/>
    <cellStyle name="_입찰표지 _(현풍)실시설계내역서(대구광역시)_발주내역서(안양박달)" xfId="6131" xr:uid="{00000000-0005-0000-0000-0000F1170000}"/>
    <cellStyle name="_입찰표지 _(현풍)실시설계내역서(대구광역시)_사본 - 설계내역서(대구하수) REV3(1188)-견학8박10일로" xfId="6132" xr:uid="{00000000-0005-0000-0000-0000F2170000}"/>
    <cellStyle name="_입찰표지 _(현풍)실시설계내역서(대구광역시)_설계내역서(대구수질)" xfId="6133" xr:uid="{00000000-0005-0000-0000-0000F3170000}"/>
    <cellStyle name="_입찰표지 _(현풍)실시설계내역서(대구광역시)_설계내역서(대구수질) ver10-최(선진해외)" xfId="6134" xr:uid="{00000000-0005-0000-0000-0000F4170000}"/>
    <cellStyle name="_입찰표지 _(현풍)실시설계내역서(대구광역시)_성서공단 설계내역서(0402)" xfId="6135" xr:uid="{00000000-0005-0000-0000-0000F5170000}"/>
    <cellStyle name="_입찰표지 _(현풍)실시설계내역서(대구광역시)_용암입찰안내서(보정계수포함)" xfId="6136" xr:uid="{00000000-0005-0000-0000-0000F6170000}"/>
    <cellStyle name="_입찰표지 _(현풍)실시설계내역서(대구광역시)_총인처리시설 설계내역서(심사)" xfId="6137" xr:uid="{00000000-0005-0000-0000-0000F7170000}"/>
    <cellStyle name="_입찰표지 _0.창원반송정수장 오존공정 도입공사(정수설비)-1" xfId="6138" xr:uid="{00000000-0005-0000-0000-0000F8170000}"/>
    <cellStyle name="_입찰표지 _2003년실행양식" xfId="6139" xr:uid="{00000000-0005-0000-0000-0000F9170000}"/>
    <cellStyle name="_입찰표지 _2003년실행양식_4.추진공(공암)" xfId="6140" xr:uid="{00000000-0005-0000-0000-0000FA170000}"/>
    <cellStyle name="_입찰표지 _2003년실행양식_4.추진공(공암SAMPLE" xfId="6141" xr:uid="{00000000-0005-0000-0000-0000FB170000}"/>
    <cellStyle name="_입찰표지 _2003년실행양식_4.추진공(서산)" xfId="6142" xr:uid="{00000000-0005-0000-0000-0000FC170000}"/>
    <cellStyle name="_입찰표지 _2003년실행양식_4.추진공(읍내)" xfId="6143" xr:uid="{00000000-0005-0000-0000-0000FD170000}"/>
    <cellStyle name="_입찰표지 _2003년실행양식_4.추진공(황간)" xfId="6144" xr:uid="{00000000-0005-0000-0000-0000FE170000}"/>
    <cellStyle name="_입찰표지 _2003년실행양식_영동군추진가시설수량" xfId="6145" xr:uid="{00000000-0005-0000-0000-0000FF170000}"/>
    <cellStyle name="_입찰표지 _2003년실행양식0" xfId="6146" xr:uid="{00000000-0005-0000-0000-000000180000}"/>
    <cellStyle name="_입찰표지 _2003년실행양식0_4.추진공(공암)" xfId="6147" xr:uid="{00000000-0005-0000-0000-000001180000}"/>
    <cellStyle name="_입찰표지 _2003년실행양식0_4.추진공(공암SAMPLE" xfId="6148" xr:uid="{00000000-0005-0000-0000-000002180000}"/>
    <cellStyle name="_입찰표지 _2003년실행양식0_4.추진공(서산)" xfId="6149" xr:uid="{00000000-0005-0000-0000-000003180000}"/>
    <cellStyle name="_입찰표지 _2003년실행양식0_4.추진공(읍내)" xfId="6150" xr:uid="{00000000-0005-0000-0000-000004180000}"/>
    <cellStyle name="_입찰표지 _2003년실행양식0_4.추진공(황간)" xfId="6151" xr:uid="{00000000-0005-0000-0000-000005180000}"/>
    <cellStyle name="_입찰표지 _2003년실행양식0_영동군추진가시설수량" xfId="6152" xr:uid="{00000000-0005-0000-0000-000006180000}"/>
    <cellStyle name="_입찰표지 _2003년실행양식-1" xfId="6153" xr:uid="{00000000-0005-0000-0000-000007180000}"/>
    <cellStyle name="_입찰표지 _2003년실행양식-1_4.추진공(공암)" xfId="6154" xr:uid="{00000000-0005-0000-0000-000008180000}"/>
    <cellStyle name="_입찰표지 _2003년실행양식-1_4.추진공(공암SAMPLE" xfId="6155" xr:uid="{00000000-0005-0000-0000-000009180000}"/>
    <cellStyle name="_입찰표지 _2003년실행양식-1_4.추진공(서산)" xfId="6156" xr:uid="{00000000-0005-0000-0000-00000A180000}"/>
    <cellStyle name="_입찰표지 _2003년실행양식-1_4.추진공(읍내)" xfId="6157" xr:uid="{00000000-0005-0000-0000-00000B180000}"/>
    <cellStyle name="_입찰표지 _2003년실행양식-1_4.추진공(황간)" xfId="6158" xr:uid="{00000000-0005-0000-0000-00000C180000}"/>
    <cellStyle name="_입찰표지 _2003년실행양식-1_영동군추진가시설수량" xfId="6159" xr:uid="{00000000-0005-0000-0000-00000D180000}"/>
    <cellStyle name="_입찰표지 _4.추진공(공암)" xfId="6160" xr:uid="{00000000-0005-0000-0000-00000E180000}"/>
    <cellStyle name="_입찰표지 _4.추진공(공암SAMPLE" xfId="6161" xr:uid="{00000000-0005-0000-0000-00000F180000}"/>
    <cellStyle name="_입찰표지 _4.추진공(서산)" xfId="6162" xr:uid="{00000000-0005-0000-0000-000010180000}"/>
    <cellStyle name="_입찰표지 _4.추진공(읍내)" xfId="6163" xr:uid="{00000000-0005-0000-0000-000011180000}"/>
    <cellStyle name="_입찰표지 _4.추진공(황간)" xfId="6164" xr:uid="{00000000-0005-0000-0000-000012180000}"/>
    <cellStyle name="_입찰표지 _대구도시철도3호선실시설계내역서(070206)" xfId="6165" xr:uid="{00000000-0005-0000-0000-000013180000}"/>
    <cellStyle name="_입찰표지 _대구도시철도3호선실시설계내역서(070207)" xfId="6166" xr:uid="{00000000-0005-0000-0000-000014180000}"/>
    <cellStyle name="_입찰표지 _발주내역서(안양박달)" xfId="6167" xr:uid="{00000000-0005-0000-0000-000015180000}"/>
    <cellStyle name="_입찰표지 _사본 - 설계내역서(대구하수) REV3(1188)-견학8박10일로" xfId="6168" xr:uid="{00000000-0005-0000-0000-000016180000}"/>
    <cellStyle name="_입찰표지 _사본임-창원반송정수장 오존공정 도입공사(도급)-2" xfId="6169" xr:uid="{00000000-0005-0000-0000-000017180000}"/>
    <cellStyle name="_입찰표지 _산출내역(전기11.21)" xfId="6170" xr:uid="{00000000-0005-0000-0000-000018180000}"/>
    <cellStyle name="_입찰표지 _산출내역(전기11.21)_0.창원반송정수장 오존공정 도입공사(정수설비)-1" xfId="6171" xr:uid="{00000000-0005-0000-0000-000019180000}"/>
    <cellStyle name="_입찰표지 _산출내역(전기11.21)_사본임-창원반송정수장 오존공정 도입공사(도급)-2" xfId="6172" xr:uid="{00000000-0005-0000-0000-00001A180000}"/>
    <cellStyle name="_입찰표지 _산출내역(전기11.21)_순공사비(전체분)_20070504_PAC 회수금삭제" xfId="6173" xr:uid="{00000000-0005-0000-0000-00001B180000}"/>
    <cellStyle name="_입찰표지 _산출내역(전기11.21)_순공사비(전체분)_20070504_PAC 회수금삭제_0.창원반송정수장 오존공정 도입공사(정수설비)-1" xfId="6174" xr:uid="{00000000-0005-0000-0000-00001C180000}"/>
    <cellStyle name="_입찰표지 _산출내역(전기11.21)_순공사비(전체분)_20070504_PAC 회수금삭제_사본임-창원반송정수장 오존공정 도입공사(도급)-2" xfId="6175" xr:uid="{00000000-0005-0000-0000-00001D180000}"/>
    <cellStyle name="_입찰표지 _산출내역(전기11.21)_순공사비(전체분)_20070504_PAC 회수금삭제_순공사비(전체분)_20070504_PAC 회수금삭제" xfId="6176" xr:uid="{00000000-0005-0000-0000-00001E180000}"/>
    <cellStyle name="_입찰표지 _산출내역(전기11.21)_순공사비(전체분)_20070504_PAC 회수금삭제_순공사비(전체분)_20070504_PAC 회수금삭제_0.창원반송정수장 오존공정 도입공사(정수설비)-1" xfId="6177" xr:uid="{00000000-0005-0000-0000-00001F180000}"/>
    <cellStyle name="_입찰표지 _산출내역(전기11.21)_순공사비(전체분)_20070504_PAC 회수금삭제_순공사비(전체분)_20070504_PAC 회수금삭제_사본임-창원반송정수장 오존공정 도입공사(도급)-2" xfId="6178" xr:uid="{00000000-0005-0000-0000-000020180000}"/>
    <cellStyle name="_입찰표지 _산출내역(전기11.21)_순공사비(전체분)_20070504_PAC 회수금삭제_순공사비(전체분)_20070504_PAC 회수금삭제_창원반송정수장 오존공정 도입공사(도급)-2" xfId="6179" xr:uid="{00000000-0005-0000-0000-000021180000}"/>
    <cellStyle name="_입찰표지 _산출내역(전기11.21)_순공사비(전체분)_20070504_PAC 회수금삭제_창원반송정수장 오존공정 도입공사(도급)-2" xfId="6180" xr:uid="{00000000-0005-0000-0000-000022180000}"/>
    <cellStyle name="_입찰표지 _산출내역(전기11.21)_창원반송정수장 오존공정 도입공사(도급)-2" xfId="6181" xr:uid="{00000000-0005-0000-0000-000023180000}"/>
    <cellStyle name="_입찰표지 _산출내역(전기11.21)_총괄집계및영구설비내역12.22" xfId="6182" xr:uid="{00000000-0005-0000-0000-000024180000}"/>
    <cellStyle name="_입찰표지 _산출내역(전기11.21)_총괄집계및영구설비내역12.22_0.창원반송정수장 오존공정 도입공사(정수설비)-1" xfId="6183" xr:uid="{00000000-0005-0000-0000-000025180000}"/>
    <cellStyle name="_입찰표지 _산출내역(전기11.21)_총괄집계및영구설비내역12.22_사본임-창원반송정수장 오존공정 도입공사(도급)-2" xfId="6184" xr:uid="{00000000-0005-0000-0000-000026180000}"/>
    <cellStyle name="_입찰표지 _산출내역(전기11.21)_총괄집계및영구설비내역12.22_순공사비(전체분)_20070504_PAC 회수금삭제" xfId="6185" xr:uid="{00000000-0005-0000-0000-000027180000}"/>
    <cellStyle name="_입찰표지 _산출내역(전기11.21)_총괄집계및영구설비내역12.22_순공사비(전체분)_20070504_PAC 회수금삭제_0.창원반송정수장 오존공정 도입공사(정수설비)-1" xfId="6186" xr:uid="{00000000-0005-0000-0000-000028180000}"/>
    <cellStyle name="_입찰표지 _산출내역(전기11.21)_총괄집계및영구설비내역12.22_순공사비(전체분)_20070504_PAC 회수금삭제_사본임-창원반송정수장 오존공정 도입공사(도급)-2" xfId="6187" xr:uid="{00000000-0005-0000-0000-000029180000}"/>
    <cellStyle name="_입찰표지 _산출내역(전기11.21)_총괄집계및영구설비내역12.22_순공사비(전체분)_20070504_PAC 회수금삭제_순공사비(전체분)_20070504_PAC 회수금삭제" xfId="6188" xr:uid="{00000000-0005-0000-0000-00002A180000}"/>
    <cellStyle name="_입찰표지 _산출내역(전기11.21)_총괄집계및영구설비내역12.22_순공사비(전체분)_20070504_PAC 회수금삭제_순공사비(전체분)_20070504_PAC 회수금삭제_0.창원반송정수장 오존공정 도입공사(정수설비)-1" xfId="6189" xr:uid="{00000000-0005-0000-0000-00002B180000}"/>
    <cellStyle name="_입찰표지 _산출내역(전기11.21)_총괄집계및영구설비내역12.22_순공사비(전체분)_20070504_PAC 회수금삭제_순공사비(전체분)_20070504_PAC 회수금삭제_사본임-창원반송정수장 오존공정 도입공사(도급)-2" xfId="6190" xr:uid="{00000000-0005-0000-0000-00002C180000}"/>
    <cellStyle name="_입찰표지 _산출내역(전기11.21)_총괄집계및영구설비내역12.22_순공사비(전체분)_20070504_PAC 회수금삭제_순공사비(전체분)_20070504_PAC 회수금삭제_창원반송정수장 오존공정 도입공사(도급)-2" xfId="6191" xr:uid="{00000000-0005-0000-0000-00002D180000}"/>
    <cellStyle name="_입찰표지 _산출내역(전기11.21)_총괄집계및영구설비내역12.22_순공사비(전체분)_20070504_PAC 회수금삭제_창원반송정수장 오존공정 도입공사(도급)-2" xfId="6192" xr:uid="{00000000-0005-0000-0000-00002E180000}"/>
    <cellStyle name="_입찰표지 _산출내역(전기11.21)_총괄집계및영구설비내역12.22_창원반송정수장 오존공정 도입공사(도급)-2" xfId="6193" xr:uid="{00000000-0005-0000-0000-00002F180000}"/>
    <cellStyle name="_입찰표지 _산출내역서(양식검토)" xfId="6194" xr:uid="{00000000-0005-0000-0000-000030180000}"/>
    <cellStyle name="_입찰표지 _산출내역서(양식검토)_0.창원반송정수장 오존공정 도입공사(정수설비)-1" xfId="6195" xr:uid="{00000000-0005-0000-0000-000031180000}"/>
    <cellStyle name="_입찰표지 _산출내역서(양식검토)_사본임-창원반송정수장 오존공정 도입공사(도급)-2" xfId="6196" xr:uid="{00000000-0005-0000-0000-000032180000}"/>
    <cellStyle name="_입찰표지 _산출내역서(양식검토)_순공사비(전체분)_20070504_PAC 회수금삭제" xfId="6197" xr:uid="{00000000-0005-0000-0000-000033180000}"/>
    <cellStyle name="_입찰표지 _산출내역서(양식검토)_순공사비(전체분)_20070504_PAC 회수금삭제_0.창원반송정수장 오존공정 도입공사(정수설비)-1" xfId="6198" xr:uid="{00000000-0005-0000-0000-000034180000}"/>
    <cellStyle name="_입찰표지 _산출내역서(양식검토)_순공사비(전체분)_20070504_PAC 회수금삭제_사본임-창원반송정수장 오존공정 도입공사(도급)-2" xfId="6199" xr:uid="{00000000-0005-0000-0000-000035180000}"/>
    <cellStyle name="_입찰표지 _산출내역서(양식검토)_순공사비(전체분)_20070504_PAC 회수금삭제_순공사비(전체분)_20070504_PAC 회수금삭제" xfId="6200" xr:uid="{00000000-0005-0000-0000-000036180000}"/>
    <cellStyle name="_입찰표지 _산출내역서(양식검토)_순공사비(전체분)_20070504_PAC 회수금삭제_순공사비(전체분)_20070504_PAC 회수금삭제_0.창원반송정수장 오존공정 도입공사(정수설비)-1" xfId="6201" xr:uid="{00000000-0005-0000-0000-000037180000}"/>
    <cellStyle name="_입찰표지 _산출내역서(양식검토)_순공사비(전체분)_20070504_PAC 회수금삭제_순공사비(전체분)_20070504_PAC 회수금삭제_사본임-창원반송정수장 오존공정 도입공사(도급)-2" xfId="6202" xr:uid="{00000000-0005-0000-0000-000038180000}"/>
    <cellStyle name="_입찰표지 _산출내역서(양식검토)_순공사비(전체분)_20070504_PAC 회수금삭제_순공사비(전체분)_20070504_PAC 회수금삭제_창원반송정수장 오존공정 도입공사(도급)-2" xfId="6203" xr:uid="{00000000-0005-0000-0000-000039180000}"/>
    <cellStyle name="_입찰표지 _산출내역서(양식검토)_순공사비(전체분)_20070504_PAC 회수금삭제_창원반송정수장 오존공정 도입공사(도급)-2" xfId="6204" xr:uid="{00000000-0005-0000-0000-00003A180000}"/>
    <cellStyle name="_입찰표지 _산출내역서(양식검토)_창원반송정수장 오존공정 도입공사(도급)-2" xfId="6205" xr:uid="{00000000-0005-0000-0000-00003B180000}"/>
    <cellStyle name="_입찰표지 _설계내역서(대구수질)" xfId="6206" xr:uid="{00000000-0005-0000-0000-00003C180000}"/>
    <cellStyle name="_입찰표지 _설계내역서(대구수질) ver10-최(선진해외)" xfId="6207" xr:uid="{00000000-0005-0000-0000-00003D180000}"/>
    <cellStyle name="_입찰표지 _성서공단 설계내역서(0402)" xfId="6208" xr:uid="{00000000-0005-0000-0000-00003E180000}"/>
    <cellStyle name="_입찰표지 _순공사비(전체분)_20070504_PAC 회수금삭제" xfId="6209" xr:uid="{00000000-0005-0000-0000-00003F180000}"/>
    <cellStyle name="_입찰표지 _순공사비(전체분)_20070504_PAC 회수금삭제_0.창원반송정수장 오존공정 도입공사(정수설비)-1" xfId="6210" xr:uid="{00000000-0005-0000-0000-000040180000}"/>
    <cellStyle name="_입찰표지 _순공사비(전체분)_20070504_PAC 회수금삭제_사본임-창원반송정수장 오존공정 도입공사(도급)-2" xfId="6211" xr:uid="{00000000-0005-0000-0000-000041180000}"/>
    <cellStyle name="_입찰표지 _순공사비(전체분)_20070504_PAC 회수금삭제_순공사비(전체분)_20070504_PAC 회수금삭제" xfId="6212" xr:uid="{00000000-0005-0000-0000-000042180000}"/>
    <cellStyle name="_입찰표지 _순공사비(전체분)_20070504_PAC 회수금삭제_순공사비(전체분)_20070504_PAC 회수금삭제_0.창원반송정수장 오존공정 도입공사(정수설비)-1" xfId="6213" xr:uid="{00000000-0005-0000-0000-000043180000}"/>
    <cellStyle name="_입찰표지 _순공사비(전체분)_20070504_PAC 회수금삭제_순공사비(전체분)_20070504_PAC 회수금삭제_사본임-창원반송정수장 오존공정 도입공사(도급)-2" xfId="6214" xr:uid="{00000000-0005-0000-0000-000044180000}"/>
    <cellStyle name="_입찰표지 _순공사비(전체분)_20070504_PAC 회수금삭제_순공사비(전체분)_20070504_PAC 회수금삭제_창원반송정수장 오존공정 도입공사(도급)-2" xfId="6215" xr:uid="{00000000-0005-0000-0000-000045180000}"/>
    <cellStyle name="_입찰표지 _순공사비(전체분)_20070504_PAC 회수금삭제_창원반송정수장 오존공정 도입공사(도급)-2" xfId="6216" xr:uid="{00000000-0005-0000-0000-000046180000}"/>
    <cellStyle name="_입찰표지 _실행내역2001년1월변경" xfId="6217" xr:uid="{00000000-0005-0000-0000-000047180000}"/>
    <cellStyle name="_입찰표지 _실행내역2001년1월변경_2003년실행양식" xfId="6218" xr:uid="{00000000-0005-0000-0000-000048180000}"/>
    <cellStyle name="_입찰표지 _실행내역2001년1월변경_2003년실행양식_4.추진공(공암)" xfId="6219" xr:uid="{00000000-0005-0000-0000-000049180000}"/>
    <cellStyle name="_입찰표지 _실행내역2001년1월변경_2003년실행양식_4.추진공(공암SAMPLE" xfId="6220" xr:uid="{00000000-0005-0000-0000-00004A180000}"/>
    <cellStyle name="_입찰표지 _실행내역2001년1월변경_2003년실행양식_4.추진공(서산)" xfId="6221" xr:uid="{00000000-0005-0000-0000-00004B180000}"/>
    <cellStyle name="_입찰표지 _실행내역2001년1월변경_2003년실행양식_4.추진공(읍내)" xfId="6222" xr:uid="{00000000-0005-0000-0000-00004C180000}"/>
    <cellStyle name="_입찰표지 _실행내역2001년1월변경_2003년실행양식_4.추진공(황간)" xfId="6223" xr:uid="{00000000-0005-0000-0000-00004D180000}"/>
    <cellStyle name="_입찰표지 _실행내역2001년1월변경_2003년실행양식_영동군추진가시설수량" xfId="6224" xr:uid="{00000000-0005-0000-0000-00004E180000}"/>
    <cellStyle name="_입찰표지 _실행내역2001년1월변경_2003년실행양식0" xfId="6225" xr:uid="{00000000-0005-0000-0000-00004F180000}"/>
    <cellStyle name="_입찰표지 _실행내역2001년1월변경_2003년실행양식0_4.추진공(공암)" xfId="6226" xr:uid="{00000000-0005-0000-0000-000050180000}"/>
    <cellStyle name="_입찰표지 _실행내역2001년1월변경_2003년실행양식0_4.추진공(공암SAMPLE" xfId="6227" xr:uid="{00000000-0005-0000-0000-000051180000}"/>
    <cellStyle name="_입찰표지 _실행내역2001년1월변경_2003년실행양식0_4.추진공(서산)" xfId="6228" xr:uid="{00000000-0005-0000-0000-000052180000}"/>
    <cellStyle name="_입찰표지 _실행내역2001년1월변경_2003년실행양식0_4.추진공(읍내)" xfId="6229" xr:uid="{00000000-0005-0000-0000-000053180000}"/>
    <cellStyle name="_입찰표지 _실행내역2001년1월변경_2003년실행양식0_4.추진공(황간)" xfId="6230" xr:uid="{00000000-0005-0000-0000-000054180000}"/>
    <cellStyle name="_입찰표지 _실행내역2001년1월변경_2003년실행양식0_영동군추진가시설수량" xfId="6231" xr:uid="{00000000-0005-0000-0000-000055180000}"/>
    <cellStyle name="_입찰표지 _실행내역2001년1월변경_2003년실행양식-1" xfId="6232" xr:uid="{00000000-0005-0000-0000-000056180000}"/>
    <cellStyle name="_입찰표지 _실행내역2001년1월변경_2003년실행양식-1_4.추진공(공암)" xfId="6233" xr:uid="{00000000-0005-0000-0000-000057180000}"/>
    <cellStyle name="_입찰표지 _실행내역2001년1월변경_2003년실행양식-1_4.추진공(공암SAMPLE" xfId="6234" xr:uid="{00000000-0005-0000-0000-000058180000}"/>
    <cellStyle name="_입찰표지 _실행내역2001년1월변경_2003년실행양식-1_4.추진공(서산)" xfId="6235" xr:uid="{00000000-0005-0000-0000-000059180000}"/>
    <cellStyle name="_입찰표지 _실행내역2001년1월변경_2003년실행양식-1_4.추진공(읍내)" xfId="6236" xr:uid="{00000000-0005-0000-0000-00005A180000}"/>
    <cellStyle name="_입찰표지 _실행내역2001년1월변경_2003년실행양식-1_4.추진공(황간)" xfId="6237" xr:uid="{00000000-0005-0000-0000-00005B180000}"/>
    <cellStyle name="_입찰표지 _실행내역2001년1월변경_2003년실행양식-1_영동군추진가시설수량" xfId="6238" xr:uid="{00000000-0005-0000-0000-00005C180000}"/>
    <cellStyle name="_입찰표지 _실행내역2001년1월변경_4.추진공(공암)" xfId="6239" xr:uid="{00000000-0005-0000-0000-00005D180000}"/>
    <cellStyle name="_입찰표지 _실행내역2001년1월변경_4.추진공(공암SAMPLE" xfId="6240" xr:uid="{00000000-0005-0000-0000-00005E180000}"/>
    <cellStyle name="_입찰표지 _실행내역2001년1월변경_4.추진공(서산)" xfId="6241" xr:uid="{00000000-0005-0000-0000-00005F180000}"/>
    <cellStyle name="_입찰표지 _실행내역2001년1월변경_4.추진공(읍내)" xfId="6242" xr:uid="{00000000-0005-0000-0000-000060180000}"/>
    <cellStyle name="_입찰표지 _실행내역2001년1월변경_4.추진공(황간)" xfId="6243" xr:uid="{00000000-0005-0000-0000-000061180000}"/>
    <cellStyle name="_입찰표지 _실행내역2001년1월변경_영동군추진가시설수량" xfId="6244" xr:uid="{00000000-0005-0000-0000-000062180000}"/>
    <cellStyle name="_입찰표지 _영동군추진가시설수량" xfId="6245" xr:uid="{00000000-0005-0000-0000-000063180000}"/>
    <cellStyle name="_입찰표지 _용암입찰안내서(보정계수포함)" xfId="6246" xr:uid="{00000000-0005-0000-0000-000064180000}"/>
    <cellStyle name="_입찰표지 _원가계산서" xfId="6247" xr:uid="{00000000-0005-0000-0000-000065180000}"/>
    <cellStyle name="_입찰표지 _원가계산서,총괄산출내역서-2005" xfId="6248" xr:uid="{00000000-0005-0000-0000-000066180000}"/>
    <cellStyle name="_입찰표지 _원가계산서,총괄산출내역서-2005_0.창원반송정수장 오존공정 도입공사(정수설비)-1" xfId="6249" xr:uid="{00000000-0005-0000-0000-000067180000}"/>
    <cellStyle name="_입찰표지 _원가계산서,총괄산출내역서-2005_사본임-창원반송정수장 오존공정 도입공사(도급)-2" xfId="6250" xr:uid="{00000000-0005-0000-0000-000068180000}"/>
    <cellStyle name="_입찰표지 _원가계산서,총괄산출내역서-2005_순공사비(전체분)_20070504_PAC 회수금삭제" xfId="6251" xr:uid="{00000000-0005-0000-0000-000069180000}"/>
    <cellStyle name="_입찰표지 _원가계산서,총괄산출내역서-2005_순공사비(전체분)_20070504_PAC 회수금삭제_0.창원반송정수장 오존공정 도입공사(정수설비)-1" xfId="6252" xr:uid="{00000000-0005-0000-0000-00006A180000}"/>
    <cellStyle name="_입찰표지 _원가계산서,총괄산출내역서-2005_순공사비(전체분)_20070504_PAC 회수금삭제_사본임-창원반송정수장 오존공정 도입공사(도급)-2" xfId="6253" xr:uid="{00000000-0005-0000-0000-00006B180000}"/>
    <cellStyle name="_입찰표지 _원가계산서,총괄산출내역서-2005_순공사비(전체분)_20070504_PAC 회수금삭제_순공사비(전체분)_20070504_PAC 회수금삭제" xfId="6254" xr:uid="{00000000-0005-0000-0000-00006C180000}"/>
    <cellStyle name="_입찰표지 _원가계산서,총괄산출내역서-2005_순공사비(전체분)_20070504_PAC 회수금삭제_순공사비(전체분)_20070504_PAC 회수금삭제_0.창원반송정수장 오존공정 도입공사(정수설비)-1" xfId="6255" xr:uid="{00000000-0005-0000-0000-00006D180000}"/>
    <cellStyle name="_입찰표지 _원가계산서,총괄산출내역서-2005_순공사비(전체분)_20070504_PAC 회수금삭제_순공사비(전체분)_20070504_PAC 회수금삭제_사본임-창원반송정수장 오존공정 도입공사(도급)-2" xfId="6256" xr:uid="{00000000-0005-0000-0000-00006E180000}"/>
    <cellStyle name="_입찰표지 _원가계산서,총괄산출내역서-2005_순공사비(전체분)_20070504_PAC 회수금삭제_순공사비(전체분)_20070504_PAC 회수금삭제_창원반송정수장 오존공정 도입공사(도급)-2" xfId="6257" xr:uid="{00000000-0005-0000-0000-00006F180000}"/>
    <cellStyle name="_입찰표지 _원가계산서,총괄산출내역서-2005_순공사비(전체분)_20070504_PAC 회수금삭제_창원반송정수장 오존공정 도입공사(도급)-2" xfId="6258" xr:uid="{00000000-0005-0000-0000-000070180000}"/>
    <cellStyle name="_입찰표지 _원가계산서,총괄산출내역서-2005_창원반송정수장 오존공정 도입공사(도급)-2" xfId="6259" xr:uid="{00000000-0005-0000-0000-000071180000}"/>
    <cellStyle name="_입찰표지 _원가계산서_0.창원반송정수장 오존공정 도입공사(정수설비)-1" xfId="6260" xr:uid="{00000000-0005-0000-0000-000072180000}"/>
    <cellStyle name="_입찰표지 _원가계산서_사본임-창원반송정수장 오존공정 도입공사(도급)-2" xfId="6261" xr:uid="{00000000-0005-0000-0000-000073180000}"/>
    <cellStyle name="_입찰표지 _원가계산서_순공사비(전체분)_20070504_PAC 회수금삭제" xfId="6262" xr:uid="{00000000-0005-0000-0000-000074180000}"/>
    <cellStyle name="_입찰표지 _원가계산서_순공사비(전체분)_20070504_PAC 회수금삭제_0.창원반송정수장 오존공정 도입공사(정수설비)-1" xfId="6263" xr:uid="{00000000-0005-0000-0000-000075180000}"/>
    <cellStyle name="_입찰표지 _원가계산서_순공사비(전체분)_20070504_PAC 회수금삭제_사본임-창원반송정수장 오존공정 도입공사(도급)-2" xfId="6264" xr:uid="{00000000-0005-0000-0000-000076180000}"/>
    <cellStyle name="_입찰표지 _원가계산서_순공사비(전체분)_20070504_PAC 회수금삭제_순공사비(전체분)_20070504_PAC 회수금삭제" xfId="6265" xr:uid="{00000000-0005-0000-0000-000077180000}"/>
    <cellStyle name="_입찰표지 _원가계산서_순공사비(전체분)_20070504_PAC 회수금삭제_순공사비(전체분)_20070504_PAC 회수금삭제_0.창원반송정수장 오존공정 도입공사(정수설비)-1" xfId="6266" xr:uid="{00000000-0005-0000-0000-000078180000}"/>
    <cellStyle name="_입찰표지 _원가계산서_순공사비(전체분)_20070504_PAC 회수금삭제_순공사비(전체분)_20070504_PAC 회수금삭제_사본임-창원반송정수장 오존공정 도입공사(도급)-2" xfId="6267" xr:uid="{00000000-0005-0000-0000-000079180000}"/>
    <cellStyle name="_입찰표지 _원가계산서_순공사비(전체분)_20070504_PAC 회수금삭제_순공사비(전체분)_20070504_PAC 회수금삭제_창원반송정수장 오존공정 도입공사(도급)-2" xfId="6268" xr:uid="{00000000-0005-0000-0000-00007A180000}"/>
    <cellStyle name="_입찰표지 _원가계산서_순공사비(전체분)_20070504_PAC 회수금삭제_창원반송정수장 오존공정 도입공사(도급)-2" xfId="6269" xr:uid="{00000000-0005-0000-0000-00007B180000}"/>
    <cellStyle name="_입찰표지 _원가계산서_창원반송정수장 오존공정 도입공사(도급)-2" xfId="6270" xr:uid="{00000000-0005-0000-0000-00007C180000}"/>
    <cellStyle name="_입찰표지 _창원반송정수장 오존공정 도입공사(도급)-2" xfId="6271" xr:uid="{00000000-0005-0000-0000-00007D180000}"/>
    <cellStyle name="_입찰표지 _총괄집계및영구설비내역12.22" xfId="6272" xr:uid="{00000000-0005-0000-0000-00007E180000}"/>
    <cellStyle name="_입찰표지 _총괄집계및영구설비내역12.22_0.창원반송정수장 오존공정 도입공사(정수설비)-1" xfId="6273" xr:uid="{00000000-0005-0000-0000-00007F180000}"/>
    <cellStyle name="_입찰표지 _총괄집계및영구설비내역12.22_사본임-창원반송정수장 오존공정 도입공사(도급)-2" xfId="6274" xr:uid="{00000000-0005-0000-0000-000080180000}"/>
    <cellStyle name="_입찰표지 _총괄집계및영구설비내역12.22_순공사비(전체분)_20070504_PAC 회수금삭제" xfId="6275" xr:uid="{00000000-0005-0000-0000-000081180000}"/>
    <cellStyle name="_입찰표지 _총괄집계및영구설비내역12.22_순공사비(전체분)_20070504_PAC 회수금삭제_0.창원반송정수장 오존공정 도입공사(정수설비)-1" xfId="6276" xr:uid="{00000000-0005-0000-0000-000082180000}"/>
    <cellStyle name="_입찰표지 _총괄집계및영구설비내역12.22_순공사비(전체분)_20070504_PAC 회수금삭제_사본임-창원반송정수장 오존공정 도입공사(도급)-2" xfId="6277" xr:uid="{00000000-0005-0000-0000-000083180000}"/>
    <cellStyle name="_입찰표지 _총괄집계및영구설비내역12.22_순공사비(전체분)_20070504_PAC 회수금삭제_순공사비(전체분)_20070504_PAC 회수금삭제" xfId="6278" xr:uid="{00000000-0005-0000-0000-000084180000}"/>
    <cellStyle name="_입찰표지 _총괄집계및영구설비내역12.22_순공사비(전체분)_20070504_PAC 회수금삭제_순공사비(전체분)_20070504_PAC 회수금삭제_0.창원반송정수장 오존공정 도입공사(정수설비)-1" xfId="6279" xr:uid="{00000000-0005-0000-0000-000085180000}"/>
    <cellStyle name="_입찰표지 _총괄집계및영구설비내역12.22_순공사비(전체분)_20070504_PAC 회수금삭제_순공사비(전체분)_20070504_PAC 회수금삭제_사본임-창원반송정수장 오존공정 도입공사(도급)-2" xfId="6280" xr:uid="{00000000-0005-0000-0000-000086180000}"/>
    <cellStyle name="_입찰표지 _총괄집계및영구설비내역12.22_순공사비(전체분)_20070504_PAC 회수금삭제_순공사비(전체분)_20070504_PAC 회수금삭제_창원반송정수장 오존공정 도입공사(도급)-2" xfId="6281" xr:uid="{00000000-0005-0000-0000-000087180000}"/>
    <cellStyle name="_입찰표지 _총괄집계및영구설비내역12.22_순공사비(전체분)_20070504_PAC 회수금삭제_창원반송정수장 오존공정 도입공사(도급)-2" xfId="6282" xr:uid="{00000000-0005-0000-0000-000088180000}"/>
    <cellStyle name="_입찰표지 _총괄집계및영구설비내역12.22_창원반송정수장 오존공정 도입공사(도급)-2" xfId="6283" xr:uid="{00000000-0005-0000-0000-000089180000}"/>
    <cellStyle name="_입찰표지 _총괄집계및영구설비내역12.22_총괄집계및영구설비내역12.22" xfId="6284" xr:uid="{00000000-0005-0000-0000-00008A180000}"/>
    <cellStyle name="_입찰표지 _총괄집계및영구설비내역12.22_총괄집계및영구설비내역12.22_0.창원반송정수장 오존공정 도입공사(정수설비)-1" xfId="6285" xr:uid="{00000000-0005-0000-0000-00008B180000}"/>
    <cellStyle name="_입찰표지 _총괄집계및영구설비내역12.22_총괄집계및영구설비내역12.22_사본임-창원반송정수장 오존공정 도입공사(도급)-2" xfId="6286" xr:uid="{00000000-0005-0000-0000-00008C180000}"/>
    <cellStyle name="_입찰표지 _총괄집계및영구설비내역12.22_총괄집계및영구설비내역12.22_순공사비(전체분)_20070504_PAC 회수금삭제" xfId="6287" xr:uid="{00000000-0005-0000-0000-00008D180000}"/>
    <cellStyle name="_입찰표지 _총괄집계및영구설비내역12.22_총괄집계및영구설비내역12.22_순공사비(전체분)_20070504_PAC 회수금삭제_0.창원반송정수장 오존공정 도입공사(정수설비)-1" xfId="6288" xr:uid="{00000000-0005-0000-0000-00008E180000}"/>
    <cellStyle name="_입찰표지 _총괄집계및영구설비내역12.22_총괄집계및영구설비내역12.22_순공사비(전체분)_20070504_PAC 회수금삭제_사본임-창원반송정수장 오존공정 도입공사(도급)-2" xfId="6289" xr:uid="{00000000-0005-0000-0000-00008F180000}"/>
    <cellStyle name="_입찰표지 _총괄집계및영구설비내역12.22_총괄집계및영구설비내역12.22_순공사비(전체분)_20070504_PAC 회수금삭제_순공사비(전체분)_20070504_PAC 회수금삭제" xfId="6290" xr:uid="{00000000-0005-0000-0000-000090180000}"/>
    <cellStyle name="_입찰표지 _총괄집계및영구설비내역12.22_총괄집계및영구설비내역12.22_순공사비(전체분)_20070504_PAC 회수금삭제_순공사비(전체분)_20070504_PAC 회수금삭제_0.창원반송정수장 오존공정 도입공사(정수설비)-1" xfId="6291" xr:uid="{00000000-0005-0000-0000-000091180000}"/>
    <cellStyle name="_입찰표지 _총괄집계및영구설비내역12.22_총괄집계및영구설비내역12.22_순공사비(전체분)_20070504_PAC 회수금삭제_순공사비(전체분)_20070504_PAC 회수금삭제_사본임-창원반송정수장 오존공정 도입공사(도급)-2" xfId="6292" xr:uid="{00000000-0005-0000-0000-000092180000}"/>
    <cellStyle name="_입찰표지 _총괄집계및영구설비내역12.22_총괄집계및영구설비내역12.22_순공사비(전체분)_20070504_PAC 회수금삭제_순공사비(전체분)_20070504_PAC 회수금삭제_창원반송정수장 오존공정 도입공사(도급)-2" xfId="6293" xr:uid="{00000000-0005-0000-0000-000093180000}"/>
    <cellStyle name="_입찰표지 _총괄집계및영구설비내역12.22_총괄집계및영구설비내역12.22_순공사비(전체분)_20070504_PAC 회수금삭제_창원반송정수장 오존공정 도입공사(도급)-2" xfId="6294" xr:uid="{00000000-0005-0000-0000-000094180000}"/>
    <cellStyle name="_입찰표지 _총괄집계및영구설비내역12.22_총괄집계및영구설비내역12.22_창원반송정수장 오존공정 도입공사(도급)-2" xfId="6295" xr:uid="{00000000-0005-0000-0000-000095180000}"/>
    <cellStyle name="_입찰표지 _총인처리시설 설계내역서(심사)" xfId="6296" xr:uid="{00000000-0005-0000-0000-000096180000}"/>
    <cellStyle name="_입찰표지 _투찰서(시화)" xfId="6297" xr:uid="{00000000-0005-0000-0000-000097180000}"/>
    <cellStyle name="_입찰표지 _투찰서(시화)_0.창원반송정수장 오존공정 도입공사(정수설비)-1" xfId="6298" xr:uid="{00000000-0005-0000-0000-000098180000}"/>
    <cellStyle name="_입찰표지 _투찰서(시화)_사본임-창원반송정수장 오존공정 도입공사(도급)-2" xfId="6299" xr:uid="{00000000-0005-0000-0000-000099180000}"/>
    <cellStyle name="_입찰표지 _투찰서(시화)_순공사비(전체분)_20070504_PAC 회수금삭제" xfId="6300" xr:uid="{00000000-0005-0000-0000-00009A180000}"/>
    <cellStyle name="_입찰표지 _투찰서(시화)_순공사비(전체분)_20070504_PAC 회수금삭제_0.창원반송정수장 오존공정 도입공사(정수설비)-1" xfId="6301" xr:uid="{00000000-0005-0000-0000-00009B180000}"/>
    <cellStyle name="_입찰표지 _투찰서(시화)_순공사비(전체분)_20070504_PAC 회수금삭제_사본임-창원반송정수장 오존공정 도입공사(도급)-2" xfId="6302" xr:uid="{00000000-0005-0000-0000-00009C180000}"/>
    <cellStyle name="_입찰표지 _투찰서(시화)_순공사비(전체분)_20070504_PAC 회수금삭제_순공사비(전체분)_20070504_PAC 회수금삭제" xfId="6303" xr:uid="{00000000-0005-0000-0000-00009D180000}"/>
    <cellStyle name="_입찰표지 _투찰서(시화)_순공사비(전체분)_20070504_PAC 회수금삭제_순공사비(전체분)_20070504_PAC 회수금삭제_0.창원반송정수장 오존공정 도입공사(정수설비)-1" xfId="6304" xr:uid="{00000000-0005-0000-0000-00009E180000}"/>
    <cellStyle name="_입찰표지 _투찰서(시화)_순공사비(전체분)_20070504_PAC 회수금삭제_순공사비(전체분)_20070504_PAC 회수금삭제_사본임-창원반송정수장 오존공정 도입공사(도급)-2" xfId="6305" xr:uid="{00000000-0005-0000-0000-00009F180000}"/>
    <cellStyle name="_입찰표지 _투찰서(시화)_순공사비(전체분)_20070504_PAC 회수금삭제_순공사비(전체분)_20070504_PAC 회수금삭제_창원반송정수장 오존공정 도입공사(도급)-2" xfId="6306" xr:uid="{00000000-0005-0000-0000-0000A0180000}"/>
    <cellStyle name="_입찰표지 _투찰서(시화)_순공사비(전체분)_20070504_PAC 회수금삭제_창원반송정수장 오존공정 도입공사(도급)-2" xfId="6307" xr:uid="{00000000-0005-0000-0000-0000A1180000}"/>
    <cellStyle name="_입찰표지 _투찰서(시화)_창원반송정수장 오존공정 도입공사(도급)-2" xfId="6308" xr:uid="{00000000-0005-0000-0000-0000A2180000}"/>
    <cellStyle name="_입찰표지 _투찰서(시화조력)" xfId="6309" xr:uid="{00000000-0005-0000-0000-0000A3180000}"/>
    <cellStyle name="_입찰표지 _투찰서(시화조력)_0.창원반송정수장 오존공정 도입공사(정수설비)-1" xfId="6310" xr:uid="{00000000-0005-0000-0000-0000A4180000}"/>
    <cellStyle name="_입찰표지 _투찰서(시화조력)_사본임-창원반송정수장 오존공정 도입공사(도급)-2" xfId="6311" xr:uid="{00000000-0005-0000-0000-0000A5180000}"/>
    <cellStyle name="_입찰표지 _투찰서(시화조력)_순공사비(전체분)_20070504_PAC 회수금삭제" xfId="6312" xr:uid="{00000000-0005-0000-0000-0000A6180000}"/>
    <cellStyle name="_입찰표지 _투찰서(시화조력)_순공사비(전체분)_20070504_PAC 회수금삭제_0.창원반송정수장 오존공정 도입공사(정수설비)-1" xfId="6313" xr:uid="{00000000-0005-0000-0000-0000A7180000}"/>
    <cellStyle name="_입찰표지 _투찰서(시화조력)_순공사비(전체분)_20070504_PAC 회수금삭제_사본임-창원반송정수장 오존공정 도입공사(도급)-2" xfId="6314" xr:uid="{00000000-0005-0000-0000-0000A8180000}"/>
    <cellStyle name="_입찰표지 _투찰서(시화조력)_순공사비(전체분)_20070504_PAC 회수금삭제_순공사비(전체분)_20070504_PAC 회수금삭제" xfId="6315" xr:uid="{00000000-0005-0000-0000-0000A9180000}"/>
    <cellStyle name="_입찰표지 _투찰서(시화조력)_순공사비(전체분)_20070504_PAC 회수금삭제_순공사비(전체분)_20070504_PAC 회수금삭제_0.창원반송정수장 오존공정 도입공사(정수설비)-1" xfId="6316" xr:uid="{00000000-0005-0000-0000-0000AA180000}"/>
    <cellStyle name="_입찰표지 _투찰서(시화조력)_순공사비(전체분)_20070504_PAC 회수금삭제_순공사비(전체분)_20070504_PAC 회수금삭제_사본임-창원반송정수장 오존공정 도입공사(도급)-2" xfId="6317" xr:uid="{00000000-0005-0000-0000-0000AB180000}"/>
    <cellStyle name="_입찰표지 _투찰서(시화조력)_순공사비(전체분)_20070504_PAC 회수금삭제_순공사비(전체분)_20070504_PAC 회수금삭제_창원반송정수장 오존공정 도입공사(도급)-2" xfId="6318" xr:uid="{00000000-0005-0000-0000-0000AC180000}"/>
    <cellStyle name="_입찰표지 _투찰서(시화조력)_순공사비(전체분)_20070504_PAC 회수금삭제_창원반송정수장 오존공정 도입공사(도급)-2" xfId="6319" xr:uid="{00000000-0005-0000-0000-0000AD180000}"/>
    <cellStyle name="_입찰표지 _투찰서(시화조력)_창원반송정수장 오존공정 도입공사(도급)-2" xfId="6320" xr:uid="{00000000-0005-0000-0000-0000AE180000}"/>
    <cellStyle name="_자재집계표" xfId="6321" xr:uid="{00000000-0005-0000-0000-0000AF180000}"/>
    <cellStyle name="_장비견적분석" xfId="6322" xr:uid="{00000000-0005-0000-0000-0000B0180000}"/>
    <cellStyle name="_장산중학교내역(혁성)" xfId="6323" xr:uid="{00000000-0005-0000-0000-0000B1180000}"/>
    <cellStyle name="_장산중학교내역(혁성업체)" xfId="6324" xr:uid="{00000000-0005-0000-0000-0000B2180000}"/>
    <cellStyle name="_장산중학교내역하도급(혁성)" xfId="6325" xr:uid="{00000000-0005-0000-0000-0000B3180000}"/>
    <cellStyle name="_장천3공구" xfId="6326" xr:uid="{00000000-0005-0000-0000-0000B4180000}"/>
    <cellStyle name="_장천4공구" xfId="6327" xr:uid="{00000000-0005-0000-0000-0000B5180000}"/>
    <cellStyle name="_장천5공구" xfId="6328" xr:uid="{00000000-0005-0000-0000-0000B6180000}"/>
    <cellStyle name="_장천6공구" xfId="6329" xr:uid="{00000000-0005-0000-0000-0000B7180000}"/>
    <cellStyle name="_장천총괄내역수량" xfId="6330" xr:uid="{00000000-0005-0000-0000-0000B8180000}"/>
    <cellStyle name="_장흥수수시설(도시계획시설포함)" xfId="6331" xr:uid="{00000000-0005-0000-0000-0000B9180000}"/>
    <cellStyle name="_장흥하수계측제어설계내역서(최종)" xfId="6332" xr:uid="{00000000-0005-0000-0000-0000BA180000}"/>
    <cellStyle name="_적격 " xfId="6333" xr:uid="{00000000-0005-0000-0000-0000BB180000}"/>
    <cellStyle name="_적격 _0.창원반송정수장 오존공정 도입공사(정수설비)-1" xfId="6334" xr:uid="{00000000-0005-0000-0000-0000BC180000}"/>
    <cellStyle name="_적격 _2003년실행양식" xfId="6335" xr:uid="{00000000-0005-0000-0000-0000BD180000}"/>
    <cellStyle name="_적격 _2003년실행양식_4.추진공(공암)" xfId="6336" xr:uid="{00000000-0005-0000-0000-0000BE180000}"/>
    <cellStyle name="_적격 _2003년실행양식_4.추진공(공암SAMPLE" xfId="6337" xr:uid="{00000000-0005-0000-0000-0000BF180000}"/>
    <cellStyle name="_적격 _2003년실행양식_4.추진공(서산)" xfId="6338" xr:uid="{00000000-0005-0000-0000-0000C0180000}"/>
    <cellStyle name="_적격 _2003년실행양식_4.추진공(읍내)" xfId="6339" xr:uid="{00000000-0005-0000-0000-0000C1180000}"/>
    <cellStyle name="_적격 _2003년실행양식_4.추진공(황간)" xfId="6340" xr:uid="{00000000-0005-0000-0000-0000C2180000}"/>
    <cellStyle name="_적격 _2003년실행양식_영동군추진가시설수량" xfId="6341" xr:uid="{00000000-0005-0000-0000-0000C3180000}"/>
    <cellStyle name="_적격 _2003년실행양식0" xfId="6342" xr:uid="{00000000-0005-0000-0000-0000C4180000}"/>
    <cellStyle name="_적격 _2003년실행양식0_4.추진공(공암)" xfId="6343" xr:uid="{00000000-0005-0000-0000-0000C5180000}"/>
    <cellStyle name="_적격 _2003년실행양식0_4.추진공(공암SAMPLE" xfId="6344" xr:uid="{00000000-0005-0000-0000-0000C6180000}"/>
    <cellStyle name="_적격 _2003년실행양식0_4.추진공(서산)" xfId="6345" xr:uid="{00000000-0005-0000-0000-0000C7180000}"/>
    <cellStyle name="_적격 _2003년실행양식0_4.추진공(읍내)" xfId="6346" xr:uid="{00000000-0005-0000-0000-0000C8180000}"/>
    <cellStyle name="_적격 _2003년실행양식0_4.추진공(황간)" xfId="6347" xr:uid="{00000000-0005-0000-0000-0000C9180000}"/>
    <cellStyle name="_적격 _2003년실행양식0_영동군추진가시설수량" xfId="6348" xr:uid="{00000000-0005-0000-0000-0000CA180000}"/>
    <cellStyle name="_적격 _2003년실행양식-1" xfId="6349" xr:uid="{00000000-0005-0000-0000-0000CB180000}"/>
    <cellStyle name="_적격 _2003년실행양식-1_4.추진공(공암)" xfId="6350" xr:uid="{00000000-0005-0000-0000-0000CC180000}"/>
    <cellStyle name="_적격 _2003년실행양식-1_4.추진공(공암SAMPLE" xfId="6351" xr:uid="{00000000-0005-0000-0000-0000CD180000}"/>
    <cellStyle name="_적격 _2003년실행양식-1_4.추진공(서산)" xfId="6352" xr:uid="{00000000-0005-0000-0000-0000CE180000}"/>
    <cellStyle name="_적격 _2003년실행양식-1_4.추진공(읍내)" xfId="6353" xr:uid="{00000000-0005-0000-0000-0000CF180000}"/>
    <cellStyle name="_적격 _2003년실행양식-1_4.추진공(황간)" xfId="6354" xr:uid="{00000000-0005-0000-0000-0000D0180000}"/>
    <cellStyle name="_적격 _2003년실행양식-1_영동군추진가시설수량" xfId="6355" xr:uid="{00000000-0005-0000-0000-0000D1180000}"/>
    <cellStyle name="_적격 _4.추진공(공암)" xfId="6356" xr:uid="{00000000-0005-0000-0000-0000D2180000}"/>
    <cellStyle name="_적격 _4.추진공(공암SAMPLE" xfId="6357" xr:uid="{00000000-0005-0000-0000-0000D3180000}"/>
    <cellStyle name="_적격 _4.추진공(서산)" xfId="6358" xr:uid="{00000000-0005-0000-0000-0000D4180000}"/>
    <cellStyle name="_적격 _4.추진공(읍내)" xfId="6359" xr:uid="{00000000-0005-0000-0000-0000D5180000}"/>
    <cellStyle name="_적격 _4.추진공(황간)" xfId="6360" xr:uid="{00000000-0005-0000-0000-0000D6180000}"/>
    <cellStyle name="_적격 _대구도시철도3호선실시설계내역서(070206)" xfId="6361" xr:uid="{00000000-0005-0000-0000-0000D7180000}"/>
    <cellStyle name="_적격 _대구도시철도3호선실시설계내역서(070207)" xfId="6362" xr:uid="{00000000-0005-0000-0000-0000D8180000}"/>
    <cellStyle name="_적격 _사본임-창원반송정수장 오존공정 도입공사(도급)-2" xfId="6363" xr:uid="{00000000-0005-0000-0000-0000D9180000}"/>
    <cellStyle name="_적격 _산출내역(전기11.21)" xfId="6364" xr:uid="{00000000-0005-0000-0000-0000DA180000}"/>
    <cellStyle name="_적격 _산출내역(전기11.21)_0.창원반송정수장 오존공정 도입공사(정수설비)-1" xfId="6365" xr:uid="{00000000-0005-0000-0000-0000DB180000}"/>
    <cellStyle name="_적격 _산출내역(전기11.21)_사본임-창원반송정수장 오존공정 도입공사(도급)-2" xfId="6366" xr:uid="{00000000-0005-0000-0000-0000DC180000}"/>
    <cellStyle name="_적격 _산출내역(전기11.21)_순공사비(전체분)_20070504_PAC 회수금삭제" xfId="6367" xr:uid="{00000000-0005-0000-0000-0000DD180000}"/>
    <cellStyle name="_적격 _산출내역(전기11.21)_순공사비(전체분)_20070504_PAC 회수금삭제_0.창원반송정수장 오존공정 도입공사(정수설비)-1" xfId="6368" xr:uid="{00000000-0005-0000-0000-0000DE180000}"/>
    <cellStyle name="_적격 _산출내역(전기11.21)_순공사비(전체분)_20070504_PAC 회수금삭제_사본임-창원반송정수장 오존공정 도입공사(도급)-2" xfId="6369" xr:uid="{00000000-0005-0000-0000-0000DF180000}"/>
    <cellStyle name="_적격 _산출내역(전기11.21)_순공사비(전체분)_20070504_PAC 회수금삭제_순공사비(전체분)_20070504_PAC 회수금삭제" xfId="6370" xr:uid="{00000000-0005-0000-0000-0000E0180000}"/>
    <cellStyle name="_적격 _산출내역(전기11.21)_순공사비(전체분)_20070504_PAC 회수금삭제_순공사비(전체분)_20070504_PAC 회수금삭제_0.창원반송정수장 오존공정 도입공사(정수설비)-1" xfId="6371" xr:uid="{00000000-0005-0000-0000-0000E1180000}"/>
    <cellStyle name="_적격 _산출내역(전기11.21)_순공사비(전체분)_20070504_PAC 회수금삭제_순공사비(전체분)_20070504_PAC 회수금삭제_사본임-창원반송정수장 오존공정 도입공사(도급)-2" xfId="6372" xr:uid="{00000000-0005-0000-0000-0000E2180000}"/>
    <cellStyle name="_적격 _산출내역(전기11.21)_순공사비(전체분)_20070504_PAC 회수금삭제_순공사비(전체분)_20070504_PAC 회수금삭제_창원반송정수장 오존공정 도입공사(도급)-2" xfId="6373" xr:uid="{00000000-0005-0000-0000-0000E3180000}"/>
    <cellStyle name="_적격 _산출내역(전기11.21)_순공사비(전체분)_20070504_PAC 회수금삭제_창원반송정수장 오존공정 도입공사(도급)-2" xfId="6374" xr:uid="{00000000-0005-0000-0000-0000E4180000}"/>
    <cellStyle name="_적격 _산출내역(전기11.21)_창원반송정수장 오존공정 도입공사(도급)-2" xfId="6375" xr:uid="{00000000-0005-0000-0000-0000E5180000}"/>
    <cellStyle name="_적격 _산출내역(전기11.21)_총괄집계및영구설비내역12.22" xfId="6376" xr:uid="{00000000-0005-0000-0000-0000E6180000}"/>
    <cellStyle name="_적격 _산출내역(전기11.21)_총괄집계및영구설비내역12.22_0.창원반송정수장 오존공정 도입공사(정수설비)-1" xfId="6377" xr:uid="{00000000-0005-0000-0000-0000E7180000}"/>
    <cellStyle name="_적격 _산출내역(전기11.21)_총괄집계및영구설비내역12.22_사본임-창원반송정수장 오존공정 도입공사(도급)-2" xfId="6378" xr:uid="{00000000-0005-0000-0000-0000E8180000}"/>
    <cellStyle name="_적격 _산출내역(전기11.21)_총괄집계및영구설비내역12.22_순공사비(전체분)_20070504_PAC 회수금삭제" xfId="6379" xr:uid="{00000000-0005-0000-0000-0000E9180000}"/>
    <cellStyle name="_적격 _산출내역(전기11.21)_총괄집계및영구설비내역12.22_순공사비(전체분)_20070504_PAC 회수금삭제_0.창원반송정수장 오존공정 도입공사(정수설비)-1" xfId="6380" xr:uid="{00000000-0005-0000-0000-0000EA180000}"/>
    <cellStyle name="_적격 _산출내역(전기11.21)_총괄집계및영구설비내역12.22_순공사비(전체분)_20070504_PAC 회수금삭제_사본임-창원반송정수장 오존공정 도입공사(도급)-2" xfId="6381" xr:uid="{00000000-0005-0000-0000-0000EB180000}"/>
    <cellStyle name="_적격 _산출내역(전기11.21)_총괄집계및영구설비내역12.22_순공사비(전체분)_20070504_PAC 회수금삭제_순공사비(전체분)_20070504_PAC 회수금삭제" xfId="6382" xr:uid="{00000000-0005-0000-0000-0000EC180000}"/>
    <cellStyle name="_적격 _산출내역(전기11.21)_총괄집계및영구설비내역12.22_순공사비(전체분)_20070504_PAC 회수금삭제_순공사비(전체분)_20070504_PAC 회수금삭제_0.창원반송정수장 오존공정 도입공사(정수설비)-1" xfId="6383" xr:uid="{00000000-0005-0000-0000-0000ED180000}"/>
    <cellStyle name="_적격 _산출내역(전기11.21)_총괄집계및영구설비내역12.22_순공사비(전체분)_20070504_PAC 회수금삭제_순공사비(전체분)_20070504_PAC 회수금삭제_사본임-창원반송정수장 오존공정 도입공사(도급)-2" xfId="6384" xr:uid="{00000000-0005-0000-0000-0000EE180000}"/>
    <cellStyle name="_적격 _산출내역(전기11.21)_총괄집계및영구설비내역12.22_순공사비(전체분)_20070504_PAC 회수금삭제_순공사비(전체분)_20070504_PAC 회수금삭제_창원반송정수장 오존공정 도입공사(도급)-2" xfId="6385" xr:uid="{00000000-0005-0000-0000-0000EF180000}"/>
    <cellStyle name="_적격 _산출내역(전기11.21)_총괄집계및영구설비내역12.22_순공사비(전체분)_20070504_PAC 회수금삭제_창원반송정수장 오존공정 도입공사(도급)-2" xfId="6386" xr:uid="{00000000-0005-0000-0000-0000F0180000}"/>
    <cellStyle name="_적격 _산출내역(전기11.21)_총괄집계및영구설비내역12.22_창원반송정수장 오존공정 도입공사(도급)-2" xfId="6387" xr:uid="{00000000-0005-0000-0000-0000F1180000}"/>
    <cellStyle name="_적격 _산출내역서(양식검토)" xfId="6388" xr:uid="{00000000-0005-0000-0000-0000F2180000}"/>
    <cellStyle name="_적격 _산출내역서(양식검토)_0.창원반송정수장 오존공정 도입공사(정수설비)-1" xfId="6389" xr:uid="{00000000-0005-0000-0000-0000F3180000}"/>
    <cellStyle name="_적격 _산출내역서(양식검토)_사본임-창원반송정수장 오존공정 도입공사(도급)-2" xfId="6390" xr:uid="{00000000-0005-0000-0000-0000F4180000}"/>
    <cellStyle name="_적격 _산출내역서(양식검토)_순공사비(전체분)_20070504_PAC 회수금삭제" xfId="6391" xr:uid="{00000000-0005-0000-0000-0000F5180000}"/>
    <cellStyle name="_적격 _산출내역서(양식검토)_순공사비(전체분)_20070504_PAC 회수금삭제_0.창원반송정수장 오존공정 도입공사(정수설비)-1" xfId="6392" xr:uid="{00000000-0005-0000-0000-0000F6180000}"/>
    <cellStyle name="_적격 _산출내역서(양식검토)_순공사비(전체분)_20070504_PAC 회수금삭제_사본임-창원반송정수장 오존공정 도입공사(도급)-2" xfId="6393" xr:uid="{00000000-0005-0000-0000-0000F7180000}"/>
    <cellStyle name="_적격 _산출내역서(양식검토)_순공사비(전체분)_20070504_PAC 회수금삭제_순공사비(전체분)_20070504_PAC 회수금삭제" xfId="6394" xr:uid="{00000000-0005-0000-0000-0000F8180000}"/>
    <cellStyle name="_적격 _산출내역서(양식검토)_순공사비(전체분)_20070504_PAC 회수금삭제_순공사비(전체분)_20070504_PAC 회수금삭제_0.창원반송정수장 오존공정 도입공사(정수설비)-1" xfId="6395" xr:uid="{00000000-0005-0000-0000-0000F9180000}"/>
    <cellStyle name="_적격 _산출내역서(양식검토)_순공사비(전체분)_20070504_PAC 회수금삭제_순공사비(전체분)_20070504_PAC 회수금삭제_사본임-창원반송정수장 오존공정 도입공사(도급)-2" xfId="6396" xr:uid="{00000000-0005-0000-0000-0000FA180000}"/>
    <cellStyle name="_적격 _산출내역서(양식검토)_순공사비(전체분)_20070504_PAC 회수금삭제_순공사비(전체분)_20070504_PAC 회수금삭제_창원반송정수장 오존공정 도입공사(도급)-2" xfId="6397" xr:uid="{00000000-0005-0000-0000-0000FB180000}"/>
    <cellStyle name="_적격 _산출내역서(양식검토)_순공사비(전체분)_20070504_PAC 회수금삭제_창원반송정수장 오존공정 도입공사(도급)-2" xfId="6398" xr:uid="{00000000-0005-0000-0000-0000FC180000}"/>
    <cellStyle name="_적격 _산출내역서(양식검토)_창원반송정수장 오존공정 도입공사(도급)-2" xfId="6399" xr:uid="{00000000-0005-0000-0000-0000FD180000}"/>
    <cellStyle name="_적격 _순공사비(전체분)_20070504_PAC 회수금삭제" xfId="6400" xr:uid="{00000000-0005-0000-0000-0000FE180000}"/>
    <cellStyle name="_적격 _순공사비(전체분)_20070504_PAC 회수금삭제_0.창원반송정수장 오존공정 도입공사(정수설비)-1" xfId="6401" xr:uid="{00000000-0005-0000-0000-0000FF180000}"/>
    <cellStyle name="_적격 _순공사비(전체분)_20070504_PAC 회수금삭제_사본임-창원반송정수장 오존공정 도입공사(도급)-2" xfId="6402" xr:uid="{00000000-0005-0000-0000-000000190000}"/>
    <cellStyle name="_적격 _순공사비(전체분)_20070504_PAC 회수금삭제_순공사비(전체분)_20070504_PAC 회수금삭제" xfId="6403" xr:uid="{00000000-0005-0000-0000-000001190000}"/>
    <cellStyle name="_적격 _순공사비(전체분)_20070504_PAC 회수금삭제_순공사비(전체분)_20070504_PAC 회수금삭제_0.창원반송정수장 오존공정 도입공사(정수설비)-1" xfId="6404" xr:uid="{00000000-0005-0000-0000-000002190000}"/>
    <cellStyle name="_적격 _순공사비(전체분)_20070504_PAC 회수금삭제_순공사비(전체분)_20070504_PAC 회수금삭제_사본임-창원반송정수장 오존공정 도입공사(도급)-2" xfId="6405" xr:uid="{00000000-0005-0000-0000-000003190000}"/>
    <cellStyle name="_적격 _순공사비(전체분)_20070504_PAC 회수금삭제_순공사비(전체분)_20070504_PAC 회수금삭제_창원반송정수장 오존공정 도입공사(도급)-2" xfId="6406" xr:uid="{00000000-0005-0000-0000-000004190000}"/>
    <cellStyle name="_적격 _순공사비(전체분)_20070504_PAC 회수금삭제_창원반송정수장 오존공정 도입공사(도급)-2" xfId="6407" xr:uid="{00000000-0005-0000-0000-000005190000}"/>
    <cellStyle name="_적격 _실행내역2001년1월변경" xfId="6408" xr:uid="{00000000-0005-0000-0000-000006190000}"/>
    <cellStyle name="_적격 _실행내역2001년1월변경_2003년실행양식" xfId="6409" xr:uid="{00000000-0005-0000-0000-000007190000}"/>
    <cellStyle name="_적격 _실행내역2001년1월변경_2003년실행양식_4.추진공(공암)" xfId="6410" xr:uid="{00000000-0005-0000-0000-000008190000}"/>
    <cellStyle name="_적격 _실행내역2001년1월변경_2003년실행양식_4.추진공(공암SAMPLE" xfId="6411" xr:uid="{00000000-0005-0000-0000-000009190000}"/>
    <cellStyle name="_적격 _실행내역2001년1월변경_2003년실행양식_4.추진공(서산)" xfId="6412" xr:uid="{00000000-0005-0000-0000-00000A190000}"/>
    <cellStyle name="_적격 _실행내역2001년1월변경_2003년실행양식_4.추진공(읍내)" xfId="6413" xr:uid="{00000000-0005-0000-0000-00000B190000}"/>
    <cellStyle name="_적격 _실행내역2001년1월변경_2003년실행양식_4.추진공(황간)" xfId="6414" xr:uid="{00000000-0005-0000-0000-00000C190000}"/>
    <cellStyle name="_적격 _실행내역2001년1월변경_2003년실행양식_영동군추진가시설수량" xfId="6415" xr:uid="{00000000-0005-0000-0000-00000D190000}"/>
    <cellStyle name="_적격 _실행내역2001년1월변경_2003년실행양식0" xfId="6416" xr:uid="{00000000-0005-0000-0000-00000E190000}"/>
    <cellStyle name="_적격 _실행내역2001년1월변경_2003년실행양식0_4.추진공(공암)" xfId="6417" xr:uid="{00000000-0005-0000-0000-00000F190000}"/>
    <cellStyle name="_적격 _실행내역2001년1월변경_2003년실행양식0_4.추진공(공암SAMPLE" xfId="6418" xr:uid="{00000000-0005-0000-0000-000010190000}"/>
    <cellStyle name="_적격 _실행내역2001년1월변경_2003년실행양식0_4.추진공(서산)" xfId="6419" xr:uid="{00000000-0005-0000-0000-000011190000}"/>
    <cellStyle name="_적격 _실행내역2001년1월변경_2003년실행양식0_4.추진공(읍내)" xfId="6420" xr:uid="{00000000-0005-0000-0000-000012190000}"/>
    <cellStyle name="_적격 _실행내역2001년1월변경_2003년실행양식0_4.추진공(황간)" xfId="6421" xr:uid="{00000000-0005-0000-0000-000013190000}"/>
    <cellStyle name="_적격 _실행내역2001년1월변경_2003년실행양식0_영동군추진가시설수량" xfId="6422" xr:uid="{00000000-0005-0000-0000-000014190000}"/>
    <cellStyle name="_적격 _실행내역2001년1월변경_2003년실행양식-1" xfId="6423" xr:uid="{00000000-0005-0000-0000-000015190000}"/>
    <cellStyle name="_적격 _실행내역2001년1월변경_2003년실행양식-1_4.추진공(공암)" xfId="6424" xr:uid="{00000000-0005-0000-0000-000016190000}"/>
    <cellStyle name="_적격 _실행내역2001년1월변경_2003년실행양식-1_4.추진공(공암SAMPLE" xfId="6425" xr:uid="{00000000-0005-0000-0000-000017190000}"/>
    <cellStyle name="_적격 _실행내역2001년1월변경_2003년실행양식-1_4.추진공(서산)" xfId="6426" xr:uid="{00000000-0005-0000-0000-000018190000}"/>
    <cellStyle name="_적격 _실행내역2001년1월변경_2003년실행양식-1_4.추진공(읍내)" xfId="6427" xr:uid="{00000000-0005-0000-0000-000019190000}"/>
    <cellStyle name="_적격 _실행내역2001년1월변경_2003년실행양식-1_4.추진공(황간)" xfId="6428" xr:uid="{00000000-0005-0000-0000-00001A190000}"/>
    <cellStyle name="_적격 _실행내역2001년1월변경_2003년실행양식-1_영동군추진가시설수량" xfId="6429" xr:uid="{00000000-0005-0000-0000-00001B190000}"/>
    <cellStyle name="_적격 _실행내역2001년1월변경_4.추진공(공암)" xfId="6430" xr:uid="{00000000-0005-0000-0000-00001C190000}"/>
    <cellStyle name="_적격 _실행내역2001년1월변경_4.추진공(공암SAMPLE" xfId="6431" xr:uid="{00000000-0005-0000-0000-00001D190000}"/>
    <cellStyle name="_적격 _실행내역2001년1월변경_4.추진공(서산)" xfId="6432" xr:uid="{00000000-0005-0000-0000-00001E190000}"/>
    <cellStyle name="_적격 _실행내역2001년1월변경_4.추진공(읍내)" xfId="6433" xr:uid="{00000000-0005-0000-0000-00001F190000}"/>
    <cellStyle name="_적격 _실행내역2001년1월변경_4.추진공(황간)" xfId="6434" xr:uid="{00000000-0005-0000-0000-000020190000}"/>
    <cellStyle name="_적격 _실행내역2001년1월변경_영동군추진가시설수량" xfId="6435" xr:uid="{00000000-0005-0000-0000-000021190000}"/>
    <cellStyle name="_적격 _영동군추진가시설수량" xfId="6436" xr:uid="{00000000-0005-0000-0000-000022190000}"/>
    <cellStyle name="_적격 _원가계산서" xfId="6437" xr:uid="{00000000-0005-0000-0000-000023190000}"/>
    <cellStyle name="_적격 _원가계산서,총괄산출내역서-2005" xfId="6438" xr:uid="{00000000-0005-0000-0000-000024190000}"/>
    <cellStyle name="_적격 _원가계산서,총괄산출내역서-2005_0.창원반송정수장 오존공정 도입공사(정수설비)-1" xfId="6439" xr:uid="{00000000-0005-0000-0000-000025190000}"/>
    <cellStyle name="_적격 _원가계산서,총괄산출내역서-2005_사본임-창원반송정수장 오존공정 도입공사(도급)-2" xfId="6440" xr:uid="{00000000-0005-0000-0000-000026190000}"/>
    <cellStyle name="_적격 _원가계산서,총괄산출내역서-2005_순공사비(전체분)_20070504_PAC 회수금삭제" xfId="6441" xr:uid="{00000000-0005-0000-0000-000027190000}"/>
    <cellStyle name="_적격 _원가계산서,총괄산출내역서-2005_순공사비(전체분)_20070504_PAC 회수금삭제_0.창원반송정수장 오존공정 도입공사(정수설비)-1" xfId="6442" xr:uid="{00000000-0005-0000-0000-000028190000}"/>
    <cellStyle name="_적격 _원가계산서,총괄산출내역서-2005_순공사비(전체분)_20070504_PAC 회수금삭제_사본임-창원반송정수장 오존공정 도입공사(도급)-2" xfId="6443" xr:uid="{00000000-0005-0000-0000-000029190000}"/>
    <cellStyle name="_적격 _원가계산서,총괄산출내역서-2005_순공사비(전체분)_20070504_PAC 회수금삭제_순공사비(전체분)_20070504_PAC 회수금삭제" xfId="6444" xr:uid="{00000000-0005-0000-0000-00002A190000}"/>
    <cellStyle name="_적격 _원가계산서,총괄산출내역서-2005_순공사비(전체분)_20070504_PAC 회수금삭제_순공사비(전체분)_20070504_PAC 회수금삭제_0.창원반송정수장 오존공정 도입공사(정수설비)-1" xfId="6445" xr:uid="{00000000-0005-0000-0000-00002B190000}"/>
    <cellStyle name="_적격 _원가계산서,총괄산출내역서-2005_순공사비(전체분)_20070504_PAC 회수금삭제_순공사비(전체분)_20070504_PAC 회수금삭제_사본임-창원반송정수장 오존공정 도입공사(도급)-2" xfId="6446" xr:uid="{00000000-0005-0000-0000-00002C190000}"/>
    <cellStyle name="_적격 _원가계산서,총괄산출내역서-2005_순공사비(전체분)_20070504_PAC 회수금삭제_순공사비(전체분)_20070504_PAC 회수금삭제_창원반송정수장 오존공정 도입공사(도급)-2" xfId="6447" xr:uid="{00000000-0005-0000-0000-00002D190000}"/>
    <cellStyle name="_적격 _원가계산서,총괄산출내역서-2005_순공사비(전체분)_20070504_PAC 회수금삭제_창원반송정수장 오존공정 도입공사(도급)-2" xfId="6448" xr:uid="{00000000-0005-0000-0000-00002E190000}"/>
    <cellStyle name="_적격 _원가계산서,총괄산출내역서-2005_창원반송정수장 오존공정 도입공사(도급)-2" xfId="6449" xr:uid="{00000000-0005-0000-0000-00002F190000}"/>
    <cellStyle name="_적격 _원가계산서_0.창원반송정수장 오존공정 도입공사(정수설비)-1" xfId="6450" xr:uid="{00000000-0005-0000-0000-000030190000}"/>
    <cellStyle name="_적격 _원가계산서_사본임-창원반송정수장 오존공정 도입공사(도급)-2" xfId="6451" xr:uid="{00000000-0005-0000-0000-000031190000}"/>
    <cellStyle name="_적격 _원가계산서_순공사비(전체분)_20070504_PAC 회수금삭제" xfId="6452" xr:uid="{00000000-0005-0000-0000-000032190000}"/>
    <cellStyle name="_적격 _원가계산서_순공사비(전체분)_20070504_PAC 회수금삭제_0.창원반송정수장 오존공정 도입공사(정수설비)-1" xfId="6453" xr:uid="{00000000-0005-0000-0000-000033190000}"/>
    <cellStyle name="_적격 _원가계산서_순공사비(전체분)_20070504_PAC 회수금삭제_사본임-창원반송정수장 오존공정 도입공사(도급)-2" xfId="6454" xr:uid="{00000000-0005-0000-0000-000034190000}"/>
    <cellStyle name="_적격 _원가계산서_순공사비(전체분)_20070504_PAC 회수금삭제_순공사비(전체분)_20070504_PAC 회수금삭제" xfId="6455" xr:uid="{00000000-0005-0000-0000-000035190000}"/>
    <cellStyle name="_적격 _원가계산서_순공사비(전체분)_20070504_PAC 회수금삭제_순공사비(전체분)_20070504_PAC 회수금삭제_0.창원반송정수장 오존공정 도입공사(정수설비)-1" xfId="6456" xr:uid="{00000000-0005-0000-0000-000036190000}"/>
    <cellStyle name="_적격 _원가계산서_순공사비(전체분)_20070504_PAC 회수금삭제_순공사비(전체분)_20070504_PAC 회수금삭제_사본임-창원반송정수장 오존공정 도입공사(도급)-2" xfId="6457" xr:uid="{00000000-0005-0000-0000-000037190000}"/>
    <cellStyle name="_적격 _원가계산서_순공사비(전체분)_20070504_PAC 회수금삭제_순공사비(전체분)_20070504_PAC 회수금삭제_창원반송정수장 오존공정 도입공사(도급)-2" xfId="6458" xr:uid="{00000000-0005-0000-0000-000038190000}"/>
    <cellStyle name="_적격 _원가계산서_순공사비(전체분)_20070504_PAC 회수금삭제_창원반송정수장 오존공정 도입공사(도급)-2" xfId="6459" xr:uid="{00000000-0005-0000-0000-000039190000}"/>
    <cellStyle name="_적격 _원가계산서_창원반송정수장 오존공정 도입공사(도급)-2" xfId="6460" xr:uid="{00000000-0005-0000-0000-00003A190000}"/>
    <cellStyle name="_적격 _집행갑지 " xfId="6461" xr:uid="{00000000-0005-0000-0000-00003B190000}"/>
    <cellStyle name="_적격 _집행갑지 _2003년실행양식" xfId="6462" xr:uid="{00000000-0005-0000-0000-00003C190000}"/>
    <cellStyle name="_적격 _집행갑지 _2003년실행양식_4.추진공(공암)" xfId="6463" xr:uid="{00000000-0005-0000-0000-00003D190000}"/>
    <cellStyle name="_적격 _집행갑지 _2003년실행양식_4.추진공(공암SAMPLE" xfId="6464" xr:uid="{00000000-0005-0000-0000-00003E190000}"/>
    <cellStyle name="_적격 _집행갑지 _2003년실행양식_4.추진공(서산)" xfId="6465" xr:uid="{00000000-0005-0000-0000-00003F190000}"/>
    <cellStyle name="_적격 _집행갑지 _2003년실행양식_4.추진공(읍내)" xfId="6466" xr:uid="{00000000-0005-0000-0000-000040190000}"/>
    <cellStyle name="_적격 _집행갑지 _2003년실행양식_4.추진공(황간)" xfId="6467" xr:uid="{00000000-0005-0000-0000-000041190000}"/>
    <cellStyle name="_적격 _집행갑지 _2003년실행양식_영동군추진가시설수량" xfId="6468" xr:uid="{00000000-0005-0000-0000-000042190000}"/>
    <cellStyle name="_적격 _집행갑지 _2003년실행양식0" xfId="6469" xr:uid="{00000000-0005-0000-0000-000043190000}"/>
    <cellStyle name="_적격 _집행갑지 _2003년실행양식0_4.추진공(공암)" xfId="6470" xr:uid="{00000000-0005-0000-0000-000044190000}"/>
    <cellStyle name="_적격 _집행갑지 _2003년실행양식0_4.추진공(공암SAMPLE" xfId="6471" xr:uid="{00000000-0005-0000-0000-000045190000}"/>
    <cellStyle name="_적격 _집행갑지 _2003년실행양식0_4.추진공(서산)" xfId="6472" xr:uid="{00000000-0005-0000-0000-000046190000}"/>
    <cellStyle name="_적격 _집행갑지 _2003년실행양식0_4.추진공(읍내)" xfId="6473" xr:uid="{00000000-0005-0000-0000-000047190000}"/>
    <cellStyle name="_적격 _집행갑지 _2003년실행양식0_4.추진공(황간)" xfId="6474" xr:uid="{00000000-0005-0000-0000-000048190000}"/>
    <cellStyle name="_적격 _집행갑지 _2003년실행양식0_영동군추진가시설수량" xfId="6475" xr:uid="{00000000-0005-0000-0000-000049190000}"/>
    <cellStyle name="_적격 _집행갑지 _2003년실행양식-1" xfId="6476" xr:uid="{00000000-0005-0000-0000-00004A190000}"/>
    <cellStyle name="_적격 _집행갑지 _2003년실행양식-1_4.추진공(공암)" xfId="6477" xr:uid="{00000000-0005-0000-0000-00004B190000}"/>
    <cellStyle name="_적격 _집행갑지 _2003년실행양식-1_4.추진공(공암SAMPLE" xfId="6478" xr:uid="{00000000-0005-0000-0000-00004C190000}"/>
    <cellStyle name="_적격 _집행갑지 _2003년실행양식-1_4.추진공(서산)" xfId="6479" xr:uid="{00000000-0005-0000-0000-00004D190000}"/>
    <cellStyle name="_적격 _집행갑지 _2003년실행양식-1_4.추진공(읍내)" xfId="6480" xr:uid="{00000000-0005-0000-0000-00004E190000}"/>
    <cellStyle name="_적격 _집행갑지 _2003년실행양식-1_4.추진공(황간)" xfId="6481" xr:uid="{00000000-0005-0000-0000-00004F190000}"/>
    <cellStyle name="_적격 _집행갑지 _2003년실행양식-1_영동군추진가시설수량" xfId="6482" xr:uid="{00000000-0005-0000-0000-000050190000}"/>
    <cellStyle name="_적격 _집행갑지 _4.추진공(공암)" xfId="6483" xr:uid="{00000000-0005-0000-0000-000051190000}"/>
    <cellStyle name="_적격 _집행갑지 _4.추진공(공암SAMPLE" xfId="6484" xr:uid="{00000000-0005-0000-0000-000052190000}"/>
    <cellStyle name="_적격 _집행갑지 _4.추진공(서산)" xfId="6485" xr:uid="{00000000-0005-0000-0000-000053190000}"/>
    <cellStyle name="_적격 _집행갑지 _4.추진공(읍내)" xfId="6486" xr:uid="{00000000-0005-0000-0000-000054190000}"/>
    <cellStyle name="_적격 _집행갑지 _4.추진공(황간)" xfId="6487" xr:uid="{00000000-0005-0000-0000-000055190000}"/>
    <cellStyle name="_적격 _집행갑지 _대구도시철도3호선실시설계내역서(070206)" xfId="6488" xr:uid="{00000000-0005-0000-0000-000056190000}"/>
    <cellStyle name="_적격 _집행갑지 _대구도시철도3호선실시설계내역서(070207)" xfId="6489" xr:uid="{00000000-0005-0000-0000-000057190000}"/>
    <cellStyle name="_적격 _집행갑지 _실행내역2001년1월변경" xfId="6490" xr:uid="{00000000-0005-0000-0000-000058190000}"/>
    <cellStyle name="_적격 _집행갑지 _실행내역2001년1월변경_2003년실행양식" xfId="6491" xr:uid="{00000000-0005-0000-0000-000059190000}"/>
    <cellStyle name="_적격 _집행갑지 _실행내역2001년1월변경_2003년실행양식_4.추진공(공암)" xfId="6492" xr:uid="{00000000-0005-0000-0000-00005A190000}"/>
    <cellStyle name="_적격 _집행갑지 _실행내역2001년1월변경_2003년실행양식_4.추진공(공암SAMPLE" xfId="6493" xr:uid="{00000000-0005-0000-0000-00005B190000}"/>
    <cellStyle name="_적격 _집행갑지 _실행내역2001년1월변경_2003년실행양식_4.추진공(서산)" xfId="6494" xr:uid="{00000000-0005-0000-0000-00005C190000}"/>
    <cellStyle name="_적격 _집행갑지 _실행내역2001년1월변경_2003년실행양식_4.추진공(읍내)" xfId="6495" xr:uid="{00000000-0005-0000-0000-00005D190000}"/>
    <cellStyle name="_적격 _집행갑지 _실행내역2001년1월변경_2003년실행양식_4.추진공(황간)" xfId="6496" xr:uid="{00000000-0005-0000-0000-00005E190000}"/>
    <cellStyle name="_적격 _집행갑지 _실행내역2001년1월변경_2003년실행양식_영동군추진가시설수량" xfId="6497" xr:uid="{00000000-0005-0000-0000-00005F190000}"/>
    <cellStyle name="_적격 _집행갑지 _실행내역2001년1월변경_2003년실행양식0" xfId="6498" xr:uid="{00000000-0005-0000-0000-000060190000}"/>
    <cellStyle name="_적격 _집행갑지 _실행내역2001년1월변경_2003년실행양식0_4.추진공(공암)" xfId="6499" xr:uid="{00000000-0005-0000-0000-000061190000}"/>
    <cellStyle name="_적격 _집행갑지 _실행내역2001년1월변경_2003년실행양식0_4.추진공(공암SAMPLE" xfId="6500" xr:uid="{00000000-0005-0000-0000-000062190000}"/>
    <cellStyle name="_적격 _집행갑지 _실행내역2001년1월변경_2003년실행양식0_4.추진공(서산)" xfId="6501" xr:uid="{00000000-0005-0000-0000-000063190000}"/>
    <cellStyle name="_적격 _집행갑지 _실행내역2001년1월변경_2003년실행양식0_4.추진공(읍내)" xfId="6502" xr:uid="{00000000-0005-0000-0000-000064190000}"/>
    <cellStyle name="_적격 _집행갑지 _실행내역2001년1월변경_2003년실행양식0_4.추진공(황간)" xfId="6503" xr:uid="{00000000-0005-0000-0000-000065190000}"/>
    <cellStyle name="_적격 _집행갑지 _실행내역2001년1월변경_2003년실행양식0_영동군추진가시설수량" xfId="6504" xr:uid="{00000000-0005-0000-0000-000066190000}"/>
    <cellStyle name="_적격 _집행갑지 _실행내역2001년1월변경_2003년실행양식-1" xfId="6505" xr:uid="{00000000-0005-0000-0000-000067190000}"/>
    <cellStyle name="_적격 _집행갑지 _실행내역2001년1월변경_2003년실행양식-1_4.추진공(공암)" xfId="6506" xr:uid="{00000000-0005-0000-0000-000068190000}"/>
    <cellStyle name="_적격 _집행갑지 _실행내역2001년1월변경_2003년실행양식-1_4.추진공(공암SAMPLE" xfId="6507" xr:uid="{00000000-0005-0000-0000-000069190000}"/>
    <cellStyle name="_적격 _집행갑지 _실행내역2001년1월변경_2003년실행양식-1_4.추진공(서산)" xfId="6508" xr:uid="{00000000-0005-0000-0000-00006A190000}"/>
    <cellStyle name="_적격 _집행갑지 _실행내역2001년1월변경_2003년실행양식-1_4.추진공(읍내)" xfId="6509" xr:uid="{00000000-0005-0000-0000-00006B190000}"/>
    <cellStyle name="_적격 _집행갑지 _실행내역2001년1월변경_2003년실행양식-1_4.추진공(황간)" xfId="6510" xr:uid="{00000000-0005-0000-0000-00006C190000}"/>
    <cellStyle name="_적격 _집행갑지 _실행내역2001년1월변경_2003년실행양식-1_영동군추진가시설수량" xfId="6511" xr:uid="{00000000-0005-0000-0000-00006D190000}"/>
    <cellStyle name="_적격 _집행갑지 _실행내역2001년1월변경_4.추진공(공암)" xfId="6512" xr:uid="{00000000-0005-0000-0000-00006E190000}"/>
    <cellStyle name="_적격 _집행갑지 _실행내역2001년1월변경_4.추진공(공암SAMPLE" xfId="6513" xr:uid="{00000000-0005-0000-0000-00006F190000}"/>
    <cellStyle name="_적격 _집행갑지 _실행내역2001년1월변경_4.추진공(서산)" xfId="6514" xr:uid="{00000000-0005-0000-0000-000070190000}"/>
    <cellStyle name="_적격 _집행갑지 _실행내역2001년1월변경_4.추진공(읍내)" xfId="6515" xr:uid="{00000000-0005-0000-0000-000071190000}"/>
    <cellStyle name="_적격 _집행갑지 _실행내역2001년1월변경_4.추진공(황간)" xfId="6516" xr:uid="{00000000-0005-0000-0000-000072190000}"/>
    <cellStyle name="_적격 _집행갑지 _실행내역2001년1월변경_영동군추진가시설수량" xfId="6517" xr:uid="{00000000-0005-0000-0000-000073190000}"/>
    <cellStyle name="_적격 _집행갑지 _영동군추진가시설수량" xfId="6518" xr:uid="{00000000-0005-0000-0000-000074190000}"/>
    <cellStyle name="_적격 _창원반송정수장 오존공정 도입공사(도급)-2" xfId="6519" xr:uid="{00000000-0005-0000-0000-000075190000}"/>
    <cellStyle name="_적격 _총괄집계및영구설비내역12.22" xfId="6520" xr:uid="{00000000-0005-0000-0000-000076190000}"/>
    <cellStyle name="_적격 _총괄집계및영구설비내역12.22_0.창원반송정수장 오존공정 도입공사(정수설비)-1" xfId="6521" xr:uid="{00000000-0005-0000-0000-000077190000}"/>
    <cellStyle name="_적격 _총괄집계및영구설비내역12.22_사본임-창원반송정수장 오존공정 도입공사(도급)-2" xfId="6522" xr:uid="{00000000-0005-0000-0000-000078190000}"/>
    <cellStyle name="_적격 _총괄집계및영구설비내역12.22_순공사비(전체분)_20070504_PAC 회수금삭제" xfId="6523" xr:uid="{00000000-0005-0000-0000-000079190000}"/>
    <cellStyle name="_적격 _총괄집계및영구설비내역12.22_순공사비(전체분)_20070504_PAC 회수금삭제_0.창원반송정수장 오존공정 도입공사(정수설비)-1" xfId="6524" xr:uid="{00000000-0005-0000-0000-00007A190000}"/>
    <cellStyle name="_적격 _총괄집계및영구설비내역12.22_순공사비(전체분)_20070504_PAC 회수금삭제_사본임-창원반송정수장 오존공정 도입공사(도급)-2" xfId="6525" xr:uid="{00000000-0005-0000-0000-00007B190000}"/>
    <cellStyle name="_적격 _총괄집계및영구설비내역12.22_순공사비(전체분)_20070504_PAC 회수금삭제_순공사비(전체분)_20070504_PAC 회수금삭제" xfId="6526" xr:uid="{00000000-0005-0000-0000-00007C190000}"/>
    <cellStyle name="_적격 _총괄집계및영구설비내역12.22_순공사비(전체분)_20070504_PAC 회수금삭제_순공사비(전체분)_20070504_PAC 회수금삭제_0.창원반송정수장 오존공정 도입공사(정수설비)-1" xfId="6527" xr:uid="{00000000-0005-0000-0000-00007D190000}"/>
    <cellStyle name="_적격 _총괄집계및영구설비내역12.22_순공사비(전체분)_20070504_PAC 회수금삭제_순공사비(전체분)_20070504_PAC 회수금삭제_사본임-창원반송정수장 오존공정 도입공사(도급)-2" xfId="6528" xr:uid="{00000000-0005-0000-0000-00007E190000}"/>
    <cellStyle name="_적격 _총괄집계및영구설비내역12.22_순공사비(전체분)_20070504_PAC 회수금삭제_순공사비(전체분)_20070504_PAC 회수금삭제_창원반송정수장 오존공정 도입공사(도급)-2" xfId="6529" xr:uid="{00000000-0005-0000-0000-00007F190000}"/>
    <cellStyle name="_적격 _총괄집계및영구설비내역12.22_순공사비(전체분)_20070504_PAC 회수금삭제_창원반송정수장 오존공정 도입공사(도급)-2" xfId="6530" xr:uid="{00000000-0005-0000-0000-000080190000}"/>
    <cellStyle name="_적격 _총괄집계및영구설비내역12.22_창원반송정수장 오존공정 도입공사(도급)-2" xfId="6531" xr:uid="{00000000-0005-0000-0000-000081190000}"/>
    <cellStyle name="_적격 _총괄집계및영구설비내역12.22_총괄집계및영구설비내역12.22" xfId="6532" xr:uid="{00000000-0005-0000-0000-000082190000}"/>
    <cellStyle name="_적격 _총괄집계및영구설비내역12.22_총괄집계및영구설비내역12.22_0.창원반송정수장 오존공정 도입공사(정수설비)-1" xfId="6533" xr:uid="{00000000-0005-0000-0000-000083190000}"/>
    <cellStyle name="_적격 _총괄집계및영구설비내역12.22_총괄집계및영구설비내역12.22_사본임-창원반송정수장 오존공정 도입공사(도급)-2" xfId="6534" xr:uid="{00000000-0005-0000-0000-000084190000}"/>
    <cellStyle name="_적격 _총괄집계및영구설비내역12.22_총괄집계및영구설비내역12.22_순공사비(전체분)_20070504_PAC 회수금삭제" xfId="6535" xr:uid="{00000000-0005-0000-0000-000085190000}"/>
    <cellStyle name="_적격 _총괄집계및영구설비내역12.22_총괄집계및영구설비내역12.22_순공사비(전체분)_20070504_PAC 회수금삭제_0.창원반송정수장 오존공정 도입공사(정수설비)-1" xfId="6536" xr:uid="{00000000-0005-0000-0000-000086190000}"/>
    <cellStyle name="_적격 _총괄집계및영구설비내역12.22_총괄집계및영구설비내역12.22_순공사비(전체분)_20070504_PAC 회수금삭제_사본임-창원반송정수장 오존공정 도입공사(도급)-2" xfId="6537" xr:uid="{00000000-0005-0000-0000-000087190000}"/>
    <cellStyle name="_적격 _총괄집계및영구설비내역12.22_총괄집계및영구설비내역12.22_순공사비(전체분)_20070504_PAC 회수금삭제_순공사비(전체분)_20070504_PAC 회수금삭제" xfId="6538" xr:uid="{00000000-0005-0000-0000-000088190000}"/>
    <cellStyle name="_적격 _총괄집계및영구설비내역12.22_총괄집계및영구설비내역12.22_순공사비(전체분)_20070504_PAC 회수금삭제_순공사비(전체분)_20070504_PAC 회수금삭제_0.창원반송정수장 오존공정 도입공사(정수설비)-1" xfId="6539" xr:uid="{00000000-0005-0000-0000-000089190000}"/>
    <cellStyle name="_적격 _총괄집계및영구설비내역12.22_총괄집계및영구설비내역12.22_순공사비(전체분)_20070504_PAC 회수금삭제_순공사비(전체분)_20070504_PAC 회수금삭제_사본임-창원반송정수장 오존공정 도입공사(도급)-2" xfId="6540" xr:uid="{00000000-0005-0000-0000-00008A190000}"/>
    <cellStyle name="_적격 _총괄집계및영구설비내역12.22_총괄집계및영구설비내역12.22_순공사비(전체분)_20070504_PAC 회수금삭제_순공사비(전체분)_20070504_PAC 회수금삭제_창원반송정수장 오존공정 도입공사(도급)-2" xfId="6541" xr:uid="{00000000-0005-0000-0000-00008B190000}"/>
    <cellStyle name="_적격 _총괄집계및영구설비내역12.22_총괄집계및영구설비내역12.22_순공사비(전체분)_20070504_PAC 회수금삭제_창원반송정수장 오존공정 도입공사(도급)-2" xfId="6542" xr:uid="{00000000-0005-0000-0000-00008C190000}"/>
    <cellStyle name="_적격 _총괄집계및영구설비내역12.22_총괄집계및영구설비내역12.22_창원반송정수장 오존공정 도입공사(도급)-2" xfId="6543" xr:uid="{00000000-0005-0000-0000-00008D190000}"/>
    <cellStyle name="_적격 _투찰서(시화)" xfId="6544" xr:uid="{00000000-0005-0000-0000-00008E190000}"/>
    <cellStyle name="_적격 _투찰서(시화)_0.창원반송정수장 오존공정 도입공사(정수설비)-1" xfId="6545" xr:uid="{00000000-0005-0000-0000-00008F190000}"/>
    <cellStyle name="_적격 _투찰서(시화)_사본임-창원반송정수장 오존공정 도입공사(도급)-2" xfId="6546" xr:uid="{00000000-0005-0000-0000-000090190000}"/>
    <cellStyle name="_적격 _투찰서(시화)_순공사비(전체분)_20070504_PAC 회수금삭제" xfId="6547" xr:uid="{00000000-0005-0000-0000-000091190000}"/>
    <cellStyle name="_적격 _투찰서(시화)_순공사비(전체분)_20070504_PAC 회수금삭제_0.창원반송정수장 오존공정 도입공사(정수설비)-1" xfId="6548" xr:uid="{00000000-0005-0000-0000-000092190000}"/>
    <cellStyle name="_적격 _투찰서(시화)_순공사비(전체분)_20070504_PAC 회수금삭제_사본임-창원반송정수장 오존공정 도입공사(도급)-2" xfId="6549" xr:uid="{00000000-0005-0000-0000-000093190000}"/>
    <cellStyle name="_적격 _투찰서(시화)_순공사비(전체분)_20070504_PAC 회수금삭제_순공사비(전체분)_20070504_PAC 회수금삭제" xfId="6550" xr:uid="{00000000-0005-0000-0000-000094190000}"/>
    <cellStyle name="_적격 _투찰서(시화)_순공사비(전체분)_20070504_PAC 회수금삭제_순공사비(전체분)_20070504_PAC 회수금삭제_0.창원반송정수장 오존공정 도입공사(정수설비)-1" xfId="6551" xr:uid="{00000000-0005-0000-0000-000095190000}"/>
    <cellStyle name="_적격 _투찰서(시화)_순공사비(전체분)_20070504_PAC 회수금삭제_순공사비(전체분)_20070504_PAC 회수금삭제_사본임-창원반송정수장 오존공정 도입공사(도급)-2" xfId="6552" xr:uid="{00000000-0005-0000-0000-000096190000}"/>
    <cellStyle name="_적격 _투찰서(시화)_순공사비(전체분)_20070504_PAC 회수금삭제_순공사비(전체분)_20070504_PAC 회수금삭제_창원반송정수장 오존공정 도입공사(도급)-2" xfId="6553" xr:uid="{00000000-0005-0000-0000-000097190000}"/>
    <cellStyle name="_적격 _투찰서(시화)_순공사비(전체분)_20070504_PAC 회수금삭제_창원반송정수장 오존공정 도입공사(도급)-2" xfId="6554" xr:uid="{00000000-0005-0000-0000-000098190000}"/>
    <cellStyle name="_적격 _투찰서(시화)_창원반송정수장 오존공정 도입공사(도급)-2" xfId="6555" xr:uid="{00000000-0005-0000-0000-000099190000}"/>
    <cellStyle name="_적격 _투찰서(시화조력)" xfId="6556" xr:uid="{00000000-0005-0000-0000-00009A190000}"/>
    <cellStyle name="_적격 _투찰서(시화조력)_0.창원반송정수장 오존공정 도입공사(정수설비)-1" xfId="6557" xr:uid="{00000000-0005-0000-0000-00009B190000}"/>
    <cellStyle name="_적격 _투찰서(시화조력)_사본임-창원반송정수장 오존공정 도입공사(도급)-2" xfId="6558" xr:uid="{00000000-0005-0000-0000-00009C190000}"/>
    <cellStyle name="_적격 _투찰서(시화조력)_순공사비(전체분)_20070504_PAC 회수금삭제" xfId="6559" xr:uid="{00000000-0005-0000-0000-00009D190000}"/>
    <cellStyle name="_적격 _투찰서(시화조력)_순공사비(전체분)_20070504_PAC 회수금삭제_0.창원반송정수장 오존공정 도입공사(정수설비)-1" xfId="6560" xr:uid="{00000000-0005-0000-0000-00009E190000}"/>
    <cellStyle name="_적격 _투찰서(시화조력)_순공사비(전체분)_20070504_PAC 회수금삭제_사본임-창원반송정수장 오존공정 도입공사(도급)-2" xfId="6561" xr:uid="{00000000-0005-0000-0000-00009F190000}"/>
    <cellStyle name="_적격 _투찰서(시화조력)_순공사비(전체분)_20070504_PAC 회수금삭제_순공사비(전체분)_20070504_PAC 회수금삭제" xfId="6562" xr:uid="{00000000-0005-0000-0000-0000A0190000}"/>
    <cellStyle name="_적격 _투찰서(시화조력)_순공사비(전체분)_20070504_PAC 회수금삭제_순공사비(전체분)_20070504_PAC 회수금삭제_0.창원반송정수장 오존공정 도입공사(정수설비)-1" xfId="6563" xr:uid="{00000000-0005-0000-0000-0000A1190000}"/>
    <cellStyle name="_적격 _투찰서(시화조력)_순공사비(전체분)_20070504_PAC 회수금삭제_순공사비(전체분)_20070504_PAC 회수금삭제_사본임-창원반송정수장 오존공정 도입공사(도급)-2" xfId="6564" xr:uid="{00000000-0005-0000-0000-0000A2190000}"/>
    <cellStyle name="_적격 _투찰서(시화조력)_순공사비(전체분)_20070504_PAC 회수금삭제_순공사비(전체분)_20070504_PAC 회수금삭제_창원반송정수장 오존공정 도입공사(도급)-2" xfId="6565" xr:uid="{00000000-0005-0000-0000-0000A3190000}"/>
    <cellStyle name="_적격 _투찰서(시화조력)_순공사비(전체분)_20070504_PAC 회수금삭제_창원반송정수장 오존공정 도입공사(도급)-2" xfId="6566" xr:uid="{00000000-0005-0000-0000-0000A4190000}"/>
    <cellStyle name="_적격 _투찰서(시화조력)_창원반송정수장 오존공정 도입공사(도급)-2" xfId="6567" xr:uid="{00000000-0005-0000-0000-0000A5190000}"/>
    <cellStyle name="_적격(화산) " xfId="6568" xr:uid="{00000000-0005-0000-0000-0000A6190000}"/>
    <cellStyle name="_적격(화산) _(현풍)실시설계내역서(대구광역시)" xfId="6569" xr:uid="{00000000-0005-0000-0000-0000A7190000}"/>
    <cellStyle name="_적격(화산) _(현풍)실시설계내역서(대구광역시)_발주내역서(안양박달)" xfId="6570" xr:uid="{00000000-0005-0000-0000-0000A8190000}"/>
    <cellStyle name="_적격(화산) _(현풍)실시설계내역서(대구광역시)_사본 - 설계내역서(대구하수) REV3(1188)-견학8박10일로" xfId="6571" xr:uid="{00000000-0005-0000-0000-0000A9190000}"/>
    <cellStyle name="_적격(화산) _(현풍)실시설계내역서(대구광역시)_설계내역서(대구수질)" xfId="6572" xr:uid="{00000000-0005-0000-0000-0000AA190000}"/>
    <cellStyle name="_적격(화산) _(현풍)실시설계내역서(대구광역시)_설계내역서(대구수질) ver10-최(선진해외)" xfId="6573" xr:uid="{00000000-0005-0000-0000-0000AB190000}"/>
    <cellStyle name="_적격(화산) _(현풍)실시설계내역서(대구광역시)_성서공단 설계내역서(0402)" xfId="6574" xr:uid="{00000000-0005-0000-0000-0000AC190000}"/>
    <cellStyle name="_적격(화산) _(현풍)실시설계내역서(대구광역시)_용암입찰안내서(보정계수포함)" xfId="6575" xr:uid="{00000000-0005-0000-0000-0000AD190000}"/>
    <cellStyle name="_적격(화산) _(현풍)실시설계내역서(대구광역시)_총인처리시설 설계내역서(심사)" xfId="6576" xr:uid="{00000000-0005-0000-0000-0000AE190000}"/>
    <cellStyle name="_적격(화산) _0.창원반송정수장 오존공정 도입공사(정수설비)-1" xfId="6577" xr:uid="{00000000-0005-0000-0000-0000AF190000}"/>
    <cellStyle name="_적격(화산) _2003년실행양식" xfId="6578" xr:uid="{00000000-0005-0000-0000-0000B0190000}"/>
    <cellStyle name="_적격(화산) _2003년실행양식_4.추진공(공암)" xfId="6579" xr:uid="{00000000-0005-0000-0000-0000B1190000}"/>
    <cellStyle name="_적격(화산) _2003년실행양식_4.추진공(공암SAMPLE" xfId="6580" xr:uid="{00000000-0005-0000-0000-0000B2190000}"/>
    <cellStyle name="_적격(화산) _2003년실행양식_4.추진공(서산)" xfId="6581" xr:uid="{00000000-0005-0000-0000-0000B3190000}"/>
    <cellStyle name="_적격(화산) _2003년실행양식_4.추진공(읍내)" xfId="6582" xr:uid="{00000000-0005-0000-0000-0000B4190000}"/>
    <cellStyle name="_적격(화산) _2003년실행양식_4.추진공(황간)" xfId="6583" xr:uid="{00000000-0005-0000-0000-0000B5190000}"/>
    <cellStyle name="_적격(화산) _2003년실행양식_영동군추진가시설수량" xfId="6584" xr:uid="{00000000-0005-0000-0000-0000B6190000}"/>
    <cellStyle name="_적격(화산) _2003년실행양식0" xfId="6585" xr:uid="{00000000-0005-0000-0000-0000B7190000}"/>
    <cellStyle name="_적격(화산) _2003년실행양식0_4.추진공(공암)" xfId="6586" xr:uid="{00000000-0005-0000-0000-0000B8190000}"/>
    <cellStyle name="_적격(화산) _2003년실행양식0_4.추진공(공암SAMPLE" xfId="6587" xr:uid="{00000000-0005-0000-0000-0000B9190000}"/>
    <cellStyle name="_적격(화산) _2003년실행양식0_4.추진공(서산)" xfId="6588" xr:uid="{00000000-0005-0000-0000-0000BA190000}"/>
    <cellStyle name="_적격(화산) _2003년실행양식0_4.추진공(읍내)" xfId="6589" xr:uid="{00000000-0005-0000-0000-0000BB190000}"/>
    <cellStyle name="_적격(화산) _2003년실행양식0_4.추진공(황간)" xfId="6590" xr:uid="{00000000-0005-0000-0000-0000BC190000}"/>
    <cellStyle name="_적격(화산) _2003년실행양식0_영동군추진가시설수량" xfId="6591" xr:uid="{00000000-0005-0000-0000-0000BD190000}"/>
    <cellStyle name="_적격(화산) _2003년실행양식-1" xfId="6592" xr:uid="{00000000-0005-0000-0000-0000BE190000}"/>
    <cellStyle name="_적격(화산) _2003년실행양식-1_4.추진공(공암)" xfId="6593" xr:uid="{00000000-0005-0000-0000-0000BF190000}"/>
    <cellStyle name="_적격(화산) _2003년실행양식-1_4.추진공(공암SAMPLE" xfId="6594" xr:uid="{00000000-0005-0000-0000-0000C0190000}"/>
    <cellStyle name="_적격(화산) _2003년실행양식-1_4.추진공(서산)" xfId="6595" xr:uid="{00000000-0005-0000-0000-0000C1190000}"/>
    <cellStyle name="_적격(화산) _2003년실행양식-1_4.추진공(읍내)" xfId="6596" xr:uid="{00000000-0005-0000-0000-0000C2190000}"/>
    <cellStyle name="_적격(화산) _2003년실행양식-1_4.추진공(황간)" xfId="6597" xr:uid="{00000000-0005-0000-0000-0000C3190000}"/>
    <cellStyle name="_적격(화산) _2003년실행양식-1_영동군추진가시설수량" xfId="6598" xr:uid="{00000000-0005-0000-0000-0000C4190000}"/>
    <cellStyle name="_적격(화산) _4.추진공(공암)" xfId="6599" xr:uid="{00000000-0005-0000-0000-0000C5190000}"/>
    <cellStyle name="_적격(화산) _4.추진공(공암SAMPLE" xfId="6600" xr:uid="{00000000-0005-0000-0000-0000C6190000}"/>
    <cellStyle name="_적격(화산) _4.추진공(서산)" xfId="6601" xr:uid="{00000000-0005-0000-0000-0000C7190000}"/>
    <cellStyle name="_적격(화산) _4.추진공(읍내)" xfId="6602" xr:uid="{00000000-0005-0000-0000-0000C8190000}"/>
    <cellStyle name="_적격(화산) _4.추진공(황간)" xfId="6603" xr:uid="{00000000-0005-0000-0000-0000C9190000}"/>
    <cellStyle name="_적격(화산) _대구도시철도3호선실시설계내역서(070206)" xfId="6604" xr:uid="{00000000-0005-0000-0000-0000CA190000}"/>
    <cellStyle name="_적격(화산) _대구도시철도3호선실시설계내역서(070207)" xfId="6605" xr:uid="{00000000-0005-0000-0000-0000CB190000}"/>
    <cellStyle name="_적격(화산) _발주내역서(안양박달)" xfId="6606" xr:uid="{00000000-0005-0000-0000-0000CC190000}"/>
    <cellStyle name="_적격(화산) _사본 - 설계내역서(대구하수) REV3(1188)-견학8박10일로" xfId="6607" xr:uid="{00000000-0005-0000-0000-0000CD190000}"/>
    <cellStyle name="_적격(화산) _사본임-창원반송정수장 오존공정 도입공사(도급)-2" xfId="6608" xr:uid="{00000000-0005-0000-0000-0000CE190000}"/>
    <cellStyle name="_적격(화산) _산출내역(전기11.21)" xfId="6609" xr:uid="{00000000-0005-0000-0000-0000CF190000}"/>
    <cellStyle name="_적격(화산) _산출내역(전기11.21)_0.창원반송정수장 오존공정 도입공사(정수설비)-1" xfId="6610" xr:uid="{00000000-0005-0000-0000-0000D0190000}"/>
    <cellStyle name="_적격(화산) _산출내역(전기11.21)_사본임-창원반송정수장 오존공정 도입공사(도급)-2" xfId="6611" xr:uid="{00000000-0005-0000-0000-0000D1190000}"/>
    <cellStyle name="_적격(화산) _산출내역(전기11.21)_순공사비(전체분)_20070504_PAC 회수금삭제" xfId="6612" xr:uid="{00000000-0005-0000-0000-0000D2190000}"/>
    <cellStyle name="_적격(화산) _산출내역(전기11.21)_순공사비(전체분)_20070504_PAC 회수금삭제_0.창원반송정수장 오존공정 도입공사(정수설비)-1" xfId="6613" xr:uid="{00000000-0005-0000-0000-0000D3190000}"/>
    <cellStyle name="_적격(화산) _산출내역(전기11.21)_순공사비(전체분)_20070504_PAC 회수금삭제_사본임-창원반송정수장 오존공정 도입공사(도급)-2" xfId="6614" xr:uid="{00000000-0005-0000-0000-0000D4190000}"/>
    <cellStyle name="_적격(화산) _산출내역(전기11.21)_순공사비(전체분)_20070504_PAC 회수금삭제_순공사비(전체분)_20070504_PAC 회수금삭제" xfId="6615" xr:uid="{00000000-0005-0000-0000-0000D5190000}"/>
    <cellStyle name="_적격(화산) _산출내역(전기11.21)_순공사비(전체분)_20070504_PAC 회수금삭제_순공사비(전체분)_20070504_PAC 회수금삭제_0.창원반송정수장 오존공정 도입공사(정수설비)-1" xfId="6616" xr:uid="{00000000-0005-0000-0000-0000D6190000}"/>
    <cellStyle name="_적격(화산) _산출내역(전기11.21)_순공사비(전체분)_20070504_PAC 회수금삭제_순공사비(전체분)_20070504_PAC 회수금삭제_사본임-창원반송정수장 오존공정 도입공사(도급)-2" xfId="6617" xr:uid="{00000000-0005-0000-0000-0000D7190000}"/>
    <cellStyle name="_적격(화산) _산출내역(전기11.21)_순공사비(전체분)_20070504_PAC 회수금삭제_순공사비(전체분)_20070504_PAC 회수금삭제_창원반송정수장 오존공정 도입공사(도급)-2" xfId="6618" xr:uid="{00000000-0005-0000-0000-0000D8190000}"/>
    <cellStyle name="_적격(화산) _산출내역(전기11.21)_순공사비(전체분)_20070504_PAC 회수금삭제_창원반송정수장 오존공정 도입공사(도급)-2" xfId="6619" xr:uid="{00000000-0005-0000-0000-0000D9190000}"/>
    <cellStyle name="_적격(화산) _산출내역(전기11.21)_창원반송정수장 오존공정 도입공사(도급)-2" xfId="6620" xr:uid="{00000000-0005-0000-0000-0000DA190000}"/>
    <cellStyle name="_적격(화산) _산출내역(전기11.21)_총괄집계및영구설비내역12.22" xfId="6621" xr:uid="{00000000-0005-0000-0000-0000DB190000}"/>
    <cellStyle name="_적격(화산) _산출내역(전기11.21)_총괄집계및영구설비내역12.22_0.창원반송정수장 오존공정 도입공사(정수설비)-1" xfId="6622" xr:uid="{00000000-0005-0000-0000-0000DC190000}"/>
    <cellStyle name="_적격(화산) _산출내역(전기11.21)_총괄집계및영구설비내역12.22_사본임-창원반송정수장 오존공정 도입공사(도급)-2" xfId="6623" xr:uid="{00000000-0005-0000-0000-0000DD190000}"/>
    <cellStyle name="_적격(화산) _산출내역(전기11.21)_총괄집계및영구설비내역12.22_순공사비(전체분)_20070504_PAC 회수금삭제" xfId="6624" xr:uid="{00000000-0005-0000-0000-0000DE190000}"/>
    <cellStyle name="_적격(화산) _산출내역(전기11.21)_총괄집계및영구설비내역12.22_순공사비(전체분)_20070504_PAC 회수금삭제_0.창원반송정수장 오존공정 도입공사(정수설비)-1" xfId="6625" xr:uid="{00000000-0005-0000-0000-0000DF190000}"/>
    <cellStyle name="_적격(화산) _산출내역(전기11.21)_총괄집계및영구설비내역12.22_순공사비(전체분)_20070504_PAC 회수금삭제_사본임-창원반송정수장 오존공정 도입공사(도급)-2" xfId="6626" xr:uid="{00000000-0005-0000-0000-0000E0190000}"/>
    <cellStyle name="_적격(화산) _산출내역(전기11.21)_총괄집계및영구설비내역12.22_순공사비(전체분)_20070504_PAC 회수금삭제_순공사비(전체분)_20070504_PAC 회수금삭제" xfId="6627" xr:uid="{00000000-0005-0000-0000-0000E1190000}"/>
    <cellStyle name="_적격(화산) _산출내역(전기11.21)_총괄집계및영구설비내역12.22_순공사비(전체분)_20070504_PAC 회수금삭제_순공사비(전체분)_20070504_PAC 회수금삭제_0.창원반송정수장 오존공정 도입공사(정수설비)-1" xfId="6628" xr:uid="{00000000-0005-0000-0000-0000E2190000}"/>
    <cellStyle name="_적격(화산) _산출내역(전기11.21)_총괄집계및영구설비내역12.22_순공사비(전체분)_20070504_PAC 회수금삭제_순공사비(전체분)_20070504_PAC 회수금삭제_사본임-창원반송정수장 오존공정 도입공사(도급)-2" xfId="6629" xr:uid="{00000000-0005-0000-0000-0000E3190000}"/>
    <cellStyle name="_적격(화산) _산출내역(전기11.21)_총괄집계및영구설비내역12.22_순공사비(전체분)_20070504_PAC 회수금삭제_순공사비(전체분)_20070504_PAC 회수금삭제_창원반송정수장 오존공정 도입공사(도급)-2" xfId="6630" xr:uid="{00000000-0005-0000-0000-0000E4190000}"/>
    <cellStyle name="_적격(화산) _산출내역(전기11.21)_총괄집계및영구설비내역12.22_순공사비(전체분)_20070504_PAC 회수금삭제_창원반송정수장 오존공정 도입공사(도급)-2" xfId="6631" xr:uid="{00000000-0005-0000-0000-0000E5190000}"/>
    <cellStyle name="_적격(화산) _산출내역(전기11.21)_총괄집계및영구설비내역12.22_창원반송정수장 오존공정 도입공사(도급)-2" xfId="6632" xr:uid="{00000000-0005-0000-0000-0000E6190000}"/>
    <cellStyle name="_적격(화산) _산출내역서(양식검토)" xfId="6633" xr:uid="{00000000-0005-0000-0000-0000E7190000}"/>
    <cellStyle name="_적격(화산) _산출내역서(양식검토)_0.창원반송정수장 오존공정 도입공사(정수설비)-1" xfId="6634" xr:uid="{00000000-0005-0000-0000-0000E8190000}"/>
    <cellStyle name="_적격(화산) _산출내역서(양식검토)_사본임-창원반송정수장 오존공정 도입공사(도급)-2" xfId="6635" xr:uid="{00000000-0005-0000-0000-0000E9190000}"/>
    <cellStyle name="_적격(화산) _산출내역서(양식검토)_순공사비(전체분)_20070504_PAC 회수금삭제" xfId="6636" xr:uid="{00000000-0005-0000-0000-0000EA190000}"/>
    <cellStyle name="_적격(화산) _산출내역서(양식검토)_순공사비(전체분)_20070504_PAC 회수금삭제_0.창원반송정수장 오존공정 도입공사(정수설비)-1" xfId="6637" xr:uid="{00000000-0005-0000-0000-0000EB190000}"/>
    <cellStyle name="_적격(화산) _산출내역서(양식검토)_순공사비(전체분)_20070504_PAC 회수금삭제_사본임-창원반송정수장 오존공정 도입공사(도급)-2" xfId="6638" xr:uid="{00000000-0005-0000-0000-0000EC190000}"/>
    <cellStyle name="_적격(화산) _산출내역서(양식검토)_순공사비(전체분)_20070504_PAC 회수금삭제_순공사비(전체분)_20070504_PAC 회수금삭제" xfId="6639" xr:uid="{00000000-0005-0000-0000-0000ED190000}"/>
    <cellStyle name="_적격(화산) _산출내역서(양식검토)_순공사비(전체분)_20070504_PAC 회수금삭제_순공사비(전체분)_20070504_PAC 회수금삭제_0.창원반송정수장 오존공정 도입공사(정수설비)-1" xfId="6640" xr:uid="{00000000-0005-0000-0000-0000EE190000}"/>
    <cellStyle name="_적격(화산) _산출내역서(양식검토)_순공사비(전체분)_20070504_PAC 회수금삭제_순공사비(전체분)_20070504_PAC 회수금삭제_사본임-창원반송정수장 오존공정 도입공사(도급)-2" xfId="6641" xr:uid="{00000000-0005-0000-0000-0000EF190000}"/>
    <cellStyle name="_적격(화산) _산출내역서(양식검토)_순공사비(전체분)_20070504_PAC 회수금삭제_순공사비(전체분)_20070504_PAC 회수금삭제_창원반송정수장 오존공정 도입공사(도급)-2" xfId="6642" xr:uid="{00000000-0005-0000-0000-0000F0190000}"/>
    <cellStyle name="_적격(화산) _산출내역서(양식검토)_순공사비(전체분)_20070504_PAC 회수금삭제_창원반송정수장 오존공정 도입공사(도급)-2" xfId="6643" xr:uid="{00000000-0005-0000-0000-0000F1190000}"/>
    <cellStyle name="_적격(화산) _산출내역서(양식검토)_창원반송정수장 오존공정 도입공사(도급)-2" xfId="6644" xr:uid="{00000000-0005-0000-0000-0000F2190000}"/>
    <cellStyle name="_적격(화산) _설계내역서(대구수질)" xfId="6645" xr:uid="{00000000-0005-0000-0000-0000F3190000}"/>
    <cellStyle name="_적격(화산) _설계내역서(대구수질) ver10-최(선진해외)" xfId="6646" xr:uid="{00000000-0005-0000-0000-0000F4190000}"/>
    <cellStyle name="_적격(화산) _성서공단 설계내역서(0402)" xfId="6647" xr:uid="{00000000-0005-0000-0000-0000F5190000}"/>
    <cellStyle name="_적격(화산) _순공사비(전체분)_20070504_PAC 회수금삭제" xfId="6648" xr:uid="{00000000-0005-0000-0000-0000F6190000}"/>
    <cellStyle name="_적격(화산) _순공사비(전체분)_20070504_PAC 회수금삭제_0.창원반송정수장 오존공정 도입공사(정수설비)-1" xfId="6649" xr:uid="{00000000-0005-0000-0000-0000F7190000}"/>
    <cellStyle name="_적격(화산) _순공사비(전체분)_20070504_PAC 회수금삭제_사본임-창원반송정수장 오존공정 도입공사(도급)-2" xfId="6650" xr:uid="{00000000-0005-0000-0000-0000F8190000}"/>
    <cellStyle name="_적격(화산) _순공사비(전체분)_20070504_PAC 회수금삭제_순공사비(전체분)_20070504_PAC 회수금삭제" xfId="6651" xr:uid="{00000000-0005-0000-0000-0000F9190000}"/>
    <cellStyle name="_적격(화산) _순공사비(전체분)_20070504_PAC 회수금삭제_순공사비(전체분)_20070504_PAC 회수금삭제_0.창원반송정수장 오존공정 도입공사(정수설비)-1" xfId="6652" xr:uid="{00000000-0005-0000-0000-0000FA190000}"/>
    <cellStyle name="_적격(화산) _순공사비(전체분)_20070504_PAC 회수금삭제_순공사비(전체분)_20070504_PAC 회수금삭제_사본임-창원반송정수장 오존공정 도입공사(도급)-2" xfId="6653" xr:uid="{00000000-0005-0000-0000-0000FB190000}"/>
    <cellStyle name="_적격(화산) _순공사비(전체분)_20070504_PAC 회수금삭제_순공사비(전체분)_20070504_PAC 회수금삭제_창원반송정수장 오존공정 도입공사(도급)-2" xfId="6654" xr:uid="{00000000-0005-0000-0000-0000FC190000}"/>
    <cellStyle name="_적격(화산) _순공사비(전체분)_20070504_PAC 회수금삭제_창원반송정수장 오존공정 도입공사(도급)-2" xfId="6655" xr:uid="{00000000-0005-0000-0000-0000FD190000}"/>
    <cellStyle name="_적격(화산) _실행내역2001년1월변경" xfId="6656" xr:uid="{00000000-0005-0000-0000-0000FE190000}"/>
    <cellStyle name="_적격(화산) _실행내역2001년1월변경_2003년실행양식" xfId="6657" xr:uid="{00000000-0005-0000-0000-0000FF190000}"/>
    <cellStyle name="_적격(화산) _실행내역2001년1월변경_2003년실행양식_4.추진공(공암)" xfId="6658" xr:uid="{00000000-0005-0000-0000-0000001A0000}"/>
    <cellStyle name="_적격(화산) _실행내역2001년1월변경_2003년실행양식_4.추진공(공암SAMPLE" xfId="6659" xr:uid="{00000000-0005-0000-0000-0000011A0000}"/>
    <cellStyle name="_적격(화산) _실행내역2001년1월변경_2003년실행양식_4.추진공(서산)" xfId="6660" xr:uid="{00000000-0005-0000-0000-0000021A0000}"/>
    <cellStyle name="_적격(화산) _실행내역2001년1월변경_2003년실행양식_4.추진공(읍내)" xfId="6661" xr:uid="{00000000-0005-0000-0000-0000031A0000}"/>
    <cellStyle name="_적격(화산) _실행내역2001년1월변경_2003년실행양식_4.추진공(황간)" xfId="6662" xr:uid="{00000000-0005-0000-0000-0000041A0000}"/>
    <cellStyle name="_적격(화산) _실행내역2001년1월변경_2003년실행양식_영동군추진가시설수량" xfId="6663" xr:uid="{00000000-0005-0000-0000-0000051A0000}"/>
    <cellStyle name="_적격(화산) _실행내역2001년1월변경_2003년실행양식0" xfId="6664" xr:uid="{00000000-0005-0000-0000-0000061A0000}"/>
    <cellStyle name="_적격(화산) _실행내역2001년1월변경_2003년실행양식0_4.추진공(공암)" xfId="6665" xr:uid="{00000000-0005-0000-0000-0000071A0000}"/>
    <cellStyle name="_적격(화산) _실행내역2001년1월변경_2003년실행양식0_4.추진공(공암SAMPLE" xfId="6666" xr:uid="{00000000-0005-0000-0000-0000081A0000}"/>
    <cellStyle name="_적격(화산) _실행내역2001년1월변경_2003년실행양식0_4.추진공(서산)" xfId="6667" xr:uid="{00000000-0005-0000-0000-0000091A0000}"/>
    <cellStyle name="_적격(화산) _실행내역2001년1월변경_2003년실행양식0_4.추진공(읍내)" xfId="6668" xr:uid="{00000000-0005-0000-0000-00000A1A0000}"/>
    <cellStyle name="_적격(화산) _실행내역2001년1월변경_2003년실행양식0_4.추진공(황간)" xfId="6669" xr:uid="{00000000-0005-0000-0000-00000B1A0000}"/>
    <cellStyle name="_적격(화산) _실행내역2001년1월변경_2003년실행양식0_영동군추진가시설수량" xfId="6670" xr:uid="{00000000-0005-0000-0000-00000C1A0000}"/>
    <cellStyle name="_적격(화산) _실행내역2001년1월변경_2003년실행양식-1" xfId="6671" xr:uid="{00000000-0005-0000-0000-00000D1A0000}"/>
    <cellStyle name="_적격(화산) _실행내역2001년1월변경_2003년실행양식-1_4.추진공(공암)" xfId="6672" xr:uid="{00000000-0005-0000-0000-00000E1A0000}"/>
    <cellStyle name="_적격(화산) _실행내역2001년1월변경_2003년실행양식-1_4.추진공(공암SAMPLE" xfId="6673" xr:uid="{00000000-0005-0000-0000-00000F1A0000}"/>
    <cellStyle name="_적격(화산) _실행내역2001년1월변경_2003년실행양식-1_4.추진공(서산)" xfId="6674" xr:uid="{00000000-0005-0000-0000-0000101A0000}"/>
    <cellStyle name="_적격(화산) _실행내역2001년1월변경_2003년실행양식-1_4.추진공(읍내)" xfId="6675" xr:uid="{00000000-0005-0000-0000-0000111A0000}"/>
    <cellStyle name="_적격(화산) _실행내역2001년1월변경_2003년실행양식-1_4.추진공(황간)" xfId="6676" xr:uid="{00000000-0005-0000-0000-0000121A0000}"/>
    <cellStyle name="_적격(화산) _실행내역2001년1월변경_2003년실행양식-1_영동군추진가시설수량" xfId="6677" xr:uid="{00000000-0005-0000-0000-0000131A0000}"/>
    <cellStyle name="_적격(화산) _실행내역2001년1월변경_4.추진공(공암)" xfId="6678" xr:uid="{00000000-0005-0000-0000-0000141A0000}"/>
    <cellStyle name="_적격(화산) _실행내역2001년1월변경_4.추진공(공암SAMPLE" xfId="6679" xr:uid="{00000000-0005-0000-0000-0000151A0000}"/>
    <cellStyle name="_적격(화산) _실행내역2001년1월변경_4.추진공(서산)" xfId="6680" xr:uid="{00000000-0005-0000-0000-0000161A0000}"/>
    <cellStyle name="_적격(화산) _실행내역2001년1월변경_4.추진공(읍내)" xfId="6681" xr:uid="{00000000-0005-0000-0000-0000171A0000}"/>
    <cellStyle name="_적격(화산) _실행내역2001년1월변경_4.추진공(황간)" xfId="6682" xr:uid="{00000000-0005-0000-0000-0000181A0000}"/>
    <cellStyle name="_적격(화산) _실행내역2001년1월변경_영동군추진가시설수량" xfId="6683" xr:uid="{00000000-0005-0000-0000-0000191A0000}"/>
    <cellStyle name="_적격(화산) _영동군추진가시설수량" xfId="6684" xr:uid="{00000000-0005-0000-0000-00001A1A0000}"/>
    <cellStyle name="_적격(화산) _용암입찰안내서(보정계수포함)" xfId="6685" xr:uid="{00000000-0005-0000-0000-00001B1A0000}"/>
    <cellStyle name="_적격(화산) _원가계산서" xfId="6686" xr:uid="{00000000-0005-0000-0000-00001C1A0000}"/>
    <cellStyle name="_적격(화산) _원가계산서,총괄산출내역서-2005" xfId="6687" xr:uid="{00000000-0005-0000-0000-00001D1A0000}"/>
    <cellStyle name="_적격(화산) _원가계산서,총괄산출내역서-2005_0.창원반송정수장 오존공정 도입공사(정수설비)-1" xfId="6688" xr:uid="{00000000-0005-0000-0000-00001E1A0000}"/>
    <cellStyle name="_적격(화산) _원가계산서,총괄산출내역서-2005_사본임-창원반송정수장 오존공정 도입공사(도급)-2" xfId="6689" xr:uid="{00000000-0005-0000-0000-00001F1A0000}"/>
    <cellStyle name="_적격(화산) _원가계산서,총괄산출내역서-2005_순공사비(전체분)_20070504_PAC 회수금삭제" xfId="6690" xr:uid="{00000000-0005-0000-0000-0000201A0000}"/>
    <cellStyle name="_적격(화산) _원가계산서,총괄산출내역서-2005_순공사비(전체분)_20070504_PAC 회수금삭제_0.창원반송정수장 오존공정 도입공사(정수설비)-1" xfId="6691" xr:uid="{00000000-0005-0000-0000-0000211A0000}"/>
    <cellStyle name="_적격(화산) _원가계산서,총괄산출내역서-2005_순공사비(전체분)_20070504_PAC 회수금삭제_사본임-창원반송정수장 오존공정 도입공사(도급)-2" xfId="6692" xr:uid="{00000000-0005-0000-0000-0000221A0000}"/>
    <cellStyle name="_적격(화산) _원가계산서,총괄산출내역서-2005_순공사비(전체분)_20070504_PAC 회수금삭제_순공사비(전체분)_20070504_PAC 회수금삭제" xfId="6693" xr:uid="{00000000-0005-0000-0000-0000231A0000}"/>
    <cellStyle name="_적격(화산) _원가계산서,총괄산출내역서-2005_순공사비(전체분)_20070504_PAC 회수금삭제_순공사비(전체분)_20070504_PAC 회수금삭제_0.창원반송정수장 오존공정 도입공사(정수설비)-1" xfId="6694" xr:uid="{00000000-0005-0000-0000-0000241A0000}"/>
    <cellStyle name="_적격(화산) _원가계산서,총괄산출내역서-2005_순공사비(전체분)_20070504_PAC 회수금삭제_순공사비(전체분)_20070504_PAC 회수금삭제_사본임-창원반송정수장 오존공정 도입공사(도급)-2" xfId="6695" xr:uid="{00000000-0005-0000-0000-0000251A0000}"/>
    <cellStyle name="_적격(화산) _원가계산서,총괄산출내역서-2005_순공사비(전체분)_20070504_PAC 회수금삭제_순공사비(전체분)_20070504_PAC 회수금삭제_창원반송정수장 오존공정 도입공사(도급)-2" xfId="6696" xr:uid="{00000000-0005-0000-0000-0000261A0000}"/>
    <cellStyle name="_적격(화산) _원가계산서,총괄산출내역서-2005_순공사비(전체분)_20070504_PAC 회수금삭제_창원반송정수장 오존공정 도입공사(도급)-2" xfId="6697" xr:uid="{00000000-0005-0000-0000-0000271A0000}"/>
    <cellStyle name="_적격(화산) _원가계산서,총괄산출내역서-2005_창원반송정수장 오존공정 도입공사(도급)-2" xfId="6698" xr:uid="{00000000-0005-0000-0000-0000281A0000}"/>
    <cellStyle name="_적격(화산) _원가계산서_0.창원반송정수장 오존공정 도입공사(정수설비)-1" xfId="6699" xr:uid="{00000000-0005-0000-0000-0000291A0000}"/>
    <cellStyle name="_적격(화산) _원가계산서_사본임-창원반송정수장 오존공정 도입공사(도급)-2" xfId="6700" xr:uid="{00000000-0005-0000-0000-00002A1A0000}"/>
    <cellStyle name="_적격(화산) _원가계산서_순공사비(전체분)_20070504_PAC 회수금삭제" xfId="6701" xr:uid="{00000000-0005-0000-0000-00002B1A0000}"/>
    <cellStyle name="_적격(화산) _원가계산서_순공사비(전체분)_20070504_PAC 회수금삭제_0.창원반송정수장 오존공정 도입공사(정수설비)-1" xfId="6702" xr:uid="{00000000-0005-0000-0000-00002C1A0000}"/>
    <cellStyle name="_적격(화산) _원가계산서_순공사비(전체분)_20070504_PAC 회수금삭제_사본임-창원반송정수장 오존공정 도입공사(도급)-2" xfId="6703" xr:uid="{00000000-0005-0000-0000-00002D1A0000}"/>
    <cellStyle name="_적격(화산) _원가계산서_순공사비(전체분)_20070504_PAC 회수금삭제_순공사비(전체분)_20070504_PAC 회수금삭제" xfId="6704" xr:uid="{00000000-0005-0000-0000-00002E1A0000}"/>
    <cellStyle name="_적격(화산) _원가계산서_순공사비(전체분)_20070504_PAC 회수금삭제_순공사비(전체분)_20070504_PAC 회수금삭제_0.창원반송정수장 오존공정 도입공사(정수설비)-1" xfId="6705" xr:uid="{00000000-0005-0000-0000-00002F1A0000}"/>
    <cellStyle name="_적격(화산) _원가계산서_순공사비(전체분)_20070504_PAC 회수금삭제_순공사비(전체분)_20070504_PAC 회수금삭제_사본임-창원반송정수장 오존공정 도입공사(도급)-2" xfId="6706" xr:uid="{00000000-0005-0000-0000-0000301A0000}"/>
    <cellStyle name="_적격(화산) _원가계산서_순공사비(전체분)_20070504_PAC 회수금삭제_순공사비(전체분)_20070504_PAC 회수금삭제_창원반송정수장 오존공정 도입공사(도급)-2" xfId="6707" xr:uid="{00000000-0005-0000-0000-0000311A0000}"/>
    <cellStyle name="_적격(화산) _원가계산서_순공사비(전체분)_20070504_PAC 회수금삭제_창원반송정수장 오존공정 도입공사(도급)-2" xfId="6708" xr:uid="{00000000-0005-0000-0000-0000321A0000}"/>
    <cellStyle name="_적격(화산) _원가계산서_창원반송정수장 오존공정 도입공사(도급)-2" xfId="6709" xr:uid="{00000000-0005-0000-0000-0000331A0000}"/>
    <cellStyle name="_적격(화산) _창원반송정수장 오존공정 도입공사(도급)-2" xfId="6710" xr:uid="{00000000-0005-0000-0000-0000341A0000}"/>
    <cellStyle name="_적격(화산) _총괄집계및영구설비내역12.22" xfId="6711" xr:uid="{00000000-0005-0000-0000-0000351A0000}"/>
    <cellStyle name="_적격(화산) _총괄집계및영구설비내역12.22_0.창원반송정수장 오존공정 도입공사(정수설비)-1" xfId="6712" xr:uid="{00000000-0005-0000-0000-0000361A0000}"/>
    <cellStyle name="_적격(화산) _총괄집계및영구설비내역12.22_사본임-창원반송정수장 오존공정 도입공사(도급)-2" xfId="6713" xr:uid="{00000000-0005-0000-0000-0000371A0000}"/>
    <cellStyle name="_적격(화산) _총괄집계및영구설비내역12.22_순공사비(전체분)_20070504_PAC 회수금삭제" xfId="6714" xr:uid="{00000000-0005-0000-0000-0000381A0000}"/>
    <cellStyle name="_적격(화산) _총괄집계및영구설비내역12.22_순공사비(전체분)_20070504_PAC 회수금삭제_0.창원반송정수장 오존공정 도입공사(정수설비)-1" xfId="6715" xr:uid="{00000000-0005-0000-0000-0000391A0000}"/>
    <cellStyle name="_적격(화산) _총괄집계및영구설비내역12.22_순공사비(전체분)_20070504_PAC 회수금삭제_사본임-창원반송정수장 오존공정 도입공사(도급)-2" xfId="6716" xr:uid="{00000000-0005-0000-0000-00003A1A0000}"/>
    <cellStyle name="_적격(화산) _총괄집계및영구설비내역12.22_순공사비(전체분)_20070504_PAC 회수금삭제_순공사비(전체분)_20070504_PAC 회수금삭제" xfId="6717" xr:uid="{00000000-0005-0000-0000-00003B1A0000}"/>
    <cellStyle name="_적격(화산) _총괄집계및영구설비내역12.22_순공사비(전체분)_20070504_PAC 회수금삭제_순공사비(전체분)_20070504_PAC 회수금삭제_0.창원반송정수장 오존공정 도입공사(정수설비)-1" xfId="6718" xr:uid="{00000000-0005-0000-0000-00003C1A0000}"/>
    <cellStyle name="_적격(화산) _총괄집계및영구설비내역12.22_순공사비(전체분)_20070504_PAC 회수금삭제_순공사비(전체분)_20070504_PAC 회수금삭제_사본임-창원반송정수장 오존공정 도입공사(도급)-2" xfId="6719" xr:uid="{00000000-0005-0000-0000-00003D1A0000}"/>
    <cellStyle name="_적격(화산) _총괄집계및영구설비내역12.22_순공사비(전체분)_20070504_PAC 회수금삭제_순공사비(전체분)_20070504_PAC 회수금삭제_창원반송정수장 오존공정 도입공사(도급)-2" xfId="6720" xr:uid="{00000000-0005-0000-0000-00003E1A0000}"/>
    <cellStyle name="_적격(화산) _총괄집계및영구설비내역12.22_순공사비(전체분)_20070504_PAC 회수금삭제_창원반송정수장 오존공정 도입공사(도급)-2" xfId="6721" xr:uid="{00000000-0005-0000-0000-00003F1A0000}"/>
    <cellStyle name="_적격(화산) _총괄집계및영구설비내역12.22_창원반송정수장 오존공정 도입공사(도급)-2" xfId="6722" xr:uid="{00000000-0005-0000-0000-0000401A0000}"/>
    <cellStyle name="_적격(화산) _총괄집계및영구설비내역12.22_총괄집계및영구설비내역12.22" xfId="6723" xr:uid="{00000000-0005-0000-0000-0000411A0000}"/>
    <cellStyle name="_적격(화산) _총괄집계및영구설비내역12.22_총괄집계및영구설비내역12.22_0.창원반송정수장 오존공정 도입공사(정수설비)-1" xfId="6724" xr:uid="{00000000-0005-0000-0000-0000421A0000}"/>
    <cellStyle name="_적격(화산) _총괄집계및영구설비내역12.22_총괄집계및영구설비내역12.22_사본임-창원반송정수장 오존공정 도입공사(도급)-2" xfId="6725" xr:uid="{00000000-0005-0000-0000-0000431A0000}"/>
    <cellStyle name="_적격(화산) _총괄집계및영구설비내역12.22_총괄집계및영구설비내역12.22_순공사비(전체분)_20070504_PAC 회수금삭제" xfId="6726" xr:uid="{00000000-0005-0000-0000-0000441A0000}"/>
    <cellStyle name="_적격(화산) _총괄집계및영구설비내역12.22_총괄집계및영구설비내역12.22_순공사비(전체분)_20070504_PAC 회수금삭제_0.창원반송정수장 오존공정 도입공사(정수설비)-1" xfId="6727" xr:uid="{00000000-0005-0000-0000-0000451A0000}"/>
    <cellStyle name="_적격(화산) _총괄집계및영구설비내역12.22_총괄집계및영구설비내역12.22_순공사비(전체분)_20070504_PAC 회수금삭제_사본임-창원반송정수장 오존공정 도입공사(도급)-2" xfId="6728" xr:uid="{00000000-0005-0000-0000-0000461A0000}"/>
    <cellStyle name="_적격(화산) _총괄집계및영구설비내역12.22_총괄집계및영구설비내역12.22_순공사비(전체분)_20070504_PAC 회수금삭제_순공사비(전체분)_20070504_PAC 회수금삭제" xfId="6729" xr:uid="{00000000-0005-0000-0000-0000471A0000}"/>
    <cellStyle name="_적격(화산) _총괄집계및영구설비내역12.22_총괄집계및영구설비내역12.22_순공사비(전체분)_20070504_PAC 회수금삭제_순공사비(전체분)_20070504_PAC 회수금삭제_0.창원반송정수장 오존공정 도입공사(정수설비)-1" xfId="6730" xr:uid="{00000000-0005-0000-0000-0000481A0000}"/>
    <cellStyle name="_적격(화산) _총괄집계및영구설비내역12.22_총괄집계및영구설비내역12.22_순공사비(전체분)_20070504_PAC 회수금삭제_순공사비(전체분)_20070504_PAC 회수금삭제_사본임-창원반송정수장 오존공정 도입공사(도급)-2" xfId="6731" xr:uid="{00000000-0005-0000-0000-0000491A0000}"/>
    <cellStyle name="_적격(화산) _총괄집계및영구설비내역12.22_총괄집계및영구설비내역12.22_순공사비(전체분)_20070504_PAC 회수금삭제_순공사비(전체분)_20070504_PAC 회수금삭제_창원반송정수장 오존공정 도입공사(도급)-2" xfId="6732" xr:uid="{00000000-0005-0000-0000-00004A1A0000}"/>
    <cellStyle name="_적격(화산) _총괄집계및영구설비내역12.22_총괄집계및영구설비내역12.22_순공사비(전체분)_20070504_PAC 회수금삭제_창원반송정수장 오존공정 도입공사(도급)-2" xfId="6733" xr:uid="{00000000-0005-0000-0000-00004B1A0000}"/>
    <cellStyle name="_적격(화산) _총괄집계및영구설비내역12.22_총괄집계및영구설비내역12.22_창원반송정수장 오존공정 도입공사(도급)-2" xfId="6734" xr:uid="{00000000-0005-0000-0000-00004C1A0000}"/>
    <cellStyle name="_적격(화산) _총인처리시설 설계내역서(심사)" xfId="6735" xr:uid="{00000000-0005-0000-0000-00004D1A0000}"/>
    <cellStyle name="_적격(화산) _투찰서(시화)" xfId="6736" xr:uid="{00000000-0005-0000-0000-00004E1A0000}"/>
    <cellStyle name="_적격(화산) _투찰서(시화)_0.창원반송정수장 오존공정 도입공사(정수설비)-1" xfId="6737" xr:uid="{00000000-0005-0000-0000-00004F1A0000}"/>
    <cellStyle name="_적격(화산) _투찰서(시화)_사본임-창원반송정수장 오존공정 도입공사(도급)-2" xfId="6738" xr:uid="{00000000-0005-0000-0000-0000501A0000}"/>
    <cellStyle name="_적격(화산) _투찰서(시화)_순공사비(전체분)_20070504_PAC 회수금삭제" xfId="6739" xr:uid="{00000000-0005-0000-0000-0000511A0000}"/>
    <cellStyle name="_적격(화산) _투찰서(시화)_순공사비(전체분)_20070504_PAC 회수금삭제_0.창원반송정수장 오존공정 도입공사(정수설비)-1" xfId="6740" xr:uid="{00000000-0005-0000-0000-0000521A0000}"/>
    <cellStyle name="_적격(화산) _투찰서(시화)_순공사비(전체분)_20070504_PAC 회수금삭제_사본임-창원반송정수장 오존공정 도입공사(도급)-2" xfId="6741" xr:uid="{00000000-0005-0000-0000-0000531A0000}"/>
    <cellStyle name="_적격(화산) _투찰서(시화)_순공사비(전체분)_20070504_PAC 회수금삭제_순공사비(전체분)_20070504_PAC 회수금삭제" xfId="6742" xr:uid="{00000000-0005-0000-0000-0000541A0000}"/>
    <cellStyle name="_적격(화산) _투찰서(시화)_순공사비(전체분)_20070504_PAC 회수금삭제_순공사비(전체분)_20070504_PAC 회수금삭제_0.창원반송정수장 오존공정 도입공사(정수설비)-1" xfId="6743" xr:uid="{00000000-0005-0000-0000-0000551A0000}"/>
    <cellStyle name="_적격(화산) _투찰서(시화)_순공사비(전체분)_20070504_PAC 회수금삭제_순공사비(전체분)_20070504_PAC 회수금삭제_사본임-창원반송정수장 오존공정 도입공사(도급)-2" xfId="6744" xr:uid="{00000000-0005-0000-0000-0000561A0000}"/>
    <cellStyle name="_적격(화산) _투찰서(시화)_순공사비(전체분)_20070504_PAC 회수금삭제_순공사비(전체분)_20070504_PAC 회수금삭제_창원반송정수장 오존공정 도입공사(도급)-2" xfId="6745" xr:uid="{00000000-0005-0000-0000-0000571A0000}"/>
    <cellStyle name="_적격(화산) _투찰서(시화)_순공사비(전체분)_20070504_PAC 회수금삭제_창원반송정수장 오존공정 도입공사(도급)-2" xfId="6746" xr:uid="{00000000-0005-0000-0000-0000581A0000}"/>
    <cellStyle name="_적격(화산) _투찰서(시화)_창원반송정수장 오존공정 도입공사(도급)-2" xfId="6747" xr:uid="{00000000-0005-0000-0000-0000591A0000}"/>
    <cellStyle name="_적격(화산) _투찰서(시화조력)" xfId="6748" xr:uid="{00000000-0005-0000-0000-00005A1A0000}"/>
    <cellStyle name="_적격(화산) _투찰서(시화조력)_0.창원반송정수장 오존공정 도입공사(정수설비)-1" xfId="6749" xr:uid="{00000000-0005-0000-0000-00005B1A0000}"/>
    <cellStyle name="_적격(화산) _투찰서(시화조력)_사본임-창원반송정수장 오존공정 도입공사(도급)-2" xfId="6750" xr:uid="{00000000-0005-0000-0000-00005C1A0000}"/>
    <cellStyle name="_적격(화산) _투찰서(시화조력)_순공사비(전체분)_20070504_PAC 회수금삭제" xfId="6751" xr:uid="{00000000-0005-0000-0000-00005D1A0000}"/>
    <cellStyle name="_적격(화산) _투찰서(시화조력)_순공사비(전체분)_20070504_PAC 회수금삭제_0.창원반송정수장 오존공정 도입공사(정수설비)-1" xfId="6752" xr:uid="{00000000-0005-0000-0000-00005E1A0000}"/>
    <cellStyle name="_적격(화산) _투찰서(시화조력)_순공사비(전체분)_20070504_PAC 회수금삭제_사본임-창원반송정수장 오존공정 도입공사(도급)-2" xfId="6753" xr:uid="{00000000-0005-0000-0000-00005F1A0000}"/>
    <cellStyle name="_적격(화산) _투찰서(시화조력)_순공사비(전체분)_20070504_PAC 회수금삭제_순공사비(전체분)_20070504_PAC 회수금삭제" xfId="6754" xr:uid="{00000000-0005-0000-0000-0000601A0000}"/>
    <cellStyle name="_적격(화산) _투찰서(시화조력)_순공사비(전체분)_20070504_PAC 회수금삭제_순공사비(전체분)_20070504_PAC 회수금삭제_0.창원반송정수장 오존공정 도입공사(정수설비)-1" xfId="6755" xr:uid="{00000000-0005-0000-0000-0000611A0000}"/>
    <cellStyle name="_적격(화산) _투찰서(시화조력)_순공사비(전체분)_20070504_PAC 회수금삭제_순공사비(전체분)_20070504_PAC 회수금삭제_사본임-창원반송정수장 오존공정 도입공사(도급)-2" xfId="6756" xr:uid="{00000000-0005-0000-0000-0000621A0000}"/>
    <cellStyle name="_적격(화산) _투찰서(시화조력)_순공사비(전체분)_20070504_PAC 회수금삭제_순공사비(전체분)_20070504_PAC 회수금삭제_창원반송정수장 오존공정 도입공사(도급)-2" xfId="6757" xr:uid="{00000000-0005-0000-0000-0000631A0000}"/>
    <cellStyle name="_적격(화산) _투찰서(시화조력)_순공사비(전체분)_20070504_PAC 회수금삭제_창원반송정수장 오존공정 도입공사(도급)-2" xfId="6758" xr:uid="{00000000-0005-0000-0000-0000641A0000}"/>
    <cellStyle name="_적격(화산) _투찰서(시화조력)_창원반송정수장 오존공정 도입공사(도급)-2" xfId="6759" xr:uid="{00000000-0005-0000-0000-0000651A0000}"/>
    <cellStyle name="_전기" xfId="6760" xr:uid="{00000000-0005-0000-0000-0000661A0000}"/>
    <cellStyle name="_전기내역서(소양강)-6차" xfId="6761" xr:uid="{00000000-0005-0000-0000-0000671A0000}"/>
    <cellStyle name="_전달자료 - 수치정사영상지도제작" xfId="6762" xr:uid="{00000000-0005-0000-0000-0000681A0000}"/>
    <cellStyle name="_전력계산서-몽산포" xfId="6763" xr:uid="{00000000-0005-0000-0000-0000691A0000}"/>
    <cellStyle name="_전신주보호공" xfId="6764" xr:uid="{00000000-0005-0000-0000-00006A1A0000}"/>
    <cellStyle name="_전주시_UIS 확장사업 설계내역서_2" xfId="6765" xr:uid="{00000000-0005-0000-0000-00006B1A0000}"/>
    <cellStyle name="_전주시_UIS 확장사업 설계내역서_2_02._서울시_위례신도시_차집관거_설계예산서(전체)_0217" xfId="6766" xr:uid="{00000000-0005-0000-0000-00006C1A0000}"/>
    <cellStyle name="_전주시관내(이서~용정)건설공사(신화)" xfId="6767" xr:uid="{00000000-0005-0000-0000-00006D1A0000}"/>
    <cellStyle name="_전체 (2)" xfId="6768" xr:uid="{00000000-0005-0000-0000-00006E1A0000}"/>
    <cellStyle name="_전체 경산수도정비(070409)" xfId="6769" xr:uid="{00000000-0005-0000-0000-00006F1A0000}"/>
    <cellStyle name="_전체 경산수도정비(070425)" xfId="6770" xr:uid="{00000000-0005-0000-0000-0000701A0000}"/>
    <cellStyle name="_전체분자재집계표" xfId="6771" xr:uid="{00000000-0005-0000-0000-0000711A0000}"/>
    <cellStyle name="_전체분자재집계표_금산제수량(전체최종)" xfId="6772" xr:uid="{00000000-0005-0000-0000-0000721A0000}"/>
    <cellStyle name="_전체분자재집계표_금산제수량(전체최종)_토공(3지구)" xfId="6773" xr:uid="{00000000-0005-0000-0000-0000731A0000}"/>
    <cellStyle name="_전체분자재집계표_금산제수량(전체최종)_토공(3지구)_토공(4지구)" xfId="6774" xr:uid="{00000000-0005-0000-0000-0000741A0000}"/>
    <cellStyle name="_전체분자재집계표_금산제수량(전체최종)_토공(3지구)_토공(4지구)_토공(4지구)" xfId="6775" xr:uid="{00000000-0005-0000-0000-0000751A0000}"/>
    <cellStyle name="_전체분자재집계표_금산제수량(전체최종)_토공(4지구)" xfId="6776" xr:uid="{00000000-0005-0000-0000-0000761A0000}"/>
    <cellStyle name="_전체분자재집계표_금산제수량(전체최종)_토공(4지구)_토공(4지구)" xfId="6777" xr:uid="{00000000-0005-0000-0000-0000771A0000}"/>
    <cellStyle name="_전체분자재집계표_금산제수량(전체최종)_토공(4지구)_토공(4지구)_토공(3지구)" xfId="6778" xr:uid="{00000000-0005-0000-0000-0000781A0000}"/>
    <cellStyle name="_전체분자재집계표_금산제수량(전체최종)_토공(4지구)_토공(4지구)_토공(3지구)_토공(4지구)" xfId="6779" xr:uid="{00000000-0005-0000-0000-0000791A0000}"/>
    <cellStyle name="_전체분자재집계표_금산제수량(전체최종)_토공(4지구)_토공(4지구)_토공(3지구)_토공(4지구)_토공(4지구)" xfId="6780" xr:uid="{00000000-0005-0000-0000-00007A1A0000}"/>
    <cellStyle name="_전체분자재집계표_금산제수량(전체최종)_토공(4지구)_토공(4지구)_토공(4지구)" xfId="6781" xr:uid="{00000000-0005-0000-0000-00007B1A0000}"/>
    <cellStyle name="_전체분자재집계표_토공(3지구)" xfId="6782" xr:uid="{00000000-0005-0000-0000-00007C1A0000}"/>
    <cellStyle name="_전체분자재집계표_토공(3지구)_토공(4지구)" xfId="6783" xr:uid="{00000000-0005-0000-0000-00007D1A0000}"/>
    <cellStyle name="_전체분자재집계표_토공(3지구)_토공(4지구)_토공(4지구)" xfId="6784" xr:uid="{00000000-0005-0000-0000-00007E1A0000}"/>
    <cellStyle name="_전체분자재집계표_토공(4지구)" xfId="6785" xr:uid="{00000000-0005-0000-0000-00007F1A0000}"/>
    <cellStyle name="_전체분자재집계표_토공(4지구)_토공(4지구)" xfId="6786" xr:uid="{00000000-0005-0000-0000-0000801A0000}"/>
    <cellStyle name="_전체분자재집계표_토공(4지구)_토공(4지구)_토공(3지구)" xfId="6787" xr:uid="{00000000-0005-0000-0000-0000811A0000}"/>
    <cellStyle name="_전체분자재집계표_토공(4지구)_토공(4지구)_토공(3지구)_토공(4지구)" xfId="6788" xr:uid="{00000000-0005-0000-0000-0000821A0000}"/>
    <cellStyle name="_전체분자재집계표_토공(4지구)_토공(4지구)_토공(3지구)_토공(4지구)_토공(4지구)" xfId="6789" xr:uid="{00000000-0005-0000-0000-0000831A0000}"/>
    <cellStyle name="_전체분자재집계표_토공(4지구)_토공(4지구)_토공(4지구)" xfId="6790" xr:uid="{00000000-0005-0000-0000-0000841A0000}"/>
    <cellStyle name="_점검정비기준" xfId="6791" xr:uid="{00000000-0005-0000-0000-0000851A0000}"/>
    <cellStyle name="_접속슬래브" xfId="6792" xr:uid="{00000000-0005-0000-0000-0000861A0000}"/>
    <cellStyle name="_접속슬래브_(구조물)깨기" xfId="6793" xr:uid="{00000000-0005-0000-0000-0000871A0000}"/>
    <cellStyle name="_접속슬래브_(구조물)깨기_01 콘크리트(구조물)깨기" xfId="6794" xr:uid="{00000000-0005-0000-0000-0000881A0000}"/>
    <cellStyle name="_접속슬래브_0.토공수량(영동)" xfId="6795" xr:uid="{00000000-0005-0000-0000-0000891A0000}"/>
    <cellStyle name="_접속슬래브_0.토공수량(영동)_00.토공" xfId="6796" xr:uid="{00000000-0005-0000-0000-00008A1A0000}"/>
    <cellStyle name="_접속슬래브_0.토공수량(영동)_Book1" xfId="6797" xr:uid="{00000000-0005-0000-0000-00008B1A0000}"/>
    <cellStyle name="_접속슬래브_00.토공" xfId="6798" xr:uid="{00000000-0005-0000-0000-00008C1A0000}"/>
    <cellStyle name="_접속슬래브_00.토공_00.토공" xfId="6799" xr:uid="{00000000-0005-0000-0000-00008D1A0000}"/>
    <cellStyle name="_접속슬래브_00.토공_Book1" xfId="6800" xr:uid="{00000000-0005-0000-0000-00008E1A0000}"/>
    <cellStyle name="_접속슬래브_02.포장깨기(남해선)" xfId="6801" xr:uid="{00000000-0005-0000-0000-00008F1A0000}"/>
    <cellStyle name="_접속슬래브_02.포장깨기(남해선)_02.포장깨기(남해선)" xfId="6802" xr:uid="{00000000-0005-0000-0000-0000901A0000}"/>
    <cellStyle name="_접속슬래브_깨기-취합" xfId="6803" xr:uid="{00000000-0005-0000-0000-0000911A0000}"/>
    <cellStyle name="_접속슬래브_깨기-취합_(구조물)깨기" xfId="6804" xr:uid="{00000000-0005-0000-0000-0000921A0000}"/>
    <cellStyle name="_접속슬래브_깨기-취합_(구조물)깨기_01 콘크리트(구조물)깨기" xfId="6805" xr:uid="{00000000-0005-0000-0000-0000931A0000}"/>
    <cellStyle name="_접속슬래브_깨기-취합_02.포장깨기(남해선)" xfId="6806" xr:uid="{00000000-0005-0000-0000-0000941A0000}"/>
    <cellStyle name="_접속슬래브_깨기-취합_02.포장깨기(남해선)_02.포장깨기(남해선)" xfId="6807" xr:uid="{00000000-0005-0000-0000-0000951A0000}"/>
    <cellStyle name="_접속슬래브_깨기-취합_영동깨기최종(세준)" xfId="6808" xr:uid="{00000000-0005-0000-0000-0000961A0000}"/>
    <cellStyle name="_접속슬래브_깨기-취합_영동깨기최종(세준)_(구조물)깨기" xfId="6809" xr:uid="{00000000-0005-0000-0000-0000971A0000}"/>
    <cellStyle name="_접속슬래브_깨기-취합_영동깨기최종(세준)_(구조물)깨기_01 콘크리트(구조물)깨기" xfId="6810" xr:uid="{00000000-0005-0000-0000-0000981A0000}"/>
    <cellStyle name="_접속슬래브_깨기-취합_영동깨기최종(세준)_02.포장깨기(남해선)" xfId="6811" xr:uid="{00000000-0005-0000-0000-0000991A0000}"/>
    <cellStyle name="_접속슬래브_깨기-취합_영동깨기최종(세준)_02.포장깨기(남해선)_02.포장깨기(남해선)" xfId="6812" xr:uid="{00000000-0005-0000-0000-00009A1A0000}"/>
    <cellStyle name="_접속슬래브_깨기-취합_영동깨기최종(세준)_포장깨기" xfId="6813" xr:uid="{00000000-0005-0000-0000-00009B1A0000}"/>
    <cellStyle name="_접속슬래브_깨기-취합_포장깨기" xfId="6814" xr:uid="{00000000-0005-0000-0000-00009C1A0000}"/>
    <cellStyle name="_접속슬래브_포장깨기" xfId="6815" xr:uid="{00000000-0005-0000-0000-00009D1A0000}"/>
    <cellStyle name="_정사사진제작을위한수치지도제작(1000)" xfId="6816" xr:uid="{00000000-0005-0000-0000-00009E1A0000}"/>
    <cellStyle name="_정읍시_UIS설계서(0302)" xfId="6817" xr:uid="{00000000-0005-0000-0000-00009F1A0000}"/>
    <cellStyle name="_제1 Eco-bridge" xfId="6818" xr:uid="{00000000-0005-0000-0000-0000A01A0000}"/>
    <cellStyle name="_제목" xfId="6819" xr:uid="{00000000-0005-0000-0000-0000A11A0000}"/>
    <cellStyle name="_제목_내역서" xfId="6820" xr:uid="{00000000-0005-0000-0000-0000A21A0000}"/>
    <cellStyle name="_제안첨부 상세0411" xfId="6821" xr:uid="{00000000-0005-0000-0000-0000A31A0000}"/>
    <cellStyle name="_제주설계비검토(20060930)" xfId="6822" xr:uid="{00000000-0005-0000-0000-0000A41A0000}"/>
    <cellStyle name="_제주시_운용소프트웨어개발" xfId="6823" xr:uid="{00000000-0005-0000-0000-0000A51A0000}"/>
    <cellStyle name="_조달청_계약내역(기성1차)" xfId="6824" xr:uid="{00000000-0005-0000-0000-0000A61A0000}"/>
    <cellStyle name="_조원고" xfId="6825" xr:uid="{00000000-0005-0000-0000-0000A71A0000}"/>
    <cellStyle name="_종포농로" xfId="6826" xr:uid="{00000000-0005-0000-0000-0000A81A0000}"/>
    <cellStyle name="_중림내역표지" xfId="6827" xr:uid="{00000000-0005-0000-0000-0000A91A0000}"/>
    <cellStyle name="_중앙선전차선내역(r.1)" xfId="6828" xr:uid="{00000000-0005-0000-0000-0000AA1A0000}"/>
    <cellStyle name="_증평-도안면농어촌생활용수개발사업실시설계내역(1)" xfId="6829" xr:uid="{00000000-0005-0000-0000-0000AB1A0000}"/>
    <cellStyle name="_지정과제1분기실적(확정990408)" xfId="6830" xr:uid="{00000000-0005-0000-0000-0000AC1A0000}"/>
    <cellStyle name="_지정과제1분기실적(확정990408)_1" xfId="6831" xr:uid="{00000000-0005-0000-0000-0000AD1A0000}"/>
    <cellStyle name="_지정과제2차심의list" xfId="6832" xr:uid="{00000000-0005-0000-0000-0000AE1A0000}"/>
    <cellStyle name="_지정과제2차심의list_1" xfId="6833" xr:uid="{00000000-0005-0000-0000-0000AF1A0000}"/>
    <cellStyle name="_지정과제2차심의list_2" xfId="6834" xr:uid="{00000000-0005-0000-0000-0000B01A0000}"/>
    <cellStyle name="_지정과제2차심의결과" xfId="6835" xr:uid="{00000000-0005-0000-0000-0000B11A0000}"/>
    <cellStyle name="_지정과제2차심의결과(금액조정후최종)" xfId="6836" xr:uid="{00000000-0005-0000-0000-0000B21A0000}"/>
    <cellStyle name="_지정과제2차심의결과(금액조정후최종)_1" xfId="6837" xr:uid="{00000000-0005-0000-0000-0000B31A0000}"/>
    <cellStyle name="_지정과제2차심의결과(금액조정후최종)_1_dimon" xfId="6838" xr:uid="{00000000-0005-0000-0000-0000B41A0000}"/>
    <cellStyle name="_지정과제2차심의결과(금액조정후최종)_1_경영개선실적보고(전주공장)" xfId="6839" xr:uid="{00000000-0005-0000-0000-0000B51A0000}"/>
    <cellStyle name="_지정과제2차심의결과(금액조정후최종)_1_별첨1_2" xfId="6840" xr:uid="{00000000-0005-0000-0000-0000B61A0000}"/>
    <cellStyle name="_지정과제2차심의결과(금액조정후최종)_1_제안과제집계표(공장전체)" xfId="6841" xr:uid="{00000000-0005-0000-0000-0000B71A0000}"/>
    <cellStyle name="_지정과제2차심의결과(금액조정후최종)_dimon" xfId="6842" xr:uid="{00000000-0005-0000-0000-0000B81A0000}"/>
    <cellStyle name="_지정과제2차심의결과(금액조정후최종)_경영개선실적보고(전주공장)" xfId="6843" xr:uid="{00000000-0005-0000-0000-0000B91A0000}"/>
    <cellStyle name="_지정과제2차심의결과(금액조정후최종)_별첨1_2" xfId="6844" xr:uid="{00000000-0005-0000-0000-0000BA1A0000}"/>
    <cellStyle name="_지정과제2차심의결과(금액조정후최종)_제안과제집계표(공장전체)" xfId="6845" xr:uid="{00000000-0005-0000-0000-0000BB1A0000}"/>
    <cellStyle name="_지정과제2차심의결과_1" xfId="6846" xr:uid="{00000000-0005-0000-0000-0000BC1A0000}"/>
    <cellStyle name="_지하수개발내역서(최종)" xfId="6847" xr:uid="{00000000-0005-0000-0000-0000BD1A0000}"/>
    <cellStyle name="_지하시설물 통합정보시스템 구축 사업 예산내역서_1.1" xfId="6848" xr:uid="{00000000-0005-0000-0000-0000BE1A0000}"/>
    <cellStyle name="_지하시설물관리현장지원시스템구축 산출내역서_1.0" xfId="6849" xr:uid="{00000000-0005-0000-0000-0000BF1A0000}"/>
    <cellStyle name="_지하시설물통합관리설계내역서_1.0" xfId="6850" xr:uid="{00000000-0005-0000-0000-0000C01A0000}"/>
    <cellStyle name="_지하시설물통합관리설계내역서_1.0 2" xfId="6851" xr:uid="{00000000-0005-0000-0000-0000C11A0000}"/>
    <cellStyle name="_지하시설물통합관리설계내역서_1.0_02._서울시_위례신도시_차집관거_설계예산서(전체)_0217" xfId="6852" xr:uid="{00000000-0005-0000-0000-0000C21A0000}"/>
    <cellStyle name="_지하시설물통합및굴착복구관리 설계내역서_1.1" xfId="6853" xr:uid="{00000000-0005-0000-0000-0000C31A0000}"/>
    <cellStyle name="_직접비산출근거" xfId="6854" xr:uid="{00000000-0005-0000-0000-0000C41A0000}"/>
    <cellStyle name="_집중관리(981231)" xfId="6855" xr:uid="{00000000-0005-0000-0000-0000C51A0000}"/>
    <cellStyle name="_집중관리(981231)_1" xfId="6856" xr:uid="{00000000-0005-0000-0000-0000C61A0000}"/>
    <cellStyle name="_집중관리(지정과제및 양식)" xfId="6857" xr:uid="{00000000-0005-0000-0000-0000C71A0000}"/>
    <cellStyle name="_집중관리(지정과제및 양식)_1" xfId="6858" xr:uid="{00000000-0005-0000-0000-0000C81A0000}"/>
    <cellStyle name="_집행(1)" xfId="6859" xr:uid="{00000000-0005-0000-0000-0000C91A0000}"/>
    <cellStyle name="_집행(1)_4.추진공(공암)" xfId="6860" xr:uid="{00000000-0005-0000-0000-0000CA1A0000}"/>
    <cellStyle name="_집행(1)_4.추진공(공암SAMPLE" xfId="6861" xr:uid="{00000000-0005-0000-0000-0000CB1A0000}"/>
    <cellStyle name="_집행(1)_4.추진공(서산)" xfId="6862" xr:uid="{00000000-0005-0000-0000-0000CC1A0000}"/>
    <cellStyle name="_집행(1)_4.추진공(읍내)" xfId="6863" xr:uid="{00000000-0005-0000-0000-0000CD1A0000}"/>
    <cellStyle name="_집행(1)_4.추진공(황간)" xfId="6864" xr:uid="{00000000-0005-0000-0000-0000CE1A0000}"/>
    <cellStyle name="_집행(1)_선정안(삼산)" xfId="6865" xr:uid="{00000000-0005-0000-0000-0000CF1A0000}"/>
    <cellStyle name="_집행(1)_선정안(삼산)_4.추진공(공암)" xfId="6866" xr:uid="{00000000-0005-0000-0000-0000D01A0000}"/>
    <cellStyle name="_집행(1)_선정안(삼산)_4.추진공(공암SAMPLE" xfId="6867" xr:uid="{00000000-0005-0000-0000-0000D11A0000}"/>
    <cellStyle name="_집행(1)_선정안(삼산)_4.추진공(서산)" xfId="6868" xr:uid="{00000000-0005-0000-0000-0000D21A0000}"/>
    <cellStyle name="_집행(1)_선정안(삼산)_4.추진공(읍내)" xfId="6869" xr:uid="{00000000-0005-0000-0000-0000D31A0000}"/>
    <cellStyle name="_집행(1)_선정안(삼산)_4.추진공(황간)" xfId="6870" xr:uid="{00000000-0005-0000-0000-0000D41A0000}"/>
    <cellStyle name="_집행(1)_선정안(삼산)_영동군추진가시설수량" xfId="6871" xr:uid="{00000000-0005-0000-0000-0000D51A0000}"/>
    <cellStyle name="_집행(1)_영동군추진가시설수량" xfId="6872" xr:uid="{00000000-0005-0000-0000-0000D61A0000}"/>
    <cellStyle name="_집행(1)_추풍령" xfId="6873" xr:uid="{00000000-0005-0000-0000-0000D71A0000}"/>
    <cellStyle name="_집행(1)_추풍령_4.추진공(공암)" xfId="6874" xr:uid="{00000000-0005-0000-0000-0000D81A0000}"/>
    <cellStyle name="_집행(1)_추풍령_4.추진공(공암SAMPLE" xfId="6875" xr:uid="{00000000-0005-0000-0000-0000D91A0000}"/>
    <cellStyle name="_집행(1)_추풍령_4.추진공(서산)" xfId="6876" xr:uid="{00000000-0005-0000-0000-0000DA1A0000}"/>
    <cellStyle name="_집행(1)_추풍령_4.추진공(읍내)" xfId="6877" xr:uid="{00000000-0005-0000-0000-0000DB1A0000}"/>
    <cellStyle name="_집행(1)_추풍령_4.추진공(황간)" xfId="6878" xr:uid="{00000000-0005-0000-0000-0000DC1A0000}"/>
    <cellStyle name="_집행(1)_추풍령_영동군추진가시설수량" xfId="6879" xr:uid="{00000000-0005-0000-0000-0000DD1A0000}"/>
    <cellStyle name="_집행(1)_추풍령-1" xfId="6880" xr:uid="{00000000-0005-0000-0000-0000DE1A0000}"/>
    <cellStyle name="_집행(1)_추풍령-1_4.추진공(공암)" xfId="6881" xr:uid="{00000000-0005-0000-0000-0000DF1A0000}"/>
    <cellStyle name="_집행(1)_추풍령-1_4.추진공(공암SAMPLE" xfId="6882" xr:uid="{00000000-0005-0000-0000-0000E01A0000}"/>
    <cellStyle name="_집행(1)_추풍령-1_4.추진공(서산)" xfId="6883" xr:uid="{00000000-0005-0000-0000-0000E11A0000}"/>
    <cellStyle name="_집행(1)_추풍령-1_4.추진공(읍내)" xfId="6884" xr:uid="{00000000-0005-0000-0000-0000E21A0000}"/>
    <cellStyle name="_집행(1)_추풍령-1_4.추진공(황간)" xfId="6885" xr:uid="{00000000-0005-0000-0000-0000E31A0000}"/>
    <cellStyle name="_집행(1)_추풍령-1_영동군추진가시설수량" xfId="6886" xr:uid="{00000000-0005-0000-0000-0000E41A0000}"/>
    <cellStyle name="_집행(2)" xfId="6887" xr:uid="{00000000-0005-0000-0000-0000E51A0000}"/>
    <cellStyle name="_집행(2)_4.추진공(공암)" xfId="6888" xr:uid="{00000000-0005-0000-0000-0000E61A0000}"/>
    <cellStyle name="_집행(2)_4.추진공(공암SAMPLE" xfId="6889" xr:uid="{00000000-0005-0000-0000-0000E71A0000}"/>
    <cellStyle name="_집행(2)_4.추진공(서산)" xfId="6890" xr:uid="{00000000-0005-0000-0000-0000E81A0000}"/>
    <cellStyle name="_집행(2)_4.추진공(읍내)" xfId="6891" xr:uid="{00000000-0005-0000-0000-0000E91A0000}"/>
    <cellStyle name="_집행(2)_4.추진공(황간)" xfId="6892" xr:uid="{00000000-0005-0000-0000-0000EA1A0000}"/>
    <cellStyle name="_집행(2)_선정안(삼산)" xfId="6893" xr:uid="{00000000-0005-0000-0000-0000EB1A0000}"/>
    <cellStyle name="_집행(2)_선정안(삼산)_4.추진공(공암)" xfId="6894" xr:uid="{00000000-0005-0000-0000-0000EC1A0000}"/>
    <cellStyle name="_집행(2)_선정안(삼산)_4.추진공(공암SAMPLE" xfId="6895" xr:uid="{00000000-0005-0000-0000-0000ED1A0000}"/>
    <cellStyle name="_집행(2)_선정안(삼산)_4.추진공(서산)" xfId="6896" xr:uid="{00000000-0005-0000-0000-0000EE1A0000}"/>
    <cellStyle name="_집행(2)_선정안(삼산)_4.추진공(읍내)" xfId="6897" xr:uid="{00000000-0005-0000-0000-0000EF1A0000}"/>
    <cellStyle name="_집행(2)_선정안(삼산)_4.추진공(황간)" xfId="6898" xr:uid="{00000000-0005-0000-0000-0000F01A0000}"/>
    <cellStyle name="_집행(2)_선정안(삼산)_영동군추진가시설수량" xfId="6899" xr:uid="{00000000-0005-0000-0000-0000F11A0000}"/>
    <cellStyle name="_집행(2)_영동군추진가시설수량" xfId="6900" xr:uid="{00000000-0005-0000-0000-0000F21A0000}"/>
    <cellStyle name="_집행(2)_추풍령" xfId="6901" xr:uid="{00000000-0005-0000-0000-0000F31A0000}"/>
    <cellStyle name="_집행(2)_추풍령_4.추진공(공암)" xfId="6902" xr:uid="{00000000-0005-0000-0000-0000F41A0000}"/>
    <cellStyle name="_집행(2)_추풍령_4.추진공(공암SAMPLE" xfId="6903" xr:uid="{00000000-0005-0000-0000-0000F51A0000}"/>
    <cellStyle name="_집행(2)_추풍령_4.추진공(서산)" xfId="6904" xr:uid="{00000000-0005-0000-0000-0000F61A0000}"/>
    <cellStyle name="_집행(2)_추풍령_4.추진공(읍내)" xfId="6905" xr:uid="{00000000-0005-0000-0000-0000F71A0000}"/>
    <cellStyle name="_집행(2)_추풍령_4.추진공(황간)" xfId="6906" xr:uid="{00000000-0005-0000-0000-0000F81A0000}"/>
    <cellStyle name="_집행(2)_추풍령_영동군추진가시설수량" xfId="6907" xr:uid="{00000000-0005-0000-0000-0000F91A0000}"/>
    <cellStyle name="_집행(2)_추풍령-1" xfId="6908" xr:uid="{00000000-0005-0000-0000-0000FA1A0000}"/>
    <cellStyle name="_집행(2)_추풍령-1_4.추진공(공암)" xfId="6909" xr:uid="{00000000-0005-0000-0000-0000FB1A0000}"/>
    <cellStyle name="_집행(2)_추풍령-1_4.추진공(공암SAMPLE" xfId="6910" xr:uid="{00000000-0005-0000-0000-0000FC1A0000}"/>
    <cellStyle name="_집행(2)_추풍령-1_4.추진공(서산)" xfId="6911" xr:uid="{00000000-0005-0000-0000-0000FD1A0000}"/>
    <cellStyle name="_집행(2)_추풍령-1_4.추진공(읍내)" xfId="6912" xr:uid="{00000000-0005-0000-0000-0000FE1A0000}"/>
    <cellStyle name="_집행(2)_추풍령-1_4.추진공(황간)" xfId="6913" xr:uid="{00000000-0005-0000-0000-0000FF1A0000}"/>
    <cellStyle name="_집행(2)_추풍령-1_영동군추진가시설수량" xfId="6914" xr:uid="{00000000-0005-0000-0000-0000001B0000}"/>
    <cellStyle name="_집행갑지 " xfId="6915" xr:uid="{00000000-0005-0000-0000-0000011B0000}"/>
    <cellStyle name="_집행갑지 _2003년실행양식" xfId="6916" xr:uid="{00000000-0005-0000-0000-0000021B0000}"/>
    <cellStyle name="_집행갑지 _2003년실행양식_4.추진공(공암)" xfId="6917" xr:uid="{00000000-0005-0000-0000-0000031B0000}"/>
    <cellStyle name="_집행갑지 _2003년실행양식_4.추진공(공암SAMPLE" xfId="6918" xr:uid="{00000000-0005-0000-0000-0000041B0000}"/>
    <cellStyle name="_집행갑지 _2003년실행양식_4.추진공(서산)" xfId="6919" xr:uid="{00000000-0005-0000-0000-0000051B0000}"/>
    <cellStyle name="_집행갑지 _2003년실행양식_4.추진공(읍내)" xfId="6920" xr:uid="{00000000-0005-0000-0000-0000061B0000}"/>
    <cellStyle name="_집행갑지 _2003년실행양식_4.추진공(황간)" xfId="6921" xr:uid="{00000000-0005-0000-0000-0000071B0000}"/>
    <cellStyle name="_집행갑지 _2003년실행양식_영동군추진가시설수량" xfId="6922" xr:uid="{00000000-0005-0000-0000-0000081B0000}"/>
    <cellStyle name="_집행갑지 _2003년실행양식0" xfId="6923" xr:uid="{00000000-0005-0000-0000-0000091B0000}"/>
    <cellStyle name="_집행갑지 _2003년실행양식0_4.추진공(공암)" xfId="6924" xr:uid="{00000000-0005-0000-0000-00000A1B0000}"/>
    <cellStyle name="_집행갑지 _2003년실행양식0_4.추진공(공암SAMPLE" xfId="6925" xr:uid="{00000000-0005-0000-0000-00000B1B0000}"/>
    <cellStyle name="_집행갑지 _2003년실행양식0_4.추진공(서산)" xfId="6926" xr:uid="{00000000-0005-0000-0000-00000C1B0000}"/>
    <cellStyle name="_집행갑지 _2003년실행양식0_4.추진공(읍내)" xfId="6927" xr:uid="{00000000-0005-0000-0000-00000D1B0000}"/>
    <cellStyle name="_집행갑지 _2003년실행양식0_4.추진공(황간)" xfId="6928" xr:uid="{00000000-0005-0000-0000-00000E1B0000}"/>
    <cellStyle name="_집행갑지 _2003년실행양식0_영동군추진가시설수량" xfId="6929" xr:uid="{00000000-0005-0000-0000-00000F1B0000}"/>
    <cellStyle name="_집행갑지 _2003년실행양식-1" xfId="6930" xr:uid="{00000000-0005-0000-0000-0000101B0000}"/>
    <cellStyle name="_집행갑지 _2003년실행양식-1_4.추진공(공암)" xfId="6931" xr:uid="{00000000-0005-0000-0000-0000111B0000}"/>
    <cellStyle name="_집행갑지 _2003년실행양식-1_4.추진공(공암SAMPLE" xfId="6932" xr:uid="{00000000-0005-0000-0000-0000121B0000}"/>
    <cellStyle name="_집행갑지 _2003년실행양식-1_4.추진공(서산)" xfId="6933" xr:uid="{00000000-0005-0000-0000-0000131B0000}"/>
    <cellStyle name="_집행갑지 _2003년실행양식-1_4.추진공(읍내)" xfId="6934" xr:uid="{00000000-0005-0000-0000-0000141B0000}"/>
    <cellStyle name="_집행갑지 _2003년실행양식-1_4.추진공(황간)" xfId="6935" xr:uid="{00000000-0005-0000-0000-0000151B0000}"/>
    <cellStyle name="_집행갑지 _2003년실행양식-1_영동군추진가시설수량" xfId="6936" xr:uid="{00000000-0005-0000-0000-0000161B0000}"/>
    <cellStyle name="_집행갑지 _4.추진공(공암)" xfId="6937" xr:uid="{00000000-0005-0000-0000-0000171B0000}"/>
    <cellStyle name="_집행갑지 _4.추진공(공암SAMPLE" xfId="6938" xr:uid="{00000000-0005-0000-0000-0000181B0000}"/>
    <cellStyle name="_집행갑지 _4.추진공(서산)" xfId="6939" xr:uid="{00000000-0005-0000-0000-0000191B0000}"/>
    <cellStyle name="_집행갑지 _4.추진공(읍내)" xfId="6940" xr:uid="{00000000-0005-0000-0000-00001A1B0000}"/>
    <cellStyle name="_집행갑지 _4.추진공(황간)" xfId="6941" xr:uid="{00000000-0005-0000-0000-00001B1B0000}"/>
    <cellStyle name="_집행갑지 _대구도시철도3호선실시설계내역서(070206)" xfId="6942" xr:uid="{00000000-0005-0000-0000-00001C1B0000}"/>
    <cellStyle name="_집행갑지 _대구도시철도3호선실시설계내역서(070207)" xfId="6943" xr:uid="{00000000-0005-0000-0000-00001D1B0000}"/>
    <cellStyle name="_집행갑지 _실행내역2001년1월변경" xfId="6944" xr:uid="{00000000-0005-0000-0000-00001E1B0000}"/>
    <cellStyle name="_집행갑지 _실행내역2001년1월변경_2003년실행양식" xfId="6945" xr:uid="{00000000-0005-0000-0000-00001F1B0000}"/>
    <cellStyle name="_집행갑지 _실행내역2001년1월변경_2003년실행양식_4.추진공(공암)" xfId="6946" xr:uid="{00000000-0005-0000-0000-0000201B0000}"/>
    <cellStyle name="_집행갑지 _실행내역2001년1월변경_2003년실행양식_4.추진공(공암SAMPLE" xfId="6947" xr:uid="{00000000-0005-0000-0000-0000211B0000}"/>
    <cellStyle name="_집행갑지 _실행내역2001년1월변경_2003년실행양식_4.추진공(서산)" xfId="6948" xr:uid="{00000000-0005-0000-0000-0000221B0000}"/>
    <cellStyle name="_집행갑지 _실행내역2001년1월변경_2003년실행양식_4.추진공(읍내)" xfId="6949" xr:uid="{00000000-0005-0000-0000-0000231B0000}"/>
    <cellStyle name="_집행갑지 _실행내역2001년1월변경_2003년실행양식_4.추진공(황간)" xfId="6950" xr:uid="{00000000-0005-0000-0000-0000241B0000}"/>
    <cellStyle name="_집행갑지 _실행내역2001년1월변경_2003년실행양식_영동군추진가시설수량" xfId="6951" xr:uid="{00000000-0005-0000-0000-0000251B0000}"/>
    <cellStyle name="_집행갑지 _실행내역2001년1월변경_2003년실행양식0" xfId="6952" xr:uid="{00000000-0005-0000-0000-0000261B0000}"/>
    <cellStyle name="_집행갑지 _실행내역2001년1월변경_2003년실행양식0_4.추진공(공암)" xfId="6953" xr:uid="{00000000-0005-0000-0000-0000271B0000}"/>
    <cellStyle name="_집행갑지 _실행내역2001년1월변경_2003년실행양식0_4.추진공(공암SAMPLE" xfId="6954" xr:uid="{00000000-0005-0000-0000-0000281B0000}"/>
    <cellStyle name="_집행갑지 _실행내역2001년1월변경_2003년실행양식0_4.추진공(서산)" xfId="6955" xr:uid="{00000000-0005-0000-0000-0000291B0000}"/>
    <cellStyle name="_집행갑지 _실행내역2001년1월변경_2003년실행양식0_4.추진공(읍내)" xfId="6956" xr:uid="{00000000-0005-0000-0000-00002A1B0000}"/>
    <cellStyle name="_집행갑지 _실행내역2001년1월변경_2003년실행양식0_4.추진공(황간)" xfId="6957" xr:uid="{00000000-0005-0000-0000-00002B1B0000}"/>
    <cellStyle name="_집행갑지 _실행내역2001년1월변경_2003년실행양식0_영동군추진가시설수량" xfId="6958" xr:uid="{00000000-0005-0000-0000-00002C1B0000}"/>
    <cellStyle name="_집행갑지 _실행내역2001년1월변경_2003년실행양식-1" xfId="6959" xr:uid="{00000000-0005-0000-0000-00002D1B0000}"/>
    <cellStyle name="_집행갑지 _실행내역2001년1월변경_2003년실행양식-1_4.추진공(공암)" xfId="6960" xr:uid="{00000000-0005-0000-0000-00002E1B0000}"/>
    <cellStyle name="_집행갑지 _실행내역2001년1월변경_2003년실행양식-1_4.추진공(공암SAMPLE" xfId="6961" xr:uid="{00000000-0005-0000-0000-00002F1B0000}"/>
    <cellStyle name="_집행갑지 _실행내역2001년1월변경_2003년실행양식-1_4.추진공(서산)" xfId="6962" xr:uid="{00000000-0005-0000-0000-0000301B0000}"/>
    <cellStyle name="_집행갑지 _실행내역2001년1월변경_2003년실행양식-1_4.추진공(읍내)" xfId="6963" xr:uid="{00000000-0005-0000-0000-0000311B0000}"/>
    <cellStyle name="_집행갑지 _실행내역2001년1월변경_2003년실행양식-1_4.추진공(황간)" xfId="6964" xr:uid="{00000000-0005-0000-0000-0000321B0000}"/>
    <cellStyle name="_집행갑지 _실행내역2001년1월변경_2003년실행양식-1_영동군추진가시설수량" xfId="6965" xr:uid="{00000000-0005-0000-0000-0000331B0000}"/>
    <cellStyle name="_집행갑지 _실행내역2001년1월변경_4.추진공(공암)" xfId="6966" xr:uid="{00000000-0005-0000-0000-0000341B0000}"/>
    <cellStyle name="_집행갑지 _실행내역2001년1월변경_4.추진공(공암SAMPLE" xfId="6967" xr:uid="{00000000-0005-0000-0000-0000351B0000}"/>
    <cellStyle name="_집행갑지 _실행내역2001년1월변경_4.추진공(서산)" xfId="6968" xr:uid="{00000000-0005-0000-0000-0000361B0000}"/>
    <cellStyle name="_집행갑지 _실행내역2001년1월변경_4.추진공(읍내)" xfId="6969" xr:uid="{00000000-0005-0000-0000-0000371B0000}"/>
    <cellStyle name="_집행갑지 _실행내역2001년1월변경_4.추진공(황간)" xfId="6970" xr:uid="{00000000-0005-0000-0000-0000381B0000}"/>
    <cellStyle name="_집행갑지 _실행내역2001년1월변경_영동군추진가시설수량" xfId="6971" xr:uid="{00000000-0005-0000-0000-0000391B0000}"/>
    <cellStyle name="_집행갑지 _영동군추진가시설수량" xfId="6972" xr:uid="{00000000-0005-0000-0000-00003A1B0000}"/>
    <cellStyle name="_참고" xfId="6973" xr:uid="{00000000-0005-0000-0000-00003B1B0000}"/>
    <cellStyle name="_척산교수량722" xfId="6974" xr:uid="{00000000-0005-0000-0000-00003C1B0000}"/>
    <cellStyle name="_철근" xfId="6975" xr:uid="{00000000-0005-0000-0000-00003D1B0000}"/>
    <cellStyle name="_철근자재총괄집계표" xfId="6976" xr:uid="{00000000-0005-0000-0000-00003E1B0000}"/>
    <cellStyle name="_청담1교" xfId="6977" xr:uid="{00000000-0005-0000-0000-00003F1B0000}"/>
    <cellStyle name="_청주도시기본계획 변경설계서(최종)" xfId="6978" xr:uid="{00000000-0005-0000-0000-0000401B0000}"/>
    <cellStyle name="_총괄설계내역서" xfId="6979" xr:uid="{00000000-0005-0000-0000-0000411B0000}"/>
    <cellStyle name="_총괄자재집계표(홍죽천)" xfId="6980" xr:uid="{00000000-0005-0000-0000-0000421B0000}"/>
    <cellStyle name="_최상훈" xfId="6981" xr:uid="{00000000-0005-0000-0000-0000431B0000}"/>
    <cellStyle name="_최상훈_경지정리 지구내 배수로 준설공사" xfId="6982" xr:uid="{00000000-0005-0000-0000-0000441B0000}"/>
    <cellStyle name="_최종 경산수도정비  (물수요포함)" xfId="6983" xr:uid="{00000000-0005-0000-0000-0000451B0000}"/>
    <cellStyle name="_최종안계하수처리장계측제어내역서0801" xfId="6984" xr:uid="{00000000-0005-0000-0000-0000461B0000}"/>
    <cellStyle name="_추곡" xfId="6985" xr:uid="{00000000-0005-0000-0000-0000471B0000}"/>
    <cellStyle name="_추곡_라멘교 토공" xfId="6986" xr:uid="{00000000-0005-0000-0000-0000481B0000}"/>
    <cellStyle name="_추곡_추곡" xfId="6987" xr:uid="{00000000-0005-0000-0000-0000491B0000}"/>
    <cellStyle name="_추곡_추곡_라멘교 토공" xfId="6988" xr:uid="{00000000-0005-0000-0000-00004A1B0000}"/>
    <cellStyle name="_추곡_추곡_포장" xfId="6989" xr:uid="{00000000-0005-0000-0000-00004B1B0000}"/>
    <cellStyle name="_추곡_추곡_포장_라멘교 토공" xfId="6990" xr:uid="{00000000-0005-0000-0000-00004C1B0000}"/>
    <cellStyle name="_추곡_포장" xfId="6991" xr:uid="{00000000-0005-0000-0000-00004D1B0000}"/>
    <cellStyle name="_추곡_포장_라멘교 토공" xfId="6992" xr:uid="{00000000-0005-0000-0000-00004E1B0000}"/>
    <cellStyle name="_추진공수량(금산군)" xfId="6993" xr:uid="{00000000-0005-0000-0000-00004F1B0000}"/>
    <cellStyle name="_추진공수량(금산군,추부)" xfId="6994" xr:uid="{00000000-0005-0000-0000-0000501B0000}"/>
    <cellStyle name="_추진공수량(영동군)" xfId="6995" xr:uid="{00000000-0005-0000-0000-0000511B0000}"/>
    <cellStyle name="_추진공수량(영동군)_4.추진공(공암)" xfId="6996" xr:uid="{00000000-0005-0000-0000-0000521B0000}"/>
    <cellStyle name="_추진공수량(영동군)_4.추진공(공암SAMPLE" xfId="6997" xr:uid="{00000000-0005-0000-0000-0000531B0000}"/>
    <cellStyle name="_추진공수량(영동군)_4.추진공(서산)" xfId="6998" xr:uid="{00000000-0005-0000-0000-0000541B0000}"/>
    <cellStyle name="_추진공수량(영동군)_4.추진공(읍내)" xfId="6999" xr:uid="{00000000-0005-0000-0000-0000551B0000}"/>
    <cellStyle name="_추진공수량(영동군)_4.추진공(황간)" xfId="7000" xr:uid="{00000000-0005-0000-0000-0000561B0000}"/>
    <cellStyle name="_추진공수량(영동군)_영동군추진가시설수량" xfId="7001" xr:uid="{00000000-0005-0000-0000-0000571B0000}"/>
    <cellStyle name="_축령산야영수련장조성및기타공사(동일)" xfId="7002" xr:uid="{00000000-0005-0000-0000-0000581B0000}"/>
    <cellStyle name="_충북지방경찰청" xfId="7003" xr:uid="{00000000-0005-0000-0000-0000591B0000}"/>
    <cellStyle name="_충주원본" xfId="7004" xr:uid="{00000000-0005-0000-0000-00005A1B0000}"/>
    <cellStyle name="_충주원본_설계2임시" xfId="7005" xr:uid="{00000000-0005-0000-0000-00005B1B0000}"/>
    <cellStyle name="_충주원본_설계2임시_설계서(장)" xfId="7006" xr:uid="{00000000-0005-0000-0000-00005C1B0000}"/>
    <cellStyle name="_충주원본_설계2임시_설계최종" xfId="7007" xr:uid="{00000000-0005-0000-0000-00005D1B0000}"/>
    <cellStyle name="_측  구" xfId="7008" xr:uid="{00000000-0005-0000-0000-00005E1B0000}"/>
    <cellStyle name="_측  구_토공(3지구)" xfId="7009" xr:uid="{00000000-0005-0000-0000-00005F1B0000}"/>
    <cellStyle name="_측  구_토공(3지구)_토공(4지구)" xfId="7010" xr:uid="{00000000-0005-0000-0000-0000601B0000}"/>
    <cellStyle name="_측  구_토공(3지구)_토공(4지구)_토공(4지구)" xfId="7011" xr:uid="{00000000-0005-0000-0000-0000611B0000}"/>
    <cellStyle name="_측  구_토공(4지구)" xfId="7012" xr:uid="{00000000-0005-0000-0000-0000621B0000}"/>
    <cellStyle name="_측  구_토공(4지구)_토공(4지구)" xfId="7013" xr:uid="{00000000-0005-0000-0000-0000631B0000}"/>
    <cellStyle name="_측  구_토공(4지구)_토공(4지구)_토공(3지구)" xfId="7014" xr:uid="{00000000-0005-0000-0000-0000641B0000}"/>
    <cellStyle name="_측  구_토공(4지구)_토공(4지구)_토공(3지구)_토공(4지구)" xfId="7015" xr:uid="{00000000-0005-0000-0000-0000651B0000}"/>
    <cellStyle name="_측  구_토공(4지구)_토공(4지구)_토공(3지구)_토공(4지구)_토공(4지구)" xfId="7016" xr:uid="{00000000-0005-0000-0000-0000661B0000}"/>
    <cellStyle name="_측  구_토공(4지구)_토공(4지구)_토공(4지구)" xfId="7017" xr:uid="{00000000-0005-0000-0000-0000671B0000}"/>
    <cellStyle name="_측구공" xfId="7018" xr:uid="{00000000-0005-0000-0000-0000681B0000}"/>
    <cellStyle name="_측구공_금산제수량(전체최종)" xfId="7019" xr:uid="{00000000-0005-0000-0000-0000691B0000}"/>
    <cellStyle name="_측구공_금산제수량(전체최종)_토공(3지구)" xfId="7020" xr:uid="{00000000-0005-0000-0000-00006A1B0000}"/>
    <cellStyle name="_측구공_금산제수량(전체최종)_토공(3지구)_토공(4지구)" xfId="7021" xr:uid="{00000000-0005-0000-0000-00006B1B0000}"/>
    <cellStyle name="_측구공_금산제수량(전체최종)_토공(3지구)_토공(4지구)_토공(4지구)" xfId="7022" xr:uid="{00000000-0005-0000-0000-00006C1B0000}"/>
    <cellStyle name="_측구공_금산제수량(전체최종)_토공(4지구)" xfId="7023" xr:uid="{00000000-0005-0000-0000-00006D1B0000}"/>
    <cellStyle name="_측구공_금산제수량(전체최종)_토공(4지구)_토공(4지구)" xfId="7024" xr:uid="{00000000-0005-0000-0000-00006E1B0000}"/>
    <cellStyle name="_측구공_금산제수량(전체최종)_토공(4지구)_토공(4지구)_토공(3지구)" xfId="7025" xr:uid="{00000000-0005-0000-0000-00006F1B0000}"/>
    <cellStyle name="_측구공_금산제수량(전체최종)_토공(4지구)_토공(4지구)_토공(3지구)_토공(4지구)" xfId="7026" xr:uid="{00000000-0005-0000-0000-0000701B0000}"/>
    <cellStyle name="_측구공_금산제수량(전체최종)_토공(4지구)_토공(4지구)_토공(3지구)_토공(4지구)_토공(4지구)" xfId="7027" xr:uid="{00000000-0005-0000-0000-0000711B0000}"/>
    <cellStyle name="_측구공_금산제수량(전체최종)_토공(4지구)_토공(4지구)_토공(4지구)" xfId="7028" xr:uid="{00000000-0005-0000-0000-0000721B0000}"/>
    <cellStyle name="_측구공_토공(3지구)" xfId="7029" xr:uid="{00000000-0005-0000-0000-0000731B0000}"/>
    <cellStyle name="_측구공_토공(3지구)_토공(4지구)" xfId="7030" xr:uid="{00000000-0005-0000-0000-0000741B0000}"/>
    <cellStyle name="_측구공_토공(3지구)_토공(4지구)_토공(4지구)" xfId="7031" xr:uid="{00000000-0005-0000-0000-0000751B0000}"/>
    <cellStyle name="_측구공_토공(4지구)" xfId="7032" xr:uid="{00000000-0005-0000-0000-0000761B0000}"/>
    <cellStyle name="_측구공_토공(4지구)_토공(4지구)" xfId="7033" xr:uid="{00000000-0005-0000-0000-0000771B0000}"/>
    <cellStyle name="_측구공_토공(4지구)_토공(4지구)_토공(3지구)" xfId="7034" xr:uid="{00000000-0005-0000-0000-0000781B0000}"/>
    <cellStyle name="_측구공_토공(4지구)_토공(4지구)_토공(3지구)_토공(4지구)" xfId="7035" xr:uid="{00000000-0005-0000-0000-0000791B0000}"/>
    <cellStyle name="_측구공_토공(4지구)_토공(4지구)_토공(3지구)_토공(4지구)_토공(4지구)" xfId="7036" xr:uid="{00000000-0005-0000-0000-00007A1B0000}"/>
    <cellStyle name="_측구공_토공(4지구)_토공(4지구)_토공(4지구)" xfId="7037" xr:uid="{00000000-0005-0000-0000-00007B1B0000}"/>
    <cellStyle name="_침입감시 견적서" xfId="7038" xr:uid="{00000000-0005-0000-0000-00007C1B0000}"/>
    <cellStyle name="_코마스HW(1023)" xfId="7039" xr:uid="{00000000-0005-0000-0000-00007D1B0000}"/>
    <cellStyle name="_콘크리트자재집계표" xfId="7040" xr:uid="{00000000-0005-0000-0000-00007E1B0000}"/>
    <cellStyle name="_큰골교수량" xfId="7041" xr:uid="{00000000-0005-0000-0000-00007F1B0000}"/>
    <cellStyle name="_타공종" xfId="7042" xr:uid="{00000000-0005-0000-0000-0000801B0000}"/>
    <cellStyle name="_탐진댐유역 봉덕(전기 검토한 화일 셈플)" xfId="7043" xr:uid="{00000000-0005-0000-0000-0000811B0000}"/>
    <cellStyle name="_태안(변경)" xfId="7044" xr:uid="{00000000-0005-0000-0000-0000821B0000}"/>
    <cellStyle name="_태안물수요만(1,2장제외)" xfId="7045" xr:uid="{00000000-0005-0000-0000-0000831B0000}"/>
    <cellStyle name="_토공" xfId="7046" xr:uid="{00000000-0005-0000-0000-0000841B0000}"/>
    <cellStyle name="_토공(1-1)" xfId="7047" xr:uid="{00000000-0005-0000-0000-0000851B0000}"/>
    <cellStyle name="_토공(3지구)" xfId="7048" xr:uid="{00000000-0005-0000-0000-0000861B0000}"/>
    <cellStyle name="_토공(3지구)_토공(3지구)" xfId="7049" xr:uid="{00000000-0005-0000-0000-0000871B0000}"/>
    <cellStyle name="_토공(3지구)_토공(3지구)_토공(3지구)" xfId="7050" xr:uid="{00000000-0005-0000-0000-0000881B0000}"/>
    <cellStyle name="_토공(3지구)_토공(3지구)_토공(3지구)_토공(4지구)" xfId="7051" xr:uid="{00000000-0005-0000-0000-0000891B0000}"/>
    <cellStyle name="_토공(3지구)_토공(3지구)_토공(3지구)_토공(4지구)_토공(4지구)" xfId="7052" xr:uid="{00000000-0005-0000-0000-00008A1B0000}"/>
    <cellStyle name="_토공(3지구)_토공(3지구)_토공(4지구)" xfId="7053" xr:uid="{00000000-0005-0000-0000-00008B1B0000}"/>
    <cellStyle name="_토공(3지구)_토공(4지구)" xfId="7054" xr:uid="{00000000-0005-0000-0000-00008C1B0000}"/>
    <cellStyle name="_토공(3지구)_토공(4지구)_토공(3지구)" xfId="7055" xr:uid="{00000000-0005-0000-0000-00008D1B0000}"/>
    <cellStyle name="_토공(3지구)_토공(4지구)_토공(3지구)_토공(4지구)" xfId="7056" xr:uid="{00000000-0005-0000-0000-00008E1B0000}"/>
    <cellStyle name="_토공(3지구)_토공(4지구)_토공(3지구)_토공(4지구)_토공(4지구)" xfId="7057" xr:uid="{00000000-0005-0000-0000-00008F1B0000}"/>
    <cellStyle name="_토공(3지구)_토공(4지구)_토공(4지구)" xfId="7058" xr:uid="{00000000-0005-0000-0000-0000901B0000}"/>
    <cellStyle name="_토공(4지구)" xfId="7059" xr:uid="{00000000-0005-0000-0000-0000911B0000}"/>
    <cellStyle name="_토공(4지구)_토공(4지구)" xfId="7060" xr:uid="{00000000-0005-0000-0000-0000921B0000}"/>
    <cellStyle name="_토공(4지구)_토공(4지구)_토공(3지구)" xfId="7061" xr:uid="{00000000-0005-0000-0000-0000931B0000}"/>
    <cellStyle name="_토공(4지구)_토공(4지구)_토공(3지구)_토공(4지구)" xfId="7062" xr:uid="{00000000-0005-0000-0000-0000941B0000}"/>
    <cellStyle name="_토공(4지구)_토공(4지구)_토공(3지구)_토공(4지구)_토공(4지구)" xfId="7063" xr:uid="{00000000-0005-0000-0000-0000951B0000}"/>
    <cellStyle name="_토공(4지구)_토공(4지구)_토공(4지구)" xfId="7064" xr:uid="{00000000-0005-0000-0000-0000961B0000}"/>
    <cellStyle name="_토공_1" xfId="7065" xr:uid="{00000000-0005-0000-0000-0000971B0000}"/>
    <cellStyle name="_토공_금산제수량(전체최종)" xfId="7066" xr:uid="{00000000-0005-0000-0000-0000981B0000}"/>
    <cellStyle name="_토공_금산제수량(전체최종)_토공(3지구)" xfId="7067" xr:uid="{00000000-0005-0000-0000-0000991B0000}"/>
    <cellStyle name="_토공_금산제수량(전체최종)_토공(3지구)_토공(4지구)" xfId="7068" xr:uid="{00000000-0005-0000-0000-00009A1B0000}"/>
    <cellStyle name="_토공_금산제수량(전체최종)_토공(3지구)_토공(4지구)_토공(4지구)" xfId="7069" xr:uid="{00000000-0005-0000-0000-00009B1B0000}"/>
    <cellStyle name="_토공_금산제수량(전체최종)_토공(4지구)" xfId="7070" xr:uid="{00000000-0005-0000-0000-00009C1B0000}"/>
    <cellStyle name="_토공_금산제수량(전체최종)_토공(4지구)_토공(4지구)" xfId="7071" xr:uid="{00000000-0005-0000-0000-00009D1B0000}"/>
    <cellStyle name="_토공_금산제수량(전체최종)_토공(4지구)_토공(4지구)_토공(3지구)" xfId="7072" xr:uid="{00000000-0005-0000-0000-00009E1B0000}"/>
    <cellStyle name="_토공_금산제수량(전체최종)_토공(4지구)_토공(4지구)_토공(3지구)_토공(4지구)" xfId="7073" xr:uid="{00000000-0005-0000-0000-00009F1B0000}"/>
    <cellStyle name="_토공_금산제수량(전체최종)_토공(4지구)_토공(4지구)_토공(3지구)_토공(4지구)_토공(4지구)" xfId="7074" xr:uid="{00000000-0005-0000-0000-0000A01B0000}"/>
    <cellStyle name="_토공_금산제수량(전체최종)_토공(4지구)_토공(4지구)_토공(4지구)" xfId="7075" xr:uid="{00000000-0005-0000-0000-0000A11B0000}"/>
    <cellStyle name="_토공_토공(3지구)" xfId="7076" xr:uid="{00000000-0005-0000-0000-0000A21B0000}"/>
    <cellStyle name="_토공_토공(3지구)_토공(4지구)" xfId="7077" xr:uid="{00000000-0005-0000-0000-0000A31B0000}"/>
    <cellStyle name="_토공_토공(3지구)_토공(4지구)_토공(4지구)" xfId="7078" xr:uid="{00000000-0005-0000-0000-0000A41B0000}"/>
    <cellStyle name="_토공_토공(4지구)" xfId="7079" xr:uid="{00000000-0005-0000-0000-0000A51B0000}"/>
    <cellStyle name="_토공_토공(4지구)_토공(4지구)" xfId="7080" xr:uid="{00000000-0005-0000-0000-0000A61B0000}"/>
    <cellStyle name="_토공_토공(4지구)_토공(4지구)_토공(3지구)" xfId="7081" xr:uid="{00000000-0005-0000-0000-0000A71B0000}"/>
    <cellStyle name="_토공_토공(4지구)_토공(4지구)_토공(3지구)_토공(4지구)" xfId="7082" xr:uid="{00000000-0005-0000-0000-0000A81B0000}"/>
    <cellStyle name="_토공_토공(4지구)_토공(4지구)_토공(3지구)_토공(4지구)_토공(4지구)" xfId="7083" xr:uid="{00000000-0005-0000-0000-0000A91B0000}"/>
    <cellStyle name="_토공_토공(4지구)_토공(4지구)_토공(4지구)" xfId="7084" xr:uid="{00000000-0005-0000-0000-0000AA1B0000}"/>
    <cellStyle name="_토공1" xfId="7085" xr:uid="{00000000-0005-0000-0000-0000AB1B0000}"/>
    <cellStyle name="_토공계획" xfId="7086" xr:uid="{00000000-0005-0000-0000-0000AC1B0000}"/>
    <cellStyle name="_토공계획_B-1,B-1-1노선변경실정보고" xfId="7087" xr:uid="{00000000-0005-0000-0000-0000AD1B0000}"/>
    <cellStyle name="_토공계획_B-1,B-1-1노선변경실정보고_발주내역서(제주도 하수처리장)1" xfId="7088" xr:uid="{00000000-0005-0000-0000-0000AE1B0000}"/>
    <cellStyle name="_토공계획_B-1,B-1-1노선변경실정보고_번암,산서하수처리장(처리장+관로+마을하수-1)" xfId="7089" xr:uid="{00000000-0005-0000-0000-0000AF1B0000}"/>
    <cellStyle name="_토공계획_B-1,B-1-1노선변경실정보고_조천배수지 확장사업 내역서" xfId="7090" xr:uid="{00000000-0005-0000-0000-0000B01B0000}"/>
    <cellStyle name="_토공계획_B-1,B-1-1노선변경실정보고_진안지방상수도개발사업2-19(마을배수관로미포함)" xfId="7091" xr:uid="{00000000-0005-0000-0000-0000B11B0000}"/>
    <cellStyle name="_토공계획_B-1,B-1-1노선변경실정보고_진안지방상수도개발사업2-19(마을배수관로미포함)_고수,공음,신림마을하수도" xfId="7092" xr:uid="{00000000-0005-0000-0000-0000B21B0000}"/>
    <cellStyle name="_토공계획_B-1,B-1-1노선변경실정보고_진안지방상수도개발사업2-19(마을배수관로미포함)_고수,공음,신림마을하수도_발주내역서(제주도 하수처리장)1" xfId="7093" xr:uid="{00000000-0005-0000-0000-0000B31B0000}"/>
    <cellStyle name="_토공계획_B-1,B-1-1노선변경실정보고_진안지방상수도개발사업2-19(마을배수관로미포함)_고수,공음,신림마을하수도_조천배수지 확장사업 내역서" xfId="7094" xr:uid="{00000000-0005-0000-0000-0000B41B0000}"/>
    <cellStyle name="_토공계획_B-1,B-1-1노선변경실정보고_진안지방상수도개발사업2-19(마을배수관로미포함)_발주내역서(제주도 하수처리장)1" xfId="7095" xr:uid="{00000000-0005-0000-0000-0000B51B0000}"/>
    <cellStyle name="_토공계획_B-1,B-1-1노선변경실정보고_진안지방상수도개발사업2-19(마을배수관로미포함)_번암,산서하수처리장(처리장+관로+마을하수-1)" xfId="7096" xr:uid="{00000000-0005-0000-0000-0000B61B0000}"/>
    <cellStyle name="_토공계획_B-1,B-1-1노선변경실정보고_진안지방상수도개발사업2-19(마을배수관로미포함)_조천배수지 확장사업 내역서" xfId="7097" xr:uid="{00000000-0005-0000-0000-0000B71B0000}"/>
    <cellStyle name="_토공계획_구조물공사시공계획서" xfId="7098" xr:uid="{00000000-0005-0000-0000-0000B81B0000}"/>
    <cellStyle name="_토공계획_구조물공사시공계획서_B-1,B-1-1노선변경실정보고" xfId="7099" xr:uid="{00000000-0005-0000-0000-0000B91B0000}"/>
    <cellStyle name="_토공계획_구조물공사시공계획서_B-1,B-1-1노선변경실정보고_발주내역서(제주도 하수처리장)1" xfId="7100" xr:uid="{00000000-0005-0000-0000-0000BA1B0000}"/>
    <cellStyle name="_토공계획_구조물공사시공계획서_B-1,B-1-1노선변경실정보고_번암,산서하수처리장(처리장+관로+마을하수-1)" xfId="7101" xr:uid="{00000000-0005-0000-0000-0000BB1B0000}"/>
    <cellStyle name="_토공계획_구조물공사시공계획서_B-1,B-1-1노선변경실정보고_조천배수지 확장사업 내역서" xfId="7102" xr:uid="{00000000-0005-0000-0000-0000BC1B0000}"/>
    <cellStyle name="_토공계획_구조물공사시공계획서_B-1,B-1-1노선변경실정보고_진안지방상수도개발사업2-19(마을배수관로미포함)" xfId="7103" xr:uid="{00000000-0005-0000-0000-0000BD1B0000}"/>
    <cellStyle name="_토공계획_구조물공사시공계획서_B-1,B-1-1노선변경실정보고_진안지방상수도개발사업2-19(마을배수관로미포함)_고수,공음,신림마을하수도" xfId="7104" xr:uid="{00000000-0005-0000-0000-0000BE1B0000}"/>
    <cellStyle name="_토공계획_구조물공사시공계획서_B-1,B-1-1노선변경실정보고_진안지방상수도개발사업2-19(마을배수관로미포함)_고수,공음,신림마을하수도_발주내역서(제주도 하수처리장)1" xfId="7105" xr:uid="{00000000-0005-0000-0000-0000BF1B0000}"/>
    <cellStyle name="_토공계획_구조물공사시공계획서_B-1,B-1-1노선변경실정보고_진안지방상수도개발사업2-19(마을배수관로미포함)_고수,공음,신림마을하수도_조천배수지 확장사업 내역서" xfId="7106" xr:uid="{00000000-0005-0000-0000-0000C01B0000}"/>
    <cellStyle name="_토공계획_구조물공사시공계획서_B-1,B-1-1노선변경실정보고_진안지방상수도개발사업2-19(마을배수관로미포함)_발주내역서(제주도 하수처리장)1" xfId="7107" xr:uid="{00000000-0005-0000-0000-0000C11B0000}"/>
    <cellStyle name="_토공계획_구조물공사시공계획서_B-1,B-1-1노선변경실정보고_진안지방상수도개발사업2-19(마을배수관로미포함)_번암,산서하수처리장(처리장+관로+마을하수-1)" xfId="7108" xr:uid="{00000000-0005-0000-0000-0000C21B0000}"/>
    <cellStyle name="_토공계획_구조물공사시공계획서_B-1,B-1-1노선변경실정보고_진안지방상수도개발사업2-19(마을배수관로미포함)_조천배수지 확장사업 내역서" xfId="7109" xr:uid="{00000000-0005-0000-0000-0000C31B0000}"/>
    <cellStyle name="_토공계획_구조물공사시공계획서_발주내역서(제주도 하수처리장)1" xfId="7110" xr:uid="{00000000-0005-0000-0000-0000C41B0000}"/>
    <cellStyle name="_토공계획_구조물공사시공계획서_번암,산서하수처리장(처리장+관로+마을하수-1)" xfId="7111" xr:uid="{00000000-0005-0000-0000-0000C51B0000}"/>
    <cellStyle name="_토공계획_구조물공사시공계획서_조천배수지 확장사업 내역서" xfId="7112" xr:uid="{00000000-0005-0000-0000-0000C61B0000}"/>
    <cellStyle name="_토공계획_구조물공사시공계획서_진안지방상수도개발사업2-19(마을배수관로미포함)" xfId="7113" xr:uid="{00000000-0005-0000-0000-0000C71B0000}"/>
    <cellStyle name="_토공계획_구조물공사시공계획서_진안지방상수도개발사업2-19(마을배수관로미포함)_고수,공음,신림마을하수도" xfId="7114" xr:uid="{00000000-0005-0000-0000-0000C81B0000}"/>
    <cellStyle name="_토공계획_구조물공사시공계획서_진안지방상수도개발사업2-19(마을배수관로미포함)_고수,공음,신림마을하수도_발주내역서(제주도 하수처리장)1" xfId="7115" xr:uid="{00000000-0005-0000-0000-0000C91B0000}"/>
    <cellStyle name="_토공계획_구조물공사시공계획서_진안지방상수도개발사업2-19(마을배수관로미포함)_고수,공음,신림마을하수도_조천배수지 확장사업 내역서" xfId="7116" xr:uid="{00000000-0005-0000-0000-0000CA1B0000}"/>
    <cellStyle name="_토공계획_구조물공사시공계획서_진안지방상수도개발사업2-19(마을배수관로미포함)_발주내역서(제주도 하수처리장)1" xfId="7117" xr:uid="{00000000-0005-0000-0000-0000CB1B0000}"/>
    <cellStyle name="_토공계획_구조물공사시공계획서_진안지방상수도개발사업2-19(마을배수관로미포함)_번암,산서하수처리장(처리장+관로+마을하수-1)" xfId="7118" xr:uid="{00000000-0005-0000-0000-0000CC1B0000}"/>
    <cellStyle name="_토공계획_구조물공사시공계획서_진안지방상수도개발사업2-19(마을배수관로미포함)_조천배수지 확장사업 내역서" xfId="7119" xr:uid="{00000000-0005-0000-0000-0000CD1B0000}"/>
    <cellStyle name="_토공계획_발주내역서(제주도 하수처리장)1" xfId="7120" xr:uid="{00000000-0005-0000-0000-0000CE1B0000}"/>
    <cellStyle name="_토공계획_번암,산서하수처리장(처리장+관로+마을하수-1)" xfId="7121" xr:uid="{00000000-0005-0000-0000-0000CF1B0000}"/>
    <cellStyle name="_토공계획_조천배수지 확장사업 내역서" xfId="7122" xr:uid="{00000000-0005-0000-0000-0000D01B0000}"/>
    <cellStyle name="_토공계획_진안지방상수도개발사업2-19(마을배수관로미포함)" xfId="7123" xr:uid="{00000000-0005-0000-0000-0000D11B0000}"/>
    <cellStyle name="_토공계획_진안지방상수도개발사업2-19(마을배수관로미포함)_고수,공음,신림마을하수도" xfId="7124" xr:uid="{00000000-0005-0000-0000-0000D21B0000}"/>
    <cellStyle name="_토공계획_진안지방상수도개발사업2-19(마을배수관로미포함)_고수,공음,신림마을하수도_발주내역서(제주도 하수처리장)1" xfId="7125" xr:uid="{00000000-0005-0000-0000-0000D31B0000}"/>
    <cellStyle name="_토공계획_진안지방상수도개발사업2-19(마을배수관로미포함)_고수,공음,신림마을하수도_조천배수지 확장사업 내역서" xfId="7126" xr:uid="{00000000-0005-0000-0000-0000D41B0000}"/>
    <cellStyle name="_토공계획_진안지방상수도개발사업2-19(마을배수관로미포함)_발주내역서(제주도 하수처리장)1" xfId="7127" xr:uid="{00000000-0005-0000-0000-0000D51B0000}"/>
    <cellStyle name="_토공계획_진안지방상수도개발사업2-19(마을배수관로미포함)_번암,산서하수처리장(처리장+관로+마을하수-1)" xfId="7128" xr:uid="{00000000-0005-0000-0000-0000D61B0000}"/>
    <cellStyle name="_토공계획_진안지방상수도개발사업2-19(마을배수관로미포함)_조천배수지 확장사업 내역서" xfId="7129" xr:uid="{00000000-0005-0000-0000-0000D71B0000}"/>
    <cellStyle name="_토공계획_토공사시공계획서" xfId="7130" xr:uid="{00000000-0005-0000-0000-0000D81B0000}"/>
    <cellStyle name="_토공계획_토공사시공계획서(포)" xfId="7131" xr:uid="{00000000-0005-0000-0000-0000D91B0000}"/>
    <cellStyle name="_토공계획_토공사시공계획서(포)_B-1,B-1-1노선변경실정보고" xfId="7132" xr:uid="{00000000-0005-0000-0000-0000DA1B0000}"/>
    <cellStyle name="_토공계획_토공사시공계획서(포)_B-1,B-1-1노선변경실정보고_발주내역서(제주도 하수처리장)1" xfId="7133" xr:uid="{00000000-0005-0000-0000-0000DB1B0000}"/>
    <cellStyle name="_토공계획_토공사시공계획서(포)_B-1,B-1-1노선변경실정보고_번암,산서하수처리장(처리장+관로+마을하수-1)" xfId="7134" xr:uid="{00000000-0005-0000-0000-0000DC1B0000}"/>
    <cellStyle name="_토공계획_토공사시공계획서(포)_B-1,B-1-1노선변경실정보고_조천배수지 확장사업 내역서" xfId="7135" xr:uid="{00000000-0005-0000-0000-0000DD1B0000}"/>
    <cellStyle name="_토공계획_토공사시공계획서(포)_B-1,B-1-1노선변경실정보고_진안지방상수도개발사업2-19(마을배수관로미포함)" xfId="7136" xr:uid="{00000000-0005-0000-0000-0000DE1B0000}"/>
    <cellStyle name="_토공계획_토공사시공계획서(포)_B-1,B-1-1노선변경실정보고_진안지방상수도개발사업2-19(마을배수관로미포함)_고수,공음,신림마을하수도" xfId="7137" xr:uid="{00000000-0005-0000-0000-0000DF1B0000}"/>
    <cellStyle name="_토공계획_토공사시공계획서(포)_B-1,B-1-1노선변경실정보고_진안지방상수도개발사업2-19(마을배수관로미포함)_고수,공음,신림마을하수도_발주내역서(제주도 하수처리장)1" xfId="7138" xr:uid="{00000000-0005-0000-0000-0000E01B0000}"/>
    <cellStyle name="_토공계획_토공사시공계획서(포)_B-1,B-1-1노선변경실정보고_진안지방상수도개발사업2-19(마을배수관로미포함)_고수,공음,신림마을하수도_조천배수지 확장사업 내역서" xfId="7139" xr:uid="{00000000-0005-0000-0000-0000E11B0000}"/>
    <cellStyle name="_토공계획_토공사시공계획서(포)_B-1,B-1-1노선변경실정보고_진안지방상수도개발사업2-19(마을배수관로미포함)_발주내역서(제주도 하수처리장)1" xfId="7140" xr:uid="{00000000-0005-0000-0000-0000E21B0000}"/>
    <cellStyle name="_토공계획_토공사시공계획서(포)_B-1,B-1-1노선변경실정보고_진안지방상수도개발사업2-19(마을배수관로미포함)_번암,산서하수처리장(처리장+관로+마을하수-1)" xfId="7141" xr:uid="{00000000-0005-0000-0000-0000E31B0000}"/>
    <cellStyle name="_토공계획_토공사시공계획서(포)_B-1,B-1-1노선변경실정보고_진안지방상수도개발사업2-19(마을배수관로미포함)_조천배수지 확장사업 내역서" xfId="7142" xr:uid="{00000000-0005-0000-0000-0000E41B0000}"/>
    <cellStyle name="_토공계획_토공사시공계획서(포)_발주내역서(제주도 하수처리장)1" xfId="7143" xr:uid="{00000000-0005-0000-0000-0000E51B0000}"/>
    <cellStyle name="_토공계획_토공사시공계획서(포)_번암,산서하수처리장(처리장+관로+마을하수-1)" xfId="7144" xr:uid="{00000000-0005-0000-0000-0000E61B0000}"/>
    <cellStyle name="_토공계획_토공사시공계획서(포)_조천배수지 확장사업 내역서" xfId="7145" xr:uid="{00000000-0005-0000-0000-0000E71B0000}"/>
    <cellStyle name="_토공계획_토공사시공계획서(포)_진안지방상수도개발사업2-19(마을배수관로미포함)" xfId="7146" xr:uid="{00000000-0005-0000-0000-0000E81B0000}"/>
    <cellStyle name="_토공계획_토공사시공계획서(포)_진안지방상수도개발사업2-19(마을배수관로미포함)_고수,공음,신림마을하수도" xfId="7147" xr:uid="{00000000-0005-0000-0000-0000E91B0000}"/>
    <cellStyle name="_토공계획_토공사시공계획서(포)_진안지방상수도개발사업2-19(마을배수관로미포함)_고수,공음,신림마을하수도_발주내역서(제주도 하수처리장)1" xfId="7148" xr:uid="{00000000-0005-0000-0000-0000EA1B0000}"/>
    <cellStyle name="_토공계획_토공사시공계획서(포)_진안지방상수도개발사업2-19(마을배수관로미포함)_고수,공음,신림마을하수도_조천배수지 확장사업 내역서" xfId="7149" xr:uid="{00000000-0005-0000-0000-0000EB1B0000}"/>
    <cellStyle name="_토공계획_토공사시공계획서(포)_진안지방상수도개발사업2-19(마을배수관로미포함)_발주내역서(제주도 하수처리장)1" xfId="7150" xr:uid="{00000000-0005-0000-0000-0000EC1B0000}"/>
    <cellStyle name="_토공계획_토공사시공계획서(포)_진안지방상수도개발사업2-19(마을배수관로미포함)_번암,산서하수처리장(처리장+관로+마을하수-1)" xfId="7151" xr:uid="{00000000-0005-0000-0000-0000ED1B0000}"/>
    <cellStyle name="_토공계획_토공사시공계획서(포)_진안지방상수도개발사업2-19(마을배수관로미포함)_조천배수지 확장사업 내역서" xfId="7152" xr:uid="{00000000-0005-0000-0000-0000EE1B0000}"/>
    <cellStyle name="_토공계획_토공사시공계획서_B-1,B-1-1노선변경실정보고" xfId="7153" xr:uid="{00000000-0005-0000-0000-0000EF1B0000}"/>
    <cellStyle name="_토공계획_토공사시공계획서_B-1,B-1-1노선변경실정보고_발주내역서(제주도 하수처리장)1" xfId="7154" xr:uid="{00000000-0005-0000-0000-0000F01B0000}"/>
    <cellStyle name="_토공계획_토공사시공계획서_B-1,B-1-1노선변경실정보고_번암,산서하수처리장(처리장+관로+마을하수-1)" xfId="7155" xr:uid="{00000000-0005-0000-0000-0000F11B0000}"/>
    <cellStyle name="_토공계획_토공사시공계획서_B-1,B-1-1노선변경실정보고_조천배수지 확장사업 내역서" xfId="7156" xr:uid="{00000000-0005-0000-0000-0000F21B0000}"/>
    <cellStyle name="_토공계획_토공사시공계획서_B-1,B-1-1노선변경실정보고_진안지방상수도개발사업2-19(마을배수관로미포함)" xfId="7157" xr:uid="{00000000-0005-0000-0000-0000F31B0000}"/>
    <cellStyle name="_토공계획_토공사시공계획서_B-1,B-1-1노선변경실정보고_진안지방상수도개발사업2-19(마을배수관로미포함)_고수,공음,신림마을하수도" xfId="7158" xr:uid="{00000000-0005-0000-0000-0000F41B0000}"/>
    <cellStyle name="_토공계획_토공사시공계획서_B-1,B-1-1노선변경실정보고_진안지방상수도개발사업2-19(마을배수관로미포함)_고수,공음,신림마을하수도_발주내역서(제주도 하수처리장)1" xfId="7159" xr:uid="{00000000-0005-0000-0000-0000F51B0000}"/>
    <cellStyle name="_토공계획_토공사시공계획서_B-1,B-1-1노선변경실정보고_진안지방상수도개발사업2-19(마을배수관로미포함)_고수,공음,신림마을하수도_조천배수지 확장사업 내역서" xfId="7160" xr:uid="{00000000-0005-0000-0000-0000F61B0000}"/>
    <cellStyle name="_토공계획_토공사시공계획서_B-1,B-1-1노선변경실정보고_진안지방상수도개발사업2-19(마을배수관로미포함)_발주내역서(제주도 하수처리장)1" xfId="7161" xr:uid="{00000000-0005-0000-0000-0000F71B0000}"/>
    <cellStyle name="_토공계획_토공사시공계획서_B-1,B-1-1노선변경실정보고_진안지방상수도개발사업2-19(마을배수관로미포함)_번암,산서하수처리장(처리장+관로+마을하수-1)" xfId="7162" xr:uid="{00000000-0005-0000-0000-0000F81B0000}"/>
    <cellStyle name="_토공계획_토공사시공계획서_B-1,B-1-1노선변경실정보고_진안지방상수도개발사업2-19(마을배수관로미포함)_조천배수지 확장사업 내역서" xfId="7163" xr:uid="{00000000-0005-0000-0000-0000F91B0000}"/>
    <cellStyle name="_토공계획_토공사시공계획서_발주내역서(제주도 하수처리장)1" xfId="7164" xr:uid="{00000000-0005-0000-0000-0000FA1B0000}"/>
    <cellStyle name="_토공계획_토공사시공계획서_번암,산서하수처리장(처리장+관로+마을하수-1)" xfId="7165" xr:uid="{00000000-0005-0000-0000-0000FB1B0000}"/>
    <cellStyle name="_토공계획_토공사시공계획서_조천배수지 확장사업 내역서" xfId="7166" xr:uid="{00000000-0005-0000-0000-0000FC1B0000}"/>
    <cellStyle name="_토공계획_토공사시공계획서_진안지방상수도개발사업2-19(마을배수관로미포함)" xfId="7167" xr:uid="{00000000-0005-0000-0000-0000FD1B0000}"/>
    <cellStyle name="_토공계획_토공사시공계획서_진안지방상수도개발사업2-19(마을배수관로미포함)_고수,공음,신림마을하수도" xfId="7168" xr:uid="{00000000-0005-0000-0000-0000FE1B0000}"/>
    <cellStyle name="_토공계획_토공사시공계획서_진안지방상수도개발사업2-19(마을배수관로미포함)_고수,공음,신림마을하수도_발주내역서(제주도 하수처리장)1" xfId="7169" xr:uid="{00000000-0005-0000-0000-0000FF1B0000}"/>
    <cellStyle name="_토공계획_토공사시공계획서_진안지방상수도개발사업2-19(마을배수관로미포함)_고수,공음,신림마을하수도_조천배수지 확장사업 내역서" xfId="7170" xr:uid="{00000000-0005-0000-0000-0000001C0000}"/>
    <cellStyle name="_토공계획_토공사시공계획서_진안지방상수도개발사업2-19(마을배수관로미포함)_발주내역서(제주도 하수처리장)1" xfId="7171" xr:uid="{00000000-0005-0000-0000-0000011C0000}"/>
    <cellStyle name="_토공계획_토공사시공계획서_진안지방상수도개발사업2-19(마을배수관로미포함)_번암,산서하수처리장(처리장+관로+마을하수-1)" xfId="7172" xr:uid="{00000000-0005-0000-0000-0000021C0000}"/>
    <cellStyle name="_토공계획_토공사시공계획서_진안지방상수도개발사업2-19(마을배수관로미포함)_조천배수지 확장사업 내역서" xfId="7173" xr:uid="{00000000-0005-0000-0000-0000031C0000}"/>
    <cellStyle name="_토공-관로공-구조물공-가시설공-포장공" xfId="7174" xr:uid="{00000000-0005-0000-0000-0000041C0000}"/>
    <cellStyle name="_토공깨기" xfId="7175" xr:uid="{00000000-0005-0000-0000-0000051C0000}"/>
    <cellStyle name="_토공수량집계표" xfId="7176" xr:uid="{00000000-0005-0000-0000-0000061C0000}"/>
    <cellStyle name="_토공시공계획서(효)" xfId="7177" xr:uid="{00000000-0005-0000-0000-0000071C0000}"/>
    <cellStyle name="_토공시공계획서(효)_B-1,B-1-1노선변경실정보고" xfId="7178" xr:uid="{00000000-0005-0000-0000-0000081C0000}"/>
    <cellStyle name="_토공시공계획서(효)_B-1,B-1-1노선변경실정보고_발주내역서(제주도 하수처리장)1" xfId="7179" xr:uid="{00000000-0005-0000-0000-0000091C0000}"/>
    <cellStyle name="_토공시공계획서(효)_B-1,B-1-1노선변경실정보고_번암,산서하수처리장(처리장+관로+마을하수-1)" xfId="7180" xr:uid="{00000000-0005-0000-0000-00000A1C0000}"/>
    <cellStyle name="_토공시공계획서(효)_B-1,B-1-1노선변경실정보고_조천배수지 확장사업 내역서" xfId="7181" xr:uid="{00000000-0005-0000-0000-00000B1C0000}"/>
    <cellStyle name="_토공시공계획서(효)_B-1,B-1-1노선변경실정보고_진안지방상수도개발사업2-19(마을배수관로미포함)" xfId="7182" xr:uid="{00000000-0005-0000-0000-00000C1C0000}"/>
    <cellStyle name="_토공시공계획서(효)_B-1,B-1-1노선변경실정보고_진안지방상수도개발사업2-19(마을배수관로미포함)_고수,공음,신림마을하수도" xfId="7183" xr:uid="{00000000-0005-0000-0000-00000D1C0000}"/>
    <cellStyle name="_토공시공계획서(효)_B-1,B-1-1노선변경실정보고_진안지방상수도개발사업2-19(마을배수관로미포함)_고수,공음,신림마을하수도_발주내역서(제주도 하수처리장)1" xfId="7184" xr:uid="{00000000-0005-0000-0000-00000E1C0000}"/>
    <cellStyle name="_토공시공계획서(효)_B-1,B-1-1노선변경실정보고_진안지방상수도개발사업2-19(마을배수관로미포함)_고수,공음,신림마을하수도_조천배수지 확장사업 내역서" xfId="7185" xr:uid="{00000000-0005-0000-0000-00000F1C0000}"/>
    <cellStyle name="_토공시공계획서(효)_B-1,B-1-1노선변경실정보고_진안지방상수도개발사업2-19(마을배수관로미포함)_발주내역서(제주도 하수처리장)1" xfId="7186" xr:uid="{00000000-0005-0000-0000-0000101C0000}"/>
    <cellStyle name="_토공시공계획서(효)_B-1,B-1-1노선변경실정보고_진안지방상수도개발사업2-19(마을배수관로미포함)_번암,산서하수처리장(처리장+관로+마을하수-1)" xfId="7187" xr:uid="{00000000-0005-0000-0000-0000111C0000}"/>
    <cellStyle name="_토공시공계획서(효)_B-1,B-1-1노선변경실정보고_진안지방상수도개발사업2-19(마을배수관로미포함)_조천배수지 확장사업 내역서" xfId="7188" xr:uid="{00000000-0005-0000-0000-0000121C0000}"/>
    <cellStyle name="_토공시공계획서(효)_구조물공사시공계획서" xfId="7189" xr:uid="{00000000-0005-0000-0000-0000131C0000}"/>
    <cellStyle name="_토공시공계획서(효)_구조물공사시공계획서_B-1,B-1-1노선변경실정보고" xfId="7190" xr:uid="{00000000-0005-0000-0000-0000141C0000}"/>
    <cellStyle name="_토공시공계획서(효)_구조물공사시공계획서_B-1,B-1-1노선변경실정보고_발주내역서(제주도 하수처리장)1" xfId="7191" xr:uid="{00000000-0005-0000-0000-0000151C0000}"/>
    <cellStyle name="_토공시공계획서(효)_구조물공사시공계획서_B-1,B-1-1노선변경실정보고_번암,산서하수처리장(처리장+관로+마을하수-1)" xfId="7192" xr:uid="{00000000-0005-0000-0000-0000161C0000}"/>
    <cellStyle name="_토공시공계획서(효)_구조물공사시공계획서_B-1,B-1-1노선변경실정보고_조천배수지 확장사업 내역서" xfId="7193" xr:uid="{00000000-0005-0000-0000-0000171C0000}"/>
    <cellStyle name="_토공시공계획서(효)_구조물공사시공계획서_B-1,B-1-1노선변경실정보고_진안지방상수도개발사업2-19(마을배수관로미포함)" xfId="7194" xr:uid="{00000000-0005-0000-0000-0000181C0000}"/>
    <cellStyle name="_토공시공계획서(효)_구조물공사시공계획서_B-1,B-1-1노선변경실정보고_진안지방상수도개발사업2-19(마을배수관로미포함)_고수,공음,신림마을하수도" xfId="7195" xr:uid="{00000000-0005-0000-0000-0000191C0000}"/>
    <cellStyle name="_토공시공계획서(효)_구조물공사시공계획서_B-1,B-1-1노선변경실정보고_진안지방상수도개발사업2-19(마을배수관로미포함)_고수,공음,신림마을하수도_발주내역서(제주도 하수처리장)1" xfId="7196" xr:uid="{00000000-0005-0000-0000-00001A1C0000}"/>
    <cellStyle name="_토공시공계획서(효)_구조물공사시공계획서_B-1,B-1-1노선변경실정보고_진안지방상수도개발사업2-19(마을배수관로미포함)_고수,공음,신림마을하수도_조천배수지 확장사업 내역서" xfId="7197" xr:uid="{00000000-0005-0000-0000-00001B1C0000}"/>
    <cellStyle name="_토공시공계획서(효)_구조물공사시공계획서_B-1,B-1-1노선변경실정보고_진안지방상수도개발사업2-19(마을배수관로미포함)_발주내역서(제주도 하수처리장)1" xfId="7198" xr:uid="{00000000-0005-0000-0000-00001C1C0000}"/>
    <cellStyle name="_토공시공계획서(효)_구조물공사시공계획서_B-1,B-1-1노선변경실정보고_진안지방상수도개발사업2-19(마을배수관로미포함)_번암,산서하수처리장(처리장+관로+마을하수-1)" xfId="7199" xr:uid="{00000000-0005-0000-0000-00001D1C0000}"/>
    <cellStyle name="_토공시공계획서(효)_구조물공사시공계획서_B-1,B-1-1노선변경실정보고_진안지방상수도개발사업2-19(마을배수관로미포함)_조천배수지 확장사업 내역서" xfId="7200" xr:uid="{00000000-0005-0000-0000-00001E1C0000}"/>
    <cellStyle name="_토공시공계획서(효)_구조물공사시공계획서_발주내역서(제주도 하수처리장)1" xfId="7201" xr:uid="{00000000-0005-0000-0000-00001F1C0000}"/>
    <cellStyle name="_토공시공계획서(효)_구조물공사시공계획서_번암,산서하수처리장(처리장+관로+마을하수-1)" xfId="7202" xr:uid="{00000000-0005-0000-0000-0000201C0000}"/>
    <cellStyle name="_토공시공계획서(효)_구조물공사시공계획서_조천배수지 확장사업 내역서" xfId="7203" xr:uid="{00000000-0005-0000-0000-0000211C0000}"/>
    <cellStyle name="_토공시공계획서(효)_구조물공사시공계획서_진안지방상수도개발사업2-19(마을배수관로미포함)" xfId="7204" xr:uid="{00000000-0005-0000-0000-0000221C0000}"/>
    <cellStyle name="_토공시공계획서(효)_구조물공사시공계획서_진안지방상수도개발사업2-19(마을배수관로미포함)_고수,공음,신림마을하수도" xfId="7205" xr:uid="{00000000-0005-0000-0000-0000231C0000}"/>
    <cellStyle name="_토공시공계획서(효)_구조물공사시공계획서_진안지방상수도개발사업2-19(마을배수관로미포함)_고수,공음,신림마을하수도_발주내역서(제주도 하수처리장)1" xfId="7206" xr:uid="{00000000-0005-0000-0000-0000241C0000}"/>
    <cellStyle name="_토공시공계획서(효)_구조물공사시공계획서_진안지방상수도개발사업2-19(마을배수관로미포함)_고수,공음,신림마을하수도_조천배수지 확장사업 내역서" xfId="7207" xr:uid="{00000000-0005-0000-0000-0000251C0000}"/>
    <cellStyle name="_토공시공계획서(효)_구조물공사시공계획서_진안지방상수도개발사업2-19(마을배수관로미포함)_발주내역서(제주도 하수처리장)1" xfId="7208" xr:uid="{00000000-0005-0000-0000-0000261C0000}"/>
    <cellStyle name="_토공시공계획서(효)_구조물공사시공계획서_진안지방상수도개발사업2-19(마을배수관로미포함)_번암,산서하수처리장(처리장+관로+마을하수-1)" xfId="7209" xr:uid="{00000000-0005-0000-0000-0000271C0000}"/>
    <cellStyle name="_토공시공계획서(효)_구조물공사시공계획서_진안지방상수도개발사업2-19(마을배수관로미포함)_조천배수지 확장사업 내역서" xfId="7210" xr:uid="{00000000-0005-0000-0000-0000281C0000}"/>
    <cellStyle name="_토공시공계획서(효)_발주내역서(제주도 하수처리장)1" xfId="7211" xr:uid="{00000000-0005-0000-0000-0000291C0000}"/>
    <cellStyle name="_토공시공계획서(효)_번암,산서하수처리장(처리장+관로+마을하수-1)" xfId="7212" xr:uid="{00000000-0005-0000-0000-00002A1C0000}"/>
    <cellStyle name="_토공시공계획서(효)_조천배수지 확장사업 내역서" xfId="7213" xr:uid="{00000000-0005-0000-0000-00002B1C0000}"/>
    <cellStyle name="_토공시공계획서(효)_진안지방상수도개발사업2-19(마을배수관로미포함)" xfId="7214" xr:uid="{00000000-0005-0000-0000-00002C1C0000}"/>
    <cellStyle name="_토공시공계획서(효)_진안지방상수도개발사업2-19(마을배수관로미포함)_고수,공음,신림마을하수도" xfId="7215" xr:uid="{00000000-0005-0000-0000-00002D1C0000}"/>
    <cellStyle name="_토공시공계획서(효)_진안지방상수도개발사업2-19(마을배수관로미포함)_고수,공음,신림마을하수도_발주내역서(제주도 하수처리장)1" xfId="7216" xr:uid="{00000000-0005-0000-0000-00002E1C0000}"/>
    <cellStyle name="_토공시공계획서(효)_진안지방상수도개발사업2-19(마을배수관로미포함)_고수,공음,신림마을하수도_조천배수지 확장사업 내역서" xfId="7217" xr:uid="{00000000-0005-0000-0000-00002F1C0000}"/>
    <cellStyle name="_토공시공계획서(효)_진안지방상수도개발사업2-19(마을배수관로미포함)_발주내역서(제주도 하수처리장)1" xfId="7218" xr:uid="{00000000-0005-0000-0000-0000301C0000}"/>
    <cellStyle name="_토공시공계획서(효)_진안지방상수도개발사업2-19(마을배수관로미포함)_번암,산서하수처리장(처리장+관로+마을하수-1)" xfId="7219" xr:uid="{00000000-0005-0000-0000-0000311C0000}"/>
    <cellStyle name="_토공시공계획서(효)_진안지방상수도개발사업2-19(마을배수관로미포함)_조천배수지 확장사업 내역서" xfId="7220" xr:uid="{00000000-0005-0000-0000-0000321C0000}"/>
    <cellStyle name="_토공시공계획서(효)_토공사시공계획서" xfId="7221" xr:uid="{00000000-0005-0000-0000-0000331C0000}"/>
    <cellStyle name="_토공시공계획서(효)_토공사시공계획서(포)" xfId="7222" xr:uid="{00000000-0005-0000-0000-0000341C0000}"/>
    <cellStyle name="_토공시공계획서(효)_토공사시공계획서(포)_B-1,B-1-1노선변경실정보고" xfId="7223" xr:uid="{00000000-0005-0000-0000-0000351C0000}"/>
    <cellStyle name="_토공시공계획서(효)_토공사시공계획서(포)_B-1,B-1-1노선변경실정보고_발주내역서(제주도 하수처리장)1" xfId="7224" xr:uid="{00000000-0005-0000-0000-0000361C0000}"/>
    <cellStyle name="_토공시공계획서(효)_토공사시공계획서(포)_B-1,B-1-1노선변경실정보고_번암,산서하수처리장(처리장+관로+마을하수-1)" xfId="7225" xr:uid="{00000000-0005-0000-0000-0000371C0000}"/>
    <cellStyle name="_토공시공계획서(효)_토공사시공계획서(포)_B-1,B-1-1노선변경실정보고_조천배수지 확장사업 내역서" xfId="7226" xr:uid="{00000000-0005-0000-0000-0000381C0000}"/>
    <cellStyle name="_토공시공계획서(효)_토공사시공계획서(포)_B-1,B-1-1노선변경실정보고_진안지방상수도개발사업2-19(마을배수관로미포함)" xfId="7227" xr:uid="{00000000-0005-0000-0000-0000391C0000}"/>
    <cellStyle name="_토공시공계획서(효)_토공사시공계획서(포)_B-1,B-1-1노선변경실정보고_진안지방상수도개발사업2-19(마을배수관로미포함)_고수,공음,신림마을하수도" xfId="7228" xr:uid="{00000000-0005-0000-0000-00003A1C0000}"/>
    <cellStyle name="_토공시공계획서(효)_토공사시공계획서(포)_B-1,B-1-1노선변경실정보고_진안지방상수도개발사업2-19(마을배수관로미포함)_고수,공음,신림마을하수도_발주내역서(제주도 하수처리장)1" xfId="7229" xr:uid="{00000000-0005-0000-0000-00003B1C0000}"/>
    <cellStyle name="_토공시공계획서(효)_토공사시공계획서(포)_B-1,B-1-1노선변경실정보고_진안지방상수도개발사업2-19(마을배수관로미포함)_고수,공음,신림마을하수도_조천배수지 확장사업 내역서" xfId="7230" xr:uid="{00000000-0005-0000-0000-00003C1C0000}"/>
    <cellStyle name="_토공시공계획서(효)_토공사시공계획서(포)_B-1,B-1-1노선변경실정보고_진안지방상수도개발사업2-19(마을배수관로미포함)_발주내역서(제주도 하수처리장)1" xfId="7231" xr:uid="{00000000-0005-0000-0000-00003D1C0000}"/>
    <cellStyle name="_토공시공계획서(효)_토공사시공계획서(포)_B-1,B-1-1노선변경실정보고_진안지방상수도개발사업2-19(마을배수관로미포함)_번암,산서하수처리장(처리장+관로+마을하수-1)" xfId="7232" xr:uid="{00000000-0005-0000-0000-00003E1C0000}"/>
    <cellStyle name="_토공시공계획서(효)_토공사시공계획서(포)_B-1,B-1-1노선변경실정보고_진안지방상수도개발사업2-19(마을배수관로미포함)_조천배수지 확장사업 내역서" xfId="7233" xr:uid="{00000000-0005-0000-0000-00003F1C0000}"/>
    <cellStyle name="_토공시공계획서(효)_토공사시공계획서(포)_발주내역서(제주도 하수처리장)1" xfId="7234" xr:uid="{00000000-0005-0000-0000-0000401C0000}"/>
    <cellStyle name="_토공시공계획서(효)_토공사시공계획서(포)_번암,산서하수처리장(처리장+관로+마을하수-1)" xfId="7235" xr:uid="{00000000-0005-0000-0000-0000411C0000}"/>
    <cellStyle name="_토공시공계획서(효)_토공사시공계획서(포)_조천배수지 확장사업 내역서" xfId="7236" xr:uid="{00000000-0005-0000-0000-0000421C0000}"/>
    <cellStyle name="_토공시공계획서(효)_토공사시공계획서(포)_진안지방상수도개발사업2-19(마을배수관로미포함)" xfId="7237" xr:uid="{00000000-0005-0000-0000-0000431C0000}"/>
    <cellStyle name="_토공시공계획서(효)_토공사시공계획서(포)_진안지방상수도개발사업2-19(마을배수관로미포함)_고수,공음,신림마을하수도" xfId="7238" xr:uid="{00000000-0005-0000-0000-0000441C0000}"/>
    <cellStyle name="_토공시공계획서(효)_토공사시공계획서(포)_진안지방상수도개발사업2-19(마을배수관로미포함)_고수,공음,신림마을하수도_발주내역서(제주도 하수처리장)1" xfId="7239" xr:uid="{00000000-0005-0000-0000-0000451C0000}"/>
    <cellStyle name="_토공시공계획서(효)_토공사시공계획서(포)_진안지방상수도개발사업2-19(마을배수관로미포함)_고수,공음,신림마을하수도_조천배수지 확장사업 내역서" xfId="7240" xr:uid="{00000000-0005-0000-0000-0000461C0000}"/>
    <cellStyle name="_토공시공계획서(효)_토공사시공계획서(포)_진안지방상수도개발사업2-19(마을배수관로미포함)_발주내역서(제주도 하수처리장)1" xfId="7241" xr:uid="{00000000-0005-0000-0000-0000471C0000}"/>
    <cellStyle name="_토공시공계획서(효)_토공사시공계획서(포)_진안지방상수도개발사업2-19(마을배수관로미포함)_번암,산서하수처리장(처리장+관로+마을하수-1)" xfId="7242" xr:uid="{00000000-0005-0000-0000-0000481C0000}"/>
    <cellStyle name="_토공시공계획서(효)_토공사시공계획서(포)_진안지방상수도개발사업2-19(마을배수관로미포함)_조천배수지 확장사업 내역서" xfId="7243" xr:uid="{00000000-0005-0000-0000-0000491C0000}"/>
    <cellStyle name="_토공시공계획서(효)_토공사시공계획서_B-1,B-1-1노선변경실정보고" xfId="7244" xr:uid="{00000000-0005-0000-0000-00004A1C0000}"/>
    <cellStyle name="_토공시공계획서(효)_토공사시공계획서_B-1,B-1-1노선변경실정보고_발주내역서(제주도 하수처리장)1" xfId="7245" xr:uid="{00000000-0005-0000-0000-00004B1C0000}"/>
    <cellStyle name="_토공시공계획서(효)_토공사시공계획서_B-1,B-1-1노선변경실정보고_번암,산서하수처리장(처리장+관로+마을하수-1)" xfId="7246" xr:uid="{00000000-0005-0000-0000-00004C1C0000}"/>
    <cellStyle name="_토공시공계획서(효)_토공사시공계획서_B-1,B-1-1노선변경실정보고_조천배수지 확장사업 내역서" xfId="7247" xr:uid="{00000000-0005-0000-0000-00004D1C0000}"/>
    <cellStyle name="_토공시공계획서(효)_토공사시공계획서_B-1,B-1-1노선변경실정보고_진안지방상수도개발사업2-19(마을배수관로미포함)" xfId="7248" xr:uid="{00000000-0005-0000-0000-00004E1C0000}"/>
    <cellStyle name="_토공시공계획서(효)_토공사시공계획서_B-1,B-1-1노선변경실정보고_진안지방상수도개발사업2-19(마을배수관로미포함)_고수,공음,신림마을하수도" xfId="7249" xr:uid="{00000000-0005-0000-0000-00004F1C0000}"/>
    <cellStyle name="_토공시공계획서(효)_토공사시공계획서_B-1,B-1-1노선변경실정보고_진안지방상수도개발사업2-19(마을배수관로미포함)_고수,공음,신림마을하수도_발주내역서(제주도 하수처리장)1" xfId="7250" xr:uid="{00000000-0005-0000-0000-0000501C0000}"/>
    <cellStyle name="_토공시공계획서(효)_토공사시공계획서_B-1,B-1-1노선변경실정보고_진안지방상수도개발사업2-19(마을배수관로미포함)_고수,공음,신림마을하수도_조천배수지 확장사업 내역서" xfId="7251" xr:uid="{00000000-0005-0000-0000-0000511C0000}"/>
    <cellStyle name="_토공시공계획서(효)_토공사시공계획서_B-1,B-1-1노선변경실정보고_진안지방상수도개발사업2-19(마을배수관로미포함)_발주내역서(제주도 하수처리장)1" xfId="7252" xr:uid="{00000000-0005-0000-0000-0000521C0000}"/>
    <cellStyle name="_토공시공계획서(효)_토공사시공계획서_B-1,B-1-1노선변경실정보고_진안지방상수도개발사업2-19(마을배수관로미포함)_번암,산서하수처리장(처리장+관로+마을하수-1)" xfId="7253" xr:uid="{00000000-0005-0000-0000-0000531C0000}"/>
    <cellStyle name="_토공시공계획서(효)_토공사시공계획서_B-1,B-1-1노선변경실정보고_진안지방상수도개발사업2-19(마을배수관로미포함)_조천배수지 확장사업 내역서" xfId="7254" xr:uid="{00000000-0005-0000-0000-0000541C0000}"/>
    <cellStyle name="_토공시공계획서(효)_토공사시공계획서_발주내역서(제주도 하수처리장)1" xfId="7255" xr:uid="{00000000-0005-0000-0000-0000551C0000}"/>
    <cellStyle name="_토공시공계획서(효)_토공사시공계획서_번암,산서하수처리장(처리장+관로+마을하수-1)" xfId="7256" xr:uid="{00000000-0005-0000-0000-0000561C0000}"/>
    <cellStyle name="_토공시공계획서(효)_토공사시공계획서_조천배수지 확장사업 내역서" xfId="7257" xr:uid="{00000000-0005-0000-0000-0000571C0000}"/>
    <cellStyle name="_토공시공계획서(효)_토공사시공계획서_진안지방상수도개발사업2-19(마을배수관로미포함)" xfId="7258" xr:uid="{00000000-0005-0000-0000-0000581C0000}"/>
    <cellStyle name="_토공시공계획서(효)_토공사시공계획서_진안지방상수도개발사업2-19(마을배수관로미포함)_고수,공음,신림마을하수도" xfId="7259" xr:uid="{00000000-0005-0000-0000-0000591C0000}"/>
    <cellStyle name="_토공시공계획서(효)_토공사시공계획서_진안지방상수도개발사업2-19(마을배수관로미포함)_고수,공음,신림마을하수도_발주내역서(제주도 하수처리장)1" xfId="7260" xr:uid="{00000000-0005-0000-0000-00005A1C0000}"/>
    <cellStyle name="_토공시공계획서(효)_토공사시공계획서_진안지방상수도개발사업2-19(마을배수관로미포함)_고수,공음,신림마을하수도_조천배수지 확장사업 내역서" xfId="7261" xr:uid="{00000000-0005-0000-0000-00005B1C0000}"/>
    <cellStyle name="_토공시공계획서(효)_토공사시공계획서_진안지방상수도개발사업2-19(마을배수관로미포함)_발주내역서(제주도 하수처리장)1" xfId="7262" xr:uid="{00000000-0005-0000-0000-00005C1C0000}"/>
    <cellStyle name="_토공시공계획서(효)_토공사시공계획서_진안지방상수도개발사업2-19(마을배수관로미포함)_번암,산서하수처리장(처리장+관로+마을하수-1)" xfId="7263" xr:uid="{00000000-0005-0000-0000-00005D1C0000}"/>
    <cellStyle name="_토공시공계획서(효)_토공사시공계획서_진안지방상수도개발사업2-19(마을배수관로미포함)_조천배수지 확장사업 내역서" xfId="7264" xr:uid="{00000000-0005-0000-0000-00005E1C0000}"/>
    <cellStyle name="_토공평균H산정표" xfId="7265" xr:uid="{00000000-0005-0000-0000-00005F1C0000}"/>
    <cellStyle name="_토질조사일위대가(2007년도)건화(참고자료)" xfId="7266" xr:uid="{00000000-0005-0000-0000-0000601C0000}"/>
    <cellStyle name="_통로BOX " xfId="7267" xr:uid="{00000000-0005-0000-0000-0000611C0000}"/>
    <cellStyle name="_파도리 배수관로 매설" xfId="7268" xr:uid="{00000000-0005-0000-0000-0000621C0000}"/>
    <cellStyle name="_파도리배수관로매설" xfId="7269" xr:uid="{00000000-0005-0000-0000-0000631C0000}"/>
    <cellStyle name="_파주 GIS 시스템설계서(도로,상,하수 시스템)_050406" xfId="7270" xr:uid="{00000000-0005-0000-0000-0000641C0000}"/>
    <cellStyle name="_파주운정STP 기본및실시설계(계약내역서-주공단가적용)" xfId="7271" xr:uid="{00000000-0005-0000-0000-0000651C0000}"/>
    <cellStyle name="_팔당,과천권설계서(통합-정류기,TB제외)" xfId="7272" xr:uid="{00000000-0005-0000-0000-0000661C0000}"/>
    <cellStyle name="_팔당수량산출서_건축전기" xfId="7273" xr:uid="{00000000-0005-0000-0000-0000671C0000}"/>
    <cellStyle name="_팔당수변전집계" xfId="7274" xr:uid="{00000000-0005-0000-0000-0000681C0000}"/>
    <cellStyle name="_팔당수변전집계_개대체공사내역서" xfId="7275" xr:uid="{00000000-0005-0000-0000-0000691C0000}"/>
    <cellStyle name="_평사교총괄집계표" xfId="7276" xr:uid="{00000000-0005-0000-0000-00006A1C0000}"/>
    <cellStyle name="_평사교총괄집계표_BOQ" xfId="7277" xr:uid="{00000000-0005-0000-0000-00006B1C0000}"/>
    <cellStyle name="_평사교총괄집계표_구조물공수량집계" xfId="7278" xr:uid="{00000000-0005-0000-0000-00006C1C0000}"/>
    <cellStyle name="_평사교총괄집계표_백마지하차도(BOX구간)" xfId="7279" xr:uid="{00000000-0005-0000-0000-00006D1C0000}"/>
    <cellStyle name="_평사교총괄집계표_일산지하차도(BOX구간)" xfId="7280" xr:uid="{00000000-0005-0000-0000-00006E1C0000}"/>
    <cellStyle name="_평사교총괄집계표_접속슬래브" xfId="7281" xr:uid="{00000000-0005-0000-0000-00006F1C0000}"/>
    <cellStyle name="_평사교총괄집계표_지하차도BOX(TYPE&quot;C&quot;)" xfId="7282" xr:uid="{00000000-0005-0000-0000-0000701C0000}"/>
    <cellStyle name="_평사교총괄집계표_지하차도BOX(집계)" xfId="7283" xr:uid="{00000000-0005-0000-0000-0000711C0000}"/>
    <cellStyle name="_평천교" xfId="7284" xr:uid="{00000000-0005-0000-0000-0000721C0000}"/>
    <cellStyle name="_평천교_암거" xfId="7285" xr:uid="{00000000-0005-0000-0000-0000731C0000}"/>
    <cellStyle name="_평천교_암거_측구" xfId="7286" xr:uid="{00000000-0005-0000-0000-0000741C0000}"/>
    <cellStyle name="_평천교_암거_측구_망상측구공" xfId="7287" xr:uid="{00000000-0005-0000-0000-0000751C0000}"/>
    <cellStyle name="_평천교_암거_측구_측구공(1+840~2+780)" xfId="7288" xr:uid="{00000000-0005-0000-0000-0000761C0000}"/>
    <cellStyle name="_평천교_암거01" xfId="7289" xr:uid="{00000000-0005-0000-0000-0000771C0000}"/>
    <cellStyle name="_평천교_암거01_측구" xfId="7290" xr:uid="{00000000-0005-0000-0000-0000781C0000}"/>
    <cellStyle name="_평천교_암거01_측구_망상측구공" xfId="7291" xr:uid="{00000000-0005-0000-0000-0000791C0000}"/>
    <cellStyle name="_평천교_암거01_측구_측구공(1+840~2+780)" xfId="7292" xr:uid="{00000000-0005-0000-0000-00007A1C0000}"/>
    <cellStyle name="_평천교_측구" xfId="7293" xr:uid="{00000000-0005-0000-0000-00007B1C0000}"/>
    <cellStyle name="_평천교_측구_망상측구공" xfId="7294" xr:uid="{00000000-0005-0000-0000-00007C1C0000}"/>
    <cellStyle name="_평천교_측구_측구공(1+840~2+780)" xfId="7295" xr:uid="{00000000-0005-0000-0000-00007D1C0000}"/>
    <cellStyle name="_평촌교수량" xfId="7296" xr:uid="{00000000-0005-0000-0000-00007E1C0000}"/>
    <cellStyle name="_평촌교수량_암거" xfId="7297" xr:uid="{00000000-0005-0000-0000-00007F1C0000}"/>
    <cellStyle name="_평촌교수량_암거_측구" xfId="7298" xr:uid="{00000000-0005-0000-0000-0000801C0000}"/>
    <cellStyle name="_평촌교수량_암거_측구_망상측구공" xfId="7299" xr:uid="{00000000-0005-0000-0000-0000811C0000}"/>
    <cellStyle name="_평촌교수량_암거_측구_측구공(1+840~2+780)" xfId="7300" xr:uid="{00000000-0005-0000-0000-0000821C0000}"/>
    <cellStyle name="_평촌교수량_암거01" xfId="7301" xr:uid="{00000000-0005-0000-0000-0000831C0000}"/>
    <cellStyle name="_평촌교수량_암거01_측구" xfId="7302" xr:uid="{00000000-0005-0000-0000-0000841C0000}"/>
    <cellStyle name="_평촌교수량_암거01_측구_망상측구공" xfId="7303" xr:uid="{00000000-0005-0000-0000-0000851C0000}"/>
    <cellStyle name="_평촌교수량_암거01_측구_측구공(1+840~2+780)" xfId="7304" xr:uid="{00000000-0005-0000-0000-0000861C0000}"/>
    <cellStyle name="_평촌교수량_측구" xfId="7305" xr:uid="{00000000-0005-0000-0000-0000871C0000}"/>
    <cellStyle name="_평촌교수량_측구_망상측구공" xfId="7306" xr:uid="{00000000-0005-0000-0000-0000881C0000}"/>
    <cellStyle name="_평촌교수량_측구_측구공(1+840~2+780)" xfId="7307" xr:uid="{00000000-0005-0000-0000-0000891C0000}"/>
    <cellStyle name="_평택시 5차" xfId="7308" xr:uid="{00000000-0005-0000-0000-00008A1C0000}"/>
    <cellStyle name="_폐기물" xfId="7309" xr:uid="{00000000-0005-0000-0000-00008B1C0000}"/>
    <cellStyle name="_폐기물수량" xfId="7310" xr:uid="{00000000-0005-0000-0000-00008C1C0000}"/>
    <cellStyle name="_포장" xfId="7311" xr:uid="{00000000-0005-0000-0000-00008D1C0000}"/>
    <cellStyle name="_포장_라멘교 토공" xfId="7312" xr:uid="{00000000-0005-0000-0000-00008E1C0000}"/>
    <cellStyle name="_포천GIS설계_전체" xfId="7313" xr:uid="{00000000-0005-0000-0000-00008F1C0000}"/>
    <cellStyle name="_포천시 UIS 시스템부문 설계내역서_1.0" xfId="7314" xr:uid="{00000000-0005-0000-0000-0000901C0000}"/>
    <cellStyle name="_포항교도소(대동)" xfId="7315" xr:uid="{00000000-0005-0000-0000-0000911C0000}"/>
    <cellStyle name="_포항교도소(원본)" xfId="7316" xr:uid="{00000000-0005-0000-0000-0000921C0000}"/>
    <cellStyle name="_표지" xfId="7317" xr:uid="{00000000-0005-0000-0000-0000931C0000}"/>
    <cellStyle name="_플로터dsj5500" xfId="7318" xr:uid="{00000000-0005-0000-0000-0000941C0000}"/>
    <cellStyle name="_하도급양식" xfId="7319" xr:uid="{00000000-0005-0000-0000-0000951C0000}"/>
    <cellStyle name="_하부공수량(교량공)" xfId="7320" xr:uid="{00000000-0005-0000-0000-0000961C0000}"/>
    <cellStyle name="_한강시민공원통합시스템_산출내역서_050617" xfId="7321" xr:uid="{00000000-0005-0000-0000-0000971C0000}"/>
    <cellStyle name="_한전연구견적" xfId="7322" xr:uid="{00000000-0005-0000-0000-0000981C0000}"/>
    <cellStyle name="_한천(1공구)수량산출서" xfId="7323" xr:uid="{00000000-0005-0000-0000-0000991C0000}"/>
    <cellStyle name="_한천(1공구)수량산출서_토공(3지구)" xfId="7324" xr:uid="{00000000-0005-0000-0000-00009A1C0000}"/>
    <cellStyle name="_한천(1공구)수량산출서_토공(3지구)_토공(4지구)" xfId="7325" xr:uid="{00000000-0005-0000-0000-00009B1C0000}"/>
    <cellStyle name="_한천(1공구)수량산출서_토공(3지구)_토공(4지구)_토공(4지구)" xfId="7326" xr:uid="{00000000-0005-0000-0000-00009C1C0000}"/>
    <cellStyle name="_한천(1공구)수량산출서_토공(4지구)" xfId="7327" xr:uid="{00000000-0005-0000-0000-00009D1C0000}"/>
    <cellStyle name="_한천(1공구)수량산출서_토공(4지구)_토공(4지구)" xfId="7328" xr:uid="{00000000-0005-0000-0000-00009E1C0000}"/>
    <cellStyle name="_한천(1공구)수량산출서_토공(4지구)_토공(4지구)_토공(3지구)" xfId="7329" xr:uid="{00000000-0005-0000-0000-00009F1C0000}"/>
    <cellStyle name="_한천(1공구)수량산출서_토공(4지구)_토공(4지구)_토공(3지구)_토공(4지구)" xfId="7330" xr:uid="{00000000-0005-0000-0000-0000A01C0000}"/>
    <cellStyle name="_한천(1공구)수량산출서_토공(4지구)_토공(4지구)_토공(3지구)_토공(4지구)_토공(4지구)" xfId="7331" xr:uid="{00000000-0005-0000-0000-0000A11C0000}"/>
    <cellStyle name="_한천(1공구)수량산출서_토공(4지구)_토공(4지구)_토공(4지구)" xfId="7332" xr:uid="{00000000-0005-0000-0000-0000A21C0000}"/>
    <cellStyle name="_합의서" xfId="7333" xr:uid="{00000000-0005-0000-0000-0000A31C0000}"/>
    <cellStyle name="_합의서_4.추진공(공암)" xfId="7334" xr:uid="{00000000-0005-0000-0000-0000A41C0000}"/>
    <cellStyle name="_합의서_4.추진공(공암SAMPLE" xfId="7335" xr:uid="{00000000-0005-0000-0000-0000A51C0000}"/>
    <cellStyle name="_합의서_4.추진공(서산)" xfId="7336" xr:uid="{00000000-0005-0000-0000-0000A61C0000}"/>
    <cellStyle name="_합의서_4.추진공(읍내)" xfId="7337" xr:uid="{00000000-0005-0000-0000-0000A71C0000}"/>
    <cellStyle name="_합의서_4.추진공(황간)" xfId="7338" xr:uid="{00000000-0005-0000-0000-0000A81C0000}"/>
    <cellStyle name="_합의서_선정안(삼산)" xfId="7339" xr:uid="{00000000-0005-0000-0000-0000A91C0000}"/>
    <cellStyle name="_합의서_선정안(삼산)_4.추진공(공암)" xfId="7340" xr:uid="{00000000-0005-0000-0000-0000AA1C0000}"/>
    <cellStyle name="_합의서_선정안(삼산)_4.추진공(공암SAMPLE" xfId="7341" xr:uid="{00000000-0005-0000-0000-0000AB1C0000}"/>
    <cellStyle name="_합의서_선정안(삼산)_4.추진공(서산)" xfId="7342" xr:uid="{00000000-0005-0000-0000-0000AC1C0000}"/>
    <cellStyle name="_합의서_선정안(삼산)_4.추진공(읍내)" xfId="7343" xr:uid="{00000000-0005-0000-0000-0000AD1C0000}"/>
    <cellStyle name="_합의서_선정안(삼산)_4.추진공(황간)" xfId="7344" xr:uid="{00000000-0005-0000-0000-0000AE1C0000}"/>
    <cellStyle name="_합의서_선정안(삼산)_영동군추진가시설수량" xfId="7345" xr:uid="{00000000-0005-0000-0000-0000AF1C0000}"/>
    <cellStyle name="_합의서_영동군추진가시설수량" xfId="7346" xr:uid="{00000000-0005-0000-0000-0000B01C0000}"/>
    <cellStyle name="_합의서_추풍령" xfId="7347" xr:uid="{00000000-0005-0000-0000-0000B11C0000}"/>
    <cellStyle name="_합의서_추풍령_4.추진공(공암)" xfId="7348" xr:uid="{00000000-0005-0000-0000-0000B21C0000}"/>
    <cellStyle name="_합의서_추풍령_4.추진공(공암SAMPLE" xfId="7349" xr:uid="{00000000-0005-0000-0000-0000B31C0000}"/>
    <cellStyle name="_합의서_추풍령_4.추진공(서산)" xfId="7350" xr:uid="{00000000-0005-0000-0000-0000B41C0000}"/>
    <cellStyle name="_합의서_추풍령_4.추진공(읍내)" xfId="7351" xr:uid="{00000000-0005-0000-0000-0000B51C0000}"/>
    <cellStyle name="_합의서_추풍령_4.추진공(황간)" xfId="7352" xr:uid="{00000000-0005-0000-0000-0000B61C0000}"/>
    <cellStyle name="_합의서_추풍령_영동군추진가시설수량" xfId="7353" xr:uid="{00000000-0005-0000-0000-0000B71C0000}"/>
    <cellStyle name="_합의서_추풍령-1" xfId="7354" xr:uid="{00000000-0005-0000-0000-0000B81C0000}"/>
    <cellStyle name="_합의서_추풍령-1_4.추진공(공암)" xfId="7355" xr:uid="{00000000-0005-0000-0000-0000B91C0000}"/>
    <cellStyle name="_합의서_추풍령-1_4.추진공(공암SAMPLE" xfId="7356" xr:uid="{00000000-0005-0000-0000-0000BA1C0000}"/>
    <cellStyle name="_합의서_추풍령-1_4.추진공(서산)" xfId="7357" xr:uid="{00000000-0005-0000-0000-0000BB1C0000}"/>
    <cellStyle name="_합의서_추풍령-1_4.추진공(읍내)" xfId="7358" xr:uid="{00000000-0005-0000-0000-0000BC1C0000}"/>
    <cellStyle name="_합의서_추풍령-1_4.추진공(황간)" xfId="7359" xr:uid="{00000000-0005-0000-0000-0000BD1C0000}"/>
    <cellStyle name="_합의서_추풍령-1_영동군추진가시설수량" xfId="7360" xr:uid="{00000000-0005-0000-0000-0000BE1C0000}"/>
    <cellStyle name="_항공사진 관리시스템 구축" xfId="7361" xr:uid="{00000000-0005-0000-0000-0000BF1C0000}"/>
    <cellStyle name="_항공사진DB구축 및 영상지도제작 설계" xfId="7362" xr:uid="{00000000-0005-0000-0000-0000C01C0000}"/>
    <cellStyle name="_현장개설보고서" xfId="7363" xr:uid="{00000000-0005-0000-0000-0000C11C0000}"/>
    <cellStyle name="_호남선두계역외2개소연결통로" xfId="7364" xr:uid="{00000000-0005-0000-0000-0000C21C0000}"/>
    <cellStyle name="_호미지구 내역서" xfId="7365" xr:uid="{00000000-0005-0000-0000-0000C31C0000}"/>
    <cellStyle name="_호수SS내역서040920" xfId="7366" xr:uid="{00000000-0005-0000-0000-0000C41C0000}"/>
    <cellStyle name="_호안블럭" xfId="7367" xr:uid="{00000000-0005-0000-0000-0000C51C0000}"/>
    <cellStyle name="_호안블럭_토공(3지구)" xfId="7368" xr:uid="{00000000-0005-0000-0000-0000C61C0000}"/>
    <cellStyle name="_호안블럭_토공(3지구)_토공(4지구)" xfId="7369" xr:uid="{00000000-0005-0000-0000-0000C71C0000}"/>
    <cellStyle name="_호안블럭_토공(3지구)_토공(4지구)_토공(4지구)" xfId="7370" xr:uid="{00000000-0005-0000-0000-0000C81C0000}"/>
    <cellStyle name="_호안블럭_토공(4지구)" xfId="7371" xr:uid="{00000000-0005-0000-0000-0000C91C0000}"/>
    <cellStyle name="_호안블럭_토공(4지구)_토공(4지구)" xfId="7372" xr:uid="{00000000-0005-0000-0000-0000CA1C0000}"/>
    <cellStyle name="_호안블럭_토공(4지구)_토공(4지구)_토공(3지구)" xfId="7373" xr:uid="{00000000-0005-0000-0000-0000CB1C0000}"/>
    <cellStyle name="_호안블럭_토공(4지구)_토공(4지구)_토공(3지구)_토공(4지구)" xfId="7374" xr:uid="{00000000-0005-0000-0000-0000CC1C0000}"/>
    <cellStyle name="_호안블럭_토공(4지구)_토공(4지구)_토공(3지구)_토공(4지구)_토공(4지구)" xfId="7375" xr:uid="{00000000-0005-0000-0000-0000CD1C0000}"/>
    <cellStyle name="_호안블럭_토공(4지구)_토공(4지구)_토공(4지구)" xfId="7376" xr:uid="{00000000-0005-0000-0000-0000CE1C0000}"/>
    <cellStyle name="_홍보관수량참고(특성화설계서)" xfId="7377" xr:uid="{00000000-0005-0000-0000-0000CF1C0000}"/>
    <cellStyle name="_홍제초등학교(강산)" xfId="7378" xr:uid="{00000000-0005-0000-0000-0000D01C0000}"/>
    <cellStyle name="_홍천(노천1지구)-1공구" xfId="7379" xr:uid="{00000000-0005-0000-0000-0000D11C0000}"/>
    <cellStyle name="_홍천(노천1지구)-1공구_2(변경)-토공" xfId="7380" xr:uid="{00000000-0005-0000-0000-0000D21C0000}"/>
    <cellStyle name="_홍천(노천1지구)-1공구_2(변경)-토공_20040423_동해2리 오지도로" xfId="7381" xr:uid="{00000000-0005-0000-0000-0000D31C0000}"/>
    <cellStyle name="_홍천(노천1지구)-1공구_2(변경)-토공_20040523_반계3리 오지도로" xfId="7382" xr:uid="{00000000-0005-0000-0000-0000D41C0000}"/>
    <cellStyle name="_홍천(노천1지구)-1공구_2(변경)-토공_20040530_양잠2리(사당골)" xfId="7383" xr:uid="{00000000-0005-0000-0000-0000D51C0000}"/>
    <cellStyle name="_홍천(노천1지구)-1공구_2(변경)-토공_20040601_누동2리(장곰)" xfId="7384" xr:uid="{00000000-0005-0000-0000-0000D61C0000}"/>
    <cellStyle name="_홍천(노천1지구)-1공구_2(변경)-토공_20040610_황촌1리 오지도로" xfId="7385" xr:uid="{00000000-0005-0000-0000-0000D71C0000}"/>
    <cellStyle name="_홍천(노천1지구)-1공구_2(변경)-토공_20040614_고남4리(옷점)" xfId="7386" xr:uid="{00000000-0005-0000-0000-0000D81C0000}"/>
    <cellStyle name="_홍천(노천1지구)-1공구_2(변경)-토공_20040618_고남5리 오지도로" xfId="7387" xr:uid="{00000000-0005-0000-0000-0000D91C0000}"/>
    <cellStyle name="_홍천(노천1지구)-1공구_2(변경)-토공_20040710_장곡2리 오지도로" xfId="7388" xr:uid="{00000000-0005-0000-0000-0000DA1C0000}"/>
    <cellStyle name="_홍천(노천1지구)-1공구_2(변경)-토공_20040712_장곡1리 오지도로" xfId="7389" xr:uid="{00000000-0005-0000-0000-0000DB1C0000}"/>
    <cellStyle name="_홍천(노천1지구)-1공구_2(변경)-토공_20040920_가의도하천정비" xfId="7390" xr:uid="{00000000-0005-0000-0000-0000DC1C0000}"/>
    <cellStyle name="_홍천(노천1지구)-1공구_20040423_동해2리 오지도로" xfId="7391" xr:uid="{00000000-0005-0000-0000-0000DD1C0000}"/>
    <cellStyle name="_홍천(노천1지구)-1공구_20040523_반계3리 오지도로" xfId="7392" xr:uid="{00000000-0005-0000-0000-0000DE1C0000}"/>
    <cellStyle name="_홍천(노천1지구)-1공구_20040530_양잠2리(사당골)" xfId="7393" xr:uid="{00000000-0005-0000-0000-0000DF1C0000}"/>
    <cellStyle name="_홍천(노천1지구)-1공구_20040601_누동2리(장곰)" xfId="7394" xr:uid="{00000000-0005-0000-0000-0000E01C0000}"/>
    <cellStyle name="_홍천(노천1지구)-1공구_20040610_황촌1리 오지도로" xfId="7395" xr:uid="{00000000-0005-0000-0000-0000E11C0000}"/>
    <cellStyle name="_홍천(노천1지구)-1공구_20040614_고남4리(옷점)" xfId="7396" xr:uid="{00000000-0005-0000-0000-0000E21C0000}"/>
    <cellStyle name="_홍천(노천1지구)-1공구_20040618_고남5리 오지도로" xfId="7397" xr:uid="{00000000-0005-0000-0000-0000E31C0000}"/>
    <cellStyle name="_홍천(노천1지구)-1공구_20040710_장곡2리 오지도로" xfId="7398" xr:uid="{00000000-0005-0000-0000-0000E41C0000}"/>
    <cellStyle name="_홍천(노천1지구)-1공구_20040712_장곡1리 오지도로" xfId="7399" xr:uid="{00000000-0005-0000-0000-0000E51C0000}"/>
    <cellStyle name="_홍천(노천1지구)-1공구_20040920_가의도하천정비" xfId="7400" xr:uid="{00000000-0005-0000-0000-0000E61C0000}"/>
    <cellStyle name="_홍천(노천1지구)-1공구_토공수량산출서-1공구-순성토(090425)" xfId="7401" xr:uid="{00000000-0005-0000-0000-0000E71C0000}"/>
    <cellStyle name="_홍천(노천1지구)-1공구_토공수량산출서-1공구-순성토(090713)" xfId="7402" xr:uid="{00000000-0005-0000-0000-0000E81C0000}"/>
    <cellStyle name="_홍천(노천1지구)-1공구_토공수량산출서-2공구-사토(080930)---자체발파암해결" xfId="7403" xr:uid="{00000000-0005-0000-0000-0000E91C0000}"/>
    <cellStyle name="_홍천(노천1지구)-1공구_토공수량산출서-2공구-사토(090225)" xfId="7404" xr:uid="{00000000-0005-0000-0000-0000EA1C0000}"/>
    <cellStyle name="_홍천(노천1지구)-1공구_토공수량산출서-3공구-사토" xfId="7405" xr:uid="{00000000-0005-0000-0000-0000EB1C0000}"/>
    <cellStyle name="_홍천중(강임계약내역)" xfId="7406" xr:uid="{00000000-0005-0000-0000-0000EC1C0000}"/>
    <cellStyle name="_환기구#19(보강거더및기둥)" xfId="7407" xr:uid="{00000000-0005-0000-0000-0000ED1C0000}"/>
    <cellStyle name="_환기구#19(보강거더및기둥)_가곡계산서" xfId="7408" xr:uid="{00000000-0005-0000-0000-0000EE1C0000}"/>
    <cellStyle name="_환기구#19(보강거더및기둥)_가압장계산서" xfId="7409" xr:uid="{00000000-0005-0000-0000-0000EF1C0000}"/>
    <cellStyle name="_환기구#19(보강거더및기둥)_가압장계산서_가곡계산서" xfId="7410" xr:uid="{00000000-0005-0000-0000-0000F01C0000}"/>
    <cellStyle name="_환기구#19(보강거더및기둥)_가압장계산서_계산서" xfId="7411" xr:uid="{00000000-0005-0000-0000-0000F11C0000}"/>
    <cellStyle name="_환기구#19(보강거더및기둥)_가압장계산서_계산서_가곡계산서" xfId="7412" xr:uid="{00000000-0005-0000-0000-0000F21C0000}"/>
    <cellStyle name="_환기구#19(보강거더및기둥)_가압장계산서_무이2리계산서" xfId="7413" xr:uid="{00000000-0005-0000-0000-0000F31C0000}"/>
    <cellStyle name="_환기구#19(보강거더및기둥)_가압장계산서_무이2리계산서_가곡계산서" xfId="7414" xr:uid="{00000000-0005-0000-0000-0000F41C0000}"/>
    <cellStyle name="_환기구#19(보강거더및기둥)_가압장계산서_봉양계산서" xfId="7415" xr:uid="{00000000-0005-0000-0000-0000F51C0000}"/>
    <cellStyle name="_환기구#19(보강거더및기둥)_가압장계산서_봉양계산서_가곡계산서" xfId="7416" xr:uid="{00000000-0005-0000-0000-0000F61C0000}"/>
    <cellStyle name="_환기구#19(보강거더및기둥)_가압장계산서_삼가처리장" xfId="7417" xr:uid="{00000000-0005-0000-0000-0000F71C0000}"/>
    <cellStyle name="_환기구#19(보강거더및기둥)_가압장계산서_삼가처리장_가곡계산서" xfId="7418" xr:uid="{00000000-0005-0000-0000-0000F81C0000}"/>
    <cellStyle name="_환기구#19(보강거더및기둥)_가압장계산서_신기계산서(최종)" xfId="7419" xr:uid="{00000000-0005-0000-0000-0000F91C0000}"/>
    <cellStyle name="_환기구#19(보강거더및기둥)_가압장계산서_신기계산서(최종)_가곡계산서" xfId="7420" xr:uid="{00000000-0005-0000-0000-0000FA1C0000}"/>
    <cellStyle name="_환기구#19(보강거더및기둥)_가압장계산서_영월배수지" xfId="7421" xr:uid="{00000000-0005-0000-0000-0000FB1C0000}"/>
    <cellStyle name="_환기구#19(보강거더및기둥)_가압장계산서_영월배수지_가곡계산서" xfId="7422" xr:uid="{00000000-0005-0000-0000-0000FC1C0000}"/>
    <cellStyle name="_환기구#19(보강거더및기둥)_가압장계산서_우곡계산서" xfId="7423" xr:uid="{00000000-0005-0000-0000-0000FD1C0000}"/>
    <cellStyle name="_환기구#19(보강거더및기둥)_가압장계산서_우곡계산서_가곡계산서" xfId="7424" xr:uid="{00000000-0005-0000-0000-0000FE1C0000}"/>
    <cellStyle name="_환기구#19(보강거더및기둥)_가압장계산서_유입부(최종)" xfId="7425" xr:uid="{00000000-0005-0000-0000-0000FF1C0000}"/>
    <cellStyle name="_환기구#19(보강거더및기둥)_가압장계산서_유입부(최종)_가곡계산서" xfId="7426" xr:uid="{00000000-0005-0000-0000-0000001D0000}"/>
    <cellStyle name="_환기구#19(보강거더및기둥)_가압장계산서_유입부(최종)_삼가처리장" xfId="7427" xr:uid="{00000000-0005-0000-0000-0000011D0000}"/>
    <cellStyle name="_환기구#19(보강거더및기둥)_가압장계산서_유입부(최종)_삼가처리장_가곡계산서" xfId="7428" xr:uid="{00000000-0005-0000-0000-0000021D0000}"/>
    <cellStyle name="_환기구#19(보강거더및기둥)_가압장계산서_유입부(최종)_하수처리장" xfId="7429" xr:uid="{00000000-0005-0000-0000-0000031D0000}"/>
    <cellStyle name="_환기구#19(보강거더및기둥)_가압장계산서_유입부(최종)_하수처리장_가곡계산서" xfId="7430" xr:uid="{00000000-0005-0000-0000-0000041D0000}"/>
    <cellStyle name="_환기구#19(보강거더및기둥)_가압장계산서_유입부(최종)_하수처리장_오음리하수처리장" xfId="7431" xr:uid="{00000000-0005-0000-0000-0000051D0000}"/>
    <cellStyle name="_환기구#19(보강거더및기둥)_가압장계산서_유입부(최종)_하수처리장_오음리하수처리장_가곡계산서" xfId="7432" xr:uid="{00000000-0005-0000-0000-0000061D0000}"/>
    <cellStyle name="_환기구#19(보강거더및기둥)_가압장계산서_유입부(최종)_화천봉오리" xfId="7433" xr:uid="{00000000-0005-0000-0000-0000071D0000}"/>
    <cellStyle name="_환기구#19(보강거더및기둥)_가압장계산서_유입부(최종)_화천봉오리_가곡계산서" xfId="7434" xr:uid="{00000000-0005-0000-0000-0000081D0000}"/>
    <cellStyle name="_환기구#19(보강거더및기둥)_가압장계산서_하수처리장" xfId="7435" xr:uid="{00000000-0005-0000-0000-0000091D0000}"/>
    <cellStyle name="_환기구#19(보강거더및기둥)_가압장계산서_하수처리장_가곡계산서" xfId="7436" xr:uid="{00000000-0005-0000-0000-00000A1D0000}"/>
    <cellStyle name="_환기구#19(보강거더및기둥)_가압장계산서_하수처리장_오음리하수처리장" xfId="7437" xr:uid="{00000000-0005-0000-0000-00000B1D0000}"/>
    <cellStyle name="_환기구#19(보강거더및기둥)_가압장계산서_하수처리장_오음리하수처리장_가곡계산서" xfId="7438" xr:uid="{00000000-0005-0000-0000-00000C1D0000}"/>
    <cellStyle name="_환기구#19(보강거더및기둥)_가압장계산서_화천봉오리" xfId="7439" xr:uid="{00000000-0005-0000-0000-00000D1D0000}"/>
    <cellStyle name="_환기구#19(보강거더및기둥)_가압장계산서_화천봉오리_가곡계산서" xfId="7440" xr:uid="{00000000-0005-0000-0000-00000E1D0000}"/>
    <cellStyle name="_환기구#19(보강거더및기둥)_계산서" xfId="7441" xr:uid="{00000000-0005-0000-0000-00000F1D0000}"/>
    <cellStyle name="_환기구#19(보강거더및기둥)_계산서_가곡계산서" xfId="7442" xr:uid="{00000000-0005-0000-0000-0000101D0000}"/>
    <cellStyle name="_환기구#19(보강거더및기둥)_무이2리계산서" xfId="7443" xr:uid="{00000000-0005-0000-0000-0000111D0000}"/>
    <cellStyle name="_환기구#19(보강거더및기둥)_무이2리계산서_가곡계산서" xfId="7444" xr:uid="{00000000-0005-0000-0000-0000121D0000}"/>
    <cellStyle name="_환기구#19(보강거더및기둥)_봉양계산서" xfId="7445" xr:uid="{00000000-0005-0000-0000-0000131D0000}"/>
    <cellStyle name="_환기구#19(보강거더및기둥)_봉양계산서_가곡계산서" xfId="7446" xr:uid="{00000000-0005-0000-0000-0000141D0000}"/>
    <cellStyle name="_환기구#19(보강거더및기둥)_삼가처리장" xfId="7447" xr:uid="{00000000-0005-0000-0000-0000151D0000}"/>
    <cellStyle name="_환기구#19(보강거더및기둥)_삼가처리장_가곡계산서" xfId="7448" xr:uid="{00000000-0005-0000-0000-0000161D0000}"/>
    <cellStyle name="_환기구#19(보강거더및기둥)_신기계산서(최종)" xfId="7449" xr:uid="{00000000-0005-0000-0000-0000171D0000}"/>
    <cellStyle name="_환기구#19(보강거더및기둥)_신기계산서(최종)_가곡계산서" xfId="7450" xr:uid="{00000000-0005-0000-0000-0000181D0000}"/>
    <cellStyle name="_환기구#19(보강거더및기둥)_영월배수지" xfId="7451" xr:uid="{00000000-0005-0000-0000-0000191D0000}"/>
    <cellStyle name="_환기구#19(보강거더및기둥)_영월배수지_가곡계산서" xfId="7452" xr:uid="{00000000-0005-0000-0000-00001A1D0000}"/>
    <cellStyle name="_환기구#19(보강거더및기둥)_완도중계펌프장" xfId="7453" xr:uid="{00000000-0005-0000-0000-00001B1D0000}"/>
    <cellStyle name="_환기구#19(보강거더및기둥)_완도중계펌프장_가곡계산서" xfId="7454" xr:uid="{00000000-0005-0000-0000-00001C1D0000}"/>
    <cellStyle name="_환기구#19(보강거더및기둥)_완도중계펌프장_계산서" xfId="7455" xr:uid="{00000000-0005-0000-0000-00001D1D0000}"/>
    <cellStyle name="_환기구#19(보강거더및기둥)_완도중계펌프장_계산서_가곡계산서" xfId="7456" xr:uid="{00000000-0005-0000-0000-00001E1D0000}"/>
    <cellStyle name="_환기구#19(보강거더및기둥)_완도중계펌프장_무이2리계산서" xfId="7457" xr:uid="{00000000-0005-0000-0000-00001F1D0000}"/>
    <cellStyle name="_환기구#19(보강거더및기둥)_완도중계펌프장_무이2리계산서_가곡계산서" xfId="7458" xr:uid="{00000000-0005-0000-0000-0000201D0000}"/>
    <cellStyle name="_환기구#19(보강거더및기둥)_완도중계펌프장_봉양계산서" xfId="7459" xr:uid="{00000000-0005-0000-0000-0000211D0000}"/>
    <cellStyle name="_환기구#19(보강거더및기둥)_완도중계펌프장_봉양계산서_가곡계산서" xfId="7460" xr:uid="{00000000-0005-0000-0000-0000221D0000}"/>
    <cellStyle name="_환기구#19(보강거더및기둥)_완도중계펌프장_삼가처리장" xfId="7461" xr:uid="{00000000-0005-0000-0000-0000231D0000}"/>
    <cellStyle name="_환기구#19(보강거더및기둥)_완도중계펌프장_삼가처리장_가곡계산서" xfId="7462" xr:uid="{00000000-0005-0000-0000-0000241D0000}"/>
    <cellStyle name="_환기구#19(보강거더및기둥)_완도중계펌프장_신기계산서(최종)" xfId="7463" xr:uid="{00000000-0005-0000-0000-0000251D0000}"/>
    <cellStyle name="_환기구#19(보강거더및기둥)_완도중계펌프장_신기계산서(최종)_가곡계산서" xfId="7464" xr:uid="{00000000-0005-0000-0000-0000261D0000}"/>
    <cellStyle name="_환기구#19(보강거더및기둥)_완도중계펌프장_영월배수지" xfId="7465" xr:uid="{00000000-0005-0000-0000-0000271D0000}"/>
    <cellStyle name="_환기구#19(보강거더및기둥)_완도중계펌프장_영월배수지_가곡계산서" xfId="7466" xr:uid="{00000000-0005-0000-0000-0000281D0000}"/>
    <cellStyle name="_환기구#19(보강거더및기둥)_완도중계펌프장_우곡계산서" xfId="7467" xr:uid="{00000000-0005-0000-0000-0000291D0000}"/>
    <cellStyle name="_환기구#19(보강거더및기둥)_완도중계펌프장_우곡계산서_가곡계산서" xfId="7468" xr:uid="{00000000-0005-0000-0000-00002A1D0000}"/>
    <cellStyle name="_환기구#19(보강거더및기둥)_완도중계펌프장_유입부(최종)" xfId="7469" xr:uid="{00000000-0005-0000-0000-00002B1D0000}"/>
    <cellStyle name="_환기구#19(보강거더및기둥)_완도중계펌프장_유입부(최종)_가곡계산서" xfId="7470" xr:uid="{00000000-0005-0000-0000-00002C1D0000}"/>
    <cellStyle name="_환기구#19(보강거더및기둥)_완도중계펌프장_유입부(최종)_삼가처리장" xfId="7471" xr:uid="{00000000-0005-0000-0000-00002D1D0000}"/>
    <cellStyle name="_환기구#19(보강거더및기둥)_완도중계펌프장_유입부(최종)_삼가처리장_가곡계산서" xfId="7472" xr:uid="{00000000-0005-0000-0000-00002E1D0000}"/>
    <cellStyle name="_환기구#19(보강거더및기둥)_완도중계펌프장_유입부(최종)_하수처리장" xfId="7473" xr:uid="{00000000-0005-0000-0000-00002F1D0000}"/>
    <cellStyle name="_환기구#19(보강거더및기둥)_완도중계펌프장_유입부(최종)_하수처리장_가곡계산서" xfId="7474" xr:uid="{00000000-0005-0000-0000-0000301D0000}"/>
    <cellStyle name="_환기구#19(보강거더및기둥)_완도중계펌프장_유입부(최종)_하수처리장_오음리하수처리장" xfId="7475" xr:uid="{00000000-0005-0000-0000-0000311D0000}"/>
    <cellStyle name="_환기구#19(보강거더및기둥)_완도중계펌프장_유입부(최종)_하수처리장_오음리하수처리장_가곡계산서" xfId="7476" xr:uid="{00000000-0005-0000-0000-0000321D0000}"/>
    <cellStyle name="_환기구#19(보강거더및기둥)_완도중계펌프장_유입부(최종)_화천봉오리" xfId="7477" xr:uid="{00000000-0005-0000-0000-0000331D0000}"/>
    <cellStyle name="_환기구#19(보강거더및기둥)_완도중계펌프장_유입부(최종)_화천봉오리_가곡계산서" xfId="7478" xr:uid="{00000000-0005-0000-0000-0000341D0000}"/>
    <cellStyle name="_환기구#19(보강거더및기둥)_완도중계펌프장_하수처리장" xfId="7479" xr:uid="{00000000-0005-0000-0000-0000351D0000}"/>
    <cellStyle name="_환기구#19(보강거더및기둥)_완도중계펌프장_하수처리장_가곡계산서" xfId="7480" xr:uid="{00000000-0005-0000-0000-0000361D0000}"/>
    <cellStyle name="_환기구#19(보강거더및기둥)_완도중계펌프장_하수처리장_오음리하수처리장" xfId="7481" xr:uid="{00000000-0005-0000-0000-0000371D0000}"/>
    <cellStyle name="_환기구#19(보강거더및기둥)_완도중계펌프장_하수처리장_오음리하수처리장_가곡계산서" xfId="7482" xr:uid="{00000000-0005-0000-0000-0000381D0000}"/>
    <cellStyle name="_환기구#19(보강거더및기둥)_완도중계펌프장_화천봉오리" xfId="7483" xr:uid="{00000000-0005-0000-0000-0000391D0000}"/>
    <cellStyle name="_환기구#19(보강거더및기둥)_완도중계펌프장_화천봉오리_가곡계산서" xfId="7484" xr:uid="{00000000-0005-0000-0000-00003A1D0000}"/>
    <cellStyle name="_환기구#19(보강거더및기둥)_완도중계펌프장-2" xfId="7485" xr:uid="{00000000-0005-0000-0000-00003B1D0000}"/>
    <cellStyle name="_환기구#19(보강거더및기둥)_완도중계펌프장-2_가곡계산서" xfId="7486" xr:uid="{00000000-0005-0000-0000-00003C1D0000}"/>
    <cellStyle name="_환기구#19(보강거더및기둥)_완도중계펌프장-2_계산서" xfId="7487" xr:uid="{00000000-0005-0000-0000-00003D1D0000}"/>
    <cellStyle name="_환기구#19(보강거더및기둥)_완도중계펌프장-2_계산서_가곡계산서" xfId="7488" xr:uid="{00000000-0005-0000-0000-00003E1D0000}"/>
    <cellStyle name="_환기구#19(보강거더및기둥)_완도중계펌프장-2_무이2리계산서" xfId="7489" xr:uid="{00000000-0005-0000-0000-00003F1D0000}"/>
    <cellStyle name="_환기구#19(보강거더및기둥)_완도중계펌프장-2_무이2리계산서_가곡계산서" xfId="7490" xr:uid="{00000000-0005-0000-0000-0000401D0000}"/>
    <cellStyle name="_환기구#19(보강거더및기둥)_완도중계펌프장-2_봉양계산서" xfId="7491" xr:uid="{00000000-0005-0000-0000-0000411D0000}"/>
    <cellStyle name="_환기구#19(보강거더및기둥)_완도중계펌프장-2_봉양계산서_가곡계산서" xfId="7492" xr:uid="{00000000-0005-0000-0000-0000421D0000}"/>
    <cellStyle name="_환기구#19(보강거더및기둥)_완도중계펌프장-2_삼가처리장" xfId="7493" xr:uid="{00000000-0005-0000-0000-0000431D0000}"/>
    <cellStyle name="_환기구#19(보강거더및기둥)_완도중계펌프장-2_삼가처리장_가곡계산서" xfId="7494" xr:uid="{00000000-0005-0000-0000-0000441D0000}"/>
    <cellStyle name="_환기구#19(보강거더및기둥)_완도중계펌프장-2_신기계산서(최종)" xfId="7495" xr:uid="{00000000-0005-0000-0000-0000451D0000}"/>
    <cellStyle name="_환기구#19(보강거더및기둥)_완도중계펌프장-2_신기계산서(최종)_가곡계산서" xfId="7496" xr:uid="{00000000-0005-0000-0000-0000461D0000}"/>
    <cellStyle name="_환기구#19(보강거더및기둥)_완도중계펌프장-2_영월배수지" xfId="7497" xr:uid="{00000000-0005-0000-0000-0000471D0000}"/>
    <cellStyle name="_환기구#19(보강거더및기둥)_완도중계펌프장-2_영월배수지_가곡계산서" xfId="7498" xr:uid="{00000000-0005-0000-0000-0000481D0000}"/>
    <cellStyle name="_환기구#19(보강거더및기둥)_완도중계펌프장-2_우곡계산서" xfId="7499" xr:uid="{00000000-0005-0000-0000-0000491D0000}"/>
    <cellStyle name="_환기구#19(보강거더및기둥)_완도중계펌프장-2_우곡계산서_가곡계산서" xfId="7500" xr:uid="{00000000-0005-0000-0000-00004A1D0000}"/>
    <cellStyle name="_환기구#19(보강거더및기둥)_완도중계펌프장-2_유입부(최종)" xfId="7501" xr:uid="{00000000-0005-0000-0000-00004B1D0000}"/>
    <cellStyle name="_환기구#19(보강거더및기둥)_완도중계펌프장-2_유입부(최종)_가곡계산서" xfId="7502" xr:uid="{00000000-0005-0000-0000-00004C1D0000}"/>
    <cellStyle name="_환기구#19(보강거더및기둥)_완도중계펌프장-2_유입부(최종)_삼가처리장" xfId="7503" xr:uid="{00000000-0005-0000-0000-00004D1D0000}"/>
    <cellStyle name="_환기구#19(보강거더및기둥)_완도중계펌프장-2_유입부(최종)_삼가처리장_가곡계산서" xfId="7504" xr:uid="{00000000-0005-0000-0000-00004E1D0000}"/>
    <cellStyle name="_환기구#19(보강거더및기둥)_완도중계펌프장-2_유입부(최종)_하수처리장" xfId="7505" xr:uid="{00000000-0005-0000-0000-00004F1D0000}"/>
    <cellStyle name="_환기구#19(보강거더및기둥)_완도중계펌프장-2_유입부(최종)_하수처리장_가곡계산서" xfId="7506" xr:uid="{00000000-0005-0000-0000-0000501D0000}"/>
    <cellStyle name="_환기구#19(보강거더및기둥)_완도중계펌프장-2_유입부(최종)_하수처리장_오음리하수처리장" xfId="7507" xr:uid="{00000000-0005-0000-0000-0000511D0000}"/>
    <cellStyle name="_환기구#19(보강거더및기둥)_완도중계펌프장-2_유입부(최종)_하수처리장_오음리하수처리장_가곡계산서" xfId="7508" xr:uid="{00000000-0005-0000-0000-0000521D0000}"/>
    <cellStyle name="_환기구#19(보강거더및기둥)_완도중계펌프장-2_유입부(최종)_화천봉오리" xfId="7509" xr:uid="{00000000-0005-0000-0000-0000531D0000}"/>
    <cellStyle name="_환기구#19(보강거더및기둥)_완도중계펌프장-2_유입부(최종)_화천봉오리_가곡계산서" xfId="7510" xr:uid="{00000000-0005-0000-0000-0000541D0000}"/>
    <cellStyle name="_환기구#19(보강거더및기둥)_완도중계펌프장-2_하수처리장" xfId="7511" xr:uid="{00000000-0005-0000-0000-0000551D0000}"/>
    <cellStyle name="_환기구#19(보강거더및기둥)_완도중계펌프장-2_하수처리장_가곡계산서" xfId="7512" xr:uid="{00000000-0005-0000-0000-0000561D0000}"/>
    <cellStyle name="_환기구#19(보강거더및기둥)_완도중계펌프장-2_하수처리장_오음리하수처리장" xfId="7513" xr:uid="{00000000-0005-0000-0000-0000571D0000}"/>
    <cellStyle name="_환기구#19(보강거더및기둥)_완도중계펌프장-2_하수처리장_오음리하수처리장_가곡계산서" xfId="7514" xr:uid="{00000000-0005-0000-0000-0000581D0000}"/>
    <cellStyle name="_환기구#19(보강거더및기둥)_완도중계펌프장-2_화천봉오리" xfId="7515" xr:uid="{00000000-0005-0000-0000-0000591D0000}"/>
    <cellStyle name="_환기구#19(보강거더및기둥)_완도중계펌프장-2_화천봉오리_가곡계산서" xfId="7516" xr:uid="{00000000-0005-0000-0000-00005A1D0000}"/>
    <cellStyle name="_환기구#19(보강거더및기둥)_우곡계산서" xfId="7517" xr:uid="{00000000-0005-0000-0000-00005B1D0000}"/>
    <cellStyle name="_환기구#19(보강거더및기둥)_우곡계산서_가곡계산서" xfId="7518" xr:uid="{00000000-0005-0000-0000-00005C1D0000}"/>
    <cellStyle name="_환기구#19(보강거더및기둥)_우수C-line(1.5x1.5)" xfId="7519" xr:uid="{00000000-0005-0000-0000-00005D1D0000}"/>
    <cellStyle name="_환기구#19(보강거더및기둥)_우수C-line(1.5x1.5)_가곡계산서" xfId="7520" xr:uid="{00000000-0005-0000-0000-00005E1D0000}"/>
    <cellStyle name="_환기구#19(보강거더및기둥)_우수C-line(1.5x1.5)_계산서" xfId="7521" xr:uid="{00000000-0005-0000-0000-00005F1D0000}"/>
    <cellStyle name="_환기구#19(보강거더및기둥)_우수C-line(1.5x1.5)_계산서_가곡계산서" xfId="7522" xr:uid="{00000000-0005-0000-0000-0000601D0000}"/>
    <cellStyle name="_환기구#19(보강거더및기둥)_우수C-line(1.5x1.5)_무이2리계산서" xfId="7523" xr:uid="{00000000-0005-0000-0000-0000611D0000}"/>
    <cellStyle name="_환기구#19(보강거더및기둥)_우수C-line(1.5x1.5)_무이2리계산서_가곡계산서" xfId="7524" xr:uid="{00000000-0005-0000-0000-0000621D0000}"/>
    <cellStyle name="_환기구#19(보강거더및기둥)_우수C-line(1.5x1.5)_봉양계산서" xfId="7525" xr:uid="{00000000-0005-0000-0000-0000631D0000}"/>
    <cellStyle name="_환기구#19(보강거더및기둥)_우수C-line(1.5x1.5)_봉양계산서_가곡계산서" xfId="7526" xr:uid="{00000000-0005-0000-0000-0000641D0000}"/>
    <cellStyle name="_환기구#19(보강거더및기둥)_우수C-line(1.5x1.5)_삼가처리장" xfId="7527" xr:uid="{00000000-0005-0000-0000-0000651D0000}"/>
    <cellStyle name="_환기구#19(보강거더및기둥)_우수C-line(1.5x1.5)_삼가처리장_가곡계산서" xfId="7528" xr:uid="{00000000-0005-0000-0000-0000661D0000}"/>
    <cellStyle name="_환기구#19(보강거더및기둥)_우수C-line(1.5x1.5)_신기계산서(최종)" xfId="7529" xr:uid="{00000000-0005-0000-0000-0000671D0000}"/>
    <cellStyle name="_환기구#19(보강거더및기둥)_우수C-line(1.5x1.5)_신기계산서(최종)_가곡계산서" xfId="7530" xr:uid="{00000000-0005-0000-0000-0000681D0000}"/>
    <cellStyle name="_환기구#19(보강거더및기둥)_우수C-line(1.5x1.5)_영월배수지" xfId="7531" xr:uid="{00000000-0005-0000-0000-0000691D0000}"/>
    <cellStyle name="_환기구#19(보강거더및기둥)_우수C-line(1.5x1.5)_영월배수지_가곡계산서" xfId="7532" xr:uid="{00000000-0005-0000-0000-00006A1D0000}"/>
    <cellStyle name="_환기구#19(보강거더및기둥)_우수C-line(1.5x1.5)_우곡계산서" xfId="7533" xr:uid="{00000000-0005-0000-0000-00006B1D0000}"/>
    <cellStyle name="_환기구#19(보강거더및기둥)_우수C-line(1.5x1.5)_우곡계산서_가곡계산서" xfId="7534" xr:uid="{00000000-0005-0000-0000-00006C1D0000}"/>
    <cellStyle name="_환기구#19(보강거더및기둥)_우수C-line(1.5x1.5)_유입부(최종)" xfId="7535" xr:uid="{00000000-0005-0000-0000-00006D1D0000}"/>
    <cellStyle name="_환기구#19(보강거더및기둥)_우수C-line(1.5x1.5)_유입부(최종)_가곡계산서" xfId="7536" xr:uid="{00000000-0005-0000-0000-00006E1D0000}"/>
    <cellStyle name="_환기구#19(보강거더및기둥)_우수C-line(1.5x1.5)_유입부(최종)_삼가처리장" xfId="7537" xr:uid="{00000000-0005-0000-0000-00006F1D0000}"/>
    <cellStyle name="_환기구#19(보강거더및기둥)_우수C-line(1.5x1.5)_유입부(최종)_삼가처리장_가곡계산서" xfId="7538" xr:uid="{00000000-0005-0000-0000-0000701D0000}"/>
    <cellStyle name="_환기구#19(보강거더및기둥)_우수C-line(1.5x1.5)_유입부(최종)_하수처리장" xfId="7539" xr:uid="{00000000-0005-0000-0000-0000711D0000}"/>
    <cellStyle name="_환기구#19(보강거더및기둥)_우수C-line(1.5x1.5)_유입부(최종)_하수처리장_가곡계산서" xfId="7540" xr:uid="{00000000-0005-0000-0000-0000721D0000}"/>
    <cellStyle name="_환기구#19(보강거더및기둥)_우수C-line(1.5x1.5)_유입부(최종)_하수처리장_오음리하수처리장" xfId="7541" xr:uid="{00000000-0005-0000-0000-0000731D0000}"/>
    <cellStyle name="_환기구#19(보강거더및기둥)_우수C-line(1.5x1.5)_유입부(최종)_하수처리장_오음리하수처리장_가곡계산서" xfId="7542" xr:uid="{00000000-0005-0000-0000-0000741D0000}"/>
    <cellStyle name="_환기구#19(보강거더및기둥)_우수C-line(1.5x1.5)_유입부(최종)_화천봉오리" xfId="7543" xr:uid="{00000000-0005-0000-0000-0000751D0000}"/>
    <cellStyle name="_환기구#19(보강거더및기둥)_우수C-line(1.5x1.5)_유입부(최종)_화천봉오리_가곡계산서" xfId="7544" xr:uid="{00000000-0005-0000-0000-0000761D0000}"/>
    <cellStyle name="_환기구#19(보강거더및기둥)_우수C-line(1.5x1.5)_하수처리장" xfId="7545" xr:uid="{00000000-0005-0000-0000-0000771D0000}"/>
    <cellStyle name="_환기구#19(보강거더및기둥)_우수C-line(1.5x1.5)_하수처리장_가곡계산서" xfId="7546" xr:uid="{00000000-0005-0000-0000-0000781D0000}"/>
    <cellStyle name="_환기구#19(보강거더및기둥)_우수C-line(1.5x1.5)_하수처리장_오음리하수처리장" xfId="7547" xr:uid="{00000000-0005-0000-0000-0000791D0000}"/>
    <cellStyle name="_환기구#19(보강거더및기둥)_우수C-line(1.5x1.5)_하수처리장_오음리하수처리장_가곡계산서" xfId="7548" xr:uid="{00000000-0005-0000-0000-00007A1D0000}"/>
    <cellStyle name="_환기구#19(보강거더및기둥)_우수C-line(1.5x1.5)_화천봉오리" xfId="7549" xr:uid="{00000000-0005-0000-0000-00007B1D0000}"/>
    <cellStyle name="_환기구#19(보강거더및기둥)_우수C-line(1.5x1.5)_화천봉오리_가곡계산서" xfId="7550" xr:uid="{00000000-0005-0000-0000-00007C1D0000}"/>
    <cellStyle name="_환기구#19(보강거더및기둥)_유입부(최종)" xfId="7551" xr:uid="{00000000-0005-0000-0000-00007D1D0000}"/>
    <cellStyle name="_환기구#19(보강거더및기둥)_유입부(최종)_가곡계산서" xfId="7552" xr:uid="{00000000-0005-0000-0000-00007E1D0000}"/>
    <cellStyle name="_환기구#19(보강거더및기둥)_유입부(최종)_삼가처리장" xfId="7553" xr:uid="{00000000-0005-0000-0000-00007F1D0000}"/>
    <cellStyle name="_환기구#19(보강거더및기둥)_유입부(최종)_삼가처리장_가곡계산서" xfId="7554" xr:uid="{00000000-0005-0000-0000-0000801D0000}"/>
    <cellStyle name="_환기구#19(보강거더및기둥)_유입부(최종)_하수처리장" xfId="7555" xr:uid="{00000000-0005-0000-0000-0000811D0000}"/>
    <cellStyle name="_환기구#19(보강거더및기둥)_유입부(최종)_하수처리장_가곡계산서" xfId="7556" xr:uid="{00000000-0005-0000-0000-0000821D0000}"/>
    <cellStyle name="_환기구#19(보강거더및기둥)_유입부(최종)_하수처리장_오음리하수처리장" xfId="7557" xr:uid="{00000000-0005-0000-0000-0000831D0000}"/>
    <cellStyle name="_환기구#19(보강거더및기둥)_유입부(최종)_하수처리장_오음리하수처리장_가곡계산서" xfId="7558" xr:uid="{00000000-0005-0000-0000-0000841D0000}"/>
    <cellStyle name="_환기구#19(보강거더및기둥)_유입부(최종)_화천봉오리" xfId="7559" xr:uid="{00000000-0005-0000-0000-0000851D0000}"/>
    <cellStyle name="_환기구#19(보강거더및기둥)_유입부(최종)_화천봉오리_가곡계산서" xfId="7560" xr:uid="{00000000-0005-0000-0000-0000861D0000}"/>
    <cellStyle name="_환기구#19(보강거더및기둥)_자연휴양림가압장" xfId="7561" xr:uid="{00000000-0005-0000-0000-0000871D0000}"/>
    <cellStyle name="_환기구#19(보강거더및기둥)_자연휴양림가압장_가곡계산서" xfId="7562" xr:uid="{00000000-0005-0000-0000-0000881D0000}"/>
    <cellStyle name="_환기구#19(보강거더및기둥)_자연휴양림가압장_계산서" xfId="7563" xr:uid="{00000000-0005-0000-0000-0000891D0000}"/>
    <cellStyle name="_환기구#19(보강거더및기둥)_자연휴양림가압장_계산서_가곡계산서" xfId="7564" xr:uid="{00000000-0005-0000-0000-00008A1D0000}"/>
    <cellStyle name="_환기구#19(보강거더및기둥)_자연휴양림가압장_무이2리계산서" xfId="7565" xr:uid="{00000000-0005-0000-0000-00008B1D0000}"/>
    <cellStyle name="_환기구#19(보강거더및기둥)_자연휴양림가압장_무이2리계산서_가곡계산서" xfId="7566" xr:uid="{00000000-0005-0000-0000-00008C1D0000}"/>
    <cellStyle name="_환기구#19(보강거더및기둥)_자연휴양림가압장_봉양계산서" xfId="7567" xr:uid="{00000000-0005-0000-0000-00008D1D0000}"/>
    <cellStyle name="_환기구#19(보강거더및기둥)_자연휴양림가압장_봉양계산서_가곡계산서" xfId="7568" xr:uid="{00000000-0005-0000-0000-00008E1D0000}"/>
    <cellStyle name="_환기구#19(보강거더및기둥)_자연휴양림가압장_삼가처리장" xfId="7569" xr:uid="{00000000-0005-0000-0000-00008F1D0000}"/>
    <cellStyle name="_환기구#19(보강거더및기둥)_자연휴양림가압장_삼가처리장_가곡계산서" xfId="7570" xr:uid="{00000000-0005-0000-0000-0000901D0000}"/>
    <cellStyle name="_환기구#19(보강거더및기둥)_자연휴양림가압장_신기계산서(최종)" xfId="7571" xr:uid="{00000000-0005-0000-0000-0000911D0000}"/>
    <cellStyle name="_환기구#19(보강거더및기둥)_자연휴양림가압장_신기계산서(최종)_가곡계산서" xfId="7572" xr:uid="{00000000-0005-0000-0000-0000921D0000}"/>
    <cellStyle name="_환기구#19(보강거더및기둥)_자연휴양림가압장_영월배수지" xfId="7573" xr:uid="{00000000-0005-0000-0000-0000931D0000}"/>
    <cellStyle name="_환기구#19(보강거더및기둥)_자연휴양림가압장_영월배수지_가곡계산서" xfId="7574" xr:uid="{00000000-0005-0000-0000-0000941D0000}"/>
    <cellStyle name="_환기구#19(보강거더및기둥)_자연휴양림가압장_우곡계산서" xfId="7575" xr:uid="{00000000-0005-0000-0000-0000951D0000}"/>
    <cellStyle name="_환기구#19(보강거더및기둥)_자연휴양림가압장_우곡계산서_가곡계산서" xfId="7576" xr:uid="{00000000-0005-0000-0000-0000961D0000}"/>
    <cellStyle name="_환기구#19(보강거더및기둥)_자연휴양림가압장_유입부(최종)" xfId="7577" xr:uid="{00000000-0005-0000-0000-0000971D0000}"/>
    <cellStyle name="_환기구#19(보강거더및기둥)_자연휴양림가압장_유입부(최종)_가곡계산서" xfId="7578" xr:uid="{00000000-0005-0000-0000-0000981D0000}"/>
    <cellStyle name="_환기구#19(보강거더및기둥)_자연휴양림가압장_유입부(최종)_삼가처리장" xfId="7579" xr:uid="{00000000-0005-0000-0000-0000991D0000}"/>
    <cellStyle name="_환기구#19(보강거더및기둥)_자연휴양림가압장_유입부(최종)_삼가처리장_가곡계산서" xfId="7580" xr:uid="{00000000-0005-0000-0000-00009A1D0000}"/>
    <cellStyle name="_환기구#19(보강거더및기둥)_자연휴양림가압장_유입부(최종)_하수처리장" xfId="7581" xr:uid="{00000000-0005-0000-0000-00009B1D0000}"/>
    <cellStyle name="_환기구#19(보강거더및기둥)_자연휴양림가압장_유입부(최종)_하수처리장_가곡계산서" xfId="7582" xr:uid="{00000000-0005-0000-0000-00009C1D0000}"/>
    <cellStyle name="_환기구#19(보강거더및기둥)_자연휴양림가압장_유입부(최종)_하수처리장_오음리하수처리장" xfId="7583" xr:uid="{00000000-0005-0000-0000-00009D1D0000}"/>
    <cellStyle name="_환기구#19(보강거더및기둥)_자연휴양림가압장_유입부(최종)_하수처리장_오음리하수처리장_가곡계산서" xfId="7584" xr:uid="{00000000-0005-0000-0000-00009E1D0000}"/>
    <cellStyle name="_환기구#19(보강거더및기둥)_자연휴양림가압장_유입부(최종)_화천봉오리" xfId="7585" xr:uid="{00000000-0005-0000-0000-00009F1D0000}"/>
    <cellStyle name="_환기구#19(보강거더및기둥)_자연휴양림가압장_유입부(최종)_화천봉오리_가곡계산서" xfId="7586" xr:uid="{00000000-0005-0000-0000-0000A01D0000}"/>
    <cellStyle name="_환기구#19(보강거더및기둥)_자연휴양림가압장_하수처리장" xfId="7587" xr:uid="{00000000-0005-0000-0000-0000A11D0000}"/>
    <cellStyle name="_환기구#19(보강거더및기둥)_자연휴양림가압장_하수처리장_가곡계산서" xfId="7588" xr:uid="{00000000-0005-0000-0000-0000A21D0000}"/>
    <cellStyle name="_환기구#19(보강거더및기둥)_자연휴양림가압장_하수처리장_오음리하수처리장" xfId="7589" xr:uid="{00000000-0005-0000-0000-0000A31D0000}"/>
    <cellStyle name="_환기구#19(보강거더및기둥)_자연휴양림가압장_하수처리장_오음리하수처리장_가곡계산서" xfId="7590" xr:uid="{00000000-0005-0000-0000-0000A41D0000}"/>
    <cellStyle name="_환기구#19(보강거더및기둥)_자연휴양림가압장_화천봉오리" xfId="7591" xr:uid="{00000000-0005-0000-0000-0000A51D0000}"/>
    <cellStyle name="_환기구#19(보강거더및기둥)_자연휴양림가압장_화천봉오리_가곡계산서" xfId="7592" xr:uid="{00000000-0005-0000-0000-0000A61D0000}"/>
    <cellStyle name="_환기구#19(보강거더및기둥)_처리장" xfId="7593" xr:uid="{00000000-0005-0000-0000-0000A71D0000}"/>
    <cellStyle name="_환기구#19(보강거더및기둥)_처리장_가곡계산서" xfId="7594" xr:uid="{00000000-0005-0000-0000-0000A81D0000}"/>
    <cellStyle name="_환기구#19(보강거더및기둥)_처리장_계산서" xfId="7595" xr:uid="{00000000-0005-0000-0000-0000A91D0000}"/>
    <cellStyle name="_환기구#19(보강거더및기둥)_처리장_계산서_가곡계산서" xfId="7596" xr:uid="{00000000-0005-0000-0000-0000AA1D0000}"/>
    <cellStyle name="_환기구#19(보강거더및기둥)_처리장_무이2리계산서" xfId="7597" xr:uid="{00000000-0005-0000-0000-0000AB1D0000}"/>
    <cellStyle name="_환기구#19(보강거더및기둥)_처리장_무이2리계산서_가곡계산서" xfId="7598" xr:uid="{00000000-0005-0000-0000-0000AC1D0000}"/>
    <cellStyle name="_환기구#19(보강거더및기둥)_처리장_봉양계산서" xfId="7599" xr:uid="{00000000-0005-0000-0000-0000AD1D0000}"/>
    <cellStyle name="_환기구#19(보강거더및기둥)_처리장_봉양계산서_가곡계산서" xfId="7600" xr:uid="{00000000-0005-0000-0000-0000AE1D0000}"/>
    <cellStyle name="_환기구#19(보강거더및기둥)_처리장_삼가처리장" xfId="7601" xr:uid="{00000000-0005-0000-0000-0000AF1D0000}"/>
    <cellStyle name="_환기구#19(보강거더및기둥)_처리장_삼가처리장_가곡계산서" xfId="7602" xr:uid="{00000000-0005-0000-0000-0000B01D0000}"/>
    <cellStyle name="_환기구#19(보강거더및기둥)_처리장_신기계산서(최종)" xfId="7603" xr:uid="{00000000-0005-0000-0000-0000B11D0000}"/>
    <cellStyle name="_환기구#19(보강거더및기둥)_처리장_신기계산서(최종)_가곡계산서" xfId="7604" xr:uid="{00000000-0005-0000-0000-0000B21D0000}"/>
    <cellStyle name="_환기구#19(보강거더및기둥)_처리장_영월배수지" xfId="7605" xr:uid="{00000000-0005-0000-0000-0000B31D0000}"/>
    <cellStyle name="_환기구#19(보강거더및기둥)_처리장_영월배수지_가곡계산서" xfId="7606" xr:uid="{00000000-0005-0000-0000-0000B41D0000}"/>
    <cellStyle name="_환기구#19(보강거더및기둥)_처리장_우곡계산서" xfId="7607" xr:uid="{00000000-0005-0000-0000-0000B51D0000}"/>
    <cellStyle name="_환기구#19(보강거더및기둥)_처리장_우곡계산서_가곡계산서" xfId="7608" xr:uid="{00000000-0005-0000-0000-0000B61D0000}"/>
    <cellStyle name="_환기구#19(보강거더및기둥)_처리장_유입부(최종)" xfId="7609" xr:uid="{00000000-0005-0000-0000-0000B71D0000}"/>
    <cellStyle name="_환기구#19(보강거더및기둥)_처리장_유입부(최종)_가곡계산서" xfId="7610" xr:uid="{00000000-0005-0000-0000-0000B81D0000}"/>
    <cellStyle name="_환기구#19(보강거더및기둥)_처리장_유입부(최종)_삼가처리장" xfId="7611" xr:uid="{00000000-0005-0000-0000-0000B91D0000}"/>
    <cellStyle name="_환기구#19(보강거더및기둥)_처리장_유입부(최종)_삼가처리장_가곡계산서" xfId="7612" xr:uid="{00000000-0005-0000-0000-0000BA1D0000}"/>
    <cellStyle name="_환기구#19(보강거더및기둥)_처리장_유입부(최종)_하수처리장" xfId="7613" xr:uid="{00000000-0005-0000-0000-0000BB1D0000}"/>
    <cellStyle name="_환기구#19(보강거더및기둥)_처리장_유입부(최종)_하수처리장_가곡계산서" xfId="7614" xr:uid="{00000000-0005-0000-0000-0000BC1D0000}"/>
    <cellStyle name="_환기구#19(보강거더및기둥)_처리장_유입부(최종)_하수처리장_오음리하수처리장" xfId="7615" xr:uid="{00000000-0005-0000-0000-0000BD1D0000}"/>
    <cellStyle name="_환기구#19(보강거더및기둥)_처리장_유입부(최종)_하수처리장_오음리하수처리장_가곡계산서" xfId="7616" xr:uid="{00000000-0005-0000-0000-0000BE1D0000}"/>
    <cellStyle name="_환기구#19(보강거더및기둥)_처리장_유입부(최종)_화천봉오리" xfId="7617" xr:uid="{00000000-0005-0000-0000-0000BF1D0000}"/>
    <cellStyle name="_환기구#19(보강거더및기둥)_처리장_유입부(최종)_화천봉오리_가곡계산서" xfId="7618" xr:uid="{00000000-0005-0000-0000-0000C01D0000}"/>
    <cellStyle name="_환기구#19(보강거더및기둥)_처리장_하수처리장" xfId="7619" xr:uid="{00000000-0005-0000-0000-0000C11D0000}"/>
    <cellStyle name="_환기구#19(보강거더및기둥)_처리장_하수처리장_가곡계산서" xfId="7620" xr:uid="{00000000-0005-0000-0000-0000C21D0000}"/>
    <cellStyle name="_환기구#19(보강거더및기둥)_처리장_하수처리장_오음리하수처리장" xfId="7621" xr:uid="{00000000-0005-0000-0000-0000C31D0000}"/>
    <cellStyle name="_환기구#19(보강거더및기둥)_처리장_하수처리장_오음리하수처리장_가곡계산서" xfId="7622" xr:uid="{00000000-0005-0000-0000-0000C41D0000}"/>
    <cellStyle name="_환기구#19(보강거더및기둥)_처리장_화천봉오리" xfId="7623" xr:uid="{00000000-0005-0000-0000-0000C51D0000}"/>
    <cellStyle name="_환기구#19(보강거더및기둥)_처리장_화천봉오리_가곡계산서" xfId="7624" xr:uid="{00000000-0005-0000-0000-0000C61D0000}"/>
    <cellStyle name="_환기구#19(보강거더및기둥)_하수처리장" xfId="7625" xr:uid="{00000000-0005-0000-0000-0000C71D0000}"/>
    <cellStyle name="_환기구#19(보강거더및기둥)_하수처리장_가곡계산서" xfId="7626" xr:uid="{00000000-0005-0000-0000-0000C81D0000}"/>
    <cellStyle name="_환기구#19(보강거더및기둥)_하수처리장_오음리하수처리장" xfId="7627" xr:uid="{00000000-0005-0000-0000-0000C91D0000}"/>
    <cellStyle name="_환기구#19(보강거더및기둥)_하수처리장_오음리하수처리장_가곡계산서" xfId="7628" xr:uid="{00000000-0005-0000-0000-0000CA1D0000}"/>
    <cellStyle name="_환기구#19(보강거더및기둥)_화천봉오리" xfId="7629" xr:uid="{00000000-0005-0000-0000-0000CB1D0000}"/>
    <cellStyle name="_환기구#19(보강거더및기둥)_화천봉오리_가곡계산서" xfId="7630" xr:uid="{00000000-0005-0000-0000-0000CC1D0000}"/>
    <cellStyle name="_황촌1리오지도로" xfId="7631" xr:uid="{00000000-0005-0000-0000-0000CD1D0000}"/>
    <cellStyle name="_횡배수관" xfId="7632" xr:uid="{00000000-0005-0000-0000-0000CE1D0000}"/>
    <cellStyle name="_횡배수관_금산제수량(전체최종)" xfId="7633" xr:uid="{00000000-0005-0000-0000-0000CF1D0000}"/>
    <cellStyle name="_횡배수관_금산제수량(전체최종)_토공(3지구)" xfId="7634" xr:uid="{00000000-0005-0000-0000-0000D01D0000}"/>
    <cellStyle name="_횡배수관_금산제수량(전체최종)_토공(3지구)_토공(4지구)" xfId="7635" xr:uid="{00000000-0005-0000-0000-0000D11D0000}"/>
    <cellStyle name="_횡배수관_금산제수량(전체최종)_토공(3지구)_토공(4지구)_토공(4지구)" xfId="7636" xr:uid="{00000000-0005-0000-0000-0000D21D0000}"/>
    <cellStyle name="_횡배수관_금산제수량(전체최종)_토공(4지구)" xfId="7637" xr:uid="{00000000-0005-0000-0000-0000D31D0000}"/>
    <cellStyle name="_횡배수관_금산제수량(전체최종)_토공(4지구)_토공(4지구)" xfId="7638" xr:uid="{00000000-0005-0000-0000-0000D41D0000}"/>
    <cellStyle name="_횡배수관_금산제수량(전체최종)_토공(4지구)_토공(4지구)_토공(3지구)" xfId="7639" xr:uid="{00000000-0005-0000-0000-0000D51D0000}"/>
    <cellStyle name="_횡배수관_금산제수량(전체최종)_토공(4지구)_토공(4지구)_토공(3지구)_토공(4지구)" xfId="7640" xr:uid="{00000000-0005-0000-0000-0000D61D0000}"/>
    <cellStyle name="_횡배수관_금산제수량(전체최종)_토공(4지구)_토공(4지구)_토공(3지구)_토공(4지구)_토공(4지구)" xfId="7641" xr:uid="{00000000-0005-0000-0000-0000D71D0000}"/>
    <cellStyle name="_횡배수관_금산제수량(전체최종)_토공(4지구)_토공(4지구)_토공(4지구)" xfId="7642" xr:uid="{00000000-0005-0000-0000-0000D81D0000}"/>
    <cellStyle name="_횡배수관_토공(3지구)" xfId="7643" xr:uid="{00000000-0005-0000-0000-0000D91D0000}"/>
    <cellStyle name="_횡배수관_토공(3지구)_토공(4지구)" xfId="7644" xr:uid="{00000000-0005-0000-0000-0000DA1D0000}"/>
    <cellStyle name="_횡배수관_토공(3지구)_토공(4지구)_토공(4지구)" xfId="7645" xr:uid="{00000000-0005-0000-0000-0000DB1D0000}"/>
    <cellStyle name="_횡배수관_토공(4지구)" xfId="7646" xr:uid="{00000000-0005-0000-0000-0000DC1D0000}"/>
    <cellStyle name="_횡배수관_토공(4지구)_토공(4지구)" xfId="7647" xr:uid="{00000000-0005-0000-0000-0000DD1D0000}"/>
    <cellStyle name="_횡배수관_토공(4지구)_토공(4지구)_토공(3지구)" xfId="7648" xr:uid="{00000000-0005-0000-0000-0000DE1D0000}"/>
    <cellStyle name="_횡배수관_토공(4지구)_토공(4지구)_토공(3지구)_토공(4지구)" xfId="7649" xr:uid="{00000000-0005-0000-0000-0000DF1D0000}"/>
    <cellStyle name="_횡배수관_토공(4지구)_토공(4지구)_토공(3지구)_토공(4지구)_토공(4지구)" xfId="7650" xr:uid="{00000000-0005-0000-0000-0000E01D0000}"/>
    <cellStyle name="_횡배수관_토공(4지구)_토공(4지구)_토공(4지구)" xfId="7651" xr:uid="{00000000-0005-0000-0000-0000E11D0000}"/>
    <cellStyle name="¡¾¨u￠￢ⓒ÷A¨u," xfId="7652" xr:uid="{00000000-0005-0000-0000-0000E21D0000}"/>
    <cellStyle name="´þ" xfId="7653" xr:uid="{00000000-0005-0000-0000-0000E31D0000}"/>
    <cellStyle name="´þ 2" xfId="7654" xr:uid="{00000000-0005-0000-0000-0000E41D0000}"/>
    <cellStyle name="´Þ·?" xfId="7655" xr:uid="{00000000-0005-0000-0000-0000E51D0000}"/>
    <cellStyle name="´þ·¯" xfId="7656" xr:uid="{00000000-0005-0000-0000-0000E61D0000}"/>
    <cellStyle name="’E‰Y [0.00]_laroux" xfId="7657" xr:uid="{00000000-0005-0000-0000-0000E71D0000}"/>
    <cellStyle name="’E‰Y_laroux" xfId="7658" xr:uid="{00000000-0005-0000-0000-0000E81D0000}"/>
    <cellStyle name="¤@?e_TEST-1 " xfId="7659" xr:uid="{00000000-0005-0000-0000-0000E91D0000}"/>
    <cellStyle name="+,-,0" xfId="7660" xr:uid="{00000000-0005-0000-0000-0000EA1D0000}"/>
    <cellStyle name="+,-,0 10" xfId="7661" xr:uid="{00000000-0005-0000-0000-0000EB1D0000}"/>
    <cellStyle name="+,-,0 11" xfId="7662" xr:uid="{00000000-0005-0000-0000-0000EC1D0000}"/>
    <cellStyle name="+,-,0 2" xfId="7663" xr:uid="{00000000-0005-0000-0000-0000ED1D0000}"/>
    <cellStyle name="+,-,0 3" xfId="7664" xr:uid="{00000000-0005-0000-0000-0000EE1D0000}"/>
    <cellStyle name="+,-,0 4" xfId="7665" xr:uid="{00000000-0005-0000-0000-0000EF1D0000}"/>
    <cellStyle name="+,-,0 5" xfId="7666" xr:uid="{00000000-0005-0000-0000-0000F01D0000}"/>
    <cellStyle name="+,-,0 6" xfId="7667" xr:uid="{00000000-0005-0000-0000-0000F11D0000}"/>
    <cellStyle name="+,-,0 7" xfId="7668" xr:uid="{00000000-0005-0000-0000-0000F21D0000}"/>
    <cellStyle name="+,-,0 8" xfId="7669" xr:uid="{00000000-0005-0000-0000-0000F31D0000}"/>
    <cellStyle name="+,-,0 9" xfId="7670" xr:uid="{00000000-0005-0000-0000-0000F41D0000}"/>
    <cellStyle name="=C:\WINDOWS\SYSTEM32\COMMAND.COM" xfId="7671" xr:uid="{00000000-0005-0000-0000-0000F51D0000}"/>
    <cellStyle name="△ []" xfId="7672" xr:uid="{00000000-0005-0000-0000-0000F61D0000}"/>
    <cellStyle name="△ [] 10" xfId="7673" xr:uid="{00000000-0005-0000-0000-0000F71D0000}"/>
    <cellStyle name="△ [] 11" xfId="7674" xr:uid="{00000000-0005-0000-0000-0000F81D0000}"/>
    <cellStyle name="△ [] 2" xfId="7675" xr:uid="{00000000-0005-0000-0000-0000F91D0000}"/>
    <cellStyle name="△ [] 3" xfId="7676" xr:uid="{00000000-0005-0000-0000-0000FA1D0000}"/>
    <cellStyle name="△ [] 4" xfId="7677" xr:uid="{00000000-0005-0000-0000-0000FB1D0000}"/>
    <cellStyle name="△ [] 5" xfId="7678" xr:uid="{00000000-0005-0000-0000-0000FC1D0000}"/>
    <cellStyle name="△ [] 6" xfId="7679" xr:uid="{00000000-0005-0000-0000-0000FD1D0000}"/>
    <cellStyle name="△ [] 7" xfId="7680" xr:uid="{00000000-0005-0000-0000-0000FE1D0000}"/>
    <cellStyle name="△ [] 8" xfId="7681" xr:uid="{00000000-0005-0000-0000-0000FF1D0000}"/>
    <cellStyle name="△ [] 9" xfId="7682" xr:uid="{00000000-0005-0000-0000-0000001E0000}"/>
    <cellStyle name="△ [0]" xfId="7683" xr:uid="{00000000-0005-0000-0000-0000011E0000}"/>
    <cellStyle name="△ [0] 10" xfId="7684" xr:uid="{00000000-0005-0000-0000-0000021E0000}"/>
    <cellStyle name="△ [0] 11" xfId="7685" xr:uid="{00000000-0005-0000-0000-0000031E0000}"/>
    <cellStyle name="△ [0] 2" xfId="7686" xr:uid="{00000000-0005-0000-0000-0000041E0000}"/>
    <cellStyle name="△ [0] 3" xfId="7687" xr:uid="{00000000-0005-0000-0000-0000051E0000}"/>
    <cellStyle name="△ [0] 4" xfId="7688" xr:uid="{00000000-0005-0000-0000-0000061E0000}"/>
    <cellStyle name="△ [0] 5" xfId="7689" xr:uid="{00000000-0005-0000-0000-0000071E0000}"/>
    <cellStyle name="△ [0] 6" xfId="7690" xr:uid="{00000000-0005-0000-0000-0000081E0000}"/>
    <cellStyle name="△ [0] 7" xfId="7691" xr:uid="{00000000-0005-0000-0000-0000091E0000}"/>
    <cellStyle name="△ [0] 8" xfId="7692" xr:uid="{00000000-0005-0000-0000-00000A1E0000}"/>
    <cellStyle name="△ [0] 9" xfId="7693" xr:uid="{00000000-0005-0000-0000-00000B1E0000}"/>
    <cellStyle name="△백분율" xfId="7694" xr:uid="{00000000-0005-0000-0000-00000C1E0000}"/>
    <cellStyle name="△콤마" xfId="7695" xr:uid="{00000000-0005-0000-0000-00000D1E0000}"/>
    <cellStyle name="°ia¤¼o " xfId="7696" xr:uid="{00000000-0005-0000-0000-00000E1E0000}"/>
    <cellStyle name="°iA¤¼O¼yA¡" xfId="7697" xr:uid="{00000000-0005-0000-0000-00000F1E0000}"/>
    <cellStyle name="°íá¤¼ò¼ýá¡" xfId="7698" xr:uid="{00000000-0005-0000-0000-0000101E0000}"/>
    <cellStyle name="°iA¤¼O¼yA¡ 2" xfId="7699" xr:uid="{00000000-0005-0000-0000-0000111E0000}"/>
    <cellStyle name="°iA¤¼O¼yA¡_조경내역" xfId="7700" xr:uid="{00000000-0005-0000-0000-0000121E0000}"/>
    <cellStyle name="°íÁ¤¼Ò¼ýÁ¡_지하시설물조사측량(R1)" xfId="7701" xr:uid="{00000000-0005-0000-0000-0000131E0000}"/>
    <cellStyle name="°ia¤aa " xfId="7702" xr:uid="{00000000-0005-0000-0000-0000141E0000}"/>
    <cellStyle name="°iA¤Aa·A1" xfId="7703" xr:uid="{00000000-0005-0000-0000-0000151E0000}"/>
    <cellStyle name="°íá¤ãâ·â1" xfId="7704" xr:uid="{00000000-0005-0000-0000-0000161E0000}"/>
    <cellStyle name="°iA¤Aa·A1_지하시설물조사측량(R1)" xfId="7705" xr:uid="{00000000-0005-0000-0000-0000171E0000}"/>
    <cellStyle name="°íÁ¤Ãâ·Â1_지하시설물조사측량(R1)" xfId="7706" xr:uid="{00000000-0005-0000-0000-0000181E0000}"/>
    <cellStyle name="°iA¤Aa·A1_지하시설물조사측량(R1)_발주내역서" xfId="7707" xr:uid="{00000000-0005-0000-0000-0000191E0000}"/>
    <cellStyle name="°íÁ¤Ãâ·Â1_지하시설물조사측량(R1)_발주내역서" xfId="7708" xr:uid="{00000000-0005-0000-0000-00001A1E0000}"/>
    <cellStyle name="°iA¤Aa·A1_지하시설물조사측량(R1)_발주내역서(8(1).9)-원본" xfId="7709" xr:uid="{00000000-0005-0000-0000-00001B1E0000}"/>
    <cellStyle name="°íÁ¤Ãâ·Â1_지하시설물조사측량(R1)_발주내역서(8(1).9)-원본" xfId="7710" xr:uid="{00000000-0005-0000-0000-00001C1E0000}"/>
    <cellStyle name="°iA¤Aa·A1_지하시설물조사측량(R1)_발주내역서-서울시발송수정" xfId="7711" xr:uid="{00000000-0005-0000-0000-00001D1E0000}"/>
    <cellStyle name="°íÁ¤Ãâ·Â1_지하시설물조사측량(R1)_발주내역서-서울시발송수정" xfId="7712" xr:uid="{00000000-0005-0000-0000-00001E1E0000}"/>
    <cellStyle name="°iA¤Aa·A1_지하시설물조사측량(R1)_설계내역서(2010(1).1.13)" xfId="7713" xr:uid="{00000000-0005-0000-0000-00001F1E0000}"/>
    <cellStyle name="°íÁ¤Ãâ·Â1_지하시설물조사측량(R1)_설계내역서(2010(1).1.13)" xfId="7714" xr:uid="{00000000-0005-0000-0000-0000201E0000}"/>
    <cellStyle name="°iA¤Aa·A1_지하시설물조사측량(R1)_총괄" xfId="7715" xr:uid="{00000000-0005-0000-0000-0000211E0000}"/>
    <cellStyle name="°íÁ¤Ãâ·Â1_지하시설물조사측량(R1)_총괄" xfId="7716" xr:uid="{00000000-0005-0000-0000-0000221E0000}"/>
    <cellStyle name="°iA¤Aa·A2" xfId="7717" xr:uid="{00000000-0005-0000-0000-0000231E0000}"/>
    <cellStyle name="°íá¤ãâ·â2" xfId="7718" xr:uid="{00000000-0005-0000-0000-0000241E0000}"/>
    <cellStyle name="°iA¤Aa·A2_지하시설물조사측량(R1)" xfId="7719" xr:uid="{00000000-0005-0000-0000-0000251E0000}"/>
    <cellStyle name="°íÁ¤Ãâ·Â2_지하시설물조사측량(R1)" xfId="7720" xr:uid="{00000000-0005-0000-0000-0000261E0000}"/>
    <cellStyle name="°iA¤Aa·A2_지하시설물조사측량(R1)_발주내역서" xfId="7721" xr:uid="{00000000-0005-0000-0000-0000271E0000}"/>
    <cellStyle name="°íÁ¤Ãâ·Â2_지하시설물조사측량(R1)_발주내역서" xfId="7722" xr:uid="{00000000-0005-0000-0000-0000281E0000}"/>
    <cellStyle name="°iA¤Aa·A2_지하시설물조사측량(R1)_발주내역서(8(1).9)-원본" xfId="7723" xr:uid="{00000000-0005-0000-0000-0000291E0000}"/>
    <cellStyle name="°íÁ¤Ãâ·Â2_지하시설물조사측량(R1)_발주내역서(8(1).9)-원본" xfId="7724" xr:uid="{00000000-0005-0000-0000-00002A1E0000}"/>
    <cellStyle name="°iA¤Aa·A2_지하시설물조사측량(R1)_발주내역서-서울시발송수정" xfId="7725" xr:uid="{00000000-0005-0000-0000-00002B1E0000}"/>
    <cellStyle name="°íÁ¤Ãâ·Â2_지하시설물조사측량(R1)_발주내역서-서울시발송수정" xfId="7726" xr:uid="{00000000-0005-0000-0000-00002C1E0000}"/>
    <cellStyle name="°iA¤Aa·A2_지하시설물조사측량(R1)_설계내역서(2010(1).1.13)" xfId="7727" xr:uid="{00000000-0005-0000-0000-00002D1E0000}"/>
    <cellStyle name="°íÁ¤Ãâ·Â2_지하시설물조사측량(R1)_설계내역서(2010(1).1.13)" xfId="7728" xr:uid="{00000000-0005-0000-0000-00002E1E0000}"/>
    <cellStyle name="°iA¤Aa·A2_지하시설물조사측량(R1)_총괄" xfId="7729" xr:uid="{00000000-0005-0000-0000-00002F1E0000}"/>
    <cellStyle name="°íÁ¤Ãâ·Â2_지하시설물조사측량(R1)_총괄" xfId="7730" xr:uid="{00000000-0005-0000-0000-0000301E0000}"/>
    <cellStyle name="0" xfId="7731" xr:uid="{00000000-0005-0000-0000-0000311E0000}"/>
    <cellStyle name="0 2" xfId="7732" xr:uid="{00000000-0005-0000-0000-0000321E0000}"/>
    <cellStyle name="0 2 2" xfId="7733" xr:uid="{00000000-0005-0000-0000-0000331E0000}"/>
    <cellStyle name="0 2 2 2" xfId="7734" xr:uid="{00000000-0005-0000-0000-0000341E0000}"/>
    <cellStyle name="0 2 3" xfId="7735" xr:uid="{00000000-0005-0000-0000-0000351E0000}"/>
    <cellStyle name="0 3" xfId="7736" xr:uid="{00000000-0005-0000-0000-0000361E0000}"/>
    <cellStyle name="0 3 2" xfId="7737" xr:uid="{00000000-0005-0000-0000-0000371E0000}"/>
    <cellStyle name="0 3 2 2" xfId="7738" xr:uid="{00000000-0005-0000-0000-0000381E0000}"/>
    <cellStyle name="0 3 3" xfId="7739" xr:uid="{00000000-0005-0000-0000-0000391E0000}"/>
    <cellStyle name="0 4" xfId="7740" xr:uid="{00000000-0005-0000-0000-00003A1E0000}"/>
    <cellStyle name="0 4 2" xfId="7741" xr:uid="{00000000-0005-0000-0000-00003B1E0000}"/>
    <cellStyle name="0 4 2 2" xfId="7742" xr:uid="{00000000-0005-0000-0000-00003C1E0000}"/>
    <cellStyle name="0 4 3" xfId="7743" xr:uid="{00000000-0005-0000-0000-00003D1E0000}"/>
    <cellStyle name="0 5" xfId="7744" xr:uid="{00000000-0005-0000-0000-00003E1E0000}"/>
    <cellStyle name="0,0_x000d__x000a_NA_x000d__x000a_" xfId="7745" xr:uid="{00000000-0005-0000-0000-00003F1E0000}"/>
    <cellStyle name="0,0_x000d__x000a_NA_x000d__x000a_ 2" xfId="7746" xr:uid="{00000000-0005-0000-0000-0000401E0000}"/>
    <cellStyle name="0,0_x000d__x000a_NA_x000d__x000a_ 2 2" xfId="7747" xr:uid="{00000000-0005-0000-0000-0000411E0000}"/>
    <cellStyle name="0,0_x000d__x000a_NA_x000d__x000a_ 2 2 2" xfId="7748" xr:uid="{00000000-0005-0000-0000-0000421E0000}"/>
    <cellStyle name="0,0_x000d__x000a_NA_x000d__x000a_ 2 3" xfId="7749" xr:uid="{00000000-0005-0000-0000-0000431E0000}"/>
    <cellStyle name="0,0_x000d__x000a_NA_x000d__x000a_ 3" xfId="7750" xr:uid="{00000000-0005-0000-0000-0000441E0000}"/>
    <cellStyle name="0,0_x000d__x000a_NA_x000d__x000a_ 3 2" xfId="7751" xr:uid="{00000000-0005-0000-0000-0000451E0000}"/>
    <cellStyle name="0,0_x000d__x000a_NA_x000d__x000a_ 3 2 2" xfId="7752" xr:uid="{00000000-0005-0000-0000-0000461E0000}"/>
    <cellStyle name="0,0_x000d__x000a_NA_x000d__x000a_ 3 3" xfId="7753" xr:uid="{00000000-0005-0000-0000-0000471E0000}"/>
    <cellStyle name="0,0_x000d__x000a_NA_x000d__x000a_ 4" xfId="7754" xr:uid="{00000000-0005-0000-0000-0000481E0000}"/>
    <cellStyle name="0,0_x000d__x000a_NA_x000d__x000a_ 4 2" xfId="7755" xr:uid="{00000000-0005-0000-0000-0000491E0000}"/>
    <cellStyle name="0,0_x000d__x000a_NA_x000d__x000a_ 4 2 2" xfId="7756" xr:uid="{00000000-0005-0000-0000-00004A1E0000}"/>
    <cellStyle name="0,0_x000d__x000a_NA_x000d__x000a_ 4 3" xfId="7757" xr:uid="{00000000-0005-0000-0000-00004B1E0000}"/>
    <cellStyle name="0,0_x000d__x000a_NA_x000d__x000a_ 5" xfId="7758" xr:uid="{00000000-0005-0000-0000-00004C1E0000}"/>
    <cellStyle name="0.0" xfId="7759" xr:uid="{00000000-0005-0000-0000-00004D1E0000}"/>
    <cellStyle name="0.0 2" xfId="7760" xr:uid="{00000000-0005-0000-0000-00004E1E0000}"/>
    <cellStyle name="0.0 2 2" xfId="7761" xr:uid="{00000000-0005-0000-0000-00004F1E0000}"/>
    <cellStyle name="0.0 2 2 2" xfId="7762" xr:uid="{00000000-0005-0000-0000-0000501E0000}"/>
    <cellStyle name="0.0 2 3" xfId="7763" xr:uid="{00000000-0005-0000-0000-0000511E0000}"/>
    <cellStyle name="0.0 3" xfId="7764" xr:uid="{00000000-0005-0000-0000-0000521E0000}"/>
    <cellStyle name="0.0 3 2" xfId="7765" xr:uid="{00000000-0005-0000-0000-0000531E0000}"/>
    <cellStyle name="0.0 3 2 2" xfId="7766" xr:uid="{00000000-0005-0000-0000-0000541E0000}"/>
    <cellStyle name="0.0 3 3" xfId="7767" xr:uid="{00000000-0005-0000-0000-0000551E0000}"/>
    <cellStyle name="0.0 4" xfId="7768" xr:uid="{00000000-0005-0000-0000-0000561E0000}"/>
    <cellStyle name="0.0 4 2" xfId="7769" xr:uid="{00000000-0005-0000-0000-0000571E0000}"/>
    <cellStyle name="0.0 4 2 2" xfId="7770" xr:uid="{00000000-0005-0000-0000-0000581E0000}"/>
    <cellStyle name="0.0 4 3" xfId="7771" xr:uid="{00000000-0005-0000-0000-0000591E0000}"/>
    <cellStyle name="0.0 5" xfId="7772" xr:uid="{00000000-0005-0000-0000-00005A1E0000}"/>
    <cellStyle name="0.00" xfId="7773" xr:uid="{00000000-0005-0000-0000-00005B1E0000}"/>
    <cellStyle name="0.00 2" xfId="7774" xr:uid="{00000000-0005-0000-0000-00005C1E0000}"/>
    <cellStyle name="0.00 2 2" xfId="7775" xr:uid="{00000000-0005-0000-0000-00005D1E0000}"/>
    <cellStyle name="0.00 2 2 2" xfId="7776" xr:uid="{00000000-0005-0000-0000-00005E1E0000}"/>
    <cellStyle name="0.00 2 3" xfId="7777" xr:uid="{00000000-0005-0000-0000-00005F1E0000}"/>
    <cellStyle name="0.00 3" xfId="7778" xr:uid="{00000000-0005-0000-0000-0000601E0000}"/>
    <cellStyle name="0.00 3 2" xfId="7779" xr:uid="{00000000-0005-0000-0000-0000611E0000}"/>
    <cellStyle name="0.00 3 2 2" xfId="7780" xr:uid="{00000000-0005-0000-0000-0000621E0000}"/>
    <cellStyle name="0.00 3 3" xfId="7781" xr:uid="{00000000-0005-0000-0000-0000631E0000}"/>
    <cellStyle name="0.00 4" xfId="7782" xr:uid="{00000000-0005-0000-0000-0000641E0000}"/>
    <cellStyle name="0.00 4 2" xfId="7783" xr:uid="{00000000-0005-0000-0000-0000651E0000}"/>
    <cellStyle name="0.00 4 2 2" xfId="7784" xr:uid="{00000000-0005-0000-0000-0000661E0000}"/>
    <cellStyle name="0.00 4 3" xfId="7785" xr:uid="{00000000-0005-0000-0000-0000671E0000}"/>
    <cellStyle name="0.00 5" xfId="7786" xr:uid="{00000000-0005-0000-0000-0000681E0000}"/>
    <cellStyle name="0]_laroux_1_PLDT" xfId="7787" xr:uid="{00000000-0005-0000-0000-0000691E0000}"/>
    <cellStyle name="00" xfId="7788" xr:uid="{00000000-0005-0000-0000-00006A1E0000}"/>
    <cellStyle name="00 10" xfId="7789" xr:uid="{00000000-0005-0000-0000-00006B1E0000}"/>
    <cellStyle name="00 11" xfId="7790" xr:uid="{00000000-0005-0000-0000-00006C1E0000}"/>
    <cellStyle name="00 12" xfId="7791" xr:uid="{00000000-0005-0000-0000-00006D1E0000}"/>
    <cellStyle name="00 13" xfId="7792" xr:uid="{00000000-0005-0000-0000-00006E1E0000}"/>
    <cellStyle name="00 2" xfId="7793" xr:uid="{00000000-0005-0000-0000-00006F1E0000}"/>
    <cellStyle name="00 3" xfId="7794" xr:uid="{00000000-0005-0000-0000-0000701E0000}"/>
    <cellStyle name="00 4" xfId="7795" xr:uid="{00000000-0005-0000-0000-0000711E0000}"/>
    <cellStyle name="00 5" xfId="7796" xr:uid="{00000000-0005-0000-0000-0000721E0000}"/>
    <cellStyle name="00 6" xfId="7797" xr:uid="{00000000-0005-0000-0000-0000731E0000}"/>
    <cellStyle name="00 7" xfId="7798" xr:uid="{00000000-0005-0000-0000-0000741E0000}"/>
    <cellStyle name="00 8" xfId="7799" xr:uid="{00000000-0005-0000-0000-0000751E0000}"/>
    <cellStyle name="00 9" xfId="7800" xr:uid="{00000000-0005-0000-0000-0000761E0000}"/>
    <cellStyle name="¼yAU(R)" xfId="7801" xr:uid="{00000000-0005-0000-0000-0000771E0000}"/>
    <cellStyle name="¾E°CE¸°e¹yAI" xfId="7802" xr:uid="{00000000-0005-0000-0000-0000781E0000}"/>
    <cellStyle name="¾È°ÇÈ¸°è¹ýÀÎ" xfId="7803" xr:uid="{00000000-0005-0000-0000-0000791E0000}"/>
    <cellStyle name="1" xfId="7804" xr:uid="{00000000-0005-0000-0000-00007A1E0000}"/>
    <cellStyle name="1 2" xfId="7805" xr:uid="{00000000-0005-0000-0000-00007B1E0000}"/>
    <cellStyle name="1 3" xfId="7806" xr:uid="{00000000-0005-0000-0000-00007C1E0000}"/>
    <cellStyle name="1_01. 토목 기계 (대안) 설계내역서" xfId="7807" xr:uid="{00000000-0005-0000-0000-00007D1E0000}"/>
    <cellStyle name="1_laroux" xfId="7808" xr:uid="{00000000-0005-0000-0000-00007E1E0000}"/>
    <cellStyle name="1_laroux_ATC-YOON1" xfId="7809" xr:uid="{00000000-0005-0000-0000-00007F1E0000}"/>
    <cellStyle name="1_total" xfId="7810" xr:uid="{00000000-0005-0000-0000-0000801E0000}"/>
    <cellStyle name="1_total_구로리총괄내역" xfId="7811" xr:uid="{00000000-0005-0000-0000-0000811E0000}"/>
    <cellStyle name="1_total_구로리총괄내역_배밭계약내역" xfId="7812" xr:uid="{00000000-0005-0000-0000-0000821E0000}"/>
    <cellStyle name="1_total_구로리총괄내역_설계내역서" xfId="7813" xr:uid="{00000000-0005-0000-0000-0000831E0000}"/>
    <cellStyle name="1_total_배밭계약내역" xfId="7814" xr:uid="{00000000-0005-0000-0000-0000841E0000}"/>
    <cellStyle name="1_total_설계내역서" xfId="7815" xr:uid="{00000000-0005-0000-0000-0000851E0000}"/>
    <cellStyle name="1_total_총괄내역0518" xfId="7816" xr:uid="{00000000-0005-0000-0000-0000861E0000}"/>
    <cellStyle name="1_total_총괄내역0518_배밭계약내역" xfId="7817" xr:uid="{00000000-0005-0000-0000-0000871E0000}"/>
    <cellStyle name="1_total_총괄내역0518_설계내역서" xfId="7818" xr:uid="{00000000-0005-0000-0000-0000881E0000}"/>
    <cellStyle name="1_tree" xfId="7819" xr:uid="{00000000-0005-0000-0000-0000891E0000}"/>
    <cellStyle name="1_tree_구로리총괄내역" xfId="7820" xr:uid="{00000000-0005-0000-0000-00008A1E0000}"/>
    <cellStyle name="1_tree_구로리총괄내역_배밭계약내역" xfId="7821" xr:uid="{00000000-0005-0000-0000-00008B1E0000}"/>
    <cellStyle name="1_tree_구로리총괄내역_설계내역서" xfId="7822" xr:uid="{00000000-0005-0000-0000-00008C1E0000}"/>
    <cellStyle name="1_tree_배밭계약내역" xfId="7823" xr:uid="{00000000-0005-0000-0000-00008D1E0000}"/>
    <cellStyle name="1_tree_설계내역서" xfId="7824" xr:uid="{00000000-0005-0000-0000-00008E1E0000}"/>
    <cellStyle name="1_tree_수량산출" xfId="7825" xr:uid="{00000000-0005-0000-0000-00008F1E0000}"/>
    <cellStyle name="1_tree_수량산출_구로리총괄내역" xfId="7826" xr:uid="{00000000-0005-0000-0000-0000901E0000}"/>
    <cellStyle name="1_tree_수량산출_구로리총괄내역_배밭계약내역" xfId="7827" xr:uid="{00000000-0005-0000-0000-0000911E0000}"/>
    <cellStyle name="1_tree_수량산출_구로리총괄내역_설계내역서" xfId="7828" xr:uid="{00000000-0005-0000-0000-0000921E0000}"/>
    <cellStyle name="1_tree_수량산출_배밭계약내역" xfId="7829" xr:uid="{00000000-0005-0000-0000-0000931E0000}"/>
    <cellStyle name="1_tree_수량산출_설계내역서" xfId="7830" xr:uid="{00000000-0005-0000-0000-0000941E0000}"/>
    <cellStyle name="1_tree_수량산출_총괄내역0518" xfId="7831" xr:uid="{00000000-0005-0000-0000-0000951E0000}"/>
    <cellStyle name="1_tree_수량산출_총괄내역0518_배밭계약내역" xfId="7832" xr:uid="{00000000-0005-0000-0000-0000961E0000}"/>
    <cellStyle name="1_tree_수량산출_총괄내역0518_설계내역서" xfId="7833" xr:uid="{00000000-0005-0000-0000-0000971E0000}"/>
    <cellStyle name="1_tree_총괄내역0518" xfId="7834" xr:uid="{00000000-0005-0000-0000-0000981E0000}"/>
    <cellStyle name="1_tree_총괄내역0518_배밭계약내역" xfId="7835" xr:uid="{00000000-0005-0000-0000-0000991E0000}"/>
    <cellStyle name="1_tree_총괄내역0518_설계내역서" xfId="7836" xr:uid="{00000000-0005-0000-0000-00009A1E0000}"/>
    <cellStyle name="1_강릉대학술정보지원센터총괄(월드2낙찰)" xfId="7837" xr:uid="{00000000-0005-0000-0000-00009B1E0000}"/>
    <cellStyle name="1_금강Ⅱ지구김제2-2공구토목공사(동도)" xfId="7838" xr:uid="{00000000-0005-0000-0000-00009C1E0000}"/>
    <cellStyle name="1_단가조사표" xfId="7839" xr:uid="{00000000-0005-0000-0000-00009D1E0000}"/>
    <cellStyle name="1_단가조사표_1011소각" xfId="7840" xr:uid="{00000000-0005-0000-0000-00009E1E0000}"/>
    <cellStyle name="1_단가조사표_1113교~1" xfId="7841" xr:uid="{00000000-0005-0000-0000-00009F1E0000}"/>
    <cellStyle name="1_단가조사표_121내역" xfId="7842" xr:uid="{00000000-0005-0000-0000-0000A01E0000}"/>
    <cellStyle name="1_단가조사표_객토량" xfId="7843" xr:uid="{00000000-0005-0000-0000-0000A11E0000}"/>
    <cellStyle name="1_단가조사표_교통센~1" xfId="7844" xr:uid="{00000000-0005-0000-0000-0000A21E0000}"/>
    <cellStyle name="1_단가조사표_교통센터412" xfId="7845" xr:uid="{00000000-0005-0000-0000-0000A31E0000}"/>
    <cellStyle name="1_단가조사표_교통수" xfId="7846" xr:uid="{00000000-0005-0000-0000-0000A41E0000}"/>
    <cellStyle name="1_단가조사표_교통수량산출서" xfId="7847" xr:uid="{00000000-0005-0000-0000-0000A51E0000}"/>
    <cellStyle name="1_단가조사표_구조물대가 (2)" xfId="7848" xr:uid="{00000000-0005-0000-0000-0000A61E0000}"/>
    <cellStyle name="1_단가조사표_내역서 (2)" xfId="7849" xr:uid="{00000000-0005-0000-0000-0000A71E0000}"/>
    <cellStyle name="1_단가조사표_대전관저지구" xfId="7850" xr:uid="{00000000-0005-0000-0000-0000A81E0000}"/>
    <cellStyle name="1_단가조사표_동측지~1" xfId="7851" xr:uid="{00000000-0005-0000-0000-0000A91E0000}"/>
    <cellStyle name="1_단가조사표_동측지원422" xfId="7852" xr:uid="{00000000-0005-0000-0000-0000AA1E0000}"/>
    <cellStyle name="1_단가조사표_동측지원512" xfId="7853" xr:uid="{00000000-0005-0000-0000-0000AB1E0000}"/>
    <cellStyle name="1_단가조사표_동측지원524" xfId="7854" xr:uid="{00000000-0005-0000-0000-0000AC1E0000}"/>
    <cellStyle name="1_단가조사표_부대422" xfId="7855" xr:uid="{00000000-0005-0000-0000-0000AD1E0000}"/>
    <cellStyle name="1_단가조사표_부대시설" xfId="7856" xr:uid="{00000000-0005-0000-0000-0000AE1E0000}"/>
    <cellStyle name="1_단가조사표_소각수~1" xfId="7857" xr:uid="{00000000-0005-0000-0000-0000AF1E0000}"/>
    <cellStyle name="1_단가조사표_소각수내역서" xfId="7858" xr:uid="{00000000-0005-0000-0000-0000B01E0000}"/>
    <cellStyle name="1_단가조사표_소각수목2" xfId="7859" xr:uid="{00000000-0005-0000-0000-0000B11E0000}"/>
    <cellStyle name="1_단가조사표_수량산출서 (2)" xfId="7860" xr:uid="{00000000-0005-0000-0000-0000B21E0000}"/>
    <cellStyle name="1_단가조사표_엑스포~1" xfId="7861" xr:uid="{00000000-0005-0000-0000-0000B31E0000}"/>
    <cellStyle name="1_단가조사표_엑스포한빛1" xfId="7862" xr:uid="{00000000-0005-0000-0000-0000B41E0000}"/>
    <cellStyle name="1_단가조사표_여객터미널331" xfId="7863" xr:uid="{00000000-0005-0000-0000-0000B51E0000}"/>
    <cellStyle name="1_단가조사표_여객터미널513" xfId="7864" xr:uid="{00000000-0005-0000-0000-0000B61E0000}"/>
    <cellStyle name="1_단가조사표_여객터미널629" xfId="7865" xr:uid="{00000000-0005-0000-0000-0000B71E0000}"/>
    <cellStyle name="1_단가조사표_외곽도로616" xfId="7866" xr:uid="{00000000-0005-0000-0000-0000B81E0000}"/>
    <cellStyle name="1_단가조사표_원가계~1" xfId="7867" xr:uid="{00000000-0005-0000-0000-0000B91E0000}"/>
    <cellStyle name="1_단가조사표_유기질" xfId="7868" xr:uid="{00000000-0005-0000-0000-0000BA1E0000}"/>
    <cellStyle name="1_단가조사표_자재조서 (2)" xfId="7869" xr:uid="{00000000-0005-0000-0000-0000BB1E0000}"/>
    <cellStyle name="1_단가조사표_총괄내역" xfId="7870" xr:uid="{00000000-0005-0000-0000-0000BC1E0000}"/>
    <cellStyle name="1_단가조사표_총괄내역 (2)" xfId="7871" xr:uid="{00000000-0005-0000-0000-0000BD1E0000}"/>
    <cellStyle name="1_단가조사표_터미널도로403" xfId="7872" xr:uid="{00000000-0005-0000-0000-0000BE1E0000}"/>
    <cellStyle name="1_단가조사표_터미널도로429" xfId="7873" xr:uid="{00000000-0005-0000-0000-0000BF1E0000}"/>
    <cellStyle name="1_단가조사표_포장일위" xfId="7874" xr:uid="{00000000-0005-0000-0000-0000C01E0000}"/>
    <cellStyle name="1_당동(청강)" xfId="7875" xr:uid="{00000000-0005-0000-0000-0000C11E0000}"/>
    <cellStyle name="1_대전서붕고하도급" xfId="7876" xr:uid="{00000000-0005-0000-0000-0000C21E0000}"/>
    <cellStyle name="1_등촌고등총괄(동현하도급)" xfId="7877" xr:uid="{00000000-0005-0000-0000-0000C31E0000}"/>
    <cellStyle name="1_마현~생창국도건설공사" xfId="7878" xr:uid="{00000000-0005-0000-0000-0000C41E0000}"/>
    <cellStyle name="1_명암지-산성간" xfId="7879" xr:uid="{00000000-0005-0000-0000-0000C51E0000}"/>
    <cellStyle name="1_봉곡중총괄(대지완결)" xfId="7880" xr:uid="{00000000-0005-0000-0000-0000C61E0000}"/>
    <cellStyle name="1_부대입찰확약서" xfId="7881" xr:uid="{00000000-0005-0000-0000-0000C71E0000}"/>
    <cellStyle name="1_새들초등학교(동성)" xfId="7882" xr:uid="{00000000-0005-0000-0000-0000C81E0000}"/>
    <cellStyle name="1_서울화일초(덕동)" xfId="7883" xr:uid="{00000000-0005-0000-0000-0000C91E0000}"/>
    <cellStyle name="1_송정리역사(토목완료林)" xfId="7884" xr:uid="{00000000-0005-0000-0000-0000CA1E0000}"/>
    <cellStyle name="1_수정갑지" xfId="7885" xr:uid="{00000000-0005-0000-0000-0000CB1E0000}"/>
    <cellStyle name="1_시민계략공사" xfId="7886" xr:uid="{00000000-0005-0000-0000-0000CC1E0000}"/>
    <cellStyle name="1_시민계략공사_전기공내역서" xfId="7887" xr:uid="{00000000-0005-0000-0000-0000CD1E0000}"/>
    <cellStyle name="1_시민계략공사_전기공내역서_(현풍)실시설계내역서(대구광역시)" xfId="7888" xr:uid="{00000000-0005-0000-0000-0000CE1E0000}"/>
    <cellStyle name="1_시민계략공사_전기공내역서_(현풍)실시설계내역서(대구광역시)_발주내역서(안양박달)" xfId="7889" xr:uid="{00000000-0005-0000-0000-0000CF1E0000}"/>
    <cellStyle name="1_시민계략공사_전기공내역서_(현풍)실시설계내역서(대구광역시)_사본 - 설계내역서(대구하수) REV3(1188)-견학8박10일로" xfId="7890" xr:uid="{00000000-0005-0000-0000-0000D01E0000}"/>
    <cellStyle name="1_시민계략공사_전기공내역서_(현풍)실시설계내역서(대구광역시)_설계내역서(대구수질)" xfId="7891" xr:uid="{00000000-0005-0000-0000-0000D11E0000}"/>
    <cellStyle name="1_시민계략공사_전기공내역서_(현풍)실시설계내역서(대구광역시)_설계내역서(대구수질) ver10-최(선진해외)" xfId="7892" xr:uid="{00000000-0005-0000-0000-0000D21E0000}"/>
    <cellStyle name="1_시민계략공사_전기공내역서_(현풍)실시설계내역서(대구광역시)_성서공단 설계내역서(0402)" xfId="7893" xr:uid="{00000000-0005-0000-0000-0000D31E0000}"/>
    <cellStyle name="1_시민계략공사_전기공내역서_(현풍)실시설계내역서(대구광역시)_용암입찰안내서(보정계수포함)" xfId="7894" xr:uid="{00000000-0005-0000-0000-0000D41E0000}"/>
    <cellStyle name="1_시민계략공사_전기공내역서_(현풍)실시설계내역서(대구광역시)_총인처리시설 설계내역서(심사)" xfId="7895" xr:uid="{00000000-0005-0000-0000-0000D51E0000}"/>
    <cellStyle name="1_시민계략공사_전기공내역서_발주내역서(안양박달)" xfId="7896" xr:uid="{00000000-0005-0000-0000-0000D61E0000}"/>
    <cellStyle name="1_시민계략공사_전기공내역서_사본 - 설계내역서(대구하수) REV3(1188)-견학8박10일로" xfId="7897" xr:uid="{00000000-0005-0000-0000-0000D71E0000}"/>
    <cellStyle name="1_시민계략공사_전기공내역서_설계내역서(대구수질)" xfId="7898" xr:uid="{00000000-0005-0000-0000-0000D81E0000}"/>
    <cellStyle name="1_시민계략공사_전기공내역서_설계내역서(대구수질) ver10-최(선진해외)" xfId="7899" xr:uid="{00000000-0005-0000-0000-0000D91E0000}"/>
    <cellStyle name="1_시민계략공사_전기공내역서_성서공단 설계내역서(0402)" xfId="7900" xr:uid="{00000000-0005-0000-0000-0000DA1E0000}"/>
    <cellStyle name="1_시민계략공사_전기공내역서_용암입찰안내서(보정계수포함)" xfId="7901" xr:uid="{00000000-0005-0000-0000-0000DB1E0000}"/>
    <cellStyle name="1_시민계략공사_전기공내역서_총인처리시설 설계내역서(심사)" xfId="7902" xr:uid="{00000000-0005-0000-0000-0000DC1E0000}"/>
    <cellStyle name="1_시민계략공사_전기-한남" xfId="7903" xr:uid="{00000000-0005-0000-0000-0000DD1E0000}"/>
    <cellStyle name="1_인천북항관공선부두(수정내역)" xfId="7904" xr:uid="{00000000-0005-0000-0000-0000DE1E0000}"/>
    <cellStyle name="1_장산중학교내역(혁성)" xfId="7905" xr:uid="{00000000-0005-0000-0000-0000DF1E0000}"/>
    <cellStyle name="1_장산중학교내역(혁성업체)" xfId="7906" xr:uid="{00000000-0005-0000-0000-0000E01E0000}"/>
    <cellStyle name="1_장산중학교내역하도급(혁성)" xfId="7907" xr:uid="{00000000-0005-0000-0000-0000E11E0000}"/>
    <cellStyle name="1_전주시관내(이서~용정)건설공사(신화)" xfId="7908" xr:uid="{00000000-0005-0000-0000-0000E21E0000}"/>
    <cellStyle name="1_천천고고등학교교사신축공사(산출내역집계표)" xfId="7909" xr:uid="{00000000-0005-0000-0000-0000E31E0000}"/>
    <cellStyle name="1_포항교도소(대동)" xfId="7910" xr:uid="{00000000-0005-0000-0000-0000E41E0000}"/>
    <cellStyle name="1_포항교도소(원본)" xfId="7911" xr:uid="{00000000-0005-0000-0000-0000E51E0000}"/>
    <cellStyle name="1_하도급양식" xfId="7912" xr:uid="{00000000-0005-0000-0000-0000E61E0000}"/>
    <cellStyle name="11" xfId="7913" xr:uid="{00000000-0005-0000-0000-0000E71E0000}"/>
    <cellStyle name="111" xfId="7914" xr:uid="{00000000-0005-0000-0000-0000E81E0000}"/>
    <cellStyle name="19990216" xfId="7915" xr:uid="{00000000-0005-0000-0000-0000E91E0000}"/>
    <cellStyle name="¹eº" xfId="7916" xr:uid="{00000000-0005-0000-0000-0000EA1E0000}"/>
    <cellStyle name="¹éº" xfId="7917" xr:uid="{00000000-0005-0000-0000-0000EB1E0000}"/>
    <cellStyle name="1월" xfId="7918" xr:uid="{00000000-0005-0000-0000-0000EC1E0000}"/>
    <cellStyle name="2" xfId="7919" xr:uid="{00000000-0005-0000-0000-0000ED1E0000}"/>
    <cellStyle name="2)" xfId="7920" xr:uid="{00000000-0005-0000-0000-0000EE1E0000}"/>
    <cellStyle name="2_laroux" xfId="7921" xr:uid="{00000000-0005-0000-0000-0000EF1E0000}"/>
    <cellStyle name="2_laroux_ATC-YOON1" xfId="7922" xr:uid="{00000000-0005-0000-0000-0000F01E0000}"/>
    <cellStyle name="2_단가조사표" xfId="7923" xr:uid="{00000000-0005-0000-0000-0000F11E0000}"/>
    <cellStyle name="2_단가조사표_1011소각" xfId="7924" xr:uid="{00000000-0005-0000-0000-0000F21E0000}"/>
    <cellStyle name="2_단가조사표_1113교~1" xfId="7925" xr:uid="{00000000-0005-0000-0000-0000F31E0000}"/>
    <cellStyle name="2_단가조사표_121내역" xfId="7926" xr:uid="{00000000-0005-0000-0000-0000F41E0000}"/>
    <cellStyle name="2_단가조사표_객토량" xfId="7927" xr:uid="{00000000-0005-0000-0000-0000F51E0000}"/>
    <cellStyle name="2_단가조사표_교통센~1" xfId="7928" xr:uid="{00000000-0005-0000-0000-0000F61E0000}"/>
    <cellStyle name="2_단가조사표_교통센터412" xfId="7929" xr:uid="{00000000-0005-0000-0000-0000F71E0000}"/>
    <cellStyle name="2_단가조사표_교통수" xfId="7930" xr:uid="{00000000-0005-0000-0000-0000F81E0000}"/>
    <cellStyle name="2_단가조사표_교통수량산출서" xfId="7931" xr:uid="{00000000-0005-0000-0000-0000F91E0000}"/>
    <cellStyle name="2_단가조사표_구조물대가 (2)" xfId="7932" xr:uid="{00000000-0005-0000-0000-0000FA1E0000}"/>
    <cellStyle name="2_단가조사표_내역서 (2)" xfId="7933" xr:uid="{00000000-0005-0000-0000-0000FB1E0000}"/>
    <cellStyle name="2_단가조사표_대전관저지구" xfId="7934" xr:uid="{00000000-0005-0000-0000-0000FC1E0000}"/>
    <cellStyle name="2_단가조사표_동측지~1" xfId="7935" xr:uid="{00000000-0005-0000-0000-0000FD1E0000}"/>
    <cellStyle name="2_단가조사표_동측지원422" xfId="7936" xr:uid="{00000000-0005-0000-0000-0000FE1E0000}"/>
    <cellStyle name="2_단가조사표_동측지원512" xfId="7937" xr:uid="{00000000-0005-0000-0000-0000FF1E0000}"/>
    <cellStyle name="2_단가조사표_동측지원524" xfId="7938" xr:uid="{00000000-0005-0000-0000-0000001F0000}"/>
    <cellStyle name="2_단가조사표_부대422" xfId="7939" xr:uid="{00000000-0005-0000-0000-0000011F0000}"/>
    <cellStyle name="2_단가조사표_부대시설" xfId="7940" xr:uid="{00000000-0005-0000-0000-0000021F0000}"/>
    <cellStyle name="2_단가조사표_소각수~1" xfId="7941" xr:uid="{00000000-0005-0000-0000-0000031F0000}"/>
    <cellStyle name="2_단가조사표_소각수내역서" xfId="7942" xr:uid="{00000000-0005-0000-0000-0000041F0000}"/>
    <cellStyle name="2_단가조사표_소각수목2" xfId="7943" xr:uid="{00000000-0005-0000-0000-0000051F0000}"/>
    <cellStyle name="2_단가조사표_수량산출서 (2)" xfId="7944" xr:uid="{00000000-0005-0000-0000-0000061F0000}"/>
    <cellStyle name="2_단가조사표_엑스포~1" xfId="7945" xr:uid="{00000000-0005-0000-0000-0000071F0000}"/>
    <cellStyle name="2_단가조사표_엑스포한빛1" xfId="7946" xr:uid="{00000000-0005-0000-0000-0000081F0000}"/>
    <cellStyle name="2_단가조사표_여객터미널331" xfId="7947" xr:uid="{00000000-0005-0000-0000-0000091F0000}"/>
    <cellStyle name="2_단가조사표_여객터미널513" xfId="7948" xr:uid="{00000000-0005-0000-0000-00000A1F0000}"/>
    <cellStyle name="2_단가조사표_여객터미널629" xfId="7949" xr:uid="{00000000-0005-0000-0000-00000B1F0000}"/>
    <cellStyle name="2_단가조사표_외곽도로616" xfId="7950" xr:uid="{00000000-0005-0000-0000-00000C1F0000}"/>
    <cellStyle name="2_단가조사표_원가계~1" xfId="7951" xr:uid="{00000000-0005-0000-0000-00000D1F0000}"/>
    <cellStyle name="2_단가조사표_유기질" xfId="7952" xr:uid="{00000000-0005-0000-0000-00000E1F0000}"/>
    <cellStyle name="2_단가조사표_자재조서 (2)" xfId="7953" xr:uid="{00000000-0005-0000-0000-00000F1F0000}"/>
    <cellStyle name="2_단가조사표_총괄내역" xfId="7954" xr:uid="{00000000-0005-0000-0000-0000101F0000}"/>
    <cellStyle name="2_단가조사표_총괄내역 (2)" xfId="7955" xr:uid="{00000000-0005-0000-0000-0000111F0000}"/>
    <cellStyle name="2_단가조사표_터미널도로403" xfId="7956" xr:uid="{00000000-0005-0000-0000-0000121F0000}"/>
    <cellStyle name="2_단가조사표_터미널도로429" xfId="7957" xr:uid="{00000000-0005-0000-0000-0000131F0000}"/>
    <cellStyle name="2_단가조사표_포장일위" xfId="7958" xr:uid="{00000000-0005-0000-0000-0000141F0000}"/>
    <cellStyle name="20% - Accent1" xfId="7959" xr:uid="{00000000-0005-0000-0000-0000151F0000}"/>
    <cellStyle name="20% - Accent2" xfId="7960" xr:uid="{00000000-0005-0000-0000-0000161F0000}"/>
    <cellStyle name="20% - Accent3" xfId="7961" xr:uid="{00000000-0005-0000-0000-0000171F0000}"/>
    <cellStyle name="20% - Accent4" xfId="7962" xr:uid="{00000000-0005-0000-0000-0000181F0000}"/>
    <cellStyle name="20% - Accent5" xfId="7963" xr:uid="{00000000-0005-0000-0000-0000191F0000}"/>
    <cellStyle name="20% - Accent6" xfId="7964" xr:uid="{00000000-0005-0000-0000-00001A1F0000}"/>
    <cellStyle name="20% - 강조색1 2" xfId="7965" xr:uid="{00000000-0005-0000-0000-00001B1F0000}"/>
    <cellStyle name="20% - 강조색2 2" xfId="7966" xr:uid="{00000000-0005-0000-0000-00001C1F0000}"/>
    <cellStyle name="20% - 강조색3 2" xfId="7967" xr:uid="{00000000-0005-0000-0000-00001D1F0000}"/>
    <cellStyle name="20% - 강조색4 10" xfId="7968" xr:uid="{00000000-0005-0000-0000-00001E1F0000}"/>
    <cellStyle name="20% - 강조색4 2" xfId="7969" xr:uid="{00000000-0005-0000-0000-00001F1F0000}"/>
    <cellStyle name="20% - 강조색4 4" xfId="7970" xr:uid="{00000000-0005-0000-0000-0000201F0000}"/>
    <cellStyle name="20% - 강조색5 2" xfId="7971" xr:uid="{00000000-0005-0000-0000-0000211F0000}"/>
    <cellStyle name="20% - 강조색6 2" xfId="7972" xr:uid="{00000000-0005-0000-0000-0000221F0000}"/>
    <cellStyle name="2자리" xfId="7973" xr:uid="{00000000-0005-0000-0000-0000231F0000}"/>
    <cellStyle name="³?a" xfId="7974" xr:uid="{00000000-0005-0000-0000-0000241F0000}"/>
    <cellStyle name="³?a 2" xfId="7975" xr:uid="{00000000-0005-0000-0000-0000251F0000}"/>
    <cellStyle name="³?A￥" xfId="7976" xr:uid="{00000000-0005-0000-0000-0000261F0000}"/>
    <cellStyle name="³¯â¥" xfId="7977" xr:uid="{00000000-0005-0000-0000-0000271F0000}"/>
    <cellStyle name="၃urrency_OTD thru NOR " xfId="7978" xr:uid="{00000000-0005-0000-0000-0000281F0000}"/>
    <cellStyle name="40% - Accent1" xfId="7979" xr:uid="{00000000-0005-0000-0000-0000291F0000}"/>
    <cellStyle name="40% - Accent2" xfId="7980" xr:uid="{00000000-0005-0000-0000-00002A1F0000}"/>
    <cellStyle name="40% - Accent3" xfId="7981" xr:uid="{00000000-0005-0000-0000-00002B1F0000}"/>
    <cellStyle name="40% - Accent4" xfId="7982" xr:uid="{00000000-0005-0000-0000-00002C1F0000}"/>
    <cellStyle name="40% - Accent5" xfId="7983" xr:uid="{00000000-0005-0000-0000-00002D1F0000}"/>
    <cellStyle name="40% - Accent6" xfId="7984" xr:uid="{00000000-0005-0000-0000-00002E1F0000}"/>
    <cellStyle name="40% - 강조색1 10" xfId="7985" xr:uid="{00000000-0005-0000-0000-00002F1F0000}"/>
    <cellStyle name="40% - 강조색1 2" xfId="7986" xr:uid="{00000000-0005-0000-0000-0000301F0000}"/>
    <cellStyle name="40% - 강조색1 4" xfId="7987" xr:uid="{00000000-0005-0000-0000-0000311F0000}"/>
    <cellStyle name="40% - 강조색2 2" xfId="7988" xr:uid="{00000000-0005-0000-0000-0000321F0000}"/>
    <cellStyle name="40% - 강조색3 2" xfId="7989" xr:uid="{00000000-0005-0000-0000-0000331F0000}"/>
    <cellStyle name="40% - 강조색4 2" xfId="7990" xr:uid="{00000000-0005-0000-0000-0000341F0000}"/>
    <cellStyle name="40% - 강조색5 2" xfId="7991" xr:uid="{00000000-0005-0000-0000-0000351F0000}"/>
    <cellStyle name="40% - 강조색6 10" xfId="7992" xr:uid="{00000000-0005-0000-0000-0000361F0000}"/>
    <cellStyle name="40% - 강조색6 2" xfId="7993" xr:uid="{00000000-0005-0000-0000-0000371F0000}"/>
    <cellStyle name="40% - 강조색6 4" xfId="7994" xr:uid="{00000000-0005-0000-0000-0000381F0000}"/>
    <cellStyle name="60" xfId="7995" xr:uid="{00000000-0005-0000-0000-0000391F0000}"/>
    <cellStyle name="60% - Accent1" xfId="7996" xr:uid="{00000000-0005-0000-0000-00003A1F0000}"/>
    <cellStyle name="60% - Accent2" xfId="7997" xr:uid="{00000000-0005-0000-0000-00003B1F0000}"/>
    <cellStyle name="60% - Accent3" xfId="7998" xr:uid="{00000000-0005-0000-0000-00003C1F0000}"/>
    <cellStyle name="60% - Accent4" xfId="7999" xr:uid="{00000000-0005-0000-0000-00003D1F0000}"/>
    <cellStyle name="60% - Accent5" xfId="8000" xr:uid="{00000000-0005-0000-0000-00003E1F0000}"/>
    <cellStyle name="60% - Accent6" xfId="8001" xr:uid="{00000000-0005-0000-0000-00003F1F0000}"/>
    <cellStyle name="60% - 강조색1 10" xfId="8002" xr:uid="{00000000-0005-0000-0000-0000401F0000}"/>
    <cellStyle name="60% - 강조색1 2" xfId="8003" xr:uid="{00000000-0005-0000-0000-0000411F0000}"/>
    <cellStyle name="60% - 강조색1 4" xfId="8004" xr:uid="{00000000-0005-0000-0000-0000421F0000}"/>
    <cellStyle name="60% - 강조색2 2" xfId="8005" xr:uid="{00000000-0005-0000-0000-0000431F0000}"/>
    <cellStyle name="60% - 강조색3 2" xfId="8006" xr:uid="{00000000-0005-0000-0000-0000441F0000}"/>
    <cellStyle name="60% - 강조색4 2" xfId="8007" xr:uid="{00000000-0005-0000-0000-0000451F0000}"/>
    <cellStyle name="60% - 강조색5 2" xfId="8008" xr:uid="{00000000-0005-0000-0000-0000461F0000}"/>
    <cellStyle name="60% - 강조색6 2" xfId="8009" xr:uid="{00000000-0005-0000-0000-0000471F0000}"/>
    <cellStyle name="_x0014_7." xfId="8010" xr:uid="{00000000-0005-0000-0000-0000481F0000}"/>
    <cellStyle name="a [0]_mud plant bolted" xfId="8011" xr:uid="{00000000-0005-0000-0000-0000491F0000}"/>
    <cellStyle name="Ā _x0010_က랐_xdc01_땯_x0001_" xfId="8012" xr:uid="{00000000-0005-0000-0000-00004A1F0000}"/>
    <cellStyle name="A¨­￠￢￠O [0]_AO¨uRCN¡¾U " xfId="8013" xr:uid="{00000000-0005-0000-0000-00004B1F0000}"/>
    <cellStyle name="A¨­￠￢￠O_AO¨uRCN¡¾U " xfId="8014" xr:uid="{00000000-0005-0000-0000-00004C1F0000}"/>
    <cellStyle name="A1" xfId="8015" xr:uid="{00000000-0005-0000-0000-00004D1F0000}"/>
    <cellStyle name="AA" xfId="8016" xr:uid="{00000000-0005-0000-0000-00004E1F0000}"/>
    <cellStyle name="Accent1" xfId="8017" xr:uid="{00000000-0005-0000-0000-00004F1F0000}"/>
    <cellStyle name="Accent1 - 20%" xfId="8018" xr:uid="{00000000-0005-0000-0000-0000501F0000}"/>
    <cellStyle name="Accent1 - 40%" xfId="8019" xr:uid="{00000000-0005-0000-0000-0000511F0000}"/>
    <cellStyle name="Accent1 - 60%" xfId="8020" xr:uid="{00000000-0005-0000-0000-0000521F0000}"/>
    <cellStyle name="Accent2" xfId="8021" xr:uid="{00000000-0005-0000-0000-0000531F0000}"/>
    <cellStyle name="Accent2 - 20%" xfId="8022" xr:uid="{00000000-0005-0000-0000-0000541F0000}"/>
    <cellStyle name="Accent2 - 40%" xfId="8023" xr:uid="{00000000-0005-0000-0000-0000551F0000}"/>
    <cellStyle name="Accent2 - 60%" xfId="8024" xr:uid="{00000000-0005-0000-0000-0000561F0000}"/>
    <cellStyle name="Accent3" xfId="8025" xr:uid="{00000000-0005-0000-0000-0000571F0000}"/>
    <cellStyle name="Accent3 - 20%" xfId="8026" xr:uid="{00000000-0005-0000-0000-0000581F0000}"/>
    <cellStyle name="Accent3 - 40%" xfId="8027" xr:uid="{00000000-0005-0000-0000-0000591F0000}"/>
    <cellStyle name="Accent3 - 60%" xfId="8028" xr:uid="{00000000-0005-0000-0000-00005A1F0000}"/>
    <cellStyle name="Accent4" xfId="8029" xr:uid="{00000000-0005-0000-0000-00005B1F0000}"/>
    <cellStyle name="Accent4 - 20%" xfId="8030" xr:uid="{00000000-0005-0000-0000-00005C1F0000}"/>
    <cellStyle name="Accent4 - 40%" xfId="8031" xr:uid="{00000000-0005-0000-0000-00005D1F0000}"/>
    <cellStyle name="Accent4 - 60%" xfId="8032" xr:uid="{00000000-0005-0000-0000-00005E1F0000}"/>
    <cellStyle name="Accent5" xfId="8033" xr:uid="{00000000-0005-0000-0000-00005F1F0000}"/>
    <cellStyle name="Accent5 - 20%" xfId="8034" xr:uid="{00000000-0005-0000-0000-0000601F0000}"/>
    <cellStyle name="Accent5 - 40%" xfId="8035" xr:uid="{00000000-0005-0000-0000-0000611F0000}"/>
    <cellStyle name="Accent5 - 60%" xfId="8036" xr:uid="{00000000-0005-0000-0000-0000621F0000}"/>
    <cellStyle name="Accent6" xfId="8037" xr:uid="{00000000-0005-0000-0000-0000631F0000}"/>
    <cellStyle name="Accent6 - 20%" xfId="8038" xr:uid="{00000000-0005-0000-0000-0000641F0000}"/>
    <cellStyle name="Accent6 - 40%" xfId="8039" xr:uid="{00000000-0005-0000-0000-0000651F0000}"/>
    <cellStyle name="Accent6 - 60%" xfId="8040" xr:uid="{00000000-0005-0000-0000-0000661F0000}"/>
    <cellStyle name="Ae" xfId="8041" xr:uid="{00000000-0005-0000-0000-0000671F0000}"/>
    <cellStyle name="Åë" xfId="8042" xr:uid="{00000000-0005-0000-0000-0000681F0000}"/>
    <cellStyle name="Aee­ " xfId="8043" xr:uid="{00000000-0005-0000-0000-0000691F0000}"/>
    <cellStyle name="Aee­  10" xfId="8044" xr:uid="{00000000-0005-0000-0000-00006A1F0000}"/>
    <cellStyle name="Aee­  11" xfId="8045" xr:uid="{00000000-0005-0000-0000-00006B1F0000}"/>
    <cellStyle name="Aee­  2" xfId="8046" xr:uid="{00000000-0005-0000-0000-00006C1F0000}"/>
    <cellStyle name="Aee­  3" xfId="8047" xr:uid="{00000000-0005-0000-0000-00006D1F0000}"/>
    <cellStyle name="Aee­  4" xfId="8048" xr:uid="{00000000-0005-0000-0000-00006E1F0000}"/>
    <cellStyle name="Aee­  5" xfId="8049" xr:uid="{00000000-0005-0000-0000-00006F1F0000}"/>
    <cellStyle name="Aee­  6" xfId="8050" xr:uid="{00000000-0005-0000-0000-0000701F0000}"/>
    <cellStyle name="Aee­  7" xfId="8051" xr:uid="{00000000-0005-0000-0000-0000711F0000}"/>
    <cellStyle name="Aee­  8" xfId="8052" xr:uid="{00000000-0005-0000-0000-0000721F0000}"/>
    <cellStyle name="Aee­  9" xfId="8053" xr:uid="{00000000-0005-0000-0000-0000731F0000}"/>
    <cellStyle name="Aee­ [" xfId="8054" xr:uid="{00000000-0005-0000-0000-0000741F0000}"/>
    <cellStyle name="Åëè­ [" xfId="8055" xr:uid="{00000000-0005-0000-0000-0000751F0000}"/>
    <cellStyle name="AeE­ [0]_ 2ÆAAþº° " xfId="8056" xr:uid="{00000000-0005-0000-0000-0000761F0000}"/>
    <cellStyle name="ÅëÈ­ [0]_¸ñ·Ï-±â°è" xfId="8057" xr:uid="{00000000-0005-0000-0000-0000771F0000}"/>
    <cellStyle name="AeE­ [0]_¸n·I-±a°e_AIA§-es2A÷" xfId="8058" xr:uid="{00000000-0005-0000-0000-0000781F0000}"/>
    <cellStyle name="ÅëÈ­ [0]_¸ñ·Ï-±â°è_ÀÏÀ§-es2Â÷" xfId="8059" xr:uid="{00000000-0005-0000-0000-0000791F0000}"/>
    <cellStyle name="AeE­ [0]_¸n-E?" xfId="8060" xr:uid="{00000000-0005-0000-0000-00007A1F0000}"/>
    <cellStyle name="ÅëÈ­ [0]_¸ñ-È¯" xfId="8061" xr:uid="{00000000-0005-0000-0000-00007B1F0000}"/>
    <cellStyle name="AeE­ [0]_¿­¸° INT" xfId="8062" xr:uid="{00000000-0005-0000-0000-00007C1F0000}"/>
    <cellStyle name="ÅëÈ­ [0]_¿¹»ê¼­" xfId="8063" xr:uid="{00000000-0005-0000-0000-00007D1F0000}"/>
    <cellStyle name="AeE­ [0]_¿ø°¡°e≫e" xfId="8064" xr:uid="{00000000-0005-0000-0000-00007E1F0000}"/>
    <cellStyle name="ÅëÈ­ [0]_±â°è-¸ñ·Ï" xfId="8065" xr:uid="{00000000-0005-0000-0000-00007F1F0000}"/>
    <cellStyle name="AeE­ [0]_±a°e¼³ºn-AIA§¸n·I " xfId="8066" xr:uid="{00000000-0005-0000-0000-0000801F0000}"/>
    <cellStyle name="ÅëÈ­ [0]_±â°è¼³ºñ-ÀÏÀ§¸ñ·Ï " xfId="8067" xr:uid="{00000000-0005-0000-0000-0000811F0000}"/>
    <cellStyle name="AeE­ [0]_°eE¹_11¿a½A " xfId="8068" xr:uid="{00000000-0005-0000-0000-0000821F0000}"/>
    <cellStyle name="ÅëÈ­ [0]_¼³ºñÀÏÀ§" xfId="8069" xr:uid="{00000000-0005-0000-0000-0000831F0000}"/>
    <cellStyle name="AeE­ [0]_¼oAI¼º " xfId="8070" xr:uid="{00000000-0005-0000-0000-0000841F0000}"/>
    <cellStyle name="ÅëÈ­ [0]_7°èÈ¹ " xfId="8071" xr:uid="{00000000-0005-0000-0000-0000851F0000}"/>
    <cellStyle name="AeE­ [0]_A¾CO½A¼³ " xfId="8072" xr:uid="{00000000-0005-0000-0000-0000861F0000}"/>
    <cellStyle name="ÅëÈ­ [0]_ÀÏ-±â" xfId="8073" xr:uid="{00000000-0005-0000-0000-0000871F0000}"/>
    <cellStyle name="AeE­ [0]_AIA§-es2A÷" xfId="8074" xr:uid="{00000000-0005-0000-0000-0000881F0000}"/>
    <cellStyle name="ÅëÈ­ [0]_ÀÏÀ§-es2Â÷" xfId="8075" xr:uid="{00000000-0005-0000-0000-0000891F0000}"/>
    <cellStyle name="AeE­ [0]_AMT " xfId="8076" xr:uid="{00000000-0005-0000-0000-00008A1F0000}"/>
    <cellStyle name="ÅëÈ­ [0]_Áý°èÇ¥°ÇÃàºÐ" xfId="8077" xr:uid="{00000000-0005-0000-0000-00008B1F0000}"/>
    <cellStyle name="AeE­ [0]_BOM°eAa" xfId="8078" xr:uid="{00000000-0005-0000-0000-00008C1F0000}"/>
    <cellStyle name="ÅëÈ­ [0]_BOM°èÀå" xfId="8079" xr:uid="{00000000-0005-0000-0000-00008D1F0000}"/>
    <cellStyle name="AeE­ [0]_INQUIRY ¿μ¾÷AßAø " xfId="8080" xr:uid="{00000000-0005-0000-0000-00008E1F0000}"/>
    <cellStyle name="Åëè­ [0]_laro" xfId="8081" xr:uid="{00000000-0005-0000-0000-00008F1F0000}"/>
    <cellStyle name="AeE­ [0]_laroux_1" xfId="8082" xr:uid="{00000000-0005-0000-0000-0000901F0000}"/>
    <cellStyle name="ÅëÈ­ [0]_laroux_1" xfId="8083" xr:uid="{00000000-0005-0000-0000-0000911F0000}"/>
    <cellStyle name="AeE­ [0]_laroux_2" xfId="8084" xr:uid="{00000000-0005-0000-0000-0000921F0000}"/>
    <cellStyle name="ÅëÈ­ [0]_laroux_2" xfId="8085" xr:uid="{00000000-0005-0000-0000-0000931F0000}"/>
    <cellStyle name="AeE­ [0]_º≫¼± ±æ¾i±uºI ¼o·R Ay°eC￥ " xfId="8086" xr:uid="{00000000-0005-0000-0000-0000941F0000}"/>
    <cellStyle name="ÅëÈ­ [0]_Sheet1" xfId="8087" xr:uid="{00000000-0005-0000-0000-0000951F0000}"/>
    <cellStyle name="Aee­ _4.추진공(공암)" xfId="8088" xr:uid="{00000000-0005-0000-0000-0000961F0000}"/>
    <cellStyle name="AeE­_ 2ÆAAþº° " xfId="8089" xr:uid="{00000000-0005-0000-0000-0000971F0000}"/>
    <cellStyle name="ÅëÈ­_¸ñ·Ï-±â°è" xfId="8090" xr:uid="{00000000-0005-0000-0000-0000981F0000}"/>
    <cellStyle name="AeE­_¸n·I-±a°e_AIA§-es2A÷" xfId="8091" xr:uid="{00000000-0005-0000-0000-0000991F0000}"/>
    <cellStyle name="ÅëÈ­_¸ñ·Ï-±â°è_ÀÏÀ§-es2Â÷" xfId="8092" xr:uid="{00000000-0005-0000-0000-00009A1F0000}"/>
    <cellStyle name="AeE­_¸n-E?" xfId="8093" xr:uid="{00000000-0005-0000-0000-00009B1F0000}"/>
    <cellStyle name="ÅëÈ­_¸ñ-È¯" xfId="8094" xr:uid="{00000000-0005-0000-0000-00009C1F0000}"/>
    <cellStyle name="AeE­_¿­¸° INT" xfId="8095" xr:uid="{00000000-0005-0000-0000-00009D1F0000}"/>
    <cellStyle name="ÅëÈ­_¿¹»ê¼­" xfId="8096" xr:uid="{00000000-0005-0000-0000-00009E1F0000}"/>
    <cellStyle name="AeE­_¿ø°¡°e≫e" xfId="8097" xr:uid="{00000000-0005-0000-0000-00009F1F0000}"/>
    <cellStyle name="ÅëÈ­_±â°è-¸ñ·Ï" xfId="8098" xr:uid="{00000000-0005-0000-0000-0000A01F0000}"/>
    <cellStyle name="AeE­_±a°e¼³ºn-AIA§¸n·I " xfId="8099" xr:uid="{00000000-0005-0000-0000-0000A11F0000}"/>
    <cellStyle name="ÅëÈ­_±â°è¼³ºñ-ÀÏÀ§¸ñ·Ï " xfId="8100" xr:uid="{00000000-0005-0000-0000-0000A21F0000}"/>
    <cellStyle name="AeE­_°eE¹_11¿a½A " xfId="8101" xr:uid="{00000000-0005-0000-0000-0000A31F0000}"/>
    <cellStyle name="ÅëÈ­_¼³ºñÀÏÀ§" xfId="8102" xr:uid="{00000000-0005-0000-0000-0000A41F0000}"/>
    <cellStyle name="AeE­_¼oAI¼º " xfId="8103" xr:uid="{00000000-0005-0000-0000-0000A51F0000}"/>
    <cellStyle name="ÅëÈ­_7°èÈ¹ " xfId="8104" xr:uid="{00000000-0005-0000-0000-0000A61F0000}"/>
    <cellStyle name="AeE­_7°eE¹$" xfId="8105" xr:uid="{00000000-0005-0000-0000-0000A71F0000}"/>
    <cellStyle name="ÅëÈ­_ÀÏ-±â" xfId="8106" xr:uid="{00000000-0005-0000-0000-0000A81F0000}"/>
    <cellStyle name="AeE­_AIA§-es2A÷" xfId="8107" xr:uid="{00000000-0005-0000-0000-0000A91F0000}"/>
    <cellStyle name="ÅëÈ­_ÀÏÀ§-es2Â÷" xfId="8108" xr:uid="{00000000-0005-0000-0000-0000AA1F0000}"/>
    <cellStyle name="AeE­_AMT " xfId="8109" xr:uid="{00000000-0005-0000-0000-0000AB1F0000}"/>
    <cellStyle name="ÅëÈ­_Áý°èÇ¥°ÇÃàºÐ" xfId="8110" xr:uid="{00000000-0005-0000-0000-0000AC1F0000}"/>
    <cellStyle name="AeE­_BOM°eAa" xfId="8111" xr:uid="{00000000-0005-0000-0000-0000AD1F0000}"/>
    <cellStyle name="ÅëÈ­_BOM°èÀå" xfId="8112" xr:uid="{00000000-0005-0000-0000-0000AE1F0000}"/>
    <cellStyle name="AeE­_INQUIRY ¿μ¾÷AßAø " xfId="8113" xr:uid="{00000000-0005-0000-0000-0000AF1F0000}"/>
    <cellStyle name="Åëè­_laro" xfId="8114" xr:uid="{00000000-0005-0000-0000-0000B01F0000}"/>
    <cellStyle name="AeE­_laroux_1" xfId="8115" xr:uid="{00000000-0005-0000-0000-0000B11F0000}"/>
    <cellStyle name="ÅëÈ­_laroux_1" xfId="8116" xr:uid="{00000000-0005-0000-0000-0000B21F0000}"/>
    <cellStyle name="AeE­_laroux_2" xfId="8117" xr:uid="{00000000-0005-0000-0000-0000B31F0000}"/>
    <cellStyle name="ÅëÈ­_laroux_2" xfId="8118" xr:uid="{00000000-0005-0000-0000-0000B41F0000}"/>
    <cellStyle name="AeE­_º≫¼± ±æ¾i±uºI ¼o·R Ay°eC￥ " xfId="8119" xr:uid="{00000000-0005-0000-0000-0000B51F0000}"/>
    <cellStyle name="ÅëÈ­_Sheet1" xfId="8120" xr:uid="{00000000-0005-0000-0000-0000B61F0000}"/>
    <cellStyle name="Aee¡ⓒ " xfId="8121" xr:uid="{00000000-0005-0000-0000-0000B71F0000}"/>
    <cellStyle name="AeE¡ⓒ [0]_AO¨uRCN¡¾U " xfId="8122" xr:uid="{00000000-0005-0000-0000-0000B81F0000}"/>
    <cellStyle name="AeE¡ⓒ_AO¨uRCN¡¾U " xfId="8123" xr:uid="{00000000-0005-0000-0000-0000B91F0000}"/>
    <cellStyle name="Æu¼ " xfId="8124" xr:uid="{00000000-0005-0000-0000-0000BA1F0000}"/>
    <cellStyle name="Æû¼¾æ®" xfId="8125" xr:uid="{00000000-0005-0000-0000-0000BB1F0000}"/>
    <cellStyle name="ÆU¼¾ÆR" xfId="8126" xr:uid="{00000000-0005-0000-0000-0000BC1F0000}"/>
    <cellStyle name="ÆU¼¾ÆR 2" xfId="8127" xr:uid="{00000000-0005-0000-0000-0000BD1F0000}"/>
    <cellStyle name="ALIGNMENT" xfId="8128" xr:uid="{00000000-0005-0000-0000-0000BE1F0000}"/>
    <cellStyle name="AoA¤μCAo ¾EA½" xfId="8129" xr:uid="{00000000-0005-0000-0000-0000BF1F0000}"/>
    <cellStyle name="args.style" xfId="8130" xr:uid="{00000000-0005-0000-0000-0000C01F0000}"/>
    <cellStyle name="Aþ" xfId="8131" xr:uid="{00000000-0005-0000-0000-0000C11F0000}"/>
    <cellStyle name="Äþ" xfId="8132" xr:uid="{00000000-0005-0000-0000-0000C21F0000}"/>
    <cellStyle name="Aþ¸¶ [" xfId="8133" xr:uid="{00000000-0005-0000-0000-0000C31F0000}"/>
    <cellStyle name="Äþ¸¶ [" xfId="8134" xr:uid="{00000000-0005-0000-0000-0000C41F0000}"/>
    <cellStyle name="AÞ¸¶ [0]_ 2ÆAAþº° " xfId="8135" xr:uid="{00000000-0005-0000-0000-0000C51F0000}"/>
    <cellStyle name="ÄÞ¸¶ [0]_¸ñ·Ï-±â°è" xfId="8136" xr:uid="{00000000-0005-0000-0000-0000C61F0000}"/>
    <cellStyle name="AÞ¸¶ [0]_¸n·I-±a°e_AIA§-es2A÷" xfId="8137" xr:uid="{00000000-0005-0000-0000-0000C71F0000}"/>
    <cellStyle name="ÄÞ¸¶ [0]_¸ñ·Ï-±â°è_ÀÏÀ§-es2Â÷" xfId="8138" xr:uid="{00000000-0005-0000-0000-0000C81F0000}"/>
    <cellStyle name="AÞ¸¶ [0]_¸n-E?" xfId="8139" xr:uid="{00000000-0005-0000-0000-0000C91F0000}"/>
    <cellStyle name="ÄÞ¸¶ [0]_¸ñ-È¯" xfId="8140" xr:uid="{00000000-0005-0000-0000-0000CA1F0000}"/>
    <cellStyle name="AÞ¸¶ [0]_¿­¸° INT" xfId="8141" xr:uid="{00000000-0005-0000-0000-0000CB1F0000}"/>
    <cellStyle name="ÄÞ¸¶ [0]_¿¹»ê¼­" xfId="8142" xr:uid="{00000000-0005-0000-0000-0000CC1F0000}"/>
    <cellStyle name="AÞ¸¶ [0]_¿ø°¡°e≫e" xfId="8143" xr:uid="{00000000-0005-0000-0000-0000CD1F0000}"/>
    <cellStyle name="ÄÞ¸¶ [0]_±â°è-¸ñ·Ï" xfId="8144" xr:uid="{00000000-0005-0000-0000-0000CE1F0000}"/>
    <cellStyle name="AÞ¸¶ [0]_±a°e¼³ºn-AIA§¸n·I " xfId="8145" xr:uid="{00000000-0005-0000-0000-0000CF1F0000}"/>
    <cellStyle name="ÄÞ¸¶ [0]_±â°è¼³ºñ-ÀÏÀ§¸ñ·Ï " xfId="8146" xr:uid="{00000000-0005-0000-0000-0000D01F0000}"/>
    <cellStyle name="AÞ¸¶ [0]_°eE¹_11¿a½A " xfId="8147" xr:uid="{00000000-0005-0000-0000-0000D11F0000}"/>
    <cellStyle name="ÄÞ¸¶ [0]_¼³ºñÀÏÀ§" xfId="8148" xr:uid="{00000000-0005-0000-0000-0000D21F0000}"/>
    <cellStyle name="AÞ¸¶ [0]_¼oAI¼º " xfId="8149" xr:uid="{00000000-0005-0000-0000-0000D31F0000}"/>
    <cellStyle name="ÄÞ¸¶ [0]_7°èÈ¹ " xfId="8150" xr:uid="{00000000-0005-0000-0000-0000D41F0000}"/>
    <cellStyle name="AÞ¸¶ [0]_A¾CO½A¼³ " xfId="8151" xr:uid="{00000000-0005-0000-0000-0000D51F0000}"/>
    <cellStyle name="ÄÞ¸¶ [0]_ÀÏ-±â" xfId="8152" xr:uid="{00000000-0005-0000-0000-0000D61F0000}"/>
    <cellStyle name="AÞ¸¶ [0]_AIA§-es2A÷" xfId="8153" xr:uid="{00000000-0005-0000-0000-0000D71F0000}"/>
    <cellStyle name="ÄÞ¸¶ [0]_ÀÏÀ§-es2Â÷" xfId="8154" xr:uid="{00000000-0005-0000-0000-0000D81F0000}"/>
    <cellStyle name="AÞ¸¶ [0]_AN°y(1.25) " xfId="8155" xr:uid="{00000000-0005-0000-0000-0000D91F0000}"/>
    <cellStyle name="ÄÞ¸¶ [0]_Áý°èÇ¥°ÇÃàºÐ" xfId="8156" xr:uid="{00000000-0005-0000-0000-0000DA1F0000}"/>
    <cellStyle name="AÞ¸¶ [0]_BOM°eAa" xfId="8157" xr:uid="{00000000-0005-0000-0000-0000DB1F0000}"/>
    <cellStyle name="ÄÞ¸¶ [0]_BOM°èÀå" xfId="8158" xr:uid="{00000000-0005-0000-0000-0000DC1F0000}"/>
    <cellStyle name="AÞ¸¶ [0]_INQUIRY ¿μ¾÷AßAø " xfId="8159" xr:uid="{00000000-0005-0000-0000-0000DD1F0000}"/>
    <cellStyle name="Äþ¸¶ [0]_laro" xfId="8160" xr:uid="{00000000-0005-0000-0000-0000DE1F0000}"/>
    <cellStyle name="AÞ¸¶ [0]_º≫¼± ±æ¾i±uºI ¼o·R Ay°eC￥ " xfId="8161" xr:uid="{00000000-0005-0000-0000-0000DF1F0000}"/>
    <cellStyle name="ÄÞ¸¶ [0]_Sheet1" xfId="8162" xr:uid="{00000000-0005-0000-0000-0000E01F0000}"/>
    <cellStyle name="AÞ¸¶_ 2ÆAAþº° " xfId="8163" xr:uid="{00000000-0005-0000-0000-0000E11F0000}"/>
    <cellStyle name="ÄÞ¸¶_¸ñ·Ï-±â°è" xfId="8164" xr:uid="{00000000-0005-0000-0000-0000E21F0000}"/>
    <cellStyle name="AÞ¸¶_¸n·I-±a°e_AIA§-es2A÷" xfId="8165" xr:uid="{00000000-0005-0000-0000-0000E31F0000}"/>
    <cellStyle name="ÄÞ¸¶_¸ñ·Ï-±â°è_ÀÏÀ§-es2Â÷" xfId="8166" xr:uid="{00000000-0005-0000-0000-0000E41F0000}"/>
    <cellStyle name="AÞ¸¶_¸n-E?" xfId="8167" xr:uid="{00000000-0005-0000-0000-0000E51F0000}"/>
    <cellStyle name="ÄÞ¸¶_¸ñ-È¯" xfId="8168" xr:uid="{00000000-0005-0000-0000-0000E61F0000}"/>
    <cellStyle name="AÞ¸¶_¿­¸° INT" xfId="8169" xr:uid="{00000000-0005-0000-0000-0000E71F0000}"/>
    <cellStyle name="ÄÞ¸¶_¿¹»ê¼­" xfId="8170" xr:uid="{00000000-0005-0000-0000-0000E81F0000}"/>
    <cellStyle name="AÞ¸¶_¿ø°¡°e≫e" xfId="8171" xr:uid="{00000000-0005-0000-0000-0000E91F0000}"/>
    <cellStyle name="ÄÞ¸¶_±â°è-¸ñ·Ï" xfId="8172" xr:uid="{00000000-0005-0000-0000-0000EA1F0000}"/>
    <cellStyle name="AÞ¸¶_±a°e¼³ºn-AIA§¸n·I " xfId="8173" xr:uid="{00000000-0005-0000-0000-0000EB1F0000}"/>
    <cellStyle name="ÄÞ¸¶_±â°è¼³ºñ-ÀÏÀ§¸ñ·Ï " xfId="8174" xr:uid="{00000000-0005-0000-0000-0000EC1F0000}"/>
    <cellStyle name="AÞ¸¶_°eE¹_11¿a½A " xfId="8175" xr:uid="{00000000-0005-0000-0000-0000ED1F0000}"/>
    <cellStyle name="ÄÞ¸¶_¼³ºñÀÏÀ§" xfId="8176" xr:uid="{00000000-0005-0000-0000-0000EE1F0000}"/>
    <cellStyle name="AÞ¸¶_¼oAI¼º " xfId="8177" xr:uid="{00000000-0005-0000-0000-0000EF1F0000}"/>
    <cellStyle name="ÄÞ¸¶_7°èÈ¹ " xfId="8178" xr:uid="{00000000-0005-0000-0000-0000F01F0000}"/>
    <cellStyle name="AÞ¸¶_A¾CO½A¼³ " xfId="8179" xr:uid="{00000000-0005-0000-0000-0000F11F0000}"/>
    <cellStyle name="ÄÞ¸¶_ÀÏ-±â" xfId="8180" xr:uid="{00000000-0005-0000-0000-0000F21F0000}"/>
    <cellStyle name="AÞ¸¶_AIA§-es2A÷" xfId="8181" xr:uid="{00000000-0005-0000-0000-0000F31F0000}"/>
    <cellStyle name="ÄÞ¸¶_ÀÏÀ§-es2Â÷" xfId="8182" xr:uid="{00000000-0005-0000-0000-0000F41F0000}"/>
    <cellStyle name="AÞ¸¶_AN°y(1.25) " xfId="8183" xr:uid="{00000000-0005-0000-0000-0000F51F0000}"/>
    <cellStyle name="ÄÞ¸¶_Áý°èÇ¥°ÇÃàºÐ" xfId="8184" xr:uid="{00000000-0005-0000-0000-0000F61F0000}"/>
    <cellStyle name="AÞ¸¶_BOM°eAa" xfId="8185" xr:uid="{00000000-0005-0000-0000-0000F71F0000}"/>
    <cellStyle name="ÄÞ¸¶_BOM°èÀå" xfId="8186" xr:uid="{00000000-0005-0000-0000-0000F81F0000}"/>
    <cellStyle name="AÞ¸¶_INQUIRY ¿μ¾÷AßAø " xfId="8187" xr:uid="{00000000-0005-0000-0000-0000F91F0000}"/>
    <cellStyle name="Äþ¸¶_laro" xfId="8188" xr:uid="{00000000-0005-0000-0000-0000FA1F0000}"/>
    <cellStyle name="AÞ¸¶_º≫¼± ±æ¾i±uºI ¼o·R Ay°eC￥ " xfId="8189" xr:uid="{00000000-0005-0000-0000-0000FB1F0000}"/>
    <cellStyle name="ÄÞ¸¶_Sheet1" xfId="8190" xr:uid="{00000000-0005-0000-0000-0000FC1F0000}"/>
    <cellStyle name="Àú¸®¼ö" xfId="8191" xr:uid="{00000000-0005-0000-0000-0000FD1F0000}"/>
    <cellStyle name="Àú¸®¼ö0" xfId="8192" xr:uid="{00000000-0005-0000-0000-0000FE1F0000}"/>
    <cellStyle name="Au¸r " xfId="8193" xr:uid="{00000000-0005-0000-0000-0000FF1F0000}"/>
    <cellStyle name="Au¸r¼" xfId="8194" xr:uid="{00000000-0005-0000-0000-000000200000}"/>
    <cellStyle name="Au¸r¼ 2" xfId="8195" xr:uid="{00000000-0005-0000-0000-000001200000}"/>
    <cellStyle name="AU¸R¼o" xfId="8196" xr:uid="{00000000-0005-0000-0000-000002200000}"/>
    <cellStyle name="AU¸R¼o0" xfId="8197" xr:uid="{00000000-0005-0000-0000-000003200000}"/>
    <cellStyle name="AU¸R¼o0 2" xfId="8198" xr:uid="{00000000-0005-0000-0000-000004200000}"/>
    <cellStyle name="_x0001_b" xfId="8199" xr:uid="{00000000-0005-0000-0000-000005200000}"/>
    <cellStyle name="BA" xfId="8200" xr:uid="{00000000-0005-0000-0000-000006200000}"/>
    <cellStyle name="Background" xfId="8201" xr:uid="{00000000-0005-0000-0000-000007200000}"/>
    <cellStyle name="Bad" xfId="8202" xr:uid="{00000000-0005-0000-0000-000008200000}"/>
    <cellStyle name="blank" xfId="8203" xr:uid="{00000000-0005-0000-0000-000009200000}"/>
    <cellStyle name="blank - Style1" xfId="8204" xr:uid="{00000000-0005-0000-0000-00000A200000}"/>
    <cellStyle name="body" xfId="8205" xr:uid="{00000000-0005-0000-0000-00000B200000}"/>
    <cellStyle name="BoldHdr" xfId="8206" xr:uid="{00000000-0005-0000-0000-00000C200000}"/>
    <cellStyle name="Bridge " xfId="8207" xr:uid="{00000000-0005-0000-0000-00000D200000}"/>
    <cellStyle name="b椬ៜ_x000c_Comma_ODCOS " xfId="8208" xr:uid="{00000000-0005-0000-0000-00000E200000}"/>
    <cellStyle name="B_x000e_통화 [0]_MBO9_x000d_통화 [0]_MST_K1" xfId="8209" xr:uid="{00000000-0005-0000-0000-00000F200000}"/>
    <cellStyle name="C¡IA¨ª_¡ic¨u¡A¨￢I¨￢¡Æ AN¡Æe " xfId="8210" xr:uid="{00000000-0005-0000-0000-000010200000}"/>
    <cellStyle name="C￥" xfId="8211" xr:uid="{00000000-0005-0000-0000-000011200000}"/>
    <cellStyle name="Ç¥" xfId="8212" xr:uid="{00000000-0005-0000-0000-000012200000}"/>
    <cellStyle name="C￥AØ_  FAB AIA¤  " xfId="8213" xr:uid="{00000000-0005-0000-0000-000013200000}"/>
    <cellStyle name="Ç¥ÁØ_#3E4¿î»ê" xfId="8214" xr:uid="{00000000-0005-0000-0000-000014200000}"/>
    <cellStyle name="C￥AØ_(%)ºn¸n±ººÐ·uC￥" xfId="8215" xr:uid="{00000000-0005-0000-0000-000015200000}"/>
    <cellStyle name="Ç¥ÁØ_(%)ºñ¸ñ±ººÐ·ùÇ¥" xfId="8216" xr:uid="{00000000-0005-0000-0000-000016200000}"/>
    <cellStyle name="C￥AØ_(%)ºn¸n±ººÐ·uC￥_1" xfId="8217" xr:uid="{00000000-0005-0000-0000-000017200000}"/>
    <cellStyle name="Ç¥ÁØ_(%)ºñ¸ñ±ººÐ·ùÇ¥_1" xfId="8218" xr:uid="{00000000-0005-0000-0000-000018200000}"/>
    <cellStyle name="C￥AØ_(%)ºn¸n±ººÐ·uC￥_1_일-토목" xfId="8219" xr:uid="{00000000-0005-0000-0000-000019200000}"/>
    <cellStyle name="Ç¥ÁØ_¸ñ·Ï-±â°è" xfId="8220" xr:uid="{00000000-0005-0000-0000-00001A200000}"/>
    <cellStyle name="C￥AØ_¸n·I-±a°e_1" xfId="8221" xr:uid="{00000000-0005-0000-0000-00001B200000}"/>
    <cellStyle name="Ç¥ÁØ_¸ñ·Ï-±â°è_1" xfId="8222" xr:uid="{00000000-0005-0000-0000-00001C200000}"/>
    <cellStyle name="C￥AØ_¸n·I-±a°e_1_일-토목" xfId="8223" xr:uid="{00000000-0005-0000-0000-00001D200000}"/>
    <cellStyle name="Ç¥ÁØ_¸ñ·Ï-±â°è_ÀÏÀ§-es2Â÷" xfId="8224" xr:uid="{00000000-0005-0000-0000-00001E200000}"/>
    <cellStyle name="C￥AØ_¸n·I-±a°e_AIA§-es2A÷_목록-조경 (2)" xfId="8225" xr:uid="{00000000-0005-0000-0000-00001F200000}"/>
    <cellStyle name="Ç¥ÁØ_¸ñ-È¯" xfId="8226" xr:uid="{00000000-0005-0000-0000-000020200000}"/>
    <cellStyle name="C￥AØ_¿­¸° INT" xfId="8227" xr:uid="{00000000-0005-0000-0000-000021200000}"/>
    <cellStyle name="Ç¥ÁØ_¿µ¾÷ÇöÈ² " xfId="8228" xr:uid="{00000000-0005-0000-0000-000022200000}"/>
    <cellStyle name="C￥AØ_¿e¼o" xfId="8229" xr:uid="{00000000-0005-0000-0000-000023200000}"/>
    <cellStyle name="Ç¥ÁØ_±â°è(4)" xfId="8230" xr:uid="{00000000-0005-0000-0000-000024200000}"/>
    <cellStyle name="C￥AØ_±a°e(4)_목록-조경 (2)" xfId="8231" xr:uid="{00000000-0005-0000-0000-000025200000}"/>
    <cellStyle name="Ç¥ÁØ_±â°è(5)" xfId="8232" xr:uid="{00000000-0005-0000-0000-000026200000}"/>
    <cellStyle name="C￥AØ_±a°e(5)_HY-단산출" xfId="8233" xr:uid="{00000000-0005-0000-0000-000027200000}"/>
    <cellStyle name="Ç¥ÁØ_±â°è-¸ñ·Ï" xfId="8234" xr:uid="{00000000-0005-0000-0000-000028200000}"/>
    <cellStyle name="C￥AØ_±a°e-¸n·I_목록-조경 (2)" xfId="8235" xr:uid="{00000000-0005-0000-0000-000029200000}"/>
    <cellStyle name="Ç¥ÁØ_±â°è¼³ºñ-ÀÏÀ§¸ñ·Ï " xfId="8236" xr:uid="{00000000-0005-0000-0000-00002A200000}"/>
    <cellStyle name="C￥AØ_±a°e¼³ºn-AIA§¸n·I _일-토목" xfId="8237" xr:uid="{00000000-0005-0000-0000-00002B200000}"/>
    <cellStyle name="Ç¥ÁØ_±âÅ¸ºñ¸ñ±ºÁö¼ö»êÃâ¼­ (2)" xfId="8238" xr:uid="{00000000-0005-0000-0000-00002C200000}"/>
    <cellStyle name="C￥AØ_±aA¸ºn¸n±ºAo¼o≫eAa¼­ (2)" xfId="8239" xr:uid="{00000000-0005-0000-0000-00002D200000}"/>
    <cellStyle name="Ç¥ÁØ_»ç¾÷ºÎº° ÃÑ°è " xfId="8240" xr:uid="{00000000-0005-0000-0000-00002E200000}"/>
    <cellStyle name="C￥AØ_≫c¾÷ºIº° AN°e " xfId="8241" xr:uid="{00000000-0005-0000-0000-00002F200000}"/>
    <cellStyle name="Ç¥ÁØ_°ÇÃà(1)" xfId="8242" xr:uid="{00000000-0005-0000-0000-000030200000}"/>
    <cellStyle name="C￥AØ_°CAa(1)_IL-건축" xfId="8243" xr:uid="{00000000-0005-0000-0000-000031200000}"/>
    <cellStyle name="Ç¥ÁØ_°ÇÃà(4)" xfId="8244" xr:uid="{00000000-0005-0000-0000-000032200000}"/>
    <cellStyle name="C￥AØ_°CAa(4)_목록-조경 (2)" xfId="8245" xr:uid="{00000000-0005-0000-0000-000033200000}"/>
    <cellStyle name="Ç¥ÁØ_°ÇÃà(5)" xfId="8246" xr:uid="{00000000-0005-0000-0000-000034200000}"/>
    <cellStyle name="C￥AØ_°CAa(5)_목록-조경 (2)" xfId="8247" xr:uid="{00000000-0005-0000-0000-000035200000}"/>
    <cellStyle name="Ç¥ÁØ_°ÇÃà(6)" xfId="8248" xr:uid="{00000000-0005-0000-0000-000036200000}"/>
    <cellStyle name="C￥AØ_°CAa(6)_일-토목" xfId="8249" xr:uid="{00000000-0005-0000-0000-000037200000}"/>
    <cellStyle name="Ç¥ÁØ_°ÇÃàµµ±Þ" xfId="8250" xr:uid="{00000000-0005-0000-0000-000038200000}"/>
    <cellStyle name="C￥AØ_°CAa-1" xfId="8251" xr:uid="{00000000-0005-0000-0000-000039200000}"/>
    <cellStyle name="Ç¥ÁØ_°ÇÃà-1" xfId="8252" xr:uid="{00000000-0005-0000-0000-00003A200000}"/>
    <cellStyle name="C￥AØ_°CAa-1_일-토목" xfId="8253" xr:uid="{00000000-0005-0000-0000-00003B200000}"/>
    <cellStyle name="Ç¥ÁØ_°èÀå" xfId="8254" xr:uid="{00000000-0005-0000-0000-00003C200000}"/>
    <cellStyle name="C￥AØ_°eAa_목록-조경 (2)" xfId="8255" xr:uid="{00000000-0005-0000-0000-00003D200000}"/>
    <cellStyle name="Ç¥ÁØ_°ø»çºñ¸ñ±ººÐ·ùÇ¥" xfId="8256" xr:uid="{00000000-0005-0000-0000-00003E200000}"/>
    <cellStyle name="C￥AØ_°ø≫cºn¸n±ººÐ·uC￥" xfId="8257" xr:uid="{00000000-0005-0000-0000-00003F200000}"/>
    <cellStyle name="Ç¥ÁØ_°ßÀû" xfId="8258" xr:uid="{00000000-0005-0000-0000-000040200000}"/>
    <cellStyle name="C￥AØ_¼oAI¼º " xfId="8259" xr:uid="{00000000-0005-0000-0000-000041200000}"/>
    <cellStyle name="Ç¥ÁØ_¼ÒÈ­" xfId="8260" xr:uid="{00000000-0005-0000-0000-000042200000}"/>
    <cellStyle name="C￥AØ_¼OE­_일-토목" xfId="8261" xr:uid="{00000000-0005-0000-0000-000043200000}"/>
    <cellStyle name="Ç¥ÁØ_½½·¡ºêÃ¶±ÙÁý°è " xfId="8262" xr:uid="{00000000-0005-0000-0000-000044200000}"/>
    <cellStyle name="C￥AØ_½AAß³eAOÆo±O_목록-조경 (2)" xfId="8263" xr:uid="{00000000-0005-0000-0000-000045200000}"/>
    <cellStyle name="Ç¥ÁØ_½ÇÇà¿¹»ê¼­ " xfId="8264" xr:uid="{00000000-0005-0000-0000-000046200000}"/>
    <cellStyle name="C￥AØ_1_일-토목" xfId="8265" xr:uid="{00000000-0005-0000-0000-000047200000}"/>
    <cellStyle name="Ç¥ÁØ_¹®Á¥¿ª»ç" xfId="8266" xr:uid="{00000000-0005-0000-0000-000048200000}"/>
    <cellStyle name="C￥AØ_¹°°¡º?μ¿(±a°e)" xfId="8267" xr:uid="{00000000-0005-0000-0000-000049200000}"/>
    <cellStyle name="Ç¥ÁØ_¹°°¡º¯µ¿(±â°è)" xfId="8268" xr:uid="{00000000-0005-0000-0000-00004A200000}"/>
    <cellStyle name="C￥AØ_¹RA￥¿ª≫c" xfId="8269" xr:uid="{00000000-0005-0000-0000-00004B200000}"/>
    <cellStyle name="Ç¥ÁØ_2" xfId="8270" xr:uid="{00000000-0005-0000-0000-00004C200000}"/>
    <cellStyle name="C￥AØ_2_일-토목" xfId="8271" xr:uid="{00000000-0005-0000-0000-00004D200000}"/>
    <cellStyle name="Ç¥ÁØ_³»¿ª¼­" xfId="8272" xr:uid="{00000000-0005-0000-0000-00004E200000}"/>
    <cellStyle name="C￥AØ_³≫¿ª¼­" xfId="8273" xr:uid="{00000000-0005-0000-0000-00004F200000}"/>
    <cellStyle name="Ç¥ÁØ_5-1±¤°í " xfId="8274" xr:uid="{00000000-0005-0000-0000-000050200000}"/>
    <cellStyle name="C￥AØ_95,96 ºn±³ " xfId="8275" xr:uid="{00000000-0005-0000-0000-000051200000}"/>
    <cellStyle name="Ç¥ÁØ_95,96 ºñ±³ " xfId="8276" xr:uid="{00000000-0005-0000-0000-000052200000}"/>
    <cellStyle name="C￥AØ_95010 (2)" xfId="8277" xr:uid="{00000000-0005-0000-0000-000053200000}"/>
    <cellStyle name="Ç¥ÁØ_95010 (2)" xfId="8278" xr:uid="{00000000-0005-0000-0000-000054200000}"/>
    <cellStyle name="C￥AØ_95010 (2)_일-토목" xfId="8279" xr:uid="{00000000-0005-0000-0000-000055200000}"/>
    <cellStyle name="Ç¥ÁØ_95020" xfId="8280" xr:uid="{00000000-0005-0000-0000-000056200000}"/>
    <cellStyle name="C￥AØ_95020 (2)" xfId="8281" xr:uid="{00000000-0005-0000-0000-000057200000}"/>
    <cellStyle name="Ç¥ÁØ_95020 (2)" xfId="8282" xr:uid="{00000000-0005-0000-0000-000058200000}"/>
    <cellStyle name="C￥AØ_95020 (2)_일-토목" xfId="8283" xr:uid="{00000000-0005-0000-0000-000059200000}"/>
    <cellStyle name="Ç¥ÁØ_95030" xfId="8284" xr:uid="{00000000-0005-0000-0000-00005A200000}"/>
    <cellStyle name="C￥AØ_95030 (2)" xfId="8285" xr:uid="{00000000-0005-0000-0000-00005B200000}"/>
    <cellStyle name="Ç¥ÁØ_95030 (2)" xfId="8286" xr:uid="{00000000-0005-0000-0000-00005C200000}"/>
    <cellStyle name="C￥AØ_95030 (2)_일-토목" xfId="8287" xr:uid="{00000000-0005-0000-0000-00005D200000}"/>
    <cellStyle name="Ç¥ÁØ_95050" xfId="8288" xr:uid="{00000000-0005-0000-0000-00005E200000}"/>
    <cellStyle name="C￥AØ_95050_목록-조경 (2)" xfId="8289" xr:uid="{00000000-0005-0000-0000-00005F200000}"/>
    <cellStyle name="Ç¥ÁØ_95060" xfId="8290" xr:uid="{00000000-0005-0000-0000-000060200000}"/>
    <cellStyle name="C￥AØ_95060_목록-조경 (2)" xfId="8291" xr:uid="{00000000-0005-0000-0000-000061200000}"/>
    <cellStyle name="Ç¥ÁØ_95070" xfId="8292" xr:uid="{00000000-0005-0000-0000-000062200000}"/>
    <cellStyle name="C￥AØ_95070_일-토목" xfId="8293" xr:uid="{00000000-0005-0000-0000-000063200000}"/>
    <cellStyle name="Ç¥ÁØ_À§»ý" xfId="8294" xr:uid="{00000000-0005-0000-0000-000064200000}"/>
    <cellStyle name="C￥AØ_A§≫y" xfId="8295" xr:uid="{00000000-0005-0000-0000-000065200000}"/>
    <cellStyle name="Ç¥ÁØ_Åä¸ñ(5)" xfId="8296" xr:uid="{00000000-0005-0000-0000-000066200000}"/>
    <cellStyle name="C￥AØ_Aa¸n(5)_목록-조경 (2)" xfId="8297" xr:uid="{00000000-0005-0000-0000-000067200000}"/>
    <cellStyle name="Ç¥ÁØ_Àå-1" xfId="8298" xr:uid="{00000000-0005-0000-0000-000068200000}"/>
    <cellStyle name="C￥AØ_Aa-1_목록-조경 (2)" xfId="8299" xr:uid="{00000000-0005-0000-0000-000069200000}"/>
    <cellStyle name="Ç¥ÁØ_ÀåÁö¿ª»ç" xfId="8300" xr:uid="{00000000-0005-0000-0000-00006A200000}"/>
    <cellStyle name="C￥AØ_AaAo¿ª≫c" xfId="8301" xr:uid="{00000000-0005-0000-0000-00006B200000}"/>
    <cellStyle name="Ç¥ÁØ_ÀåÁö-2" xfId="8302" xr:uid="{00000000-0005-0000-0000-00006C200000}"/>
    <cellStyle name="C￥AØ_AaAo-2_일-토목" xfId="8303" xr:uid="{00000000-0005-0000-0000-00006D200000}"/>
    <cellStyle name="Ç¥ÁØ_ÀåÁö-3" xfId="8304" xr:uid="{00000000-0005-0000-0000-00006E200000}"/>
    <cellStyle name="C￥AØ_AaAo-3_일-토목" xfId="8305" xr:uid="{00000000-0005-0000-0000-00006F200000}"/>
    <cellStyle name="Ç¥ÁØ_ÀåÁö-4" xfId="8306" xr:uid="{00000000-0005-0000-0000-000070200000}"/>
    <cellStyle name="C￥AØ_AaAo-4_일-토목" xfId="8307" xr:uid="{00000000-0005-0000-0000-000071200000}"/>
    <cellStyle name="Ç¥ÁØ_ÀåÁö-5" xfId="8308" xr:uid="{00000000-0005-0000-0000-000072200000}"/>
    <cellStyle name="C￥AØ_AaAo-5_일-토목" xfId="8309" xr:uid="{00000000-0005-0000-0000-000073200000}"/>
    <cellStyle name="Ç¥ÁØ_ÀåÁöÁý°è" xfId="8310" xr:uid="{00000000-0005-0000-0000-000074200000}"/>
    <cellStyle name="C￥AØ_AaAoAy°e_일-토목" xfId="8311" xr:uid="{00000000-0005-0000-0000-000075200000}"/>
    <cellStyle name="Ç¥ÁØ_Àç·áºñºñ¸ñº¯µ¿À²" xfId="8312" xr:uid="{00000000-0005-0000-0000-000076200000}"/>
    <cellStyle name="C￥AØ_AI-±a" xfId="8313" xr:uid="{00000000-0005-0000-0000-000077200000}"/>
    <cellStyle name="Ç¥ÁØ_ÀÏ-±â" xfId="8314" xr:uid="{00000000-0005-0000-0000-000078200000}"/>
    <cellStyle name="C￥AØ_AI-±a_목록-조경 (2)" xfId="8315" xr:uid="{00000000-0005-0000-0000-000079200000}"/>
    <cellStyle name="Ç¥ÁØ_ÀÏÀ§´ë°¡ (2)" xfId="8316" xr:uid="{00000000-0005-0000-0000-00007A200000}"/>
    <cellStyle name="C￥AØ_AIA§-es2A÷_일-토목" xfId="8317" xr:uid="{00000000-0005-0000-0000-00007B200000}"/>
    <cellStyle name="Ç¥ÁØ_Áö¼öÁ¶Á¤À²" xfId="8318" xr:uid="{00000000-0005-0000-0000-00007C200000}"/>
    <cellStyle name="C￥AØ_Ao¼oA¶A¤A²(±Øμ¿)" xfId="8319" xr:uid="{00000000-0005-0000-0000-00007D200000}"/>
    <cellStyle name="Ç¥ÁØ_Áö¼öÁ¶Á¤À²_±âÅ¸ºñ¸ñ±ºÁö¼ö»êÃâ¼­" xfId="8320" xr:uid="{00000000-0005-0000-0000-00007E200000}"/>
    <cellStyle name="C￥AØ_Ao¼oA¶A¤A²_±aA¸ºn¸n±ºAo¼o≫eAa¼­" xfId="8321" xr:uid="{00000000-0005-0000-0000-00007F200000}"/>
    <cellStyle name="Ç¥ÁØ_Áö¼öÁ¶Á¤À²_1" xfId="8322" xr:uid="{00000000-0005-0000-0000-000080200000}"/>
    <cellStyle name="C￥AØ_Ao¼oA¶A¤A²_1_목록-조경 (2)" xfId="8323" xr:uid="{00000000-0005-0000-0000-000081200000}"/>
    <cellStyle name="Ç¥ÁØ_Áö¼öÁ¶Á¤À²_Àç·áºñºñ¸ñº¯µ¿À²" xfId="8324" xr:uid="{00000000-0005-0000-0000-000082200000}"/>
    <cellStyle name="C￥AØ_Ao¼oA¶A¤A²_HY-단산출" xfId="8325" xr:uid="{00000000-0005-0000-0000-000083200000}"/>
    <cellStyle name="Ç¥ÁØ_Áö¼öÁ¶Á¤À²_KIM" xfId="8326" xr:uid="{00000000-0005-0000-0000-000084200000}"/>
    <cellStyle name="C￥AØ_Ao¼oA¶A¤A²_KIM_il-건축" xfId="8327" xr:uid="{00000000-0005-0000-0000-000085200000}"/>
    <cellStyle name="Ç¥ÁØ_Áö¼öÁ¶Á¤À²_ºñ¸ñ±ºÆò±ÕÁö¼ö" xfId="8328" xr:uid="{00000000-0005-0000-0000-000086200000}"/>
    <cellStyle name="C￥AØ_Ao¼oA¶A¤A²_ºn¸n±ºÆo±OAo¼o_일-토목" xfId="8329" xr:uid="{00000000-0005-0000-0000-000087200000}"/>
    <cellStyle name="Ç¥ÁØ_Áö¼öÁ¶Á¤À²2" xfId="8330" xr:uid="{00000000-0005-0000-0000-000088200000}"/>
    <cellStyle name="C￥AØ_Ao¼oA¶A¤A²2_HY-단산출" xfId="8331" xr:uid="{00000000-0005-0000-0000-000089200000}"/>
    <cellStyle name="Ç¥ÁØ_ÀÚµ¿Á¦¾î" xfId="8332" xr:uid="{00000000-0005-0000-0000-00008A200000}"/>
    <cellStyle name="C￥AØ_Au·A¼OAIºÐ¼R" xfId="8333" xr:uid="{00000000-0005-0000-0000-00008B200000}"/>
    <cellStyle name="Ç¥ÁØ_Áý°è" xfId="8334" xr:uid="{00000000-0005-0000-0000-00008C200000}"/>
    <cellStyle name="C￥AØ_Ay°e_일-토목" xfId="8335" xr:uid="{00000000-0005-0000-0000-00008D200000}"/>
    <cellStyle name="Ç¥ÁØ_Áý°èÇ¥(2¿ù) " xfId="8336" xr:uid="{00000000-0005-0000-0000-00008E200000}"/>
    <cellStyle name="C￥AØ_Ay°eC￥°CAaºÐ_일-토목" xfId="8337" xr:uid="{00000000-0005-0000-0000-00008F200000}"/>
    <cellStyle name="Ç¥ÁØ_B" xfId="8338" xr:uid="{00000000-0005-0000-0000-000090200000}"/>
    <cellStyle name="C￥AØ_B_목록-조경 (2)" xfId="8339" xr:uid="{00000000-0005-0000-0000-000091200000}"/>
    <cellStyle name="Ç¥ÁØ_BOB-1" xfId="8340" xr:uid="{00000000-0005-0000-0000-000092200000}"/>
    <cellStyle name="C￥AØ_BOB-1_목록-조경 (2)" xfId="8341" xr:uid="{00000000-0005-0000-0000-000093200000}"/>
    <cellStyle name="Ç¥ÁØ_BOB-2" xfId="8342" xr:uid="{00000000-0005-0000-0000-000094200000}"/>
    <cellStyle name="C￥AØ_BOB-2_목록-조경 (2)" xfId="8343" xr:uid="{00000000-0005-0000-0000-000095200000}"/>
    <cellStyle name="Ç¥ÁØ_BOM°èÀå" xfId="8344" xr:uid="{00000000-0005-0000-0000-000096200000}"/>
    <cellStyle name="C￥AØ_BOM°eAa_일-토목" xfId="8345" xr:uid="{00000000-0005-0000-0000-000097200000}"/>
    <cellStyle name="Ç¥ÁØ_Ç°¼À(ÁöÀÔ) " xfId="8346" xr:uid="{00000000-0005-0000-0000-000098200000}"/>
    <cellStyle name="C￥AØ_CoAo¹yAI °A¾×¿ⓒ½A " xfId="8347" xr:uid="{00000000-0005-0000-0000-000099200000}"/>
    <cellStyle name="Ç¥ÁØ_EACT10" xfId="8348" xr:uid="{00000000-0005-0000-0000-00009A200000}"/>
    <cellStyle name="C￥AØ_HHHH001_HY-단산출" xfId="8349" xr:uid="{00000000-0005-0000-0000-00009B200000}"/>
    <cellStyle name="Ç¥ÁØ_HHHHH002" xfId="8350" xr:uid="{00000000-0005-0000-0000-00009C200000}"/>
    <cellStyle name="C￥AØ_HHHHH002_일-토목" xfId="8351" xr:uid="{00000000-0005-0000-0000-00009D200000}"/>
    <cellStyle name="Ç¥ÁØ_JENAE01" xfId="8352" xr:uid="{00000000-0005-0000-0000-00009E200000}"/>
    <cellStyle name="C￥AØ_JENAE01_일-토목" xfId="8353" xr:uid="{00000000-0005-0000-0000-00009F200000}"/>
    <cellStyle name="Ç¥ÁØ_JUN-MS05" xfId="8354" xr:uid="{00000000-0005-0000-0000-0000A0200000}"/>
    <cellStyle name="C￥AØ_JUN-MS05_일-토목" xfId="8355" xr:uid="{00000000-0005-0000-0000-0000A1200000}"/>
    <cellStyle name="Ç¥ÁØ_JUN-MS06" xfId="8356" xr:uid="{00000000-0005-0000-0000-0000A2200000}"/>
    <cellStyle name="C￥AØ_JUN-MS06_일-토목" xfId="8357" xr:uid="{00000000-0005-0000-0000-0000A3200000}"/>
    <cellStyle name="Ç¥ÁØ_KANG" xfId="8358" xr:uid="{00000000-0005-0000-0000-0000A4200000}"/>
    <cellStyle name="C￥AØ_KANG_일-토목" xfId="8359" xr:uid="{00000000-0005-0000-0000-0000A5200000}"/>
    <cellStyle name="Ç¥ÁØ_KUN" xfId="8360" xr:uid="{00000000-0005-0000-0000-0000A6200000}"/>
    <cellStyle name="C￥AØ_KUN_il-건축" xfId="8361" xr:uid="{00000000-0005-0000-0000-0000A7200000}"/>
    <cellStyle name="Ç¥ÁØ_laroux" xfId="8362" xr:uid="{00000000-0005-0000-0000-0000A8200000}"/>
    <cellStyle name="C￥AØ_laroux_°ø≫cºn¿¹≫e¼­" xfId="8363" xr:uid="{00000000-0005-0000-0000-0000A9200000}"/>
    <cellStyle name="Ç¥ÁØ_laroux_1" xfId="8364" xr:uid="{00000000-0005-0000-0000-0000AA200000}"/>
    <cellStyle name="C￥AØ_laroux_1_°ø≫cºn¿¹≫e¼­" xfId="8365" xr:uid="{00000000-0005-0000-0000-0000AB200000}"/>
    <cellStyle name="Ç¥ÁØ_laroux_1_Áý°èÇ¥°ÇÃàºÐ" xfId="8366" xr:uid="{00000000-0005-0000-0000-0000AC200000}"/>
    <cellStyle name="C￥AØ_laroux_1_Ay°eC￥°CAaºÐ_HY-단산출" xfId="8367" xr:uid="{00000000-0005-0000-0000-0000AD200000}"/>
    <cellStyle name="Ç¥ÁØ_laroux_1_laroux" xfId="8368" xr:uid="{00000000-0005-0000-0000-0000AE200000}"/>
    <cellStyle name="C￥AØ_laroux_1_laroux_HY-단산출" xfId="8369" xr:uid="{00000000-0005-0000-0000-0000AF200000}"/>
    <cellStyle name="Ç¥ÁØ_laroux_2" xfId="8370" xr:uid="{00000000-0005-0000-0000-0000B0200000}"/>
    <cellStyle name="C￥AØ_laroux_2_HY-단산출" xfId="8371" xr:uid="{00000000-0005-0000-0000-0000B1200000}"/>
    <cellStyle name="Ç¥ÁØ_laroux_3" xfId="8372" xr:uid="{00000000-0005-0000-0000-0000B2200000}"/>
    <cellStyle name="C￥AØ_laroux_3_목록-조경 (2)" xfId="8373" xr:uid="{00000000-0005-0000-0000-0000B3200000}"/>
    <cellStyle name="Ç¥ÁØ_laroux_4" xfId="8374" xr:uid="{00000000-0005-0000-0000-0000B4200000}"/>
    <cellStyle name="C￥AØ_laroux_5" xfId="8375" xr:uid="{00000000-0005-0000-0000-0000B5200000}"/>
    <cellStyle name="Ç¥ÁØ_laroux_5" xfId="8376" xr:uid="{00000000-0005-0000-0000-0000B6200000}"/>
    <cellStyle name="C￥AØ_laroux_5 2" xfId="8377" xr:uid="{00000000-0005-0000-0000-0000B7200000}"/>
    <cellStyle name="Ç¥ÁØ_laroux_Áý°èÇ¥°ÇÃàºÐ" xfId="8378" xr:uid="{00000000-0005-0000-0000-0000B8200000}"/>
    <cellStyle name="C￥AØ_laroux_Ay°eC￥°CAaºÐ_목록-조경 (2)" xfId="8379" xr:uid="{00000000-0005-0000-0000-0000B9200000}"/>
    <cellStyle name="Ç¥ÁØ_laroux_laroux" xfId="8380" xr:uid="{00000000-0005-0000-0000-0000BA200000}"/>
    <cellStyle name="C￥AØ_laroux_laroux_목록-조경 (2)" xfId="8381" xr:uid="{00000000-0005-0000-0000-0000BB200000}"/>
    <cellStyle name="Ç¥ÁØ_LIST01" xfId="8382" xr:uid="{00000000-0005-0000-0000-0000BC200000}"/>
    <cellStyle name="C￥AØ_LIST01_목록-조경 (2)" xfId="8383" xr:uid="{00000000-0005-0000-0000-0000BD200000}"/>
    <cellStyle name="Ç¥ÁØ_LIST03" xfId="8384" xr:uid="{00000000-0005-0000-0000-0000BE200000}"/>
    <cellStyle name="C￥AØ_LIST03_일-토목" xfId="8385" xr:uid="{00000000-0005-0000-0000-0000BF200000}"/>
    <cellStyle name="Ç¥ÁØ_NAE101" xfId="8386" xr:uid="{00000000-0005-0000-0000-0000C0200000}"/>
    <cellStyle name="C￥AØ_NAE101 (2)" xfId="8387" xr:uid="{00000000-0005-0000-0000-0000C1200000}"/>
    <cellStyle name="Ç¥ÁØ_NAE101 (2)" xfId="8388" xr:uid="{00000000-0005-0000-0000-0000C2200000}"/>
    <cellStyle name="C￥AØ_NAE101 (2)_일-토목" xfId="8389" xr:uid="{00000000-0005-0000-0000-0000C3200000}"/>
    <cellStyle name="Ç¥ÁØ_NAE201" xfId="8390" xr:uid="{00000000-0005-0000-0000-0000C4200000}"/>
    <cellStyle name="C￥AØ_NAE201_일-토목" xfId="8391" xr:uid="{00000000-0005-0000-0000-0000C5200000}"/>
    <cellStyle name="Ç¥ÁØ_NAE202" xfId="8392" xr:uid="{00000000-0005-0000-0000-0000C6200000}"/>
    <cellStyle name="C￥AØ_NAE202_목록-조경 (2)" xfId="8393" xr:uid="{00000000-0005-0000-0000-0000C7200000}"/>
    <cellStyle name="Ç¥ÁØ_NAE203" xfId="8394" xr:uid="{00000000-0005-0000-0000-0000C8200000}"/>
    <cellStyle name="C￥AØ_NAE203_HY-단산출" xfId="8395" xr:uid="{00000000-0005-0000-0000-0000C9200000}"/>
    <cellStyle name="Ç¥ÁØ_NAE204" xfId="8396" xr:uid="{00000000-0005-0000-0000-0000CA200000}"/>
    <cellStyle name="C￥AØ_NAE204_일-토목" xfId="8397" xr:uid="{00000000-0005-0000-0000-0000CB200000}"/>
    <cellStyle name="Ç¥ÁØ_NAE301" xfId="8398" xr:uid="{00000000-0005-0000-0000-0000CC200000}"/>
    <cellStyle name="C￥AØ_NAE301_목록-조경 (2)" xfId="8399" xr:uid="{00000000-0005-0000-0000-0000CD200000}"/>
    <cellStyle name="Ç¥ÁØ_º»¼±" xfId="8400" xr:uid="{00000000-0005-0000-0000-0000CE200000}"/>
    <cellStyle name="C￥AØ_º≫¼±" xfId="8401" xr:uid="{00000000-0005-0000-0000-0000CF200000}"/>
    <cellStyle name="Ç¥ÁØ_ºÎ´ëÅä°ø " xfId="8402" xr:uid="{00000000-0005-0000-0000-0000D0200000}"/>
    <cellStyle name="C￥AØ_ºn¸n±º(±a°e)_목록-조경 (2)" xfId="8403" xr:uid="{00000000-0005-0000-0000-0000D1200000}"/>
    <cellStyle name="Ç¥ÁØ_ºñ¸ñ±º(°ÇÃà)" xfId="8404" xr:uid="{00000000-0005-0000-0000-0000D2200000}"/>
    <cellStyle name="C￥AØ_ºn¸n±º(°CAa)_목록-조경 (2)" xfId="8405" xr:uid="{00000000-0005-0000-0000-0000D3200000}"/>
    <cellStyle name="Ç¥ÁØ_ºñ¸ñ±ºÆò±ÕÁö¼ö" xfId="8406" xr:uid="{00000000-0005-0000-0000-0000D4200000}"/>
    <cellStyle name="C￥AØ_ºn¸n±ºÆo±OAo¼o_HY-단산출" xfId="8407" xr:uid="{00000000-0005-0000-0000-0000D5200000}"/>
    <cellStyle name="Ç¥ÁØ_Sheet1" xfId="8408" xr:uid="{00000000-0005-0000-0000-0000D6200000}"/>
    <cellStyle name="C￥AØ_Sheet1_¿μ¾÷CoE² " xfId="8409" xr:uid="{00000000-0005-0000-0000-0000D7200000}"/>
    <cellStyle name="Calc Currency (0)" xfId="8410" xr:uid="{00000000-0005-0000-0000-0000D8200000}"/>
    <cellStyle name="Calc Currency (0) 2" xfId="8411" xr:uid="{00000000-0005-0000-0000-0000D9200000}"/>
    <cellStyle name="Calc Currency (0) 3" xfId="8412" xr:uid="{00000000-0005-0000-0000-0000DA200000}"/>
    <cellStyle name="Calc Currency (2)" xfId="8413" xr:uid="{00000000-0005-0000-0000-0000DB200000}"/>
    <cellStyle name="Calc Currency (2) 2" xfId="8414" xr:uid="{00000000-0005-0000-0000-0000DC200000}"/>
    <cellStyle name="Calc Currency (2) 3" xfId="8415" xr:uid="{00000000-0005-0000-0000-0000DD200000}"/>
    <cellStyle name="Calc Percent (0)" xfId="8416" xr:uid="{00000000-0005-0000-0000-0000DE200000}"/>
    <cellStyle name="Calc Percent (0) 2" xfId="8417" xr:uid="{00000000-0005-0000-0000-0000DF200000}"/>
    <cellStyle name="Calc Percent (0) 3" xfId="8418" xr:uid="{00000000-0005-0000-0000-0000E0200000}"/>
    <cellStyle name="Calc Percent (1)" xfId="8419" xr:uid="{00000000-0005-0000-0000-0000E1200000}"/>
    <cellStyle name="Calc Percent (1) 2" xfId="8420" xr:uid="{00000000-0005-0000-0000-0000E2200000}"/>
    <cellStyle name="Calc Percent (1) 3" xfId="8421" xr:uid="{00000000-0005-0000-0000-0000E3200000}"/>
    <cellStyle name="Calc Percent (2)" xfId="8422" xr:uid="{00000000-0005-0000-0000-0000E4200000}"/>
    <cellStyle name="Calc Percent (2) 2" xfId="8423" xr:uid="{00000000-0005-0000-0000-0000E5200000}"/>
    <cellStyle name="Calc Percent (2) 3" xfId="8424" xr:uid="{00000000-0005-0000-0000-0000E6200000}"/>
    <cellStyle name="Calc Units (0)" xfId="8425" xr:uid="{00000000-0005-0000-0000-0000E7200000}"/>
    <cellStyle name="Calc Units (0) 2" xfId="8426" xr:uid="{00000000-0005-0000-0000-0000E8200000}"/>
    <cellStyle name="Calc Units (0) 3" xfId="8427" xr:uid="{00000000-0005-0000-0000-0000E9200000}"/>
    <cellStyle name="Calc Units (1)" xfId="8428" xr:uid="{00000000-0005-0000-0000-0000EA200000}"/>
    <cellStyle name="Calc Units (1) 2" xfId="8429" xr:uid="{00000000-0005-0000-0000-0000EB200000}"/>
    <cellStyle name="Calc Units (1) 3" xfId="8430" xr:uid="{00000000-0005-0000-0000-0000EC200000}"/>
    <cellStyle name="Calc Units (2)" xfId="8431" xr:uid="{00000000-0005-0000-0000-0000ED200000}"/>
    <cellStyle name="Calc Units (2) 2" xfId="8432" xr:uid="{00000000-0005-0000-0000-0000EE200000}"/>
    <cellStyle name="Calc Units (2) 3" xfId="8433" xr:uid="{00000000-0005-0000-0000-0000EF200000}"/>
    <cellStyle name="Calculation" xfId="8434" xr:uid="{00000000-0005-0000-0000-0000F0200000}"/>
    <cellStyle name="Calculation 2" xfId="8435" xr:uid="{00000000-0005-0000-0000-0000F1200000}"/>
    <cellStyle name="category" xfId="8436" xr:uid="{00000000-0005-0000-0000-0000F2200000}"/>
    <cellStyle name="ce" xfId="8437" xr:uid="{00000000-0005-0000-0000-0000F3200000}"/>
    <cellStyle name="Check Cell" xfId="8438" xr:uid="{00000000-0005-0000-0000-0000F4200000}"/>
    <cellStyle name="CIAIÆU¸μAⓒ" xfId="8439" xr:uid="{00000000-0005-0000-0000-0000F5200000}"/>
    <cellStyle name="Çõ»ê" xfId="8440" xr:uid="{00000000-0005-0000-0000-0000F6200000}"/>
    <cellStyle name="Co≫" xfId="8441" xr:uid="{00000000-0005-0000-0000-0000F7200000}"/>
    <cellStyle name="Co≫ 2" xfId="8442" xr:uid="{00000000-0005-0000-0000-0000F8200000}"/>
    <cellStyle name="CO≫e" xfId="8443" xr:uid="{00000000-0005-0000-0000-0000F9200000}"/>
    <cellStyle name="ColHdr" xfId="8444" xr:uid="{00000000-0005-0000-0000-0000FA200000}"/>
    <cellStyle name="ColHdr 2" xfId="8445" xr:uid="{00000000-0005-0000-0000-0000FB200000}"/>
    <cellStyle name="ColHdr 2 2" xfId="8446" xr:uid="{00000000-0005-0000-0000-0000FC200000}"/>
    <cellStyle name="ColHdr 2 2 2" xfId="8447" xr:uid="{00000000-0005-0000-0000-0000FD200000}"/>
    <cellStyle name="ColHdr 2 3" xfId="8448" xr:uid="{00000000-0005-0000-0000-0000FE200000}"/>
    <cellStyle name="ColHdr 3" xfId="8449" xr:uid="{00000000-0005-0000-0000-0000FF200000}"/>
    <cellStyle name="ColHdr 3 2" xfId="8450" xr:uid="{00000000-0005-0000-0000-000000210000}"/>
    <cellStyle name="ColHdr 3 2 2" xfId="8451" xr:uid="{00000000-0005-0000-0000-000001210000}"/>
    <cellStyle name="ColHdr 3 3" xfId="8452" xr:uid="{00000000-0005-0000-0000-000002210000}"/>
    <cellStyle name="ColHdr 4" xfId="8453" xr:uid="{00000000-0005-0000-0000-000003210000}"/>
    <cellStyle name="ColHdr 4 2" xfId="8454" xr:uid="{00000000-0005-0000-0000-000004210000}"/>
    <cellStyle name="ColHdr 4 2 2" xfId="8455" xr:uid="{00000000-0005-0000-0000-000005210000}"/>
    <cellStyle name="ColHdr 4 3" xfId="8456" xr:uid="{00000000-0005-0000-0000-000006210000}"/>
    <cellStyle name="ColHdr 5" xfId="8457" xr:uid="{00000000-0005-0000-0000-000007210000}"/>
    <cellStyle name="Column Heading" xfId="8458" xr:uid="{00000000-0005-0000-0000-000008210000}"/>
    <cellStyle name="Column Headings" xfId="8459" xr:uid="{00000000-0005-0000-0000-000009210000}"/>
    <cellStyle name="columns_array" xfId="8460" xr:uid="{00000000-0005-0000-0000-00000A210000}"/>
    <cellStyle name="Comma" xfId="8461" xr:uid="{00000000-0005-0000-0000-00000B210000}"/>
    <cellStyle name="Comma  - Style2" xfId="8462" xr:uid="{00000000-0005-0000-0000-00000C210000}"/>
    <cellStyle name="Comma  - Style3" xfId="8463" xr:uid="{00000000-0005-0000-0000-00000D210000}"/>
    <cellStyle name="Comma  - Style4" xfId="8464" xr:uid="{00000000-0005-0000-0000-00000E210000}"/>
    <cellStyle name="Comma  - Style5" xfId="8465" xr:uid="{00000000-0005-0000-0000-00000F210000}"/>
    <cellStyle name="Comma  - Style6" xfId="8466" xr:uid="{00000000-0005-0000-0000-000010210000}"/>
    <cellStyle name="Comma  - Style7" xfId="8467" xr:uid="{00000000-0005-0000-0000-000011210000}"/>
    <cellStyle name="Comma  - Style8" xfId="8468" xr:uid="{00000000-0005-0000-0000-000012210000}"/>
    <cellStyle name="Comma [0]" xfId="8469" xr:uid="{00000000-0005-0000-0000-000013210000}"/>
    <cellStyle name="Comma [0] 10" xfId="8470" xr:uid="{00000000-0005-0000-0000-000014210000}"/>
    <cellStyle name="Comma [0] 11" xfId="8471" xr:uid="{00000000-0005-0000-0000-000015210000}"/>
    <cellStyle name="Comma [0] 12" xfId="8472" xr:uid="{00000000-0005-0000-0000-000016210000}"/>
    <cellStyle name="Comma [0] 13" xfId="8473" xr:uid="{00000000-0005-0000-0000-000017210000}"/>
    <cellStyle name="Comma [0] 14" xfId="8474" xr:uid="{00000000-0005-0000-0000-000018210000}"/>
    <cellStyle name="Comma [0] 2" xfId="8475" xr:uid="{00000000-0005-0000-0000-000019210000}"/>
    <cellStyle name="Comma [0] 2 10" xfId="8476" xr:uid="{00000000-0005-0000-0000-00001A210000}"/>
    <cellStyle name="Comma [0] 2 11" xfId="8477" xr:uid="{00000000-0005-0000-0000-00001B210000}"/>
    <cellStyle name="Comma [0] 2 12" xfId="8478" xr:uid="{00000000-0005-0000-0000-00001C210000}"/>
    <cellStyle name="Comma [0] 2 13" xfId="8479" xr:uid="{00000000-0005-0000-0000-00001D210000}"/>
    <cellStyle name="Comma [0] 2 2" xfId="8480" xr:uid="{00000000-0005-0000-0000-00001E210000}"/>
    <cellStyle name="Comma [0] 2 3" xfId="8481" xr:uid="{00000000-0005-0000-0000-00001F210000}"/>
    <cellStyle name="Comma [0] 2 4" xfId="8482" xr:uid="{00000000-0005-0000-0000-000020210000}"/>
    <cellStyle name="Comma [0] 2 5" xfId="8483" xr:uid="{00000000-0005-0000-0000-000021210000}"/>
    <cellStyle name="Comma [0] 2 6" xfId="8484" xr:uid="{00000000-0005-0000-0000-000022210000}"/>
    <cellStyle name="Comma [0] 2 7" xfId="8485" xr:uid="{00000000-0005-0000-0000-000023210000}"/>
    <cellStyle name="Comma [0] 2 8" xfId="8486" xr:uid="{00000000-0005-0000-0000-000024210000}"/>
    <cellStyle name="Comma [0] 2 9" xfId="8487" xr:uid="{00000000-0005-0000-0000-000025210000}"/>
    <cellStyle name="Comma [0] 3" xfId="8488" xr:uid="{00000000-0005-0000-0000-000026210000}"/>
    <cellStyle name="Comma [0] 4" xfId="8489" xr:uid="{00000000-0005-0000-0000-000027210000}"/>
    <cellStyle name="Comma [0] 5" xfId="8490" xr:uid="{00000000-0005-0000-0000-000028210000}"/>
    <cellStyle name="Comma [0] 6" xfId="8491" xr:uid="{00000000-0005-0000-0000-000029210000}"/>
    <cellStyle name="Comma [0] 7" xfId="8492" xr:uid="{00000000-0005-0000-0000-00002A210000}"/>
    <cellStyle name="Comma [0] 8" xfId="8493" xr:uid="{00000000-0005-0000-0000-00002B210000}"/>
    <cellStyle name="Comma [0] 9" xfId="8494" xr:uid="{00000000-0005-0000-0000-00002C210000}"/>
    <cellStyle name="Comma [0]_ SG&amp;A Bridge " xfId="8495" xr:uid="{00000000-0005-0000-0000-00002D210000}"/>
    <cellStyle name="Comma [00]" xfId="8496" xr:uid="{00000000-0005-0000-0000-00002E210000}"/>
    <cellStyle name="Comma [00] 2" xfId="8497" xr:uid="{00000000-0005-0000-0000-00002F210000}"/>
    <cellStyle name="Comma [00] 3" xfId="8498" xr:uid="{00000000-0005-0000-0000-000030210000}"/>
    <cellStyle name="Comma 10" xfId="8499" xr:uid="{00000000-0005-0000-0000-000031210000}"/>
    <cellStyle name="Comma 11" xfId="8500" xr:uid="{00000000-0005-0000-0000-000032210000}"/>
    <cellStyle name="Comma 12" xfId="8501" xr:uid="{00000000-0005-0000-0000-000033210000}"/>
    <cellStyle name="Comma 13" xfId="8502" xr:uid="{00000000-0005-0000-0000-000034210000}"/>
    <cellStyle name="Comma 14" xfId="8503" xr:uid="{00000000-0005-0000-0000-000035210000}"/>
    <cellStyle name="Comma 15" xfId="8504" xr:uid="{00000000-0005-0000-0000-000036210000}"/>
    <cellStyle name="Comma 16" xfId="8505" xr:uid="{00000000-0005-0000-0000-000037210000}"/>
    <cellStyle name="Comma 17" xfId="8506" xr:uid="{00000000-0005-0000-0000-000038210000}"/>
    <cellStyle name="Comma 18" xfId="8507" xr:uid="{00000000-0005-0000-0000-000039210000}"/>
    <cellStyle name="Comma 19" xfId="8508" xr:uid="{00000000-0005-0000-0000-00003A210000}"/>
    <cellStyle name="Comma 2" xfId="8509" xr:uid="{00000000-0005-0000-0000-00003B210000}"/>
    <cellStyle name="Comma 20" xfId="8510" xr:uid="{00000000-0005-0000-0000-00003C210000}"/>
    <cellStyle name="Comma 21" xfId="8511" xr:uid="{00000000-0005-0000-0000-00003D210000}"/>
    <cellStyle name="Comma 22" xfId="8512" xr:uid="{00000000-0005-0000-0000-00003E210000}"/>
    <cellStyle name="Comma 23" xfId="8513" xr:uid="{00000000-0005-0000-0000-00003F210000}"/>
    <cellStyle name="Comma 24" xfId="8514" xr:uid="{00000000-0005-0000-0000-000040210000}"/>
    <cellStyle name="Comma 25" xfId="8515" xr:uid="{00000000-0005-0000-0000-000041210000}"/>
    <cellStyle name="Comma 26" xfId="8516" xr:uid="{00000000-0005-0000-0000-000042210000}"/>
    <cellStyle name="Comma 27" xfId="8517" xr:uid="{00000000-0005-0000-0000-000043210000}"/>
    <cellStyle name="Comma 28" xfId="8518" xr:uid="{00000000-0005-0000-0000-000044210000}"/>
    <cellStyle name="Comma 29" xfId="8519" xr:uid="{00000000-0005-0000-0000-000045210000}"/>
    <cellStyle name="Comma 3" xfId="8520" xr:uid="{00000000-0005-0000-0000-000046210000}"/>
    <cellStyle name="Comma 30" xfId="8521" xr:uid="{00000000-0005-0000-0000-000047210000}"/>
    <cellStyle name="Comma 31" xfId="8522" xr:uid="{00000000-0005-0000-0000-000048210000}"/>
    <cellStyle name="Comma 32" xfId="8523" xr:uid="{00000000-0005-0000-0000-000049210000}"/>
    <cellStyle name="Comma 4" xfId="8524" xr:uid="{00000000-0005-0000-0000-00004A210000}"/>
    <cellStyle name="Comma 5" xfId="8525" xr:uid="{00000000-0005-0000-0000-00004B210000}"/>
    <cellStyle name="Comma 6" xfId="8526" xr:uid="{00000000-0005-0000-0000-00004C210000}"/>
    <cellStyle name="Comma 7" xfId="8527" xr:uid="{00000000-0005-0000-0000-00004D210000}"/>
    <cellStyle name="Comma 8" xfId="8528" xr:uid="{00000000-0005-0000-0000-00004E210000}"/>
    <cellStyle name="Comma 9" xfId="8529" xr:uid="{00000000-0005-0000-0000-00004F210000}"/>
    <cellStyle name="comma zerodec" xfId="8530" xr:uid="{00000000-0005-0000-0000-000050210000}"/>
    <cellStyle name="comma zerodec 2" xfId="8531" xr:uid="{00000000-0005-0000-0000-000051210000}"/>
    <cellStyle name="comma zerodec 3" xfId="8532" xr:uid="{00000000-0005-0000-0000-000052210000}"/>
    <cellStyle name="comma zerodec 4" xfId="8533" xr:uid="{00000000-0005-0000-0000-000053210000}"/>
    <cellStyle name="comma zerodec 5" xfId="8534" xr:uid="{00000000-0005-0000-0000-000054210000}"/>
    <cellStyle name="Comma 地0]_Values_우수공~1" xfId="8535" xr:uid="{00000000-0005-0000-0000-000055210000}"/>
    <cellStyle name="Comma_ SG&amp;A Bridge" xfId="8536" xr:uid="{00000000-0005-0000-0000-000056210000}"/>
    <cellStyle name="Comma0" xfId="8537" xr:uid="{00000000-0005-0000-0000-000057210000}"/>
    <cellStyle name="Comma0 2" xfId="8538" xr:uid="{00000000-0005-0000-0000-000058210000}"/>
    <cellStyle name="Comma0 3" xfId="8539" xr:uid="{00000000-0005-0000-0000-000059210000}"/>
    <cellStyle name="Commm_laroux_12~3SO2_97회비_laroux" xfId="8540" xr:uid="{00000000-0005-0000-0000-00005A210000}"/>
    <cellStyle name="Comm뼬_E&amp;ONW2" xfId="8541" xr:uid="{00000000-0005-0000-0000-00005B210000}"/>
    <cellStyle name="Company Info" xfId="8542" xr:uid="{00000000-0005-0000-0000-00005C210000}"/>
    <cellStyle name="Contents Heading 1" xfId="8543" xr:uid="{00000000-0005-0000-0000-00005D210000}"/>
    <cellStyle name="Contents Heading 2" xfId="8544" xr:uid="{00000000-0005-0000-0000-00005E210000}"/>
    <cellStyle name="Contents Heading 3" xfId="8545" xr:uid="{00000000-0005-0000-0000-00005F210000}"/>
    <cellStyle name="Copied" xfId="8546" xr:uid="{00000000-0005-0000-0000-000060210000}"/>
    <cellStyle name="CoverHeadline1" xfId="8547" xr:uid="{00000000-0005-0000-0000-000061210000}"/>
    <cellStyle name="Curr" xfId="8548" xr:uid="{00000000-0005-0000-0000-000062210000}"/>
    <cellStyle name="Curr 2" xfId="8549" xr:uid="{00000000-0005-0000-0000-000063210000}"/>
    <cellStyle name="Curr 2 2" xfId="8550" xr:uid="{00000000-0005-0000-0000-000064210000}"/>
    <cellStyle name="Curr 2 2 2" xfId="8551" xr:uid="{00000000-0005-0000-0000-000065210000}"/>
    <cellStyle name="Curr 2 3" xfId="8552" xr:uid="{00000000-0005-0000-0000-000066210000}"/>
    <cellStyle name="Curr 3" xfId="8553" xr:uid="{00000000-0005-0000-0000-000067210000}"/>
    <cellStyle name="Curr 3 2" xfId="8554" xr:uid="{00000000-0005-0000-0000-000068210000}"/>
    <cellStyle name="Curr 3 2 2" xfId="8555" xr:uid="{00000000-0005-0000-0000-000069210000}"/>
    <cellStyle name="Curr 3 3" xfId="8556" xr:uid="{00000000-0005-0000-0000-00006A210000}"/>
    <cellStyle name="Curr 4" xfId="8557" xr:uid="{00000000-0005-0000-0000-00006B210000}"/>
    <cellStyle name="Curr 4 2" xfId="8558" xr:uid="{00000000-0005-0000-0000-00006C210000}"/>
    <cellStyle name="Curr 4 2 2" xfId="8559" xr:uid="{00000000-0005-0000-0000-00006D210000}"/>
    <cellStyle name="Curr 4 3" xfId="8560" xr:uid="{00000000-0005-0000-0000-00006E210000}"/>
    <cellStyle name="Curr 5" xfId="8561" xr:uid="{00000000-0005-0000-0000-00006F210000}"/>
    <cellStyle name="Curren" xfId="8562" xr:uid="{00000000-0005-0000-0000-000070210000}"/>
    <cellStyle name="Curren?_x0012_퐀_x0017_?" xfId="8563" xr:uid="{00000000-0005-0000-0000-000071210000}"/>
    <cellStyle name="Curren?_x0012_퐀_x0017_? 2" xfId="8564" xr:uid="{00000000-0005-0000-0000-000072210000}"/>
    <cellStyle name="Curren?_x0012_퐀_x0017_? 3" xfId="8565" xr:uid="{00000000-0005-0000-0000-000073210000}"/>
    <cellStyle name="Currenby_Cash&amp;DSO Chart" xfId="8566" xr:uid="{00000000-0005-0000-0000-000074210000}"/>
    <cellStyle name="Currency" xfId="8567" xr:uid="{00000000-0005-0000-0000-000075210000}"/>
    <cellStyle name="Currency [0]" xfId="8568" xr:uid="{00000000-0005-0000-0000-000076210000}"/>
    <cellStyle name="Currency [0] 10" xfId="8569" xr:uid="{00000000-0005-0000-0000-000077210000}"/>
    <cellStyle name="Currency [0] 11" xfId="8570" xr:uid="{00000000-0005-0000-0000-000078210000}"/>
    <cellStyle name="Currency [0] 12" xfId="8571" xr:uid="{00000000-0005-0000-0000-000079210000}"/>
    <cellStyle name="Currency [0] 13" xfId="8572" xr:uid="{00000000-0005-0000-0000-00007A210000}"/>
    <cellStyle name="Currency [0] 14" xfId="8573" xr:uid="{00000000-0005-0000-0000-00007B210000}"/>
    <cellStyle name="Currency [0] 15" xfId="8574" xr:uid="{00000000-0005-0000-0000-00007C210000}"/>
    <cellStyle name="Currency [0] 16" xfId="8575" xr:uid="{00000000-0005-0000-0000-00007D210000}"/>
    <cellStyle name="Currency [0] 2" xfId="8576" xr:uid="{00000000-0005-0000-0000-00007E210000}"/>
    <cellStyle name="Currency [0] 2 10" xfId="8577" xr:uid="{00000000-0005-0000-0000-00007F210000}"/>
    <cellStyle name="Currency [0] 2 11" xfId="8578" xr:uid="{00000000-0005-0000-0000-000080210000}"/>
    <cellStyle name="Currency [0] 2 12" xfId="8579" xr:uid="{00000000-0005-0000-0000-000081210000}"/>
    <cellStyle name="Currency [0] 2 13" xfId="8580" xr:uid="{00000000-0005-0000-0000-000082210000}"/>
    <cellStyle name="Currency [0] 2 2" xfId="8581" xr:uid="{00000000-0005-0000-0000-000083210000}"/>
    <cellStyle name="Currency [0] 2 3" xfId="8582" xr:uid="{00000000-0005-0000-0000-000084210000}"/>
    <cellStyle name="Currency [0] 2 4" xfId="8583" xr:uid="{00000000-0005-0000-0000-000085210000}"/>
    <cellStyle name="Currency [0] 2 5" xfId="8584" xr:uid="{00000000-0005-0000-0000-000086210000}"/>
    <cellStyle name="Currency [0] 2 6" xfId="8585" xr:uid="{00000000-0005-0000-0000-000087210000}"/>
    <cellStyle name="Currency [0] 2 7" xfId="8586" xr:uid="{00000000-0005-0000-0000-000088210000}"/>
    <cellStyle name="Currency [0] 2 8" xfId="8587" xr:uid="{00000000-0005-0000-0000-000089210000}"/>
    <cellStyle name="Currency [0] 2 9" xfId="8588" xr:uid="{00000000-0005-0000-0000-00008A210000}"/>
    <cellStyle name="Currency [0] 3" xfId="8589" xr:uid="{00000000-0005-0000-0000-00008B210000}"/>
    <cellStyle name="Currency [0] 4" xfId="8590" xr:uid="{00000000-0005-0000-0000-00008C210000}"/>
    <cellStyle name="Currency [0] 5" xfId="8591" xr:uid="{00000000-0005-0000-0000-00008D210000}"/>
    <cellStyle name="Currency [0] 6" xfId="8592" xr:uid="{00000000-0005-0000-0000-00008E210000}"/>
    <cellStyle name="Currency [0] 7" xfId="8593" xr:uid="{00000000-0005-0000-0000-00008F210000}"/>
    <cellStyle name="Currency [0] 8" xfId="8594" xr:uid="{00000000-0005-0000-0000-000090210000}"/>
    <cellStyle name="Currency [0] 9" xfId="8595" xr:uid="{00000000-0005-0000-0000-000091210000}"/>
    <cellStyle name="Currency [0]_ SG&amp;A Bridge " xfId="8596" xr:uid="{00000000-0005-0000-0000-000092210000}"/>
    <cellStyle name="Currency [00]" xfId="8597" xr:uid="{00000000-0005-0000-0000-000093210000}"/>
    <cellStyle name="Currency [ﺜ]_P&amp;L_laroux" xfId="8598" xr:uid="{00000000-0005-0000-0000-000094210000}"/>
    <cellStyle name="Currency 10" xfId="8599" xr:uid="{00000000-0005-0000-0000-000095210000}"/>
    <cellStyle name="Currency 11" xfId="8600" xr:uid="{00000000-0005-0000-0000-000096210000}"/>
    <cellStyle name="Currency 12" xfId="8601" xr:uid="{00000000-0005-0000-0000-000097210000}"/>
    <cellStyle name="Currency 13" xfId="8602" xr:uid="{00000000-0005-0000-0000-000098210000}"/>
    <cellStyle name="Currency 14" xfId="8603" xr:uid="{00000000-0005-0000-0000-000099210000}"/>
    <cellStyle name="Currency 15" xfId="8604" xr:uid="{00000000-0005-0000-0000-00009A210000}"/>
    <cellStyle name="Currency 16" xfId="8605" xr:uid="{00000000-0005-0000-0000-00009B210000}"/>
    <cellStyle name="Currency 17" xfId="8606" xr:uid="{00000000-0005-0000-0000-00009C210000}"/>
    <cellStyle name="Currency 18" xfId="8607" xr:uid="{00000000-0005-0000-0000-00009D210000}"/>
    <cellStyle name="Currency 19" xfId="8608" xr:uid="{00000000-0005-0000-0000-00009E210000}"/>
    <cellStyle name="Currency 2" xfId="8609" xr:uid="{00000000-0005-0000-0000-00009F210000}"/>
    <cellStyle name="Currency 2 2" xfId="8610" xr:uid="{00000000-0005-0000-0000-0000A0210000}"/>
    <cellStyle name="Currency 2 3" xfId="8611" xr:uid="{00000000-0005-0000-0000-0000A1210000}"/>
    <cellStyle name="Currency 20" xfId="8612" xr:uid="{00000000-0005-0000-0000-0000A2210000}"/>
    <cellStyle name="Currency 21" xfId="8613" xr:uid="{00000000-0005-0000-0000-0000A3210000}"/>
    <cellStyle name="Currency 22" xfId="8614" xr:uid="{00000000-0005-0000-0000-0000A4210000}"/>
    <cellStyle name="Currency 23" xfId="8615" xr:uid="{00000000-0005-0000-0000-0000A5210000}"/>
    <cellStyle name="Currency 24" xfId="8616" xr:uid="{00000000-0005-0000-0000-0000A6210000}"/>
    <cellStyle name="Currency 25" xfId="8617" xr:uid="{00000000-0005-0000-0000-0000A7210000}"/>
    <cellStyle name="Currency 26" xfId="8618" xr:uid="{00000000-0005-0000-0000-0000A8210000}"/>
    <cellStyle name="Currency 27" xfId="8619" xr:uid="{00000000-0005-0000-0000-0000A9210000}"/>
    <cellStyle name="Currency 28" xfId="8620" xr:uid="{00000000-0005-0000-0000-0000AA210000}"/>
    <cellStyle name="Currency 29" xfId="8621" xr:uid="{00000000-0005-0000-0000-0000AB210000}"/>
    <cellStyle name="Currency 3" xfId="8622" xr:uid="{00000000-0005-0000-0000-0000AC210000}"/>
    <cellStyle name="Currency 3 2" xfId="8623" xr:uid="{00000000-0005-0000-0000-0000AD210000}"/>
    <cellStyle name="Currency 3 3" xfId="8624" xr:uid="{00000000-0005-0000-0000-0000AE210000}"/>
    <cellStyle name="Currency 30" xfId="8625" xr:uid="{00000000-0005-0000-0000-0000AF210000}"/>
    <cellStyle name="Currency 31" xfId="8626" xr:uid="{00000000-0005-0000-0000-0000B0210000}"/>
    <cellStyle name="Currency 32" xfId="8627" xr:uid="{00000000-0005-0000-0000-0000B1210000}"/>
    <cellStyle name="Currency 4" xfId="8628" xr:uid="{00000000-0005-0000-0000-0000B2210000}"/>
    <cellStyle name="Currency 5" xfId="8629" xr:uid="{00000000-0005-0000-0000-0000B3210000}"/>
    <cellStyle name="Currency 6" xfId="8630" xr:uid="{00000000-0005-0000-0000-0000B4210000}"/>
    <cellStyle name="Currency 7" xfId="8631" xr:uid="{00000000-0005-0000-0000-0000B5210000}"/>
    <cellStyle name="Currency 8" xfId="8632" xr:uid="{00000000-0005-0000-0000-0000B6210000}"/>
    <cellStyle name="Currency 9" xfId="8633" xr:uid="{00000000-0005-0000-0000-0000B7210000}"/>
    <cellStyle name="currency-$" xfId="8634" xr:uid="{00000000-0005-0000-0000-0000B8210000}"/>
    <cellStyle name="Currency(￦)" xfId="8635" xr:uid="{00000000-0005-0000-0000-0000B9210000}"/>
    <cellStyle name="Currency_ SG&amp;A Bridge" xfId="8636" xr:uid="{00000000-0005-0000-0000-0000BA210000}"/>
    <cellStyle name="Currency0" xfId="8637" xr:uid="{00000000-0005-0000-0000-0000BB210000}"/>
    <cellStyle name="Currency0 10" xfId="8638" xr:uid="{00000000-0005-0000-0000-0000BC210000}"/>
    <cellStyle name="Currency0 11" xfId="8639" xr:uid="{00000000-0005-0000-0000-0000BD210000}"/>
    <cellStyle name="Currency0 12" xfId="8640" xr:uid="{00000000-0005-0000-0000-0000BE210000}"/>
    <cellStyle name="Currency0 13" xfId="8641" xr:uid="{00000000-0005-0000-0000-0000BF210000}"/>
    <cellStyle name="Currency0 14" xfId="8642" xr:uid="{00000000-0005-0000-0000-0000C0210000}"/>
    <cellStyle name="Currency0 15" xfId="8643" xr:uid="{00000000-0005-0000-0000-0000C1210000}"/>
    <cellStyle name="Currency0 16" xfId="8644" xr:uid="{00000000-0005-0000-0000-0000C2210000}"/>
    <cellStyle name="Currency0 2" xfId="8645" xr:uid="{00000000-0005-0000-0000-0000C3210000}"/>
    <cellStyle name="Currency0 2 10" xfId="8646" xr:uid="{00000000-0005-0000-0000-0000C4210000}"/>
    <cellStyle name="Currency0 2 11" xfId="8647" xr:uid="{00000000-0005-0000-0000-0000C5210000}"/>
    <cellStyle name="Currency0 2 2" xfId="8648" xr:uid="{00000000-0005-0000-0000-0000C6210000}"/>
    <cellStyle name="Currency0 2 3" xfId="8649" xr:uid="{00000000-0005-0000-0000-0000C7210000}"/>
    <cellStyle name="Currency0 2 4" xfId="8650" xr:uid="{00000000-0005-0000-0000-0000C8210000}"/>
    <cellStyle name="Currency0 2 5" xfId="8651" xr:uid="{00000000-0005-0000-0000-0000C9210000}"/>
    <cellStyle name="Currency0 2 6" xfId="8652" xr:uid="{00000000-0005-0000-0000-0000CA210000}"/>
    <cellStyle name="Currency0 2 7" xfId="8653" xr:uid="{00000000-0005-0000-0000-0000CB210000}"/>
    <cellStyle name="Currency0 2 8" xfId="8654" xr:uid="{00000000-0005-0000-0000-0000CC210000}"/>
    <cellStyle name="Currency0 2 9" xfId="8655" xr:uid="{00000000-0005-0000-0000-0000CD210000}"/>
    <cellStyle name="Currency0 3" xfId="8656" xr:uid="{00000000-0005-0000-0000-0000CE210000}"/>
    <cellStyle name="Currency0 4" xfId="8657" xr:uid="{00000000-0005-0000-0000-0000CF210000}"/>
    <cellStyle name="Currency0 5" xfId="8658" xr:uid="{00000000-0005-0000-0000-0000D0210000}"/>
    <cellStyle name="Currency0 6" xfId="8659" xr:uid="{00000000-0005-0000-0000-0000D1210000}"/>
    <cellStyle name="Currency0 7" xfId="8660" xr:uid="{00000000-0005-0000-0000-0000D2210000}"/>
    <cellStyle name="Currency0 8" xfId="8661" xr:uid="{00000000-0005-0000-0000-0000D3210000}"/>
    <cellStyle name="Currency0 9" xfId="8662" xr:uid="{00000000-0005-0000-0000-0000D4210000}"/>
    <cellStyle name="Currency1" xfId="8663" xr:uid="{00000000-0005-0000-0000-0000D5210000}"/>
    <cellStyle name="Currency1 2" xfId="8664" xr:uid="{00000000-0005-0000-0000-0000D6210000}"/>
    <cellStyle name="Currency1 2 2" xfId="8665" xr:uid="{00000000-0005-0000-0000-0000D7210000}"/>
    <cellStyle name="Currency1 2 3" xfId="8666" xr:uid="{00000000-0005-0000-0000-0000D8210000}"/>
    <cellStyle name="Currency1 3" xfId="8667" xr:uid="{00000000-0005-0000-0000-0000D9210000}"/>
    <cellStyle name="Currency1 4" xfId="8668" xr:uid="{00000000-0005-0000-0000-0000DA210000}"/>
    <cellStyle name="Currency1 5" xfId="8669" xr:uid="{00000000-0005-0000-0000-0000DB210000}"/>
    <cellStyle name="Currency1 6" xfId="8670" xr:uid="{00000000-0005-0000-0000-0000DC210000}"/>
    <cellStyle name="Currency1_5.0순공사비산출서(전체)" xfId="8671" xr:uid="{00000000-0005-0000-0000-0000DD210000}"/>
    <cellStyle name="Data" xfId="8672" xr:uid="{00000000-0005-0000-0000-0000DE210000}"/>
    <cellStyle name="Date" xfId="8673" xr:uid="{00000000-0005-0000-0000-0000DF210000}"/>
    <cellStyle name="Date 2" xfId="8674" xr:uid="{00000000-0005-0000-0000-0000E0210000}"/>
    <cellStyle name="Date 3" xfId="8675" xr:uid="{00000000-0005-0000-0000-0000E1210000}"/>
    <cellStyle name="Date Short" xfId="8676" xr:uid="{00000000-0005-0000-0000-0000E2210000}"/>
    <cellStyle name="Date_0.무심천 및 율량처리분구 분류식화 관거정비계획 용역내역서-20억" xfId="8677" xr:uid="{00000000-0005-0000-0000-0000E3210000}"/>
    <cellStyle name="Dezimal [0]_Compiling Utility Macros" xfId="8678" xr:uid="{00000000-0005-0000-0000-0000E4210000}"/>
    <cellStyle name="Dezimal_Compiling Utility Macros" xfId="8679" xr:uid="{00000000-0005-0000-0000-0000E5210000}"/>
    <cellStyle name="Display" xfId="8680" xr:uid="{00000000-0005-0000-0000-0000E6210000}"/>
    <cellStyle name="Display 2" xfId="8681" xr:uid="{00000000-0005-0000-0000-0000E7210000}"/>
    <cellStyle name="Display 2 2" xfId="8682" xr:uid="{00000000-0005-0000-0000-0000E8210000}"/>
    <cellStyle name="Display 2 2 2" xfId="8683" xr:uid="{00000000-0005-0000-0000-0000E9210000}"/>
    <cellStyle name="Display 2 3" xfId="8684" xr:uid="{00000000-0005-0000-0000-0000EA210000}"/>
    <cellStyle name="Display 3" xfId="8685" xr:uid="{00000000-0005-0000-0000-0000EB210000}"/>
    <cellStyle name="Display 3 2" xfId="8686" xr:uid="{00000000-0005-0000-0000-0000EC210000}"/>
    <cellStyle name="Display 3 2 2" xfId="8687" xr:uid="{00000000-0005-0000-0000-0000ED210000}"/>
    <cellStyle name="Display 3 3" xfId="8688" xr:uid="{00000000-0005-0000-0000-0000EE210000}"/>
    <cellStyle name="Display 4" xfId="8689" xr:uid="{00000000-0005-0000-0000-0000EF210000}"/>
    <cellStyle name="Display 4 2" xfId="8690" xr:uid="{00000000-0005-0000-0000-0000F0210000}"/>
    <cellStyle name="Display 5" xfId="8691" xr:uid="{00000000-0005-0000-0000-0000F1210000}"/>
    <cellStyle name="Display Price" xfId="8692" xr:uid="{00000000-0005-0000-0000-0000F2210000}"/>
    <cellStyle name="Display Price 2" xfId="8693" xr:uid="{00000000-0005-0000-0000-0000F3210000}"/>
    <cellStyle name="Display Price 2 2" xfId="8694" xr:uid="{00000000-0005-0000-0000-0000F4210000}"/>
    <cellStyle name="Display Price 2 2 2" xfId="8695" xr:uid="{00000000-0005-0000-0000-0000F5210000}"/>
    <cellStyle name="Display Price 2 3" xfId="8696" xr:uid="{00000000-0005-0000-0000-0000F6210000}"/>
    <cellStyle name="Display Price 3" xfId="8697" xr:uid="{00000000-0005-0000-0000-0000F7210000}"/>
    <cellStyle name="Display Price 3 2" xfId="8698" xr:uid="{00000000-0005-0000-0000-0000F8210000}"/>
    <cellStyle name="Display Price 3 2 2" xfId="8699" xr:uid="{00000000-0005-0000-0000-0000F9210000}"/>
    <cellStyle name="Display Price 3 3" xfId="8700" xr:uid="{00000000-0005-0000-0000-0000FA210000}"/>
    <cellStyle name="Display Price 4" xfId="8701" xr:uid="{00000000-0005-0000-0000-0000FB210000}"/>
    <cellStyle name="Display Price 4 2" xfId="8702" xr:uid="{00000000-0005-0000-0000-0000FC210000}"/>
    <cellStyle name="Display Price 5" xfId="8703" xr:uid="{00000000-0005-0000-0000-0000FD210000}"/>
    <cellStyle name="Dollar (zero dec)" xfId="8704" xr:uid="{00000000-0005-0000-0000-0000FE210000}"/>
    <cellStyle name="Dollar (zero dec) 2" xfId="8705" xr:uid="{00000000-0005-0000-0000-0000FF210000}"/>
    <cellStyle name="Dollar (zero dec) 3" xfId="8706" xr:uid="{00000000-0005-0000-0000-000000220000}"/>
    <cellStyle name="Dollar (zero dec) 4" xfId="8707" xr:uid="{00000000-0005-0000-0000-000001220000}"/>
    <cellStyle name="Dollar (zero dec) 5" xfId="8708" xr:uid="{00000000-0005-0000-0000-000002220000}"/>
    <cellStyle name="EA" xfId="8709" xr:uid="{00000000-0005-0000-0000-000003220000}"/>
    <cellStyle name="E­æo±" xfId="8710" xr:uid="{00000000-0005-0000-0000-000004220000}"/>
    <cellStyle name="E­æo± 2" xfId="8711" xr:uid="{00000000-0005-0000-0000-000005220000}"/>
    <cellStyle name="E­æo±a" xfId="8712" xr:uid="{00000000-0005-0000-0000-000006220000}"/>
    <cellStyle name="E­æo±a 2" xfId="8713" xr:uid="{00000000-0005-0000-0000-000007220000}"/>
    <cellStyle name="E­Æo±aE￡" xfId="8714" xr:uid="{00000000-0005-0000-0000-000008220000}"/>
    <cellStyle name="È­æó±âè£" xfId="8715" xr:uid="{00000000-0005-0000-0000-000009220000}"/>
    <cellStyle name="E­Æo±aE￡ 2" xfId="8716" xr:uid="{00000000-0005-0000-0000-00000A220000}"/>
    <cellStyle name="E­Æo±aE￡_일-토목" xfId="8717" xr:uid="{00000000-0005-0000-0000-00000B220000}"/>
    <cellStyle name="È­Æó±âÈ£_지하시설물조사측량(R1)" xfId="8718" xr:uid="{00000000-0005-0000-0000-00000C220000}"/>
    <cellStyle name="E­Æo±aE￡0" xfId="8719" xr:uid="{00000000-0005-0000-0000-00000D220000}"/>
    <cellStyle name="È­æó±âè£0" xfId="8720" xr:uid="{00000000-0005-0000-0000-00000E220000}"/>
    <cellStyle name="E­Æo±aE￡0 2" xfId="8721" xr:uid="{00000000-0005-0000-0000-00000F220000}"/>
    <cellStyle name="E­Æo±aE￡0_일-토목" xfId="8722" xr:uid="{00000000-0005-0000-0000-000010220000}"/>
    <cellStyle name="È­Æó±âÈ£0_지하시설물조사측량(R1)" xfId="8723" xr:uid="{00000000-0005-0000-0000-000011220000}"/>
    <cellStyle name="eet1_Q1" xfId="8724" xr:uid="{00000000-0005-0000-0000-000012220000}"/>
    <cellStyle name="Emphasis 1" xfId="8725" xr:uid="{00000000-0005-0000-0000-000013220000}"/>
    <cellStyle name="Emphasis 2" xfId="8726" xr:uid="{00000000-0005-0000-0000-000014220000}"/>
    <cellStyle name="Emphasis 3" xfId="8727" xr:uid="{00000000-0005-0000-0000-000015220000}"/>
    <cellStyle name="Enter Currency (0)" xfId="8728" xr:uid="{00000000-0005-0000-0000-000016220000}"/>
    <cellStyle name="Enter Currency (2)" xfId="8729" xr:uid="{00000000-0005-0000-0000-000017220000}"/>
    <cellStyle name="Enter Units (0)" xfId="8730" xr:uid="{00000000-0005-0000-0000-000018220000}"/>
    <cellStyle name="Enter Units (1)" xfId="8731" xr:uid="{00000000-0005-0000-0000-000019220000}"/>
    <cellStyle name="Enter Units (2)" xfId="8732" xr:uid="{00000000-0005-0000-0000-00001A220000}"/>
    <cellStyle name="Entered" xfId="8733" xr:uid="{00000000-0005-0000-0000-00001B220000}"/>
    <cellStyle name="Euro" xfId="8734" xr:uid="{00000000-0005-0000-0000-00001C220000}"/>
    <cellStyle name="Euro 10" xfId="8735" xr:uid="{00000000-0005-0000-0000-00001D220000}"/>
    <cellStyle name="Euro 11" xfId="8736" xr:uid="{00000000-0005-0000-0000-00001E220000}"/>
    <cellStyle name="Euro 12" xfId="8737" xr:uid="{00000000-0005-0000-0000-00001F220000}"/>
    <cellStyle name="Euro 13" xfId="8738" xr:uid="{00000000-0005-0000-0000-000020220000}"/>
    <cellStyle name="Euro 14" xfId="8739" xr:uid="{00000000-0005-0000-0000-000021220000}"/>
    <cellStyle name="Euro 15" xfId="8740" xr:uid="{00000000-0005-0000-0000-000022220000}"/>
    <cellStyle name="Euro 16" xfId="8741" xr:uid="{00000000-0005-0000-0000-000023220000}"/>
    <cellStyle name="Euro 2" xfId="8742" xr:uid="{00000000-0005-0000-0000-000024220000}"/>
    <cellStyle name="Euro 2 10" xfId="8743" xr:uid="{00000000-0005-0000-0000-000025220000}"/>
    <cellStyle name="Euro 2 11" xfId="8744" xr:uid="{00000000-0005-0000-0000-000026220000}"/>
    <cellStyle name="Euro 2 2" xfId="8745" xr:uid="{00000000-0005-0000-0000-000027220000}"/>
    <cellStyle name="Euro 2 3" xfId="8746" xr:uid="{00000000-0005-0000-0000-000028220000}"/>
    <cellStyle name="Euro 2 4" xfId="8747" xr:uid="{00000000-0005-0000-0000-000029220000}"/>
    <cellStyle name="Euro 2 5" xfId="8748" xr:uid="{00000000-0005-0000-0000-00002A220000}"/>
    <cellStyle name="Euro 2 6" xfId="8749" xr:uid="{00000000-0005-0000-0000-00002B220000}"/>
    <cellStyle name="Euro 2 7" xfId="8750" xr:uid="{00000000-0005-0000-0000-00002C220000}"/>
    <cellStyle name="Euro 2 8" xfId="8751" xr:uid="{00000000-0005-0000-0000-00002D220000}"/>
    <cellStyle name="Euro 2 9" xfId="8752" xr:uid="{00000000-0005-0000-0000-00002E220000}"/>
    <cellStyle name="Euro 3" xfId="8753" xr:uid="{00000000-0005-0000-0000-00002F220000}"/>
    <cellStyle name="Euro 4" xfId="8754" xr:uid="{00000000-0005-0000-0000-000030220000}"/>
    <cellStyle name="Euro 5" xfId="8755" xr:uid="{00000000-0005-0000-0000-000031220000}"/>
    <cellStyle name="Euro 6" xfId="8756" xr:uid="{00000000-0005-0000-0000-000032220000}"/>
    <cellStyle name="Euro 7" xfId="8757" xr:uid="{00000000-0005-0000-0000-000033220000}"/>
    <cellStyle name="Euro 8" xfId="8758" xr:uid="{00000000-0005-0000-0000-000034220000}"/>
    <cellStyle name="Euro 9" xfId="8759" xr:uid="{00000000-0005-0000-0000-000035220000}"/>
    <cellStyle name="Explanatory Text" xfId="8760" xr:uid="{00000000-0005-0000-0000-000036220000}"/>
    <cellStyle name="F2" xfId="8761" xr:uid="{00000000-0005-0000-0000-000037220000}"/>
    <cellStyle name="F2 10" xfId="8762" xr:uid="{00000000-0005-0000-0000-000038220000}"/>
    <cellStyle name="F2 11" xfId="8763" xr:uid="{00000000-0005-0000-0000-000039220000}"/>
    <cellStyle name="F2 12" xfId="8764" xr:uid="{00000000-0005-0000-0000-00003A220000}"/>
    <cellStyle name="F2 13" xfId="8765" xr:uid="{00000000-0005-0000-0000-00003B220000}"/>
    <cellStyle name="F2 14" xfId="8766" xr:uid="{00000000-0005-0000-0000-00003C220000}"/>
    <cellStyle name="F2 15" xfId="8767" xr:uid="{00000000-0005-0000-0000-00003D220000}"/>
    <cellStyle name="F2 2" xfId="8768" xr:uid="{00000000-0005-0000-0000-00003E220000}"/>
    <cellStyle name="F2 2 10" xfId="8769" xr:uid="{00000000-0005-0000-0000-00003F220000}"/>
    <cellStyle name="F2 2 11" xfId="8770" xr:uid="{00000000-0005-0000-0000-000040220000}"/>
    <cellStyle name="F2 2 2" xfId="8771" xr:uid="{00000000-0005-0000-0000-000041220000}"/>
    <cellStyle name="F2 2 3" xfId="8772" xr:uid="{00000000-0005-0000-0000-000042220000}"/>
    <cellStyle name="F2 2 4" xfId="8773" xr:uid="{00000000-0005-0000-0000-000043220000}"/>
    <cellStyle name="F2 2 5" xfId="8774" xr:uid="{00000000-0005-0000-0000-000044220000}"/>
    <cellStyle name="F2 2 6" xfId="8775" xr:uid="{00000000-0005-0000-0000-000045220000}"/>
    <cellStyle name="F2 2 7" xfId="8776" xr:uid="{00000000-0005-0000-0000-000046220000}"/>
    <cellStyle name="F2 2 8" xfId="8777" xr:uid="{00000000-0005-0000-0000-000047220000}"/>
    <cellStyle name="F2 2 9" xfId="8778" xr:uid="{00000000-0005-0000-0000-000048220000}"/>
    <cellStyle name="F2 3" xfId="8779" xr:uid="{00000000-0005-0000-0000-000049220000}"/>
    <cellStyle name="F2 4" xfId="8780" xr:uid="{00000000-0005-0000-0000-00004A220000}"/>
    <cellStyle name="F2 5" xfId="8781" xr:uid="{00000000-0005-0000-0000-00004B220000}"/>
    <cellStyle name="F2 6" xfId="8782" xr:uid="{00000000-0005-0000-0000-00004C220000}"/>
    <cellStyle name="F2 7" xfId="8783" xr:uid="{00000000-0005-0000-0000-00004D220000}"/>
    <cellStyle name="F2 8" xfId="8784" xr:uid="{00000000-0005-0000-0000-00004E220000}"/>
    <cellStyle name="F2 9" xfId="8785" xr:uid="{00000000-0005-0000-0000-00004F220000}"/>
    <cellStyle name="F3" xfId="8786" xr:uid="{00000000-0005-0000-0000-000050220000}"/>
    <cellStyle name="F3 10" xfId="8787" xr:uid="{00000000-0005-0000-0000-000051220000}"/>
    <cellStyle name="F3 11" xfId="8788" xr:uid="{00000000-0005-0000-0000-000052220000}"/>
    <cellStyle name="F3 12" xfId="8789" xr:uid="{00000000-0005-0000-0000-000053220000}"/>
    <cellStyle name="F3 13" xfId="8790" xr:uid="{00000000-0005-0000-0000-000054220000}"/>
    <cellStyle name="F3 14" xfId="8791" xr:uid="{00000000-0005-0000-0000-000055220000}"/>
    <cellStyle name="F3 15" xfId="8792" xr:uid="{00000000-0005-0000-0000-000056220000}"/>
    <cellStyle name="F3 2" xfId="8793" xr:uid="{00000000-0005-0000-0000-000057220000}"/>
    <cellStyle name="F3 2 10" xfId="8794" xr:uid="{00000000-0005-0000-0000-000058220000}"/>
    <cellStyle name="F3 2 11" xfId="8795" xr:uid="{00000000-0005-0000-0000-000059220000}"/>
    <cellStyle name="F3 2 2" xfId="8796" xr:uid="{00000000-0005-0000-0000-00005A220000}"/>
    <cellStyle name="F3 2 3" xfId="8797" xr:uid="{00000000-0005-0000-0000-00005B220000}"/>
    <cellStyle name="F3 2 4" xfId="8798" xr:uid="{00000000-0005-0000-0000-00005C220000}"/>
    <cellStyle name="F3 2 5" xfId="8799" xr:uid="{00000000-0005-0000-0000-00005D220000}"/>
    <cellStyle name="F3 2 6" xfId="8800" xr:uid="{00000000-0005-0000-0000-00005E220000}"/>
    <cellStyle name="F3 2 7" xfId="8801" xr:uid="{00000000-0005-0000-0000-00005F220000}"/>
    <cellStyle name="F3 2 8" xfId="8802" xr:uid="{00000000-0005-0000-0000-000060220000}"/>
    <cellStyle name="F3 2 9" xfId="8803" xr:uid="{00000000-0005-0000-0000-000061220000}"/>
    <cellStyle name="F3 3" xfId="8804" xr:uid="{00000000-0005-0000-0000-000062220000}"/>
    <cellStyle name="F3 4" xfId="8805" xr:uid="{00000000-0005-0000-0000-000063220000}"/>
    <cellStyle name="F3 5" xfId="8806" xr:uid="{00000000-0005-0000-0000-000064220000}"/>
    <cellStyle name="F3 6" xfId="8807" xr:uid="{00000000-0005-0000-0000-000065220000}"/>
    <cellStyle name="F3 7" xfId="8808" xr:uid="{00000000-0005-0000-0000-000066220000}"/>
    <cellStyle name="F3 8" xfId="8809" xr:uid="{00000000-0005-0000-0000-000067220000}"/>
    <cellStyle name="F3 9" xfId="8810" xr:uid="{00000000-0005-0000-0000-000068220000}"/>
    <cellStyle name="F4" xfId="8811" xr:uid="{00000000-0005-0000-0000-000069220000}"/>
    <cellStyle name="F4 10" xfId="8812" xr:uid="{00000000-0005-0000-0000-00006A220000}"/>
    <cellStyle name="F4 11" xfId="8813" xr:uid="{00000000-0005-0000-0000-00006B220000}"/>
    <cellStyle name="F4 12" xfId="8814" xr:uid="{00000000-0005-0000-0000-00006C220000}"/>
    <cellStyle name="F4 13" xfId="8815" xr:uid="{00000000-0005-0000-0000-00006D220000}"/>
    <cellStyle name="F4 14" xfId="8816" xr:uid="{00000000-0005-0000-0000-00006E220000}"/>
    <cellStyle name="F4 15" xfId="8817" xr:uid="{00000000-0005-0000-0000-00006F220000}"/>
    <cellStyle name="F4 2" xfId="8818" xr:uid="{00000000-0005-0000-0000-000070220000}"/>
    <cellStyle name="F4 2 10" xfId="8819" xr:uid="{00000000-0005-0000-0000-000071220000}"/>
    <cellStyle name="F4 2 11" xfId="8820" xr:uid="{00000000-0005-0000-0000-000072220000}"/>
    <cellStyle name="F4 2 2" xfId="8821" xr:uid="{00000000-0005-0000-0000-000073220000}"/>
    <cellStyle name="F4 2 3" xfId="8822" xr:uid="{00000000-0005-0000-0000-000074220000}"/>
    <cellStyle name="F4 2 4" xfId="8823" xr:uid="{00000000-0005-0000-0000-000075220000}"/>
    <cellStyle name="F4 2 5" xfId="8824" xr:uid="{00000000-0005-0000-0000-000076220000}"/>
    <cellStyle name="F4 2 6" xfId="8825" xr:uid="{00000000-0005-0000-0000-000077220000}"/>
    <cellStyle name="F4 2 7" xfId="8826" xr:uid="{00000000-0005-0000-0000-000078220000}"/>
    <cellStyle name="F4 2 8" xfId="8827" xr:uid="{00000000-0005-0000-0000-000079220000}"/>
    <cellStyle name="F4 2 9" xfId="8828" xr:uid="{00000000-0005-0000-0000-00007A220000}"/>
    <cellStyle name="F4 3" xfId="8829" xr:uid="{00000000-0005-0000-0000-00007B220000}"/>
    <cellStyle name="F4 4" xfId="8830" xr:uid="{00000000-0005-0000-0000-00007C220000}"/>
    <cellStyle name="F4 5" xfId="8831" xr:uid="{00000000-0005-0000-0000-00007D220000}"/>
    <cellStyle name="F4 6" xfId="8832" xr:uid="{00000000-0005-0000-0000-00007E220000}"/>
    <cellStyle name="F4 7" xfId="8833" xr:uid="{00000000-0005-0000-0000-00007F220000}"/>
    <cellStyle name="F4 8" xfId="8834" xr:uid="{00000000-0005-0000-0000-000080220000}"/>
    <cellStyle name="F4 9" xfId="8835" xr:uid="{00000000-0005-0000-0000-000081220000}"/>
    <cellStyle name="F5" xfId="8836" xr:uid="{00000000-0005-0000-0000-000082220000}"/>
    <cellStyle name="F5 10" xfId="8837" xr:uid="{00000000-0005-0000-0000-000083220000}"/>
    <cellStyle name="F5 11" xfId="8838" xr:uid="{00000000-0005-0000-0000-000084220000}"/>
    <cellStyle name="F5 12" xfId="8839" xr:uid="{00000000-0005-0000-0000-000085220000}"/>
    <cellStyle name="F5 13" xfId="8840" xr:uid="{00000000-0005-0000-0000-000086220000}"/>
    <cellStyle name="F5 14" xfId="8841" xr:uid="{00000000-0005-0000-0000-000087220000}"/>
    <cellStyle name="F5 15" xfId="8842" xr:uid="{00000000-0005-0000-0000-000088220000}"/>
    <cellStyle name="F5 2" xfId="8843" xr:uid="{00000000-0005-0000-0000-000089220000}"/>
    <cellStyle name="F5 2 10" xfId="8844" xr:uid="{00000000-0005-0000-0000-00008A220000}"/>
    <cellStyle name="F5 2 11" xfId="8845" xr:uid="{00000000-0005-0000-0000-00008B220000}"/>
    <cellStyle name="F5 2 2" xfId="8846" xr:uid="{00000000-0005-0000-0000-00008C220000}"/>
    <cellStyle name="F5 2 3" xfId="8847" xr:uid="{00000000-0005-0000-0000-00008D220000}"/>
    <cellStyle name="F5 2 4" xfId="8848" xr:uid="{00000000-0005-0000-0000-00008E220000}"/>
    <cellStyle name="F5 2 5" xfId="8849" xr:uid="{00000000-0005-0000-0000-00008F220000}"/>
    <cellStyle name="F5 2 6" xfId="8850" xr:uid="{00000000-0005-0000-0000-000090220000}"/>
    <cellStyle name="F5 2 7" xfId="8851" xr:uid="{00000000-0005-0000-0000-000091220000}"/>
    <cellStyle name="F5 2 8" xfId="8852" xr:uid="{00000000-0005-0000-0000-000092220000}"/>
    <cellStyle name="F5 2 9" xfId="8853" xr:uid="{00000000-0005-0000-0000-000093220000}"/>
    <cellStyle name="F5 3" xfId="8854" xr:uid="{00000000-0005-0000-0000-000094220000}"/>
    <cellStyle name="F5 4" xfId="8855" xr:uid="{00000000-0005-0000-0000-000095220000}"/>
    <cellStyle name="F5 5" xfId="8856" xr:uid="{00000000-0005-0000-0000-000096220000}"/>
    <cellStyle name="F5 6" xfId="8857" xr:uid="{00000000-0005-0000-0000-000097220000}"/>
    <cellStyle name="F5 7" xfId="8858" xr:uid="{00000000-0005-0000-0000-000098220000}"/>
    <cellStyle name="F5 8" xfId="8859" xr:uid="{00000000-0005-0000-0000-000099220000}"/>
    <cellStyle name="F5 9" xfId="8860" xr:uid="{00000000-0005-0000-0000-00009A220000}"/>
    <cellStyle name="F6" xfId="8861" xr:uid="{00000000-0005-0000-0000-00009B220000}"/>
    <cellStyle name="F6 10" xfId="8862" xr:uid="{00000000-0005-0000-0000-00009C220000}"/>
    <cellStyle name="F6 11" xfId="8863" xr:uid="{00000000-0005-0000-0000-00009D220000}"/>
    <cellStyle name="F6 12" xfId="8864" xr:uid="{00000000-0005-0000-0000-00009E220000}"/>
    <cellStyle name="F6 13" xfId="8865" xr:uid="{00000000-0005-0000-0000-00009F220000}"/>
    <cellStyle name="F6 14" xfId="8866" xr:uid="{00000000-0005-0000-0000-0000A0220000}"/>
    <cellStyle name="F6 15" xfId="8867" xr:uid="{00000000-0005-0000-0000-0000A1220000}"/>
    <cellStyle name="F6 2" xfId="8868" xr:uid="{00000000-0005-0000-0000-0000A2220000}"/>
    <cellStyle name="F6 2 10" xfId="8869" xr:uid="{00000000-0005-0000-0000-0000A3220000}"/>
    <cellStyle name="F6 2 11" xfId="8870" xr:uid="{00000000-0005-0000-0000-0000A4220000}"/>
    <cellStyle name="F6 2 2" xfId="8871" xr:uid="{00000000-0005-0000-0000-0000A5220000}"/>
    <cellStyle name="F6 2 3" xfId="8872" xr:uid="{00000000-0005-0000-0000-0000A6220000}"/>
    <cellStyle name="F6 2 4" xfId="8873" xr:uid="{00000000-0005-0000-0000-0000A7220000}"/>
    <cellStyle name="F6 2 5" xfId="8874" xr:uid="{00000000-0005-0000-0000-0000A8220000}"/>
    <cellStyle name="F6 2 6" xfId="8875" xr:uid="{00000000-0005-0000-0000-0000A9220000}"/>
    <cellStyle name="F6 2 7" xfId="8876" xr:uid="{00000000-0005-0000-0000-0000AA220000}"/>
    <cellStyle name="F6 2 8" xfId="8877" xr:uid="{00000000-0005-0000-0000-0000AB220000}"/>
    <cellStyle name="F6 2 9" xfId="8878" xr:uid="{00000000-0005-0000-0000-0000AC220000}"/>
    <cellStyle name="F6 3" xfId="8879" xr:uid="{00000000-0005-0000-0000-0000AD220000}"/>
    <cellStyle name="F6 4" xfId="8880" xr:uid="{00000000-0005-0000-0000-0000AE220000}"/>
    <cellStyle name="F6 5" xfId="8881" xr:uid="{00000000-0005-0000-0000-0000AF220000}"/>
    <cellStyle name="F6 6" xfId="8882" xr:uid="{00000000-0005-0000-0000-0000B0220000}"/>
    <cellStyle name="F6 7" xfId="8883" xr:uid="{00000000-0005-0000-0000-0000B1220000}"/>
    <cellStyle name="F6 8" xfId="8884" xr:uid="{00000000-0005-0000-0000-0000B2220000}"/>
    <cellStyle name="F6 9" xfId="8885" xr:uid="{00000000-0005-0000-0000-0000B3220000}"/>
    <cellStyle name="F7" xfId="8886" xr:uid="{00000000-0005-0000-0000-0000B4220000}"/>
    <cellStyle name="F7 10" xfId="8887" xr:uid="{00000000-0005-0000-0000-0000B5220000}"/>
    <cellStyle name="F7 11" xfId="8888" xr:uid="{00000000-0005-0000-0000-0000B6220000}"/>
    <cellStyle name="F7 12" xfId="8889" xr:uid="{00000000-0005-0000-0000-0000B7220000}"/>
    <cellStyle name="F7 13" xfId="8890" xr:uid="{00000000-0005-0000-0000-0000B8220000}"/>
    <cellStyle name="F7 14" xfId="8891" xr:uid="{00000000-0005-0000-0000-0000B9220000}"/>
    <cellStyle name="F7 15" xfId="8892" xr:uid="{00000000-0005-0000-0000-0000BA220000}"/>
    <cellStyle name="F7 2" xfId="8893" xr:uid="{00000000-0005-0000-0000-0000BB220000}"/>
    <cellStyle name="F7 2 10" xfId="8894" xr:uid="{00000000-0005-0000-0000-0000BC220000}"/>
    <cellStyle name="F7 2 11" xfId="8895" xr:uid="{00000000-0005-0000-0000-0000BD220000}"/>
    <cellStyle name="F7 2 2" xfId="8896" xr:uid="{00000000-0005-0000-0000-0000BE220000}"/>
    <cellStyle name="F7 2 3" xfId="8897" xr:uid="{00000000-0005-0000-0000-0000BF220000}"/>
    <cellStyle name="F7 2 4" xfId="8898" xr:uid="{00000000-0005-0000-0000-0000C0220000}"/>
    <cellStyle name="F7 2 5" xfId="8899" xr:uid="{00000000-0005-0000-0000-0000C1220000}"/>
    <cellStyle name="F7 2 6" xfId="8900" xr:uid="{00000000-0005-0000-0000-0000C2220000}"/>
    <cellStyle name="F7 2 7" xfId="8901" xr:uid="{00000000-0005-0000-0000-0000C3220000}"/>
    <cellStyle name="F7 2 8" xfId="8902" xr:uid="{00000000-0005-0000-0000-0000C4220000}"/>
    <cellStyle name="F7 2 9" xfId="8903" xr:uid="{00000000-0005-0000-0000-0000C5220000}"/>
    <cellStyle name="F7 3" xfId="8904" xr:uid="{00000000-0005-0000-0000-0000C6220000}"/>
    <cellStyle name="F7 4" xfId="8905" xr:uid="{00000000-0005-0000-0000-0000C7220000}"/>
    <cellStyle name="F7 5" xfId="8906" xr:uid="{00000000-0005-0000-0000-0000C8220000}"/>
    <cellStyle name="F7 6" xfId="8907" xr:uid="{00000000-0005-0000-0000-0000C9220000}"/>
    <cellStyle name="F7 7" xfId="8908" xr:uid="{00000000-0005-0000-0000-0000CA220000}"/>
    <cellStyle name="F7 8" xfId="8909" xr:uid="{00000000-0005-0000-0000-0000CB220000}"/>
    <cellStyle name="F7 9" xfId="8910" xr:uid="{00000000-0005-0000-0000-0000CC220000}"/>
    <cellStyle name="F8" xfId="8911" xr:uid="{00000000-0005-0000-0000-0000CD220000}"/>
    <cellStyle name="F8 10" xfId="8912" xr:uid="{00000000-0005-0000-0000-0000CE220000}"/>
    <cellStyle name="F8 11" xfId="8913" xr:uid="{00000000-0005-0000-0000-0000CF220000}"/>
    <cellStyle name="F8 12" xfId="8914" xr:uid="{00000000-0005-0000-0000-0000D0220000}"/>
    <cellStyle name="F8 13" xfId="8915" xr:uid="{00000000-0005-0000-0000-0000D1220000}"/>
    <cellStyle name="F8 14" xfId="8916" xr:uid="{00000000-0005-0000-0000-0000D2220000}"/>
    <cellStyle name="F8 15" xfId="8917" xr:uid="{00000000-0005-0000-0000-0000D3220000}"/>
    <cellStyle name="F8 2" xfId="8918" xr:uid="{00000000-0005-0000-0000-0000D4220000}"/>
    <cellStyle name="F8 2 10" xfId="8919" xr:uid="{00000000-0005-0000-0000-0000D5220000}"/>
    <cellStyle name="F8 2 11" xfId="8920" xr:uid="{00000000-0005-0000-0000-0000D6220000}"/>
    <cellStyle name="F8 2 2" xfId="8921" xr:uid="{00000000-0005-0000-0000-0000D7220000}"/>
    <cellStyle name="F8 2 3" xfId="8922" xr:uid="{00000000-0005-0000-0000-0000D8220000}"/>
    <cellStyle name="F8 2 4" xfId="8923" xr:uid="{00000000-0005-0000-0000-0000D9220000}"/>
    <cellStyle name="F8 2 5" xfId="8924" xr:uid="{00000000-0005-0000-0000-0000DA220000}"/>
    <cellStyle name="F8 2 6" xfId="8925" xr:uid="{00000000-0005-0000-0000-0000DB220000}"/>
    <cellStyle name="F8 2 7" xfId="8926" xr:uid="{00000000-0005-0000-0000-0000DC220000}"/>
    <cellStyle name="F8 2 8" xfId="8927" xr:uid="{00000000-0005-0000-0000-0000DD220000}"/>
    <cellStyle name="F8 2 9" xfId="8928" xr:uid="{00000000-0005-0000-0000-0000DE220000}"/>
    <cellStyle name="F8 3" xfId="8929" xr:uid="{00000000-0005-0000-0000-0000DF220000}"/>
    <cellStyle name="F8 4" xfId="8930" xr:uid="{00000000-0005-0000-0000-0000E0220000}"/>
    <cellStyle name="F8 5" xfId="8931" xr:uid="{00000000-0005-0000-0000-0000E1220000}"/>
    <cellStyle name="F8 6" xfId="8932" xr:uid="{00000000-0005-0000-0000-0000E2220000}"/>
    <cellStyle name="F8 7" xfId="8933" xr:uid="{00000000-0005-0000-0000-0000E3220000}"/>
    <cellStyle name="F8 8" xfId="8934" xr:uid="{00000000-0005-0000-0000-0000E4220000}"/>
    <cellStyle name="F8 9" xfId="8935" xr:uid="{00000000-0005-0000-0000-0000E5220000}"/>
    <cellStyle name="FinePrint" xfId="8936" xr:uid="{00000000-0005-0000-0000-0000E6220000}"/>
    <cellStyle name="Fixed" xfId="8937" xr:uid="{00000000-0005-0000-0000-0000E7220000}"/>
    <cellStyle name="Fixed 2" xfId="8938" xr:uid="{00000000-0005-0000-0000-0000E8220000}"/>
    <cellStyle name="Fixed 3" xfId="8939" xr:uid="{00000000-0005-0000-0000-0000E9220000}"/>
    <cellStyle name="Followed Hyperlink" xfId="8940" xr:uid="{00000000-0005-0000-0000-0000EA220000}"/>
    <cellStyle name="G" xfId="8941" xr:uid="{00000000-0005-0000-0000-0000EB220000}"/>
    <cellStyle name="G/표준" xfId="8942" xr:uid="{00000000-0005-0000-0000-0000EC220000}"/>
    <cellStyle name="G_경포오수신설 부대공-기존관보호공" xfId="8943" xr:uid="{00000000-0005-0000-0000-0000ED220000}"/>
    <cellStyle name="Good" xfId="8944" xr:uid="{00000000-0005-0000-0000-0000EE220000}"/>
    <cellStyle name="Grey" xfId="8945" xr:uid="{00000000-0005-0000-0000-0000EF220000}"/>
    <cellStyle name="Grey 2" xfId="8946" xr:uid="{00000000-0005-0000-0000-0000F0220000}"/>
    <cellStyle name="H1" xfId="8947" xr:uid="{00000000-0005-0000-0000-0000F1220000}"/>
    <cellStyle name="H2" xfId="8948" xr:uid="{00000000-0005-0000-0000-0000F2220000}"/>
    <cellStyle name="head" xfId="8949" xr:uid="{00000000-0005-0000-0000-0000F3220000}"/>
    <cellStyle name="head 1" xfId="8950" xr:uid="{00000000-0005-0000-0000-0000F4220000}"/>
    <cellStyle name="head 1-1" xfId="8951" xr:uid="{00000000-0005-0000-0000-0000F5220000}"/>
    <cellStyle name="HEADER" xfId="8952" xr:uid="{00000000-0005-0000-0000-0000F6220000}"/>
    <cellStyle name="Header1" xfId="8953" xr:uid="{00000000-0005-0000-0000-0000F7220000}"/>
    <cellStyle name="Header2" xfId="8954" xr:uid="{00000000-0005-0000-0000-0000F8220000}"/>
    <cellStyle name="Header2 2" xfId="8955" xr:uid="{00000000-0005-0000-0000-0000F9220000}"/>
    <cellStyle name="Header2 2 2" xfId="8956" xr:uid="{00000000-0005-0000-0000-0000FA220000}"/>
    <cellStyle name="Header2 2 2 2" xfId="8957" xr:uid="{00000000-0005-0000-0000-0000FB220000}"/>
    <cellStyle name="Header2 2 3" xfId="8958" xr:uid="{00000000-0005-0000-0000-0000FC220000}"/>
    <cellStyle name="Header2 3" xfId="8959" xr:uid="{00000000-0005-0000-0000-0000FD220000}"/>
    <cellStyle name="Header2 3 2" xfId="8960" xr:uid="{00000000-0005-0000-0000-0000FE220000}"/>
    <cellStyle name="Header2 3 2 2" xfId="8961" xr:uid="{00000000-0005-0000-0000-0000FF220000}"/>
    <cellStyle name="Header2 3 3" xfId="8962" xr:uid="{00000000-0005-0000-0000-000000230000}"/>
    <cellStyle name="Header2 4" xfId="8963" xr:uid="{00000000-0005-0000-0000-000001230000}"/>
    <cellStyle name="Header2 4 2" xfId="8964" xr:uid="{00000000-0005-0000-0000-000002230000}"/>
    <cellStyle name="Header2 4 2 2" xfId="8965" xr:uid="{00000000-0005-0000-0000-000003230000}"/>
    <cellStyle name="Header2 4 3" xfId="8966" xr:uid="{00000000-0005-0000-0000-000004230000}"/>
    <cellStyle name="Header2 5" xfId="8967" xr:uid="{00000000-0005-0000-0000-000005230000}"/>
    <cellStyle name="Header2 5 2" xfId="8968" xr:uid="{00000000-0005-0000-0000-000006230000}"/>
    <cellStyle name="Header2 6" xfId="8969" xr:uid="{00000000-0005-0000-0000-000007230000}"/>
    <cellStyle name="Heading" xfId="8970" xr:uid="{00000000-0005-0000-0000-000008230000}"/>
    <cellStyle name="Heading 1" xfId="8971" xr:uid="{00000000-0005-0000-0000-000009230000}"/>
    <cellStyle name="Heading 1 2" xfId="8972" xr:uid="{00000000-0005-0000-0000-00000A230000}"/>
    <cellStyle name="Heading 1 3" xfId="8973" xr:uid="{00000000-0005-0000-0000-00000B230000}"/>
    <cellStyle name="Heading 2" xfId="8974" xr:uid="{00000000-0005-0000-0000-00000C230000}"/>
    <cellStyle name="Heading 2 2" xfId="8975" xr:uid="{00000000-0005-0000-0000-00000D230000}"/>
    <cellStyle name="Heading 2 3" xfId="8976" xr:uid="{00000000-0005-0000-0000-00000E230000}"/>
    <cellStyle name="Heading 3" xfId="8977" xr:uid="{00000000-0005-0000-0000-00000F230000}"/>
    <cellStyle name="Heading 4" xfId="8978" xr:uid="{00000000-0005-0000-0000-000010230000}"/>
    <cellStyle name="Heading 4 2" xfId="8979" xr:uid="{00000000-0005-0000-0000-000011230000}"/>
    <cellStyle name="Heading 4 2 2" xfId="8980" xr:uid="{00000000-0005-0000-0000-000012230000}"/>
    <cellStyle name="Heading 4 3" xfId="8981" xr:uid="{00000000-0005-0000-0000-000013230000}"/>
    <cellStyle name="Heading 5" xfId="8982" xr:uid="{00000000-0005-0000-0000-000014230000}"/>
    <cellStyle name="Heading 5 2" xfId="8983" xr:uid="{00000000-0005-0000-0000-000015230000}"/>
    <cellStyle name="Heading 5 2 2" xfId="8984" xr:uid="{00000000-0005-0000-0000-000016230000}"/>
    <cellStyle name="Heading 5 3" xfId="8985" xr:uid="{00000000-0005-0000-0000-000017230000}"/>
    <cellStyle name="Heading 6" xfId="8986" xr:uid="{00000000-0005-0000-0000-000018230000}"/>
    <cellStyle name="Heading 6 2" xfId="8987" xr:uid="{00000000-0005-0000-0000-000019230000}"/>
    <cellStyle name="Heading 6 2 2" xfId="8988" xr:uid="{00000000-0005-0000-0000-00001A230000}"/>
    <cellStyle name="Heading 6 3" xfId="8989" xr:uid="{00000000-0005-0000-0000-00001B230000}"/>
    <cellStyle name="Heading 7" xfId="8990" xr:uid="{00000000-0005-0000-0000-00001C230000}"/>
    <cellStyle name="Heading 7 2" xfId="8991" xr:uid="{00000000-0005-0000-0000-00001D230000}"/>
    <cellStyle name="Heading 8" xfId="8992" xr:uid="{00000000-0005-0000-0000-00001E230000}"/>
    <cellStyle name="Heading1" xfId="8993" xr:uid="{00000000-0005-0000-0000-00001F230000}"/>
    <cellStyle name="Heading1 2" xfId="8994" xr:uid="{00000000-0005-0000-0000-000020230000}"/>
    <cellStyle name="Heading1 3" xfId="8995" xr:uid="{00000000-0005-0000-0000-000021230000}"/>
    <cellStyle name="Heading2" xfId="8996" xr:uid="{00000000-0005-0000-0000-000022230000}"/>
    <cellStyle name="Heading2 2" xfId="8997" xr:uid="{00000000-0005-0000-0000-000023230000}"/>
    <cellStyle name="Heading2 3" xfId="8998" xr:uid="{00000000-0005-0000-0000-000024230000}"/>
    <cellStyle name="Heading2Divider" xfId="8999" xr:uid="{00000000-0005-0000-0000-000025230000}"/>
    <cellStyle name="Heading2Divider 2" xfId="9000" xr:uid="{00000000-0005-0000-0000-000026230000}"/>
    <cellStyle name="Heading2Divider 2 2" xfId="9001" xr:uid="{00000000-0005-0000-0000-000027230000}"/>
    <cellStyle name="Heading2Divider 2 2 2" xfId="9002" xr:uid="{00000000-0005-0000-0000-000028230000}"/>
    <cellStyle name="Heading2Divider 2 3" xfId="9003" xr:uid="{00000000-0005-0000-0000-000029230000}"/>
    <cellStyle name="Heading2Divider 3" xfId="9004" xr:uid="{00000000-0005-0000-0000-00002A230000}"/>
    <cellStyle name="Heading2Divider 3 2" xfId="9005" xr:uid="{00000000-0005-0000-0000-00002B230000}"/>
    <cellStyle name="Heading2Divider 3 2 2" xfId="9006" xr:uid="{00000000-0005-0000-0000-00002C230000}"/>
    <cellStyle name="Heading2Divider 3 3" xfId="9007" xr:uid="{00000000-0005-0000-0000-00002D230000}"/>
    <cellStyle name="Heading2Divider 4" xfId="9008" xr:uid="{00000000-0005-0000-0000-00002E230000}"/>
    <cellStyle name="Heading2Divider 4 2" xfId="9009" xr:uid="{00000000-0005-0000-0000-00002F230000}"/>
    <cellStyle name="Heading2Divider 5" xfId="9010" xr:uid="{00000000-0005-0000-0000-000030230000}"/>
    <cellStyle name="heet1æꂘß_x0001__x0001__x0010__x0001_ဠ" xfId="9011" xr:uid="{00000000-0005-0000-0000-000031230000}"/>
    <cellStyle name="HelpStyle" xfId="9012" xr:uid="{00000000-0005-0000-0000-000032230000}"/>
    <cellStyle name="Helv8_PFD4.XLS" xfId="9013" xr:uid="{00000000-0005-0000-0000-000033230000}"/>
    <cellStyle name="Hyperlink" xfId="9014" xr:uid="{00000000-0005-0000-0000-000034230000}"/>
    <cellStyle name="Hyperlink 2" xfId="9015" xr:uid="{00000000-0005-0000-0000-000035230000}"/>
    <cellStyle name="Hyperlink 3" xfId="9016" xr:uid="{00000000-0005-0000-0000-000036230000}"/>
    <cellStyle name="Hyperlink_NEGS" xfId="9017" xr:uid="{00000000-0005-0000-0000-000037230000}"/>
    <cellStyle name="h_x0010_통화 [0]_OCT-Price" xfId="9018" xr:uid="{00000000-0005-0000-0000-000038230000}"/>
    <cellStyle name="Input" xfId="9019" xr:uid="{00000000-0005-0000-0000-000039230000}"/>
    <cellStyle name="Input [yellow]" xfId="9020" xr:uid="{00000000-0005-0000-0000-00003A230000}"/>
    <cellStyle name="Input [yellow] 2" xfId="9021" xr:uid="{00000000-0005-0000-0000-00003B230000}"/>
    <cellStyle name="Input [yellow] 2 2" xfId="9022" xr:uid="{00000000-0005-0000-0000-00003C230000}"/>
    <cellStyle name="Input [yellow] 2 2 2" xfId="9023" xr:uid="{00000000-0005-0000-0000-00003D230000}"/>
    <cellStyle name="Input [yellow] 2 3" xfId="9024" xr:uid="{00000000-0005-0000-0000-00003E230000}"/>
    <cellStyle name="Input [yellow] 3" xfId="9025" xr:uid="{00000000-0005-0000-0000-00003F230000}"/>
    <cellStyle name="Input [yellow] 3 2" xfId="9026" xr:uid="{00000000-0005-0000-0000-000040230000}"/>
    <cellStyle name="Input [yellow] 3 2 2" xfId="9027" xr:uid="{00000000-0005-0000-0000-000041230000}"/>
    <cellStyle name="Input [yellow] 3 3" xfId="9028" xr:uid="{00000000-0005-0000-0000-000042230000}"/>
    <cellStyle name="Input [yellow] 4" xfId="9029" xr:uid="{00000000-0005-0000-0000-000043230000}"/>
    <cellStyle name="Input [yellow] 4 2" xfId="9030" xr:uid="{00000000-0005-0000-0000-000044230000}"/>
    <cellStyle name="Input [yellow] 4 2 2" xfId="9031" xr:uid="{00000000-0005-0000-0000-000045230000}"/>
    <cellStyle name="Input [yellow] 4 3" xfId="9032" xr:uid="{00000000-0005-0000-0000-000046230000}"/>
    <cellStyle name="Input [yellow] 5" xfId="9033" xr:uid="{00000000-0005-0000-0000-000047230000}"/>
    <cellStyle name="Input [yellow] 5 2" xfId="9034" xr:uid="{00000000-0005-0000-0000-000048230000}"/>
    <cellStyle name="Input [yellow] 5 2 2" xfId="9035" xr:uid="{00000000-0005-0000-0000-000049230000}"/>
    <cellStyle name="Input [yellow] 5 3" xfId="9036" xr:uid="{00000000-0005-0000-0000-00004A230000}"/>
    <cellStyle name="Input [yellow] 6" xfId="9037" xr:uid="{00000000-0005-0000-0000-00004B230000}"/>
    <cellStyle name="Input 10" xfId="9038" xr:uid="{00000000-0005-0000-0000-00004C230000}"/>
    <cellStyle name="Input 11" xfId="9039" xr:uid="{00000000-0005-0000-0000-00004D230000}"/>
    <cellStyle name="Input 12" xfId="9040" xr:uid="{00000000-0005-0000-0000-00004E230000}"/>
    <cellStyle name="Input 13" xfId="9041" xr:uid="{00000000-0005-0000-0000-00004F230000}"/>
    <cellStyle name="Input 14" xfId="9042" xr:uid="{00000000-0005-0000-0000-000050230000}"/>
    <cellStyle name="Input 15" xfId="9043" xr:uid="{00000000-0005-0000-0000-000051230000}"/>
    <cellStyle name="Input 16" xfId="9044" xr:uid="{00000000-0005-0000-0000-000052230000}"/>
    <cellStyle name="Input 17" xfId="9045" xr:uid="{00000000-0005-0000-0000-000053230000}"/>
    <cellStyle name="Input 18" xfId="9046" xr:uid="{00000000-0005-0000-0000-000054230000}"/>
    <cellStyle name="Input 2" xfId="9047" xr:uid="{00000000-0005-0000-0000-000055230000}"/>
    <cellStyle name="Input 2 2" xfId="9048" xr:uid="{00000000-0005-0000-0000-000056230000}"/>
    <cellStyle name="Input 2 2 2" xfId="9049" xr:uid="{00000000-0005-0000-0000-000057230000}"/>
    <cellStyle name="Input 2 3" xfId="9050" xr:uid="{00000000-0005-0000-0000-000058230000}"/>
    <cellStyle name="Input 3" xfId="9051" xr:uid="{00000000-0005-0000-0000-000059230000}"/>
    <cellStyle name="Input 3 2" xfId="9052" xr:uid="{00000000-0005-0000-0000-00005A230000}"/>
    <cellStyle name="Input 3 2 2" xfId="9053" xr:uid="{00000000-0005-0000-0000-00005B230000}"/>
    <cellStyle name="Input 3 3" xfId="9054" xr:uid="{00000000-0005-0000-0000-00005C230000}"/>
    <cellStyle name="Input 4" xfId="9055" xr:uid="{00000000-0005-0000-0000-00005D230000}"/>
    <cellStyle name="Input 4 2" xfId="9056" xr:uid="{00000000-0005-0000-0000-00005E230000}"/>
    <cellStyle name="Input 4 2 2" xfId="9057" xr:uid="{00000000-0005-0000-0000-00005F230000}"/>
    <cellStyle name="Input 4 3" xfId="9058" xr:uid="{00000000-0005-0000-0000-000060230000}"/>
    <cellStyle name="Input 5" xfId="9059" xr:uid="{00000000-0005-0000-0000-000061230000}"/>
    <cellStyle name="Input 5 2" xfId="9060" xr:uid="{00000000-0005-0000-0000-000062230000}"/>
    <cellStyle name="Input 6" xfId="9061" xr:uid="{00000000-0005-0000-0000-000063230000}"/>
    <cellStyle name="Input 7" xfId="9062" xr:uid="{00000000-0005-0000-0000-000064230000}"/>
    <cellStyle name="Input 8" xfId="9063" xr:uid="{00000000-0005-0000-0000-000065230000}"/>
    <cellStyle name="Input 9" xfId="9064" xr:uid="{00000000-0005-0000-0000-000066230000}"/>
    <cellStyle name="Input Price" xfId="9065" xr:uid="{00000000-0005-0000-0000-000067230000}"/>
    <cellStyle name="Input Price 2" xfId="9066" xr:uid="{00000000-0005-0000-0000-000068230000}"/>
    <cellStyle name="Input Price 2 2" xfId="9067" xr:uid="{00000000-0005-0000-0000-000069230000}"/>
    <cellStyle name="Input Price 2 3" xfId="9068" xr:uid="{00000000-0005-0000-0000-00006A230000}"/>
    <cellStyle name="Input Quantity" xfId="9069" xr:uid="{00000000-0005-0000-0000-00006B230000}"/>
    <cellStyle name="Input Quantity 2" xfId="9070" xr:uid="{00000000-0005-0000-0000-00006C230000}"/>
    <cellStyle name="Input Quantity 2 2" xfId="9071" xr:uid="{00000000-0005-0000-0000-00006D230000}"/>
    <cellStyle name="Input Quantity 2 3" xfId="9072" xr:uid="{00000000-0005-0000-0000-00006E230000}"/>
    <cellStyle name="Input Single Cell" xfId="9073" xr:uid="{00000000-0005-0000-0000-00006F230000}"/>
    <cellStyle name="Input Single Cell 2" xfId="9074" xr:uid="{00000000-0005-0000-0000-000070230000}"/>
    <cellStyle name="Input Single Cell 2 2" xfId="9075" xr:uid="{00000000-0005-0000-0000-000071230000}"/>
    <cellStyle name="Input Single Cell 2 2 2" xfId="9076" xr:uid="{00000000-0005-0000-0000-000072230000}"/>
    <cellStyle name="Input Single Cell 2 3" xfId="9077" xr:uid="{00000000-0005-0000-0000-000073230000}"/>
    <cellStyle name="Input Single Cell 3" xfId="9078" xr:uid="{00000000-0005-0000-0000-000074230000}"/>
    <cellStyle name="Input Single Cell 3 2" xfId="9079" xr:uid="{00000000-0005-0000-0000-000075230000}"/>
    <cellStyle name="Input Single Cell 3 2 2" xfId="9080" xr:uid="{00000000-0005-0000-0000-000076230000}"/>
    <cellStyle name="Input Single Cell 3 3" xfId="9081" xr:uid="{00000000-0005-0000-0000-000077230000}"/>
    <cellStyle name="Input Single Cell 4" xfId="9082" xr:uid="{00000000-0005-0000-0000-000078230000}"/>
    <cellStyle name="Input Single Cell 4 2" xfId="9083" xr:uid="{00000000-0005-0000-0000-000079230000}"/>
    <cellStyle name="Input Single Cell 5" xfId="9084" xr:uid="{00000000-0005-0000-0000-00007A230000}"/>
    <cellStyle name="Input_집행계획서" xfId="9085" xr:uid="{00000000-0005-0000-0000-00007B230000}"/>
    <cellStyle name="InputBodyCurr" xfId="9086" xr:uid="{00000000-0005-0000-0000-00007C230000}"/>
    <cellStyle name="InputBodyDate" xfId="9087" xr:uid="{00000000-0005-0000-0000-00007D230000}"/>
    <cellStyle name="InputBodyText" xfId="9088" xr:uid="{00000000-0005-0000-0000-00007E230000}"/>
    <cellStyle name="InputColor" xfId="9089" xr:uid="{00000000-0005-0000-0000-00007F230000}"/>
    <cellStyle name="InputColor 2" xfId="9090" xr:uid="{00000000-0005-0000-0000-000080230000}"/>
    <cellStyle name="InputColor 2 2" xfId="9091" xr:uid="{00000000-0005-0000-0000-000081230000}"/>
    <cellStyle name="InputColor 2 2 2" xfId="9092" xr:uid="{00000000-0005-0000-0000-000082230000}"/>
    <cellStyle name="InputColor 2 3" xfId="9093" xr:uid="{00000000-0005-0000-0000-000083230000}"/>
    <cellStyle name="InputColor 3" xfId="9094" xr:uid="{00000000-0005-0000-0000-000084230000}"/>
    <cellStyle name="InputColor 3 2" xfId="9095" xr:uid="{00000000-0005-0000-0000-000085230000}"/>
    <cellStyle name="InputColor 3 2 2" xfId="9096" xr:uid="{00000000-0005-0000-0000-000086230000}"/>
    <cellStyle name="InputColor 3 3" xfId="9097" xr:uid="{00000000-0005-0000-0000-000087230000}"/>
    <cellStyle name="InputColor 4" xfId="9098" xr:uid="{00000000-0005-0000-0000-000088230000}"/>
    <cellStyle name="InputColor 4 2" xfId="9099" xr:uid="{00000000-0005-0000-0000-000089230000}"/>
    <cellStyle name="InputColor 4 2 2" xfId="9100" xr:uid="{00000000-0005-0000-0000-00008A230000}"/>
    <cellStyle name="InputColor 4 3" xfId="9101" xr:uid="{00000000-0005-0000-0000-00008B230000}"/>
    <cellStyle name="InputColor 5" xfId="9102" xr:uid="{00000000-0005-0000-0000-00008C230000}"/>
    <cellStyle name="Item" xfId="9103" xr:uid="{00000000-0005-0000-0000-00008D230000}"/>
    <cellStyle name="Item 2" xfId="9104" xr:uid="{00000000-0005-0000-0000-00008E230000}"/>
    <cellStyle name="Item 2 2" xfId="9105" xr:uid="{00000000-0005-0000-0000-00008F230000}"/>
    <cellStyle name="Item 2 3" xfId="9106" xr:uid="{00000000-0005-0000-0000-000090230000}"/>
    <cellStyle name="Item Input" xfId="9107" xr:uid="{00000000-0005-0000-0000-000091230000}"/>
    <cellStyle name="kg" xfId="9108" xr:uid="{00000000-0005-0000-0000-000092230000}"/>
    <cellStyle name="kg 2" xfId="9109" xr:uid="{00000000-0005-0000-0000-000093230000}"/>
    <cellStyle name="kg 2 2" xfId="9110" xr:uid="{00000000-0005-0000-0000-000094230000}"/>
    <cellStyle name="kg 2 2 2" xfId="9111" xr:uid="{00000000-0005-0000-0000-000095230000}"/>
    <cellStyle name="kg 2 3" xfId="9112" xr:uid="{00000000-0005-0000-0000-000096230000}"/>
    <cellStyle name="kg 3" xfId="9113" xr:uid="{00000000-0005-0000-0000-000097230000}"/>
    <cellStyle name="kg 3 2" xfId="9114" xr:uid="{00000000-0005-0000-0000-000098230000}"/>
    <cellStyle name="kg 3 2 2" xfId="9115" xr:uid="{00000000-0005-0000-0000-000099230000}"/>
    <cellStyle name="kg 3 3" xfId="9116" xr:uid="{00000000-0005-0000-0000-00009A230000}"/>
    <cellStyle name="kg 4" xfId="9117" xr:uid="{00000000-0005-0000-0000-00009B230000}"/>
    <cellStyle name="kg 4 2" xfId="9118" xr:uid="{00000000-0005-0000-0000-00009C230000}"/>
    <cellStyle name="kg 4 2 2" xfId="9119" xr:uid="{00000000-0005-0000-0000-00009D230000}"/>
    <cellStyle name="kg 4 3" xfId="9120" xr:uid="{00000000-0005-0000-0000-00009E230000}"/>
    <cellStyle name="kg 5" xfId="9121" xr:uid="{00000000-0005-0000-0000-00009F230000}"/>
    <cellStyle name="Komma [0]_BINV" xfId="9122" xr:uid="{00000000-0005-0000-0000-0000A0230000}"/>
    <cellStyle name="Komma_BINV" xfId="9123" xr:uid="{00000000-0005-0000-0000-0000A1230000}"/>
    <cellStyle name="L`" xfId="9124" xr:uid="{00000000-0005-0000-0000-0000A2230000}"/>
    <cellStyle name="left" xfId="9125" xr:uid="{00000000-0005-0000-0000-0000A3230000}"/>
    <cellStyle name="Link Currency (0)" xfId="9126" xr:uid="{00000000-0005-0000-0000-0000A4230000}"/>
    <cellStyle name="Link Currency (2)" xfId="9127" xr:uid="{00000000-0005-0000-0000-0000A5230000}"/>
    <cellStyle name="Link Units (0)" xfId="9128" xr:uid="{00000000-0005-0000-0000-0000A6230000}"/>
    <cellStyle name="Link Units (1)" xfId="9129" xr:uid="{00000000-0005-0000-0000-0000A7230000}"/>
    <cellStyle name="Link Units (2)" xfId="9130" xr:uid="{00000000-0005-0000-0000-0000A8230000}"/>
    <cellStyle name="Linked Cell" xfId="9131" xr:uid="{00000000-0005-0000-0000-0000A9230000}"/>
    <cellStyle name="M" xfId="9132" xr:uid="{00000000-0005-0000-0000-0000AA230000}"/>
    <cellStyle name="M 2" xfId="9133" xr:uid="{00000000-0005-0000-0000-0000AB230000}"/>
    <cellStyle name="M 2 2" xfId="9134" xr:uid="{00000000-0005-0000-0000-0000AC230000}"/>
    <cellStyle name="M 2 2 2" xfId="9135" xr:uid="{00000000-0005-0000-0000-0000AD230000}"/>
    <cellStyle name="M 2 3" xfId="9136" xr:uid="{00000000-0005-0000-0000-0000AE230000}"/>
    <cellStyle name="M 3" xfId="9137" xr:uid="{00000000-0005-0000-0000-0000AF230000}"/>
    <cellStyle name="M 3 2" xfId="9138" xr:uid="{00000000-0005-0000-0000-0000B0230000}"/>
    <cellStyle name="M 3 2 2" xfId="9139" xr:uid="{00000000-0005-0000-0000-0000B1230000}"/>
    <cellStyle name="M 3 3" xfId="9140" xr:uid="{00000000-0005-0000-0000-0000B2230000}"/>
    <cellStyle name="M 4" xfId="9141" xr:uid="{00000000-0005-0000-0000-0000B3230000}"/>
    <cellStyle name="M 4 2" xfId="9142" xr:uid="{00000000-0005-0000-0000-0000B4230000}"/>
    <cellStyle name="M 4 2 2" xfId="9143" xr:uid="{00000000-0005-0000-0000-0000B5230000}"/>
    <cellStyle name="M 4 3" xfId="9144" xr:uid="{00000000-0005-0000-0000-0000B6230000}"/>
    <cellStyle name="M 5" xfId="9145" xr:uid="{00000000-0005-0000-0000-0000B7230000}"/>
    <cellStyle name="M2" xfId="9146" xr:uid="{00000000-0005-0000-0000-0000B8230000}"/>
    <cellStyle name="M2 2" xfId="9147" xr:uid="{00000000-0005-0000-0000-0000B9230000}"/>
    <cellStyle name="M2 2 2" xfId="9148" xr:uid="{00000000-0005-0000-0000-0000BA230000}"/>
    <cellStyle name="M2 2 2 2" xfId="9149" xr:uid="{00000000-0005-0000-0000-0000BB230000}"/>
    <cellStyle name="M2 2 3" xfId="9150" xr:uid="{00000000-0005-0000-0000-0000BC230000}"/>
    <cellStyle name="M2 3" xfId="9151" xr:uid="{00000000-0005-0000-0000-0000BD230000}"/>
    <cellStyle name="M2 3 2" xfId="9152" xr:uid="{00000000-0005-0000-0000-0000BE230000}"/>
    <cellStyle name="M2 3 2 2" xfId="9153" xr:uid="{00000000-0005-0000-0000-0000BF230000}"/>
    <cellStyle name="M2 3 3" xfId="9154" xr:uid="{00000000-0005-0000-0000-0000C0230000}"/>
    <cellStyle name="M2 4" xfId="9155" xr:uid="{00000000-0005-0000-0000-0000C1230000}"/>
    <cellStyle name="M2 4 2" xfId="9156" xr:uid="{00000000-0005-0000-0000-0000C2230000}"/>
    <cellStyle name="M2 4 2 2" xfId="9157" xr:uid="{00000000-0005-0000-0000-0000C3230000}"/>
    <cellStyle name="M2 4 3" xfId="9158" xr:uid="{00000000-0005-0000-0000-0000C4230000}"/>
    <cellStyle name="M2 5" xfId="9159" xr:uid="{00000000-0005-0000-0000-0000C5230000}"/>
    <cellStyle name="M3" xfId="9160" xr:uid="{00000000-0005-0000-0000-0000C6230000}"/>
    <cellStyle name="M3 2" xfId="9161" xr:uid="{00000000-0005-0000-0000-0000C7230000}"/>
    <cellStyle name="M3 2 2" xfId="9162" xr:uid="{00000000-0005-0000-0000-0000C8230000}"/>
    <cellStyle name="M3 2 2 2" xfId="9163" xr:uid="{00000000-0005-0000-0000-0000C9230000}"/>
    <cellStyle name="M3 2 3" xfId="9164" xr:uid="{00000000-0005-0000-0000-0000CA230000}"/>
    <cellStyle name="M3 3" xfId="9165" xr:uid="{00000000-0005-0000-0000-0000CB230000}"/>
    <cellStyle name="M3 3 2" xfId="9166" xr:uid="{00000000-0005-0000-0000-0000CC230000}"/>
    <cellStyle name="M3 3 2 2" xfId="9167" xr:uid="{00000000-0005-0000-0000-0000CD230000}"/>
    <cellStyle name="M3 3 3" xfId="9168" xr:uid="{00000000-0005-0000-0000-0000CE230000}"/>
    <cellStyle name="M3 4" xfId="9169" xr:uid="{00000000-0005-0000-0000-0000CF230000}"/>
    <cellStyle name="M3 4 2" xfId="9170" xr:uid="{00000000-0005-0000-0000-0000D0230000}"/>
    <cellStyle name="M3 4 2 2" xfId="9171" xr:uid="{00000000-0005-0000-0000-0000D1230000}"/>
    <cellStyle name="M3 4 3" xfId="9172" xr:uid="{00000000-0005-0000-0000-0000D2230000}"/>
    <cellStyle name="M3 5" xfId="9173" xr:uid="{00000000-0005-0000-0000-0000D3230000}"/>
    <cellStyle name="Midtitle" xfId="9174" xr:uid="{00000000-0005-0000-0000-0000D4230000}"/>
    <cellStyle name="Milliers [0]_399GC10" xfId="9175" xr:uid="{00000000-0005-0000-0000-0000D5230000}"/>
    <cellStyle name="Milliers_399GC10" xfId="9176" xr:uid="{00000000-0005-0000-0000-0000D6230000}"/>
    <cellStyle name="mma_CASH &amp; DSO" xfId="9177" xr:uid="{00000000-0005-0000-0000-0000D7230000}"/>
    <cellStyle name="Model" xfId="9178" xr:uid="{00000000-0005-0000-0000-0000D8230000}"/>
    <cellStyle name="Mon?aire [0]_399GC10" xfId="9179" xr:uid="{00000000-0005-0000-0000-0000D9230000}"/>
    <cellStyle name="Mon?aire_399GC10" xfId="9180" xr:uid="{00000000-0005-0000-0000-0000DA230000}"/>
    <cellStyle name="moon" xfId="9181" xr:uid="{00000000-0005-0000-0000-0000DB230000}"/>
    <cellStyle name="MS Proofing Tools" xfId="9182" xr:uid="{00000000-0005-0000-0000-0000DC230000}"/>
    <cellStyle name="N?rmal_MCOE Summary (5)_98선급금" xfId="9183" xr:uid="{00000000-0005-0000-0000-0000DD230000}"/>
    <cellStyle name="Neutral" xfId="9184" xr:uid="{00000000-0005-0000-0000-0000DE230000}"/>
    <cellStyle name="no dec" xfId="9185" xr:uid="{00000000-0005-0000-0000-0000DF230000}"/>
    <cellStyle name="normal" xfId="9186" xr:uid="{00000000-0005-0000-0000-0000E0230000}"/>
    <cellStyle name="Normal - Style1" xfId="9187" xr:uid="{00000000-0005-0000-0000-0000E1230000}"/>
    <cellStyle name="Normal - Style1 2" xfId="9188" xr:uid="{00000000-0005-0000-0000-0000E2230000}"/>
    <cellStyle name="Normal - Style1 3" xfId="9189" xr:uid="{00000000-0005-0000-0000-0000E3230000}"/>
    <cellStyle name="Normal - Style1 4" xfId="9190" xr:uid="{00000000-0005-0000-0000-0000E4230000}"/>
    <cellStyle name="Normal - Style1 5" xfId="9191" xr:uid="{00000000-0005-0000-0000-0000E5230000}"/>
    <cellStyle name="Normal - Style1 6" xfId="9192" xr:uid="{00000000-0005-0000-0000-0000E6230000}"/>
    <cellStyle name="Normal - Style2" xfId="9193" xr:uid="{00000000-0005-0000-0000-0000E7230000}"/>
    <cellStyle name="Normal - Style3" xfId="9194" xr:uid="{00000000-0005-0000-0000-0000E8230000}"/>
    <cellStyle name="Normal - Style4" xfId="9195" xr:uid="{00000000-0005-0000-0000-0000E9230000}"/>
    <cellStyle name="Normal - Style5" xfId="9196" xr:uid="{00000000-0005-0000-0000-0000EA230000}"/>
    <cellStyle name="Normal - Style6" xfId="9197" xr:uid="{00000000-0005-0000-0000-0000EB230000}"/>
    <cellStyle name="Normal - Style7" xfId="9198" xr:uid="{00000000-0005-0000-0000-0000EC230000}"/>
    <cellStyle name="Normal - Style8" xfId="9199" xr:uid="{00000000-0005-0000-0000-0000ED230000}"/>
    <cellStyle name="Normal - 유형1" xfId="9200" xr:uid="{00000000-0005-0000-0000-0000EE230000}"/>
    <cellStyle name="normal 10" xfId="9201" xr:uid="{00000000-0005-0000-0000-0000EF230000}"/>
    <cellStyle name="normal 11" xfId="9202" xr:uid="{00000000-0005-0000-0000-0000F0230000}"/>
    <cellStyle name="normal 12" xfId="9203" xr:uid="{00000000-0005-0000-0000-0000F1230000}"/>
    <cellStyle name="normal 13" xfId="9204" xr:uid="{00000000-0005-0000-0000-0000F2230000}"/>
    <cellStyle name="normal 14" xfId="9205" xr:uid="{00000000-0005-0000-0000-0000F3230000}"/>
    <cellStyle name="normal 15" xfId="9206" xr:uid="{00000000-0005-0000-0000-0000F4230000}"/>
    <cellStyle name="normal 16" xfId="9207" xr:uid="{00000000-0005-0000-0000-0000F5230000}"/>
    <cellStyle name="normal 17" xfId="9208" xr:uid="{00000000-0005-0000-0000-0000F6230000}"/>
    <cellStyle name="normal 18" xfId="9209" xr:uid="{00000000-0005-0000-0000-0000F7230000}"/>
    <cellStyle name="normal 19" xfId="9210" xr:uid="{00000000-0005-0000-0000-0000F8230000}"/>
    <cellStyle name="Normal 2" xfId="9211" xr:uid="{00000000-0005-0000-0000-0000F9230000}"/>
    <cellStyle name="normal 2 2" xfId="9212" xr:uid="{00000000-0005-0000-0000-0000FA230000}"/>
    <cellStyle name="normal 3" xfId="9213" xr:uid="{00000000-0005-0000-0000-0000FB230000}"/>
    <cellStyle name="Normal 4" xfId="9214" xr:uid="{00000000-0005-0000-0000-0000FC230000}"/>
    <cellStyle name="Normal 5" xfId="9215" xr:uid="{00000000-0005-0000-0000-0000FD230000}"/>
    <cellStyle name="Normal 6" xfId="9216" xr:uid="{00000000-0005-0000-0000-0000FE230000}"/>
    <cellStyle name="normal 7" xfId="9217" xr:uid="{00000000-0005-0000-0000-0000FF230000}"/>
    <cellStyle name="normal 8" xfId="9218" xr:uid="{00000000-0005-0000-0000-000000240000}"/>
    <cellStyle name="normal 9" xfId="9219" xr:uid="{00000000-0005-0000-0000-000001240000}"/>
    <cellStyle name="Normal_ SG&amp;A Bridge" xfId="9220" xr:uid="{00000000-0005-0000-0000-000002240000}"/>
    <cellStyle name="Note" xfId="9221" xr:uid="{00000000-0005-0000-0000-000003240000}"/>
    <cellStyle name="N䁯rmal_MCOE Summary (5)_98선급금" xfId="9222" xr:uid="{00000000-0005-0000-0000-000004240000}"/>
    <cellStyle name="Œ…?æ맖?e [0.00]_laroux" xfId="9223" xr:uid="{00000000-0005-0000-0000-000005240000}"/>
    <cellStyle name="Œ…?æ맖?e_laroux" xfId="9224" xr:uid="{00000000-0005-0000-0000-000006240000}"/>
    <cellStyle name="Œ…‹æØ‚è [0.00]_laroux" xfId="9225" xr:uid="{00000000-0005-0000-0000-000007240000}"/>
    <cellStyle name="Œ…‹æØ‚è_laroux" xfId="9226" xr:uid="{00000000-0005-0000-0000-000008240000}"/>
    <cellStyle name="oft Excel]_x000d__x000a_Comment=The open=/f lines load custom functions into the Paste Function list._x000d__x000a_Maximized=1_x000d__x000a_AutoFormat=" xfId="9227" xr:uid="{00000000-0005-0000-0000-000009240000}"/>
    <cellStyle name="oft Excel]_x000d__x000a_Comment=The open=/f lines load custom functions into the Paste Function list._x000d__x000a_Maximized=3_x000d__x000a_AutoFormat=" xfId="9228" xr:uid="{00000000-0005-0000-0000-00000A240000}"/>
    <cellStyle name="oh" xfId="9229" xr:uid="{00000000-0005-0000-0000-00000B240000}"/>
    <cellStyle name="Output" xfId="9230" xr:uid="{00000000-0005-0000-0000-00000C240000}"/>
    <cellStyle name="Output Single Cell" xfId="9231" xr:uid="{00000000-0005-0000-0000-00000D240000}"/>
    <cellStyle name="Output Single Cell 2" xfId="9232" xr:uid="{00000000-0005-0000-0000-00000E240000}"/>
    <cellStyle name="Output Single Cell 2 2" xfId="9233" xr:uid="{00000000-0005-0000-0000-00000F240000}"/>
    <cellStyle name="Output Single Cell 2 2 2" xfId="9234" xr:uid="{00000000-0005-0000-0000-000010240000}"/>
    <cellStyle name="Output Single Cell 2 3" xfId="9235" xr:uid="{00000000-0005-0000-0000-000011240000}"/>
    <cellStyle name="Output Single Cell 3" xfId="9236" xr:uid="{00000000-0005-0000-0000-000012240000}"/>
    <cellStyle name="Output Single Cell 3 2" xfId="9237" xr:uid="{00000000-0005-0000-0000-000013240000}"/>
    <cellStyle name="Output Single Cell 3 2 2" xfId="9238" xr:uid="{00000000-0005-0000-0000-000014240000}"/>
    <cellStyle name="Output Single Cell 3 3" xfId="9239" xr:uid="{00000000-0005-0000-0000-000015240000}"/>
    <cellStyle name="Output Single Cell 4" xfId="9240" xr:uid="{00000000-0005-0000-0000-000016240000}"/>
    <cellStyle name="Output Single Cell 4 2" xfId="9241" xr:uid="{00000000-0005-0000-0000-000017240000}"/>
    <cellStyle name="Output Single Cell 5" xfId="9242" xr:uid="{00000000-0005-0000-0000-000018240000}"/>
    <cellStyle name="p/n" xfId="9243" xr:uid="{00000000-0005-0000-0000-000019240000}"/>
    <cellStyle name="Package Size" xfId="9244" xr:uid="{00000000-0005-0000-0000-00001A240000}"/>
    <cellStyle name="Package Size 2" xfId="9245" xr:uid="{00000000-0005-0000-0000-00001B240000}"/>
    <cellStyle name="Package Size 2 2" xfId="9246" xr:uid="{00000000-0005-0000-0000-00001C240000}"/>
    <cellStyle name="Package Size 2 3" xfId="9247" xr:uid="{00000000-0005-0000-0000-00001D240000}"/>
    <cellStyle name="Percent" xfId="9248" xr:uid="{00000000-0005-0000-0000-00001E240000}"/>
    <cellStyle name="Percent [0]" xfId="9249" xr:uid="{00000000-0005-0000-0000-00001F240000}"/>
    <cellStyle name="Percent [00]" xfId="9250" xr:uid="{00000000-0005-0000-0000-000020240000}"/>
    <cellStyle name="Percent [2]" xfId="9251" xr:uid="{00000000-0005-0000-0000-000021240000}"/>
    <cellStyle name="Percent 10" xfId="9252" xr:uid="{00000000-0005-0000-0000-000022240000}"/>
    <cellStyle name="Percent 11" xfId="9253" xr:uid="{00000000-0005-0000-0000-000023240000}"/>
    <cellStyle name="Percent 12" xfId="9254" xr:uid="{00000000-0005-0000-0000-000024240000}"/>
    <cellStyle name="Percent 13" xfId="9255" xr:uid="{00000000-0005-0000-0000-000025240000}"/>
    <cellStyle name="Percent 14" xfId="9256" xr:uid="{00000000-0005-0000-0000-000026240000}"/>
    <cellStyle name="Percent 15" xfId="9257" xr:uid="{00000000-0005-0000-0000-000027240000}"/>
    <cellStyle name="Percent 16" xfId="9258" xr:uid="{00000000-0005-0000-0000-000028240000}"/>
    <cellStyle name="Percent 17" xfId="9259" xr:uid="{00000000-0005-0000-0000-000029240000}"/>
    <cellStyle name="Percent 18" xfId="9260" xr:uid="{00000000-0005-0000-0000-00002A240000}"/>
    <cellStyle name="Percent 19" xfId="9261" xr:uid="{00000000-0005-0000-0000-00002B240000}"/>
    <cellStyle name="Percent 2" xfId="9262" xr:uid="{00000000-0005-0000-0000-00002C240000}"/>
    <cellStyle name="Percent 2 2" xfId="9263" xr:uid="{00000000-0005-0000-0000-00002D240000}"/>
    <cellStyle name="Percent 2 3" xfId="9264" xr:uid="{00000000-0005-0000-0000-00002E240000}"/>
    <cellStyle name="Percent 20" xfId="9265" xr:uid="{00000000-0005-0000-0000-00002F240000}"/>
    <cellStyle name="Percent 21" xfId="9266" xr:uid="{00000000-0005-0000-0000-000030240000}"/>
    <cellStyle name="Percent 22" xfId="9267" xr:uid="{00000000-0005-0000-0000-000031240000}"/>
    <cellStyle name="Percent 23" xfId="9268" xr:uid="{00000000-0005-0000-0000-000032240000}"/>
    <cellStyle name="Percent 24" xfId="9269" xr:uid="{00000000-0005-0000-0000-000033240000}"/>
    <cellStyle name="Percent 25" xfId="9270" xr:uid="{00000000-0005-0000-0000-000034240000}"/>
    <cellStyle name="Percent 26" xfId="9271" xr:uid="{00000000-0005-0000-0000-000035240000}"/>
    <cellStyle name="Percent 27" xfId="9272" xr:uid="{00000000-0005-0000-0000-000036240000}"/>
    <cellStyle name="Percent 28" xfId="9273" xr:uid="{00000000-0005-0000-0000-000037240000}"/>
    <cellStyle name="Percent 29" xfId="9274" xr:uid="{00000000-0005-0000-0000-000038240000}"/>
    <cellStyle name="Percent 3" xfId="9275" xr:uid="{00000000-0005-0000-0000-000039240000}"/>
    <cellStyle name="Percent 3 2" xfId="9276" xr:uid="{00000000-0005-0000-0000-00003A240000}"/>
    <cellStyle name="Percent 3 3" xfId="9277" xr:uid="{00000000-0005-0000-0000-00003B240000}"/>
    <cellStyle name="Percent 30" xfId="9278" xr:uid="{00000000-0005-0000-0000-00003C240000}"/>
    <cellStyle name="Percent 31" xfId="9279" xr:uid="{00000000-0005-0000-0000-00003D240000}"/>
    <cellStyle name="Percent 32" xfId="9280" xr:uid="{00000000-0005-0000-0000-00003E240000}"/>
    <cellStyle name="Percent 4" xfId="9281" xr:uid="{00000000-0005-0000-0000-00003F240000}"/>
    <cellStyle name="Percent 5" xfId="9282" xr:uid="{00000000-0005-0000-0000-000040240000}"/>
    <cellStyle name="Percent 6" xfId="9283" xr:uid="{00000000-0005-0000-0000-000041240000}"/>
    <cellStyle name="Percent 7" xfId="9284" xr:uid="{00000000-0005-0000-0000-000042240000}"/>
    <cellStyle name="Percent 8" xfId="9285" xr:uid="{00000000-0005-0000-0000-000043240000}"/>
    <cellStyle name="Percent 9" xfId="9286" xr:uid="{00000000-0005-0000-0000-000044240000}"/>
    <cellStyle name="Percent_!간지" xfId="9287" xr:uid="{00000000-0005-0000-0000-000045240000}"/>
    <cellStyle name="PrePop Currency (0)" xfId="9288" xr:uid="{00000000-0005-0000-0000-000046240000}"/>
    <cellStyle name="PrePop Currency (2)" xfId="9289" xr:uid="{00000000-0005-0000-0000-000047240000}"/>
    <cellStyle name="PrePop Units (0)" xfId="9290" xr:uid="{00000000-0005-0000-0000-000048240000}"/>
    <cellStyle name="PrePop Units (1)" xfId="9291" xr:uid="{00000000-0005-0000-0000-000049240000}"/>
    <cellStyle name="PrePop Units (2)" xfId="9292" xr:uid="{00000000-0005-0000-0000-00004A240000}"/>
    <cellStyle name="PRICE2" xfId="9293" xr:uid="{00000000-0005-0000-0000-00004B240000}"/>
    <cellStyle name="Print Heading" xfId="9294" xr:uid="{00000000-0005-0000-0000-00004C240000}"/>
    <cellStyle name="Procent_BINV" xfId="9295" xr:uid="{00000000-0005-0000-0000-00004D240000}"/>
    <cellStyle name="Ʀ" xfId="9296" xr:uid="{00000000-0005-0000-0000-00004E240000}"/>
    <cellStyle name="Recipe" xfId="9297" xr:uid="{00000000-0005-0000-0000-00004F240000}"/>
    <cellStyle name="Recipe Heading" xfId="9298" xr:uid="{00000000-0005-0000-0000-000050240000}"/>
    <cellStyle name="Recipe_007..단위수량(송수관로)" xfId="9299" xr:uid="{00000000-0005-0000-0000-000051240000}"/>
    <cellStyle name="Revenue" xfId="9300" xr:uid="{00000000-0005-0000-0000-000052240000}"/>
    <cellStyle name="RevList" xfId="9301" xr:uid="{00000000-0005-0000-0000-000053240000}"/>
    <cellStyle name="RevList 10" xfId="9302" xr:uid="{00000000-0005-0000-0000-000054240000}"/>
    <cellStyle name="RevList 11" xfId="9303" xr:uid="{00000000-0005-0000-0000-000055240000}"/>
    <cellStyle name="RevList 12" xfId="9304" xr:uid="{00000000-0005-0000-0000-000056240000}"/>
    <cellStyle name="RevList 13" xfId="9305" xr:uid="{00000000-0005-0000-0000-000057240000}"/>
    <cellStyle name="RevList 2" xfId="9306" xr:uid="{00000000-0005-0000-0000-000058240000}"/>
    <cellStyle name="RevList 2 10" xfId="9307" xr:uid="{00000000-0005-0000-0000-000059240000}"/>
    <cellStyle name="RevList 2 11" xfId="9308" xr:uid="{00000000-0005-0000-0000-00005A240000}"/>
    <cellStyle name="RevList 2 2" xfId="9309" xr:uid="{00000000-0005-0000-0000-00005B240000}"/>
    <cellStyle name="RevList 2 3" xfId="9310" xr:uid="{00000000-0005-0000-0000-00005C240000}"/>
    <cellStyle name="RevList 2 4" xfId="9311" xr:uid="{00000000-0005-0000-0000-00005D240000}"/>
    <cellStyle name="RevList 2 5" xfId="9312" xr:uid="{00000000-0005-0000-0000-00005E240000}"/>
    <cellStyle name="RevList 2 6" xfId="9313" xr:uid="{00000000-0005-0000-0000-00005F240000}"/>
    <cellStyle name="RevList 2 7" xfId="9314" xr:uid="{00000000-0005-0000-0000-000060240000}"/>
    <cellStyle name="RevList 2 8" xfId="9315" xr:uid="{00000000-0005-0000-0000-000061240000}"/>
    <cellStyle name="RevList 2 9" xfId="9316" xr:uid="{00000000-0005-0000-0000-000062240000}"/>
    <cellStyle name="RevList 3" xfId="9317" xr:uid="{00000000-0005-0000-0000-000063240000}"/>
    <cellStyle name="RevList 4" xfId="9318" xr:uid="{00000000-0005-0000-0000-000064240000}"/>
    <cellStyle name="RevList 5" xfId="9319" xr:uid="{00000000-0005-0000-0000-000065240000}"/>
    <cellStyle name="RevList 6" xfId="9320" xr:uid="{00000000-0005-0000-0000-000066240000}"/>
    <cellStyle name="RevList 7" xfId="9321" xr:uid="{00000000-0005-0000-0000-000067240000}"/>
    <cellStyle name="RevList 8" xfId="9322" xr:uid="{00000000-0005-0000-0000-000068240000}"/>
    <cellStyle name="RevList 9" xfId="9323" xr:uid="{00000000-0005-0000-0000-000069240000}"/>
    <cellStyle name="rld Wide" xfId="9324" xr:uid="{00000000-0005-0000-0000-00006A240000}"/>
    <cellStyle name="RptTitle" xfId="9325" xr:uid="{00000000-0005-0000-0000-00006B240000}"/>
    <cellStyle name="S " xfId="9326" xr:uid="{00000000-0005-0000-0000-00006C240000}"/>
    <cellStyle name="sh" xfId="9327" xr:uid="{00000000-0005-0000-0000-00006D240000}"/>
    <cellStyle name="Sheet Title" xfId="9328" xr:uid="{00000000-0005-0000-0000-00006E240000}"/>
    <cellStyle name="SHIM" xfId="9329" xr:uid="{00000000-0005-0000-0000-00006F240000}"/>
    <cellStyle name="SS" xfId="9330" xr:uid="{00000000-0005-0000-0000-000070240000}"/>
    <cellStyle name="ssh" xfId="9331" xr:uid="{00000000-0005-0000-0000-000071240000}"/>
    <cellStyle name="Standaard_BINV" xfId="9332" xr:uid="{00000000-0005-0000-0000-000072240000}"/>
    <cellStyle name="STANDARD" xfId="9333" xr:uid="{00000000-0005-0000-0000-000073240000}"/>
    <cellStyle name="STD" xfId="9334" xr:uid="{00000000-0005-0000-0000-000074240000}"/>
    <cellStyle name="Sub" xfId="9335" xr:uid="{00000000-0005-0000-0000-000075240000}"/>
    <cellStyle name="subhead" xfId="9336" xr:uid="{00000000-0005-0000-0000-000076240000}"/>
    <cellStyle name="SubHeading" xfId="9337" xr:uid="{00000000-0005-0000-0000-000077240000}"/>
    <cellStyle name="Subtotal" xfId="9338" xr:uid="{00000000-0005-0000-0000-000078240000}"/>
    <cellStyle name="Subtotal 1" xfId="9339" xr:uid="{00000000-0005-0000-0000-000079240000}"/>
    <cellStyle name="Subtotal 1 2" xfId="9340" xr:uid="{00000000-0005-0000-0000-00007A240000}"/>
    <cellStyle name="Subtotal 1 2 2" xfId="9341" xr:uid="{00000000-0005-0000-0000-00007B240000}"/>
    <cellStyle name="Subtotal 1 2 3" xfId="9342" xr:uid="{00000000-0005-0000-0000-00007C240000}"/>
    <cellStyle name="Suggested Quantity" xfId="9343" xr:uid="{00000000-0005-0000-0000-00007D240000}"/>
    <cellStyle name="Suggested Quantity 2" xfId="9344" xr:uid="{00000000-0005-0000-0000-00007E240000}"/>
    <cellStyle name="Suggested Quantity 2 2" xfId="9345" xr:uid="{00000000-0005-0000-0000-00007F240000}"/>
    <cellStyle name="Suggested Quantity 2 3" xfId="9346" xr:uid="{00000000-0005-0000-0000-000080240000}"/>
    <cellStyle name="T_1화 [0]_PLDT_2화 [0]_PLDT_N_x000c_통화 [0]_PRICE" xfId="9347" xr:uid="{00000000-0005-0000-0000-000081240000}"/>
    <cellStyle name="testtitle" xfId="9348" xr:uid="{00000000-0005-0000-0000-000082240000}"/>
    <cellStyle name="Text Indent A" xfId="9349" xr:uid="{00000000-0005-0000-0000-000083240000}"/>
    <cellStyle name="Text Indent B" xfId="9350" xr:uid="{00000000-0005-0000-0000-000084240000}"/>
    <cellStyle name="Text Indent C" xfId="9351" xr:uid="{00000000-0005-0000-0000-000085240000}"/>
    <cellStyle name="Title" xfId="9352" xr:uid="{00000000-0005-0000-0000-000086240000}"/>
    <cellStyle name="title [1]" xfId="9353" xr:uid="{00000000-0005-0000-0000-000087240000}"/>
    <cellStyle name="title [2]" xfId="9354" xr:uid="{00000000-0005-0000-0000-000088240000}"/>
    <cellStyle name="Title 10" xfId="9355" xr:uid="{00000000-0005-0000-0000-000089240000}"/>
    <cellStyle name="Title 11" xfId="9356" xr:uid="{00000000-0005-0000-0000-00008A240000}"/>
    <cellStyle name="Title 12" xfId="9357" xr:uid="{00000000-0005-0000-0000-00008B240000}"/>
    <cellStyle name="Title 13" xfId="9358" xr:uid="{00000000-0005-0000-0000-00008C240000}"/>
    <cellStyle name="Title 14" xfId="9359" xr:uid="{00000000-0005-0000-0000-00008D240000}"/>
    <cellStyle name="Title 15" xfId="9360" xr:uid="{00000000-0005-0000-0000-00008E240000}"/>
    <cellStyle name="Title 16" xfId="9361" xr:uid="{00000000-0005-0000-0000-00008F240000}"/>
    <cellStyle name="Title 17" xfId="9362" xr:uid="{00000000-0005-0000-0000-000090240000}"/>
    <cellStyle name="Title 18" xfId="9363" xr:uid="{00000000-0005-0000-0000-000091240000}"/>
    <cellStyle name="Title 2" xfId="9364" xr:uid="{00000000-0005-0000-0000-000092240000}"/>
    <cellStyle name="Title 3" xfId="9365" xr:uid="{00000000-0005-0000-0000-000093240000}"/>
    <cellStyle name="Title 4" xfId="9366" xr:uid="{00000000-0005-0000-0000-000094240000}"/>
    <cellStyle name="Title 5" xfId="9367" xr:uid="{00000000-0005-0000-0000-000095240000}"/>
    <cellStyle name="Title 6" xfId="9368" xr:uid="{00000000-0005-0000-0000-000096240000}"/>
    <cellStyle name="Title 7" xfId="9369" xr:uid="{00000000-0005-0000-0000-000097240000}"/>
    <cellStyle name="Title 8" xfId="9370" xr:uid="{00000000-0005-0000-0000-000098240000}"/>
    <cellStyle name="Title 9" xfId="9371" xr:uid="{00000000-0005-0000-0000-000099240000}"/>
    <cellStyle name="Title_5.0순공사비산출서(전체)" xfId="9372" xr:uid="{00000000-0005-0000-0000-00009A240000}"/>
    <cellStyle name="Title2" xfId="9373" xr:uid="{00000000-0005-0000-0000-00009B240000}"/>
    <cellStyle name="ton" xfId="9374" xr:uid="{00000000-0005-0000-0000-00009C240000}"/>
    <cellStyle name="Total" xfId="9375" xr:uid="{00000000-0005-0000-0000-00009D240000}"/>
    <cellStyle name="Total 2" xfId="9376" xr:uid="{00000000-0005-0000-0000-00009E240000}"/>
    <cellStyle name="Total 3" xfId="9377" xr:uid="{00000000-0005-0000-0000-00009F240000}"/>
    <cellStyle name="TotalCurr" xfId="9378" xr:uid="{00000000-0005-0000-0000-0000A0240000}"/>
    <cellStyle name="TotalHdr" xfId="9379" xr:uid="{00000000-0005-0000-0000-0000A1240000}"/>
    <cellStyle name="UM" xfId="9380" xr:uid="{00000000-0005-0000-0000-0000A2240000}"/>
    <cellStyle name="Valuta [0]_BINV" xfId="9381" xr:uid="{00000000-0005-0000-0000-0000A3240000}"/>
    <cellStyle name="Valuta_BINV" xfId="9382" xr:uid="{00000000-0005-0000-0000-0000A4240000}"/>
    <cellStyle name="W?rung [0]_Compiling Utility Macros" xfId="9383" xr:uid="{00000000-0005-0000-0000-0000A5240000}"/>
    <cellStyle name="W?rung_Compiling Utility Macros" xfId="9384" xr:uid="{00000000-0005-0000-0000-0000A6240000}"/>
    <cellStyle name="Warning Text" xfId="9385" xr:uid="{00000000-0005-0000-0000-0000A7240000}"/>
    <cellStyle name="wrap" xfId="9386" xr:uid="{00000000-0005-0000-0000-0000A8240000}"/>
    <cellStyle name="yh01" xfId="9387" xr:uid="{00000000-0005-0000-0000-0000A9240000}"/>
    <cellStyle name="μU¿¡ ¿A´A CIAIÆU¸μAⓒ" xfId="9388" xr:uid="{00000000-0005-0000-0000-0000AA240000}"/>
    <cellStyle name="ハイパーリンク_NT見10" xfId="9389" xr:uid="{00000000-0005-0000-0000-0000AB240000}"/>
    <cellStyle name="|?ドE" xfId="9390" xr:uid="{00000000-0005-0000-0000-0000AC240000}"/>
    <cellStyle name="" xfId="9391" xr:uid="{00000000-0005-0000-0000-0000AD240000}"/>
    <cellStyle name="감춤" xfId="9392" xr:uid="{00000000-0005-0000-0000-0000AE240000}"/>
    <cellStyle name="강조색1 10" xfId="9393" xr:uid="{00000000-0005-0000-0000-0000AF240000}"/>
    <cellStyle name="강조색1 2" xfId="9394" xr:uid="{00000000-0005-0000-0000-0000B0240000}"/>
    <cellStyle name="강조색1 4" xfId="9395" xr:uid="{00000000-0005-0000-0000-0000B1240000}"/>
    <cellStyle name="강조색2 2" xfId="9396" xr:uid="{00000000-0005-0000-0000-0000B2240000}"/>
    <cellStyle name="강조색3 2" xfId="9397" xr:uid="{00000000-0005-0000-0000-0000B3240000}"/>
    <cellStyle name="강조색4 2" xfId="9398" xr:uid="{00000000-0005-0000-0000-0000B4240000}"/>
    <cellStyle name="강조색5 2" xfId="9399" xr:uid="{00000000-0005-0000-0000-0000B5240000}"/>
    <cellStyle name="강조색6 10" xfId="9400" xr:uid="{00000000-0005-0000-0000-0000B6240000}"/>
    <cellStyle name="강조색6 2" xfId="9401" xr:uid="{00000000-0005-0000-0000-0000B7240000}"/>
    <cellStyle name="강조색6 4" xfId="9402" xr:uid="{00000000-0005-0000-0000-0000B8240000}"/>
    <cellStyle name="경고문 2" xfId="9403" xr:uid="{00000000-0005-0000-0000-0000B9240000}"/>
    <cellStyle name="계산 2" xfId="9404" xr:uid="{00000000-0005-0000-0000-0000BA240000}"/>
    <cellStyle name="계산 2 2" xfId="9405" xr:uid="{00000000-0005-0000-0000-0000BB240000}"/>
    <cellStyle name="계산 2 2 2" xfId="9406" xr:uid="{00000000-0005-0000-0000-0000BC240000}"/>
    <cellStyle name="계산 2 2 2 2" xfId="9407" xr:uid="{00000000-0005-0000-0000-0000BD240000}"/>
    <cellStyle name="계산 2 2 3" xfId="9408" xr:uid="{00000000-0005-0000-0000-0000BE240000}"/>
    <cellStyle name="계산 2 3" xfId="9409" xr:uid="{00000000-0005-0000-0000-0000BF240000}"/>
    <cellStyle name="계산 2 3 2" xfId="9410" xr:uid="{00000000-0005-0000-0000-0000C0240000}"/>
    <cellStyle name="계산 2 3 2 2" xfId="9411" xr:uid="{00000000-0005-0000-0000-0000C1240000}"/>
    <cellStyle name="계산 2 3 3" xfId="9412" xr:uid="{00000000-0005-0000-0000-0000C2240000}"/>
    <cellStyle name="계산 2 4" xfId="9413" xr:uid="{00000000-0005-0000-0000-0000C3240000}"/>
    <cellStyle name="계산 2 4 2" xfId="9414" xr:uid="{00000000-0005-0000-0000-0000C4240000}"/>
    <cellStyle name="계산 2 5" xfId="9415" xr:uid="{00000000-0005-0000-0000-0000C5240000}"/>
    <cellStyle name="고정소숫점" xfId="9416" xr:uid="{00000000-0005-0000-0000-0000C6240000}"/>
    <cellStyle name="고정소숫점 2" xfId="9417" xr:uid="{00000000-0005-0000-0000-0000C7240000}"/>
    <cellStyle name="고정소숫점 3" xfId="9418" xr:uid="{00000000-0005-0000-0000-0000C8240000}"/>
    <cellStyle name="고정출력1" xfId="9419" xr:uid="{00000000-0005-0000-0000-0000C9240000}"/>
    <cellStyle name="고정출력2" xfId="9420" xr:uid="{00000000-0005-0000-0000-0000CA240000}"/>
    <cellStyle name="공사원가계산서(조경)" xfId="9421" xr:uid="{00000000-0005-0000-0000-0000CB240000}"/>
    <cellStyle name="공사원가계산서(조경) 2" xfId="9422" xr:uid="{00000000-0005-0000-0000-0000CC240000}"/>
    <cellStyle name="공사원가계산서(조경) 3" xfId="9423" xr:uid="{00000000-0005-0000-0000-0000CD240000}"/>
    <cellStyle name="공사원가계산서(조경) 4" xfId="9424" xr:uid="{00000000-0005-0000-0000-0000CE240000}"/>
    <cellStyle name="공종" xfId="9425" xr:uid="{00000000-0005-0000-0000-0000CF240000}"/>
    <cellStyle name="공종-규격" xfId="9426" xr:uid="{00000000-0005-0000-0000-0000D0240000}"/>
    <cellStyle name="공종-규격 2" xfId="9427" xr:uid="{00000000-0005-0000-0000-0000D1240000}"/>
    <cellStyle name="공종-규격 2 2" xfId="9428" xr:uid="{00000000-0005-0000-0000-0000D2240000}"/>
    <cellStyle name="공종-규격 2 3" xfId="9429" xr:uid="{00000000-0005-0000-0000-0000D3240000}"/>
    <cellStyle name="과정별배정" xfId="9430" xr:uid="{00000000-0005-0000-0000-0000D4240000}"/>
    <cellStyle name="괘선" xfId="9431" xr:uid="{00000000-0005-0000-0000-0000D5240000}"/>
    <cellStyle name="괘선1" xfId="9432" xr:uid="{00000000-0005-0000-0000-0000D6240000}"/>
    <cellStyle name="咬訌裝?INCOM1" xfId="9433" xr:uid="{00000000-0005-0000-0000-0000D7240000}"/>
    <cellStyle name="咬訌裝?INCOM1 2" xfId="9434" xr:uid="{00000000-0005-0000-0000-0000D8240000}"/>
    <cellStyle name="咬訌裝?INCOM1 3" xfId="9435" xr:uid="{00000000-0005-0000-0000-0000D9240000}"/>
    <cellStyle name="咬訌裝?INCOM10" xfId="9436" xr:uid="{00000000-0005-0000-0000-0000DA240000}"/>
    <cellStyle name="咬訌裝?INCOM10 2" xfId="9437" xr:uid="{00000000-0005-0000-0000-0000DB240000}"/>
    <cellStyle name="咬訌裝?INCOM10 3" xfId="9438" xr:uid="{00000000-0005-0000-0000-0000DC240000}"/>
    <cellStyle name="咬訌裝?INCOM2" xfId="9439" xr:uid="{00000000-0005-0000-0000-0000DD240000}"/>
    <cellStyle name="咬訌裝?INCOM2 2" xfId="9440" xr:uid="{00000000-0005-0000-0000-0000DE240000}"/>
    <cellStyle name="咬訌裝?INCOM2 3" xfId="9441" xr:uid="{00000000-0005-0000-0000-0000DF240000}"/>
    <cellStyle name="咬訌裝?INCOM3" xfId="9442" xr:uid="{00000000-0005-0000-0000-0000E0240000}"/>
    <cellStyle name="咬訌裝?INCOM3 2" xfId="9443" xr:uid="{00000000-0005-0000-0000-0000E1240000}"/>
    <cellStyle name="咬訌裝?INCOM3 3" xfId="9444" xr:uid="{00000000-0005-0000-0000-0000E2240000}"/>
    <cellStyle name="咬訌裝?INCOM4" xfId="9445" xr:uid="{00000000-0005-0000-0000-0000E3240000}"/>
    <cellStyle name="咬訌裝?INCOM4 2" xfId="9446" xr:uid="{00000000-0005-0000-0000-0000E4240000}"/>
    <cellStyle name="咬訌裝?INCOM4 3" xfId="9447" xr:uid="{00000000-0005-0000-0000-0000E5240000}"/>
    <cellStyle name="咬訌裝?INCOM5" xfId="9448" xr:uid="{00000000-0005-0000-0000-0000E6240000}"/>
    <cellStyle name="咬訌裝?INCOM5 2" xfId="9449" xr:uid="{00000000-0005-0000-0000-0000E7240000}"/>
    <cellStyle name="咬訌裝?INCOM5 3" xfId="9450" xr:uid="{00000000-0005-0000-0000-0000E8240000}"/>
    <cellStyle name="咬訌裝?INCOM6" xfId="9451" xr:uid="{00000000-0005-0000-0000-0000E9240000}"/>
    <cellStyle name="咬訌裝?INCOM6 2" xfId="9452" xr:uid="{00000000-0005-0000-0000-0000EA240000}"/>
    <cellStyle name="咬訌裝?INCOM6 3" xfId="9453" xr:uid="{00000000-0005-0000-0000-0000EB240000}"/>
    <cellStyle name="咬訌裝?INCOM7" xfId="9454" xr:uid="{00000000-0005-0000-0000-0000EC240000}"/>
    <cellStyle name="咬訌裝?INCOM7 2" xfId="9455" xr:uid="{00000000-0005-0000-0000-0000ED240000}"/>
    <cellStyle name="咬訌裝?INCOM7 3" xfId="9456" xr:uid="{00000000-0005-0000-0000-0000EE240000}"/>
    <cellStyle name="咬訌裝?INCOM8" xfId="9457" xr:uid="{00000000-0005-0000-0000-0000EF240000}"/>
    <cellStyle name="咬訌裝?INCOM8 2" xfId="9458" xr:uid="{00000000-0005-0000-0000-0000F0240000}"/>
    <cellStyle name="咬訌裝?INCOM8 3" xfId="9459" xr:uid="{00000000-0005-0000-0000-0000F1240000}"/>
    <cellStyle name="咬訌裝?INCOM9" xfId="9460" xr:uid="{00000000-0005-0000-0000-0000F2240000}"/>
    <cellStyle name="咬訌裝?INCOM9 2" xfId="9461" xr:uid="{00000000-0005-0000-0000-0000F3240000}"/>
    <cellStyle name="咬訌裝?INCOM9 3" xfId="9462" xr:uid="{00000000-0005-0000-0000-0000F4240000}"/>
    <cellStyle name="咬訌裝?PRIB11" xfId="9463" xr:uid="{00000000-0005-0000-0000-0000F5240000}"/>
    <cellStyle name="咬訌裝?PRIB11 2" xfId="9464" xr:uid="{00000000-0005-0000-0000-0000F6240000}"/>
    <cellStyle name="咬訌裝?PRIB11 3" xfId="9465" xr:uid="{00000000-0005-0000-0000-0000F7240000}"/>
    <cellStyle name="그림" xfId="9466" xr:uid="{00000000-0005-0000-0000-0000F8240000}"/>
    <cellStyle name="금액" xfId="9467" xr:uid="{00000000-0005-0000-0000-0000F9240000}"/>
    <cellStyle name="금액 2" xfId="9468" xr:uid="{00000000-0005-0000-0000-0000FA240000}"/>
    <cellStyle name="금액 3" xfId="9469" xr:uid="{00000000-0005-0000-0000-0000FB240000}"/>
    <cellStyle name="기계" xfId="9470" xr:uid="{00000000-0005-0000-0000-0000FC240000}"/>
    <cellStyle name="끼_x0001_?" xfId="9471" xr:uid="{00000000-0005-0000-0000-0000FD240000}"/>
    <cellStyle name="나쁨 2" xfId="9472" xr:uid="{00000000-0005-0000-0000-0000FE240000}"/>
    <cellStyle name="날짜" xfId="9473" xr:uid="{00000000-0005-0000-0000-0000FF240000}"/>
    <cellStyle name="내역" xfId="9474" xr:uid="{00000000-0005-0000-0000-000000250000}"/>
    <cellStyle name="내역서" xfId="9475" xr:uid="{00000000-0005-0000-0000-000001250000}"/>
    <cellStyle name="네모제목" xfId="9476" xr:uid="{00000000-0005-0000-0000-000002250000}"/>
    <cellStyle name="네모제목 2" xfId="9477" xr:uid="{00000000-0005-0000-0000-000003250000}"/>
    <cellStyle name="네모제목 2 2" xfId="9478" xr:uid="{00000000-0005-0000-0000-000004250000}"/>
    <cellStyle name="네모제목 2 3" xfId="9479" xr:uid="{00000000-0005-0000-0000-000005250000}"/>
    <cellStyle name="네모제목 2 4" xfId="9480" xr:uid="{00000000-0005-0000-0000-000006250000}"/>
    <cellStyle name="네모제목 3" xfId="9481" xr:uid="{00000000-0005-0000-0000-000007250000}"/>
    <cellStyle name="네모제목 3 2" xfId="9482" xr:uid="{00000000-0005-0000-0000-000008250000}"/>
    <cellStyle name="네모제목 3 3" xfId="9483" xr:uid="{00000000-0005-0000-0000-000009250000}"/>
    <cellStyle name="네모제목 3 4" xfId="9484" xr:uid="{00000000-0005-0000-0000-00000A250000}"/>
    <cellStyle name="네모제목 4" xfId="9485" xr:uid="{00000000-0005-0000-0000-00000B250000}"/>
    <cellStyle name="네모제목 4 2" xfId="9486" xr:uid="{00000000-0005-0000-0000-00000C250000}"/>
    <cellStyle name="네모제목 4 3" xfId="9487" xr:uid="{00000000-0005-0000-0000-00000D250000}"/>
    <cellStyle name="네모제목 4 4" xfId="9488" xr:uid="{00000000-0005-0000-0000-00000E250000}"/>
    <cellStyle name="네모제목 5" xfId="9489" xr:uid="{00000000-0005-0000-0000-00000F250000}"/>
    <cellStyle name="네모제목 5 2" xfId="9490" xr:uid="{00000000-0005-0000-0000-000010250000}"/>
    <cellStyle name="네모제목 5 3" xfId="9491" xr:uid="{00000000-0005-0000-0000-000011250000}"/>
    <cellStyle name="네모제목 5 4" xfId="9492" xr:uid="{00000000-0005-0000-0000-000012250000}"/>
    <cellStyle name="네모제목 6" xfId="9493" xr:uid="{00000000-0005-0000-0000-000013250000}"/>
    <cellStyle name="네모제목 6 2" xfId="9494" xr:uid="{00000000-0005-0000-0000-000014250000}"/>
    <cellStyle name="네모제목 6 3" xfId="9495" xr:uid="{00000000-0005-0000-0000-000015250000}"/>
    <cellStyle name="네모제목 6 4" xfId="9496" xr:uid="{00000000-0005-0000-0000-000016250000}"/>
    <cellStyle name="네모제목 7" xfId="9497" xr:uid="{00000000-0005-0000-0000-000017250000}"/>
    <cellStyle name="네모제목 7 2" xfId="9498" xr:uid="{00000000-0005-0000-0000-000018250000}"/>
    <cellStyle name="네모제목 7 3" xfId="9499" xr:uid="{00000000-0005-0000-0000-000019250000}"/>
    <cellStyle name="네모제목 7 4" xfId="9500" xr:uid="{00000000-0005-0000-0000-00001A250000}"/>
    <cellStyle name="네모제목 8" xfId="9501" xr:uid="{00000000-0005-0000-0000-00001B250000}"/>
    <cellStyle name="네모제목 8 2" xfId="9502" xr:uid="{00000000-0005-0000-0000-00001C250000}"/>
    <cellStyle name="네모제목 8 3" xfId="9503" xr:uid="{00000000-0005-0000-0000-00001D250000}"/>
    <cellStyle name="네모제목 8 4" xfId="9504" xr:uid="{00000000-0005-0000-0000-00001E250000}"/>
    <cellStyle name="년도" xfId="9505" xr:uid="{00000000-0005-0000-0000-00001F250000}"/>
    <cellStyle name="노명용" xfId="9506" xr:uid="{00000000-0005-0000-0000-000020250000}"/>
    <cellStyle name="노명용 2" xfId="9507" xr:uid="{00000000-0005-0000-0000-000021250000}"/>
    <cellStyle name="노명용 2 2" xfId="9508" xr:uid="{00000000-0005-0000-0000-000022250000}"/>
    <cellStyle name="노명용 2 2 2" xfId="9509" xr:uid="{00000000-0005-0000-0000-000023250000}"/>
    <cellStyle name="노명용 2 3" xfId="9510" xr:uid="{00000000-0005-0000-0000-000024250000}"/>
    <cellStyle name="노명용 3" xfId="9511" xr:uid="{00000000-0005-0000-0000-000025250000}"/>
    <cellStyle name="노명용 3 2" xfId="9512" xr:uid="{00000000-0005-0000-0000-000026250000}"/>
    <cellStyle name="노명용 3 2 2" xfId="9513" xr:uid="{00000000-0005-0000-0000-000027250000}"/>
    <cellStyle name="노명용 3 3" xfId="9514" xr:uid="{00000000-0005-0000-0000-000028250000}"/>
    <cellStyle name="노명용 4" xfId="9515" xr:uid="{00000000-0005-0000-0000-000029250000}"/>
    <cellStyle name="노명용 4 2" xfId="9516" xr:uid="{00000000-0005-0000-0000-00002A250000}"/>
    <cellStyle name="노명용 4 2 2" xfId="9517" xr:uid="{00000000-0005-0000-0000-00002B250000}"/>
    <cellStyle name="노명용 4 3" xfId="9518" xr:uid="{00000000-0005-0000-0000-00002C250000}"/>
    <cellStyle name="노명용 5" xfId="9519" xr:uid="{00000000-0005-0000-0000-00002D250000}"/>
    <cellStyle name="노명용 5 2" xfId="9520" xr:uid="{00000000-0005-0000-0000-00002E250000}"/>
    <cellStyle name="노명용 6" xfId="9521" xr:uid="{00000000-0005-0000-0000-00002F250000}"/>
    <cellStyle name="단위" xfId="9522" xr:uid="{00000000-0005-0000-0000-000030250000}"/>
    <cellStyle name="단위 10" xfId="9523" xr:uid="{00000000-0005-0000-0000-000031250000}"/>
    <cellStyle name="단위 10 2" xfId="9524" xr:uid="{00000000-0005-0000-0000-000032250000}"/>
    <cellStyle name="단위 10 3" xfId="9525" xr:uid="{00000000-0005-0000-0000-000033250000}"/>
    <cellStyle name="단위 10 4" xfId="9526" xr:uid="{00000000-0005-0000-0000-000034250000}"/>
    <cellStyle name="단위 2" xfId="9527" xr:uid="{00000000-0005-0000-0000-000035250000}"/>
    <cellStyle name="단위 3" xfId="9528" xr:uid="{00000000-0005-0000-0000-000036250000}"/>
    <cellStyle name="단위 3 2" xfId="9529" xr:uid="{00000000-0005-0000-0000-000037250000}"/>
    <cellStyle name="단위 3 2 2" xfId="9530" xr:uid="{00000000-0005-0000-0000-000038250000}"/>
    <cellStyle name="단위 3 2 3" xfId="9531" xr:uid="{00000000-0005-0000-0000-000039250000}"/>
    <cellStyle name="단위 3 2 4" xfId="9532" xr:uid="{00000000-0005-0000-0000-00003A250000}"/>
    <cellStyle name="단위 3 3" xfId="9533" xr:uid="{00000000-0005-0000-0000-00003B250000}"/>
    <cellStyle name="단위 3 3 2" xfId="9534" xr:uid="{00000000-0005-0000-0000-00003C250000}"/>
    <cellStyle name="단위 3 3 3" xfId="9535" xr:uid="{00000000-0005-0000-0000-00003D250000}"/>
    <cellStyle name="단위 3 3 4" xfId="9536" xr:uid="{00000000-0005-0000-0000-00003E250000}"/>
    <cellStyle name="단위 3 4" xfId="9537" xr:uid="{00000000-0005-0000-0000-00003F250000}"/>
    <cellStyle name="단위 3 4 2" xfId="9538" xr:uid="{00000000-0005-0000-0000-000040250000}"/>
    <cellStyle name="단위 3 4 3" xfId="9539" xr:uid="{00000000-0005-0000-0000-000041250000}"/>
    <cellStyle name="단위 3 4 4" xfId="9540" xr:uid="{00000000-0005-0000-0000-000042250000}"/>
    <cellStyle name="단위 3 5" xfId="9541" xr:uid="{00000000-0005-0000-0000-000043250000}"/>
    <cellStyle name="단위 3 5 2" xfId="9542" xr:uid="{00000000-0005-0000-0000-000044250000}"/>
    <cellStyle name="단위 3 5 3" xfId="9543" xr:uid="{00000000-0005-0000-0000-000045250000}"/>
    <cellStyle name="단위 3 5 4" xfId="9544" xr:uid="{00000000-0005-0000-0000-000046250000}"/>
    <cellStyle name="단위 3 6" xfId="9545" xr:uid="{00000000-0005-0000-0000-000047250000}"/>
    <cellStyle name="단위 3 6 2" xfId="9546" xr:uid="{00000000-0005-0000-0000-000048250000}"/>
    <cellStyle name="단위 3 6 3" xfId="9547" xr:uid="{00000000-0005-0000-0000-000049250000}"/>
    <cellStyle name="단위 3 6 4" xfId="9548" xr:uid="{00000000-0005-0000-0000-00004A250000}"/>
    <cellStyle name="단위 3 7" xfId="9549" xr:uid="{00000000-0005-0000-0000-00004B250000}"/>
    <cellStyle name="단위 3 7 2" xfId="9550" xr:uid="{00000000-0005-0000-0000-00004C250000}"/>
    <cellStyle name="단위 3 7 3" xfId="9551" xr:uid="{00000000-0005-0000-0000-00004D250000}"/>
    <cellStyle name="단위 3 7 4" xfId="9552" xr:uid="{00000000-0005-0000-0000-00004E250000}"/>
    <cellStyle name="단위 3 8" xfId="9553" xr:uid="{00000000-0005-0000-0000-00004F250000}"/>
    <cellStyle name="단위 3 8 2" xfId="9554" xr:uid="{00000000-0005-0000-0000-000050250000}"/>
    <cellStyle name="단위 3 8 3" xfId="9555" xr:uid="{00000000-0005-0000-0000-000051250000}"/>
    <cellStyle name="단위 3 8 4" xfId="9556" xr:uid="{00000000-0005-0000-0000-000052250000}"/>
    <cellStyle name="단위 4" xfId="9557" xr:uid="{00000000-0005-0000-0000-000053250000}"/>
    <cellStyle name="단위 4 2" xfId="9558" xr:uid="{00000000-0005-0000-0000-000054250000}"/>
    <cellStyle name="단위 4 3" xfId="9559" xr:uid="{00000000-0005-0000-0000-000055250000}"/>
    <cellStyle name="단위 4 4" xfId="9560" xr:uid="{00000000-0005-0000-0000-000056250000}"/>
    <cellStyle name="단위 5" xfId="9561" xr:uid="{00000000-0005-0000-0000-000057250000}"/>
    <cellStyle name="단위 5 2" xfId="9562" xr:uid="{00000000-0005-0000-0000-000058250000}"/>
    <cellStyle name="단위 5 3" xfId="9563" xr:uid="{00000000-0005-0000-0000-000059250000}"/>
    <cellStyle name="단위 5 4" xfId="9564" xr:uid="{00000000-0005-0000-0000-00005A250000}"/>
    <cellStyle name="단위 6" xfId="9565" xr:uid="{00000000-0005-0000-0000-00005B250000}"/>
    <cellStyle name="단위 6 2" xfId="9566" xr:uid="{00000000-0005-0000-0000-00005C250000}"/>
    <cellStyle name="단위 6 3" xfId="9567" xr:uid="{00000000-0005-0000-0000-00005D250000}"/>
    <cellStyle name="단위 6 4" xfId="9568" xr:uid="{00000000-0005-0000-0000-00005E250000}"/>
    <cellStyle name="단위 7" xfId="9569" xr:uid="{00000000-0005-0000-0000-00005F250000}"/>
    <cellStyle name="단위 7 2" xfId="9570" xr:uid="{00000000-0005-0000-0000-000060250000}"/>
    <cellStyle name="단위 7 3" xfId="9571" xr:uid="{00000000-0005-0000-0000-000061250000}"/>
    <cellStyle name="단위 7 4" xfId="9572" xr:uid="{00000000-0005-0000-0000-000062250000}"/>
    <cellStyle name="단위 8" xfId="9573" xr:uid="{00000000-0005-0000-0000-000063250000}"/>
    <cellStyle name="단위 8 2" xfId="9574" xr:uid="{00000000-0005-0000-0000-000064250000}"/>
    <cellStyle name="단위 8 3" xfId="9575" xr:uid="{00000000-0005-0000-0000-000065250000}"/>
    <cellStyle name="단위 8 4" xfId="9576" xr:uid="{00000000-0005-0000-0000-000066250000}"/>
    <cellStyle name="단위 9" xfId="9577" xr:uid="{00000000-0005-0000-0000-000067250000}"/>
    <cellStyle name="단위 9 2" xfId="9578" xr:uid="{00000000-0005-0000-0000-000068250000}"/>
    <cellStyle name="단위 9 3" xfId="9579" xr:uid="{00000000-0005-0000-0000-000069250000}"/>
    <cellStyle name="단위 9 4" xfId="9580" xr:uid="{00000000-0005-0000-0000-00006A250000}"/>
    <cellStyle name="단위-&quot;*&quot;" xfId="9581" xr:uid="{00000000-0005-0000-0000-00006B250000}"/>
    <cellStyle name="단위-%" xfId="9582" xr:uid="{00000000-0005-0000-0000-00006C250000}"/>
    <cellStyle name="단위-% 2" xfId="9583" xr:uid="{00000000-0005-0000-0000-00006D250000}"/>
    <cellStyle name="단위-% 2 2" xfId="9584" xr:uid="{00000000-0005-0000-0000-00006E250000}"/>
    <cellStyle name="단위-% 2 3" xfId="9585" xr:uid="{00000000-0005-0000-0000-00006F250000}"/>
    <cellStyle name="단위-kg" xfId="9586" xr:uid="{00000000-0005-0000-0000-000070250000}"/>
    <cellStyle name="단위-kg 2" xfId="9587" xr:uid="{00000000-0005-0000-0000-000071250000}"/>
    <cellStyle name="단위-kg 2 2" xfId="9588" xr:uid="{00000000-0005-0000-0000-000072250000}"/>
    <cellStyle name="단위-kg 2 3" xfId="9589" xr:uid="{00000000-0005-0000-0000-000073250000}"/>
    <cellStyle name="단위-m" xfId="9590" xr:uid="{00000000-0005-0000-0000-000074250000}"/>
    <cellStyle name="단위-m 2" xfId="9591" xr:uid="{00000000-0005-0000-0000-000075250000}"/>
    <cellStyle name="단위-m 2 2" xfId="9592" xr:uid="{00000000-0005-0000-0000-000076250000}"/>
    <cellStyle name="단위-m 2 3" xfId="9593" xr:uid="{00000000-0005-0000-0000-000077250000}"/>
    <cellStyle name="단위-㎡" xfId="9594" xr:uid="{00000000-0005-0000-0000-000078250000}"/>
    <cellStyle name="단위-㎡/개소" xfId="9595" xr:uid="{00000000-0005-0000-0000-000079250000}"/>
    <cellStyle name="단위-㎡_02._서울시_위례신도시_차집관거_설계예산서(전체)_0217" xfId="9596" xr:uid="{00000000-0005-0000-0000-00007A250000}"/>
    <cellStyle name="단위-㎥" xfId="9597" xr:uid="{00000000-0005-0000-0000-00007B250000}"/>
    <cellStyle name="단위-t=" xfId="9598" xr:uid="{00000000-0005-0000-0000-00007C250000}"/>
    <cellStyle name="단위-t= 2" xfId="9599" xr:uid="{00000000-0005-0000-0000-00007D250000}"/>
    <cellStyle name="단위-t= 2 2" xfId="9600" xr:uid="{00000000-0005-0000-0000-00007E250000}"/>
    <cellStyle name="단위-t= 2 2 2" xfId="9601" xr:uid="{00000000-0005-0000-0000-00007F250000}"/>
    <cellStyle name="단위-t= 2 3" xfId="9602" xr:uid="{00000000-0005-0000-0000-000080250000}"/>
    <cellStyle name="단위-t= 3" xfId="9603" xr:uid="{00000000-0005-0000-0000-000081250000}"/>
    <cellStyle name="단위-t= 3 2" xfId="9604" xr:uid="{00000000-0005-0000-0000-000082250000}"/>
    <cellStyle name="단위-t= 3 2 2" xfId="9605" xr:uid="{00000000-0005-0000-0000-000083250000}"/>
    <cellStyle name="단위-t= 3 3" xfId="9606" xr:uid="{00000000-0005-0000-0000-000084250000}"/>
    <cellStyle name="단위-t= 4" xfId="9607" xr:uid="{00000000-0005-0000-0000-000085250000}"/>
    <cellStyle name="단위-t= 4 2" xfId="9608" xr:uid="{00000000-0005-0000-0000-000086250000}"/>
    <cellStyle name="단위-t= 4 2 2" xfId="9609" xr:uid="{00000000-0005-0000-0000-000087250000}"/>
    <cellStyle name="단위-t= 4 3" xfId="9610" xr:uid="{00000000-0005-0000-0000-000088250000}"/>
    <cellStyle name="단위-t= 5" xfId="9611" xr:uid="{00000000-0005-0000-0000-000089250000}"/>
    <cellStyle name="달러" xfId="9612" xr:uid="{00000000-0005-0000-0000-00008A250000}"/>
    <cellStyle name="대공종" xfId="9613" xr:uid="{00000000-0005-0000-0000-00008B250000}"/>
    <cellStyle name="뒤에 오는 하이퍼링크" xfId="9614" xr:uid="{00000000-0005-0000-0000-00008C250000}"/>
    <cellStyle name="똿떓죶Ø괻 [0.00]_PRODUCT DETAIL Q1" xfId="9615" xr:uid="{00000000-0005-0000-0000-00008D250000}"/>
    <cellStyle name="똿떓죶Ø괻_PRODUCT DETAIL Q1" xfId="9616" xr:uid="{00000000-0005-0000-0000-00008E250000}"/>
    <cellStyle name="똿뗦먛귟 [0.00]_laroux" xfId="9617" xr:uid="{00000000-0005-0000-0000-00008F250000}"/>
    <cellStyle name="똿뗦먛귟_laroux" xfId="9618" xr:uid="{00000000-0005-0000-0000-000090250000}"/>
    <cellStyle name="라인" xfId="9619" xr:uid="{00000000-0005-0000-0000-000091250000}"/>
    <cellStyle name="마이너스키" xfId="9620" xr:uid="{00000000-0005-0000-0000-000092250000}"/>
    <cellStyle name="메모 2" xfId="9621" xr:uid="{00000000-0005-0000-0000-000093250000}"/>
    <cellStyle name="메모 2 2" xfId="9622" xr:uid="{00000000-0005-0000-0000-000094250000}"/>
    <cellStyle name="메모 2 2 2" xfId="9623" xr:uid="{00000000-0005-0000-0000-000095250000}"/>
    <cellStyle name="메모 2 2 2 2" xfId="9624" xr:uid="{00000000-0005-0000-0000-000096250000}"/>
    <cellStyle name="메모 2 2 3" xfId="9625" xr:uid="{00000000-0005-0000-0000-000097250000}"/>
    <cellStyle name="메모 2 3" xfId="9626" xr:uid="{00000000-0005-0000-0000-000098250000}"/>
    <cellStyle name="메모 2 3 2" xfId="9627" xr:uid="{00000000-0005-0000-0000-000099250000}"/>
    <cellStyle name="메모 2 3 2 2" xfId="9628" xr:uid="{00000000-0005-0000-0000-00009A250000}"/>
    <cellStyle name="메모 2 3 3" xfId="9629" xr:uid="{00000000-0005-0000-0000-00009B250000}"/>
    <cellStyle name="메모 2 4" xfId="9630" xr:uid="{00000000-0005-0000-0000-00009C250000}"/>
    <cellStyle name="메모 2 4 2" xfId="9631" xr:uid="{00000000-0005-0000-0000-00009D250000}"/>
    <cellStyle name="메모 2 4 2 2" xfId="9632" xr:uid="{00000000-0005-0000-0000-00009E250000}"/>
    <cellStyle name="메모 2 4 3" xfId="9633" xr:uid="{00000000-0005-0000-0000-00009F250000}"/>
    <cellStyle name="메모 2 5" xfId="9634" xr:uid="{00000000-0005-0000-0000-0000A0250000}"/>
    <cellStyle name="메모 2 5 2" xfId="9635" xr:uid="{00000000-0005-0000-0000-0000A1250000}"/>
    <cellStyle name="메모 2 6" xfId="9636" xr:uid="{00000000-0005-0000-0000-0000A2250000}"/>
    <cellStyle name="묮뎋 [0.00]_PRODUCT DETAIL Q1" xfId="9637" xr:uid="{00000000-0005-0000-0000-0000A3250000}"/>
    <cellStyle name="묮뎋_PRODUCT DETAIL Q1" xfId="9638" xr:uid="{00000000-0005-0000-0000-0000A4250000}"/>
    <cellStyle name="믅됞 [0.00]_laroux" xfId="9639" xr:uid="{00000000-0005-0000-0000-0000A5250000}"/>
    <cellStyle name="믅됞_laroux" xfId="9640" xr:uid="{00000000-0005-0000-0000-0000A6250000}"/>
    <cellStyle name="배분" xfId="9641" xr:uid="{00000000-0005-0000-0000-0000A7250000}"/>
    <cellStyle name="배분 10" xfId="9642" xr:uid="{00000000-0005-0000-0000-0000A8250000}"/>
    <cellStyle name="배분 11" xfId="9643" xr:uid="{00000000-0005-0000-0000-0000A9250000}"/>
    <cellStyle name="배분 12" xfId="9644" xr:uid="{00000000-0005-0000-0000-0000AA250000}"/>
    <cellStyle name="배분 13" xfId="9645" xr:uid="{00000000-0005-0000-0000-0000AB250000}"/>
    <cellStyle name="배분 2" xfId="9646" xr:uid="{00000000-0005-0000-0000-0000AC250000}"/>
    <cellStyle name="배분 3" xfId="9647" xr:uid="{00000000-0005-0000-0000-0000AD250000}"/>
    <cellStyle name="배분 3 2" xfId="9648" xr:uid="{00000000-0005-0000-0000-0000AE250000}"/>
    <cellStyle name="배분 3 2 2" xfId="9649" xr:uid="{00000000-0005-0000-0000-0000AF250000}"/>
    <cellStyle name="배분 3 3" xfId="9650" xr:uid="{00000000-0005-0000-0000-0000B0250000}"/>
    <cellStyle name="배분 4" xfId="9651" xr:uid="{00000000-0005-0000-0000-0000B1250000}"/>
    <cellStyle name="배분 4 2" xfId="9652" xr:uid="{00000000-0005-0000-0000-0000B2250000}"/>
    <cellStyle name="배분 4 2 2" xfId="9653" xr:uid="{00000000-0005-0000-0000-0000B3250000}"/>
    <cellStyle name="배분 4 3" xfId="9654" xr:uid="{00000000-0005-0000-0000-0000B4250000}"/>
    <cellStyle name="배분 5" xfId="9655" xr:uid="{00000000-0005-0000-0000-0000B5250000}"/>
    <cellStyle name="배분 5 2" xfId="9656" xr:uid="{00000000-0005-0000-0000-0000B6250000}"/>
    <cellStyle name="배분 5 2 2" xfId="9657" xr:uid="{00000000-0005-0000-0000-0000B7250000}"/>
    <cellStyle name="배분 5 3" xfId="9658" xr:uid="{00000000-0005-0000-0000-0000B8250000}"/>
    <cellStyle name="배분 6" xfId="9659" xr:uid="{00000000-0005-0000-0000-0000B9250000}"/>
    <cellStyle name="배분 7" xfId="9660" xr:uid="{00000000-0005-0000-0000-0000BA250000}"/>
    <cellStyle name="배분 8" xfId="9661" xr:uid="{00000000-0005-0000-0000-0000BB250000}"/>
    <cellStyle name="배분 9" xfId="9662" xr:uid="{00000000-0005-0000-0000-0000BC250000}"/>
    <cellStyle name="백" xfId="9663" xr:uid="{00000000-0005-0000-0000-0000BD250000}"/>
    <cellStyle name="백 " xfId="9664" xr:uid="{00000000-0005-0000-0000-0000BE250000}"/>
    <cellStyle name="백  10" xfId="9665" xr:uid="{00000000-0005-0000-0000-0000BF250000}"/>
    <cellStyle name="백  11" xfId="9666" xr:uid="{00000000-0005-0000-0000-0000C0250000}"/>
    <cellStyle name="백  12" xfId="9667" xr:uid="{00000000-0005-0000-0000-0000C1250000}"/>
    <cellStyle name="백  13" xfId="9668" xr:uid="{00000000-0005-0000-0000-0000C2250000}"/>
    <cellStyle name="백  2" xfId="9669" xr:uid="{00000000-0005-0000-0000-0000C3250000}"/>
    <cellStyle name="백  3" xfId="9670" xr:uid="{00000000-0005-0000-0000-0000C4250000}"/>
    <cellStyle name="백  4" xfId="9671" xr:uid="{00000000-0005-0000-0000-0000C5250000}"/>
    <cellStyle name="백  5" xfId="9672" xr:uid="{00000000-0005-0000-0000-0000C6250000}"/>
    <cellStyle name="백  6" xfId="9673" xr:uid="{00000000-0005-0000-0000-0000C7250000}"/>
    <cellStyle name="백  7" xfId="9674" xr:uid="{00000000-0005-0000-0000-0000C8250000}"/>
    <cellStyle name="백  8" xfId="9675" xr:uid="{00000000-0005-0000-0000-0000C9250000}"/>
    <cellStyle name="백  9" xfId="9676" xr:uid="{00000000-0005-0000-0000-0000CA250000}"/>
    <cellStyle name="백 10" xfId="9677" xr:uid="{00000000-0005-0000-0000-0000CB250000}"/>
    <cellStyle name="백 11" xfId="9678" xr:uid="{00000000-0005-0000-0000-0000CC250000}"/>
    <cellStyle name="백 12" xfId="9679" xr:uid="{00000000-0005-0000-0000-0000CD250000}"/>
    <cellStyle name="백 13" xfId="9680" xr:uid="{00000000-0005-0000-0000-0000CE250000}"/>
    <cellStyle name="백 14" xfId="9681" xr:uid="{00000000-0005-0000-0000-0000CF250000}"/>
    <cellStyle name="백 15" xfId="9682" xr:uid="{00000000-0005-0000-0000-0000D0250000}"/>
    <cellStyle name="백 16" xfId="9683" xr:uid="{00000000-0005-0000-0000-0000D1250000}"/>
    <cellStyle name="백 17" xfId="9684" xr:uid="{00000000-0005-0000-0000-0000D2250000}"/>
    <cellStyle name="백 18" xfId="9685" xr:uid="{00000000-0005-0000-0000-0000D3250000}"/>
    <cellStyle name="백 2" xfId="9686" xr:uid="{00000000-0005-0000-0000-0000D4250000}"/>
    <cellStyle name="백 3" xfId="9687" xr:uid="{00000000-0005-0000-0000-0000D5250000}"/>
    <cellStyle name="백 4" xfId="9688" xr:uid="{00000000-0005-0000-0000-0000D6250000}"/>
    <cellStyle name="백 5" xfId="9689" xr:uid="{00000000-0005-0000-0000-0000D7250000}"/>
    <cellStyle name="백 6" xfId="9690" xr:uid="{00000000-0005-0000-0000-0000D8250000}"/>
    <cellStyle name="백 7" xfId="9691" xr:uid="{00000000-0005-0000-0000-0000D9250000}"/>
    <cellStyle name="백 8" xfId="9692" xr:uid="{00000000-0005-0000-0000-0000DA250000}"/>
    <cellStyle name="백 9" xfId="9693" xr:uid="{00000000-0005-0000-0000-0000DB250000}"/>
    <cellStyle name="백_01-토공_02-배수공" xfId="9694" xr:uid="{00000000-0005-0000-0000-0000DC250000}"/>
    <cellStyle name="백_01-토공_02-배수공_02.구조물및추진,도달기지토공(D구간)" xfId="9695" xr:uid="{00000000-0005-0000-0000-0000DD250000}"/>
    <cellStyle name="백_01-토공_02-배수공_토공" xfId="9696" xr:uid="{00000000-0005-0000-0000-0000DE250000}"/>
    <cellStyle name="백_01-토공_02-배수공_토공_02.구조물및추진,도달기지토공(D구간)" xfId="9697" xr:uid="{00000000-0005-0000-0000-0000DF250000}"/>
    <cellStyle name="백_01-토공_02-배수공_토공_2.0토공3" xfId="9698" xr:uid="{00000000-0005-0000-0000-0000E0250000}"/>
    <cellStyle name="백_01-토공_02-배수공_토공_2.0토공3_02.구조물및추진,도달기지토공(D구간)" xfId="9699" xr:uid="{00000000-0005-0000-0000-0000E1250000}"/>
    <cellStyle name="백_01-토공_02-배수공_토공_보령깨기집계" xfId="9700" xr:uid="{00000000-0005-0000-0000-0000E2250000}"/>
    <cellStyle name="백_01-토공_02-배수공_토공_보령깨기집계_02.구조물및추진,도달기지토공(D구간)" xfId="9701" xr:uid="{00000000-0005-0000-0000-0000E3250000}"/>
    <cellStyle name="백_01-토공_02-배수공_토공_정부장님토적" xfId="9702" xr:uid="{00000000-0005-0000-0000-0000E4250000}"/>
    <cellStyle name="백_01-토공_02-배수공_토공_정부장님토적_02.구조물및추진,도달기지토공(D구간)" xfId="9703" xr:uid="{00000000-0005-0000-0000-0000E5250000}"/>
    <cellStyle name="백_01-토공_02-배수공_토공_토적표" xfId="9704" xr:uid="{00000000-0005-0000-0000-0000E6250000}"/>
    <cellStyle name="백_01-토공_02-배수공_토공_토적표_02.구조물및추진,도달기지토공(D구간)" xfId="9705" xr:uid="{00000000-0005-0000-0000-0000E7250000}"/>
    <cellStyle name="백_02-배수공" xfId="9706" xr:uid="{00000000-0005-0000-0000-0000E8250000}"/>
    <cellStyle name="백_02-배수공_02.구조물및추진,도달기지토공(D구간)" xfId="9707" xr:uid="{00000000-0005-0000-0000-0000E9250000}"/>
    <cellStyle name="백_02-배수공_02-반중력식옹벽" xfId="9708" xr:uid="{00000000-0005-0000-0000-0000EA250000}"/>
    <cellStyle name="백_02-배수공_02-반중력식옹벽_02.구조물및추진,도달기지토공(D구간)" xfId="9709" xr:uid="{00000000-0005-0000-0000-0000EB250000}"/>
    <cellStyle name="백_02-배수공_02-반중력식옹벽_토공" xfId="9710" xr:uid="{00000000-0005-0000-0000-0000EC250000}"/>
    <cellStyle name="백_02-배수공_02-반중력식옹벽_토공_02.구조물및추진,도달기지토공(D구간)" xfId="9711" xr:uid="{00000000-0005-0000-0000-0000ED250000}"/>
    <cellStyle name="백_02-배수공_02-반중력식옹벽_토공_2.0토공3" xfId="9712" xr:uid="{00000000-0005-0000-0000-0000EE250000}"/>
    <cellStyle name="백_02-배수공_02-반중력식옹벽_토공_2.0토공3_02.구조물및추진,도달기지토공(D구간)" xfId="9713" xr:uid="{00000000-0005-0000-0000-0000EF250000}"/>
    <cellStyle name="백_02-배수공_02-반중력식옹벽_토공_보령깨기집계" xfId="9714" xr:uid="{00000000-0005-0000-0000-0000F0250000}"/>
    <cellStyle name="백_02-배수공_02-반중력식옹벽_토공_보령깨기집계_02.구조물및추진,도달기지토공(D구간)" xfId="9715" xr:uid="{00000000-0005-0000-0000-0000F1250000}"/>
    <cellStyle name="백_02-배수공_02-반중력식옹벽_토공_정부장님토적" xfId="9716" xr:uid="{00000000-0005-0000-0000-0000F2250000}"/>
    <cellStyle name="백_02-배수공_02-반중력식옹벽_토공_정부장님토적_02.구조물및추진,도달기지토공(D구간)" xfId="9717" xr:uid="{00000000-0005-0000-0000-0000F3250000}"/>
    <cellStyle name="백_02-배수공_02-반중력식옹벽_토공_토적표" xfId="9718" xr:uid="{00000000-0005-0000-0000-0000F4250000}"/>
    <cellStyle name="백_02-배수공_02-반중력식옹벽_토공_토적표_02.구조물및추진,도달기지토공(D구간)" xfId="9719" xr:uid="{00000000-0005-0000-0000-0000F5250000}"/>
    <cellStyle name="백_02-배수공_02-배수공" xfId="9720" xr:uid="{00000000-0005-0000-0000-0000F6250000}"/>
    <cellStyle name="백_02-배수공_02-배수공_02.구조물및추진,도달기지토공(D구간)" xfId="9721" xr:uid="{00000000-0005-0000-0000-0000F7250000}"/>
    <cellStyle name="백_02-배수공_02-배수공_토공" xfId="9722" xr:uid="{00000000-0005-0000-0000-0000F8250000}"/>
    <cellStyle name="백_02-배수공_02-배수공_토공_02.구조물및추진,도달기지토공(D구간)" xfId="9723" xr:uid="{00000000-0005-0000-0000-0000F9250000}"/>
    <cellStyle name="백_02-배수공_02-배수공_토공_2.0토공3" xfId="9724" xr:uid="{00000000-0005-0000-0000-0000FA250000}"/>
    <cellStyle name="백_02-배수공_02-배수공_토공_2.0토공3_02.구조물및추진,도달기지토공(D구간)" xfId="9725" xr:uid="{00000000-0005-0000-0000-0000FB250000}"/>
    <cellStyle name="백_02-배수공_02-배수공_토공_보령깨기집계" xfId="9726" xr:uid="{00000000-0005-0000-0000-0000FC250000}"/>
    <cellStyle name="백_02-배수공_02-배수공_토공_보령깨기집계_02.구조물및추진,도달기지토공(D구간)" xfId="9727" xr:uid="{00000000-0005-0000-0000-0000FD250000}"/>
    <cellStyle name="백_02-배수공_02-배수공_토공_정부장님토적" xfId="9728" xr:uid="{00000000-0005-0000-0000-0000FE250000}"/>
    <cellStyle name="백_02-배수공_02-배수공_토공_정부장님토적_02.구조물및추진,도달기지토공(D구간)" xfId="9729" xr:uid="{00000000-0005-0000-0000-0000FF250000}"/>
    <cellStyle name="백_02-배수공_02-배수공_토공_토적표" xfId="9730" xr:uid="{00000000-0005-0000-0000-000000260000}"/>
    <cellStyle name="백_02-배수공_02-배수공_토공_토적표_02.구조물및추진,도달기지토공(D구간)" xfId="9731" xr:uid="{00000000-0005-0000-0000-000001260000}"/>
    <cellStyle name="백_02-배수공_반중력" xfId="9732" xr:uid="{00000000-0005-0000-0000-000002260000}"/>
    <cellStyle name="백_02-배수공_반중력_02.구조물및추진,도달기지토공(D구간)" xfId="9733" xr:uid="{00000000-0005-0000-0000-000003260000}"/>
    <cellStyle name="백_02-배수공_반중력_토공" xfId="9734" xr:uid="{00000000-0005-0000-0000-000004260000}"/>
    <cellStyle name="백_02-배수공_반중력_토공_02.구조물및추진,도달기지토공(D구간)" xfId="9735" xr:uid="{00000000-0005-0000-0000-000005260000}"/>
    <cellStyle name="백_02-배수공_반중력_토공_2.0토공3" xfId="9736" xr:uid="{00000000-0005-0000-0000-000006260000}"/>
    <cellStyle name="백_02-배수공_반중력_토공_2.0토공3_02.구조물및추진,도달기지토공(D구간)" xfId="9737" xr:uid="{00000000-0005-0000-0000-000007260000}"/>
    <cellStyle name="백_02-배수공_반중력_토공_보령깨기집계" xfId="9738" xr:uid="{00000000-0005-0000-0000-000008260000}"/>
    <cellStyle name="백_02-배수공_반중력_토공_보령깨기집계_02.구조물및추진,도달기지토공(D구간)" xfId="9739" xr:uid="{00000000-0005-0000-0000-000009260000}"/>
    <cellStyle name="백_02-배수공_반중력_토공_정부장님토적" xfId="9740" xr:uid="{00000000-0005-0000-0000-00000A260000}"/>
    <cellStyle name="백_02-배수공_반중력_토공_정부장님토적_02.구조물및추진,도달기지토공(D구간)" xfId="9741" xr:uid="{00000000-0005-0000-0000-00000B260000}"/>
    <cellStyle name="백_02-배수공_반중력_토공_토적표" xfId="9742" xr:uid="{00000000-0005-0000-0000-00000C260000}"/>
    <cellStyle name="백_02-배수공_반중력_토공_토적표_02.구조물및추진,도달기지토공(D구간)" xfId="9743" xr:uid="{00000000-0005-0000-0000-00000D260000}"/>
    <cellStyle name="백_02-배수공_토공" xfId="9744" xr:uid="{00000000-0005-0000-0000-00000E260000}"/>
    <cellStyle name="백_02-배수공_토공_02.구조물및추진,도달기지토공(D구간)" xfId="9745" xr:uid="{00000000-0005-0000-0000-00000F260000}"/>
    <cellStyle name="백_02-배수공_토공_2.0토공3" xfId="9746" xr:uid="{00000000-0005-0000-0000-000010260000}"/>
    <cellStyle name="백_02-배수공_토공_2.0토공3_02.구조물및추진,도달기지토공(D구간)" xfId="9747" xr:uid="{00000000-0005-0000-0000-000011260000}"/>
    <cellStyle name="백_02-배수공_토공_보령깨기집계" xfId="9748" xr:uid="{00000000-0005-0000-0000-000012260000}"/>
    <cellStyle name="백_02-배수공_토공_보령깨기집계_02.구조물및추진,도달기지토공(D구간)" xfId="9749" xr:uid="{00000000-0005-0000-0000-000013260000}"/>
    <cellStyle name="백_02-배수공_토공_정부장님토적" xfId="9750" xr:uid="{00000000-0005-0000-0000-000014260000}"/>
    <cellStyle name="백_02-배수공_토공_정부장님토적_02.구조물및추진,도달기지토공(D구간)" xfId="9751" xr:uid="{00000000-0005-0000-0000-000015260000}"/>
    <cellStyle name="백_02-배수공_토공_토적표" xfId="9752" xr:uid="{00000000-0005-0000-0000-000016260000}"/>
    <cellStyle name="백_02-배수공_토공_토적표_02.구조물및추진,도달기지토공(D구간)" xfId="9753" xr:uid="{00000000-0005-0000-0000-000017260000}"/>
    <cellStyle name="백_04-포장공_02-배수공" xfId="9754" xr:uid="{00000000-0005-0000-0000-000018260000}"/>
    <cellStyle name="백_04-포장공_02-배수공_02.구조물및추진,도달기지토공(D구간)" xfId="9755" xr:uid="{00000000-0005-0000-0000-000019260000}"/>
    <cellStyle name="백_04-포장공_02-배수공_토공" xfId="9756" xr:uid="{00000000-0005-0000-0000-00001A260000}"/>
    <cellStyle name="백_04-포장공_02-배수공_토공_02.구조물및추진,도달기지토공(D구간)" xfId="9757" xr:uid="{00000000-0005-0000-0000-00001B260000}"/>
    <cellStyle name="백_04-포장공_02-배수공_토공_2.0토공3" xfId="9758" xr:uid="{00000000-0005-0000-0000-00001C260000}"/>
    <cellStyle name="백_04-포장공_02-배수공_토공_2.0토공3_02.구조물및추진,도달기지토공(D구간)" xfId="9759" xr:uid="{00000000-0005-0000-0000-00001D260000}"/>
    <cellStyle name="백_04-포장공_02-배수공_토공_보령깨기집계" xfId="9760" xr:uid="{00000000-0005-0000-0000-00001E260000}"/>
    <cellStyle name="백_04-포장공_02-배수공_토공_보령깨기집계_02.구조물및추진,도달기지토공(D구간)" xfId="9761" xr:uid="{00000000-0005-0000-0000-00001F260000}"/>
    <cellStyle name="백_04-포장공_02-배수공_토공_정부장님토적" xfId="9762" xr:uid="{00000000-0005-0000-0000-000020260000}"/>
    <cellStyle name="백_04-포장공_02-배수공_토공_정부장님토적_02.구조물및추진,도달기지토공(D구간)" xfId="9763" xr:uid="{00000000-0005-0000-0000-000021260000}"/>
    <cellStyle name="백_04-포장공_02-배수공_토공_토적표" xfId="9764" xr:uid="{00000000-0005-0000-0000-000022260000}"/>
    <cellStyle name="백_04-포장공_02-배수공_토공_토적표_02.구조물및추진,도달기지토공(D구간)" xfId="9765" xr:uid="{00000000-0005-0000-0000-000023260000}"/>
    <cellStyle name="백_06. 물 푸 기-코드" xfId="9766" xr:uid="{00000000-0005-0000-0000-000024260000}"/>
    <cellStyle name="백_06-부대공_02-배수공" xfId="9767" xr:uid="{00000000-0005-0000-0000-000025260000}"/>
    <cellStyle name="백_06-부대공_02-배수공_02.구조물및추진,도달기지토공(D구간)" xfId="9768" xr:uid="{00000000-0005-0000-0000-000026260000}"/>
    <cellStyle name="백_06-부대공_02-배수공_토공" xfId="9769" xr:uid="{00000000-0005-0000-0000-000027260000}"/>
    <cellStyle name="백_06-부대공_02-배수공_토공_02.구조물및추진,도달기지토공(D구간)" xfId="9770" xr:uid="{00000000-0005-0000-0000-000028260000}"/>
    <cellStyle name="백_06-부대공_02-배수공_토공_2.0토공3" xfId="9771" xr:uid="{00000000-0005-0000-0000-000029260000}"/>
    <cellStyle name="백_06-부대공_02-배수공_토공_2.0토공3_02.구조물및추진,도달기지토공(D구간)" xfId="9772" xr:uid="{00000000-0005-0000-0000-00002A260000}"/>
    <cellStyle name="백_06-부대공_02-배수공_토공_보령깨기집계" xfId="9773" xr:uid="{00000000-0005-0000-0000-00002B260000}"/>
    <cellStyle name="백_06-부대공_02-배수공_토공_보령깨기집계_02.구조물및추진,도달기지토공(D구간)" xfId="9774" xr:uid="{00000000-0005-0000-0000-00002C260000}"/>
    <cellStyle name="백_06-부대공_02-배수공_토공_정부장님토적" xfId="9775" xr:uid="{00000000-0005-0000-0000-00002D260000}"/>
    <cellStyle name="백_06-부대공_02-배수공_토공_정부장님토적_02.구조물및추진,도달기지토공(D구간)" xfId="9776" xr:uid="{00000000-0005-0000-0000-00002E260000}"/>
    <cellStyle name="백_06-부대공_02-배수공_토공_토적표" xfId="9777" xr:uid="{00000000-0005-0000-0000-00002F260000}"/>
    <cellStyle name="백_06-부대공_02-배수공_토공_토적표_02.구조물및추진,도달기지토공(D구간)" xfId="9778" xr:uid="{00000000-0005-0000-0000-000030260000}"/>
    <cellStyle name="백_2.0 오수구조물공(실옥)" xfId="9779" xr:uid="{00000000-0005-0000-0000-000031260000}"/>
    <cellStyle name="백_2.0 오수구조물공(실옥)_배수설비 제원표" xfId="9780" xr:uid="{00000000-0005-0000-0000-000032260000}"/>
    <cellStyle name="백_2.0 오수구조물공(실옥)_배수설비 제원표_배수설비 수량(장선)" xfId="9781" xr:uid="{00000000-0005-0000-0000-000033260000}"/>
    <cellStyle name="백_2.0 오수구조물공(실옥)_하수처리시설(황간)" xfId="9782" xr:uid="{00000000-0005-0000-0000-000034260000}"/>
    <cellStyle name="백_2.0 오수구조물공(실옥)_하수처리시설(황간)_배수설비 제원표" xfId="9783" xr:uid="{00000000-0005-0000-0000-000035260000}"/>
    <cellStyle name="백_2.0 오수구조물공(실옥)_하수처리시설(황간)_배수설비 제원표_배수설비 수량(장선)" xfId="9784" xr:uid="{00000000-0005-0000-0000-000036260000}"/>
    <cellStyle name="백_2.0관로공" xfId="9785" xr:uid="{00000000-0005-0000-0000-000037260000}"/>
    <cellStyle name="백_20_깨기취합" xfId="9786" xr:uid="{00000000-0005-0000-0000-000038260000}"/>
    <cellStyle name="백_20_깨기취합_발파암소할 2003 버전" xfId="9787" xr:uid="{00000000-0005-0000-0000-000039260000}"/>
    <cellStyle name="백_20_깨기취합_토공수량산출서-3공구-사토" xfId="9788" xr:uid="{00000000-0005-0000-0000-00003A260000}"/>
    <cellStyle name="백_21_깨기_배수1" xfId="9789" xr:uid="{00000000-0005-0000-0000-00003B260000}"/>
    <cellStyle name="백_21_깨기_토공" xfId="9790" xr:uid="{00000000-0005-0000-0000-00003C260000}"/>
    <cellStyle name="백_21_깨기_토공_발파암소할 2003 버전" xfId="9791" xr:uid="{00000000-0005-0000-0000-00003D260000}"/>
    <cellStyle name="백_21_깨기_토공_토공수량산출서-3공구-사토" xfId="9792" xr:uid="{00000000-0005-0000-0000-00003E260000}"/>
    <cellStyle name="백_4.부대공" xfId="9793" xr:uid="{00000000-0005-0000-0000-00003F260000}"/>
    <cellStyle name="백_4.부대공_06. 물 푸 기-코드" xfId="9794" xr:uid="{00000000-0005-0000-0000-000040260000}"/>
    <cellStyle name="백_4.부대공_2.0 오수구조물공(실옥)" xfId="9795" xr:uid="{00000000-0005-0000-0000-000041260000}"/>
    <cellStyle name="백_4.부대공_2.0 오수구조물공(실옥)_배수설비 제원표" xfId="9796" xr:uid="{00000000-0005-0000-0000-000042260000}"/>
    <cellStyle name="백_4.부대공_2.0 오수구조물공(실옥)_배수설비 제원표_배수설비 수량(장선)" xfId="9797" xr:uid="{00000000-0005-0000-0000-000043260000}"/>
    <cellStyle name="백_4.부대공_2.0 오수구조물공(실옥)_하수처리시설(황간)" xfId="9798" xr:uid="{00000000-0005-0000-0000-000044260000}"/>
    <cellStyle name="백_4.부대공_2.0 오수구조물공(실옥)_하수처리시설(황간)_배수설비 제원표" xfId="9799" xr:uid="{00000000-0005-0000-0000-000045260000}"/>
    <cellStyle name="백_4.부대공_2.0 오수구조물공(실옥)_하수처리시설(황간)_배수설비 제원표_배수설비 수량(장선)" xfId="9800" xr:uid="{00000000-0005-0000-0000-000046260000}"/>
    <cellStyle name="백_4.부대공_4배관공" xfId="9801" xr:uid="{00000000-0005-0000-0000-000047260000}"/>
    <cellStyle name="백_4.부대공_4배관공_06. 물 푸 기-코드" xfId="9802" xr:uid="{00000000-0005-0000-0000-000048260000}"/>
    <cellStyle name="백_4.부대공_4배관공_2.0 오수구조물공(실옥)" xfId="9803" xr:uid="{00000000-0005-0000-0000-000049260000}"/>
    <cellStyle name="백_4.부대공_4배관공_2.0 오수구조물공(실옥)_배수설비 제원표" xfId="9804" xr:uid="{00000000-0005-0000-0000-00004A260000}"/>
    <cellStyle name="백_4.부대공_4배관공_2.0 오수구조물공(실옥)_배수설비 제원표_배수설비 수량(장선)" xfId="9805" xr:uid="{00000000-0005-0000-0000-00004B260000}"/>
    <cellStyle name="백_4.부대공_4배관공_2.0 오수구조물공(실옥)_하수처리시설(황간)" xfId="9806" xr:uid="{00000000-0005-0000-0000-00004C260000}"/>
    <cellStyle name="백_4.부대공_4배관공_2.0 오수구조물공(실옥)_하수처리시설(황간)_배수설비 제원표" xfId="9807" xr:uid="{00000000-0005-0000-0000-00004D260000}"/>
    <cellStyle name="백_4.부대공_4배관공_2.0 오수구조물공(실옥)_하수처리시설(황간)_배수설비 제원표_배수설비 수량(장선)" xfId="9808" xr:uid="{00000000-0005-0000-0000-00004E260000}"/>
    <cellStyle name="백_4.부대공_4배관공_배수설비 제원표" xfId="9809" xr:uid="{00000000-0005-0000-0000-00004F260000}"/>
    <cellStyle name="백_4.부대공_4배관공_배수설비 제원표_배수설비 수량(장선)" xfId="9810" xr:uid="{00000000-0005-0000-0000-000050260000}"/>
    <cellStyle name="백_4.부대공_4배관공_하수처리시설(황간)" xfId="9811" xr:uid="{00000000-0005-0000-0000-000051260000}"/>
    <cellStyle name="백_4.부대공_4배관공_하수처리시설(황간)_배수설비 제원표" xfId="9812" xr:uid="{00000000-0005-0000-0000-000052260000}"/>
    <cellStyle name="백_4.부대공_4배관공_하수처리시설(황간)_배수설비 제원표_배수설비 수량(장선)" xfId="9813" xr:uid="{00000000-0005-0000-0000-000053260000}"/>
    <cellStyle name="백_4.부대공_5부대시설공" xfId="9814" xr:uid="{00000000-0005-0000-0000-000054260000}"/>
    <cellStyle name="백_4.부대공_5부대시설공_06. 물 푸 기-코드" xfId="9815" xr:uid="{00000000-0005-0000-0000-000055260000}"/>
    <cellStyle name="백_4.부대공_5부대시설공_2.0 오수구조물공(실옥)" xfId="9816" xr:uid="{00000000-0005-0000-0000-000056260000}"/>
    <cellStyle name="백_4.부대공_5부대시설공_2.0 오수구조물공(실옥)_배수설비 제원표" xfId="9817" xr:uid="{00000000-0005-0000-0000-000057260000}"/>
    <cellStyle name="백_4.부대공_5부대시설공_2.0 오수구조물공(실옥)_배수설비 제원표_배수설비 수량(장선)" xfId="9818" xr:uid="{00000000-0005-0000-0000-000058260000}"/>
    <cellStyle name="백_4.부대공_5부대시설공_2.0 오수구조물공(실옥)_하수처리시설(황간)" xfId="9819" xr:uid="{00000000-0005-0000-0000-000059260000}"/>
    <cellStyle name="백_4.부대공_5부대시설공_2.0 오수구조물공(실옥)_하수처리시설(황간)_배수설비 제원표" xfId="9820" xr:uid="{00000000-0005-0000-0000-00005A260000}"/>
    <cellStyle name="백_4.부대공_5부대시설공_2.0 오수구조물공(실옥)_하수처리시설(황간)_배수설비 제원표_배수설비 수량(장선)" xfId="9821" xr:uid="{00000000-0005-0000-0000-00005B260000}"/>
    <cellStyle name="백_4.부대공_5부대시설공_배수설비 제원표" xfId="9822" xr:uid="{00000000-0005-0000-0000-00005C260000}"/>
    <cellStyle name="백_4.부대공_5부대시설공_배수설비 제원표_배수설비 수량(장선)" xfId="9823" xr:uid="{00000000-0005-0000-0000-00005D260000}"/>
    <cellStyle name="백_4.부대공_5부대시설공_하수처리시설(황간)" xfId="9824" xr:uid="{00000000-0005-0000-0000-00005E260000}"/>
    <cellStyle name="백_4.부대공_5부대시설공_하수처리시설(황간)_배수설비 제원표" xfId="9825" xr:uid="{00000000-0005-0000-0000-00005F260000}"/>
    <cellStyle name="백_4.부대공_5부대시설공_하수처리시설(황간)_배수설비 제원표_배수설비 수량(장선)" xfId="9826" xr:uid="{00000000-0005-0000-0000-000060260000}"/>
    <cellStyle name="백_4.부대공_배수설비 제원표" xfId="9827" xr:uid="{00000000-0005-0000-0000-000061260000}"/>
    <cellStyle name="백_4.부대공_배수설비 제원표_배수설비 수량(장선)" xfId="9828" xr:uid="{00000000-0005-0000-0000-000062260000}"/>
    <cellStyle name="백_4.부대공_하수처리시설(황간)" xfId="9829" xr:uid="{00000000-0005-0000-0000-000063260000}"/>
    <cellStyle name="백_4.부대공_하수처리시설(황간)_배수설비 제원표" xfId="9830" xr:uid="{00000000-0005-0000-0000-000064260000}"/>
    <cellStyle name="백_4.부대공_하수처리시설(황간)_배수설비 제원표_배수설비 수량(장선)" xfId="9831" xr:uid="{00000000-0005-0000-0000-000065260000}"/>
    <cellStyle name="백_4배관공" xfId="9832" xr:uid="{00000000-0005-0000-0000-000066260000}"/>
    <cellStyle name="백_4배관공_06. 물 푸 기-코드" xfId="9833" xr:uid="{00000000-0005-0000-0000-000067260000}"/>
    <cellStyle name="백_4배관공_2.0 오수구조물공(실옥)" xfId="9834" xr:uid="{00000000-0005-0000-0000-000068260000}"/>
    <cellStyle name="백_4배관공_2.0 오수구조물공(실옥)_배수설비 제원표" xfId="9835" xr:uid="{00000000-0005-0000-0000-000069260000}"/>
    <cellStyle name="백_4배관공_2.0 오수구조물공(실옥)_배수설비 제원표_배수설비 수량(장선)" xfId="9836" xr:uid="{00000000-0005-0000-0000-00006A260000}"/>
    <cellStyle name="백_4배관공_2.0 오수구조물공(실옥)_하수처리시설(황간)" xfId="9837" xr:uid="{00000000-0005-0000-0000-00006B260000}"/>
    <cellStyle name="백_4배관공_2.0 오수구조물공(실옥)_하수처리시설(황간)_배수설비 제원표" xfId="9838" xr:uid="{00000000-0005-0000-0000-00006C260000}"/>
    <cellStyle name="백_4배관공_2.0 오수구조물공(실옥)_하수처리시설(황간)_배수설비 제원표_배수설비 수량(장선)" xfId="9839" xr:uid="{00000000-0005-0000-0000-00006D260000}"/>
    <cellStyle name="백_4배관공_배수설비 제원표" xfId="9840" xr:uid="{00000000-0005-0000-0000-00006E260000}"/>
    <cellStyle name="백_4배관공_배수설비 제원표_배수설비 수량(장선)" xfId="9841" xr:uid="{00000000-0005-0000-0000-00006F260000}"/>
    <cellStyle name="백_4배관공_하수처리시설(황간)" xfId="9842" xr:uid="{00000000-0005-0000-0000-000070260000}"/>
    <cellStyle name="백_4배관공_하수처리시설(황간)_배수설비 제원표" xfId="9843" xr:uid="{00000000-0005-0000-0000-000071260000}"/>
    <cellStyle name="백_4배관공_하수처리시설(황간)_배수설비 제원표_배수설비 수량(장선)" xfId="9844" xr:uid="{00000000-0005-0000-0000-000072260000}"/>
    <cellStyle name="백_5부대시설공" xfId="9845" xr:uid="{00000000-0005-0000-0000-000073260000}"/>
    <cellStyle name="백_5부대시설공_06. 물 푸 기-코드" xfId="9846" xr:uid="{00000000-0005-0000-0000-000074260000}"/>
    <cellStyle name="백_5부대시설공_2.0 오수구조물공(실옥)" xfId="9847" xr:uid="{00000000-0005-0000-0000-000075260000}"/>
    <cellStyle name="백_5부대시설공_2.0 오수구조물공(실옥)_배수설비 제원표" xfId="9848" xr:uid="{00000000-0005-0000-0000-000076260000}"/>
    <cellStyle name="백_5부대시설공_2.0 오수구조물공(실옥)_배수설비 제원표_배수설비 수량(장선)" xfId="9849" xr:uid="{00000000-0005-0000-0000-000077260000}"/>
    <cellStyle name="백_5부대시설공_2.0 오수구조물공(실옥)_하수처리시설(황간)" xfId="9850" xr:uid="{00000000-0005-0000-0000-000078260000}"/>
    <cellStyle name="백_5부대시설공_2.0 오수구조물공(실옥)_하수처리시설(황간)_배수설비 제원표" xfId="9851" xr:uid="{00000000-0005-0000-0000-000079260000}"/>
    <cellStyle name="백_5부대시설공_2.0 오수구조물공(실옥)_하수처리시설(황간)_배수설비 제원표_배수설비 수량(장선)" xfId="9852" xr:uid="{00000000-0005-0000-0000-00007A260000}"/>
    <cellStyle name="백_5부대시설공_배수설비 제원표" xfId="9853" xr:uid="{00000000-0005-0000-0000-00007B260000}"/>
    <cellStyle name="백_5부대시설공_배수설비 제원표_배수설비 수량(장선)" xfId="9854" xr:uid="{00000000-0005-0000-0000-00007C260000}"/>
    <cellStyle name="백_5부대시설공_하수처리시설(황간)" xfId="9855" xr:uid="{00000000-0005-0000-0000-00007D260000}"/>
    <cellStyle name="백_5부대시설공_하수처리시설(황간)_배수설비 제원표" xfId="9856" xr:uid="{00000000-0005-0000-0000-00007E260000}"/>
    <cellStyle name="백_5부대시설공_하수처리시설(황간)_배수설비 제원표_배수설비 수량(장선)" xfId="9857" xr:uid="{00000000-0005-0000-0000-00007F260000}"/>
    <cellStyle name="백_Book2" xfId="9858" xr:uid="{00000000-0005-0000-0000-000080260000}"/>
    <cellStyle name="백_Book2_06. 물 푸 기-코드" xfId="9859" xr:uid="{00000000-0005-0000-0000-000081260000}"/>
    <cellStyle name="백_Book2_1" xfId="9860" xr:uid="{00000000-0005-0000-0000-000082260000}"/>
    <cellStyle name="백_Book2_2.0 오수구조물공(실옥)" xfId="9861" xr:uid="{00000000-0005-0000-0000-000083260000}"/>
    <cellStyle name="백_Book2_2.0 오수구조물공(실옥)_배수설비 제원표" xfId="9862" xr:uid="{00000000-0005-0000-0000-000084260000}"/>
    <cellStyle name="백_Book2_2.0 오수구조물공(실옥)_배수설비 제원표_배수설비 수량(장선)" xfId="9863" xr:uid="{00000000-0005-0000-0000-000085260000}"/>
    <cellStyle name="백_Book2_2.0 오수구조물공(실옥)_하수처리시설(황간)" xfId="9864" xr:uid="{00000000-0005-0000-0000-000086260000}"/>
    <cellStyle name="백_Book2_2.0 오수구조물공(실옥)_하수처리시설(황간)_배수설비 제원표" xfId="9865" xr:uid="{00000000-0005-0000-0000-000087260000}"/>
    <cellStyle name="백_Book2_2.0 오수구조물공(실옥)_하수처리시설(황간)_배수설비 제원표_배수설비 수량(장선)" xfId="9866" xr:uid="{00000000-0005-0000-0000-000088260000}"/>
    <cellStyle name="백_Book2_4.부대공" xfId="9867" xr:uid="{00000000-0005-0000-0000-000089260000}"/>
    <cellStyle name="백_Book2_4.부대공_06. 물 푸 기-코드" xfId="9868" xr:uid="{00000000-0005-0000-0000-00008A260000}"/>
    <cellStyle name="백_Book2_4.부대공_2.0 오수구조물공(실옥)" xfId="9869" xr:uid="{00000000-0005-0000-0000-00008B260000}"/>
    <cellStyle name="백_Book2_4.부대공_2.0 오수구조물공(실옥)_배수설비 제원표" xfId="9870" xr:uid="{00000000-0005-0000-0000-00008C260000}"/>
    <cellStyle name="백_Book2_4.부대공_2.0 오수구조물공(실옥)_배수설비 제원표_배수설비 수량(장선)" xfId="9871" xr:uid="{00000000-0005-0000-0000-00008D260000}"/>
    <cellStyle name="백_Book2_4.부대공_2.0 오수구조물공(실옥)_하수처리시설(황간)" xfId="9872" xr:uid="{00000000-0005-0000-0000-00008E260000}"/>
    <cellStyle name="백_Book2_4.부대공_2.0 오수구조물공(실옥)_하수처리시설(황간)_배수설비 제원표" xfId="9873" xr:uid="{00000000-0005-0000-0000-00008F260000}"/>
    <cellStyle name="백_Book2_4.부대공_2.0 오수구조물공(실옥)_하수처리시설(황간)_배수설비 제원표_배수설비 수량(장선)" xfId="9874" xr:uid="{00000000-0005-0000-0000-000090260000}"/>
    <cellStyle name="백_Book2_4.부대공_4배관공" xfId="9875" xr:uid="{00000000-0005-0000-0000-000091260000}"/>
    <cellStyle name="백_Book2_4.부대공_4배관공_06. 물 푸 기-코드" xfId="9876" xr:uid="{00000000-0005-0000-0000-000092260000}"/>
    <cellStyle name="백_Book2_4.부대공_4배관공_2.0 오수구조물공(실옥)" xfId="9877" xr:uid="{00000000-0005-0000-0000-000093260000}"/>
    <cellStyle name="백_Book2_4.부대공_4배관공_2.0 오수구조물공(실옥)_배수설비 제원표" xfId="9878" xr:uid="{00000000-0005-0000-0000-000094260000}"/>
    <cellStyle name="백_Book2_4.부대공_4배관공_2.0 오수구조물공(실옥)_배수설비 제원표_배수설비 수량(장선)" xfId="9879" xr:uid="{00000000-0005-0000-0000-000095260000}"/>
    <cellStyle name="백_Book2_4.부대공_4배관공_2.0 오수구조물공(실옥)_하수처리시설(황간)" xfId="9880" xr:uid="{00000000-0005-0000-0000-000096260000}"/>
    <cellStyle name="백_Book2_4.부대공_4배관공_2.0 오수구조물공(실옥)_하수처리시설(황간)_배수설비 제원표" xfId="9881" xr:uid="{00000000-0005-0000-0000-000097260000}"/>
    <cellStyle name="백_Book2_4.부대공_4배관공_2.0 오수구조물공(실옥)_하수처리시설(황간)_배수설비 제원표_배수설비 수량(장선)" xfId="9882" xr:uid="{00000000-0005-0000-0000-000098260000}"/>
    <cellStyle name="백_Book2_4.부대공_4배관공_배수설비 제원표" xfId="9883" xr:uid="{00000000-0005-0000-0000-000099260000}"/>
    <cellStyle name="백_Book2_4.부대공_4배관공_배수설비 제원표_배수설비 수량(장선)" xfId="9884" xr:uid="{00000000-0005-0000-0000-00009A260000}"/>
    <cellStyle name="백_Book2_4.부대공_4배관공_하수처리시설(황간)" xfId="9885" xr:uid="{00000000-0005-0000-0000-00009B260000}"/>
    <cellStyle name="백_Book2_4.부대공_4배관공_하수처리시설(황간)_배수설비 제원표" xfId="9886" xr:uid="{00000000-0005-0000-0000-00009C260000}"/>
    <cellStyle name="백_Book2_4.부대공_4배관공_하수처리시설(황간)_배수설비 제원표_배수설비 수량(장선)" xfId="9887" xr:uid="{00000000-0005-0000-0000-00009D260000}"/>
    <cellStyle name="백_Book2_4.부대공_5부대시설공" xfId="9888" xr:uid="{00000000-0005-0000-0000-00009E260000}"/>
    <cellStyle name="백_Book2_4.부대공_5부대시설공_06. 물 푸 기-코드" xfId="9889" xr:uid="{00000000-0005-0000-0000-00009F260000}"/>
    <cellStyle name="백_Book2_4.부대공_5부대시설공_2.0 오수구조물공(실옥)" xfId="9890" xr:uid="{00000000-0005-0000-0000-0000A0260000}"/>
    <cellStyle name="백_Book2_4.부대공_5부대시설공_2.0 오수구조물공(실옥)_배수설비 제원표" xfId="9891" xr:uid="{00000000-0005-0000-0000-0000A1260000}"/>
    <cellStyle name="백_Book2_4.부대공_5부대시설공_2.0 오수구조물공(실옥)_배수설비 제원표_배수설비 수량(장선)" xfId="9892" xr:uid="{00000000-0005-0000-0000-0000A2260000}"/>
    <cellStyle name="백_Book2_4.부대공_5부대시설공_2.0 오수구조물공(실옥)_하수처리시설(황간)" xfId="9893" xr:uid="{00000000-0005-0000-0000-0000A3260000}"/>
    <cellStyle name="백_Book2_4.부대공_5부대시설공_2.0 오수구조물공(실옥)_하수처리시설(황간)_배수설비 제원표" xfId="9894" xr:uid="{00000000-0005-0000-0000-0000A4260000}"/>
    <cellStyle name="백_Book2_4.부대공_5부대시설공_2.0 오수구조물공(실옥)_하수처리시설(황간)_배수설비 제원표_배수설비 수량(장선)" xfId="9895" xr:uid="{00000000-0005-0000-0000-0000A5260000}"/>
    <cellStyle name="백_Book2_4.부대공_5부대시설공_배수설비 제원표" xfId="9896" xr:uid="{00000000-0005-0000-0000-0000A6260000}"/>
    <cellStyle name="백_Book2_4.부대공_5부대시설공_배수설비 제원표_배수설비 수량(장선)" xfId="9897" xr:uid="{00000000-0005-0000-0000-0000A7260000}"/>
    <cellStyle name="백_Book2_4.부대공_5부대시설공_하수처리시설(황간)" xfId="9898" xr:uid="{00000000-0005-0000-0000-0000A8260000}"/>
    <cellStyle name="백_Book2_4.부대공_5부대시설공_하수처리시설(황간)_배수설비 제원표" xfId="9899" xr:uid="{00000000-0005-0000-0000-0000A9260000}"/>
    <cellStyle name="백_Book2_4.부대공_5부대시설공_하수처리시설(황간)_배수설비 제원표_배수설비 수량(장선)" xfId="9900" xr:uid="{00000000-0005-0000-0000-0000AA260000}"/>
    <cellStyle name="백_Book2_4.부대공_배수설비 제원표" xfId="9901" xr:uid="{00000000-0005-0000-0000-0000AB260000}"/>
    <cellStyle name="백_Book2_4.부대공_배수설비 제원표_배수설비 수량(장선)" xfId="9902" xr:uid="{00000000-0005-0000-0000-0000AC260000}"/>
    <cellStyle name="백_Book2_4.부대공_하수처리시설(황간)" xfId="9903" xr:uid="{00000000-0005-0000-0000-0000AD260000}"/>
    <cellStyle name="백_Book2_4.부대공_하수처리시설(황간)_배수설비 제원표" xfId="9904" xr:uid="{00000000-0005-0000-0000-0000AE260000}"/>
    <cellStyle name="백_Book2_4.부대공_하수처리시설(황간)_배수설비 제원표_배수설비 수량(장선)" xfId="9905" xr:uid="{00000000-0005-0000-0000-0000AF260000}"/>
    <cellStyle name="백_Book2_4배관공" xfId="9906" xr:uid="{00000000-0005-0000-0000-0000B0260000}"/>
    <cellStyle name="백_Book2_4배관공_06. 물 푸 기-코드" xfId="9907" xr:uid="{00000000-0005-0000-0000-0000B1260000}"/>
    <cellStyle name="백_Book2_4배관공_2.0 오수구조물공(실옥)" xfId="9908" xr:uid="{00000000-0005-0000-0000-0000B2260000}"/>
    <cellStyle name="백_Book2_4배관공_2.0 오수구조물공(실옥)_배수설비 제원표" xfId="9909" xr:uid="{00000000-0005-0000-0000-0000B3260000}"/>
    <cellStyle name="백_Book2_4배관공_2.0 오수구조물공(실옥)_배수설비 제원표_배수설비 수량(장선)" xfId="9910" xr:uid="{00000000-0005-0000-0000-0000B4260000}"/>
    <cellStyle name="백_Book2_4배관공_2.0 오수구조물공(실옥)_하수처리시설(황간)" xfId="9911" xr:uid="{00000000-0005-0000-0000-0000B5260000}"/>
    <cellStyle name="백_Book2_4배관공_2.0 오수구조물공(실옥)_하수처리시설(황간)_배수설비 제원표" xfId="9912" xr:uid="{00000000-0005-0000-0000-0000B6260000}"/>
    <cellStyle name="백_Book2_4배관공_2.0 오수구조물공(실옥)_하수처리시설(황간)_배수설비 제원표_배수설비 수량(장선)" xfId="9913" xr:uid="{00000000-0005-0000-0000-0000B7260000}"/>
    <cellStyle name="백_Book2_4배관공_배수설비 제원표" xfId="9914" xr:uid="{00000000-0005-0000-0000-0000B8260000}"/>
    <cellStyle name="백_Book2_4배관공_배수설비 제원표_배수설비 수량(장선)" xfId="9915" xr:uid="{00000000-0005-0000-0000-0000B9260000}"/>
    <cellStyle name="백_Book2_4배관공_하수처리시설(황간)" xfId="9916" xr:uid="{00000000-0005-0000-0000-0000BA260000}"/>
    <cellStyle name="백_Book2_4배관공_하수처리시설(황간)_배수설비 제원표" xfId="9917" xr:uid="{00000000-0005-0000-0000-0000BB260000}"/>
    <cellStyle name="백_Book2_4배관공_하수처리시설(황간)_배수설비 제원표_배수설비 수량(장선)" xfId="9918" xr:uid="{00000000-0005-0000-0000-0000BC260000}"/>
    <cellStyle name="백_Book2_5부대시설공" xfId="9919" xr:uid="{00000000-0005-0000-0000-0000BD260000}"/>
    <cellStyle name="백_Book2_5부대시설공_06. 물 푸 기-코드" xfId="9920" xr:uid="{00000000-0005-0000-0000-0000BE260000}"/>
    <cellStyle name="백_Book2_5부대시설공_2.0 오수구조물공(실옥)" xfId="9921" xr:uid="{00000000-0005-0000-0000-0000BF260000}"/>
    <cellStyle name="백_Book2_5부대시설공_2.0 오수구조물공(실옥)_배수설비 제원표" xfId="9922" xr:uid="{00000000-0005-0000-0000-0000C0260000}"/>
    <cellStyle name="백_Book2_5부대시설공_2.0 오수구조물공(실옥)_배수설비 제원표_배수설비 수량(장선)" xfId="9923" xr:uid="{00000000-0005-0000-0000-0000C1260000}"/>
    <cellStyle name="백_Book2_5부대시설공_2.0 오수구조물공(실옥)_하수처리시설(황간)" xfId="9924" xr:uid="{00000000-0005-0000-0000-0000C2260000}"/>
    <cellStyle name="백_Book2_5부대시설공_2.0 오수구조물공(실옥)_하수처리시설(황간)_배수설비 제원표" xfId="9925" xr:uid="{00000000-0005-0000-0000-0000C3260000}"/>
    <cellStyle name="백_Book2_5부대시설공_2.0 오수구조물공(실옥)_하수처리시설(황간)_배수설비 제원표_배수설비 수량(장선)" xfId="9926" xr:uid="{00000000-0005-0000-0000-0000C4260000}"/>
    <cellStyle name="백_Book2_5부대시설공_배수설비 제원표" xfId="9927" xr:uid="{00000000-0005-0000-0000-0000C5260000}"/>
    <cellStyle name="백_Book2_5부대시설공_배수설비 제원표_배수설비 수량(장선)" xfId="9928" xr:uid="{00000000-0005-0000-0000-0000C6260000}"/>
    <cellStyle name="백_Book2_5부대시설공_하수처리시설(황간)" xfId="9929" xr:uid="{00000000-0005-0000-0000-0000C7260000}"/>
    <cellStyle name="백_Book2_5부대시설공_하수처리시설(황간)_배수설비 제원표" xfId="9930" xr:uid="{00000000-0005-0000-0000-0000C8260000}"/>
    <cellStyle name="백_Book2_5부대시설공_하수처리시설(황간)_배수설비 제원표_배수설비 수량(장선)" xfId="9931" xr:uid="{00000000-0005-0000-0000-0000C9260000}"/>
    <cellStyle name="백_Book2_배수설비 제원표" xfId="9932" xr:uid="{00000000-0005-0000-0000-0000CA260000}"/>
    <cellStyle name="백_Book2_배수설비 제원표_배수설비 수량(장선)" xfId="9933" xr:uid="{00000000-0005-0000-0000-0000CB260000}"/>
    <cellStyle name="백_Book2_하수처리시설(황간)" xfId="9934" xr:uid="{00000000-0005-0000-0000-0000CC260000}"/>
    <cellStyle name="백_Book2_하수처리시설(황간)_배수설비 제원표" xfId="9935" xr:uid="{00000000-0005-0000-0000-0000CD260000}"/>
    <cellStyle name="백_Book2_하수처리시설(황간)_배수설비 제원표_배수설비 수량(장선)" xfId="9936" xr:uid="{00000000-0005-0000-0000-0000CE260000}"/>
    <cellStyle name="백_기존구조물철거" xfId="9937" xr:uid="{00000000-0005-0000-0000-0000CF260000}"/>
    <cellStyle name="백_기존구조물철거_발파암소할 2003 버전" xfId="9938" xr:uid="{00000000-0005-0000-0000-0000D0260000}"/>
    <cellStyle name="백_기존구조물철거_토공수량산출서-3공구-사토" xfId="9939" xr:uid="{00000000-0005-0000-0000-0000D1260000}"/>
    <cellStyle name="백_기존구조물철거최종" xfId="9940" xr:uid="{00000000-0005-0000-0000-0000D2260000}"/>
    <cellStyle name="백_기존구조물철거최종_발파암소할 2003 버전" xfId="9941" xr:uid="{00000000-0005-0000-0000-0000D3260000}"/>
    <cellStyle name="백_기존구조물철거최종_토공수량산출서-3공구-사토" xfId="9942" xr:uid="{00000000-0005-0000-0000-0000D4260000}"/>
    <cellStyle name="백_발파암소할 2003 버전" xfId="9943" xr:uid="{00000000-0005-0000-0000-0000D5260000}"/>
    <cellStyle name="백_배수설비 제원표" xfId="9944" xr:uid="{00000000-0005-0000-0000-0000D6260000}"/>
    <cellStyle name="백_배수설비 제원표_배수설비 수량(장선)" xfId="9945" xr:uid="{00000000-0005-0000-0000-0000D7260000}"/>
    <cellStyle name="백_수량산출서(수정)" xfId="9946" xr:uid="{00000000-0005-0000-0000-0000D8260000}"/>
    <cellStyle name="백_수량산출서(수정)_01-토공_02-배수공" xfId="9947" xr:uid="{00000000-0005-0000-0000-0000D9260000}"/>
    <cellStyle name="백_수량산출서(수정)_01-토공_02-배수공_02.구조물및추진,도달기지토공(D구간)" xfId="9948" xr:uid="{00000000-0005-0000-0000-0000DA260000}"/>
    <cellStyle name="백_수량산출서(수정)_01-토공_02-배수공_토공" xfId="9949" xr:uid="{00000000-0005-0000-0000-0000DB260000}"/>
    <cellStyle name="백_수량산출서(수정)_01-토공_02-배수공_토공_02.구조물및추진,도달기지토공(D구간)" xfId="9950" xr:uid="{00000000-0005-0000-0000-0000DC260000}"/>
    <cellStyle name="백_수량산출서(수정)_01-토공_02-배수공_토공_2.0토공3" xfId="9951" xr:uid="{00000000-0005-0000-0000-0000DD260000}"/>
    <cellStyle name="백_수량산출서(수정)_01-토공_02-배수공_토공_2.0토공3_02.구조물및추진,도달기지토공(D구간)" xfId="9952" xr:uid="{00000000-0005-0000-0000-0000DE260000}"/>
    <cellStyle name="백_수량산출서(수정)_01-토공_02-배수공_토공_보령깨기집계" xfId="9953" xr:uid="{00000000-0005-0000-0000-0000DF260000}"/>
    <cellStyle name="백_수량산출서(수정)_01-토공_02-배수공_토공_보령깨기집계_02.구조물및추진,도달기지토공(D구간)" xfId="9954" xr:uid="{00000000-0005-0000-0000-0000E0260000}"/>
    <cellStyle name="백_수량산출서(수정)_01-토공_02-배수공_토공_정부장님토적" xfId="9955" xr:uid="{00000000-0005-0000-0000-0000E1260000}"/>
    <cellStyle name="백_수량산출서(수정)_01-토공_02-배수공_토공_정부장님토적_02.구조물및추진,도달기지토공(D구간)" xfId="9956" xr:uid="{00000000-0005-0000-0000-0000E2260000}"/>
    <cellStyle name="백_수량산출서(수정)_01-토공_02-배수공_토공_토적표" xfId="9957" xr:uid="{00000000-0005-0000-0000-0000E3260000}"/>
    <cellStyle name="백_수량산출서(수정)_01-토공_02-배수공_토공_토적표_02.구조물및추진,도달기지토공(D구간)" xfId="9958" xr:uid="{00000000-0005-0000-0000-0000E4260000}"/>
    <cellStyle name="백_수량산출서(수정)_02-배수공" xfId="9959" xr:uid="{00000000-0005-0000-0000-0000E5260000}"/>
    <cellStyle name="백_수량산출서(수정)_02-배수공_02.구조물및추진,도달기지토공(D구간)" xfId="9960" xr:uid="{00000000-0005-0000-0000-0000E6260000}"/>
    <cellStyle name="백_수량산출서(수정)_02-배수공_02-반중력식옹벽" xfId="9961" xr:uid="{00000000-0005-0000-0000-0000E7260000}"/>
    <cellStyle name="백_수량산출서(수정)_02-배수공_02-반중력식옹벽_02.구조물및추진,도달기지토공(D구간)" xfId="9962" xr:uid="{00000000-0005-0000-0000-0000E8260000}"/>
    <cellStyle name="백_수량산출서(수정)_02-배수공_02-반중력식옹벽_토공" xfId="9963" xr:uid="{00000000-0005-0000-0000-0000E9260000}"/>
    <cellStyle name="백_수량산출서(수정)_02-배수공_02-반중력식옹벽_토공_02.구조물및추진,도달기지토공(D구간)" xfId="9964" xr:uid="{00000000-0005-0000-0000-0000EA260000}"/>
    <cellStyle name="백_수량산출서(수정)_02-배수공_02-반중력식옹벽_토공_2.0토공3" xfId="9965" xr:uid="{00000000-0005-0000-0000-0000EB260000}"/>
    <cellStyle name="백_수량산출서(수정)_02-배수공_02-반중력식옹벽_토공_2.0토공3_02.구조물및추진,도달기지토공(D구간)" xfId="9966" xr:uid="{00000000-0005-0000-0000-0000EC260000}"/>
    <cellStyle name="백_수량산출서(수정)_02-배수공_02-반중력식옹벽_토공_보령깨기집계" xfId="9967" xr:uid="{00000000-0005-0000-0000-0000ED260000}"/>
    <cellStyle name="백_수량산출서(수정)_02-배수공_02-반중력식옹벽_토공_보령깨기집계_02.구조물및추진,도달기지토공(D구간)" xfId="9968" xr:uid="{00000000-0005-0000-0000-0000EE260000}"/>
    <cellStyle name="백_수량산출서(수정)_02-배수공_02-반중력식옹벽_토공_정부장님토적" xfId="9969" xr:uid="{00000000-0005-0000-0000-0000EF260000}"/>
    <cellStyle name="백_수량산출서(수정)_02-배수공_02-반중력식옹벽_토공_정부장님토적_02.구조물및추진,도달기지토공(D구간)" xfId="9970" xr:uid="{00000000-0005-0000-0000-0000F0260000}"/>
    <cellStyle name="백_수량산출서(수정)_02-배수공_02-반중력식옹벽_토공_토적표" xfId="9971" xr:uid="{00000000-0005-0000-0000-0000F1260000}"/>
    <cellStyle name="백_수량산출서(수정)_02-배수공_02-반중력식옹벽_토공_토적표_02.구조물및추진,도달기지토공(D구간)" xfId="9972" xr:uid="{00000000-0005-0000-0000-0000F2260000}"/>
    <cellStyle name="백_수량산출서(수정)_02-배수공_02-배수공" xfId="9973" xr:uid="{00000000-0005-0000-0000-0000F3260000}"/>
    <cellStyle name="백_수량산출서(수정)_02-배수공_02-배수공_02.구조물및추진,도달기지토공(D구간)" xfId="9974" xr:uid="{00000000-0005-0000-0000-0000F4260000}"/>
    <cellStyle name="백_수량산출서(수정)_02-배수공_02-배수공_토공" xfId="9975" xr:uid="{00000000-0005-0000-0000-0000F5260000}"/>
    <cellStyle name="백_수량산출서(수정)_02-배수공_02-배수공_토공_02.구조물및추진,도달기지토공(D구간)" xfId="9976" xr:uid="{00000000-0005-0000-0000-0000F6260000}"/>
    <cellStyle name="백_수량산출서(수정)_02-배수공_02-배수공_토공_2.0토공3" xfId="9977" xr:uid="{00000000-0005-0000-0000-0000F7260000}"/>
    <cellStyle name="백_수량산출서(수정)_02-배수공_02-배수공_토공_2.0토공3_02.구조물및추진,도달기지토공(D구간)" xfId="9978" xr:uid="{00000000-0005-0000-0000-0000F8260000}"/>
    <cellStyle name="백_수량산출서(수정)_02-배수공_02-배수공_토공_보령깨기집계" xfId="9979" xr:uid="{00000000-0005-0000-0000-0000F9260000}"/>
    <cellStyle name="백_수량산출서(수정)_02-배수공_02-배수공_토공_보령깨기집계_02.구조물및추진,도달기지토공(D구간)" xfId="9980" xr:uid="{00000000-0005-0000-0000-0000FA260000}"/>
    <cellStyle name="백_수량산출서(수정)_02-배수공_02-배수공_토공_정부장님토적" xfId="9981" xr:uid="{00000000-0005-0000-0000-0000FB260000}"/>
    <cellStyle name="백_수량산출서(수정)_02-배수공_02-배수공_토공_정부장님토적_02.구조물및추진,도달기지토공(D구간)" xfId="9982" xr:uid="{00000000-0005-0000-0000-0000FC260000}"/>
    <cellStyle name="백_수량산출서(수정)_02-배수공_02-배수공_토공_토적표" xfId="9983" xr:uid="{00000000-0005-0000-0000-0000FD260000}"/>
    <cellStyle name="백_수량산출서(수정)_02-배수공_02-배수공_토공_토적표_02.구조물및추진,도달기지토공(D구간)" xfId="9984" xr:uid="{00000000-0005-0000-0000-0000FE260000}"/>
    <cellStyle name="백_수량산출서(수정)_02-배수공_반중력" xfId="9985" xr:uid="{00000000-0005-0000-0000-0000FF260000}"/>
    <cellStyle name="백_수량산출서(수정)_02-배수공_반중력_02.구조물및추진,도달기지토공(D구간)" xfId="9986" xr:uid="{00000000-0005-0000-0000-000000270000}"/>
    <cellStyle name="백_수량산출서(수정)_02-배수공_반중력_토공" xfId="9987" xr:uid="{00000000-0005-0000-0000-000001270000}"/>
    <cellStyle name="백_수량산출서(수정)_02-배수공_반중력_토공_02.구조물및추진,도달기지토공(D구간)" xfId="9988" xr:uid="{00000000-0005-0000-0000-000002270000}"/>
    <cellStyle name="백_수량산출서(수정)_02-배수공_반중력_토공_2.0토공3" xfId="9989" xr:uid="{00000000-0005-0000-0000-000003270000}"/>
    <cellStyle name="백_수량산출서(수정)_02-배수공_반중력_토공_2.0토공3_02.구조물및추진,도달기지토공(D구간)" xfId="9990" xr:uid="{00000000-0005-0000-0000-000004270000}"/>
    <cellStyle name="백_수량산출서(수정)_02-배수공_반중력_토공_보령깨기집계" xfId="9991" xr:uid="{00000000-0005-0000-0000-000005270000}"/>
    <cellStyle name="백_수량산출서(수정)_02-배수공_반중력_토공_보령깨기집계_02.구조물및추진,도달기지토공(D구간)" xfId="9992" xr:uid="{00000000-0005-0000-0000-000006270000}"/>
    <cellStyle name="백_수량산출서(수정)_02-배수공_반중력_토공_정부장님토적" xfId="9993" xr:uid="{00000000-0005-0000-0000-000007270000}"/>
    <cellStyle name="백_수량산출서(수정)_02-배수공_반중력_토공_정부장님토적_02.구조물및추진,도달기지토공(D구간)" xfId="9994" xr:uid="{00000000-0005-0000-0000-000008270000}"/>
    <cellStyle name="백_수량산출서(수정)_02-배수공_반중력_토공_토적표" xfId="9995" xr:uid="{00000000-0005-0000-0000-000009270000}"/>
    <cellStyle name="백_수량산출서(수정)_02-배수공_반중력_토공_토적표_02.구조물및추진,도달기지토공(D구간)" xfId="9996" xr:uid="{00000000-0005-0000-0000-00000A270000}"/>
    <cellStyle name="백_수량산출서(수정)_02-배수공_토공" xfId="9997" xr:uid="{00000000-0005-0000-0000-00000B270000}"/>
    <cellStyle name="백_수량산출서(수정)_02-배수공_토공_02.구조물및추진,도달기지토공(D구간)" xfId="9998" xr:uid="{00000000-0005-0000-0000-00000C270000}"/>
    <cellStyle name="백_수량산출서(수정)_02-배수공_토공_2.0토공3" xfId="9999" xr:uid="{00000000-0005-0000-0000-00000D270000}"/>
    <cellStyle name="백_수량산출서(수정)_02-배수공_토공_2.0토공3_02.구조물및추진,도달기지토공(D구간)" xfId="10000" xr:uid="{00000000-0005-0000-0000-00000E270000}"/>
    <cellStyle name="백_수량산출서(수정)_02-배수공_토공_보령깨기집계" xfId="10001" xr:uid="{00000000-0005-0000-0000-00000F270000}"/>
    <cellStyle name="백_수량산출서(수정)_02-배수공_토공_보령깨기집계_02.구조물및추진,도달기지토공(D구간)" xfId="10002" xr:uid="{00000000-0005-0000-0000-000010270000}"/>
    <cellStyle name="백_수량산출서(수정)_02-배수공_토공_정부장님토적" xfId="10003" xr:uid="{00000000-0005-0000-0000-000011270000}"/>
    <cellStyle name="백_수량산출서(수정)_02-배수공_토공_정부장님토적_02.구조물및추진,도달기지토공(D구간)" xfId="10004" xr:uid="{00000000-0005-0000-0000-000012270000}"/>
    <cellStyle name="백_수량산출서(수정)_02-배수공_토공_토적표" xfId="10005" xr:uid="{00000000-0005-0000-0000-000013270000}"/>
    <cellStyle name="백_수량산출서(수정)_02-배수공_토공_토적표_02.구조물및추진,도달기지토공(D구간)" xfId="10006" xr:uid="{00000000-0005-0000-0000-000014270000}"/>
    <cellStyle name="백_수량산출서(수정)_04-포장공_02-배수공" xfId="10007" xr:uid="{00000000-0005-0000-0000-000015270000}"/>
    <cellStyle name="백_수량산출서(수정)_04-포장공_02-배수공_02.구조물및추진,도달기지토공(D구간)" xfId="10008" xr:uid="{00000000-0005-0000-0000-000016270000}"/>
    <cellStyle name="백_수량산출서(수정)_04-포장공_02-배수공_토공" xfId="10009" xr:uid="{00000000-0005-0000-0000-000017270000}"/>
    <cellStyle name="백_수량산출서(수정)_04-포장공_02-배수공_토공_02.구조물및추진,도달기지토공(D구간)" xfId="10010" xr:uid="{00000000-0005-0000-0000-000018270000}"/>
    <cellStyle name="백_수량산출서(수정)_04-포장공_02-배수공_토공_2.0토공3" xfId="10011" xr:uid="{00000000-0005-0000-0000-000019270000}"/>
    <cellStyle name="백_수량산출서(수정)_04-포장공_02-배수공_토공_2.0토공3_02.구조물및추진,도달기지토공(D구간)" xfId="10012" xr:uid="{00000000-0005-0000-0000-00001A270000}"/>
    <cellStyle name="백_수량산출서(수정)_04-포장공_02-배수공_토공_보령깨기집계" xfId="10013" xr:uid="{00000000-0005-0000-0000-00001B270000}"/>
    <cellStyle name="백_수량산출서(수정)_04-포장공_02-배수공_토공_보령깨기집계_02.구조물및추진,도달기지토공(D구간)" xfId="10014" xr:uid="{00000000-0005-0000-0000-00001C270000}"/>
    <cellStyle name="백_수량산출서(수정)_04-포장공_02-배수공_토공_정부장님토적" xfId="10015" xr:uid="{00000000-0005-0000-0000-00001D270000}"/>
    <cellStyle name="백_수량산출서(수정)_04-포장공_02-배수공_토공_정부장님토적_02.구조물및추진,도달기지토공(D구간)" xfId="10016" xr:uid="{00000000-0005-0000-0000-00001E270000}"/>
    <cellStyle name="백_수량산출서(수정)_04-포장공_02-배수공_토공_토적표" xfId="10017" xr:uid="{00000000-0005-0000-0000-00001F270000}"/>
    <cellStyle name="백_수량산출서(수정)_04-포장공_02-배수공_토공_토적표_02.구조물및추진,도달기지토공(D구간)" xfId="10018" xr:uid="{00000000-0005-0000-0000-000020270000}"/>
    <cellStyle name="백_수량산출서(수정)_06-부대공_02-배수공" xfId="10019" xr:uid="{00000000-0005-0000-0000-000021270000}"/>
    <cellStyle name="백_수량산출서(수정)_06-부대공_02-배수공_02.구조물및추진,도달기지토공(D구간)" xfId="10020" xr:uid="{00000000-0005-0000-0000-000022270000}"/>
    <cellStyle name="백_수량산출서(수정)_06-부대공_02-배수공_토공" xfId="10021" xr:uid="{00000000-0005-0000-0000-000023270000}"/>
    <cellStyle name="백_수량산출서(수정)_06-부대공_02-배수공_토공_02.구조물및추진,도달기지토공(D구간)" xfId="10022" xr:uid="{00000000-0005-0000-0000-000024270000}"/>
    <cellStyle name="백_수량산출서(수정)_06-부대공_02-배수공_토공_2.0토공3" xfId="10023" xr:uid="{00000000-0005-0000-0000-000025270000}"/>
    <cellStyle name="백_수량산출서(수정)_06-부대공_02-배수공_토공_2.0토공3_02.구조물및추진,도달기지토공(D구간)" xfId="10024" xr:uid="{00000000-0005-0000-0000-000026270000}"/>
    <cellStyle name="백_수량산출서(수정)_06-부대공_02-배수공_토공_보령깨기집계" xfId="10025" xr:uid="{00000000-0005-0000-0000-000027270000}"/>
    <cellStyle name="백_수량산출서(수정)_06-부대공_02-배수공_토공_보령깨기집계_02.구조물및추진,도달기지토공(D구간)" xfId="10026" xr:uid="{00000000-0005-0000-0000-000028270000}"/>
    <cellStyle name="백_수량산출서(수정)_06-부대공_02-배수공_토공_정부장님토적" xfId="10027" xr:uid="{00000000-0005-0000-0000-000029270000}"/>
    <cellStyle name="백_수량산출서(수정)_06-부대공_02-배수공_토공_정부장님토적_02.구조물및추진,도달기지토공(D구간)" xfId="10028" xr:uid="{00000000-0005-0000-0000-00002A270000}"/>
    <cellStyle name="백_수량산출서(수정)_06-부대공_02-배수공_토공_토적표" xfId="10029" xr:uid="{00000000-0005-0000-0000-00002B270000}"/>
    <cellStyle name="백_수량산출서(수정)_06-부대공_02-배수공_토공_토적표_02.구조물및추진,도달기지토공(D구간)" xfId="10030" xr:uid="{00000000-0005-0000-0000-00002C270000}"/>
    <cellStyle name="백_수량산출서(수정)_20_깨기취합" xfId="10031" xr:uid="{00000000-0005-0000-0000-00002D270000}"/>
    <cellStyle name="백_수량산출서(수정)_20_깨기취합_발파암소할 2003 버전" xfId="10032" xr:uid="{00000000-0005-0000-0000-00002E270000}"/>
    <cellStyle name="백_수량산출서(수정)_20_깨기취합_토공수량산출서-3공구-사토" xfId="10033" xr:uid="{00000000-0005-0000-0000-00002F270000}"/>
    <cellStyle name="백_수량산출서(수정)_21_깨기_배수1" xfId="10034" xr:uid="{00000000-0005-0000-0000-000030270000}"/>
    <cellStyle name="백_수량산출서(수정)_21_깨기_토공" xfId="10035" xr:uid="{00000000-0005-0000-0000-000031270000}"/>
    <cellStyle name="백_수량산출서(수정)_21_깨기_토공_발파암소할 2003 버전" xfId="10036" xr:uid="{00000000-0005-0000-0000-000032270000}"/>
    <cellStyle name="백_수량산출서(수정)_21_깨기_토공_토공수량산출서-3공구-사토" xfId="10037" xr:uid="{00000000-0005-0000-0000-000033270000}"/>
    <cellStyle name="백_수량산출서(수정)_기존구조물철거" xfId="10038" xr:uid="{00000000-0005-0000-0000-000034270000}"/>
    <cellStyle name="백_수량산출서(수정)_기존구조물철거_발파암소할 2003 버전" xfId="10039" xr:uid="{00000000-0005-0000-0000-000035270000}"/>
    <cellStyle name="백_수량산출서(수정)_기존구조물철거_토공수량산출서-3공구-사토" xfId="10040" xr:uid="{00000000-0005-0000-0000-000036270000}"/>
    <cellStyle name="백_수량산출서(수정)_기존구조물철거최종" xfId="10041" xr:uid="{00000000-0005-0000-0000-000037270000}"/>
    <cellStyle name="백_수량산출서(수정)_기존구조물철거최종_발파암소할 2003 버전" xfId="10042" xr:uid="{00000000-0005-0000-0000-000038270000}"/>
    <cellStyle name="백_수량산출서(수정)_기존구조물철거최종_토공수량산출서-3공구-사토" xfId="10043" xr:uid="{00000000-0005-0000-0000-000039270000}"/>
    <cellStyle name="백_수량산출서(수정)_발파암소할 2003 버전" xfId="10044" xr:uid="{00000000-0005-0000-0000-00003A270000}"/>
    <cellStyle name="백_수량산출서(수정)_오수공" xfId="10045" xr:uid="{00000000-0005-0000-0000-00003B270000}"/>
    <cellStyle name="백_수량산출서(수정)_오수공_20_깨기취합" xfId="10046" xr:uid="{00000000-0005-0000-0000-00003C270000}"/>
    <cellStyle name="백_수량산출서(수정)_오수공_20_깨기취합_발파암소할 2003 버전" xfId="10047" xr:uid="{00000000-0005-0000-0000-00003D270000}"/>
    <cellStyle name="백_수량산출서(수정)_오수공_20_깨기취합_토공수량산출서-3공구-사토" xfId="10048" xr:uid="{00000000-0005-0000-0000-00003E270000}"/>
    <cellStyle name="백_수량산출서(수정)_오수공_21_깨기_배수1" xfId="10049" xr:uid="{00000000-0005-0000-0000-00003F270000}"/>
    <cellStyle name="백_수량산출서(수정)_오수공_21_깨기_토공" xfId="10050" xr:uid="{00000000-0005-0000-0000-000040270000}"/>
    <cellStyle name="백_수량산출서(수정)_오수공_21_깨기_토공_발파암소할 2003 버전" xfId="10051" xr:uid="{00000000-0005-0000-0000-000041270000}"/>
    <cellStyle name="백_수량산출서(수정)_오수공_21_깨기_토공_토공수량산출서-3공구-사토" xfId="10052" xr:uid="{00000000-0005-0000-0000-000042270000}"/>
    <cellStyle name="백_수량산출서(수정)_오수공_기존구조물철거" xfId="10053" xr:uid="{00000000-0005-0000-0000-000043270000}"/>
    <cellStyle name="백_수량산출서(수정)_오수공_기존구조물철거_발파암소할 2003 버전" xfId="10054" xr:uid="{00000000-0005-0000-0000-000044270000}"/>
    <cellStyle name="백_수량산출서(수정)_오수공_기존구조물철거_토공수량산출서-3공구-사토" xfId="10055" xr:uid="{00000000-0005-0000-0000-000045270000}"/>
    <cellStyle name="백_수량산출서(수정)_오수공_기존구조물철거최종" xfId="10056" xr:uid="{00000000-0005-0000-0000-000046270000}"/>
    <cellStyle name="백_수량산출서(수정)_오수공_기존구조물철거최종_발파암소할 2003 버전" xfId="10057" xr:uid="{00000000-0005-0000-0000-000047270000}"/>
    <cellStyle name="백_수량산출서(수정)_오수공_기존구조물철거최종_토공수량산출서-3공구-사토" xfId="10058" xr:uid="{00000000-0005-0000-0000-000048270000}"/>
    <cellStyle name="백_수량산출서(수정)_오수공_발파암소할 2003 버전" xfId="10059" xr:uid="{00000000-0005-0000-0000-000049270000}"/>
    <cellStyle name="백_수량산출서(수정)_오수공_오수공" xfId="10060" xr:uid="{00000000-0005-0000-0000-00004A270000}"/>
    <cellStyle name="백_수량산출서(수정)_오수공_오수공_20_깨기취합" xfId="10061" xr:uid="{00000000-0005-0000-0000-00004B270000}"/>
    <cellStyle name="백_수량산출서(수정)_오수공_오수공_20_깨기취합_발파암소할 2003 버전" xfId="10062" xr:uid="{00000000-0005-0000-0000-00004C270000}"/>
    <cellStyle name="백_수량산출서(수정)_오수공_오수공_20_깨기취합_토공수량산출서-3공구-사토" xfId="10063" xr:uid="{00000000-0005-0000-0000-00004D270000}"/>
    <cellStyle name="백_수량산출서(수정)_오수공_오수공_21_깨기_배수1" xfId="10064" xr:uid="{00000000-0005-0000-0000-00004E270000}"/>
    <cellStyle name="백_수량산출서(수정)_오수공_오수공_21_깨기_토공" xfId="10065" xr:uid="{00000000-0005-0000-0000-00004F270000}"/>
    <cellStyle name="백_수량산출서(수정)_오수공_오수공_21_깨기_토공_발파암소할 2003 버전" xfId="10066" xr:uid="{00000000-0005-0000-0000-000050270000}"/>
    <cellStyle name="백_수량산출서(수정)_오수공_오수공_21_깨기_토공_토공수량산출서-3공구-사토" xfId="10067" xr:uid="{00000000-0005-0000-0000-000051270000}"/>
    <cellStyle name="백_수량산출서(수정)_오수공_오수공_기존구조물철거" xfId="10068" xr:uid="{00000000-0005-0000-0000-000052270000}"/>
    <cellStyle name="백_수량산출서(수정)_오수공_오수공_기존구조물철거_발파암소할 2003 버전" xfId="10069" xr:uid="{00000000-0005-0000-0000-000053270000}"/>
    <cellStyle name="백_수량산출서(수정)_오수공_오수공_기존구조물철거_토공수량산출서-3공구-사토" xfId="10070" xr:uid="{00000000-0005-0000-0000-000054270000}"/>
    <cellStyle name="백_수량산출서(수정)_오수공_오수공_기존구조물철거최종" xfId="10071" xr:uid="{00000000-0005-0000-0000-000055270000}"/>
    <cellStyle name="백_수량산출서(수정)_오수공_오수공_기존구조물철거최종_발파암소할 2003 버전" xfId="10072" xr:uid="{00000000-0005-0000-0000-000056270000}"/>
    <cellStyle name="백_수량산출서(수정)_오수공_오수공_기존구조물철거최종_토공수량산출서-3공구-사토" xfId="10073" xr:uid="{00000000-0005-0000-0000-000057270000}"/>
    <cellStyle name="백_수량산출서(수정)_오수공_오수공_발파암소할 2003 버전" xfId="10074" xr:uid="{00000000-0005-0000-0000-000058270000}"/>
    <cellStyle name="백_수량산출서(수정)_오수공_오수공_토공수량산출서-3공구-사토" xfId="10075" xr:uid="{00000000-0005-0000-0000-000059270000}"/>
    <cellStyle name="백_수량산출서(수정)_오수공_토공수량산출서-3공구-사토" xfId="10076" xr:uid="{00000000-0005-0000-0000-00005A270000}"/>
    <cellStyle name="백_수량산출서(수정)_토공수량산출서-3공구-사토" xfId="10077" xr:uid="{00000000-0005-0000-0000-00005B270000}"/>
    <cellStyle name="백_오수공" xfId="10078" xr:uid="{00000000-0005-0000-0000-00005C270000}"/>
    <cellStyle name="백_오수공_20_깨기취합" xfId="10079" xr:uid="{00000000-0005-0000-0000-00005D270000}"/>
    <cellStyle name="백_오수공_20_깨기취합_발파암소할 2003 버전" xfId="10080" xr:uid="{00000000-0005-0000-0000-00005E270000}"/>
    <cellStyle name="백_오수공_20_깨기취합_토공수량산출서-3공구-사토" xfId="10081" xr:uid="{00000000-0005-0000-0000-00005F270000}"/>
    <cellStyle name="백_오수공_21_깨기_배수1" xfId="10082" xr:uid="{00000000-0005-0000-0000-000060270000}"/>
    <cellStyle name="백_오수공_21_깨기_토공" xfId="10083" xr:uid="{00000000-0005-0000-0000-000061270000}"/>
    <cellStyle name="백_오수공_21_깨기_토공_발파암소할 2003 버전" xfId="10084" xr:uid="{00000000-0005-0000-0000-000062270000}"/>
    <cellStyle name="백_오수공_21_깨기_토공_토공수량산출서-3공구-사토" xfId="10085" xr:uid="{00000000-0005-0000-0000-000063270000}"/>
    <cellStyle name="백_오수공_기존구조물철거" xfId="10086" xr:uid="{00000000-0005-0000-0000-000064270000}"/>
    <cellStyle name="백_오수공_기존구조물철거_발파암소할 2003 버전" xfId="10087" xr:uid="{00000000-0005-0000-0000-000065270000}"/>
    <cellStyle name="백_오수공_기존구조물철거_토공수량산출서-3공구-사토" xfId="10088" xr:uid="{00000000-0005-0000-0000-000066270000}"/>
    <cellStyle name="백_오수공_기존구조물철거최종" xfId="10089" xr:uid="{00000000-0005-0000-0000-000067270000}"/>
    <cellStyle name="백_오수공_기존구조물철거최종_발파암소할 2003 버전" xfId="10090" xr:uid="{00000000-0005-0000-0000-000068270000}"/>
    <cellStyle name="백_오수공_기존구조물철거최종_토공수량산출서-3공구-사토" xfId="10091" xr:uid="{00000000-0005-0000-0000-000069270000}"/>
    <cellStyle name="백_오수공_발파암소할 2003 버전" xfId="10092" xr:uid="{00000000-0005-0000-0000-00006A270000}"/>
    <cellStyle name="백_오수공_오수공" xfId="10093" xr:uid="{00000000-0005-0000-0000-00006B270000}"/>
    <cellStyle name="백_오수공_오수공_20_깨기취합" xfId="10094" xr:uid="{00000000-0005-0000-0000-00006C270000}"/>
    <cellStyle name="백_오수공_오수공_20_깨기취합_발파암소할 2003 버전" xfId="10095" xr:uid="{00000000-0005-0000-0000-00006D270000}"/>
    <cellStyle name="백_오수공_오수공_20_깨기취합_토공수량산출서-3공구-사토" xfId="10096" xr:uid="{00000000-0005-0000-0000-00006E270000}"/>
    <cellStyle name="백_오수공_오수공_21_깨기_배수1" xfId="10097" xr:uid="{00000000-0005-0000-0000-00006F270000}"/>
    <cellStyle name="백_오수공_오수공_21_깨기_토공" xfId="10098" xr:uid="{00000000-0005-0000-0000-000070270000}"/>
    <cellStyle name="백_오수공_오수공_21_깨기_토공_발파암소할 2003 버전" xfId="10099" xr:uid="{00000000-0005-0000-0000-000071270000}"/>
    <cellStyle name="백_오수공_오수공_21_깨기_토공_토공수량산출서-3공구-사토" xfId="10100" xr:uid="{00000000-0005-0000-0000-000072270000}"/>
    <cellStyle name="백_오수공_오수공_기존구조물철거" xfId="10101" xr:uid="{00000000-0005-0000-0000-000073270000}"/>
    <cellStyle name="백_오수공_오수공_기존구조물철거_발파암소할 2003 버전" xfId="10102" xr:uid="{00000000-0005-0000-0000-000074270000}"/>
    <cellStyle name="백_오수공_오수공_기존구조물철거_토공수량산출서-3공구-사토" xfId="10103" xr:uid="{00000000-0005-0000-0000-000075270000}"/>
    <cellStyle name="백_오수공_오수공_기존구조물철거최종" xfId="10104" xr:uid="{00000000-0005-0000-0000-000076270000}"/>
    <cellStyle name="백_오수공_오수공_기존구조물철거최종_발파암소할 2003 버전" xfId="10105" xr:uid="{00000000-0005-0000-0000-000077270000}"/>
    <cellStyle name="백_오수공_오수공_기존구조물철거최종_토공수량산출서-3공구-사토" xfId="10106" xr:uid="{00000000-0005-0000-0000-000078270000}"/>
    <cellStyle name="백_오수공_오수공_발파암소할 2003 버전" xfId="10107" xr:uid="{00000000-0005-0000-0000-000079270000}"/>
    <cellStyle name="백_오수공_오수공_토공수량산출서-3공구-사토" xfId="10108" xr:uid="{00000000-0005-0000-0000-00007A270000}"/>
    <cellStyle name="백_오수공_토공수량산출서-3공구-사토" xfId="10109" xr:uid="{00000000-0005-0000-0000-00007B270000}"/>
    <cellStyle name="백_이형관재료계산서" xfId="10110" xr:uid="{00000000-0005-0000-0000-00007C270000}"/>
    <cellStyle name="백_이형관재료계산서_관수량 (2)" xfId="10111" xr:uid="{00000000-0005-0000-0000-00007D270000}"/>
    <cellStyle name="백_이형관재료계산서_관자재" xfId="10112" xr:uid="{00000000-0005-0000-0000-00007E270000}"/>
    <cellStyle name="백_이형관재료계산서_수량산출" xfId="10113" xr:uid="{00000000-0005-0000-0000-00007F270000}"/>
    <cellStyle name="백_토공수량산출서-3공구-사토" xfId="10114" xr:uid="{00000000-0005-0000-0000-000080270000}"/>
    <cellStyle name="백_하수처리시설(황간)" xfId="10115" xr:uid="{00000000-0005-0000-0000-000081270000}"/>
    <cellStyle name="백_하수처리시설(황간)_배수설비 제원표" xfId="10116" xr:uid="{00000000-0005-0000-0000-000082270000}"/>
    <cellStyle name="백_하수처리시설(황간)_배수설비 제원표_배수설비 수량(장선)" xfId="10117" xr:uid="{00000000-0005-0000-0000-000083270000}"/>
    <cellStyle name="백분율 [△1]" xfId="10118" xr:uid="{00000000-0005-0000-0000-000084270000}"/>
    <cellStyle name="백분율 [△1] 10" xfId="10119" xr:uid="{00000000-0005-0000-0000-000085270000}"/>
    <cellStyle name="백분율 [△1] 11" xfId="10120" xr:uid="{00000000-0005-0000-0000-000086270000}"/>
    <cellStyle name="백분율 [△1] 2" xfId="10121" xr:uid="{00000000-0005-0000-0000-000087270000}"/>
    <cellStyle name="백분율 [△1] 3" xfId="10122" xr:uid="{00000000-0005-0000-0000-000088270000}"/>
    <cellStyle name="백분율 [△1] 4" xfId="10123" xr:uid="{00000000-0005-0000-0000-000089270000}"/>
    <cellStyle name="백분율 [△1] 5" xfId="10124" xr:uid="{00000000-0005-0000-0000-00008A270000}"/>
    <cellStyle name="백분율 [△1] 6" xfId="10125" xr:uid="{00000000-0005-0000-0000-00008B270000}"/>
    <cellStyle name="백분율 [△1] 7" xfId="10126" xr:uid="{00000000-0005-0000-0000-00008C270000}"/>
    <cellStyle name="백분율 [△1] 8" xfId="10127" xr:uid="{00000000-0005-0000-0000-00008D270000}"/>
    <cellStyle name="백분율 [△1] 9" xfId="10128" xr:uid="{00000000-0005-0000-0000-00008E270000}"/>
    <cellStyle name="백분율 [△2]" xfId="10129" xr:uid="{00000000-0005-0000-0000-00008F270000}"/>
    <cellStyle name="백분율 [△2] 10" xfId="10130" xr:uid="{00000000-0005-0000-0000-000090270000}"/>
    <cellStyle name="백분율 [△2] 11" xfId="10131" xr:uid="{00000000-0005-0000-0000-000091270000}"/>
    <cellStyle name="백분율 [△2] 2" xfId="10132" xr:uid="{00000000-0005-0000-0000-000092270000}"/>
    <cellStyle name="백분율 [△2] 3" xfId="10133" xr:uid="{00000000-0005-0000-0000-000093270000}"/>
    <cellStyle name="백분율 [△2] 4" xfId="10134" xr:uid="{00000000-0005-0000-0000-000094270000}"/>
    <cellStyle name="백분율 [△2] 5" xfId="10135" xr:uid="{00000000-0005-0000-0000-000095270000}"/>
    <cellStyle name="백분율 [△2] 6" xfId="10136" xr:uid="{00000000-0005-0000-0000-000096270000}"/>
    <cellStyle name="백분율 [△2] 7" xfId="10137" xr:uid="{00000000-0005-0000-0000-000097270000}"/>
    <cellStyle name="백분율 [△2] 8" xfId="10138" xr:uid="{00000000-0005-0000-0000-000098270000}"/>
    <cellStyle name="백분율 [△2] 9" xfId="10139" xr:uid="{00000000-0005-0000-0000-000099270000}"/>
    <cellStyle name="백분율 [0]" xfId="10140" xr:uid="{00000000-0005-0000-0000-00009A270000}"/>
    <cellStyle name="백분율 [2]" xfId="10141" xr:uid="{00000000-0005-0000-0000-00009B270000}"/>
    <cellStyle name="백분율 10" xfId="10142" xr:uid="{00000000-0005-0000-0000-00009C270000}"/>
    <cellStyle name="백분율 10 2" xfId="10143" xr:uid="{00000000-0005-0000-0000-00009D270000}"/>
    <cellStyle name="백분율 10 2 2" xfId="10144" xr:uid="{00000000-0005-0000-0000-00009E270000}"/>
    <cellStyle name="백분율 10 3" xfId="10145" xr:uid="{00000000-0005-0000-0000-00009F270000}"/>
    <cellStyle name="백분율 10 4" xfId="10146" xr:uid="{00000000-0005-0000-0000-0000A0270000}"/>
    <cellStyle name="백분율 11" xfId="10147" xr:uid="{00000000-0005-0000-0000-0000A1270000}"/>
    <cellStyle name="백분율 11 2" xfId="10148" xr:uid="{00000000-0005-0000-0000-0000A2270000}"/>
    <cellStyle name="백분율 11 2 2" xfId="10149" xr:uid="{00000000-0005-0000-0000-0000A3270000}"/>
    <cellStyle name="백분율 11 3" xfId="10150" xr:uid="{00000000-0005-0000-0000-0000A4270000}"/>
    <cellStyle name="백분율 11 4" xfId="10151" xr:uid="{00000000-0005-0000-0000-0000A5270000}"/>
    <cellStyle name="백분율 12" xfId="10152" xr:uid="{00000000-0005-0000-0000-0000A6270000}"/>
    <cellStyle name="백분율 12 2" xfId="10153" xr:uid="{00000000-0005-0000-0000-0000A7270000}"/>
    <cellStyle name="백분율 12 2 2" xfId="10154" xr:uid="{00000000-0005-0000-0000-0000A8270000}"/>
    <cellStyle name="백분율 12 3" xfId="10155" xr:uid="{00000000-0005-0000-0000-0000A9270000}"/>
    <cellStyle name="백분율 12 4" xfId="10156" xr:uid="{00000000-0005-0000-0000-0000AA270000}"/>
    <cellStyle name="백분율 13" xfId="10157" xr:uid="{00000000-0005-0000-0000-0000AB270000}"/>
    <cellStyle name="백분율 14" xfId="10158" xr:uid="{00000000-0005-0000-0000-0000AC270000}"/>
    <cellStyle name="백분율 15" xfId="10159" xr:uid="{00000000-0005-0000-0000-0000AD270000}"/>
    <cellStyle name="백분율 15 2" xfId="10160" xr:uid="{00000000-0005-0000-0000-0000AE270000}"/>
    <cellStyle name="백분율 16" xfId="10161" xr:uid="{00000000-0005-0000-0000-0000AF270000}"/>
    <cellStyle name="백분율 17" xfId="10162" xr:uid="{00000000-0005-0000-0000-0000B0270000}"/>
    <cellStyle name="백분율 18" xfId="10163" xr:uid="{00000000-0005-0000-0000-0000B1270000}"/>
    <cellStyle name="백분율 19" xfId="10164" xr:uid="{00000000-0005-0000-0000-0000B2270000}"/>
    <cellStyle name="백분율 2" xfId="10165" xr:uid="{00000000-0005-0000-0000-0000B3270000}"/>
    <cellStyle name="백분율 2 10" xfId="10166" xr:uid="{00000000-0005-0000-0000-0000B4270000}"/>
    <cellStyle name="백분율 2 11" xfId="10167" xr:uid="{00000000-0005-0000-0000-0000B5270000}"/>
    <cellStyle name="백분율 2 2" xfId="10168" xr:uid="{00000000-0005-0000-0000-0000B6270000}"/>
    <cellStyle name="백분율 2 2 2" xfId="10169" xr:uid="{00000000-0005-0000-0000-0000B7270000}"/>
    <cellStyle name="백분율 2 3" xfId="10170" xr:uid="{00000000-0005-0000-0000-0000B8270000}"/>
    <cellStyle name="백분율 2 4" xfId="10171" xr:uid="{00000000-0005-0000-0000-0000B9270000}"/>
    <cellStyle name="백분율 2 5" xfId="10172" xr:uid="{00000000-0005-0000-0000-0000BA270000}"/>
    <cellStyle name="백분율 2 6" xfId="10173" xr:uid="{00000000-0005-0000-0000-0000BB270000}"/>
    <cellStyle name="백분율 2 7" xfId="10174" xr:uid="{00000000-0005-0000-0000-0000BC270000}"/>
    <cellStyle name="백분율 2 8" xfId="10175" xr:uid="{00000000-0005-0000-0000-0000BD270000}"/>
    <cellStyle name="백분율 2 9" xfId="10176" xr:uid="{00000000-0005-0000-0000-0000BE270000}"/>
    <cellStyle name="백분율 20" xfId="10177" xr:uid="{00000000-0005-0000-0000-0000BF270000}"/>
    <cellStyle name="백분율 21" xfId="10178" xr:uid="{00000000-0005-0000-0000-0000C0270000}"/>
    <cellStyle name="백분율 22" xfId="10179" xr:uid="{00000000-0005-0000-0000-0000C1270000}"/>
    <cellStyle name="백분율 23" xfId="10180" xr:uid="{00000000-0005-0000-0000-0000C2270000}"/>
    <cellStyle name="백분율 24" xfId="10181" xr:uid="{00000000-0005-0000-0000-0000C3270000}"/>
    <cellStyle name="백분율 25" xfId="10182" xr:uid="{00000000-0005-0000-0000-0000C4270000}"/>
    <cellStyle name="백분율 26" xfId="10183" xr:uid="{00000000-0005-0000-0000-0000C5270000}"/>
    <cellStyle name="백분율 27" xfId="10184" xr:uid="{00000000-0005-0000-0000-0000C6270000}"/>
    <cellStyle name="백분율 28" xfId="10185" xr:uid="{00000000-0005-0000-0000-0000C7270000}"/>
    <cellStyle name="백분율 29" xfId="10186" xr:uid="{00000000-0005-0000-0000-0000C8270000}"/>
    <cellStyle name="백분율 3" xfId="10187" xr:uid="{00000000-0005-0000-0000-0000C9270000}"/>
    <cellStyle name="백분율 3 2" xfId="10188" xr:uid="{00000000-0005-0000-0000-0000CA270000}"/>
    <cellStyle name="백분율 3 3" xfId="10189" xr:uid="{00000000-0005-0000-0000-0000CB270000}"/>
    <cellStyle name="백분율 30" xfId="10190" xr:uid="{00000000-0005-0000-0000-0000CC270000}"/>
    <cellStyle name="백분율 31" xfId="10191" xr:uid="{00000000-0005-0000-0000-0000CD270000}"/>
    <cellStyle name="백분율 32" xfId="10192" xr:uid="{00000000-0005-0000-0000-0000CE270000}"/>
    <cellStyle name="백분율 33" xfId="10193" xr:uid="{00000000-0005-0000-0000-0000CF270000}"/>
    <cellStyle name="백분율 34" xfId="10194" xr:uid="{00000000-0005-0000-0000-0000D0270000}"/>
    <cellStyle name="백분율 35" xfId="10195" xr:uid="{00000000-0005-0000-0000-0000D1270000}"/>
    <cellStyle name="백분율 36" xfId="10196" xr:uid="{00000000-0005-0000-0000-0000D2270000}"/>
    <cellStyle name="백분율 37" xfId="10197" xr:uid="{00000000-0005-0000-0000-0000D3270000}"/>
    <cellStyle name="백분율 38" xfId="10198" xr:uid="{00000000-0005-0000-0000-0000D4270000}"/>
    <cellStyle name="백분율 39" xfId="10199" xr:uid="{00000000-0005-0000-0000-0000D5270000}"/>
    <cellStyle name="백분율 4" xfId="10200" xr:uid="{00000000-0005-0000-0000-0000D6270000}"/>
    <cellStyle name="백분율 40" xfId="10201" xr:uid="{00000000-0005-0000-0000-0000D7270000}"/>
    <cellStyle name="백분율 41" xfId="10202" xr:uid="{00000000-0005-0000-0000-0000D8270000}"/>
    <cellStyle name="백분율 42" xfId="10203" xr:uid="{00000000-0005-0000-0000-0000D9270000}"/>
    <cellStyle name="백분율 43" xfId="10204" xr:uid="{00000000-0005-0000-0000-0000DA270000}"/>
    <cellStyle name="백분율 44" xfId="10205" xr:uid="{00000000-0005-0000-0000-0000DB270000}"/>
    <cellStyle name="백분율 45" xfId="10206" xr:uid="{00000000-0005-0000-0000-0000DC270000}"/>
    <cellStyle name="백분율 46" xfId="10207" xr:uid="{00000000-0005-0000-0000-0000DD270000}"/>
    <cellStyle name="백분율 47" xfId="10208" xr:uid="{00000000-0005-0000-0000-0000DE270000}"/>
    <cellStyle name="백분율 48" xfId="10209" xr:uid="{00000000-0005-0000-0000-0000DF270000}"/>
    <cellStyle name="백분율 49" xfId="10210" xr:uid="{00000000-0005-0000-0000-0000E0270000}"/>
    <cellStyle name="백분율 5" xfId="10211" xr:uid="{00000000-0005-0000-0000-0000E1270000}"/>
    <cellStyle name="백분율 5 2" xfId="10212" xr:uid="{00000000-0005-0000-0000-0000E2270000}"/>
    <cellStyle name="백분율 5 2 2" xfId="10213" xr:uid="{00000000-0005-0000-0000-0000E3270000}"/>
    <cellStyle name="백분율 5 3" xfId="10214" xr:uid="{00000000-0005-0000-0000-0000E4270000}"/>
    <cellStyle name="백분율 5 4" xfId="10215" xr:uid="{00000000-0005-0000-0000-0000E5270000}"/>
    <cellStyle name="백분율 50" xfId="10216" xr:uid="{00000000-0005-0000-0000-0000E6270000}"/>
    <cellStyle name="백분율 51" xfId="10217" xr:uid="{00000000-0005-0000-0000-0000E7270000}"/>
    <cellStyle name="백분율 52" xfId="10218" xr:uid="{00000000-0005-0000-0000-0000E8270000}"/>
    <cellStyle name="백분율 53" xfId="10219" xr:uid="{00000000-0005-0000-0000-0000E9270000}"/>
    <cellStyle name="백분율 54" xfId="10220" xr:uid="{00000000-0005-0000-0000-0000EA270000}"/>
    <cellStyle name="백분율 55" xfId="10221" xr:uid="{00000000-0005-0000-0000-0000EB270000}"/>
    <cellStyle name="백분율 56" xfId="10222" xr:uid="{00000000-0005-0000-0000-0000EC270000}"/>
    <cellStyle name="백분율 57" xfId="10223" xr:uid="{00000000-0005-0000-0000-0000ED270000}"/>
    <cellStyle name="백분율 58" xfId="10224" xr:uid="{00000000-0005-0000-0000-0000EE270000}"/>
    <cellStyle name="백분율 59" xfId="10225" xr:uid="{00000000-0005-0000-0000-0000EF270000}"/>
    <cellStyle name="백분율 6" xfId="10226" xr:uid="{00000000-0005-0000-0000-0000F0270000}"/>
    <cellStyle name="백분율 6 2" xfId="10227" xr:uid="{00000000-0005-0000-0000-0000F1270000}"/>
    <cellStyle name="백분율 6 2 2" xfId="10228" xr:uid="{00000000-0005-0000-0000-0000F2270000}"/>
    <cellStyle name="백분율 6 3" xfId="10229" xr:uid="{00000000-0005-0000-0000-0000F3270000}"/>
    <cellStyle name="백분율 6 4" xfId="10230" xr:uid="{00000000-0005-0000-0000-0000F4270000}"/>
    <cellStyle name="백분율 60" xfId="10231" xr:uid="{00000000-0005-0000-0000-0000F5270000}"/>
    <cellStyle name="백분율 61" xfId="10232" xr:uid="{00000000-0005-0000-0000-0000F6270000}"/>
    <cellStyle name="백분율 62" xfId="10233" xr:uid="{00000000-0005-0000-0000-0000F7270000}"/>
    <cellStyle name="백분율 63" xfId="10234" xr:uid="{00000000-0005-0000-0000-0000F8270000}"/>
    <cellStyle name="백분율 64" xfId="10235" xr:uid="{00000000-0005-0000-0000-0000F9270000}"/>
    <cellStyle name="백분율 65" xfId="10236" xr:uid="{00000000-0005-0000-0000-0000FA270000}"/>
    <cellStyle name="백분율 66" xfId="10237" xr:uid="{00000000-0005-0000-0000-0000FB270000}"/>
    <cellStyle name="백분율 67" xfId="10238" xr:uid="{00000000-0005-0000-0000-0000FC270000}"/>
    <cellStyle name="백분율 68" xfId="10239" xr:uid="{00000000-0005-0000-0000-0000FD270000}"/>
    <cellStyle name="백분율 69" xfId="10240" xr:uid="{00000000-0005-0000-0000-0000FE270000}"/>
    <cellStyle name="백분율 7" xfId="10241" xr:uid="{00000000-0005-0000-0000-0000FF270000}"/>
    <cellStyle name="백분율 7 2" xfId="10242" xr:uid="{00000000-0005-0000-0000-000000280000}"/>
    <cellStyle name="백분율 7 2 2" xfId="10243" xr:uid="{00000000-0005-0000-0000-000001280000}"/>
    <cellStyle name="백분율 7 3" xfId="10244" xr:uid="{00000000-0005-0000-0000-000002280000}"/>
    <cellStyle name="백분율 7 4" xfId="10245" xr:uid="{00000000-0005-0000-0000-000003280000}"/>
    <cellStyle name="백분율 70" xfId="10246" xr:uid="{00000000-0005-0000-0000-000004280000}"/>
    <cellStyle name="백분율 71" xfId="10247" xr:uid="{00000000-0005-0000-0000-000005280000}"/>
    <cellStyle name="백분율 72" xfId="10248" xr:uid="{00000000-0005-0000-0000-000006280000}"/>
    <cellStyle name="백분율 73" xfId="10249" xr:uid="{00000000-0005-0000-0000-000007280000}"/>
    <cellStyle name="백분율 74" xfId="10250" xr:uid="{00000000-0005-0000-0000-000008280000}"/>
    <cellStyle name="백분율 75" xfId="10251" xr:uid="{00000000-0005-0000-0000-000009280000}"/>
    <cellStyle name="백분율 76" xfId="10252" xr:uid="{00000000-0005-0000-0000-00000A280000}"/>
    <cellStyle name="백분율 77" xfId="10253" xr:uid="{00000000-0005-0000-0000-00000B280000}"/>
    <cellStyle name="백분율 78" xfId="10254" xr:uid="{00000000-0005-0000-0000-00000C280000}"/>
    <cellStyle name="백분율 79" xfId="10255" xr:uid="{00000000-0005-0000-0000-00000D280000}"/>
    <cellStyle name="백분율 8" xfId="10256" xr:uid="{00000000-0005-0000-0000-00000E280000}"/>
    <cellStyle name="백분율 8 2" xfId="10257" xr:uid="{00000000-0005-0000-0000-00000F280000}"/>
    <cellStyle name="백분율 8 2 2" xfId="10258" xr:uid="{00000000-0005-0000-0000-000010280000}"/>
    <cellStyle name="백분율 8 3" xfId="10259" xr:uid="{00000000-0005-0000-0000-000011280000}"/>
    <cellStyle name="백분율 8 4" xfId="10260" xr:uid="{00000000-0005-0000-0000-000012280000}"/>
    <cellStyle name="백분율 80" xfId="10261" xr:uid="{00000000-0005-0000-0000-000013280000}"/>
    <cellStyle name="백분율 81" xfId="10262" xr:uid="{00000000-0005-0000-0000-000014280000}"/>
    <cellStyle name="백분율 82" xfId="10263" xr:uid="{00000000-0005-0000-0000-000015280000}"/>
    <cellStyle name="백분율 83" xfId="10264" xr:uid="{00000000-0005-0000-0000-000016280000}"/>
    <cellStyle name="백분율 84" xfId="10265" xr:uid="{00000000-0005-0000-0000-000017280000}"/>
    <cellStyle name="백분율 85" xfId="10266" xr:uid="{00000000-0005-0000-0000-000018280000}"/>
    <cellStyle name="백분율 86" xfId="10267" xr:uid="{00000000-0005-0000-0000-000019280000}"/>
    <cellStyle name="백분율 87" xfId="10268" xr:uid="{00000000-0005-0000-0000-00001A280000}"/>
    <cellStyle name="백분율 88" xfId="10269" xr:uid="{00000000-0005-0000-0000-00001B280000}"/>
    <cellStyle name="백분율 89" xfId="10270" xr:uid="{00000000-0005-0000-0000-00001C280000}"/>
    <cellStyle name="백분율 9" xfId="10271" xr:uid="{00000000-0005-0000-0000-00001D280000}"/>
    <cellStyle name="백분율 9 2" xfId="10272" xr:uid="{00000000-0005-0000-0000-00001E280000}"/>
    <cellStyle name="백분율 9 2 2" xfId="10273" xr:uid="{00000000-0005-0000-0000-00001F280000}"/>
    <cellStyle name="백분율 9 3" xfId="10274" xr:uid="{00000000-0005-0000-0000-000020280000}"/>
    <cellStyle name="백분율 9 4" xfId="10275" xr:uid="{00000000-0005-0000-0000-000021280000}"/>
    <cellStyle name="백분율 90" xfId="10276" xr:uid="{00000000-0005-0000-0000-000022280000}"/>
    <cellStyle name="백분율 91" xfId="10277" xr:uid="{00000000-0005-0000-0000-000023280000}"/>
    <cellStyle name="백분율［△1］" xfId="10278" xr:uid="{00000000-0005-0000-0000-000024280000}"/>
    <cellStyle name="백분율［△1］ 10" xfId="10279" xr:uid="{00000000-0005-0000-0000-000025280000}"/>
    <cellStyle name="백분율［△1］ 11" xfId="10280" xr:uid="{00000000-0005-0000-0000-000026280000}"/>
    <cellStyle name="백분율［△1］ 2" xfId="10281" xr:uid="{00000000-0005-0000-0000-000027280000}"/>
    <cellStyle name="백분율［△1］ 3" xfId="10282" xr:uid="{00000000-0005-0000-0000-000028280000}"/>
    <cellStyle name="백분율［△1］ 4" xfId="10283" xr:uid="{00000000-0005-0000-0000-000029280000}"/>
    <cellStyle name="백분율［△1］ 5" xfId="10284" xr:uid="{00000000-0005-0000-0000-00002A280000}"/>
    <cellStyle name="백분율［△1］ 6" xfId="10285" xr:uid="{00000000-0005-0000-0000-00002B280000}"/>
    <cellStyle name="백분율［△1］ 7" xfId="10286" xr:uid="{00000000-0005-0000-0000-00002C280000}"/>
    <cellStyle name="백분율［△1］ 8" xfId="10287" xr:uid="{00000000-0005-0000-0000-00002D280000}"/>
    <cellStyle name="백분율［△1］ 9" xfId="10288" xr:uid="{00000000-0005-0000-0000-00002E280000}"/>
    <cellStyle name="백분율［△2］" xfId="10289" xr:uid="{00000000-0005-0000-0000-00002F280000}"/>
    <cellStyle name="백분율［△2］ 10" xfId="10290" xr:uid="{00000000-0005-0000-0000-000030280000}"/>
    <cellStyle name="백분율［△2］ 11" xfId="10291" xr:uid="{00000000-0005-0000-0000-000031280000}"/>
    <cellStyle name="백분율［△2］ 2" xfId="10292" xr:uid="{00000000-0005-0000-0000-000032280000}"/>
    <cellStyle name="백분율［△2］ 3" xfId="10293" xr:uid="{00000000-0005-0000-0000-000033280000}"/>
    <cellStyle name="백분율［△2］ 4" xfId="10294" xr:uid="{00000000-0005-0000-0000-000034280000}"/>
    <cellStyle name="백분율［△2］ 5" xfId="10295" xr:uid="{00000000-0005-0000-0000-000035280000}"/>
    <cellStyle name="백분율［△2］ 6" xfId="10296" xr:uid="{00000000-0005-0000-0000-000036280000}"/>
    <cellStyle name="백분율［△2］ 7" xfId="10297" xr:uid="{00000000-0005-0000-0000-000037280000}"/>
    <cellStyle name="백분율［△2］ 8" xfId="10298" xr:uid="{00000000-0005-0000-0000-000038280000}"/>
    <cellStyle name="백분율［△2］ 9" xfId="10299" xr:uid="{00000000-0005-0000-0000-000039280000}"/>
    <cellStyle name="범위" xfId="10300" xr:uid="{00000000-0005-0000-0000-00003A280000}"/>
    <cellStyle name="벭?_Q1 PRODUCT ACTUAL_4월 (2)" xfId="10301" xr:uid="{00000000-0005-0000-0000-00003B280000}"/>
    <cellStyle name="보통 2" xfId="10302" xr:uid="{00000000-0005-0000-0000-00003C280000}"/>
    <cellStyle name="분기" xfId="10303" xr:uid="{00000000-0005-0000-0000-00003D280000}"/>
    <cellStyle name="분기 2" xfId="10304" xr:uid="{00000000-0005-0000-0000-00003E280000}"/>
    <cellStyle name="분기 2 2" xfId="10305" xr:uid="{00000000-0005-0000-0000-00003F280000}"/>
    <cellStyle name="분기 2 3" xfId="10306" xr:uid="{00000000-0005-0000-0000-000040280000}"/>
    <cellStyle name="분기 2 4" xfId="10307" xr:uid="{00000000-0005-0000-0000-000041280000}"/>
    <cellStyle name="분기 3" xfId="10308" xr:uid="{00000000-0005-0000-0000-000042280000}"/>
    <cellStyle name="분기 3 2" xfId="10309" xr:uid="{00000000-0005-0000-0000-000043280000}"/>
    <cellStyle name="분기 3 3" xfId="10310" xr:uid="{00000000-0005-0000-0000-000044280000}"/>
    <cellStyle name="분기 3 4" xfId="10311" xr:uid="{00000000-0005-0000-0000-000045280000}"/>
    <cellStyle name="분기 4" xfId="10312" xr:uid="{00000000-0005-0000-0000-000046280000}"/>
    <cellStyle name="분기 4 2" xfId="10313" xr:uid="{00000000-0005-0000-0000-000047280000}"/>
    <cellStyle name="분기 4 3" xfId="10314" xr:uid="{00000000-0005-0000-0000-000048280000}"/>
    <cellStyle name="분기 4 4" xfId="10315" xr:uid="{00000000-0005-0000-0000-000049280000}"/>
    <cellStyle name="분기 5" xfId="10316" xr:uid="{00000000-0005-0000-0000-00004A280000}"/>
    <cellStyle name="분기 5 2" xfId="10317" xr:uid="{00000000-0005-0000-0000-00004B280000}"/>
    <cellStyle name="분기 5 3" xfId="10318" xr:uid="{00000000-0005-0000-0000-00004C280000}"/>
    <cellStyle name="분기 5 4" xfId="10319" xr:uid="{00000000-0005-0000-0000-00004D280000}"/>
    <cellStyle name="분기 6" xfId="10320" xr:uid="{00000000-0005-0000-0000-00004E280000}"/>
    <cellStyle name="분기 6 2" xfId="10321" xr:uid="{00000000-0005-0000-0000-00004F280000}"/>
    <cellStyle name="분기 6 3" xfId="10322" xr:uid="{00000000-0005-0000-0000-000050280000}"/>
    <cellStyle name="분기 6 4" xfId="10323" xr:uid="{00000000-0005-0000-0000-000051280000}"/>
    <cellStyle name="분기 7" xfId="10324" xr:uid="{00000000-0005-0000-0000-000052280000}"/>
    <cellStyle name="분기 7 2" xfId="10325" xr:uid="{00000000-0005-0000-0000-000053280000}"/>
    <cellStyle name="분기 7 3" xfId="10326" xr:uid="{00000000-0005-0000-0000-000054280000}"/>
    <cellStyle name="분기 7 4" xfId="10327" xr:uid="{00000000-0005-0000-0000-000055280000}"/>
    <cellStyle name="분기 8" xfId="10328" xr:uid="{00000000-0005-0000-0000-000056280000}"/>
    <cellStyle name="분기 8 2" xfId="10329" xr:uid="{00000000-0005-0000-0000-000057280000}"/>
    <cellStyle name="분기 8 3" xfId="10330" xr:uid="{00000000-0005-0000-0000-000058280000}"/>
    <cellStyle name="분기 8 4" xfId="10331" xr:uid="{00000000-0005-0000-0000-000059280000}"/>
    <cellStyle name="분수" xfId="10332" xr:uid="{00000000-0005-0000-0000-00005A280000}"/>
    <cellStyle name="분수 2" xfId="10333" xr:uid="{00000000-0005-0000-0000-00005B280000}"/>
    <cellStyle name="분수 2 2" xfId="10334" xr:uid="{00000000-0005-0000-0000-00005C280000}"/>
    <cellStyle name="분수 2 3" xfId="10335" xr:uid="{00000000-0005-0000-0000-00005D280000}"/>
    <cellStyle name="분수 2 4" xfId="10336" xr:uid="{00000000-0005-0000-0000-00005E280000}"/>
    <cellStyle name="분수 3" xfId="10337" xr:uid="{00000000-0005-0000-0000-00005F280000}"/>
    <cellStyle name="분수 3 2" xfId="10338" xr:uid="{00000000-0005-0000-0000-000060280000}"/>
    <cellStyle name="분수 3 3" xfId="10339" xr:uid="{00000000-0005-0000-0000-000061280000}"/>
    <cellStyle name="분수 3 4" xfId="10340" xr:uid="{00000000-0005-0000-0000-000062280000}"/>
    <cellStyle name="분수 4" xfId="10341" xr:uid="{00000000-0005-0000-0000-000063280000}"/>
    <cellStyle name="분수 4 2" xfId="10342" xr:uid="{00000000-0005-0000-0000-000064280000}"/>
    <cellStyle name="분수 4 3" xfId="10343" xr:uid="{00000000-0005-0000-0000-000065280000}"/>
    <cellStyle name="분수 4 4" xfId="10344" xr:uid="{00000000-0005-0000-0000-000066280000}"/>
    <cellStyle name="분수 5" xfId="10345" xr:uid="{00000000-0005-0000-0000-000067280000}"/>
    <cellStyle name="분수 5 2" xfId="10346" xr:uid="{00000000-0005-0000-0000-000068280000}"/>
    <cellStyle name="분수 5 3" xfId="10347" xr:uid="{00000000-0005-0000-0000-000069280000}"/>
    <cellStyle name="분수 5 4" xfId="10348" xr:uid="{00000000-0005-0000-0000-00006A280000}"/>
    <cellStyle name="분수 6" xfId="10349" xr:uid="{00000000-0005-0000-0000-00006B280000}"/>
    <cellStyle name="분수 6 2" xfId="10350" xr:uid="{00000000-0005-0000-0000-00006C280000}"/>
    <cellStyle name="분수 6 3" xfId="10351" xr:uid="{00000000-0005-0000-0000-00006D280000}"/>
    <cellStyle name="분수 6 4" xfId="10352" xr:uid="{00000000-0005-0000-0000-00006E280000}"/>
    <cellStyle name="분수 7" xfId="10353" xr:uid="{00000000-0005-0000-0000-00006F280000}"/>
    <cellStyle name="분수 7 2" xfId="10354" xr:uid="{00000000-0005-0000-0000-000070280000}"/>
    <cellStyle name="분수 7 3" xfId="10355" xr:uid="{00000000-0005-0000-0000-000071280000}"/>
    <cellStyle name="분수 7 4" xfId="10356" xr:uid="{00000000-0005-0000-0000-000072280000}"/>
    <cellStyle name="분수 8" xfId="10357" xr:uid="{00000000-0005-0000-0000-000073280000}"/>
    <cellStyle name="분수 8 2" xfId="10358" xr:uid="{00000000-0005-0000-0000-000074280000}"/>
    <cellStyle name="분수 8 3" xfId="10359" xr:uid="{00000000-0005-0000-0000-000075280000}"/>
    <cellStyle name="분수 8 4" xfId="10360" xr:uid="{00000000-0005-0000-0000-000076280000}"/>
    <cellStyle name="뷭?" xfId="10361" xr:uid="{00000000-0005-0000-0000-000077280000}"/>
    <cellStyle name="뷭? 2" xfId="10362" xr:uid="{00000000-0005-0000-0000-000078280000}"/>
    <cellStyle name="뷭?_7200000" xfId="10363" xr:uid="{00000000-0005-0000-0000-000079280000}"/>
    <cellStyle name="빨간색" xfId="10364" xr:uid="{00000000-0005-0000-0000-00007A280000}"/>
    <cellStyle name="빨간색 2" xfId="10365" xr:uid="{00000000-0005-0000-0000-00007B280000}"/>
    <cellStyle name="빨간색 2 2" xfId="10366" xr:uid="{00000000-0005-0000-0000-00007C280000}"/>
    <cellStyle name="빨간색 2 3" xfId="10367" xr:uid="{00000000-0005-0000-0000-00007D280000}"/>
    <cellStyle name="빨간색 2 4" xfId="10368" xr:uid="{00000000-0005-0000-0000-00007E280000}"/>
    <cellStyle name="빨간색 3" xfId="10369" xr:uid="{00000000-0005-0000-0000-00007F280000}"/>
    <cellStyle name="빨간색 3 2" xfId="10370" xr:uid="{00000000-0005-0000-0000-000080280000}"/>
    <cellStyle name="빨간색 3 3" xfId="10371" xr:uid="{00000000-0005-0000-0000-000081280000}"/>
    <cellStyle name="빨강" xfId="10372" xr:uid="{00000000-0005-0000-0000-000082280000}"/>
    <cellStyle name="산출근거" xfId="10373" xr:uid="{00000000-0005-0000-0000-000083280000}"/>
    <cellStyle name="산출식" xfId="10374" xr:uid="{00000000-0005-0000-0000-000084280000}"/>
    <cellStyle name="산출식 2" xfId="10375" xr:uid="{00000000-0005-0000-0000-000085280000}"/>
    <cellStyle name="산출식 2 2" xfId="10376" xr:uid="{00000000-0005-0000-0000-000086280000}"/>
    <cellStyle name="산출식 3" xfId="10377" xr:uid="{00000000-0005-0000-0000-000087280000}"/>
    <cellStyle name="산출식 3 2" xfId="10378" xr:uid="{00000000-0005-0000-0000-000088280000}"/>
    <cellStyle name="산출식 4" xfId="10379" xr:uid="{00000000-0005-0000-0000-000089280000}"/>
    <cellStyle name="산출식 4 2" xfId="10380" xr:uid="{00000000-0005-0000-0000-00008A280000}"/>
    <cellStyle name="常规_OPTION_9910" xfId="10381" xr:uid="{00000000-0005-0000-0000-00008B280000}"/>
    <cellStyle name="선택영역" xfId="10382" xr:uid="{00000000-0005-0000-0000-00008C280000}"/>
    <cellStyle name="선택영역 2" xfId="10383" xr:uid="{00000000-0005-0000-0000-00008D280000}"/>
    <cellStyle name="선택영역 가운데" xfId="10384" xr:uid="{00000000-0005-0000-0000-00008E280000}"/>
    <cellStyle name="선택영역 가운데 2" xfId="10385" xr:uid="{00000000-0005-0000-0000-00008F280000}"/>
    <cellStyle name="선택영역_토공수량" xfId="10386" xr:uid="{00000000-0005-0000-0000-000090280000}"/>
    <cellStyle name="선택영역의 가운데" xfId="10387" xr:uid="{00000000-0005-0000-0000-000091280000}"/>
    <cellStyle name="선택영역의 가운데 2" xfId="10388" xr:uid="{00000000-0005-0000-0000-000092280000}"/>
    <cellStyle name="선택영역의 가운데로" xfId="10389" xr:uid="{00000000-0005-0000-0000-000093280000}"/>
    <cellStyle name="선택영역의 가운데로 10" xfId="10390" xr:uid="{00000000-0005-0000-0000-000094280000}"/>
    <cellStyle name="선택영역의 가운데로 11" xfId="10391" xr:uid="{00000000-0005-0000-0000-000095280000}"/>
    <cellStyle name="선택영역의 가운데로 12" xfId="10392" xr:uid="{00000000-0005-0000-0000-000096280000}"/>
    <cellStyle name="선택영역의 가운데로 13" xfId="10393" xr:uid="{00000000-0005-0000-0000-000097280000}"/>
    <cellStyle name="선택영역의 가운데로 2" xfId="10394" xr:uid="{00000000-0005-0000-0000-000098280000}"/>
    <cellStyle name="선택영역의 가운데로 3" xfId="10395" xr:uid="{00000000-0005-0000-0000-000099280000}"/>
    <cellStyle name="선택영역의 가운데로 4" xfId="10396" xr:uid="{00000000-0005-0000-0000-00009A280000}"/>
    <cellStyle name="선택영역의 가운데로 5" xfId="10397" xr:uid="{00000000-0005-0000-0000-00009B280000}"/>
    <cellStyle name="선택영역의 가운데로 6" xfId="10398" xr:uid="{00000000-0005-0000-0000-00009C280000}"/>
    <cellStyle name="선택영역의 가운데로 7" xfId="10399" xr:uid="{00000000-0005-0000-0000-00009D280000}"/>
    <cellStyle name="선택영역의 가운데로 8" xfId="10400" xr:uid="{00000000-0005-0000-0000-00009E280000}"/>
    <cellStyle name="선택영역의 가운데로 9" xfId="10401" xr:uid="{00000000-0005-0000-0000-00009F280000}"/>
    <cellStyle name="선택영영" xfId="10402" xr:uid="{00000000-0005-0000-0000-0000A0280000}"/>
    <cellStyle name="설계변경" xfId="10403" xr:uid="{00000000-0005-0000-0000-0000A1280000}"/>
    <cellStyle name="설계서" xfId="10404" xr:uid="{00000000-0005-0000-0000-0000A2280000}"/>
    <cellStyle name="설계서 2" xfId="10405" xr:uid="{00000000-0005-0000-0000-0000A3280000}"/>
    <cellStyle name="설계서 3" xfId="10406" xr:uid="{00000000-0005-0000-0000-0000A4280000}"/>
    <cellStyle name="설명 텍스트 2" xfId="10407" xr:uid="{00000000-0005-0000-0000-0000A5280000}"/>
    <cellStyle name="셀 확인 2" xfId="10408" xr:uid="{00000000-0005-0000-0000-0000A6280000}"/>
    <cellStyle name="소공종" xfId="10409" xr:uid="{00000000-0005-0000-0000-0000A7280000}"/>
    <cellStyle name="소수" xfId="10410" xr:uid="{00000000-0005-0000-0000-0000A8280000}"/>
    <cellStyle name="소수3" xfId="10411" xr:uid="{00000000-0005-0000-0000-0000A9280000}"/>
    <cellStyle name="소수4" xfId="10412" xr:uid="{00000000-0005-0000-0000-0000AA280000}"/>
    <cellStyle name="소수점" xfId="10413" xr:uid="{00000000-0005-0000-0000-0000AB280000}"/>
    <cellStyle name="소수점 2" xfId="10414" xr:uid="{00000000-0005-0000-0000-0000AC280000}"/>
    <cellStyle name="소수점 2 2" xfId="10415" xr:uid="{00000000-0005-0000-0000-0000AD280000}"/>
    <cellStyle name="소수점 2 2 2" xfId="10416" xr:uid="{00000000-0005-0000-0000-0000AE280000}"/>
    <cellStyle name="소수점 2 3" xfId="10417" xr:uid="{00000000-0005-0000-0000-0000AF280000}"/>
    <cellStyle name="소수점 3" xfId="10418" xr:uid="{00000000-0005-0000-0000-0000B0280000}"/>
    <cellStyle name="소수점 3 2" xfId="10419" xr:uid="{00000000-0005-0000-0000-0000B1280000}"/>
    <cellStyle name="소수점 3 2 2" xfId="10420" xr:uid="{00000000-0005-0000-0000-0000B2280000}"/>
    <cellStyle name="소수점 3 3" xfId="10421" xr:uid="{00000000-0005-0000-0000-0000B3280000}"/>
    <cellStyle name="소수점 4" xfId="10422" xr:uid="{00000000-0005-0000-0000-0000B4280000}"/>
    <cellStyle name="소수점 4 2" xfId="10423" xr:uid="{00000000-0005-0000-0000-0000B5280000}"/>
    <cellStyle name="소수점 4 2 2" xfId="10424" xr:uid="{00000000-0005-0000-0000-0000B6280000}"/>
    <cellStyle name="소수점 4 3" xfId="10425" xr:uid="{00000000-0005-0000-0000-0000B7280000}"/>
    <cellStyle name="소수점 5" xfId="10426" xr:uid="{00000000-0005-0000-0000-0000B8280000}"/>
    <cellStyle name="소수점서식" xfId="10427" xr:uid="{00000000-0005-0000-0000-0000B9280000}"/>
    <cellStyle name="소수점서식 2" xfId="10428" xr:uid="{00000000-0005-0000-0000-0000BA280000}"/>
    <cellStyle name="소수점서식 2 2" xfId="10429" xr:uid="{00000000-0005-0000-0000-0000BB280000}"/>
    <cellStyle name="소수점서식 3" xfId="10430" xr:uid="{00000000-0005-0000-0000-0000BC280000}"/>
    <cellStyle name="소수점서식 3 2" xfId="10431" xr:uid="{00000000-0005-0000-0000-0000BD280000}"/>
    <cellStyle name="소수점서식 4" xfId="10432" xr:uid="{00000000-0005-0000-0000-0000BE280000}"/>
    <cellStyle name="소숫점0" xfId="10433" xr:uid="{00000000-0005-0000-0000-0000BF280000}"/>
    <cellStyle name="소숫점3" xfId="10434" xr:uid="{00000000-0005-0000-0000-0000C0280000}"/>
    <cellStyle name="손광봉" xfId="10435" xr:uid="{00000000-0005-0000-0000-0000C1280000}"/>
    <cellStyle name="수당" xfId="10436" xr:uid="{00000000-0005-0000-0000-0000C2280000}"/>
    <cellStyle name="수당2" xfId="10437" xr:uid="{00000000-0005-0000-0000-0000C3280000}"/>
    <cellStyle name="수량" xfId="10438" xr:uid="{00000000-0005-0000-0000-0000C4280000}"/>
    <cellStyle name="수량 2" xfId="10439" xr:uid="{00000000-0005-0000-0000-0000C5280000}"/>
    <cellStyle name="수량 3" xfId="10440" xr:uid="{00000000-0005-0000-0000-0000C6280000}"/>
    <cellStyle name="수량1" xfId="10441" xr:uid="{00000000-0005-0000-0000-0000C7280000}"/>
    <cellStyle name="수목명" xfId="10442" xr:uid="{00000000-0005-0000-0000-0000C8280000}"/>
    <cellStyle name="수목명 2" xfId="10443" xr:uid="{00000000-0005-0000-0000-0000C9280000}"/>
    <cellStyle name="수목명 2 2" xfId="10444" xr:uid="{00000000-0005-0000-0000-0000CA280000}"/>
    <cellStyle name="수목명 2 3" xfId="10445" xr:uid="{00000000-0005-0000-0000-0000CB280000}"/>
    <cellStyle name="수목명 2 4" xfId="10446" xr:uid="{00000000-0005-0000-0000-0000CC280000}"/>
    <cellStyle name="수목명 3" xfId="10447" xr:uid="{00000000-0005-0000-0000-0000CD280000}"/>
    <cellStyle name="수목명 3 2" xfId="10448" xr:uid="{00000000-0005-0000-0000-0000CE280000}"/>
    <cellStyle name="수목명 3 3" xfId="10449" xr:uid="{00000000-0005-0000-0000-0000CF280000}"/>
    <cellStyle name="숨김" xfId="10450" xr:uid="{00000000-0005-0000-0000-0000D0280000}"/>
    <cellStyle name="숫자" xfId="10451" xr:uid="{00000000-0005-0000-0000-0000D1280000}"/>
    <cellStyle name="숫자 2" xfId="10452" xr:uid="{00000000-0005-0000-0000-0000D2280000}"/>
    <cellStyle name="숫자(R)" xfId="10453" xr:uid="{00000000-0005-0000-0000-0000D3280000}"/>
    <cellStyle name="숫자(R) 2" xfId="10454" xr:uid="{00000000-0005-0000-0000-0000D4280000}"/>
    <cellStyle name="숫자(R) 3" xfId="10455" xr:uid="{00000000-0005-0000-0000-0000D5280000}"/>
    <cellStyle name="숫자_14.강교및가벤트" xfId="10456" xr:uid="{00000000-0005-0000-0000-0000D6280000}"/>
    <cellStyle name="숫자1" xfId="10457" xr:uid="{00000000-0005-0000-0000-0000D7280000}"/>
    <cellStyle name="숫자1 2" xfId="10458" xr:uid="{00000000-0005-0000-0000-0000D8280000}"/>
    <cellStyle name="숫자3" xfId="10459" xr:uid="{00000000-0005-0000-0000-0000D9280000}"/>
    <cellStyle name="숫자3R" xfId="10460" xr:uid="{00000000-0005-0000-0000-0000DA280000}"/>
    <cellStyle name="숫자3자리" xfId="10461" xr:uid="{00000000-0005-0000-0000-0000DB280000}"/>
    <cellStyle name="쉼표 [0] 10" xfId="10462" xr:uid="{00000000-0005-0000-0000-0000DC280000}"/>
    <cellStyle name="쉼표 [0] 10 2" xfId="10463" xr:uid="{00000000-0005-0000-0000-0000DD280000}"/>
    <cellStyle name="쉼표 [0] 10 2 2" xfId="10464" xr:uid="{00000000-0005-0000-0000-0000DE280000}"/>
    <cellStyle name="쉼표 [0] 10 3" xfId="10465" xr:uid="{00000000-0005-0000-0000-0000DF280000}"/>
    <cellStyle name="쉼표 [0] 10 4" xfId="10466" xr:uid="{00000000-0005-0000-0000-0000E0280000}"/>
    <cellStyle name="쉼표 [0] 10 5" xfId="10467" xr:uid="{00000000-0005-0000-0000-0000E1280000}"/>
    <cellStyle name="쉼표 [0] 10 6" xfId="10468" xr:uid="{00000000-0005-0000-0000-0000E2280000}"/>
    <cellStyle name="쉼표 [0] 10 7" xfId="10469" xr:uid="{00000000-0005-0000-0000-0000E3280000}"/>
    <cellStyle name="쉼표 [0] 10 8" xfId="10470" xr:uid="{00000000-0005-0000-0000-0000E4280000}"/>
    <cellStyle name="쉼표 [0] 11" xfId="10471" xr:uid="{00000000-0005-0000-0000-0000E5280000}"/>
    <cellStyle name="쉼표 [0] 12" xfId="10472" xr:uid="{00000000-0005-0000-0000-0000E6280000}"/>
    <cellStyle name="쉼표 [0] 12 10" xfId="10473" xr:uid="{00000000-0005-0000-0000-0000E7280000}"/>
    <cellStyle name="쉼표 [0] 12 10 2" xfId="10474" xr:uid="{00000000-0005-0000-0000-0000E8280000}"/>
    <cellStyle name="쉼표 [0] 12 10 2 2" xfId="10475" xr:uid="{00000000-0005-0000-0000-0000E9280000}"/>
    <cellStyle name="쉼표 [0] 12 10 3" xfId="10476" xr:uid="{00000000-0005-0000-0000-0000EA280000}"/>
    <cellStyle name="쉼표 [0] 12 10 4" xfId="10477" xr:uid="{00000000-0005-0000-0000-0000EB280000}"/>
    <cellStyle name="쉼표 [0] 12 2" xfId="10478" xr:uid="{00000000-0005-0000-0000-0000EC280000}"/>
    <cellStyle name="쉼표 [0] 12 2 10" xfId="10479" xr:uid="{00000000-0005-0000-0000-0000ED280000}"/>
    <cellStyle name="쉼표 [0] 12 2 10 2" xfId="10480" xr:uid="{00000000-0005-0000-0000-0000EE280000}"/>
    <cellStyle name="쉼표 [0] 12 2 11" xfId="10481" xr:uid="{00000000-0005-0000-0000-0000EF280000}"/>
    <cellStyle name="쉼표 [0] 12 2 12" xfId="10482" xr:uid="{00000000-0005-0000-0000-0000F0280000}"/>
    <cellStyle name="쉼표 [0] 12 2 2" xfId="10483" xr:uid="{00000000-0005-0000-0000-0000F1280000}"/>
    <cellStyle name="쉼표 [0] 12 2 2 2" xfId="10484" xr:uid="{00000000-0005-0000-0000-0000F2280000}"/>
    <cellStyle name="쉼표 [0] 12 2 2 2 2" xfId="10485" xr:uid="{00000000-0005-0000-0000-0000F3280000}"/>
    <cellStyle name="쉼표 [0] 12 2 2 2 2 2" xfId="10486" xr:uid="{00000000-0005-0000-0000-0000F4280000}"/>
    <cellStyle name="쉼표 [0] 12 2 2 2 2 2 2" xfId="10487" xr:uid="{00000000-0005-0000-0000-0000F5280000}"/>
    <cellStyle name="쉼표 [0] 12 2 2 2 2 3" xfId="10488" xr:uid="{00000000-0005-0000-0000-0000F6280000}"/>
    <cellStyle name="쉼표 [0] 12 2 2 2 2 4" xfId="10489" xr:uid="{00000000-0005-0000-0000-0000F7280000}"/>
    <cellStyle name="쉼표 [0] 12 2 2 2 3" xfId="10490" xr:uid="{00000000-0005-0000-0000-0000F8280000}"/>
    <cellStyle name="쉼표 [0] 12 2 2 2 3 2" xfId="10491" xr:uid="{00000000-0005-0000-0000-0000F9280000}"/>
    <cellStyle name="쉼표 [0] 12 2 2 2 4" xfId="10492" xr:uid="{00000000-0005-0000-0000-0000FA280000}"/>
    <cellStyle name="쉼표 [0] 12 2 2 2 5" xfId="10493" xr:uid="{00000000-0005-0000-0000-0000FB280000}"/>
    <cellStyle name="쉼표 [0] 12 2 2 3" xfId="10494" xr:uid="{00000000-0005-0000-0000-0000FC280000}"/>
    <cellStyle name="쉼표 [0] 12 2 2 3 2" xfId="10495" xr:uid="{00000000-0005-0000-0000-0000FD280000}"/>
    <cellStyle name="쉼표 [0] 12 2 2 3 2 2" xfId="10496" xr:uid="{00000000-0005-0000-0000-0000FE280000}"/>
    <cellStyle name="쉼표 [0] 12 2 2 3 2 2 2" xfId="10497" xr:uid="{00000000-0005-0000-0000-0000FF280000}"/>
    <cellStyle name="쉼표 [0] 12 2 2 3 2 3" xfId="10498" xr:uid="{00000000-0005-0000-0000-000000290000}"/>
    <cellStyle name="쉼표 [0] 12 2 2 3 2 4" xfId="10499" xr:uid="{00000000-0005-0000-0000-000001290000}"/>
    <cellStyle name="쉼표 [0] 12 2 2 3 3" xfId="10500" xr:uid="{00000000-0005-0000-0000-000002290000}"/>
    <cellStyle name="쉼표 [0] 12 2 2 3 3 2" xfId="10501" xr:uid="{00000000-0005-0000-0000-000003290000}"/>
    <cellStyle name="쉼표 [0] 12 2 2 3 4" xfId="10502" xr:uid="{00000000-0005-0000-0000-000004290000}"/>
    <cellStyle name="쉼표 [0] 12 2 2 3 5" xfId="10503" xr:uid="{00000000-0005-0000-0000-000005290000}"/>
    <cellStyle name="쉼표 [0] 12 2 2 4" xfId="10504" xr:uid="{00000000-0005-0000-0000-000006290000}"/>
    <cellStyle name="쉼표 [0] 12 2 2 4 2" xfId="10505" xr:uid="{00000000-0005-0000-0000-000007290000}"/>
    <cellStyle name="쉼표 [0] 12 2 2 4 2 2" xfId="10506" xr:uid="{00000000-0005-0000-0000-000008290000}"/>
    <cellStyle name="쉼표 [0] 12 2 2 4 3" xfId="10507" xr:uid="{00000000-0005-0000-0000-000009290000}"/>
    <cellStyle name="쉼표 [0] 12 2 2 4 4" xfId="10508" xr:uid="{00000000-0005-0000-0000-00000A290000}"/>
    <cellStyle name="쉼표 [0] 12 2 2 5" xfId="10509" xr:uid="{00000000-0005-0000-0000-00000B290000}"/>
    <cellStyle name="쉼표 [0] 12 2 2 5 2" xfId="10510" xr:uid="{00000000-0005-0000-0000-00000C290000}"/>
    <cellStyle name="쉼표 [0] 12 2 2 6" xfId="10511" xr:uid="{00000000-0005-0000-0000-00000D290000}"/>
    <cellStyle name="쉼표 [0] 12 2 2 7" xfId="10512" xr:uid="{00000000-0005-0000-0000-00000E290000}"/>
    <cellStyle name="쉼표 [0] 12 2 3" xfId="10513" xr:uid="{00000000-0005-0000-0000-00000F290000}"/>
    <cellStyle name="쉼표 [0] 12 2 3 2" xfId="10514" xr:uid="{00000000-0005-0000-0000-000010290000}"/>
    <cellStyle name="쉼표 [0] 12 2 3 2 2" xfId="10515" xr:uid="{00000000-0005-0000-0000-000011290000}"/>
    <cellStyle name="쉼표 [0] 12 2 3 2 2 2" xfId="10516" xr:uid="{00000000-0005-0000-0000-000012290000}"/>
    <cellStyle name="쉼표 [0] 12 2 3 2 3" xfId="10517" xr:uid="{00000000-0005-0000-0000-000013290000}"/>
    <cellStyle name="쉼표 [0] 12 2 3 2 4" xfId="10518" xr:uid="{00000000-0005-0000-0000-000014290000}"/>
    <cellStyle name="쉼표 [0] 12 2 3 3" xfId="10519" xr:uid="{00000000-0005-0000-0000-000015290000}"/>
    <cellStyle name="쉼표 [0] 12 2 3 3 2" xfId="10520" xr:uid="{00000000-0005-0000-0000-000016290000}"/>
    <cellStyle name="쉼표 [0] 12 2 3 4" xfId="10521" xr:uid="{00000000-0005-0000-0000-000017290000}"/>
    <cellStyle name="쉼표 [0] 12 2 3 5" xfId="10522" xr:uid="{00000000-0005-0000-0000-000018290000}"/>
    <cellStyle name="쉼표 [0] 12 2 4" xfId="10523" xr:uid="{00000000-0005-0000-0000-000019290000}"/>
    <cellStyle name="쉼표 [0] 12 2 4 2" xfId="10524" xr:uid="{00000000-0005-0000-0000-00001A290000}"/>
    <cellStyle name="쉼표 [0] 12 2 4 2 2" xfId="10525" xr:uid="{00000000-0005-0000-0000-00001B290000}"/>
    <cellStyle name="쉼표 [0] 12 2 4 2 2 2" xfId="10526" xr:uid="{00000000-0005-0000-0000-00001C290000}"/>
    <cellStyle name="쉼표 [0] 12 2 4 2 3" xfId="10527" xr:uid="{00000000-0005-0000-0000-00001D290000}"/>
    <cellStyle name="쉼표 [0] 12 2 4 2 4" xfId="10528" xr:uid="{00000000-0005-0000-0000-00001E290000}"/>
    <cellStyle name="쉼표 [0] 12 2 4 3" xfId="10529" xr:uid="{00000000-0005-0000-0000-00001F290000}"/>
    <cellStyle name="쉼표 [0] 12 2 4 3 2" xfId="10530" xr:uid="{00000000-0005-0000-0000-000020290000}"/>
    <cellStyle name="쉼표 [0] 12 2 4 4" xfId="10531" xr:uid="{00000000-0005-0000-0000-000021290000}"/>
    <cellStyle name="쉼표 [0] 12 2 4 5" xfId="10532" xr:uid="{00000000-0005-0000-0000-000022290000}"/>
    <cellStyle name="쉼표 [0] 12 2 5" xfId="10533" xr:uid="{00000000-0005-0000-0000-000023290000}"/>
    <cellStyle name="쉼표 [0] 12 2 5 2" xfId="10534" xr:uid="{00000000-0005-0000-0000-000024290000}"/>
    <cellStyle name="쉼표 [0] 12 2 5 2 2" xfId="10535" xr:uid="{00000000-0005-0000-0000-000025290000}"/>
    <cellStyle name="쉼표 [0] 12 2 5 2 2 2" xfId="10536" xr:uid="{00000000-0005-0000-0000-000026290000}"/>
    <cellStyle name="쉼표 [0] 12 2 5 2 3" xfId="10537" xr:uid="{00000000-0005-0000-0000-000027290000}"/>
    <cellStyle name="쉼표 [0] 12 2 5 2 4" xfId="10538" xr:uid="{00000000-0005-0000-0000-000028290000}"/>
    <cellStyle name="쉼표 [0] 12 2 5 3" xfId="10539" xr:uid="{00000000-0005-0000-0000-000029290000}"/>
    <cellStyle name="쉼표 [0] 12 2 5 3 2" xfId="10540" xr:uid="{00000000-0005-0000-0000-00002A290000}"/>
    <cellStyle name="쉼표 [0] 12 2 5 4" xfId="10541" xr:uid="{00000000-0005-0000-0000-00002B290000}"/>
    <cellStyle name="쉼표 [0] 12 2 5 5" xfId="10542" xr:uid="{00000000-0005-0000-0000-00002C290000}"/>
    <cellStyle name="쉼표 [0] 12 2 6" xfId="10543" xr:uid="{00000000-0005-0000-0000-00002D290000}"/>
    <cellStyle name="쉼표 [0] 12 2 6 2" xfId="10544" xr:uid="{00000000-0005-0000-0000-00002E290000}"/>
    <cellStyle name="쉼표 [0] 12 2 6 2 2" xfId="10545" xr:uid="{00000000-0005-0000-0000-00002F290000}"/>
    <cellStyle name="쉼표 [0] 12 2 6 2 2 2" xfId="10546" xr:uid="{00000000-0005-0000-0000-000030290000}"/>
    <cellStyle name="쉼표 [0] 12 2 6 2 3" xfId="10547" xr:uid="{00000000-0005-0000-0000-000031290000}"/>
    <cellStyle name="쉼표 [0] 12 2 6 2 4" xfId="10548" xr:uid="{00000000-0005-0000-0000-000032290000}"/>
    <cellStyle name="쉼표 [0] 12 2 6 3" xfId="10549" xr:uid="{00000000-0005-0000-0000-000033290000}"/>
    <cellStyle name="쉼표 [0] 12 2 6 3 2" xfId="10550" xr:uid="{00000000-0005-0000-0000-000034290000}"/>
    <cellStyle name="쉼표 [0] 12 2 6 4" xfId="10551" xr:uid="{00000000-0005-0000-0000-000035290000}"/>
    <cellStyle name="쉼표 [0] 12 2 6 5" xfId="10552" xr:uid="{00000000-0005-0000-0000-000036290000}"/>
    <cellStyle name="쉼표 [0] 12 2 7" xfId="10553" xr:uid="{00000000-0005-0000-0000-000037290000}"/>
    <cellStyle name="쉼표 [0] 12 2 7 2" xfId="10554" xr:uid="{00000000-0005-0000-0000-000038290000}"/>
    <cellStyle name="쉼표 [0] 12 2 7 2 2" xfId="10555" xr:uid="{00000000-0005-0000-0000-000039290000}"/>
    <cellStyle name="쉼표 [0] 12 2 7 2 2 2" xfId="10556" xr:uid="{00000000-0005-0000-0000-00003A290000}"/>
    <cellStyle name="쉼표 [0] 12 2 7 2 3" xfId="10557" xr:uid="{00000000-0005-0000-0000-00003B290000}"/>
    <cellStyle name="쉼표 [0] 12 2 7 2 4" xfId="10558" xr:uid="{00000000-0005-0000-0000-00003C290000}"/>
    <cellStyle name="쉼표 [0] 12 2 7 3" xfId="10559" xr:uid="{00000000-0005-0000-0000-00003D290000}"/>
    <cellStyle name="쉼표 [0] 12 2 7 3 2" xfId="10560" xr:uid="{00000000-0005-0000-0000-00003E290000}"/>
    <cellStyle name="쉼표 [0] 12 2 7 4" xfId="10561" xr:uid="{00000000-0005-0000-0000-00003F290000}"/>
    <cellStyle name="쉼표 [0] 12 2 7 5" xfId="10562" xr:uid="{00000000-0005-0000-0000-000040290000}"/>
    <cellStyle name="쉼표 [0] 12 2 8" xfId="10563" xr:uid="{00000000-0005-0000-0000-000041290000}"/>
    <cellStyle name="쉼표 [0] 12 2 8 2" xfId="10564" xr:uid="{00000000-0005-0000-0000-000042290000}"/>
    <cellStyle name="쉼표 [0] 12 2 8 2 2" xfId="10565" xr:uid="{00000000-0005-0000-0000-000043290000}"/>
    <cellStyle name="쉼표 [0] 12 2 8 2 2 2" xfId="10566" xr:uid="{00000000-0005-0000-0000-000044290000}"/>
    <cellStyle name="쉼표 [0] 12 2 8 2 3" xfId="10567" xr:uid="{00000000-0005-0000-0000-000045290000}"/>
    <cellStyle name="쉼표 [0] 12 2 8 2 4" xfId="10568" xr:uid="{00000000-0005-0000-0000-000046290000}"/>
    <cellStyle name="쉼표 [0] 12 2 8 3" xfId="10569" xr:uid="{00000000-0005-0000-0000-000047290000}"/>
    <cellStyle name="쉼표 [0] 12 2 8 3 2" xfId="10570" xr:uid="{00000000-0005-0000-0000-000048290000}"/>
    <cellStyle name="쉼표 [0] 12 2 8 4" xfId="10571" xr:uid="{00000000-0005-0000-0000-000049290000}"/>
    <cellStyle name="쉼표 [0] 12 2 8 5" xfId="10572" xr:uid="{00000000-0005-0000-0000-00004A290000}"/>
    <cellStyle name="쉼표 [0] 12 2 9" xfId="10573" xr:uid="{00000000-0005-0000-0000-00004B290000}"/>
    <cellStyle name="쉼표 [0] 12 2 9 2" xfId="10574" xr:uid="{00000000-0005-0000-0000-00004C290000}"/>
    <cellStyle name="쉼표 [0] 12 2 9 2 2" xfId="10575" xr:uid="{00000000-0005-0000-0000-00004D290000}"/>
    <cellStyle name="쉼표 [0] 12 2 9 3" xfId="10576" xr:uid="{00000000-0005-0000-0000-00004E290000}"/>
    <cellStyle name="쉼표 [0] 12 2 9 4" xfId="10577" xr:uid="{00000000-0005-0000-0000-00004F290000}"/>
    <cellStyle name="쉼표 [0] 12 3" xfId="10578" xr:uid="{00000000-0005-0000-0000-000050290000}"/>
    <cellStyle name="쉼표 [0] 12 3 2" xfId="10579" xr:uid="{00000000-0005-0000-0000-000051290000}"/>
    <cellStyle name="쉼표 [0] 12 3 2 2" xfId="10580" xr:uid="{00000000-0005-0000-0000-000052290000}"/>
    <cellStyle name="쉼표 [0] 12 3 2 2 2" xfId="10581" xr:uid="{00000000-0005-0000-0000-000053290000}"/>
    <cellStyle name="쉼표 [0] 12 3 2 2 2 2" xfId="10582" xr:uid="{00000000-0005-0000-0000-000054290000}"/>
    <cellStyle name="쉼표 [0] 12 3 2 2 3" xfId="10583" xr:uid="{00000000-0005-0000-0000-000055290000}"/>
    <cellStyle name="쉼표 [0] 12 3 2 2 4" xfId="10584" xr:uid="{00000000-0005-0000-0000-000056290000}"/>
    <cellStyle name="쉼표 [0] 12 3 2 3" xfId="10585" xr:uid="{00000000-0005-0000-0000-000057290000}"/>
    <cellStyle name="쉼표 [0] 12 3 2 3 2" xfId="10586" xr:uid="{00000000-0005-0000-0000-000058290000}"/>
    <cellStyle name="쉼표 [0] 12 3 2 4" xfId="10587" xr:uid="{00000000-0005-0000-0000-000059290000}"/>
    <cellStyle name="쉼표 [0] 12 3 2 5" xfId="10588" xr:uid="{00000000-0005-0000-0000-00005A290000}"/>
    <cellStyle name="쉼표 [0] 12 3 3" xfId="10589" xr:uid="{00000000-0005-0000-0000-00005B290000}"/>
    <cellStyle name="쉼표 [0] 12 3 3 2" xfId="10590" xr:uid="{00000000-0005-0000-0000-00005C290000}"/>
    <cellStyle name="쉼표 [0] 12 3 3 2 2" xfId="10591" xr:uid="{00000000-0005-0000-0000-00005D290000}"/>
    <cellStyle name="쉼표 [0] 12 3 3 2 2 2" xfId="10592" xr:uid="{00000000-0005-0000-0000-00005E290000}"/>
    <cellStyle name="쉼표 [0] 12 3 3 2 3" xfId="10593" xr:uid="{00000000-0005-0000-0000-00005F290000}"/>
    <cellStyle name="쉼표 [0] 12 3 3 2 4" xfId="10594" xr:uid="{00000000-0005-0000-0000-000060290000}"/>
    <cellStyle name="쉼표 [0] 12 3 3 3" xfId="10595" xr:uid="{00000000-0005-0000-0000-000061290000}"/>
    <cellStyle name="쉼표 [0] 12 3 3 3 2" xfId="10596" xr:uid="{00000000-0005-0000-0000-000062290000}"/>
    <cellStyle name="쉼표 [0] 12 3 3 4" xfId="10597" xr:uid="{00000000-0005-0000-0000-000063290000}"/>
    <cellStyle name="쉼표 [0] 12 3 3 5" xfId="10598" xr:uid="{00000000-0005-0000-0000-000064290000}"/>
    <cellStyle name="쉼표 [0] 12 3 4" xfId="10599" xr:uid="{00000000-0005-0000-0000-000065290000}"/>
    <cellStyle name="쉼표 [0] 12 3 4 2" xfId="10600" xr:uid="{00000000-0005-0000-0000-000066290000}"/>
    <cellStyle name="쉼표 [0] 12 3 4 2 2" xfId="10601" xr:uid="{00000000-0005-0000-0000-000067290000}"/>
    <cellStyle name="쉼표 [0] 12 3 4 3" xfId="10602" xr:uid="{00000000-0005-0000-0000-000068290000}"/>
    <cellStyle name="쉼표 [0] 12 3 4 4" xfId="10603" xr:uid="{00000000-0005-0000-0000-000069290000}"/>
    <cellStyle name="쉼표 [0] 12 3 5" xfId="10604" xr:uid="{00000000-0005-0000-0000-00006A290000}"/>
    <cellStyle name="쉼표 [0] 12 3 5 2" xfId="10605" xr:uid="{00000000-0005-0000-0000-00006B290000}"/>
    <cellStyle name="쉼표 [0] 12 3 6" xfId="10606" xr:uid="{00000000-0005-0000-0000-00006C290000}"/>
    <cellStyle name="쉼표 [0] 12 3 7" xfId="10607" xr:uid="{00000000-0005-0000-0000-00006D290000}"/>
    <cellStyle name="쉼표 [0] 12 4" xfId="10608" xr:uid="{00000000-0005-0000-0000-00006E290000}"/>
    <cellStyle name="쉼표 [0] 12 4 2" xfId="10609" xr:uid="{00000000-0005-0000-0000-00006F290000}"/>
    <cellStyle name="쉼표 [0] 12 4 2 2" xfId="10610" xr:uid="{00000000-0005-0000-0000-000070290000}"/>
    <cellStyle name="쉼표 [0] 12 4 2 2 2" xfId="10611" xr:uid="{00000000-0005-0000-0000-000071290000}"/>
    <cellStyle name="쉼표 [0] 12 4 2 3" xfId="10612" xr:uid="{00000000-0005-0000-0000-000072290000}"/>
    <cellStyle name="쉼표 [0] 12 4 2 4" xfId="10613" xr:uid="{00000000-0005-0000-0000-000073290000}"/>
    <cellStyle name="쉼표 [0] 12 4 3" xfId="10614" xr:uid="{00000000-0005-0000-0000-000074290000}"/>
    <cellStyle name="쉼표 [0] 12 4 3 2" xfId="10615" xr:uid="{00000000-0005-0000-0000-000075290000}"/>
    <cellStyle name="쉼표 [0] 12 4 4" xfId="10616" xr:uid="{00000000-0005-0000-0000-000076290000}"/>
    <cellStyle name="쉼표 [0] 12 4 5" xfId="10617" xr:uid="{00000000-0005-0000-0000-000077290000}"/>
    <cellStyle name="쉼표 [0] 12 5" xfId="10618" xr:uid="{00000000-0005-0000-0000-000078290000}"/>
    <cellStyle name="쉼표 [0] 12 5 2" xfId="10619" xr:uid="{00000000-0005-0000-0000-000079290000}"/>
    <cellStyle name="쉼표 [0] 12 5 2 2" xfId="10620" xr:uid="{00000000-0005-0000-0000-00007A290000}"/>
    <cellStyle name="쉼표 [0] 12 5 2 2 2" xfId="10621" xr:uid="{00000000-0005-0000-0000-00007B290000}"/>
    <cellStyle name="쉼표 [0] 12 5 2 3" xfId="10622" xr:uid="{00000000-0005-0000-0000-00007C290000}"/>
    <cellStyle name="쉼표 [0] 12 5 2 4" xfId="10623" xr:uid="{00000000-0005-0000-0000-00007D290000}"/>
    <cellStyle name="쉼표 [0] 12 5 3" xfId="10624" xr:uid="{00000000-0005-0000-0000-00007E290000}"/>
    <cellStyle name="쉼표 [0] 12 5 3 2" xfId="10625" xr:uid="{00000000-0005-0000-0000-00007F290000}"/>
    <cellStyle name="쉼표 [0] 12 5 4" xfId="10626" xr:uid="{00000000-0005-0000-0000-000080290000}"/>
    <cellStyle name="쉼표 [0] 12 5 5" xfId="10627" xr:uid="{00000000-0005-0000-0000-000081290000}"/>
    <cellStyle name="쉼표 [0] 12 6" xfId="10628" xr:uid="{00000000-0005-0000-0000-000082290000}"/>
    <cellStyle name="쉼표 [0] 12 6 2" xfId="10629" xr:uid="{00000000-0005-0000-0000-000083290000}"/>
    <cellStyle name="쉼표 [0] 12 6 2 2" xfId="10630" xr:uid="{00000000-0005-0000-0000-000084290000}"/>
    <cellStyle name="쉼표 [0] 12 6 2 2 2" xfId="10631" xr:uid="{00000000-0005-0000-0000-000085290000}"/>
    <cellStyle name="쉼표 [0] 12 6 2 3" xfId="10632" xr:uid="{00000000-0005-0000-0000-000086290000}"/>
    <cellStyle name="쉼표 [0] 12 6 2 4" xfId="10633" xr:uid="{00000000-0005-0000-0000-000087290000}"/>
    <cellStyle name="쉼표 [0] 12 6 3" xfId="10634" xr:uid="{00000000-0005-0000-0000-000088290000}"/>
    <cellStyle name="쉼표 [0] 12 6 3 2" xfId="10635" xr:uid="{00000000-0005-0000-0000-000089290000}"/>
    <cellStyle name="쉼표 [0] 12 6 4" xfId="10636" xr:uid="{00000000-0005-0000-0000-00008A290000}"/>
    <cellStyle name="쉼표 [0] 12 6 5" xfId="10637" xr:uid="{00000000-0005-0000-0000-00008B290000}"/>
    <cellStyle name="쉼표 [0] 12 7" xfId="10638" xr:uid="{00000000-0005-0000-0000-00008C290000}"/>
    <cellStyle name="쉼표 [0] 12 7 2" xfId="10639" xr:uid="{00000000-0005-0000-0000-00008D290000}"/>
    <cellStyle name="쉼표 [0] 12 7 2 2" xfId="10640" xr:uid="{00000000-0005-0000-0000-00008E290000}"/>
    <cellStyle name="쉼표 [0] 12 7 2 2 2" xfId="10641" xr:uid="{00000000-0005-0000-0000-00008F290000}"/>
    <cellStyle name="쉼표 [0] 12 7 2 3" xfId="10642" xr:uid="{00000000-0005-0000-0000-000090290000}"/>
    <cellStyle name="쉼표 [0] 12 7 2 4" xfId="10643" xr:uid="{00000000-0005-0000-0000-000091290000}"/>
    <cellStyle name="쉼표 [0] 12 7 3" xfId="10644" xr:uid="{00000000-0005-0000-0000-000092290000}"/>
    <cellStyle name="쉼표 [0] 12 7 3 2" xfId="10645" xr:uid="{00000000-0005-0000-0000-000093290000}"/>
    <cellStyle name="쉼표 [0] 12 7 4" xfId="10646" xr:uid="{00000000-0005-0000-0000-000094290000}"/>
    <cellStyle name="쉼표 [0] 12 7 5" xfId="10647" xr:uid="{00000000-0005-0000-0000-000095290000}"/>
    <cellStyle name="쉼표 [0] 12 8" xfId="10648" xr:uid="{00000000-0005-0000-0000-000096290000}"/>
    <cellStyle name="쉼표 [0] 12 8 2" xfId="10649" xr:uid="{00000000-0005-0000-0000-000097290000}"/>
    <cellStyle name="쉼표 [0] 12 8 2 2" xfId="10650" xr:uid="{00000000-0005-0000-0000-000098290000}"/>
    <cellStyle name="쉼표 [0] 12 8 2 2 2" xfId="10651" xr:uid="{00000000-0005-0000-0000-000099290000}"/>
    <cellStyle name="쉼표 [0] 12 8 2 3" xfId="10652" xr:uid="{00000000-0005-0000-0000-00009A290000}"/>
    <cellStyle name="쉼표 [0] 12 8 2 4" xfId="10653" xr:uid="{00000000-0005-0000-0000-00009B290000}"/>
    <cellStyle name="쉼표 [0] 12 8 3" xfId="10654" xr:uid="{00000000-0005-0000-0000-00009C290000}"/>
    <cellStyle name="쉼표 [0] 12 8 3 2" xfId="10655" xr:uid="{00000000-0005-0000-0000-00009D290000}"/>
    <cellStyle name="쉼표 [0] 12 8 4" xfId="10656" xr:uid="{00000000-0005-0000-0000-00009E290000}"/>
    <cellStyle name="쉼표 [0] 12 8 5" xfId="10657" xr:uid="{00000000-0005-0000-0000-00009F290000}"/>
    <cellStyle name="쉼표 [0] 12 9" xfId="10658" xr:uid="{00000000-0005-0000-0000-0000A0290000}"/>
    <cellStyle name="쉼표 [0] 12 9 2" xfId="10659" xr:uid="{00000000-0005-0000-0000-0000A1290000}"/>
    <cellStyle name="쉼표 [0] 12 9 2 2" xfId="10660" xr:uid="{00000000-0005-0000-0000-0000A2290000}"/>
    <cellStyle name="쉼표 [0] 12 9 2 2 2" xfId="10661" xr:uid="{00000000-0005-0000-0000-0000A3290000}"/>
    <cellStyle name="쉼표 [0] 12 9 2 3" xfId="10662" xr:uid="{00000000-0005-0000-0000-0000A4290000}"/>
    <cellStyle name="쉼표 [0] 12 9 2 4" xfId="10663" xr:uid="{00000000-0005-0000-0000-0000A5290000}"/>
    <cellStyle name="쉼표 [0] 12 9 3" xfId="10664" xr:uid="{00000000-0005-0000-0000-0000A6290000}"/>
    <cellStyle name="쉼표 [0] 12 9 3 2" xfId="10665" xr:uid="{00000000-0005-0000-0000-0000A7290000}"/>
    <cellStyle name="쉼표 [0] 12 9 4" xfId="10666" xr:uid="{00000000-0005-0000-0000-0000A8290000}"/>
    <cellStyle name="쉼표 [0] 12 9 5" xfId="10667" xr:uid="{00000000-0005-0000-0000-0000A9290000}"/>
    <cellStyle name="쉼표 [0] 13" xfId="10668" xr:uid="{00000000-0005-0000-0000-0000AA290000}"/>
    <cellStyle name="쉼표 [0] 13 2" xfId="10669" xr:uid="{00000000-0005-0000-0000-0000AB290000}"/>
    <cellStyle name="쉼표 [0] 13 3" xfId="10670" xr:uid="{00000000-0005-0000-0000-0000AC290000}"/>
    <cellStyle name="쉼표 [0] 13 4" xfId="10671" xr:uid="{00000000-0005-0000-0000-0000AD290000}"/>
    <cellStyle name="쉼표 [0] 13 5" xfId="10672" xr:uid="{00000000-0005-0000-0000-0000AE290000}"/>
    <cellStyle name="쉼표 [0] 13 6" xfId="10673" xr:uid="{00000000-0005-0000-0000-0000AF290000}"/>
    <cellStyle name="쉼표 [0] 13 7" xfId="10674" xr:uid="{00000000-0005-0000-0000-0000B0290000}"/>
    <cellStyle name="쉼표 [0] 13 7 2" xfId="10675" xr:uid="{00000000-0005-0000-0000-0000B1290000}"/>
    <cellStyle name="쉼표 [0] 13 8" xfId="10676" xr:uid="{00000000-0005-0000-0000-0000B2290000}"/>
    <cellStyle name="쉼표 [0] 13 9" xfId="10677" xr:uid="{00000000-0005-0000-0000-0000B3290000}"/>
    <cellStyle name="쉼표 [0] 14" xfId="10678" xr:uid="{00000000-0005-0000-0000-0000B4290000}"/>
    <cellStyle name="쉼표 [0] 14 2" xfId="10679" xr:uid="{00000000-0005-0000-0000-0000B5290000}"/>
    <cellStyle name="쉼표 [0] 14 3" xfId="10680" xr:uid="{00000000-0005-0000-0000-0000B6290000}"/>
    <cellStyle name="쉼표 [0] 14 4" xfId="10681" xr:uid="{00000000-0005-0000-0000-0000B7290000}"/>
    <cellStyle name="쉼표 [0] 14 5" xfId="10682" xr:uid="{00000000-0005-0000-0000-0000B8290000}"/>
    <cellStyle name="쉼표 [0] 14 6" xfId="10683" xr:uid="{00000000-0005-0000-0000-0000B9290000}"/>
    <cellStyle name="쉼표 [0] 14 7" xfId="10684" xr:uid="{00000000-0005-0000-0000-0000BA290000}"/>
    <cellStyle name="쉼표 [0] 14 7 2" xfId="10685" xr:uid="{00000000-0005-0000-0000-0000BB290000}"/>
    <cellStyle name="쉼표 [0] 14 8" xfId="10686" xr:uid="{00000000-0005-0000-0000-0000BC290000}"/>
    <cellStyle name="쉼표 [0] 14 9" xfId="10687" xr:uid="{00000000-0005-0000-0000-0000BD290000}"/>
    <cellStyle name="쉼표 [0] 15" xfId="10688" xr:uid="{00000000-0005-0000-0000-0000BE290000}"/>
    <cellStyle name="쉼표 [0] 16" xfId="10689" xr:uid="{00000000-0005-0000-0000-0000BF290000}"/>
    <cellStyle name="쉼표 [0] 16 10" xfId="10690" xr:uid="{00000000-0005-0000-0000-0000C0290000}"/>
    <cellStyle name="쉼표 [0] 16 10 2" xfId="10691" xr:uid="{00000000-0005-0000-0000-0000C1290000}"/>
    <cellStyle name="쉼표 [0] 16 11" xfId="10692" xr:uid="{00000000-0005-0000-0000-0000C2290000}"/>
    <cellStyle name="쉼표 [0] 16 12" xfId="10693" xr:uid="{00000000-0005-0000-0000-0000C3290000}"/>
    <cellStyle name="쉼표 [0] 16 2" xfId="10694" xr:uid="{00000000-0005-0000-0000-0000C4290000}"/>
    <cellStyle name="쉼표 [0] 16 2 2" xfId="10695" xr:uid="{00000000-0005-0000-0000-0000C5290000}"/>
    <cellStyle name="쉼표 [0] 16 2 2 2" xfId="10696" xr:uid="{00000000-0005-0000-0000-0000C6290000}"/>
    <cellStyle name="쉼표 [0] 16 2 2 2 2" xfId="10697" xr:uid="{00000000-0005-0000-0000-0000C7290000}"/>
    <cellStyle name="쉼표 [0] 16 2 2 2 2 2" xfId="10698" xr:uid="{00000000-0005-0000-0000-0000C8290000}"/>
    <cellStyle name="쉼표 [0] 16 2 2 2 3" xfId="10699" xr:uid="{00000000-0005-0000-0000-0000C9290000}"/>
    <cellStyle name="쉼표 [0] 16 2 2 2 4" xfId="10700" xr:uid="{00000000-0005-0000-0000-0000CA290000}"/>
    <cellStyle name="쉼표 [0] 16 2 2 3" xfId="10701" xr:uid="{00000000-0005-0000-0000-0000CB290000}"/>
    <cellStyle name="쉼표 [0] 16 2 2 3 2" xfId="10702" xr:uid="{00000000-0005-0000-0000-0000CC290000}"/>
    <cellStyle name="쉼표 [0] 16 2 2 4" xfId="10703" xr:uid="{00000000-0005-0000-0000-0000CD290000}"/>
    <cellStyle name="쉼표 [0] 16 2 2 5" xfId="10704" xr:uid="{00000000-0005-0000-0000-0000CE290000}"/>
    <cellStyle name="쉼표 [0] 16 2 3" xfId="10705" xr:uid="{00000000-0005-0000-0000-0000CF290000}"/>
    <cellStyle name="쉼표 [0] 16 2 3 2" xfId="10706" xr:uid="{00000000-0005-0000-0000-0000D0290000}"/>
    <cellStyle name="쉼표 [0] 16 2 3 2 2" xfId="10707" xr:uid="{00000000-0005-0000-0000-0000D1290000}"/>
    <cellStyle name="쉼표 [0] 16 2 3 2 2 2" xfId="10708" xr:uid="{00000000-0005-0000-0000-0000D2290000}"/>
    <cellStyle name="쉼표 [0] 16 2 3 2 3" xfId="10709" xr:uid="{00000000-0005-0000-0000-0000D3290000}"/>
    <cellStyle name="쉼표 [0] 16 2 3 2 4" xfId="10710" xr:uid="{00000000-0005-0000-0000-0000D4290000}"/>
    <cellStyle name="쉼표 [0] 16 2 3 3" xfId="10711" xr:uid="{00000000-0005-0000-0000-0000D5290000}"/>
    <cellStyle name="쉼표 [0] 16 2 3 3 2" xfId="10712" xr:uid="{00000000-0005-0000-0000-0000D6290000}"/>
    <cellStyle name="쉼표 [0] 16 2 3 4" xfId="10713" xr:uid="{00000000-0005-0000-0000-0000D7290000}"/>
    <cellStyle name="쉼표 [0] 16 2 3 5" xfId="10714" xr:uid="{00000000-0005-0000-0000-0000D8290000}"/>
    <cellStyle name="쉼표 [0] 16 2 4" xfId="10715" xr:uid="{00000000-0005-0000-0000-0000D9290000}"/>
    <cellStyle name="쉼표 [0] 16 2 4 2" xfId="10716" xr:uid="{00000000-0005-0000-0000-0000DA290000}"/>
    <cellStyle name="쉼표 [0] 16 2 4 2 2" xfId="10717" xr:uid="{00000000-0005-0000-0000-0000DB290000}"/>
    <cellStyle name="쉼표 [0] 16 2 4 3" xfId="10718" xr:uid="{00000000-0005-0000-0000-0000DC290000}"/>
    <cellStyle name="쉼표 [0] 16 2 4 4" xfId="10719" xr:uid="{00000000-0005-0000-0000-0000DD290000}"/>
    <cellStyle name="쉼표 [0] 16 2 5" xfId="10720" xr:uid="{00000000-0005-0000-0000-0000DE290000}"/>
    <cellStyle name="쉼표 [0] 16 2 5 2" xfId="10721" xr:uid="{00000000-0005-0000-0000-0000DF290000}"/>
    <cellStyle name="쉼표 [0] 16 2 6" xfId="10722" xr:uid="{00000000-0005-0000-0000-0000E0290000}"/>
    <cellStyle name="쉼표 [0] 16 2 7" xfId="10723" xr:uid="{00000000-0005-0000-0000-0000E1290000}"/>
    <cellStyle name="쉼표 [0] 16 3" xfId="10724" xr:uid="{00000000-0005-0000-0000-0000E2290000}"/>
    <cellStyle name="쉼표 [0] 16 3 2" xfId="10725" xr:uid="{00000000-0005-0000-0000-0000E3290000}"/>
    <cellStyle name="쉼표 [0] 16 3 2 2" xfId="10726" xr:uid="{00000000-0005-0000-0000-0000E4290000}"/>
    <cellStyle name="쉼표 [0] 16 3 2 2 2" xfId="10727" xr:uid="{00000000-0005-0000-0000-0000E5290000}"/>
    <cellStyle name="쉼표 [0] 16 3 2 3" xfId="10728" xr:uid="{00000000-0005-0000-0000-0000E6290000}"/>
    <cellStyle name="쉼표 [0] 16 3 2 4" xfId="10729" xr:uid="{00000000-0005-0000-0000-0000E7290000}"/>
    <cellStyle name="쉼표 [0] 16 3 3" xfId="10730" xr:uid="{00000000-0005-0000-0000-0000E8290000}"/>
    <cellStyle name="쉼표 [0] 16 3 3 2" xfId="10731" xr:uid="{00000000-0005-0000-0000-0000E9290000}"/>
    <cellStyle name="쉼표 [0] 16 3 4" xfId="10732" xr:uid="{00000000-0005-0000-0000-0000EA290000}"/>
    <cellStyle name="쉼표 [0] 16 3 5" xfId="10733" xr:uid="{00000000-0005-0000-0000-0000EB290000}"/>
    <cellStyle name="쉼표 [0] 16 4" xfId="10734" xr:uid="{00000000-0005-0000-0000-0000EC290000}"/>
    <cellStyle name="쉼표 [0] 16 4 2" xfId="10735" xr:uid="{00000000-0005-0000-0000-0000ED290000}"/>
    <cellStyle name="쉼표 [0] 16 4 2 2" xfId="10736" xr:uid="{00000000-0005-0000-0000-0000EE290000}"/>
    <cellStyle name="쉼표 [0] 16 4 2 2 2" xfId="10737" xr:uid="{00000000-0005-0000-0000-0000EF290000}"/>
    <cellStyle name="쉼표 [0] 16 4 2 3" xfId="10738" xr:uid="{00000000-0005-0000-0000-0000F0290000}"/>
    <cellStyle name="쉼표 [0] 16 4 2 4" xfId="10739" xr:uid="{00000000-0005-0000-0000-0000F1290000}"/>
    <cellStyle name="쉼표 [0] 16 4 3" xfId="10740" xr:uid="{00000000-0005-0000-0000-0000F2290000}"/>
    <cellStyle name="쉼표 [0] 16 4 3 2" xfId="10741" xr:uid="{00000000-0005-0000-0000-0000F3290000}"/>
    <cellStyle name="쉼표 [0] 16 4 4" xfId="10742" xr:uid="{00000000-0005-0000-0000-0000F4290000}"/>
    <cellStyle name="쉼표 [0] 16 4 5" xfId="10743" xr:uid="{00000000-0005-0000-0000-0000F5290000}"/>
    <cellStyle name="쉼표 [0] 16 5" xfId="10744" xr:uid="{00000000-0005-0000-0000-0000F6290000}"/>
    <cellStyle name="쉼표 [0] 16 5 2" xfId="10745" xr:uid="{00000000-0005-0000-0000-0000F7290000}"/>
    <cellStyle name="쉼표 [0] 16 5 2 2" xfId="10746" xr:uid="{00000000-0005-0000-0000-0000F8290000}"/>
    <cellStyle name="쉼표 [0] 16 5 2 2 2" xfId="10747" xr:uid="{00000000-0005-0000-0000-0000F9290000}"/>
    <cellStyle name="쉼표 [0] 16 5 2 3" xfId="10748" xr:uid="{00000000-0005-0000-0000-0000FA290000}"/>
    <cellStyle name="쉼표 [0] 16 5 2 4" xfId="10749" xr:uid="{00000000-0005-0000-0000-0000FB290000}"/>
    <cellStyle name="쉼표 [0] 16 5 3" xfId="10750" xr:uid="{00000000-0005-0000-0000-0000FC290000}"/>
    <cellStyle name="쉼표 [0] 16 5 3 2" xfId="10751" xr:uid="{00000000-0005-0000-0000-0000FD290000}"/>
    <cellStyle name="쉼표 [0] 16 5 4" xfId="10752" xr:uid="{00000000-0005-0000-0000-0000FE290000}"/>
    <cellStyle name="쉼표 [0] 16 5 5" xfId="10753" xr:uid="{00000000-0005-0000-0000-0000FF290000}"/>
    <cellStyle name="쉼표 [0] 16 6" xfId="10754" xr:uid="{00000000-0005-0000-0000-0000002A0000}"/>
    <cellStyle name="쉼표 [0] 16 6 2" xfId="10755" xr:uid="{00000000-0005-0000-0000-0000012A0000}"/>
    <cellStyle name="쉼표 [0] 16 6 2 2" xfId="10756" xr:uid="{00000000-0005-0000-0000-0000022A0000}"/>
    <cellStyle name="쉼표 [0] 16 6 2 2 2" xfId="10757" xr:uid="{00000000-0005-0000-0000-0000032A0000}"/>
    <cellStyle name="쉼표 [0] 16 6 2 3" xfId="10758" xr:uid="{00000000-0005-0000-0000-0000042A0000}"/>
    <cellStyle name="쉼표 [0] 16 6 2 4" xfId="10759" xr:uid="{00000000-0005-0000-0000-0000052A0000}"/>
    <cellStyle name="쉼표 [0] 16 6 3" xfId="10760" xr:uid="{00000000-0005-0000-0000-0000062A0000}"/>
    <cellStyle name="쉼표 [0] 16 6 3 2" xfId="10761" xr:uid="{00000000-0005-0000-0000-0000072A0000}"/>
    <cellStyle name="쉼표 [0] 16 6 4" xfId="10762" xr:uid="{00000000-0005-0000-0000-0000082A0000}"/>
    <cellStyle name="쉼표 [0] 16 6 5" xfId="10763" xr:uid="{00000000-0005-0000-0000-0000092A0000}"/>
    <cellStyle name="쉼표 [0] 16 7" xfId="10764" xr:uid="{00000000-0005-0000-0000-00000A2A0000}"/>
    <cellStyle name="쉼표 [0] 16 7 2" xfId="10765" xr:uid="{00000000-0005-0000-0000-00000B2A0000}"/>
    <cellStyle name="쉼표 [0] 16 7 2 2" xfId="10766" xr:uid="{00000000-0005-0000-0000-00000C2A0000}"/>
    <cellStyle name="쉼표 [0] 16 7 2 2 2" xfId="10767" xr:uid="{00000000-0005-0000-0000-00000D2A0000}"/>
    <cellStyle name="쉼표 [0] 16 7 2 3" xfId="10768" xr:uid="{00000000-0005-0000-0000-00000E2A0000}"/>
    <cellStyle name="쉼표 [0] 16 7 2 4" xfId="10769" xr:uid="{00000000-0005-0000-0000-00000F2A0000}"/>
    <cellStyle name="쉼표 [0] 16 7 3" xfId="10770" xr:uid="{00000000-0005-0000-0000-0000102A0000}"/>
    <cellStyle name="쉼표 [0] 16 7 3 2" xfId="10771" xr:uid="{00000000-0005-0000-0000-0000112A0000}"/>
    <cellStyle name="쉼표 [0] 16 7 4" xfId="10772" xr:uid="{00000000-0005-0000-0000-0000122A0000}"/>
    <cellStyle name="쉼표 [0] 16 7 5" xfId="10773" xr:uid="{00000000-0005-0000-0000-0000132A0000}"/>
    <cellStyle name="쉼표 [0] 16 8" xfId="10774" xr:uid="{00000000-0005-0000-0000-0000142A0000}"/>
    <cellStyle name="쉼표 [0] 16 8 2" xfId="10775" xr:uid="{00000000-0005-0000-0000-0000152A0000}"/>
    <cellStyle name="쉼표 [0] 16 8 2 2" xfId="10776" xr:uid="{00000000-0005-0000-0000-0000162A0000}"/>
    <cellStyle name="쉼표 [0] 16 8 2 2 2" xfId="10777" xr:uid="{00000000-0005-0000-0000-0000172A0000}"/>
    <cellStyle name="쉼표 [0] 16 8 2 3" xfId="10778" xr:uid="{00000000-0005-0000-0000-0000182A0000}"/>
    <cellStyle name="쉼표 [0] 16 8 2 4" xfId="10779" xr:uid="{00000000-0005-0000-0000-0000192A0000}"/>
    <cellStyle name="쉼표 [0] 16 8 3" xfId="10780" xr:uid="{00000000-0005-0000-0000-00001A2A0000}"/>
    <cellStyle name="쉼표 [0] 16 8 3 2" xfId="10781" xr:uid="{00000000-0005-0000-0000-00001B2A0000}"/>
    <cellStyle name="쉼표 [0] 16 8 4" xfId="10782" xr:uid="{00000000-0005-0000-0000-00001C2A0000}"/>
    <cellStyle name="쉼표 [0] 16 8 5" xfId="10783" xr:uid="{00000000-0005-0000-0000-00001D2A0000}"/>
    <cellStyle name="쉼표 [0] 16 9" xfId="10784" xr:uid="{00000000-0005-0000-0000-00001E2A0000}"/>
    <cellStyle name="쉼표 [0] 16 9 2" xfId="10785" xr:uid="{00000000-0005-0000-0000-00001F2A0000}"/>
    <cellStyle name="쉼표 [0] 16 9 2 2" xfId="10786" xr:uid="{00000000-0005-0000-0000-0000202A0000}"/>
    <cellStyle name="쉼표 [0] 16 9 3" xfId="10787" xr:uid="{00000000-0005-0000-0000-0000212A0000}"/>
    <cellStyle name="쉼표 [0] 16 9 4" xfId="10788" xr:uid="{00000000-0005-0000-0000-0000222A0000}"/>
    <cellStyle name="쉼표 [0] 17" xfId="10789" xr:uid="{00000000-0005-0000-0000-0000232A0000}"/>
    <cellStyle name="쉼표 [0] 17 10" xfId="10790" xr:uid="{00000000-0005-0000-0000-0000242A0000}"/>
    <cellStyle name="쉼표 [0] 17 10 2" xfId="10791" xr:uid="{00000000-0005-0000-0000-0000252A0000}"/>
    <cellStyle name="쉼표 [0] 17 11" xfId="10792" xr:uid="{00000000-0005-0000-0000-0000262A0000}"/>
    <cellStyle name="쉼표 [0] 17 12" xfId="10793" xr:uid="{00000000-0005-0000-0000-0000272A0000}"/>
    <cellStyle name="쉼표 [0] 17 2" xfId="10794" xr:uid="{00000000-0005-0000-0000-0000282A0000}"/>
    <cellStyle name="쉼표 [0] 17 2 2" xfId="10795" xr:uid="{00000000-0005-0000-0000-0000292A0000}"/>
    <cellStyle name="쉼표 [0] 17 2 2 2" xfId="10796" xr:uid="{00000000-0005-0000-0000-00002A2A0000}"/>
    <cellStyle name="쉼표 [0] 17 2 2 2 2" xfId="10797" xr:uid="{00000000-0005-0000-0000-00002B2A0000}"/>
    <cellStyle name="쉼표 [0] 17 2 2 2 2 2" xfId="10798" xr:uid="{00000000-0005-0000-0000-00002C2A0000}"/>
    <cellStyle name="쉼표 [0] 17 2 2 2 3" xfId="10799" xr:uid="{00000000-0005-0000-0000-00002D2A0000}"/>
    <cellStyle name="쉼표 [0] 17 2 2 2 4" xfId="10800" xr:uid="{00000000-0005-0000-0000-00002E2A0000}"/>
    <cellStyle name="쉼표 [0] 17 2 2 3" xfId="10801" xr:uid="{00000000-0005-0000-0000-00002F2A0000}"/>
    <cellStyle name="쉼표 [0] 17 2 2 3 2" xfId="10802" xr:uid="{00000000-0005-0000-0000-0000302A0000}"/>
    <cellStyle name="쉼표 [0] 17 2 2 4" xfId="10803" xr:uid="{00000000-0005-0000-0000-0000312A0000}"/>
    <cellStyle name="쉼표 [0] 17 2 2 5" xfId="10804" xr:uid="{00000000-0005-0000-0000-0000322A0000}"/>
    <cellStyle name="쉼표 [0] 17 2 3" xfId="10805" xr:uid="{00000000-0005-0000-0000-0000332A0000}"/>
    <cellStyle name="쉼표 [0] 17 2 3 2" xfId="10806" xr:uid="{00000000-0005-0000-0000-0000342A0000}"/>
    <cellStyle name="쉼표 [0] 17 2 3 2 2" xfId="10807" xr:uid="{00000000-0005-0000-0000-0000352A0000}"/>
    <cellStyle name="쉼표 [0] 17 2 3 2 2 2" xfId="10808" xr:uid="{00000000-0005-0000-0000-0000362A0000}"/>
    <cellStyle name="쉼표 [0] 17 2 3 2 3" xfId="10809" xr:uid="{00000000-0005-0000-0000-0000372A0000}"/>
    <cellStyle name="쉼표 [0] 17 2 3 2 4" xfId="10810" xr:uid="{00000000-0005-0000-0000-0000382A0000}"/>
    <cellStyle name="쉼표 [0] 17 2 3 3" xfId="10811" xr:uid="{00000000-0005-0000-0000-0000392A0000}"/>
    <cellStyle name="쉼표 [0] 17 2 3 3 2" xfId="10812" xr:uid="{00000000-0005-0000-0000-00003A2A0000}"/>
    <cellStyle name="쉼표 [0] 17 2 3 4" xfId="10813" xr:uid="{00000000-0005-0000-0000-00003B2A0000}"/>
    <cellStyle name="쉼표 [0] 17 2 3 5" xfId="10814" xr:uid="{00000000-0005-0000-0000-00003C2A0000}"/>
    <cellStyle name="쉼표 [0] 17 2 4" xfId="10815" xr:uid="{00000000-0005-0000-0000-00003D2A0000}"/>
    <cellStyle name="쉼표 [0] 17 2 4 2" xfId="10816" xr:uid="{00000000-0005-0000-0000-00003E2A0000}"/>
    <cellStyle name="쉼표 [0] 17 2 4 2 2" xfId="10817" xr:uid="{00000000-0005-0000-0000-00003F2A0000}"/>
    <cellStyle name="쉼표 [0] 17 2 4 3" xfId="10818" xr:uid="{00000000-0005-0000-0000-0000402A0000}"/>
    <cellStyle name="쉼표 [0] 17 2 4 4" xfId="10819" xr:uid="{00000000-0005-0000-0000-0000412A0000}"/>
    <cellStyle name="쉼표 [0] 17 2 5" xfId="10820" xr:uid="{00000000-0005-0000-0000-0000422A0000}"/>
    <cellStyle name="쉼표 [0] 17 2 5 2" xfId="10821" xr:uid="{00000000-0005-0000-0000-0000432A0000}"/>
    <cellStyle name="쉼표 [0] 17 2 6" xfId="10822" xr:uid="{00000000-0005-0000-0000-0000442A0000}"/>
    <cellStyle name="쉼표 [0] 17 2 7" xfId="10823" xr:uid="{00000000-0005-0000-0000-0000452A0000}"/>
    <cellStyle name="쉼표 [0] 17 3" xfId="10824" xr:uid="{00000000-0005-0000-0000-0000462A0000}"/>
    <cellStyle name="쉼표 [0] 17 3 2" xfId="10825" xr:uid="{00000000-0005-0000-0000-0000472A0000}"/>
    <cellStyle name="쉼표 [0] 17 3 2 2" xfId="10826" xr:uid="{00000000-0005-0000-0000-0000482A0000}"/>
    <cellStyle name="쉼표 [0] 17 3 2 2 2" xfId="10827" xr:uid="{00000000-0005-0000-0000-0000492A0000}"/>
    <cellStyle name="쉼표 [0] 17 3 2 3" xfId="10828" xr:uid="{00000000-0005-0000-0000-00004A2A0000}"/>
    <cellStyle name="쉼표 [0] 17 3 2 4" xfId="10829" xr:uid="{00000000-0005-0000-0000-00004B2A0000}"/>
    <cellStyle name="쉼표 [0] 17 3 3" xfId="10830" xr:uid="{00000000-0005-0000-0000-00004C2A0000}"/>
    <cellStyle name="쉼표 [0] 17 3 3 2" xfId="10831" xr:uid="{00000000-0005-0000-0000-00004D2A0000}"/>
    <cellStyle name="쉼표 [0] 17 3 4" xfId="10832" xr:uid="{00000000-0005-0000-0000-00004E2A0000}"/>
    <cellStyle name="쉼표 [0] 17 3 5" xfId="10833" xr:uid="{00000000-0005-0000-0000-00004F2A0000}"/>
    <cellStyle name="쉼표 [0] 17 4" xfId="10834" xr:uid="{00000000-0005-0000-0000-0000502A0000}"/>
    <cellStyle name="쉼표 [0] 17 4 2" xfId="10835" xr:uid="{00000000-0005-0000-0000-0000512A0000}"/>
    <cellStyle name="쉼표 [0] 17 4 2 2" xfId="10836" xr:uid="{00000000-0005-0000-0000-0000522A0000}"/>
    <cellStyle name="쉼표 [0] 17 4 2 2 2" xfId="10837" xr:uid="{00000000-0005-0000-0000-0000532A0000}"/>
    <cellStyle name="쉼표 [0] 17 4 2 3" xfId="10838" xr:uid="{00000000-0005-0000-0000-0000542A0000}"/>
    <cellStyle name="쉼표 [0] 17 4 2 4" xfId="10839" xr:uid="{00000000-0005-0000-0000-0000552A0000}"/>
    <cellStyle name="쉼표 [0] 17 4 3" xfId="10840" xr:uid="{00000000-0005-0000-0000-0000562A0000}"/>
    <cellStyle name="쉼표 [0] 17 4 3 2" xfId="10841" xr:uid="{00000000-0005-0000-0000-0000572A0000}"/>
    <cellStyle name="쉼표 [0] 17 4 4" xfId="10842" xr:uid="{00000000-0005-0000-0000-0000582A0000}"/>
    <cellStyle name="쉼표 [0] 17 4 5" xfId="10843" xr:uid="{00000000-0005-0000-0000-0000592A0000}"/>
    <cellStyle name="쉼표 [0] 17 5" xfId="10844" xr:uid="{00000000-0005-0000-0000-00005A2A0000}"/>
    <cellStyle name="쉼표 [0] 17 5 2" xfId="10845" xr:uid="{00000000-0005-0000-0000-00005B2A0000}"/>
    <cellStyle name="쉼표 [0] 17 5 2 2" xfId="10846" xr:uid="{00000000-0005-0000-0000-00005C2A0000}"/>
    <cellStyle name="쉼표 [0] 17 5 2 2 2" xfId="10847" xr:uid="{00000000-0005-0000-0000-00005D2A0000}"/>
    <cellStyle name="쉼표 [0] 17 5 2 3" xfId="10848" xr:uid="{00000000-0005-0000-0000-00005E2A0000}"/>
    <cellStyle name="쉼표 [0] 17 5 2 4" xfId="10849" xr:uid="{00000000-0005-0000-0000-00005F2A0000}"/>
    <cellStyle name="쉼표 [0] 17 5 3" xfId="10850" xr:uid="{00000000-0005-0000-0000-0000602A0000}"/>
    <cellStyle name="쉼표 [0] 17 5 3 2" xfId="10851" xr:uid="{00000000-0005-0000-0000-0000612A0000}"/>
    <cellStyle name="쉼표 [0] 17 5 4" xfId="10852" xr:uid="{00000000-0005-0000-0000-0000622A0000}"/>
    <cellStyle name="쉼표 [0] 17 5 5" xfId="10853" xr:uid="{00000000-0005-0000-0000-0000632A0000}"/>
    <cellStyle name="쉼표 [0] 17 6" xfId="10854" xr:uid="{00000000-0005-0000-0000-0000642A0000}"/>
    <cellStyle name="쉼표 [0] 17 6 2" xfId="10855" xr:uid="{00000000-0005-0000-0000-0000652A0000}"/>
    <cellStyle name="쉼표 [0] 17 6 2 2" xfId="10856" xr:uid="{00000000-0005-0000-0000-0000662A0000}"/>
    <cellStyle name="쉼표 [0] 17 6 2 2 2" xfId="10857" xr:uid="{00000000-0005-0000-0000-0000672A0000}"/>
    <cellStyle name="쉼표 [0] 17 6 2 3" xfId="10858" xr:uid="{00000000-0005-0000-0000-0000682A0000}"/>
    <cellStyle name="쉼표 [0] 17 6 2 4" xfId="10859" xr:uid="{00000000-0005-0000-0000-0000692A0000}"/>
    <cellStyle name="쉼표 [0] 17 6 3" xfId="10860" xr:uid="{00000000-0005-0000-0000-00006A2A0000}"/>
    <cellStyle name="쉼표 [0] 17 6 3 2" xfId="10861" xr:uid="{00000000-0005-0000-0000-00006B2A0000}"/>
    <cellStyle name="쉼표 [0] 17 6 4" xfId="10862" xr:uid="{00000000-0005-0000-0000-00006C2A0000}"/>
    <cellStyle name="쉼표 [0] 17 6 5" xfId="10863" xr:uid="{00000000-0005-0000-0000-00006D2A0000}"/>
    <cellStyle name="쉼표 [0] 17 7" xfId="10864" xr:uid="{00000000-0005-0000-0000-00006E2A0000}"/>
    <cellStyle name="쉼표 [0] 17 7 2" xfId="10865" xr:uid="{00000000-0005-0000-0000-00006F2A0000}"/>
    <cellStyle name="쉼표 [0] 17 7 2 2" xfId="10866" xr:uid="{00000000-0005-0000-0000-0000702A0000}"/>
    <cellStyle name="쉼표 [0] 17 7 2 2 2" xfId="10867" xr:uid="{00000000-0005-0000-0000-0000712A0000}"/>
    <cellStyle name="쉼표 [0] 17 7 2 3" xfId="10868" xr:uid="{00000000-0005-0000-0000-0000722A0000}"/>
    <cellStyle name="쉼표 [0] 17 7 2 4" xfId="10869" xr:uid="{00000000-0005-0000-0000-0000732A0000}"/>
    <cellStyle name="쉼표 [0] 17 7 3" xfId="10870" xr:uid="{00000000-0005-0000-0000-0000742A0000}"/>
    <cellStyle name="쉼표 [0] 17 7 3 2" xfId="10871" xr:uid="{00000000-0005-0000-0000-0000752A0000}"/>
    <cellStyle name="쉼표 [0] 17 7 4" xfId="10872" xr:uid="{00000000-0005-0000-0000-0000762A0000}"/>
    <cellStyle name="쉼표 [0] 17 7 5" xfId="10873" xr:uid="{00000000-0005-0000-0000-0000772A0000}"/>
    <cellStyle name="쉼표 [0] 17 8" xfId="10874" xr:uid="{00000000-0005-0000-0000-0000782A0000}"/>
    <cellStyle name="쉼표 [0] 17 8 2" xfId="10875" xr:uid="{00000000-0005-0000-0000-0000792A0000}"/>
    <cellStyle name="쉼표 [0] 17 8 2 2" xfId="10876" xr:uid="{00000000-0005-0000-0000-00007A2A0000}"/>
    <cellStyle name="쉼표 [0] 17 8 2 2 2" xfId="10877" xr:uid="{00000000-0005-0000-0000-00007B2A0000}"/>
    <cellStyle name="쉼표 [0] 17 8 2 3" xfId="10878" xr:uid="{00000000-0005-0000-0000-00007C2A0000}"/>
    <cellStyle name="쉼표 [0] 17 8 2 4" xfId="10879" xr:uid="{00000000-0005-0000-0000-00007D2A0000}"/>
    <cellStyle name="쉼표 [0] 17 8 3" xfId="10880" xr:uid="{00000000-0005-0000-0000-00007E2A0000}"/>
    <cellStyle name="쉼표 [0] 17 8 3 2" xfId="10881" xr:uid="{00000000-0005-0000-0000-00007F2A0000}"/>
    <cellStyle name="쉼표 [0] 17 8 4" xfId="10882" xr:uid="{00000000-0005-0000-0000-0000802A0000}"/>
    <cellStyle name="쉼표 [0] 17 8 5" xfId="10883" xr:uid="{00000000-0005-0000-0000-0000812A0000}"/>
    <cellStyle name="쉼표 [0] 17 9" xfId="10884" xr:uid="{00000000-0005-0000-0000-0000822A0000}"/>
    <cellStyle name="쉼표 [0] 17 9 2" xfId="10885" xr:uid="{00000000-0005-0000-0000-0000832A0000}"/>
    <cellStyle name="쉼표 [0] 17 9 2 2" xfId="10886" xr:uid="{00000000-0005-0000-0000-0000842A0000}"/>
    <cellStyle name="쉼표 [0] 17 9 3" xfId="10887" xr:uid="{00000000-0005-0000-0000-0000852A0000}"/>
    <cellStyle name="쉼표 [0] 17 9 4" xfId="10888" xr:uid="{00000000-0005-0000-0000-0000862A0000}"/>
    <cellStyle name="쉼표 [0] 18" xfId="10889" xr:uid="{00000000-0005-0000-0000-0000872A0000}"/>
    <cellStyle name="쉼표 [0] 18 2" xfId="10890" xr:uid="{00000000-0005-0000-0000-0000882A0000}"/>
    <cellStyle name="쉼표 [0] 18 2 2" xfId="10891" xr:uid="{00000000-0005-0000-0000-0000892A0000}"/>
    <cellStyle name="쉼표 [0] 18 2 2 2" xfId="10892" xr:uid="{00000000-0005-0000-0000-00008A2A0000}"/>
    <cellStyle name="쉼표 [0] 18 2 2 2 2" xfId="10893" xr:uid="{00000000-0005-0000-0000-00008B2A0000}"/>
    <cellStyle name="쉼표 [0] 18 2 2 3" xfId="10894" xr:uid="{00000000-0005-0000-0000-00008C2A0000}"/>
    <cellStyle name="쉼표 [0] 18 2 2 4" xfId="10895" xr:uid="{00000000-0005-0000-0000-00008D2A0000}"/>
    <cellStyle name="쉼표 [0] 18 2 3" xfId="10896" xr:uid="{00000000-0005-0000-0000-00008E2A0000}"/>
    <cellStyle name="쉼표 [0] 18 2 3 2" xfId="10897" xr:uid="{00000000-0005-0000-0000-00008F2A0000}"/>
    <cellStyle name="쉼표 [0] 18 2 4" xfId="10898" xr:uid="{00000000-0005-0000-0000-0000902A0000}"/>
    <cellStyle name="쉼표 [0] 18 2 5" xfId="10899" xr:uid="{00000000-0005-0000-0000-0000912A0000}"/>
    <cellStyle name="쉼표 [0] 18 3" xfId="10900" xr:uid="{00000000-0005-0000-0000-0000922A0000}"/>
    <cellStyle name="쉼표 [0] 18 3 2" xfId="10901" xr:uid="{00000000-0005-0000-0000-0000932A0000}"/>
    <cellStyle name="쉼표 [0] 18 3 2 2" xfId="10902" xr:uid="{00000000-0005-0000-0000-0000942A0000}"/>
    <cellStyle name="쉼표 [0] 18 3 2 2 2" xfId="10903" xr:uid="{00000000-0005-0000-0000-0000952A0000}"/>
    <cellStyle name="쉼표 [0] 18 3 2 3" xfId="10904" xr:uid="{00000000-0005-0000-0000-0000962A0000}"/>
    <cellStyle name="쉼표 [0] 18 3 2 4" xfId="10905" xr:uid="{00000000-0005-0000-0000-0000972A0000}"/>
    <cellStyle name="쉼표 [0] 18 3 3" xfId="10906" xr:uid="{00000000-0005-0000-0000-0000982A0000}"/>
    <cellStyle name="쉼표 [0] 18 3 3 2" xfId="10907" xr:uid="{00000000-0005-0000-0000-0000992A0000}"/>
    <cellStyle name="쉼표 [0] 18 3 4" xfId="10908" xr:uid="{00000000-0005-0000-0000-00009A2A0000}"/>
    <cellStyle name="쉼표 [0] 18 3 5" xfId="10909" xr:uid="{00000000-0005-0000-0000-00009B2A0000}"/>
    <cellStyle name="쉼표 [0] 18 4" xfId="10910" xr:uid="{00000000-0005-0000-0000-00009C2A0000}"/>
    <cellStyle name="쉼표 [0] 18 4 2" xfId="10911" xr:uid="{00000000-0005-0000-0000-00009D2A0000}"/>
    <cellStyle name="쉼표 [0] 18 4 2 2" xfId="10912" xr:uid="{00000000-0005-0000-0000-00009E2A0000}"/>
    <cellStyle name="쉼표 [0] 18 4 3" xfId="10913" xr:uid="{00000000-0005-0000-0000-00009F2A0000}"/>
    <cellStyle name="쉼표 [0] 18 4 4" xfId="10914" xr:uid="{00000000-0005-0000-0000-0000A02A0000}"/>
    <cellStyle name="쉼표 [0] 18 5" xfId="10915" xr:uid="{00000000-0005-0000-0000-0000A12A0000}"/>
    <cellStyle name="쉼표 [0] 18 5 2" xfId="10916" xr:uid="{00000000-0005-0000-0000-0000A22A0000}"/>
    <cellStyle name="쉼표 [0] 18 6" xfId="10917" xr:uid="{00000000-0005-0000-0000-0000A32A0000}"/>
    <cellStyle name="쉼표 [0] 18 7" xfId="10918" xr:uid="{00000000-0005-0000-0000-0000A42A0000}"/>
    <cellStyle name="쉼표 [0] 19" xfId="10919" xr:uid="{00000000-0005-0000-0000-0000A52A0000}"/>
    <cellStyle name="쉼표 [0] 19 2" xfId="10920" xr:uid="{00000000-0005-0000-0000-0000A62A0000}"/>
    <cellStyle name="쉼표 [0] 19 2 2" xfId="10921" xr:uid="{00000000-0005-0000-0000-0000A72A0000}"/>
    <cellStyle name="쉼표 [0] 19 2 2 2" xfId="10922" xr:uid="{00000000-0005-0000-0000-0000A82A0000}"/>
    <cellStyle name="쉼표 [0] 19 2 3" xfId="10923" xr:uid="{00000000-0005-0000-0000-0000A92A0000}"/>
    <cellStyle name="쉼표 [0] 19 2 4" xfId="10924" xr:uid="{00000000-0005-0000-0000-0000AA2A0000}"/>
    <cellStyle name="쉼표 [0] 19 3" xfId="10925" xr:uid="{00000000-0005-0000-0000-0000AB2A0000}"/>
    <cellStyle name="쉼표 [0] 19 3 2" xfId="10926" xr:uid="{00000000-0005-0000-0000-0000AC2A0000}"/>
    <cellStyle name="쉼표 [0] 19 4" xfId="10927" xr:uid="{00000000-0005-0000-0000-0000AD2A0000}"/>
    <cellStyle name="쉼표 [0] 19 5" xfId="10928" xr:uid="{00000000-0005-0000-0000-0000AE2A0000}"/>
    <cellStyle name="쉼표 [0] 2" xfId="10929" xr:uid="{00000000-0005-0000-0000-0000AF2A0000}"/>
    <cellStyle name="쉼표 [0] 2 10" xfId="10930" xr:uid="{00000000-0005-0000-0000-0000B02A0000}"/>
    <cellStyle name="쉼표 [0] 2 10 2" xfId="10931" xr:uid="{00000000-0005-0000-0000-0000B12A0000}"/>
    <cellStyle name="쉼표 [0] 2 10 3" xfId="10932" xr:uid="{00000000-0005-0000-0000-0000B22A0000}"/>
    <cellStyle name="쉼표 [0] 2 10 4" xfId="10933" xr:uid="{00000000-0005-0000-0000-0000B32A0000}"/>
    <cellStyle name="쉼표 [0] 2 10 5" xfId="10934" xr:uid="{00000000-0005-0000-0000-0000B42A0000}"/>
    <cellStyle name="쉼표 [0] 2 10 6" xfId="10935" xr:uid="{00000000-0005-0000-0000-0000B52A0000}"/>
    <cellStyle name="쉼표 [0] 2 10 7" xfId="10936" xr:uid="{00000000-0005-0000-0000-0000B62A0000}"/>
    <cellStyle name="쉼표 [0] 2 11" xfId="10937" xr:uid="{00000000-0005-0000-0000-0000B72A0000}"/>
    <cellStyle name="쉼표 [0] 2 11 2" xfId="10938" xr:uid="{00000000-0005-0000-0000-0000B82A0000}"/>
    <cellStyle name="쉼표 [0] 2 11 3" xfId="10939" xr:uid="{00000000-0005-0000-0000-0000B92A0000}"/>
    <cellStyle name="쉼표 [0] 2 11 4" xfId="10940" xr:uid="{00000000-0005-0000-0000-0000BA2A0000}"/>
    <cellStyle name="쉼표 [0] 2 11 5" xfId="10941" xr:uid="{00000000-0005-0000-0000-0000BB2A0000}"/>
    <cellStyle name="쉼표 [0] 2 11 6" xfId="10942" xr:uid="{00000000-0005-0000-0000-0000BC2A0000}"/>
    <cellStyle name="쉼표 [0] 2 12" xfId="10943" xr:uid="{00000000-0005-0000-0000-0000BD2A0000}"/>
    <cellStyle name="쉼표 [0] 2 12 2" xfId="10944" xr:uid="{00000000-0005-0000-0000-0000BE2A0000}"/>
    <cellStyle name="쉼표 [0] 2 12 3" xfId="10945" xr:uid="{00000000-0005-0000-0000-0000BF2A0000}"/>
    <cellStyle name="쉼표 [0] 2 12 4" xfId="10946" xr:uid="{00000000-0005-0000-0000-0000C02A0000}"/>
    <cellStyle name="쉼표 [0] 2 12 5" xfId="10947" xr:uid="{00000000-0005-0000-0000-0000C12A0000}"/>
    <cellStyle name="쉼표 [0] 2 12 6" xfId="10948" xr:uid="{00000000-0005-0000-0000-0000C22A0000}"/>
    <cellStyle name="쉼표 [0] 2 13" xfId="10949" xr:uid="{00000000-0005-0000-0000-0000C32A0000}"/>
    <cellStyle name="쉼표 [0] 2 14" xfId="10950" xr:uid="{00000000-0005-0000-0000-0000C42A0000}"/>
    <cellStyle name="쉼표 [0] 2 15" xfId="10951" xr:uid="{00000000-0005-0000-0000-0000C52A0000}"/>
    <cellStyle name="쉼표 [0] 2 16" xfId="10952" xr:uid="{00000000-0005-0000-0000-0000C62A0000}"/>
    <cellStyle name="쉼표 [0] 2 17" xfId="10953" xr:uid="{00000000-0005-0000-0000-0000C72A0000}"/>
    <cellStyle name="쉼표 [0] 2 18" xfId="10954" xr:uid="{00000000-0005-0000-0000-0000C82A0000}"/>
    <cellStyle name="쉼표 [0] 2 19" xfId="15038" xr:uid="{00000000-0005-0000-0000-0000C92A0000}"/>
    <cellStyle name="쉼표 [0] 2 2" xfId="10955" xr:uid="{00000000-0005-0000-0000-0000CA2A0000}"/>
    <cellStyle name="쉼표 [0] 2 2 2" xfId="10956" xr:uid="{00000000-0005-0000-0000-0000CB2A0000}"/>
    <cellStyle name="쉼표 [0] 2 2 3" xfId="10957" xr:uid="{00000000-0005-0000-0000-0000CC2A0000}"/>
    <cellStyle name="쉼표 [0] 2 2 4" xfId="10958" xr:uid="{00000000-0005-0000-0000-0000CD2A0000}"/>
    <cellStyle name="쉼표 [0] 2 2 5" xfId="10959" xr:uid="{00000000-0005-0000-0000-0000CE2A0000}"/>
    <cellStyle name="쉼표 [0] 2 2 6" xfId="10960" xr:uid="{00000000-0005-0000-0000-0000CF2A0000}"/>
    <cellStyle name="쉼표 [0] 2 2 7" xfId="10961" xr:uid="{00000000-0005-0000-0000-0000D02A0000}"/>
    <cellStyle name="쉼표 [0] 2 2 8" xfId="10962" xr:uid="{00000000-0005-0000-0000-0000D12A0000}"/>
    <cellStyle name="쉼표 [0] 2 3" xfId="10963" xr:uid="{00000000-0005-0000-0000-0000D22A0000}"/>
    <cellStyle name="쉼표 [0] 2 3 2" xfId="10964" xr:uid="{00000000-0005-0000-0000-0000D32A0000}"/>
    <cellStyle name="쉼표 [0] 2 3 2 2" xfId="10965" xr:uid="{00000000-0005-0000-0000-0000D42A0000}"/>
    <cellStyle name="쉼표 [0] 2 3 2 3" xfId="10966" xr:uid="{00000000-0005-0000-0000-0000D52A0000}"/>
    <cellStyle name="쉼표 [0] 2 3 3" xfId="10967" xr:uid="{00000000-0005-0000-0000-0000D62A0000}"/>
    <cellStyle name="쉼표 [0] 2 3 4" xfId="10968" xr:uid="{00000000-0005-0000-0000-0000D72A0000}"/>
    <cellStyle name="쉼표 [0] 2 3 5" xfId="10969" xr:uid="{00000000-0005-0000-0000-0000D82A0000}"/>
    <cellStyle name="쉼표 [0] 2 3 6" xfId="10970" xr:uid="{00000000-0005-0000-0000-0000D92A0000}"/>
    <cellStyle name="쉼표 [0] 2 3 7" xfId="10971" xr:uid="{00000000-0005-0000-0000-0000DA2A0000}"/>
    <cellStyle name="쉼표 [0] 2 3 8" xfId="10972" xr:uid="{00000000-0005-0000-0000-0000DB2A0000}"/>
    <cellStyle name="쉼표 [0] 2 4" xfId="10973" xr:uid="{00000000-0005-0000-0000-0000DC2A0000}"/>
    <cellStyle name="쉼표 [0] 2 4 2" xfId="10974" xr:uid="{00000000-0005-0000-0000-0000DD2A0000}"/>
    <cellStyle name="쉼표 [0] 2 4 3" xfId="10975" xr:uid="{00000000-0005-0000-0000-0000DE2A0000}"/>
    <cellStyle name="쉼표 [0] 2 4 4" xfId="10976" xr:uid="{00000000-0005-0000-0000-0000DF2A0000}"/>
    <cellStyle name="쉼표 [0] 2 4 5" xfId="10977" xr:uid="{00000000-0005-0000-0000-0000E02A0000}"/>
    <cellStyle name="쉼표 [0] 2 4 6" xfId="10978" xr:uid="{00000000-0005-0000-0000-0000E12A0000}"/>
    <cellStyle name="쉼표 [0] 2 5" xfId="10979" xr:uid="{00000000-0005-0000-0000-0000E22A0000}"/>
    <cellStyle name="쉼표 [0] 2 5 2" xfId="10980" xr:uid="{00000000-0005-0000-0000-0000E32A0000}"/>
    <cellStyle name="쉼표 [0] 2 5 3" xfId="10981" xr:uid="{00000000-0005-0000-0000-0000E42A0000}"/>
    <cellStyle name="쉼표 [0] 2 5 4" xfId="10982" xr:uid="{00000000-0005-0000-0000-0000E52A0000}"/>
    <cellStyle name="쉼표 [0] 2 5 5" xfId="10983" xr:uid="{00000000-0005-0000-0000-0000E62A0000}"/>
    <cellStyle name="쉼표 [0] 2 5 6" xfId="10984" xr:uid="{00000000-0005-0000-0000-0000E72A0000}"/>
    <cellStyle name="쉼표 [0] 2 6" xfId="10985" xr:uid="{00000000-0005-0000-0000-0000E82A0000}"/>
    <cellStyle name="쉼표 [0] 2 6 2" xfId="10986" xr:uid="{00000000-0005-0000-0000-0000E92A0000}"/>
    <cellStyle name="쉼표 [0] 2 6 3" xfId="10987" xr:uid="{00000000-0005-0000-0000-0000EA2A0000}"/>
    <cellStyle name="쉼표 [0] 2 6 4" xfId="10988" xr:uid="{00000000-0005-0000-0000-0000EB2A0000}"/>
    <cellStyle name="쉼표 [0] 2 6 5" xfId="10989" xr:uid="{00000000-0005-0000-0000-0000EC2A0000}"/>
    <cellStyle name="쉼표 [0] 2 6 6" xfId="10990" xr:uid="{00000000-0005-0000-0000-0000ED2A0000}"/>
    <cellStyle name="쉼표 [0] 2 7" xfId="10991" xr:uid="{00000000-0005-0000-0000-0000EE2A0000}"/>
    <cellStyle name="쉼표 [0] 2 7 2" xfId="10992" xr:uid="{00000000-0005-0000-0000-0000EF2A0000}"/>
    <cellStyle name="쉼표 [0] 2 7 3" xfId="10993" xr:uid="{00000000-0005-0000-0000-0000F02A0000}"/>
    <cellStyle name="쉼표 [0] 2 7 4" xfId="10994" xr:uid="{00000000-0005-0000-0000-0000F12A0000}"/>
    <cellStyle name="쉼표 [0] 2 7 5" xfId="10995" xr:uid="{00000000-0005-0000-0000-0000F22A0000}"/>
    <cellStyle name="쉼표 [0] 2 7 6" xfId="10996" xr:uid="{00000000-0005-0000-0000-0000F32A0000}"/>
    <cellStyle name="쉼표 [0] 2 8" xfId="10997" xr:uid="{00000000-0005-0000-0000-0000F42A0000}"/>
    <cellStyle name="쉼표 [0] 2 8 2" xfId="10998" xr:uid="{00000000-0005-0000-0000-0000F52A0000}"/>
    <cellStyle name="쉼표 [0] 2 8 3" xfId="10999" xr:uid="{00000000-0005-0000-0000-0000F62A0000}"/>
    <cellStyle name="쉼표 [0] 2 8 4" xfId="11000" xr:uid="{00000000-0005-0000-0000-0000F72A0000}"/>
    <cellStyle name="쉼표 [0] 2 8 5" xfId="11001" xr:uid="{00000000-0005-0000-0000-0000F82A0000}"/>
    <cellStyle name="쉼표 [0] 2 8 6" xfId="11002" xr:uid="{00000000-0005-0000-0000-0000F92A0000}"/>
    <cellStyle name="쉼표 [0] 2 9" xfId="11003" xr:uid="{00000000-0005-0000-0000-0000FA2A0000}"/>
    <cellStyle name="쉼표 [0] 2 9 2" xfId="11004" xr:uid="{00000000-0005-0000-0000-0000FB2A0000}"/>
    <cellStyle name="쉼표 [0] 2 9 3" xfId="11005" xr:uid="{00000000-0005-0000-0000-0000FC2A0000}"/>
    <cellStyle name="쉼표 [0] 2 9 4" xfId="11006" xr:uid="{00000000-0005-0000-0000-0000FD2A0000}"/>
    <cellStyle name="쉼표 [0] 2 9 5" xfId="11007" xr:uid="{00000000-0005-0000-0000-0000FE2A0000}"/>
    <cellStyle name="쉼표 [0] 2 9 6" xfId="11008" xr:uid="{00000000-0005-0000-0000-0000FF2A0000}"/>
    <cellStyle name="쉼표 [0] 2_5.0순공사비산출서(전체)" xfId="11009" xr:uid="{00000000-0005-0000-0000-0000002B0000}"/>
    <cellStyle name="쉼표 [0] 20" xfId="11010" xr:uid="{00000000-0005-0000-0000-0000012B0000}"/>
    <cellStyle name="쉼표 [0] 20 2" xfId="11011" xr:uid="{00000000-0005-0000-0000-0000022B0000}"/>
    <cellStyle name="쉼표 [0] 20 2 2" xfId="11012" xr:uid="{00000000-0005-0000-0000-0000032B0000}"/>
    <cellStyle name="쉼표 [0] 20 3" xfId="11013" xr:uid="{00000000-0005-0000-0000-0000042B0000}"/>
    <cellStyle name="쉼표 [0] 20 4" xfId="11014" xr:uid="{00000000-0005-0000-0000-0000052B0000}"/>
    <cellStyle name="쉼표 [0] 21" xfId="11015" xr:uid="{00000000-0005-0000-0000-0000062B0000}"/>
    <cellStyle name="쉼표 [0] 22" xfId="11016" xr:uid="{00000000-0005-0000-0000-0000072B0000}"/>
    <cellStyle name="쉼표 [0] 22 2" xfId="11017" xr:uid="{00000000-0005-0000-0000-0000082B0000}"/>
    <cellStyle name="쉼표 [0] 22 2 2" xfId="11018" xr:uid="{00000000-0005-0000-0000-0000092B0000}"/>
    <cellStyle name="쉼표 [0] 22 3" xfId="11019" xr:uid="{00000000-0005-0000-0000-00000A2B0000}"/>
    <cellStyle name="쉼표 [0] 22 4" xfId="11020" xr:uid="{00000000-0005-0000-0000-00000B2B0000}"/>
    <cellStyle name="쉼표 [0] 23" xfId="11021" xr:uid="{00000000-0005-0000-0000-00000C2B0000}"/>
    <cellStyle name="쉼표 [0] 3" xfId="11022" xr:uid="{00000000-0005-0000-0000-00000D2B0000}"/>
    <cellStyle name="쉼표 [0] 3 10" xfId="11023" xr:uid="{00000000-0005-0000-0000-00000E2B0000}"/>
    <cellStyle name="쉼표 [0] 3 11" xfId="11024" xr:uid="{00000000-0005-0000-0000-00000F2B0000}"/>
    <cellStyle name="쉼표 [0] 3 12" xfId="11025" xr:uid="{00000000-0005-0000-0000-0000102B0000}"/>
    <cellStyle name="쉼표 [0] 3 13" xfId="11026" xr:uid="{00000000-0005-0000-0000-0000112B0000}"/>
    <cellStyle name="쉼표 [0] 3 14" xfId="11027" xr:uid="{00000000-0005-0000-0000-0000122B0000}"/>
    <cellStyle name="쉼표 [0] 3 2" xfId="11028" xr:uid="{00000000-0005-0000-0000-0000132B0000}"/>
    <cellStyle name="쉼표 [0] 3 2 2" xfId="11029" xr:uid="{00000000-0005-0000-0000-0000142B0000}"/>
    <cellStyle name="쉼표 [0] 3 2 3" xfId="11030" xr:uid="{00000000-0005-0000-0000-0000152B0000}"/>
    <cellStyle name="쉼표 [0] 3 3" xfId="11031" xr:uid="{00000000-0005-0000-0000-0000162B0000}"/>
    <cellStyle name="쉼표 [0] 3 4" xfId="11032" xr:uid="{00000000-0005-0000-0000-0000172B0000}"/>
    <cellStyle name="쉼표 [0] 3 5" xfId="11033" xr:uid="{00000000-0005-0000-0000-0000182B0000}"/>
    <cellStyle name="쉼표 [0] 3 6" xfId="11034" xr:uid="{00000000-0005-0000-0000-0000192B0000}"/>
    <cellStyle name="쉼표 [0] 3 7" xfId="11035" xr:uid="{00000000-0005-0000-0000-00001A2B0000}"/>
    <cellStyle name="쉼표 [0] 3 7 2" xfId="11036" xr:uid="{00000000-0005-0000-0000-00001B2B0000}"/>
    <cellStyle name="쉼표 [0] 3 8" xfId="11037" xr:uid="{00000000-0005-0000-0000-00001C2B0000}"/>
    <cellStyle name="쉼표 [0] 3 9" xfId="11038" xr:uid="{00000000-0005-0000-0000-00001D2B0000}"/>
    <cellStyle name="쉼표 [0] 4" xfId="11039" xr:uid="{00000000-0005-0000-0000-00001E2B0000}"/>
    <cellStyle name="쉼표 [0] 4 2" xfId="11040" xr:uid="{00000000-0005-0000-0000-00001F2B0000}"/>
    <cellStyle name="쉼표 [0] 4 3" xfId="11041" xr:uid="{00000000-0005-0000-0000-0000202B0000}"/>
    <cellStyle name="쉼표 [0] 4 3 2" xfId="11042" xr:uid="{00000000-0005-0000-0000-0000212B0000}"/>
    <cellStyle name="쉼표 [0] 4 4" xfId="11043" xr:uid="{00000000-0005-0000-0000-0000222B0000}"/>
    <cellStyle name="쉼표 [0] 4 5" xfId="11044" xr:uid="{00000000-0005-0000-0000-0000232B0000}"/>
    <cellStyle name="쉼표 [0] 4 6" xfId="11045" xr:uid="{00000000-0005-0000-0000-0000242B0000}"/>
    <cellStyle name="쉼표 [0] 4 6 2" xfId="11046" xr:uid="{00000000-0005-0000-0000-0000252B0000}"/>
    <cellStyle name="쉼표 [0] 5" xfId="11047" xr:uid="{00000000-0005-0000-0000-0000262B0000}"/>
    <cellStyle name="쉼표 [0] 5 10" xfId="11048" xr:uid="{00000000-0005-0000-0000-0000272B0000}"/>
    <cellStyle name="쉼표 [0] 5 10 10" xfId="11049" xr:uid="{00000000-0005-0000-0000-0000282B0000}"/>
    <cellStyle name="쉼표 [0] 5 10 10 2" xfId="11050" xr:uid="{00000000-0005-0000-0000-0000292B0000}"/>
    <cellStyle name="쉼표 [0] 5 10 11" xfId="11051" xr:uid="{00000000-0005-0000-0000-00002A2B0000}"/>
    <cellStyle name="쉼표 [0] 5 10 12" xfId="11052" xr:uid="{00000000-0005-0000-0000-00002B2B0000}"/>
    <cellStyle name="쉼표 [0] 5 10 2" xfId="11053" xr:uid="{00000000-0005-0000-0000-00002C2B0000}"/>
    <cellStyle name="쉼표 [0] 5 10 2 2" xfId="11054" xr:uid="{00000000-0005-0000-0000-00002D2B0000}"/>
    <cellStyle name="쉼표 [0] 5 10 2 2 2" xfId="11055" xr:uid="{00000000-0005-0000-0000-00002E2B0000}"/>
    <cellStyle name="쉼표 [0] 5 10 2 2 2 2" xfId="11056" xr:uid="{00000000-0005-0000-0000-00002F2B0000}"/>
    <cellStyle name="쉼표 [0] 5 10 2 2 2 2 2" xfId="11057" xr:uid="{00000000-0005-0000-0000-0000302B0000}"/>
    <cellStyle name="쉼표 [0] 5 10 2 2 2 3" xfId="11058" xr:uid="{00000000-0005-0000-0000-0000312B0000}"/>
    <cellStyle name="쉼표 [0] 5 10 2 2 2 4" xfId="11059" xr:uid="{00000000-0005-0000-0000-0000322B0000}"/>
    <cellStyle name="쉼표 [0] 5 10 2 2 3" xfId="11060" xr:uid="{00000000-0005-0000-0000-0000332B0000}"/>
    <cellStyle name="쉼표 [0] 5 10 2 2 3 2" xfId="11061" xr:uid="{00000000-0005-0000-0000-0000342B0000}"/>
    <cellStyle name="쉼표 [0] 5 10 2 2 4" xfId="11062" xr:uid="{00000000-0005-0000-0000-0000352B0000}"/>
    <cellStyle name="쉼표 [0] 5 10 2 2 5" xfId="11063" xr:uid="{00000000-0005-0000-0000-0000362B0000}"/>
    <cellStyle name="쉼표 [0] 5 10 2 3" xfId="11064" xr:uid="{00000000-0005-0000-0000-0000372B0000}"/>
    <cellStyle name="쉼표 [0] 5 10 2 3 2" xfId="11065" xr:uid="{00000000-0005-0000-0000-0000382B0000}"/>
    <cellStyle name="쉼표 [0] 5 10 2 3 2 2" xfId="11066" xr:uid="{00000000-0005-0000-0000-0000392B0000}"/>
    <cellStyle name="쉼표 [0] 5 10 2 3 2 2 2" xfId="11067" xr:uid="{00000000-0005-0000-0000-00003A2B0000}"/>
    <cellStyle name="쉼표 [0] 5 10 2 3 2 3" xfId="11068" xr:uid="{00000000-0005-0000-0000-00003B2B0000}"/>
    <cellStyle name="쉼표 [0] 5 10 2 3 2 4" xfId="11069" xr:uid="{00000000-0005-0000-0000-00003C2B0000}"/>
    <cellStyle name="쉼표 [0] 5 10 2 3 3" xfId="11070" xr:uid="{00000000-0005-0000-0000-00003D2B0000}"/>
    <cellStyle name="쉼표 [0] 5 10 2 3 3 2" xfId="11071" xr:uid="{00000000-0005-0000-0000-00003E2B0000}"/>
    <cellStyle name="쉼표 [0] 5 10 2 3 4" xfId="11072" xr:uid="{00000000-0005-0000-0000-00003F2B0000}"/>
    <cellStyle name="쉼표 [0] 5 10 2 3 5" xfId="11073" xr:uid="{00000000-0005-0000-0000-0000402B0000}"/>
    <cellStyle name="쉼표 [0] 5 10 2 4" xfId="11074" xr:uid="{00000000-0005-0000-0000-0000412B0000}"/>
    <cellStyle name="쉼표 [0] 5 10 2 4 2" xfId="11075" xr:uid="{00000000-0005-0000-0000-0000422B0000}"/>
    <cellStyle name="쉼표 [0] 5 10 2 4 2 2" xfId="11076" xr:uid="{00000000-0005-0000-0000-0000432B0000}"/>
    <cellStyle name="쉼표 [0] 5 10 2 4 3" xfId="11077" xr:uid="{00000000-0005-0000-0000-0000442B0000}"/>
    <cellStyle name="쉼표 [0] 5 10 2 4 4" xfId="11078" xr:uid="{00000000-0005-0000-0000-0000452B0000}"/>
    <cellStyle name="쉼표 [0] 5 10 2 5" xfId="11079" xr:uid="{00000000-0005-0000-0000-0000462B0000}"/>
    <cellStyle name="쉼표 [0] 5 10 2 5 2" xfId="11080" xr:uid="{00000000-0005-0000-0000-0000472B0000}"/>
    <cellStyle name="쉼표 [0] 5 10 2 6" xfId="11081" xr:uid="{00000000-0005-0000-0000-0000482B0000}"/>
    <cellStyle name="쉼표 [0] 5 10 2 7" xfId="11082" xr:uid="{00000000-0005-0000-0000-0000492B0000}"/>
    <cellStyle name="쉼표 [0] 5 10 3" xfId="11083" xr:uid="{00000000-0005-0000-0000-00004A2B0000}"/>
    <cellStyle name="쉼표 [0] 5 10 3 2" xfId="11084" xr:uid="{00000000-0005-0000-0000-00004B2B0000}"/>
    <cellStyle name="쉼표 [0] 5 10 3 2 2" xfId="11085" xr:uid="{00000000-0005-0000-0000-00004C2B0000}"/>
    <cellStyle name="쉼표 [0] 5 10 3 2 2 2" xfId="11086" xr:uid="{00000000-0005-0000-0000-00004D2B0000}"/>
    <cellStyle name="쉼표 [0] 5 10 3 2 3" xfId="11087" xr:uid="{00000000-0005-0000-0000-00004E2B0000}"/>
    <cellStyle name="쉼표 [0] 5 10 3 2 4" xfId="11088" xr:uid="{00000000-0005-0000-0000-00004F2B0000}"/>
    <cellStyle name="쉼표 [0] 5 10 3 3" xfId="11089" xr:uid="{00000000-0005-0000-0000-0000502B0000}"/>
    <cellStyle name="쉼표 [0] 5 10 3 3 2" xfId="11090" xr:uid="{00000000-0005-0000-0000-0000512B0000}"/>
    <cellStyle name="쉼표 [0] 5 10 3 4" xfId="11091" xr:uid="{00000000-0005-0000-0000-0000522B0000}"/>
    <cellStyle name="쉼표 [0] 5 10 3 5" xfId="11092" xr:uid="{00000000-0005-0000-0000-0000532B0000}"/>
    <cellStyle name="쉼표 [0] 5 10 4" xfId="11093" xr:uid="{00000000-0005-0000-0000-0000542B0000}"/>
    <cellStyle name="쉼표 [0] 5 10 4 2" xfId="11094" xr:uid="{00000000-0005-0000-0000-0000552B0000}"/>
    <cellStyle name="쉼표 [0] 5 10 4 2 2" xfId="11095" xr:uid="{00000000-0005-0000-0000-0000562B0000}"/>
    <cellStyle name="쉼표 [0] 5 10 4 2 2 2" xfId="11096" xr:uid="{00000000-0005-0000-0000-0000572B0000}"/>
    <cellStyle name="쉼표 [0] 5 10 4 2 3" xfId="11097" xr:uid="{00000000-0005-0000-0000-0000582B0000}"/>
    <cellStyle name="쉼표 [0] 5 10 4 2 4" xfId="11098" xr:uid="{00000000-0005-0000-0000-0000592B0000}"/>
    <cellStyle name="쉼표 [0] 5 10 4 3" xfId="11099" xr:uid="{00000000-0005-0000-0000-00005A2B0000}"/>
    <cellStyle name="쉼표 [0] 5 10 4 3 2" xfId="11100" xr:uid="{00000000-0005-0000-0000-00005B2B0000}"/>
    <cellStyle name="쉼표 [0] 5 10 4 4" xfId="11101" xr:uid="{00000000-0005-0000-0000-00005C2B0000}"/>
    <cellStyle name="쉼표 [0] 5 10 4 5" xfId="11102" xr:uid="{00000000-0005-0000-0000-00005D2B0000}"/>
    <cellStyle name="쉼표 [0] 5 10 5" xfId="11103" xr:uid="{00000000-0005-0000-0000-00005E2B0000}"/>
    <cellStyle name="쉼표 [0] 5 10 5 2" xfId="11104" xr:uid="{00000000-0005-0000-0000-00005F2B0000}"/>
    <cellStyle name="쉼표 [0] 5 10 5 2 2" xfId="11105" xr:uid="{00000000-0005-0000-0000-0000602B0000}"/>
    <cellStyle name="쉼표 [0] 5 10 5 2 2 2" xfId="11106" xr:uid="{00000000-0005-0000-0000-0000612B0000}"/>
    <cellStyle name="쉼표 [0] 5 10 5 2 3" xfId="11107" xr:uid="{00000000-0005-0000-0000-0000622B0000}"/>
    <cellStyle name="쉼표 [0] 5 10 5 2 4" xfId="11108" xr:uid="{00000000-0005-0000-0000-0000632B0000}"/>
    <cellStyle name="쉼표 [0] 5 10 5 3" xfId="11109" xr:uid="{00000000-0005-0000-0000-0000642B0000}"/>
    <cellStyle name="쉼표 [0] 5 10 5 3 2" xfId="11110" xr:uid="{00000000-0005-0000-0000-0000652B0000}"/>
    <cellStyle name="쉼표 [0] 5 10 5 4" xfId="11111" xr:uid="{00000000-0005-0000-0000-0000662B0000}"/>
    <cellStyle name="쉼표 [0] 5 10 5 5" xfId="11112" xr:uid="{00000000-0005-0000-0000-0000672B0000}"/>
    <cellStyle name="쉼표 [0] 5 10 6" xfId="11113" xr:uid="{00000000-0005-0000-0000-0000682B0000}"/>
    <cellStyle name="쉼표 [0] 5 10 6 2" xfId="11114" xr:uid="{00000000-0005-0000-0000-0000692B0000}"/>
    <cellStyle name="쉼표 [0] 5 10 6 2 2" xfId="11115" xr:uid="{00000000-0005-0000-0000-00006A2B0000}"/>
    <cellStyle name="쉼표 [0] 5 10 6 2 2 2" xfId="11116" xr:uid="{00000000-0005-0000-0000-00006B2B0000}"/>
    <cellStyle name="쉼표 [0] 5 10 6 2 3" xfId="11117" xr:uid="{00000000-0005-0000-0000-00006C2B0000}"/>
    <cellStyle name="쉼표 [0] 5 10 6 2 4" xfId="11118" xr:uid="{00000000-0005-0000-0000-00006D2B0000}"/>
    <cellStyle name="쉼표 [0] 5 10 6 3" xfId="11119" xr:uid="{00000000-0005-0000-0000-00006E2B0000}"/>
    <cellStyle name="쉼표 [0] 5 10 6 3 2" xfId="11120" xr:uid="{00000000-0005-0000-0000-00006F2B0000}"/>
    <cellStyle name="쉼표 [0] 5 10 6 4" xfId="11121" xr:uid="{00000000-0005-0000-0000-0000702B0000}"/>
    <cellStyle name="쉼표 [0] 5 10 6 5" xfId="11122" xr:uid="{00000000-0005-0000-0000-0000712B0000}"/>
    <cellStyle name="쉼표 [0] 5 10 7" xfId="11123" xr:uid="{00000000-0005-0000-0000-0000722B0000}"/>
    <cellStyle name="쉼표 [0] 5 10 7 2" xfId="11124" xr:uid="{00000000-0005-0000-0000-0000732B0000}"/>
    <cellStyle name="쉼표 [0] 5 10 7 2 2" xfId="11125" xr:uid="{00000000-0005-0000-0000-0000742B0000}"/>
    <cellStyle name="쉼표 [0] 5 10 7 2 2 2" xfId="11126" xr:uid="{00000000-0005-0000-0000-0000752B0000}"/>
    <cellStyle name="쉼표 [0] 5 10 7 2 3" xfId="11127" xr:uid="{00000000-0005-0000-0000-0000762B0000}"/>
    <cellStyle name="쉼표 [0] 5 10 7 2 4" xfId="11128" xr:uid="{00000000-0005-0000-0000-0000772B0000}"/>
    <cellStyle name="쉼표 [0] 5 10 7 3" xfId="11129" xr:uid="{00000000-0005-0000-0000-0000782B0000}"/>
    <cellStyle name="쉼표 [0] 5 10 7 3 2" xfId="11130" xr:uid="{00000000-0005-0000-0000-0000792B0000}"/>
    <cellStyle name="쉼표 [0] 5 10 7 4" xfId="11131" xr:uid="{00000000-0005-0000-0000-00007A2B0000}"/>
    <cellStyle name="쉼표 [0] 5 10 7 5" xfId="11132" xr:uid="{00000000-0005-0000-0000-00007B2B0000}"/>
    <cellStyle name="쉼표 [0] 5 10 8" xfId="11133" xr:uid="{00000000-0005-0000-0000-00007C2B0000}"/>
    <cellStyle name="쉼표 [0] 5 10 8 2" xfId="11134" xr:uid="{00000000-0005-0000-0000-00007D2B0000}"/>
    <cellStyle name="쉼표 [0] 5 10 8 2 2" xfId="11135" xr:uid="{00000000-0005-0000-0000-00007E2B0000}"/>
    <cellStyle name="쉼표 [0] 5 10 8 2 2 2" xfId="11136" xr:uid="{00000000-0005-0000-0000-00007F2B0000}"/>
    <cellStyle name="쉼표 [0] 5 10 8 2 3" xfId="11137" xr:uid="{00000000-0005-0000-0000-0000802B0000}"/>
    <cellStyle name="쉼표 [0] 5 10 8 2 4" xfId="11138" xr:uid="{00000000-0005-0000-0000-0000812B0000}"/>
    <cellStyle name="쉼표 [0] 5 10 8 3" xfId="11139" xr:uid="{00000000-0005-0000-0000-0000822B0000}"/>
    <cellStyle name="쉼표 [0] 5 10 8 3 2" xfId="11140" xr:uid="{00000000-0005-0000-0000-0000832B0000}"/>
    <cellStyle name="쉼표 [0] 5 10 8 4" xfId="11141" xr:uid="{00000000-0005-0000-0000-0000842B0000}"/>
    <cellStyle name="쉼표 [0] 5 10 8 5" xfId="11142" xr:uid="{00000000-0005-0000-0000-0000852B0000}"/>
    <cellStyle name="쉼표 [0] 5 10 9" xfId="11143" xr:uid="{00000000-0005-0000-0000-0000862B0000}"/>
    <cellStyle name="쉼표 [0] 5 10 9 2" xfId="11144" xr:uid="{00000000-0005-0000-0000-0000872B0000}"/>
    <cellStyle name="쉼표 [0] 5 10 9 2 2" xfId="11145" xr:uid="{00000000-0005-0000-0000-0000882B0000}"/>
    <cellStyle name="쉼표 [0] 5 10 9 3" xfId="11146" xr:uid="{00000000-0005-0000-0000-0000892B0000}"/>
    <cellStyle name="쉼표 [0] 5 10 9 4" xfId="11147" xr:uid="{00000000-0005-0000-0000-00008A2B0000}"/>
    <cellStyle name="쉼표 [0] 5 11" xfId="11148" xr:uid="{00000000-0005-0000-0000-00008B2B0000}"/>
    <cellStyle name="쉼표 [0] 5 2" xfId="11149" xr:uid="{00000000-0005-0000-0000-00008C2B0000}"/>
    <cellStyle name="쉼표 [0] 5 2 2" xfId="11150" xr:uid="{00000000-0005-0000-0000-00008D2B0000}"/>
    <cellStyle name="쉼표 [0] 5 2 2 10" xfId="11151" xr:uid="{00000000-0005-0000-0000-00008E2B0000}"/>
    <cellStyle name="쉼표 [0] 5 2 2 10 2" xfId="11152" xr:uid="{00000000-0005-0000-0000-00008F2B0000}"/>
    <cellStyle name="쉼표 [0] 5 2 2 10 2 2" xfId="11153" xr:uid="{00000000-0005-0000-0000-0000902B0000}"/>
    <cellStyle name="쉼표 [0] 5 2 2 10 3" xfId="11154" xr:uid="{00000000-0005-0000-0000-0000912B0000}"/>
    <cellStyle name="쉼표 [0] 5 2 2 10 4" xfId="11155" xr:uid="{00000000-0005-0000-0000-0000922B0000}"/>
    <cellStyle name="쉼표 [0] 5 2 2 11" xfId="11156" xr:uid="{00000000-0005-0000-0000-0000932B0000}"/>
    <cellStyle name="쉼표 [0] 5 2 2 11 2" xfId="11157" xr:uid="{00000000-0005-0000-0000-0000942B0000}"/>
    <cellStyle name="쉼표 [0] 5 2 2 12" xfId="11158" xr:uid="{00000000-0005-0000-0000-0000952B0000}"/>
    <cellStyle name="쉼표 [0] 5 2 2 13" xfId="11159" xr:uid="{00000000-0005-0000-0000-0000962B0000}"/>
    <cellStyle name="쉼표 [0] 5 2 2 2" xfId="11160" xr:uid="{00000000-0005-0000-0000-0000972B0000}"/>
    <cellStyle name="쉼표 [0] 5 2 2 2 10" xfId="11161" xr:uid="{00000000-0005-0000-0000-0000982B0000}"/>
    <cellStyle name="쉼표 [0] 5 2 2 2 10 2" xfId="11162" xr:uid="{00000000-0005-0000-0000-0000992B0000}"/>
    <cellStyle name="쉼표 [0] 5 2 2 2 11" xfId="11163" xr:uid="{00000000-0005-0000-0000-00009A2B0000}"/>
    <cellStyle name="쉼표 [0] 5 2 2 2 12" xfId="11164" xr:uid="{00000000-0005-0000-0000-00009B2B0000}"/>
    <cellStyle name="쉼표 [0] 5 2 2 2 2" xfId="11165" xr:uid="{00000000-0005-0000-0000-00009C2B0000}"/>
    <cellStyle name="쉼표 [0] 5 2 2 2 2 2" xfId="11166" xr:uid="{00000000-0005-0000-0000-00009D2B0000}"/>
    <cellStyle name="쉼표 [0] 5 2 2 2 2 2 2" xfId="11167" xr:uid="{00000000-0005-0000-0000-00009E2B0000}"/>
    <cellStyle name="쉼표 [0] 5 2 2 2 2 2 2 2" xfId="11168" xr:uid="{00000000-0005-0000-0000-00009F2B0000}"/>
    <cellStyle name="쉼표 [0] 5 2 2 2 2 2 2 2 2" xfId="11169" xr:uid="{00000000-0005-0000-0000-0000A02B0000}"/>
    <cellStyle name="쉼표 [0] 5 2 2 2 2 2 2 3" xfId="11170" xr:uid="{00000000-0005-0000-0000-0000A12B0000}"/>
    <cellStyle name="쉼표 [0] 5 2 2 2 2 2 2 4" xfId="11171" xr:uid="{00000000-0005-0000-0000-0000A22B0000}"/>
    <cellStyle name="쉼표 [0] 5 2 2 2 2 2 3" xfId="11172" xr:uid="{00000000-0005-0000-0000-0000A32B0000}"/>
    <cellStyle name="쉼표 [0] 5 2 2 2 2 2 3 2" xfId="11173" xr:uid="{00000000-0005-0000-0000-0000A42B0000}"/>
    <cellStyle name="쉼표 [0] 5 2 2 2 2 2 4" xfId="11174" xr:uid="{00000000-0005-0000-0000-0000A52B0000}"/>
    <cellStyle name="쉼표 [0] 5 2 2 2 2 2 5" xfId="11175" xr:uid="{00000000-0005-0000-0000-0000A62B0000}"/>
    <cellStyle name="쉼표 [0] 5 2 2 2 2 3" xfId="11176" xr:uid="{00000000-0005-0000-0000-0000A72B0000}"/>
    <cellStyle name="쉼표 [0] 5 2 2 2 2 3 2" xfId="11177" xr:uid="{00000000-0005-0000-0000-0000A82B0000}"/>
    <cellStyle name="쉼표 [0] 5 2 2 2 2 3 2 2" xfId="11178" xr:uid="{00000000-0005-0000-0000-0000A92B0000}"/>
    <cellStyle name="쉼표 [0] 5 2 2 2 2 3 2 2 2" xfId="11179" xr:uid="{00000000-0005-0000-0000-0000AA2B0000}"/>
    <cellStyle name="쉼표 [0] 5 2 2 2 2 3 2 3" xfId="11180" xr:uid="{00000000-0005-0000-0000-0000AB2B0000}"/>
    <cellStyle name="쉼표 [0] 5 2 2 2 2 3 2 4" xfId="11181" xr:uid="{00000000-0005-0000-0000-0000AC2B0000}"/>
    <cellStyle name="쉼표 [0] 5 2 2 2 2 3 3" xfId="11182" xr:uid="{00000000-0005-0000-0000-0000AD2B0000}"/>
    <cellStyle name="쉼표 [0] 5 2 2 2 2 3 3 2" xfId="11183" xr:uid="{00000000-0005-0000-0000-0000AE2B0000}"/>
    <cellStyle name="쉼표 [0] 5 2 2 2 2 3 4" xfId="11184" xr:uid="{00000000-0005-0000-0000-0000AF2B0000}"/>
    <cellStyle name="쉼표 [0] 5 2 2 2 2 3 5" xfId="11185" xr:uid="{00000000-0005-0000-0000-0000B02B0000}"/>
    <cellStyle name="쉼표 [0] 5 2 2 2 2 4" xfId="11186" xr:uid="{00000000-0005-0000-0000-0000B12B0000}"/>
    <cellStyle name="쉼표 [0] 5 2 2 2 2 4 2" xfId="11187" xr:uid="{00000000-0005-0000-0000-0000B22B0000}"/>
    <cellStyle name="쉼표 [0] 5 2 2 2 2 4 2 2" xfId="11188" xr:uid="{00000000-0005-0000-0000-0000B32B0000}"/>
    <cellStyle name="쉼표 [0] 5 2 2 2 2 4 3" xfId="11189" xr:uid="{00000000-0005-0000-0000-0000B42B0000}"/>
    <cellStyle name="쉼표 [0] 5 2 2 2 2 4 4" xfId="11190" xr:uid="{00000000-0005-0000-0000-0000B52B0000}"/>
    <cellStyle name="쉼표 [0] 5 2 2 2 2 5" xfId="11191" xr:uid="{00000000-0005-0000-0000-0000B62B0000}"/>
    <cellStyle name="쉼표 [0] 5 2 2 2 2 5 2" xfId="11192" xr:uid="{00000000-0005-0000-0000-0000B72B0000}"/>
    <cellStyle name="쉼표 [0] 5 2 2 2 2 6" xfId="11193" xr:uid="{00000000-0005-0000-0000-0000B82B0000}"/>
    <cellStyle name="쉼표 [0] 5 2 2 2 2 7" xfId="11194" xr:uid="{00000000-0005-0000-0000-0000B92B0000}"/>
    <cellStyle name="쉼표 [0] 5 2 2 2 3" xfId="11195" xr:uid="{00000000-0005-0000-0000-0000BA2B0000}"/>
    <cellStyle name="쉼표 [0] 5 2 2 2 3 2" xfId="11196" xr:uid="{00000000-0005-0000-0000-0000BB2B0000}"/>
    <cellStyle name="쉼표 [0] 5 2 2 2 3 2 2" xfId="11197" xr:uid="{00000000-0005-0000-0000-0000BC2B0000}"/>
    <cellStyle name="쉼표 [0] 5 2 2 2 3 2 2 2" xfId="11198" xr:uid="{00000000-0005-0000-0000-0000BD2B0000}"/>
    <cellStyle name="쉼표 [0] 5 2 2 2 3 2 3" xfId="11199" xr:uid="{00000000-0005-0000-0000-0000BE2B0000}"/>
    <cellStyle name="쉼표 [0] 5 2 2 2 3 2 4" xfId="11200" xr:uid="{00000000-0005-0000-0000-0000BF2B0000}"/>
    <cellStyle name="쉼표 [0] 5 2 2 2 3 3" xfId="11201" xr:uid="{00000000-0005-0000-0000-0000C02B0000}"/>
    <cellStyle name="쉼표 [0] 5 2 2 2 3 3 2" xfId="11202" xr:uid="{00000000-0005-0000-0000-0000C12B0000}"/>
    <cellStyle name="쉼표 [0] 5 2 2 2 3 4" xfId="11203" xr:uid="{00000000-0005-0000-0000-0000C22B0000}"/>
    <cellStyle name="쉼표 [0] 5 2 2 2 3 5" xfId="11204" xr:uid="{00000000-0005-0000-0000-0000C32B0000}"/>
    <cellStyle name="쉼표 [0] 5 2 2 2 4" xfId="11205" xr:uid="{00000000-0005-0000-0000-0000C42B0000}"/>
    <cellStyle name="쉼표 [0] 5 2 2 2 4 2" xfId="11206" xr:uid="{00000000-0005-0000-0000-0000C52B0000}"/>
    <cellStyle name="쉼표 [0] 5 2 2 2 4 2 2" xfId="11207" xr:uid="{00000000-0005-0000-0000-0000C62B0000}"/>
    <cellStyle name="쉼표 [0] 5 2 2 2 4 2 2 2" xfId="11208" xr:uid="{00000000-0005-0000-0000-0000C72B0000}"/>
    <cellStyle name="쉼표 [0] 5 2 2 2 4 2 3" xfId="11209" xr:uid="{00000000-0005-0000-0000-0000C82B0000}"/>
    <cellStyle name="쉼표 [0] 5 2 2 2 4 2 4" xfId="11210" xr:uid="{00000000-0005-0000-0000-0000C92B0000}"/>
    <cellStyle name="쉼표 [0] 5 2 2 2 4 3" xfId="11211" xr:uid="{00000000-0005-0000-0000-0000CA2B0000}"/>
    <cellStyle name="쉼표 [0] 5 2 2 2 4 3 2" xfId="11212" xr:uid="{00000000-0005-0000-0000-0000CB2B0000}"/>
    <cellStyle name="쉼표 [0] 5 2 2 2 4 4" xfId="11213" xr:uid="{00000000-0005-0000-0000-0000CC2B0000}"/>
    <cellStyle name="쉼표 [0] 5 2 2 2 4 5" xfId="11214" xr:uid="{00000000-0005-0000-0000-0000CD2B0000}"/>
    <cellStyle name="쉼표 [0] 5 2 2 2 5" xfId="11215" xr:uid="{00000000-0005-0000-0000-0000CE2B0000}"/>
    <cellStyle name="쉼표 [0] 5 2 2 2 5 2" xfId="11216" xr:uid="{00000000-0005-0000-0000-0000CF2B0000}"/>
    <cellStyle name="쉼표 [0] 5 2 2 2 5 2 2" xfId="11217" xr:uid="{00000000-0005-0000-0000-0000D02B0000}"/>
    <cellStyle name="쉼표 [0] 5 2 2 2 5 2 2 2" xfId="11218" xr:uid="{00000000-0005-0000-0000-0000D12B0000}"/>
    <cellStyle name="쉼표 [0] 5 2 2 2 5 2 3" xfId="11219" xr:uid="{00000000-0005-0000-0000-0000D22B0000}"/>
    <cellStyle name="쉼표 [0] 5 2 2 2 5 2 4" xfId="11220" xr:uid="{00000000-0005-0000-0000-0000D32B0000}"/>
    <cellStyle name="쉼표 [0] 5 2 2 2 5 3" xfId="11221" xr:uid="{00000000-0005-0000-0000-0000D42B0000}"/>
    <cellStyle name="쉼표 [0] 5 2 2 2 5 3 2" xfId="11222" xr:uid="{00000000-0005-0000-0000-0000D52B0000}"/>
    <cellStyle name="쉼표 [0] 5 2 2 2 5 4" xfId="11223" xr:uid="{00000000-0005-0000-0000-0000D62B0000}"/>
    <cellStyle name="쉼표 [0] 5 2 2 2 5 5" xfId="11224" xr:uid="{00000000-0005-0000-0000-0000D72B0000}"/>
    <cellStyle name="쉼표 [0] 5 2 2 2 6" xfId="11225" xr:uid="{00000000-0005-0000-0000-0000D82B0000}"/>
    <cellStyle name="쉼표 [0] 5 2 2 2 6 2" xfId="11226" xr:uid="{00000000-0005-0000-0000-0000D92B0000}"/>
    <cellStyle name="쉼표 [0] 5 2 2 2 6 2 2" xfId="11227" xr:uid="{00000000-0005-0000-0000-0000DA2B0000}"/>
    <cellStyle name="쉼표 [0] 5 2 2 2 6 2 2 2" xfId="11228" xr:uid="{00000000-0005-0000-0000-0000DB2B0000}"/>
    <cellStyle name="쉼표 [0] 5 2 2 2 6 2 3" xfId="11229" xr:uid="{00000000-0005-0000-0000-0000DC2B0000}"/>
    <cellStyle name="쉼표 [0] 5 2 2 2 6 2 4" xfId="11230" xr:uid="{00000000-0005-0000-0000-0000DD2B0000}"/>
    <cellStyle name="쉼표 [0] 5 2 2 2 6 3" xfId="11231" xr:uid="{00000000-0005-0000-0000-0000DE2B0000}"/>
    <cellStyle name="쉼표 [0] 5 2 2 2 6 3 2" xfId="11232" xr:uid="{00000000-0005-0000-0000-0000DF2B0000}"/>
    <cellStyle name="쉼표 [0] 5 2 2 2 6 4" xfId="11233" xr:uid="{00000000-0005-0000-0000-0000E02B0000}"/>
    <cellStyle name="쉼표 [0] 5 2 2 2 6 5" xfId="11234" xr:uid="{00000000-0005-0000-0000-0000E12B0000}"/>
    <cellStyle name="쉼표 [0] 5 2 2 2 7" xfId="11235" xr:uid="{00000000-0005-0000-0000-0000E22B0000}"/>
    <cellStyle name="쉼표 [0] 5 2 2 2 7 2" xfId="11236" xr:uid="{00000000-0005-0000-0000-0000E32B0000}"/>
    <cellStyle name="쉼표 [0] 5 2 2 2 7 2 2" xfId="11237" xr:uid="{00000000-0005-0000-0000-0000E42B0000}"/>
    <cellStyle name="쉼표 [0] 5 2 2 2 7 2 2 2" xfId="11238" xr:uid="{00000000-0005-0000-0000-0000E52B0000}"/>
    <cellStyle name="쉼표 [0] 5 2 2 2 7 2 3" xfId="11239" xr:uid="{00000000-0005-0000-0000-0000E62B0000}"/>
    <cellStyle name="쉼표 [0] 5 2 2 2 7 2 4" xfId="11240" xr:uid="{00000000-0005-0000-0000-0000E72B0000}"/>
    <cellStyle name="쉼표 [0] 5 2 2 2 7 3" xfId="11241" xr:uid="{00000000-0005-0000-0000-0000E82B0000}"/>
    <cellStyle name="쉼표 [0] 5 2 2 2 7 3 2" xfId="11242" xr:uid="{00000000-0005-0000-0000-0000E92B0000}"/>
    <cellStyle name="쉼표 [0] 5 2 2 2 7 4" xfId="11243" xr:uid="{00000000-0005-0000-0000-0000EA2B0000}"/>
    <cellStyle name="쉼표 [0] 5 2 2 2 7 5" xfId="11244" xr:uid="{00000000-0005-0000-0000-0000EB2B0000}"/>
    <cellStyle name="쉼표 [0] 5 2 2 2 8" xfId="11245" xr:uid="{00000000-0005-0000-0000-0000EC2B0000}"/>
    <cellStyle name="쉼표 [0] 5 2 2 2 8 2" xfId="11246" xr:uid="{00000000-0005-0000-0000-0000ED2B0000}"/>
    <cellStyle name="쉼표 [0] 5 2 2 2 8 2 2" xfId="11247" xr:uid="{00000000-0005-0000-0000-0000EE2B0000}"/>
    <cellStyle name="쉼표 [0] 5 2 2 2 8 2 2 2" xfId="11248" xr:uid="{00000000-0005-0000-0000-0000EF2B0000}"/>
    <cellStyle name="쉼표 [0] 5 2 2 2 8 2 3" xfId="11249" xr:uid="{00000000-0005-0000-0000-0000F02B0000}"/>
    <cellStyle name="쉼표 [0] 5 2 2 2 8 2 4" xfId="11250" xr:uid="{00000000-0005-0000-0000-0000F12B0000}"/>
    <cellStyle name="쉼표 [0] 5 2 2 2 8 3" xfId="11251" xr:uid="{00000000-0005-0000-0000-0000F22B0000}"/>
    <cellStyle name="쉼표 [0] 5 2 2 2 8 3 2" xfId="11252" xr:uid="{00000000-0005-0000-0000-0000F32B0000}"/>
    <cellStyle name="쉼표 [0] 5 2 2 2 8 4" xfId="11253" xr:uid="{00000000-0005-0000-0000-0000F42B0000}"/>
    <cellStyle name="쉼표 [0] 5 2 2 2 8 5" xfId="11254" xr:uid="{00000000-0005-0000-0000-0000F52B0000}"/>
    <cellStyle name="쉼표 [0] 5 2 2 2 9" xfId="11255" xr:uid="{00000000-0005-0000-0000-0000F62B0000}"/>
    <cellStyle name="쉼표 [0] 5 2 2 2 9 2" xfId="11256" xr:uid="{00000000-0005-0000-0000-0000F72B0000}"/>
    <cellStyle name="쉼표 [0] 5 2 2 2 9 2 2" xfId="11257" xr:uid="{00000000-0005-0000-0000-0000F82B0000}"/>
    <cellStyle name="쉼표 [0] 5 2 2 2 9 3" xfId="11258" xr:uid="{00000000-0005-0000-0000-0000F92B0000}"/>
    <cellStyle name="쉼표 [0] 5 2 2 2 9 4" xfId="11259" xr:uid="{00000000-0005-0000-0000-0000FA2B0000}"/>
    <cellStyle name="쉼표 [0] 5 2 2 3" xfId="11260" xr:uid="{00000000-0005-0000-0000-0000FB2B0000}"/>
    <cellStyle name="쉼표 [0] 5 2 2 3 2" xfId="11261" xr:uid="{00000000-0005-0000-0000-0000FC2B0000}"/>
    <cellStyle name="쉼표 [0] 5 2 2 3 2 2" xfId="11262" xr:uid="{00000000-0005-0000-0000-0000FD2B0000}"/>
    <cellStyle name="쉼표 [0] 5 2 2 3 2 2 2" xfId="11263" xr:uid="{00000000-0005-0000-0000-0000FE2B0000}"/>
    <cellStyle name="쉼표 [0] 5 2 2 3 2 2 2 2" xfId="11264" xr:uid="{00000000-0005-0000-0000-0000FF2B0000}"/>
    <cellStyle name="쉼표 [0] 5 2 2 3 2 2 3" xfId="11265" xr:uid="{00000000-0005-0000-0000-0000002C0000}"/>
    <cellStyle name="쉼표 [0] 5 2 2 3 2 2 4" xfId="11266" xr:uid="{00000000-0005-0000-0000-0000012C0000}"/>
    <cellStyle name="쉼표 [0] 5 2 2 3 2 3" xfId="11267" xr:uid="{00000000-0005-0000-0000-0000022C0000}"/>
    <cellStyle name="쉼표 [0] 5 2 2 3 2 3 2" xfId="11268" xr:uid="{00000000-0005-0000-0000-0000032C0000}"/>
    <cellStyle name="쉼표 [0] 5 2 2 3 2 4" xfId="11269" xr:uid="{00000000-0005-0000-0000-0000042C0000}"/>
    <cellStyle name="쉼표 [0] 5 2 2 3 2 5" xfId="11270" xr:uid="{00000000-0005-0000-0000-0000052C0000}"/>
    <cellStyle name="쉼표 [0] 5 2 2 3 3" xfId="11271" xr:uid="{00000000-0005-0000-0000-0000062C0000}"/>
    <cellStyle name="쉼표 [0] 5 2 2 3 3 2" xfId="11272" xr:uid="{00000000-0005-0000-0000-0000072C0000}"/>
    <cellStyle name="쉼표 [0] 5 2 2 3 3 2 2" xfId="11273" xr:uid="{00000000-0005-0000-0000-0000082C0000}"/>
    <cellStyle name="쉼표 [0] 5 2 2 3 3 2 2 2" xfId="11274" xr:uid="{00000000-0005-0000-0000-0000092C0000}"/>
    <cellStyle name="쉼표 [0] 5 2 2 3 3 2 3" xfId="11275" xr:uid="{00000000-0005-0000-0000-00000A2C0000}"/>
    <cellStyle name="쉼표 [0] 5 2 2 3 3 2 4" xfId="11276" xr:uid="{00000000-0005-0000-0000-00000B2C0000}"/>
    <cellStyle name="쉼표 [0] 5 2 2 3 3 3" xfId="11277" xr:uid="{00000000-0005-0000-0000-00000C2C0000}"/>
    <cellStyle name="쉼표 [0] 5 2 2 3 3 3 2" xfId="11278" xr:uid="{00000000-0005-0000-0000-00000D2C0000}"/>
    <cellStyle name="쉼표 [0] 5 2 2 3 3 4" xfId="11279" xr:uid="{00000000-0005-0000-0000-00000E2C0000}"/>
    <cellStyle name="쉼표 [0] 5 2 2 3 3 5" xfId="11280" xr:uid="{00000000-0005-0000-0000-00000F2C0000}"/>
    <cellStyle name="쉼표 [0] 5 2 2 3 4" xfId="11281" xr:uid="{00000000-0005-0000-0000-0000102C0000}"/>
    <cellStyle name="쉼표 [0] 5 2 2 3 4 2" xfId="11282" xr:uid="{00000000-0005-0000-0000-0000112C0000}"/>
    <cellStyle name="쉼표 [0] 5 2 2 3 4 2 2" xfId="11283" xr:uid="{00000000-0005-0000-0000-0000122C0000}"/>
    <cellStyle name="쉼표 [0] 5 2 2 3 4 3" xfId="11284" xr:uid="{00000000-0005-0000-0000-0000132C0000}"/>
    <cellStyle name="쉼표 [0] 5 2 2 3 4 4" xfId="11285" xr:uid="{00000000-0005-0000-0000-0000142C0000}"/>
    <cellStyle name="쉼표 [0] 5 2 2 3 5" xfId="11286" xr:uid="{00000000-0005-0000-0000-0000152C0000}"/>
    <cellStyle name="쉼표 [0] 5 2 2 3 5 2" xfId="11287" xr:uid="{00000000-0005-0000-0000-0000162C0000}"/>
    <cellStyle name="쉼표 [0] 5 2 2 3 6" xfId="11288" xr:uid="{00000000-0005-0000-0000-0000172C0000}"/>
    <cellStyle name="쉼표 [0] 5 2 2 3 7" xfId="11289" xr:uid="{00000000-0005-0000-0000-0000182C0000}"/>
    <cellStyle name="쉼표 [0] 5 2 2 4" xfId="11290" xr:uid="{00000000-0005-0000-0000-0000192C0000}"/>
    <cellStyle name="쉼표 [0] 5 2 2 4 2" xfId="11291" xr:uid="{00000000-0005-0000-0000-00001A2C0000}"/>
    <cellStyle name="쉼표 [0] 5 2 2 4 2 2" xfId="11292" xr:uid="{00000000-0005-0000-0000-00001B2C0000}"/>
    <cellStyle name="쉼표 [0] 5 2 2 4 2 2 2" xfId="11293" xr:uid="{00000000-0005-0000-0000-00001C2C0000}"/>
    <cellStyle name="쉼표 [0] 5 2 2 4 2 3" xfId="11294" xr:uid="{00000000-0005-0000-0000-00001D2C0000}"/>
    <cellStyle name="쉼표 [0] 5 2 2 4 2 4" xfId="11295" xr:uid="{00000000-0005-0000-0000-00001E2C0000}"/>
    <cellStyle name="쉼표 [0] 5 2 2 4 3" xfId="11296" xr:uid="{00000000-0005-0000-0000-00001F2C0000}"/>
    <cellStyle name="쉼표 [0] 5 2 2 4 3 2" xfId="11297" xr:uid="{00000000-0005-0000-0000-0000202C0000}"/>
    <cellStyle name="쉼표 [0] 5 2 2 4 4" xfId="11298" xr:uid="{00000000-0005-0000-0000-0000212C0000}"/>
    <cellStyle name="쉼표 [0] 5 2 2 4 5" xfId="11299" xr:uid="{00000000-0005-0000-0000-0000222C0000}"/>
    <cellStyle name="쉼표 [0] 5 2 2 5" xfId="11300" xr:uid="{00000000-0005-0000-0000-0000232C0000}"/>
    <cellStyle name="쉼표 [0] 5 2 2 5 2" xfId="11301" xr:uid="{00000000-0005-0000-0000-0000242C0000}"/>
    <cellStyle name="쉼표 [0] 5 2 2 5 2 2" xfId="11302" xr:uid="{00000000-0005-0000-0000-0000252C0000}"/>
    <cellStyle name="쉼표 [0] 5 2 2 5 2 2 2" xfId="11303" xr:uid="{00000000-0005-0000-0000-0000262C0000}"/>
    <cellStyle name="쉼표 [0] 5 2 2 5 2 3" xfId="11304" xr:uid="{00000000-0005-0000-0000-0000272C0000}"/>
    <cellStyle name="쉼표 [0] 5 2 2 5 2 4" xfId="11305" xr:uid="{00000000-0005-0000-0000-0000282C0000}"/>
    <cellStyle name="쉼표 [0] 5 2 2 5 3" xfId="11306" xr:uid="{00000000-0005-0000-0000-0000292C0000}"/>
    <cellStyle name="쉼표 [0] 5 2 2 5 3 2" xfId="11307" xr:uid="{00000000-0005-0000-0000-00002A2C0000}"/>
    <cellStyle name="쉼표 [0] 5 2 2 5 4" xfId="11308" xr:uid="{00000000-0005-0000-0000-00002B2C0000}"/>
    <cellStyle name="쉼표 [0] 5 2 2 5 5" xfId="11309" xr:uid="{00000000-0005-0000-0000-00002C2C0000}"/>
    <cellStyle name="쉼표 [0] 5 2 2 6" xfId="11310" xr:uid="{00000000-0005-0000-0000-00002D2C0000}"/>
    <cellStyle name="쉼표 [0] 5 2 2 6 2" xfId="11311" xr:uid="{00000000-0005-0000-0000-00002E2C0000}"/>
    <cellStyle name="쉼표 [0] 5 2 2 6 2 2" xfId="11312" xr:uid="{00000000-0005-0000-0000-00002F2C0000}"/>
    <cellStyle name="쉼표 [0] 5 2 2 6 2 2 2" xfId="11313" xr:uid="{00000000-0005-0000-0000-0000302C0000}"/>
    <cellStyle name="쉼표 [0] 5 2 2 6 2 3" xfId="11314" xr:uid="{00000000-0005-0000-0000-0000312C0000}"/>
    <cellStyle name="쉼표 [0] 5 2 2 6 2 4" xfId="11315" xr:uid="{00000000-0005-0000-0000-0000322C0000}"/>
    <cellStyle name="쉼표 [0] 5 2 2 6 3" xfId="11316" xr:uid="{00000000-0005-0000-0000-0000332C0000}"/>
    <cellStyle name="쉼표 [0] 5 2 2 6 3 2" xfId="11317" xr:uid="{00000000-0005-0000-0000-0000342C0000}"/>
    <cellStyle name="쉼표 [0] 5 2 2 6 4" xfId="11318" xr:uid="{00000000-0005-0000-0000-0000352C0000}"/>
    <cellStyle name="쉼표 [0] 5 2 2 6 5" xfId="11319" xr:uid="{00000000-0005-0000-0000-0000362C0000}"/>
    <cellStyle name="쉼표 [0] 5 2 2 7" xfId="11320" xr:uid="{00000000-0005-0000-0000-0000372C0000}"/>
    <cellStyle name="쉼표 [0] 5 2 2 7 2" xfId="11321" xr:uid="{00000000-0005-0000-0000-0000382C0000}"/>
    <cellStyle name="쉼표 [0] 5 2 2 7 2 2" xfId="11322" xr:uid="{00000000-0005-0000-0000-0000392C0000}"/>
    <cellStyle name="쉼표 [0] 5 2 2 7 2 2 2" xfId="11323" xr:uid="{00000000-0005-0000-0000-00003A2C0000}"/>
    <cellStyle name="쉼표 [0] 5 2 2 7 2 3" xfId="11324" xr:uid="{00000000-0005-0000-0000-00003B2C0000}"/>
    <cellStyle name="쉼표 [0] 5 2 2 7 2 4" xfId="11325" xr:uid="{00000000-0005-0000-0000-00003C2C0000}"/>
    <cellStyle name="쉼표 [0] 5 2 2 7 3" xfId="11326" xr:uid="{00000000-0005-0000-0000-00003D2C0000}"/>
    <cellStyle name="쉼표 [0] 5 2 2 7 3 2" xfId="11327" xr:uid="{00000000-0005-0000-0000-00003E2C0000}"/>
    <cellStyle name="쉼표 [0] 5 2 2 7 4" xfId="11328" xr:uid="{00000000-0005-0000-0000-00003F2C0000}"/>
    <cellStyle name="쉼표 [0] 5 2 2 7 5" xfId="11329" xr:uid="{00000000-0005-0000-0000-0000402C0000}"/>
    <cellStyle name="쉼표 [0] 5 2 2 8" xfId="11330" xr:uid="{00000000-0005-0000-0000-0000412C0000}"/>
    <cellStyle name="쉼표 [0] 5 2 2 8 2" xfId="11331" xr:uid="{00000000-0005-0000-0000-0000422C0000}"/>
    <cellStyle name="쉼표 [0] 5 2 2 8 2 2" xfId="11332" xr:uid="{00000000-0005-0000-0000-0000432C0000}"/>
    <cellStyle name="쉼표 [0] 5 2 2 8 2 2 2" xfId="11333" xr:uid="{00000000-0005-0000-0000-0000442C0000}"/>
    <cellStyle name="쉼표 [0] 5 2 2 8 2 3" xfId="11334" xr:uid="{00000000-0005-0000-0000-0000452C0000}"/>
    <cellStyle name="쉼표 [0] 5 2 2 8 2 4" xfId="11335" xr:uid="{00000000-0005-0000-0000-0000462C0000}"/>
    <cellStyle name="쉼표 [0] 5 2 2 8 3" xfId="11336" xr:uid="{00000000-0005-0000-0000-0000472C0000}"/>
    <cellStyle name="쉼표 [0] 5 2 2 8 3 2" xfId="11337" xr:uid="{00000000-0005-0000-0000-0000482C0000}"/>
    <cellStyle name="쉼표 [0] 5 2 2 8 4" xfId="11338" xr:uid="{00000000-0005-0000-0000-0000492C0000}"/>
    <cellStyle name="쉼표 [0] 5 2 2 8 5" xfId="11339" xr:uid="{00000000-0005-0000-0000-00004A2C0000}"/>
    <cellStyle name="쉼표 [0] 5 2 2 9" xfId="11340" xr:uid="{00000000-0005-0000-0000-00004B2C0000}"/>
    <cellStyle name="쉼표 [0] 5 2 2 9 2" xfId="11341" xr:uid="{00000000-0005-0000-0000-00004C2C0000}"/>
    <cellStyle name="쉼표 [0] 5 2 2 9 2 2" xfId="11342" xr:uid="{00000000-0005-0000-0000-00004D2C0000}"/>
    <cellStyle name="쉼표 [0] 5 2 2 9 2 2 2" xfId="11343" xr:uid="{00000000-0005-0000-0000-00004E2C0000}"/>
    <cellStyle name="쉼표 [0] 5 2 2 9 2 3" xfId="11344" xr:uid="{00000000-0005-0000-0000-00004F2C0000}"/>
    <cellStyle name="쉼표 [0] 5 2 2 9 2 4" xfId="11345" xr:uid="{00000000-0005-0000-0000-0000502C0000}"/>
    <cellStyle name="쉼표 [0] 5 2 2 9 3" xfId="11346" xr:uid="{00000000-0005-0000-0000-0000512C0000}"/>
    <cellStyle name="쉼표 [0] 5 2 2 9 3 2" xfId="11347" xr:uid="{00000000-0005-0000-0000-0000522C0000}"/>
    <cellStyle name="쉼표 [0] 5 2 2 9 4" xfId="11348" xr:uid="{00000000-0005-0000-0000-0000532C0000}"/>
    <cellStyle name="쉼표 [0] 5 2 2 9 5" xfId="11349" xr:uid="{00000000-0005-0000-0000-0000542C0000}"/>
    <cellStyle name="쉼표 [0] 5 2 3" xfId="11350" xr:uid="{00000000-0005-0000-0000-0000552C0000}"/>
    <cellStyle name="쉼표 [0] 5 2 4" xfId="11351" xr:uid="{00000000-0005-0000-0000-0000562C0000}"/>
    <cellStyle name="쉼표 [0] 5 2 4 10" xfId="11352" xr:uid="{00000000-0005-0000-0000-0000572C0000}"/>
    <cellStyle name="쉼표 [0] 5 2 4 10 2" xfId="11353" xr:uid="{00000000-0005-0000-0000-0000582C0000}"/>
    <cellStyle name="쉼표 [0] 5 2 4 11" xfId="11354" xr:uid="{00000000-0005-0000-0000-0000592C0000}"/>
    <cellStyle name="쉼표 [0] 5 2 4 12" xfId="11355" xr:uid="{00000000-0005-0000-0000-00005A2C0000}"/>
    <cellStyle name="쉼표 [0] 5 2 4 2" xfId="11356" xr:uid="{00000000-0005-0000-0000-00005B2C0000}"/>
    <cellStyle name="쉼표 [0] 5 2 4 2 2" xfId="11357" xr:uid="{00000000-0005-0000-0000-00005C2C0000}"/>
    <cellStyle name="쉼표 [0] 5 2 4 2 2 2" xfId="11358" xr:uid="{00000000-0005-0000-0000-00005D2C0000}"/>
    <cellStyle name="쉼표 [0] 5 2 4 2 2 2 2" xfId="11359" xr:uid="{00000000-0005-0000-0000-00005E2C0000}"/>
    <cellStyle name="쉼표 [0] 5 2 4 2 2 2 2 2" xfId="11360" xr:uid="{00000000-0005-0000-0000-00005F2C0000}"/>
    <cellStyle name="쉼표 [0] 5 2 4 2 2 2 3" xfId="11361" xr:uid="{00000000-0005-0000-0000-0000602C0000}"/>
    <cellStyle name="쉼표 [0] 5 2 4 2 2 2 4" xfId="11362" xr:uid="{00000000-0005-0000-0000-0000612C0000}"/>
    <cellStyle name="쉼표 [0] 5 2 4 2 2 3" xfId="11363" xr:uid="{00000000-0005-0000-0000-0000622C0000}"/>
    <cellStyle name="쉼표 [0] 5 2 4 2 2 3 2" xfId="11364" xr:uid="{00000000-0005-0000-0000-0000632C0000}"/>
    <cellStyle name="쉼표 [0] 5 2 4 2 2 4" xfId="11365" xr:uid="{00000000-0005-0000-0000-0000642C0000}"/>
    <cellStyle name="쉼표 [0] 5 2 4 2 2 5" xfId="11366" xr:uid="{00000000-0005-0000-0000-0000652C0000}"/>
    <cellStyle name="쉼표 [0] 5 2 4 2 3" xfId="11367" xr:uid="{00000000-0005-0000-0000-0000662C0000}"/>
    <cellStyle name="쉼표 [0] 5 2 4 2 3 2" xfId="11368" xr:uid="{00000000-0005-0000-0000-0000672C0000}"/>
    <cellStyle name="쉼표 [0] 5 2 4 2 3 2 2" xfId="11369" xr:uid="{00000000-0005-0000-0000-0000682C0000}"/>
    <cellStyle name="쉼표 [0] 5 2 4 2 3 2 2 2" xfId="11370" xr:uid="{00000000-0005-0000-0000-0000692C0000}"/>
    <cellStyle name="쉼표 [0] 5 2 4 2 3 2 3" xfId="11371" xr:uid="{00000000-0005-0000-0000-00006A2C0000}"/>
    <cellStyle name="쉼표 [0] 5 2 4 2 3 2 4" xfId="11372" xr:uid="{00000000-0005-0000-0000-00006B2C0000}"/>
    <cellStyle name="쉼표 [0] 5 2 4 2 3 3" xfId="11373" xr:uid="{00000000-0005-0000-0000-00006C2C0000}"/>
    <cellStyle name="쉼표 [0] 5 2 4 2 3 3 2" xfId="11374" xr:uid="{00000000-0005-0000-0000-00006D2C0000}"/>
    <cellStyle name="쉼표 [0] 5 2 4 2 3 4" xfId="11375" xr:uid="{00000000-0005-0000-0000-00006E2C0000}"/>
    <cellStyle name="쉼표 [0] 5 2 4 2 3 5" xfId="11376" xr:uid="{00000000-0005-0000-0000-00006F2C0000}"/>
    <cellStyle name="쉼표 [0] 5 2 4 2 4" xfId="11377" xr:uid="{00000000-0005-0000-0000-0000702C0000}"/>
    <cellStyle name="쉼표 [0] 5 2 4 2 4 2" xfId="11378" xr:uid="{00000000-0005-0000-0000-0000712C0000}"/>
    <cellStyle name="쉼표 [0] 5 2 4 2 4 2 2" xfId="11379" xr:uid="{00000000-0005-0000-0000-0000722C0000}"/>
    <cellStyle name="쉼표 [0] 5 2 4 2 4 3" xfId="11380" xr:uid="{00000000-0005-0000-0000-0000732C0000}"/>
    <cellStyle name="쉼표 [0] 5 2 4 2 4 4" xfId="11381" xr:uid="{00000000-0005-0000-0000-0000742C0000}"/>
    <cellStyle name="쉼표 [0] 5 2 4 2 5" xfId="11382" xr:uid="{00000000-0005-0000-0000-0000752C0000}"/>
    <cellStyle name="쉼표 [0] 5 2 4 2 5 2" xfId="11383" xr:uid="{00000000-0005-0000-0000-0000762C0000}"/>
    <cellStyle name="쉼표 [0] 5 2 4 2 6" xfId="11384" xr:uid="{00000000-0005-0000-0000-0000772C0000}"/>
    <cellStyle name="쉼표 [0] 5 2 4 2 7" xfId="11385" xr:uid="{00000000-0005-0000-0000-0000782C0000}"/>
    <cellStyle name="쉼표 [0] 5 2 4 3" xfId="11386" xr:uid="{00000000-0005-0000-0000-0000792C0000}"/>
    <cellStyle name="쉼표 [0] 5 2 4 3 2" xfId="11387" xr:uid="{00000000-0005-0000-0000-00007A2C0000}"/>
    <cellStyle name="쉼표 [0] 5 2 4 3 2 2" xfId="11388" xr:uid="{00000000-0005-0000-0000-00007B2C0000}"/>
    <cellStyle name="쉼표 [0] 5 2 4 3 2 2 2" xfId="11389" xr:uid="{00000000-0005-0000-0000-00007C2C0000}"/>
    <cellStyle name="쉼표 [0] 5 2 4 3 2 3" xfId="11390" xr:uid="{00000000-0005-0000-0000-00007D2C0000}"/>
    <cellStyle name="쉼표 [0] 5 2 4 3 2 4" xfId="11391" xr:uid="{00000000-0005-0000-0000-00007E2C0000}"/>
    <cellStyle name="쉼표 [0] 5 2 4 3 3" xfId="11392" xr:uid="{00000000-0005-0000-0000-00007F2C0000}"/>
    <cellStyle name="쉼표 [0] 5 2 4 3 3 2" xfId="11393" xr:uid="{00000000-0005-0000-0000-0000802C0000}"/>
    <cellStyle name="쉼표 [0] 5 2 4 3 4" xfId="11394" xr:uid="{00000000-0005-0000-0000-0000812C0000}"/>
    <cellStyle name="쉼표 [0] 5 2 4 3 5" xfId="11395" xr:uid="{00000000-0005-0000-0000-0000822C0000}"/>
    <cellStyle name="쉼표 [0] 5 2 4 4" xfId="11396" xr:uid="{00000000-0005-0000-0000-0000832C0000}"/>
    <cellStyle name="쉼표 [0] 5 2 4 4 2" xfId="11397" xr:uid="{00000000-0005-0000-0000-0000842C0000}"/>
    <cellStyle name="쉼표 [0] 5 2 4 4 2 2" xfId="11398" xr:uid="{00000000-0005-0000-0000-0000852C0000}"/>
    <cellStyle name="쉼표 [0] 5 2 4 4 2 2 2" xfId="11399" xr:uid="{00000000-0005-0000-0000-0000862C0000}"/>
    <cellStyle name="쉼표 [0] 5 2 4 4 2 3" xfId="11400" xr:uid="{00000000-0005-0000-0000-0000872C0000}"/>
    <cellStyle name="쉼표 [0] 5 2 4 4 2 4" xfId="11401" xr:uid="{00000000-0005-0000-0000-0000882C0000}"/>
    <cellStyle name="쉼표 [0] 5 2 4 4 3" xfId="11402" xr:uid="{00000000-0005-0000-0000-0000892C0000}"/>
    <cellStyle name="쉼표 [0] 5 2 4 4 3 2" xfId="11403" xr:uid="{00000000-0005-0000-0000-00008A2C0000}"/>
    <cellStyle name="쉼표 [0] 5 2 4 4 4" xfId="11404" xr:uid="{00000000-0005-0000-0000-00008B2C0000}"/>
    <cellStyle name="쉼표 [0] 5 2 4 4 5" xfId="11405" xr:uid="{00000000-0005-0000-0000-00008C2C0000}"/>
    <cellStyle name="쉼표 [0] 5 2 4 5" xfId="11406" xr:uid="{00000000-0005-0000-0000-00008D2C0000}"/>
    <cellStyle name="쉼표 [0] 5 2 4 5 2" xfId="11407" xr:uid="{00000000-0005-0000-0000-00008E2C0000}"/>
    <cellStyle name="쉼표 [0] 5 2 4 5 2 2" xfId="11408" xr:uid="{00000000-0005-0000-0000-00008F2C0000}"/>
    <cellStyle name="쉼표 [0] 5 2 4 5 2 2 2" xfId="11409" xr:uid="{00000000-0005-0000-0000-0000902C0000}"/>
    <cellStyle name="쉼표 [0] 5 2 4 5 2 3" xfId="11410" xr:uid="{00000000-0005-0000-0000-0000912C0000}"/>
    <cellStyle name="쉼표 [0] 5 2 4 5 2 4" xfId="11411" xr:uid="{00000000-0005-0000-0000-0000922C0000}"/>
    <cellStyle name="쉼표 [0] 5 2 4 5 3" xfId="11412" xr:uid="{00000000-0005-0000-0000-0000932C0000}"/>
    <cellStyle name="쉼표 [0] 5 2 4 5 3 2" xfId="11413" xr:uid="{00000000-0005-0000-0000-0000942C0000}"/>
    <cellStyle name="쉼표 [0] 5 2 4 5 4" xfId="11414" xr:uid="{00000000-0005-0000-0000-0000952C0000}"/>
    <cellStyle name="쉼표 [0] 5 2 4 5 5" xfId="11415" xr:uid="{00000000-0005-0000-0000-0000962C0000}"/>
    <cellStyle name="쉼표 [0] 5 2 4 6" xfId="11416" xr:uid="{00000000-0005-0000-0000-0000972C0000}"/>
    <cellStyle name="쉼표 [0] 5 2 4 6 2" xfId="11417" xr:uid="{00000000-0005-0000-0000-0000982C0000}"/>
    <cellStyle name="쉼표 [0] 5 2 4 6 2 2" xfId="11418" xr:uid="{00000000-0005-0000-0000-0000992C0000}"/>
    <cellStyle name="쉼표 [0] 5 2 4 6 2 2 2" xfId="11419" xr:uid="{00000000-0005-0000-0000-00009A2C0000}"/>
    <cellStyle name="쉼표 [0] 5 2 4 6 2 3" xfId="11420" xr:uid="{00000000-0005-0000-0000-00009B2C0000}"/>
    <cellStyle name="쉼표 [0] 5 2 4 6 2 4" xfId="11421" xr:uid="{00000000-0005-0000-0000-00009C2C0000}"/>
    <cellStyle name="쉼표 [0] 5 2 4 6 3" xfId="11422" xr:uid="{00000000-0005-0000-0000-00009D2C0000}"/>
    <cellStyle name="쉼표 [0] 5 2 4 6 3 2" xfId="11423" xr:uid="{00000000-0005-0000-0000-00009E2C0000}"/>
    <cellStyle name="쉼표 [0] 5 2 4 6 4" xfId="11424" xr:uid="{00000000-0005-0000-0000-00009F2C0000}"/>
    <cellStyle name="쉼표 [0] 5 2 4 6 5" xfId="11425" xr:uid="{00000000-0005-0000-0000-0000A02C0000}"/>
    <cellStyle name="쉼표 [0] 5 2 4 7" xfId="11426" xr:uid="{00000000-0005-0000-0000-0000A12C0000}"/>
    <cellStyle name="쉼표 [0] 5 2 4 7 2" xfId="11427" xr:uid="{00000000-0005-0000-0000-0000A22C0000}"/>
    <cellStyle name="쉼표 [0] 5 2 4 7 2 2" xfId="11428" xr:uid="{00000000-0005-0000-0000-0000A32C0000}"/>
    <cellStyle name="쉼표 [0] 5 2 4 7 2 2 2" xfId="11429" xr:uid="{00000000-0005-0000-0000-0000A42C0000}"/>
    <cellStyle name="쉼표 [0] 5 2 4 7 2 3" xfId="11430" xr:uid="{00000000-0005-0000-0000-0000A52C0000}"/>
    <cellStyle name="쉼표 [0] 5 2 4 7 2 4" xfId="11431" xr:uid="{00000000-0005-0000-0000-0000A62C0000}"/>
    <cellStyle name="쉼표 [0] 5 2 4 7 3" xfId="11432" xr:uid="{00000000-0005-0000-0000-0000A72C0000}"/>
    <cellStyle name="쉼표 [0] 5 2 4 7 3 2" xfId="11433" xr:uid="{00000000-0005-0000-0000-0000A82C0000}"/>
    <cellStyle name="쉼표 [0] 5 2 4 7 4" xfId="11434" xr:uid="{00000000-0005-0000-0000-0000A92C0000}"/>
    <cellStyle name="쉼표 [0] 5 2 4 7 5" xfId="11435" xr:uid="{00000000-0005-0000-0000-0000AA2C0000}"/>
    <cellStyle name="쉼표 [0] 5 2 4 8" xfId="11436" xr:uid="{00000000-0005-0000-0000-0000AB2C0000}"/>
    <cellStyle name="쉼표 [0] 5 2 4 8 2" xfId="11437" xr:uid="{00000000-0005-0000-0000-0000AC2C0000}"/>
    <cellStyle name="쉼표 [0] 5 2 4 8 2 2" xfId="11438" xr:uid="{00000000-0005-0000-0000-0000AD2C0000}"/>
    <cellStyle name="쉼표 [0] 5 2 4 8 2 2 2" xfId="11439" xr:uid="{00000000-0005-0000-0000-0000AE2C0000}"/>
    <cellStyle name="쉼표 [0] 5 2 4 8 2 3" xfId="11440" xr:uid="{00000000-0005-0000-0000-0000AF2C0000}"/>
    <cellStyle name="쉼표 [0] 5 2 4 8 2 4" xfId="11441" xr:uid="{00000000-0005-0000-0000-0000B02C0000}"/>
    <cellStyle name="쉼표 [0] 5 2 4 8 3" xfId="11442" xr:uid="{00000000-0005-0000-0000-0000B12C0000}"/>
    <cellStyle name="쉼표 [0] 5 2 4 8 3 2" xfId="11443" xr:uid="{00000000-0005-0000-0000-0000B22C0000}"/>
    <cellStyle name="쉼표 [0] 5 2 4 8 4" xfId="11444" xr:uid="{00000000-0005-0000-0000-0000B32C0000}"/>
    <cellStyle name="쉼표 [0] 5 2 4 8 5" xfId="11445" xr:uid="{00000000-0005-0000-0000-0000B42C0000}"/>
    <cellStyle name="쉼표 [0] 5 2 4 9" xfId="11446" xr:uid="{00000000-0005-0000-0000-0000B52C0000}"/>
    <cellStyle name="쉼표 [0] 5 2 4 9 2" xfId="11447" xr:uid="{00000000-0005-0000-0000-0000B62C0000}"/>
    <cellStyle name="쉼표 [0] 5 2 4 9 2 2" xfId="11448" xr:uid="{00000000-0005-0000-0000-0000B72C0000}"/>
    <cellStyle name="쉼표 [0] 5 2 4 9 3" xfId="11449" xr:uid="{00000000-0005-0000-0000-0000B82C0000}"/>
    <cellStyle name="쉼표 [0] 5 2 4 9 4" xfId="11450" xr:uid="{00000000-0005-0000-0000-0000B92C0000}"/>
    <cellStyle name="쉼표 [0] 5 2 5" xfId="11451" xr:uid="{00000000-0005-0000-0000-0000BA2C0000}"/>
    <cellStyle name="쉼표 [0] 5 2 5 10" xfId="11452" xr:uid="{00000000-0005-0000-0000-0000BB2C0000}"/>
    <cellStyle name="쉼표 [0] 5 2 5 10 2" xfId="11453" xr:uid="{00000000-0005-0000-0000-0000BC2C0000}"/>
    <cellStyle name="쉼표 [0] 5 2 5 11" xfId="11454" xr:uid="{00000000-0005-0000-0000-0000BD2C0000}"/>
    <cellStyle name="쉼표 [0] 5 2 5 12" xfId="11455" xr:uid="{00000000-0005-0000-0000-0000BE2C0000}"/>
    <cellStyle name="쉼표 [0] 5 2 5 2" xfId="11456" xr:uid="{00000000-0005-0000-0000-0000BF2C0000}"/>
    <cellStyle name="쉼표 [0] 5 2 5 2 2" xfId="11457" xr:uid="{00000000-0005-0000-0000-0000C02C0000}"/>
    <cellStyle name="쉼표 [0] 5 2 5 2 2 2" xfId="11458" xr:uid="{00000000-0005-0000-0000-0000C12C0000}"/>
    <cellStyle name="쉼표 [0] 5 2 5 2 2 2 2" xfId="11459" xr:uid="{00000000-0005-0000-0000-0000C22C0000}"/>
    <cellStyle name="쉼표 [0] 5 2 5 2 2 2 2 2" xfId="11460" xr:uid="{00000000-0005-0000-0000-0000C32C0000}"/>
    <cellStyle name="쉼표 [0] 5 2 5 2 2 2 3" xfId="11461" xr:uid="{00000000-0005-0000-0000-0000C42C0000}"/>
    <cellStyle name="쉼표 [0] 5 2 5 2 2 2 4" xfId="11462" xr:uid="{00000000-0005-0000-0000-0000C52C0000}"/>
    <cellStyle name="쉼표 [0] 5 2 5 2 2 3" xfId="11463" xr:uid="{00000000-0005-0000-0000-0000C62C0000}"/>
    <cellStyle name="쉼표 [0] 5 2 5 2 2 3 2" xfId="11464" xr:uid="{00000000-0005-0000-0000-0000C72C0000}"/>
    <cellStyle name="쉼표 [0] 5 2 5 2 2 4" xfId="11465" xr:uid="{00000000-0005-0000-0000-0000C82C0000}"/>
    <cellStyle name="쉼표 [0] 5 2 5 2 2 5" xfId="11466" xr:uid="{00000000-0005-0000-0000-0000C92C0000}"/>
    <cellStyle name="쉼표 [0] 5 2 5 2 3" xfId="11467" xr:uid="{00000000-0005-0000-0000-0000CA2C0000}"/>
    <cellStyle name="쉼표 [0] 5 2 5 2 3 2" xfId="11468" xr:uid="{00000000-0005-0000-0000-0000CB2C0000}"/>
    <cellStyle name="쉼표 [0] 5 2 5 2 3 2 2" xfId="11469" xr:uid="{00000000-0005-0000-0000-0000CC2C0000}"/>
    <cellStyle name="쉼표 [0] 5 2 5 2 3 2 2 2" xfId="11470" xr:uid="{00000000-0005-0000-0000-0000CD2C0000}"/>
    <cellStyle name="쉼표 [0] 5 2 5 2 3 2 3" xfId="11471" xr:uid="{00000000-0005-0000-0000-0000CE2C0000}"/>
    <cellStyle name="쉼표 [0] 5 2 5 2 3 2 4" xfId="11472" xr:uid="{00000000-0005-0000-0000-0000CF2C0000}"/>
    <cellStyle name="쉼표 [0] 5 2 5 2 3 3" xfId="11473" xr:uid="{00000000-0005-0000-0000-0000D02C0000}"/>
    <cellStyle name="쉼표 [0] 5 2 5 2 3 3 2" xfId="11474" xr:uid="{00000000-0005-0000-0000-0000D12C0000}"/>
    <cellStyle name="쉼표 [0] 5 2 5 2 3 4" xfId="11475" xr:uid="{00000000-0005-0000-0000-0000D22C0000}"/>
    <cellStyle name="쉼표 [0] 5 2 5 2 3 5" xfId="11476" xr:uid="{00000000-0005-0000-0000-0000D32C0000}"/>
    <cellStyle name="쉼표 [0] 5 2 5 2 4" xfId="11477" xr:uid="{00000000-0005-0000-0000-0000D42C0000}"/>
    <cellStyle name="쉼표 [0] 5 2 5 2 4 2" xfId="11478" xr:uid="{00000000-0005-0000-0000-0000D52C0000}"/>
    <cellStyle name="쉼표 [0] 5 2 5 2 4 2 2" xfId="11479" xr:uid="{00000000-0005-0000-0000-0000D62C0000}"/>
    <cellStyle name="쉼표 [0] 5 2 5 2 4 3" xfId="11480" xr:uid="{00000000-0005-0000-0000-0000D72C0000}"/>
    <cellStyle name="쉼표 [0] 5 2 5 2 4 4" xfId="11481" xr:uid="{00000000-0005-0000-0000-0000D82C0000}"/>
    <cellStyle name="쉼표 [0] 5 2 5 2 5" xfId="11482" xr:uid="{00000000-0005-0000-0000-0000D92C0000}"/>
    <cellStyle name="쉼표 [0] 5 2 5 2 5 2" xfId="11483" xr:uid="{00000000-0005-0000-0000-0000DA2C0000}"/>
    <cellStyle name="쉼표 [0] 5 2 5 2 6" xfId="11484" xr:uid="{00000000-0005-0000-0000-0000DB2C0000}"/>
    <cellStyle name="쉼표 [0] 5 2 5 2 7" xfId="11485" xr:uid="{00000000-0005-0000-0000-0000DC2C0000}"/>
    <cellStyle name="쉼표 [0] 5 2 5 3" xfId="11486" xr:uid="{00000000-0005-0000-0000-0000DD2C0000}"/>
    <cellStyle name="쉼표 [0] 5 2 5 3 2" xfId="11487" xr:uid="{00000000-0005-0000-0000-0000DE2C0000}"/>
    <cellStyle name="쉼표 [0] 5 2 5 3 2 2" xfId="11488" xr:uid="{00000000-0005-0000-0000-0000DF2C0000}"/>
    <cellStyle name="쉼표 [0] 5 2 5 3 2 2 2" xfId="11489" xr:uid="{00000000-0005-0000-0000-0000E02C0000}"/>
    <cellStyle name="쉼표 [0] 5 2 5 3 2 3" xfId="11490" xr:uid="{00000000-0005-0000-0000-0000E12C0000}"/>
    <cellStyle name="쉼표 [0] 5 2 5 3 2 4" xfId="11491" xr:uid="{00000000-0005-0000-0000-0000E22C0000}"/>
    <cellStyle name="쉼표 [0] 5 2 5 3 3" xfId="11492" xr:uid="{00000000-0005-0000-0000-0000E32C0000}"/>
    <cellStyle name="쉼표 [0] 5 2 5 3 3 2" xfId="11493" xr:uid="{00000000-0005-0000-0000-0000E42C0000}"/>
    <cellStyle name="쉼표 [0] 5 2 5 3 4" xfId="11494" xr:uid="{00000000-0005-0000-0000-0000E52C0000}"/>
    <cellStyle name="쉼표 [0] 5 2 5 3 5" xfId="11495" xr:uid="{00000000-0005-0000-0000-0000E62C0000}"/>
    <cellStyle name="쉼표 [0] 5 2 5 4" xfId="11496" xr:uid="{00000000-0005-0000-0000-0000E72C0000}"/>
    <cellStyle name="쉼표 [0] 5 2 5 4 2" xfId="11497" xr:uid="{00000000-0005-0000-0000-0000E82C0000}"/>
    <cellStyle name="쉼표 [0] 5 2 5 4 2 2" xfId="11498" xr:uid="{00000000-0005-0000-0000-0000E92C0000}"/>
    <cellStyle name="쉼표 [0] 5 2 5 4 2 2 2" xfId="11499" xr:uid="{00000000-0005-0000-0000-0000EA2C0000}"/>
    <cellStyle name="쉼표 [0] 5 2 5 4 2 3" xfId="11500" xr:uid="{00000000-0005-0000-0000-0000EB2C0000}"/>
    <cellStyle name="쉼표 [0] 5 2 5 4 2 4" xfId="11501" xr:uid="{00000000-0005-0000-0000-0000EC2C0000}"/>
    <cellStyle name="쉼표 [0] 5 2 5 4 3" xfId="11502" xr:uid="{00000000-0005-0000-0000-0000ED2C0000}"/>
    <cellStyle name="쉼표 [0] 5 2 5 4 3 2" xfId="11503" xr:uid="{00000000-0005-0000-0000-0000EE2C0000}"/>
    <cellStyle name="쉼표 [0] 5 2 5 4 4" xfId="11504" xr:uid="{00000000-0005-0000-0000-0000EF2C0000}"/>
    <cellStyle name="쉼표 [0] 5 2 5 4 5" xfId="11505" xr:uid="{00000000-0005-0000-0000-0000F02C0000}"/>
    <cellStyle name="쉼표 [0] 5 2 5 5" xfId="11506" xr:uid="{00000000-0005-0000-0000-0000F12C0000}"/>
    <cellStyle name="쉼표 [0] 5 2 5 5 2" xfId="11507" xr:uid="{00000000-0005-0000-0000-0000F22C0000}"/>
    <cellStyle name="쉼표 [0] 5 2 5 5 2 2" xfId="11508" xr:uid="{00000000-0005-0000-0000-0000F32C0000}"/>
    <cellStyle name="쉼표 [0] 5 2 5 5 2 2 2" xfId="11509" xr:uid="{00000000-0005-0000-0000-0000F42C0000}"/>
    <cellStyle name="쉼표 [0] 5 2 5 5 2 3" xfId="11510" xr:uid="{00000000-0005-0000-0000-0000F52C0000}"/>
    <cellStyle name="쉼표 [0] 5 2 5 5 2 4" xfId="11511" xr:uid="{00000000-0005-0000-0000-0000F62C0000}"/>
    <cellStyle name="쉼표 [0] 5 2 5 5 3" xfId="11512" xr:uid="{00000000-0005-0000-0000-0000F72C0000}"/>
    <cellStyle name="쉼표 [0] 5 2 5 5 3 2" xfId="11513" xr:uid="{00000000-0005-0000-0000-0000F82C0000}"/>
    <cellStyle name="쉼표 [0] 5 2 5 5 4" xfId="11514" xr:uid="{00000000-0005-0000-0000-0000F92C0000}"/>
    <cellStyle name="쉼표 [0] 5 2 5 5 5" xfId="11515" xr:uid="{00000000-0005-0000-0000-0000FA2C0000}"/>
    <cellStyle name="쉼표 [0] 5 2 5 6" xfId="11516" xr:uid="{00000000-0005-0000-0000-0000FB2C0000}"/>
    <cellStyle name="쉼표 [0] 5 2 5 6 2" xfId="11517" xr:uid="{00000000-0005-0000-0000-0000FC2C0000}"/>
    <cellStyle name="쉼표 [0] 5 2 5 6 2 2" xfId="11518" xr:uid="{00000000-0005-0000-0000-0000FD2C0000}"/>
    <cellStyle name="쉼표 [0] 5 2 5 6 2 2 2" xfId="11519" xr:uid="{00000000-0005-0000-0000-0000FE2C0000}"/>
    <cellStyle name="쉼표 [0] 5 2 5 6 2 3" xfId="11520" xr:uid="{00000000-0005-0000-0000-0000FF2C0000}"/>
    <cellStyle name="쉼표 [0] 5 2 5 6 2 4" xfId="11521" xr:uid="{00000000-0005-0000-0000-0000002D0000}"/>
    <cellStyle name="쉼표 [0] 5 2 5 6 3" xfId="11522" xr:uid="{00000000-0005-0000-0000-0000012D0000}"/>
    <cellStyle name="쉼표 [0] 5 2 5 6 3 2" xfId="11523" xr:uid="{00000000-0005-0000-0000-0000022D0000}"/>
    <cellStyle name="쉼표 [0] 5 2 5 6 4" xfId="11524" xr:uid="{00000000-0005-0000-0000-0000032D0000}"/>
    <cellStyle name="쉼표 [0] 5 2 5 6 5" xfId="11525" xr:uid="{00000000-0005-0000-0000-0000042D0000}"/>
    <cellStyle name="쉼표 [0] 5 2 5 7" xfId="11526" xr:uid="{00000000-0005-0000-0000-0000052D0000}"/>
    <cellStyle name="쉼표 [0] 5 2 5 7 2" xfId="11527" xr:uid="{00000000-0005-0000-0000-0000062D0000}"/>
    <cellStyle name="쉼표 [0] 5 2 5 7 2 2" xfId="11528" xr:uid="{00000000-0005-0000-0000-0000072D0000}"/>
    <cellStyle name="쉼표 [0] 5 2 5 7 2 2 2" xfId="11529" xr:uid="{00000000-0005-0000-0000-0000082D0000}"/>
    <cellStyle name="쉼표 [0] 5 2 5 7 2 3" xfId="11530" xr:uid="{00000000-0005-0000-0000-0000092D0000}"/>
    <cellStyle name="쉼표 [0] 5 2 5 7 2 4" xfId="11531" xr:uid="{00000000-0005-0000-0000-00000A2D0000}"/>
    <cellStyle name="쉼표 [0] 5 2 5 7 3" xfId="11532" xr:uid="{00000000-0005-0000-0000-00000B2D0000}"/>
    <cellStyle name="쉼표 [0] 5 2 5 7 3 2" xfId="11533" xr:uid="{00000000-0005-0000-0000-00000C2D0000}"/>
    <cellStyle name="쉼표 [0] 5 2 5 7 4" xfId="11534" xr:uid="{00000000-0005-0000-0000-00000D2D0000}"/>
    <cellStyle name="쉼표 [0] 5 2 5 7 5" xfId="11535" xr:uid="{00000000-0005-0000-0000-00000E2D0000}"/>
    <cellStyle name="쉼표 [0] 5 2 5 8" xfId="11536" xr:uid="{00000000-0005-0000-0000-00000F2D0000}"/>
    <cellStyle name="쉼표 [0] 5 2 5 8 2" xfId="11537" xr:uid="{00000000-0005-0000-0000-0000102D0000}"/>
    <cellStyle name="쉼표 [0] 5 2 5 8 2 2" xfId="11538" xr:uid="{00000000-0005-0000-0000-0000112D0000}"/>
    <cellStyle name="쉼표 [0] 5 2 5 8 2 2 2" xfId="11539" xr:uid="{00000000-0005-0000-0000-0000122D0000}"/>
    <cellStyle name="쉼표 [0] 5 2 5 8 2 3" xfId="11540" xr:uid="{00000000-0005-0000-0000-0000132D0000}"/>
    <cellStyle name="쉼표 [0] 5 2 5 8 2 4" xfId="11541" xr:uid="{00000000-0005-0000-0000-0000142D0000}"/>
    <cellStyle name="쉼표 [0] 5 2 5 8 3" xfId="11542" xr:uid="{00000000-0005-0000-0000-0000152D0000}"/>
    <cellStyle name="쉼표 [0] 5 2 5 8 3 2" xfId="11543" xr:uid="{00000000-0005-0000-0000-0000162D0000}"/>
    <cellStyle name="쉼표 [0] 5 2 5 8 4" xfId="11544" xr:uid="{00000000-0005-0000-0000-0000172D0000}"/>
    <cellStyle name="쉼표 [0] 5 2 5 8 5" xfId="11545" xr:uid="{00000000-0005-0000-0000-0000182D0000}"/>
    <cellStyle name="쉼표 [0] 5 2 5 9" xfId="11546" xr:uid="{00000000-0005-0000-0000-0000192D0000}"/>
    <cellStyle name="쉼표 [0] 5 2 5 9 2" xfId="11547" xr:uid="{00000000-0005-0000-0000-00001A2D0000}"/>
    <cellStyle name="쉼표 [0] 5 2 5 9 2 2" xfId="11548" xr:uid="{00000000-0005-0000-0000-00001B2D0000}"/>
    <cellStyle name="쉼표 [0] 5 2 5 9 3" xfId="11549" xr:uid="{00000000-0005-0000-0000-00001C2D0000}"/>
    <cellStyle name="쉼표 [0] 5 2 5 9 4" xfId="11550" xr:uid="{00000000-0005-0000-0000-00001D2D0000}"/>
    <cellStyle name="쉼표 [0] 5 3" xfId="11551" xr:uid="{00000000-0005-0000-0000-00001E2D0000}"/>
    <cellStyle name="쉼표 [0] 5 4" xfId="11552" xr:uid="{00000000-0005-0000-0000-00001F2D0000}"/>
    <cellStyle name="쉼표 [0] 5 5" xfId="11553" xr:uid="{00000000-0005-0000-0000-0000202D0000}"/>
    <cellStyle name="쉼표 [0] 5 6" xfId="11554" xr:uid="{00000000-0005-0000-0000-0000212D0000}"/>
    <cellStyle name="쉼표 [0] 5 7" xfId="11555" xr:uid="{00000000-0005-0000-0000-0000222D0000}"/>
    <cellStyle name="쉼표 [0] 5 7 10" xfId="11556" xr:uid="{00000000-0005-0000-0000-0000232D0000}"/>
    <cellStyle name="쉼표 [0] 5 7 10 2" xfId="11557" xr:uid="{00000000-0005-0000-0000-0000242D0000}"/>
    <cellStyle name="쉼표 [0] 5 7 10 2 2" xfId="11558" xr:uid="{00000000-0005-0000-0000-0000252D0000}"/>
    <cellStyle name="쉼표 [0] 5 7 10 3" xfId="11559" xr:uid="{00000000-0005-0000-0000-0000262D0000}"/>
    <cellStyle name="쉼표 [0] 5 7 10 4" xfId="11560" xr:uid="{00000000-0005-0000-0000-0000272D0000}"/>
    <cellStyle name="쉼표 [0] 5 7 11" xfId="11561" xr:uid="{00000000-0005-0000-0000-0000282D0000}"/>
    <cellStyle name="쉼표 [0] 5 7 11 2" xfId="11562" xr:uid="{00000000-0005-0000-0000-0000292D0000}"/>
    <cellStyle name="쉼표 [0] 5 7 12" xfId="11563" xr:uid="{00000000-0005-0000-0000-00002A2D0000}"/>
    <cellStyle name="쉼표 [0] 5 7 13" xfId="11564" xr:uid="{00000000-0005-0000-0000-00002B2D0000}"/>
    <cellStyle name="쉼표 [0] 5 7 2" xfId="11565" xr:uid="{00000000-0005-0000-0000-00002C2D0000}"/>
    <cellStyle name="쉼표 [0] 5 7 2 10" xfId="11566" xr:uid="{00000000-0005-0000-0000-00002D2D0000}"/>
    <cellStyle name="쉼표 [0] 5 7 2 10 2" xfId="11567" xr:uid="{00000000-0005-0000-0000-00002E2D0000}"/>
    <cellStyle name="쉼표 [0] 5 7 2 11" xfId="11568" xr:uid="{00000000-0005-0000-0000-00002F2D0000}"/>
    <cellStyle name="쉼표 [0] 5 7 2 12" xfId="11569" xr:uid="{00000000-0005-0000-0000-0000302D0000}"/>
    <cellStyle name="쉼표 [0] 5 7 2 2" xfId="11570" xr:uid="{00000000-0005-0000-0000-0000312D0000}"/>
    <cellStyle name="쉼표 [0] 5 7 2 2 2" xfId="11571" xr:uid="{00000000-0005-0000-0000-0000322D0000}"/>
    <cellStyle name="쉼표 [0] 5 7 2 2 2 2" xfId="11572" xr:uid="{00000000-0005-0000-0000-0000332D0000}"/>
    <cellStyle name="쉼표 [0] 5 7 2 2 2 2 2" xfId="11573" xr:uid="{00000000-0005-0000-0000-0000342D0000}"/>
    <cellStyle name="쉼표 [0] 5 7 2 2 2 2 2 2" xfId="11574" xr:uid="{00000000-0005-0000-0000-0000352D0000}"/>
    <cellStyle name="쉼표 [0] 5 7 2 2 2 2 3" xfId="11575" xr:uid="{00000000-0005-0000-0000-0000362D0000}"/>
    <cellStyle name="쉼표 [0] 5 7 2 2 2 2 4" xfId="11576" xr:uid="{00000000-0005-0000-0000-0000372D0000}"/>
    <cellStyle name="쉼표 [0] 5 7 2 2 2 3" xfId="11577" xr:uid="{00000000-0005-0000-0000-0000382D0000}"/>
    <cellStyle name="쉼표 [0] 5 7 2 2 2 3 2" xfId="11578" xr:uid="{00000000-0005-0000-0000-0000392D0000}"/>
    <cellStyle name="쉼표 [0] 5 7 2 2 2 4" xfId="11579" xr:uid="{00000000-0005-0000-0000-00003A2D0000}"/>
    <cellStyle name="쉼표 [0] 5 7 2 2 2 5" xfId="11580" xr:uid="{00000000-0005-0000-0000-00003B2D0000}"/>
    <cellStyle name="쉼표 [0] 5 7 2 2 3" xfId="11581" xr:uid="{00000000-0005-0000-0000-00003C2D0000}"/>
    <cellStyle name="쉼표 [0] 5 7 2 2 3 2" xfId="11582" xr:uid="{00000000-0005-0000-0000-00003D2D0000}"/>
    <cellStyle name="쉼표 [0] 5 7 2 2 3 2 2" xfId="11583" xr:uid="{00000000-0005-0000-0000-00003E2D0000}"/>
    <cellStyle name="쉼표 [0] 5 7 2 2 3 2 2 2" xfId="11584" xr:uid="{00000000-0005-0000-0000-00003F2D0000}"/>
    <cellStyle name="쉼표 [0] 5 7 2 2 3 2 3" xfId="11585" xr:uid="{00000000-0005-0000-0000-0000402D0000}"/>
    <cellStyle name="쉼표 [0] 5 7 2 2 3 2 4" xfId="11586" xr:uid="{00000000-0005-0000-0000-0000412D0000}"/>
    <cellStyle name="쉼표 [0] 5 7 2 2 3 3" xfId="11587" xr:uid="{00000000-0005-0000-0000-0000422D0000}"/>
    <cellStyle name="쉼표 [0] 5 7 2 2 3 3 2" xfId="11588" xr:uid="{00000000-0005-0000-0000-0000432D0000}"/>
    <cellStyle name="쉼표 [0] 5 7 2 2 3 4" xfId="11589" xr:uid="{00000000-0005-0000-0000-0000442D0000}"/>
    <cellStyle name="쉼표 [0] 5 7 2 2 3 5" xfId="11590" xr:uid="{00000000-0005-0000-0000-0000452D0000}"/>
    <cellStyle name="쉼표 [0] 5 7 2 2 4" xfId="11591" xr:uid="{00000000-0005-0000-0000-0000462D0000}"/>
    <cellStyle name="쉼표 [0] 5 7 2 2 4 2" xfId="11592" xr:uid="{00000000-0005-0000-0000-0000472D0000}"/>
    <cellStyle name="쉼표 [0] 5 7 2 2 4 2 2" xfId="11593" xr:uid="{00000000-0005-0000-0000-0000482D0000}"/>
    <cellStyle name="쉼표 [0] 5 7 2 2 4 3" xfId="11594" xr:uid="{00000000-0005-0000-0000-0000492D0000}"/>
    <cellStyle name="쉼표 [0] 5 7 2 2 4 4" xfId="11595" xr:uid="{00000000-0005-0000-0000-00004A2D0000}"/>
    <cellStyle name="쉼표 [0] 5 7 2 2 5" xfId="11596" xr:uid="{00000000-0005-0000-0000-00004B2D0000}"/>
    <cellStyle name="쉼표 [0] 5 7 2 2 5 2" xfId="11597" xr:uid="{00000000-0005-0000-0000-00004C2D0000}"/>
    <cellStyle name="쉼표 [0] 5 7 2 2 6" xfId="11598" xr:uid="{00000000-0005-0000-0000-00004D2D0000}"/>
    <cellStyle name="쉼표 [0] 5 7 2 2 7" xfId="11599" xr:uid="{00000000-0005-0000-0000-00004E2D0000}"/>
    <cellStyle name="쉼표 [0] 5 7 2 3" xfId="11600" xr:uid="{00000000-0005-0000-0000-00004F2D0000}"/>
    <cellStyle name="쉼표 [0] 5 7 2 3 2" xfId="11601" xr:uid="{00000000-0005-0000-0000-0000502D0000}"/>
    <cellStyle name="쉼표 [0] 5 7 2 3 2 2" xfId="11602" xr:uid="{00000000-0005-0000-0000-0000512D0000}"/>
    <cellStyle name="쉼표 [0] 5 7 2 3 2 2 2" xfId="11603" xr:uid="{00000000-0005-0000-0000-0000522D0000}"/>
    <cellStyle name="쉼표 [0] 5 7 2 3 2 3" xfId="11604" xr:uid="{00000000-0005-0000-0000-0000532D0000}"/>
    <cellStyle name="쉼표 [0] 5 7 2 3 2 4" xfId="11605" xr:uid="{00000000-0005-0000-0000-0000542D0000}"/>
    <cellStyle name="쉼표 [0] 5 7 2 3 3" xfId="11606" xr:uid="{00000000-0005-0000-0000-0000552D0000}"/>
    <cellStyle name="쉼표 [0] 5 7 2 3 3 2" xfId="11607" xr:uid="{00000000-0005-0000-0000-0000562D0000}"/>
    <cellStyle name="쉼표 [0] 5 7 2 3 4" xfId="11608" xr:uid="{00000000-0005-0000-0000-0000572D0000}"/>
    <cellStyle name="쉼표 [0] 5 7 2 3 5" xfId="11609" xr:uid="{00000000-0005-0000-0000-0000582D0000}"/>
    <cellStyle name="쉼표 [0] 5 7 2 4" xfId="11610" xr:uid="{00000000-0005-0000-0000-0000592D0000}"/>
    <cellStyle name="쉼표 [0] 5 7 2 4 2" xfId="11611" xr:uid="{00000000-0005-0000-0000-00005A2D0000}"/>
    <cellStyle name="쉼표 [0] 5 7 2 4 2 2" xfId="11612" xr:uid="{00000000-0005-0000-0000-00005B2D0000}"/>
    <cellStyle name="쉼표 [0] 5 7 2 4 2 2 2" xfId="11613" xr:uid="{00000000-0005-0000-0000-00005C2D0000}"/>
    <cellStyle name="쉼표 [0] 5 7 2 4 2 3" xfId="11614" xr:uid="{00000000-0005-0000-0000-00005D2D0000}"/>
    <cellStyle name="쉼표 [0] 5 7 2 4 2 4" xfId="11615" xr:uid="{00000000-0005-0000-0000-00005E2D0000}"/>
    <cellStyle name="쉼표 [0] 5 7 2 4 3" xfId="11616" xr:uid="{00000000-0005-0000-0000-00005F2D0000}"/>
    <cellStyle name="쉼표 [0] 5 7 2 4 3 2" xfId="11617" xr:uid="{00000000-0005-0000-0000-0000602D0000}"/>
    <cellStyle name="쉼표 [0] 5 7 2 4 4" xfId="11618" xr:uid="{00000000-0005-0000-0000-0000612D0000}"/>
    <cellStyle name="쉼표 [0] 5 7 2 4 5" xfId="11619" xr:uid="{00000000-0005-0000-0000-0000622D0000}"/>
    <cellStyle name="쉼표 [0] 5 7 2 5" xfId="11620" xr:uid="{00000000-0005-0000-0000-0000632D0000}"/>
    <cellStyle name="쉼표 [0] 5 7 2 5 2" xfId="11621" xr:uid="{00000000-0005-0000-0000-0000642D0000}"/>
    <cellStyle name="쉼표 [0] 5 7 2 5 2 2" xfId="11622" xr:uid="{00000000-0005-0000-0000-0000652D0000}"/>
    <cellStyle name="쉼표 [0] 5 7 2 5 2 2 2" xfId="11623" xr:uid="{00000000-0005-0000-0000-0000662D0000}"/>
    <cellStyle name="쉼표 [0] 5 7 2 5 2 3" xfId="11624" xr:uid="{00000000-0005-0000-0000-0000672D0000}"/>
    <cellStyle name="쉼표 [0] 5 7 2 5 2 4" xfId="11625" xr:uid="{00000000-0005-0000-0000-0000682D0000}"/>
    <cellStyle name="쉼표 [0] 5 7 2 5 3" xfId="11626" xr:uid="{00000000-0005-0000-0000-0000692D0000}"/>
    <cellStyle name="쉼표 [0] 5 7 2 5 3 2" xfId="11627" xr:uid="{00000000-0005-0000-0000-00006A2D0000}"/>
    <cellStyle name="쉼표 [0] 5 7 2 5 4" xfId="11628" xr:uid="{00000000-0005-0000-0000-00006B2D0000}"/>
    <cellStyle name="쉼표 [0] 5 7 2 5 5" xfId="11629" xr:uid="{00000000-0005-0000-0000-00006C2D0000}"/>
    <cellStyle name="쉼표 [0] 5 7 2 6" xfId="11630" xr:uid="{00000000-0005-0000-0000-00006D2D0000}"/>
    <cellStyle name="쉼표 [0] 5 7 2 6 2" xfId="11631" xr:uid="{00000000-0005-0000-0000-00006E2D0000}"/>
    <cellStyle name="쉼표 [0] 5 7 2 6 2 2" xfId="11632" xr:uid="{00000000-0005-0000-0000-00006F2D0000}"/>
    <cellStyle name="쉼표 [0] 5 7 2 6 2 2 2" xfId="11633" xr:uid="{00000000-0005-0000-0000-0000702D0000}"/>
    <cellStyle name="쉼표 [0] 5 7 2 6 2 3" xfId="11634" xr:uid="{00000000-0005-0000-0000-0000712D0000}"/>
    <cellStyle name="쉼표 [0] 5 7 2 6 2 4" xfId="11635" xr:uid="{00000000-0005-0000-0000-0000722D0000}"/>
    <cellStyle name="쉼표 [0] 5 7 2 6 3" xfId="11636" xr:uid="{00000000-0005-0000-0000-0000732D0000}"/>
    <cellStyle name="쉼표 [0] 5 7 2 6 3 2" xfId="11637" xr:uid="{00000000-0005-0000-0000-0000742D0000}"/>
    <cellStyle name="쉼표 [0] 5 7 2 6 4" xfId="11638" xr:uid="{00000000-0005-0000-0000-0000752D0000}"/>
    <cellStyle name="쉼표 [0] 5 7 2 6 5" xfId="11639" xr:uid="{00000000-0005-0000-0000-0000762D0000}"/>
    <cellStyle name="쉼표 [0] 5 7 2 7" xfId="11640" xr:uid="{00000000-0005-0000-0000-0000772D0000}"/>
    <cellStyle name="쉼표 [0] 5 7 2 7 2" xfId="11641" xr:uid="{00000000-0005-0000-0000-0000782D0000}"/>
    <cellStyle name="쉼표 [0] 5 7 2 7 2 2" xfId="11642" xr:uid="{00000000-0005-0000-0000-0000792D0000}"/>
    <cellStyle name="쉼표 [0] 5 7 2 7 2 2 2" xfId="11643" xr:uid="{00000000-0005-0000-0000-00007A2D0000}"/>
    <cellStyle name="쉼표 [0] 5 7 2 7 2 3" xfId="11644" xr:uid="{00000000-0005-0000-0000-00007B2D0000}"/>
    <cellStyle name="쉼표 [0] 5 7 2 7 2 4" xfId="11645" xr:uid="{00000000-0005-0000-0000-00007C2D0000}"/>
    <cellStyle name="쉼표 [0] 5 7 2 7 3" xfId="11646" xr:uid="{00000000-0005-0000-0000-00007D2D0000}"/>
    <cellStyle name="쉼표 [0] 5 7 2 7 3 2" xfId="11647" xr:uid="{00000000-0005-0000-0000-00007E2D0000}"/>
    <cellStyle name="쉼표 [0] 5 7 2 7 4" xfId="11648" xr:uid="{00000000-0005-0000-0000-00007F2D0000}"/>
    <cellStyle name="쉼표 [0] 5 7 2 7 5" xfId="11649" xr:uid="{00000000-0005-0000-0000-0000802D0000}"/>
    <cellStyle name="쉼표 [0] 5 7 2 8" xfId="11650" xr:uid="{00000000-0005-0000-0000-0000812D0000}"/>
    <cellStyle name="쉼표 [0] 5 7 2 8 2" xfId="11651" xr:uid="{00000000-0005-0000-0000-0000822D0000}"/>
    <cellStyle name="쉼표 [0] 5 7 2 8 2 2" xfId="11652" xr:uid="{00000000-0005-0000-0000-0000832D0000}"/>
    <cellStyle name="쉼표 [0] 5 7 2 8 2 2 2" xfId="11653" xr:uid="{00000000-0005-0000-0000-0000842D0000}"/>
    <cellStyle name="쉼표 [0] 5 7 2 8 2 3" xfId="11654" xr:uid="{00000000-0005-0000-0000-0000852D0000}"/>
    <cellStyle name="쉼표 [0] 5 7 2 8 2 4" xfId="11655" xr:uid="{00000000-0005-0000-0000-0000862D0000}"/>
    <cellStyle name="쉼표 [0] 5 7 2 8 3" xfId="11656" xr:uid="{00000000-0005-0000-0000-0000872D0000}"/>
    <cellStyle name="쉼표 [0] 5 7 2 8 3 2" xfId="11657" xr:uid="{00000000-0005-0000-0000-0000882D0000}"/>
    <cellStyle name="쉼표 [0] 5 7 2 8 4" xfId="11658" xr:uid="{00000000-0005-0000-0000-0000892D0000}"/>
    <cellStyle name="쉼표 [0] 5 7 2 8 5" xfId="11659" xr:uid="{00000000-0005-0000-0000-00008A2D0000}"/>
    <cellStyle name="쉼표 [0] 5 7 2 9" xfId="11660" xr:uid="{00000000-0005-0000-0000-00008B2D0000}"/>
    <cellStyle name="쉼표 [0] 5 7 2 9 2" xfId="11661" xr:uid="{00000000-0005-0000-0000-00008C2D0000}"/>
    <cellStyle name="쉼표 [0] 5 7 2 9 2 2" xfId="11662" xr:uid="{00000000-0005-0000-0000-00008D2D0000}"/>
    <cellStyle name="쉼표 [0] 5 7 2 9 3" xfId="11663" xr:uid="{00000000-0005-0000-0000-00008E2D0000}"/>
    <cellStyle name="쉼표 [0] 5 7 2 9 4" xfId="11664" xr:uid="{00000000-0005-0000-0000-00008F2D0000}"/>
    <cellStyle name="쉼표 [0] 5 7 3" xfId="11665" xr:uid="{00000000-0005-0000-0000-0000902D0000}"/>
    <cellStyle name="쉼표 [0] 5 7 3 2" xfId="11666" xr:uid="{00000000-0005-0000-0000-0000912D0000}"/>
    <cellStyle name="쉼표 [0] 5 7 3 2 2" xfId="11667" xr:uid="{00000000-0005-0000-0000-0000922D0000}"/>
    <cellStyle name="쉼표 [0] 5 7 3 2 2 2" xfId="11668" xr:uid="{00000000-0005-0000-0000-0000932D0000}"/>
    <cellStyle name="쉼표 [0] 5 7 3 2 2 2 2" xfId="11669" xr:uid="{00000000-0005-0000-0000-0000942D0000}"/>
    <cellStyle name="쉼표 [0] 5 7 3 2 2 3" xfId="11670" xr:uid="{00000000-0005-0000-0000-0000952D0000}"/>
    <cellStyle name="쉼표 [0] 5 7 3 2 2 4" xfId="11671" xr:uid="{00000000-0005-0000-0000-0000962D0000}"/>
    <cellStyle name="쉼표 [0] 5 7 3 2 3" xfId="11672" xr:uid="{00000000-0005-0000-0000-0000972D0000}"/>
    <cellStyle name="쉼표 [0] 5 7 3 2 3 2" xfId="11673" xr:uid="{00000000-0005-0000-0000-0000982D0000}"/>
    <cellStyle name="쉼표 [0] 5 7 3 2 4" xfId="11674" xr:uid="{00000000-0005-0000-0000-0000992D0000}"/>
    <cellStyle name="쉼표 [0] 5 7 3 2 5" xfId="11675" xr:uid="{00000000-0005-0000-0000-00009A2D0000}"/>
    <cellStyle name="쉼표 [0] 5 7 3 3" xfId="11676" xr:uid="{00000000-0005-0000-0000-00009B2D0000}"/>
    <cellStyle name="쉼표 [0] 5 7 3 3 2" xfId="11677" xr:uid="{00000000-0005-0000-0000-00009C2D0000}"/>
    <cellStyle name="쉼표 [0] 5 7 3 3 2 2" xfId="11678" xr:uid="{00000000-0005-0000-0000-00009D2D0000}"/>
    <cellStyle name="쉼표 [0] 5 7 3 3 2 2 2" xfId="11679" xr:uid="{00000000-0005-0000-0000-00009E2D0000}"/>
    <cellStyle name="쉼표 [0] 5 7 3 3 2 3" xfId="11680" xr:uid="{00000000-0005-0000-0000-00009F2D0000}"/>
    <cellStyle name="쉼표 [0] 5 7 3 3 2 4" xfId="11681" xr:uid="{00000000-0005-0000-0000-0000A02D0000}"/>
    <cellStyle name="쉼표 [0] 5 7 3 3 3" xfId="11682" xr:uid="{00000000-0005-0000-0000-0000A12D0000}"/>
    <cellStyle name="쉼표 [0] 5 7 3 3 3 2" xfId="11683" xr:uid="{00000000-0005-0000-0000-0000A22D0000}"/>
    <cellStyle name="쉼표 [0] 5 7 3 3 4" xfId="11684" xr:uid="{00000000-0005-0000-0000-0000A32D0000}"/>
    <cellStyle name="쉼표 [0] 5 7 3 3 5" xfId="11685" xr:uid="{00000000-0005-0000-0000-0000A42D0000}"/>
    <cellStyle name="쉼표 [0] 5 7 3 4" xfId="11686" xr:uid="{00000000-0005-0000-0000-0000A52D0000}"/>
    <cellStyle name="쉼표 [0] 5 7 3 4 2" xfId="11687" xr:uid="{00000000-0005-0000-0000-0000A62D0000}"/>
    <cellStyle name="쉼표 [0] 5 7 3 4 2 2" xfId="11688" xr:uid="{00000000-0005-0000-0000-0000A72D0000}"/>
    <cellStyle name="쉼표 [0] 5 7 3 4 3" xfId="11689" xr:uid="{00000000-0005-0000-0000-0000A82D0000}"/>
    <cellStyle name="쉼표 [0] 5 7 3 4 4" xfId="11690" xr:uid="{00000000-0005-0000-0000-0000A92D0000}"/>
    <cellStyle name="쉼표 [0] 5 7 3 5" xfId="11691" xr:uid="{00000000-0005-0000-0000-0000AA2D0000}"/>
    <cellStyle name="쉼표 [0] 5 7 3 5 2" xfId="11692" xr:uid="{00000000-0005-0000-0000-0000AB2D0000}"/>
    <cellStyle name="쉼표 [0] 5 7 3 6" xfId="11693" xr:uid="{00000000-0005-0000-0000-0000AC2D0000}"/>
    <cellStyle name="쉼표 [0] 5 7 3 7" xfId="11694" xr:uid="{00000000-0005-0000-0000-0000AD2D0000}"/>
    <cellStyle name="쉼표 [0] 5 7 4" xfId="11695" xr:uid="{00000000-0005-0000-0000-0000AE2D0000}"/>
    <cellStyle name="쉼표 [0] 5 7 4 2" xfId="11696" xr:uid="{00000000-0005-0000-0000-0000AF2D0000}"/>
    <cellStyle name="쉼표 [0] 5 7 4 2 2" xfId="11697" xr:uid="{00000000-0005-0000-0000-0000B02D0000}"/>
    <cellStyle name="쉼표 [0] 5 7 4 2 2 2" xfId="11698" xr:uid="{00000000-0005-0000-0000-0000B12D0000}"/>
    <cellStyle name="쉼표 [0] 5 7 4 2 3" xfId="11699" xr:uid="{00000000-0005-0000-0000-0000B22D0000}"/>
    <cellStyle name="쉼표 [0] 5 7 4 2 4" xfId="11700" xr:uid="{00000000-0005-0000-0000-0000B32D0000}"/>
    <cellStyle name="쉼표 [0] 5 7 4 3" xfId="11701" xr:uid="{00000000-0005-0000-0000-0000B42D0000}"/>
    <cellStyle name="쉼표 [0] 5 7 4 3 2" xfId="11702" xr:uid="{00000000-0005-0000-0000-0000B52D0000}"/>
    <cellStyle name="쉼표 [0] 5 7 4 4" xfId="11703" xr:uid="{00000000-0005-0000-0000-0000B62D0000}"/>
    <cellStyle name="쉼표 [0] 5 7 4 5" xfId="11704" xr:uid="{00000000-0005-0000-0000-0000B72D0000}"/>
    <cellStyle name="쉼표 [0] 5 7 5" xfId="11705" xr:uid="{00000000-0005-0000-0000-0000B82D0000}"/>
    <cellStyle name="쉼표 [0] 5 7 5 2" xfId="11706" xr:uid="{00000000-0005-0000-0000-0000B92D0000}"/>
    <cellStyle name="쉼표 [0] 5 7 5 2 2" xfId="11707" xr:uid="{00000000-0005-0000-0000-0000BA2D0000}"/>
    <cellStyle name="쉼표 [0] 5 7 5 2 2 2" xfId="11708" xr:uid="{00000000-0005-0000-0000-0000BB2D0000}"/>
    <cellStyle name="쉼표 [0] 5 7 5 2 3" xfId="11709" xr:uid="{00000000-0005-0000-0000-0000BC2D0000}"/>
    <cellStyle name="쉼표 [0] 5 7 5 2 4" xfId="11710" xr:uid="{00000000-0005-0000-0000-0000BD2D0000}"/>
    <cellStyle name="쉼표 [0] 5 7 5 3" xfId="11711" xr:uid="{00000000-0005-0000-0000-0000BE2D0000}"/>
    <cellStyle name="쉼표 [0] 5 7 5 3 2" xfId="11712" xr:uid="{00000000-0005-0000-0000-0000BF2D0000}"/>
    <cellStyle name="쉼표 [0] 5 7 5 4" xfId="11713" xr:uid="{00000000-0005-0000-0000-0000C02D0000}"/>
    <cellStyle name="쉼표 [0] 5 7 5 5" xfId="11714" xr:uid="{00000000-0005-0000-0000-0000C12D0000}"/>
    <cellStyle name="쉼표 [0] 5 7 6" xfId="11715" xr:uid="{00000000-0005-0000-0000-0000C22D0000}"/>
    <cellStyle name="쉼표 [0] 5 7 6 2" xfId="11716" xr:uid="{00000000-0005-0000-0000-0000C32D0000}"/>
    <cellStyle name="쉼표 [0] 5 7 6 2 2" xfId="11717" xr:uid="{00000000-0005-0000-0000-0000C42D0000}"/>
    <cellStyle name="쉼표 [0] 5 7 6 2 2 2" xfId="11718" xr:uid="{00000000-0005-0000-0000-0000C52D0000}"/>
    <cellStyle name="쉼표 [0] 5 7 6 2 3" xfId="11719" xr:uid="{00000000-0005-0000-0000-0000C62D0000}"/>
    <cellStyle name="쉼표 [0] 5 7 6 2 4" xfId="11720" xr:uid="{00000000-0005-0000-0000-0000C72D0000}"/>
    <cellStyle name="쉼표 [0] 5 7 6 3" xfId="11721" xr:uid="{00000000-0005-0000-0000-0000C82D0000}"/>
    <cellStyle name="쉼표 [0] 5 7 6 3 2" xfId="11722" xr:uid="{00000000-0005-0000-0000-0000C92D0000}"/>
    <cellStyle name="쉼표 [0] 5 7 6 4" xfId="11723" xr:uid="{00000000-0005-0000-0000-0000CA2D0000}"/>
    <cellStyle name="쉼표 [0] 5 7 6 5" xfId="11724" xr:uid="{00000000-0005-0000-0000-0000CB2D0000}"/>
    <cellStyle name="쉼표 [0] 5 7 7" xfId="11725" xr:uid="{00000000-0005-0000-0000-0000CC2D0000}"/>
    <cellStyle name="쉼표 [0] 5 7 7 2" xfId="11726" xr:uid="{00000000-0005-0000-0000-0000CD2D0000}"/>
    <cellStyle name="쉼표 [0] 5 7 7 2 2" xfId="11727" xr:uid="{00000000-0005-0000-0000-0000CE2D0000}"/>
    <cellStyle name="쉼표 [0] 5 7 7 2 2 2" xfId="11728" xr:uid="{00000000-0005-0000-0000-0000CF2D0000}"/>
    <cellStyle name="쉼표 [0] 5 7 7 2 3" xfId="11729" xr:uid="{00000000-0005-0000-0000-0000D02D0000}"/>
    <cellStyle name="쉼표 [0] 5 7 7 2 4" xfId="11730" xr:uid="{00000000-0005-0000-0000-0000D12D0000}"/>
    <cellStyle name="쉼표 [0] 5 7 7 3" xfId="11731" xr:uid="{00000000-0005-0000-0000-0000D22D0000}"/>
    <cellStyle name="쉼표 [0] 5 7 7 3 2" xfId="11732" xr:uid="{00000000-0005-0000-0000-0000D32D0000}"/>
    <cellStyle name="쉼표 [0] 5 7 7 4" xfId="11733" xr:uid="{00000000-0005-0000-0000-0000D42D0000}"/>
    <cellStyle name="쉼표 [0] 5 7 7 5" xfId="11734" xr:uid="{00000000-0005-0000-0000-0000D52D0000}"/>
    <cellStyle name="쉼표 [0] 5 7 8" xfId="11735" xr:uid="{00000000-0005-0000-0000-0000D62D0000}"/>
    <cellStyle name="쉼표 [0] 5 7 8 2" xfId="11736" xr:uid="{00000000-0005-0000-0000-0000D72D0000}"/>
    <cellStyle name="쉼표 [0] 5 7 8 2 2" xfId="11737" xr:uid="{00000000-0005-0000-0000-0000D82D0000}"/>
    <cellStyle name="쉼표 [0] 5 7 8 2 2 2" xfId="11738" xr:uid="{00000000-0005-0000-0000-0000D92D0000}"/>
    <cellStyle name="쉼표 [0] 5 7 8 2 3" xfId="11739" xr:uid="{00000000-0005-0000-0000-0000DA2D0000}"/>
    <cellStyle name="쉼표 [0] 5 7 8 2 4" xfId="11740" xr:uid="{00000000-0005-0000-0000-0000DB2D0000}"/>
    <cellStyle name="쉼표 [0] 5 7 8 3" xfId="11741" xr:uid="{00000000-0005-0000-0000-0000DC2D0000}"/>
    <cellStyle name="쉼표 [0] 5 7 8 3 2" xfId="11742" xr:uid="{00000000-0005-0000-0000-0000DD2D0000}"/>
    <cellStyle name="쉼표 [0] 5 7 8 4" xfId="11743" xr:uid="{00000000-0005-0000-0000-0000DE2D0000}"/>
    <cellStyle name="쉼표 [0] 5 7 8 5" xfId="11744" xr:uid="{00000000-0005-0000-0000-0000DF2D0000}"/>
    <cellStyle name="쉼표 [0] 5 7 9" xfId="11745" xr:uid="{00000000-0005-0000-0000-0000E02D0000}"/>
    <cellStyle name="쉼표 [0] 5 7 9 2" xfId="11746" xr:uid="{00000000-0005-0000-0000-0000E12D0000}"/>
    <cellStyle name="쉼표 [0] 5 7 9 2 2" xfId="11747" xr:uid="{00000000-0005-0000-0000-0000E22D0000}"/>
    <cellStyle name="쉼표 [0] 5 7 9 2 2 2" xfId="11748" xr:uid="{00000000-0005-0000-0000-0000E32D0000}"/>
    <cellStyle name="쉼표 [0] 5 7 9 2 3" xfId="11749" xr:uid="{00000000-0005-0000-0000-0000E42D0000}"/>
    <cellStyle name="쉼표 [0] 5 7 9 2 4" xfId="11750" xr:uid="{00000000-0005-0000-0000-0000E52D0000}"/>
    <cellStyle name="쉼표 [0] 5 7 9 3" xfId="11751" xr:uid="{00000000-0005-0000-0000-0000E62D0000}"/>
    <cellStyle name="쉼표 [0] 5 7 9 3 2" xfId="11752" xr:uid="{00000000-0005-0000-0000-0000E72D0000}"/>
    <cellStyle name="쉼표 [0] 5 7 9 4" xfId="11753" xr:uid="{00000000-0005-0000-0000-0000E82D0000}"/>
    <cellStyle name="쉼표 [0] 5 7 9 5" xfId="11754" xr:uid="{00000000-0005-0000-0000-0000E92D0000}"/>
    <cellStyle name="쉼표 [0] 5 8" xfId="11755" xr:uid="{00000000-0005-0000-0000-0000EA2D0000}"/>
    <cellStyle name="쉼표 [0] 5 9" xfId="11756" xr:uid="{00000000-0005-0000-0000-0000EB2D0000}"/>
    <cellStyle name="쉼표 [0] 5 9 10" xfId="11757" xr:uid="{00000000-0005-0000-0000-0000EC2D0000}"/>
    <cellStyle name="쉼표 [0] 5 9 10 2" xfId="11758" xr:uid="{00000000-0005-0000-0000-0000ED2D0000}"/>
    <cellStyle name="쉼표 [0] 5 9 11" xfId="11759" xr:uid="{00000000-0005-0000-0000-0000EE2D0000}"/>
    <cellStyle name="쉼표 [0] 5 9 12" xfId="11760" xr:uid="{00000000-0005-0000-0000-0000EF2D0000}"/>
    <cellStyle name="쉼표 [0] 5 9 2" xfId="11761" xr:uid="{00000000-0005-0000-0000-0000F02D0000}"/>
    <cellStyle name="쉼표 [0] 5 9 2 2" xfId="11762" xr:uid="{00000000-0005-0000-0000-0000F12D0000}"/>
    <cellStyle name="쉼표 [0] 5 9 2 2 2" xfId="11763" xr:uid="{00000000-0005-0000-0000-0000F22D0000}"/>
    <cellStyle name="쉼표 [0] 5 9 2 2 2 2" xfId="11764" xr:uid="{00000000-0005-0000-0000-0000F32D0000}"/>
    <cellStyle name="쉼표 [0] 5 9 2 2 2 2 2" xfId="11765" xr:uid="{00000000-0005-0000-0000-0000F42D0000}"/>
    <cellStyle name="쉼표 [0] 5 9 2 2 2 3" xfId="11766" xr:uid="{00000000-0005-0000-0000-0000F52D0000}"/>
    <cellStyle name="쉼표 [0] 5 9 2 2 2 4" xfId="11767" xr:uid="{00000000-0005-0000-0000-0000F62D0000}"/>
    <cellStyle name="쉼표 [0] 5 9 2 2 3" xfId="11768" xr:uid="{00000000-0005-0000-0000-0000F72D0000}"/>
    <cellStyle name="쉼표 [0] 5 9 2 2 3 2" xfId="11769" xr:uid="{00000000-0005-0000-0000-0000F82D0000}"/>
    <cellStyle name="쉼표 [0] 5 9 2 2 4" xfId="11770" xr:uid="{00000000-0005-0000-0000-0000F92D0000}"/>
    <cellStyle name="쉼표 [0] 5 9 2 2 5" xfId="11771" xr:uid="{00000000-0005-0000-0000-0000FA2D0000}"/>
    <cellStyle name="쉼표 [0] 5 9 2 3" xfId="11772" xr:uid="{00000000-0005-0000-0000-0000FB2D0000}"/>
    <cellStyle name="쉼표 [0] 5 9 2 3 2" xfId="11773" xr:uid="{00000000-0005-0000-0000-0000FC2D0000}"/>
    <cellStyle name="쉼표 [0] 5 9 2 3 2 2" xfId="11774" xr:uid="{00000000-0005-0000-0000-0000FD2D0000}"/>
    <cellStyle name="쉼표 [0] 5 9 2 3 2 2 2" xfId="11775" xr:uid="{00000000-0005-0000-0000-0000FE2D0000}"/>
    <cellStyle name="쉼표 [0] 5 9 2 3 2 3" xfId="11776" xr:uid="{00000000-0005-0000-0000-0000FF2D0000}"/>
    <cellStyle name="쉼표 [0] 5 9 2 3 2 4" xfId="11777" xr:uid="{00000000-0005-0000-0000-0000002E0000}"/>
    <cellStyle name="쉼표 [0] 5 9 2 3 3" xfId="11778" xr:uid="{00000000-0005-0000-0000-0000012E0000}"/>
    <cellStyle name="쉼표 [0] 5 9 2 3 3 2" xfId="11779" xr:uid="{00000000-0005-0000-0000-0000022E0000}"/>
    <cellStyle name="쉼표 [0] 5 9 2 3 4" xfId="11780" xr:uid="{00000000-0005-0000-0000-0000032E0000}"/>
    <cellStyle name="쉼표 [0] 5 9 2 3 5" xfId="11781" xr:uid="{00000000-0005-0000-0000-0000042E0000}"/>
    <cellStyle name="쉼표 [0] 5 9 2 4" xfId="11782" xr:uid="{00000000-0005-0000-0000-0000052E0000}"/>
    <cellStyle name="쉼표 [0] 5 9 2 4 2" xfId="11783" xr:uid="{00000000-0005-0000-0000-0000062E0000}"/>
    <cellStyle name="쉼표 [0] 5 9 2 4 2 2" xfId="11784" xr:uid="{00000000-0005-0000-0000-0000072E0000}"/>
    <cellStyle name="쉼표 [0] 5 9 2 4 3" xfId="11785" xr:uid="{00000000-0005-0000-0000-0000082E0000}"/>
    <cellStyle name="쉼표 [0] 5 9 2 4 4" xfId="11786" xr:uid="{00000000-0005-0000-0000-0000092E0000}"/>
    <cellStyle name="쉼표 [0] 5 9 2 5" xfId="11787" xr:uid="{00000000-0005-0000-0000-00000A2E0000}"/>
    <cellStyle name="쉼표 [0] 5 9 2 5 2" xfId="11788" xr:uid="{00000000-0005-0000-0000-00000B2E0000}"/>
    <cellStyle name="쉼표 [0] 5 9 2 6" xfId="11789" xr:uid="{00000000-0005-0000-0000-00000C2E0000}"/>
    <cellStyle name="쉼표 [0] 5 9 2 7" xfId="11790" xr:uid="{00000000-0005-0000-0000-00000D2E0000}"/>
    <cellStyle name="쉼표 [0] 5 9 3" xfId="11791" xr:uid="{00000000-0005-0000-0000-00000E2E0000}"/>
    <cellStyle name="쉼표 [0] 5 9 3 2" xfId="11792" xr:uid="{00000000-0005-0000-0000-00000F2E0000}"/>
    <cellStyle name="쉼표 [0] 5 9 3 2 2" xfId="11793" xr:uid="{00000000-0005-0000-0000-0000102E0000}"/>
    <cellStyle name="쉼표 [0] 5 9 3 2 2 2" xfId="11794" xr:uid="{00000000-0005-0000-0000-0000112E0000}"/>
    <cellStyle name="쉼표 [0] 5 9 3 2 3" xfId="11795" xr:uid="{00000000-0005-0000-0000-0000122E0000}"/>
    <cellStyle name="쉼표 [0] 5 9 3 2 4" xfId="11796" xr:uid="{00000000-0005-0000-0000-0000132E0000}"/>
    <cellStyle name="쉼표 [0] 5 9 3 3" xfId="11797" xr:uid="{00000000-0005-0000-0000-0000142E0000}"/>
    <cellStyle name="쉼표 [0] 5 9 3 3 2" xfId="11798" xr:uid="{00000000-0005-0000-0000-0000152E0000}"/>
    <cellStyle name="쉼표 [0] 5 9 3 4" xfId="11799" xr:uid="{00000000-0005-0000-0000-0000162E0000}"/>
    <cellStyle name="쉼표 [0] 5 9 3 5" xfId="11800" xr:uid="{00000000-0005-0000-0000-0000172E0000}"/>
    <cellStyle name="쉼표 [0] 5 9 4" xfId="11801" xr:uid="{00000000-0005-0000-0000-0000182E0000}"/>
    <cellStyle name="쉼표 [0] 5 9 4 2" xfId="11802" xr:uid="{00000000-0005-0000-0000-0000192E0000}"/>
    <cellStyle name="쉼표 [0] 5 9 4 2 2" xfId="11803" xr:uid="{00000000-0005-0000-0000-00001A2E0000}"/>
    <cellStyle name="쉼표 [0] 5 9 4 2 2 2" xfId="11804" xr:uid="{00000000-0005-0000-0000-00001B2E0000}"/>
    <cellStyle name="쉼표 [0] 5 9 4 2 3" xfId="11805" xr:uid="{00000000-0005-0000-0000-00001C2E0000}"/>
    <cellStyle name="쉼표 [0] 5 9 4 2 4" xfId="11806" xr:uid="{00000000-0005-0000-0000-00001D2E0000}"/>
    <cellStyle name="쉼표 [0] 5 9 4 3" xfId="11807" xr:uid="{00000000-0005-0000-0000-00001E2E0000}"/>
    <cellStyle name="쉼표 [0] 5 9 4 3 2" xfId="11808" xr:uid="{00000000-0005-0000-0000-00001F2E0000}"/>
    <cellStyle name="쉼표 [0] 5 9 4 4" xfId="11809" xr:uid="{00000000-0005-0000-0000-0000202E0000}"/>
    <cellStyle name="쉼표 [0] 5 9 4 5" xfId="11810" xr:uid="{00000000-0005-0000-0000-0000212E0000}"/>
    <cellStyle name="쉼표 [0] 5 9 5" xfId="11811" xr:uid="{00000000-0005-0000-0000-0000222E0000}"/>
    <cellStyle name="쉼표 [0] 5 9 5 2" xfId="11812" xr:uid="{00000000-0005-0000-0000-0000232E0000}"/>
    <cellStyle name="쉼표 [0] 5 9 5 2 2" xfId="11813" xr:uid="{00000000-0005-0000-0000-0000242E0000}"/>
    <cellStyle name="쉼표 [0] 5 9 5 2 2 2" xfId="11814" xr:uid="{00000000-0005-0000-0000-0000252E0000}"/>
    <cellStyle name="쉼표 [0] 5 9 5 2 3" xfId="11815" xr:uid="{00000000-0005-0000-0000-0000262E0000}"/>
    <cellStyle name="쉼표 [0] 5 9 5 2 4" xfId="11816" xr:uid="{00000000-0005-0000-0000-0000272E0000}"/>
    <cellStyle name="쉼표 [0] 5 9 5 3" xfId="11817" xr:uid="{00000000-0005-0000-0000-0000282E0000}"/>
    <cellStyle name="쉼표 [0] 5 9 5 3 2" xfId="11818" xr:uid="{00000000-0005-0000-0000-0000292E0000}"/>
    <cellStyle name="쉼표 [0] 5 9 5 4" xfId="11819" xr:uid="{00000000-0005-0000-0000-00002A2E0000}"/>
    <cellStyle name="쉼표 [0] 5 9 5 5" xfId="11820" xr:uid="{00000000-0005-0000-0000-00002B2E0000}"/>
    <cellStyle name="쉼표 [0] 5 9 6" xfId="11821" xr:uid="{00000000-0005-0000-0000-00002C2E0000}"/>
    <cellStyle name="쉼표 [0] 5 9 6 2" xfId="11822" xr:uid="{00000000-0005-0000-0000-00002D2E0000}"/>
    <cellStyle name="쉼표 [0] 5 9 6 2 2" xfId="11823" xr:uid="{00000000-0005-0000-0000-00002E2E0000}"/>
    <cellStyle name="쉼표 [0] 5 9 6 2 2 2" xfId="11824" xr:uid="{00000000-0005-0000-0000-00002F2E0000}"/>
    <cellStyle name="쉼표 [0] 5 9 6 2 3" xfId="11825" xr:uid="{00000000-0005-0000-0000-0000302E0000}"/>
    <cellStyle name="쉼표 [0] 5 9 6 2 4" xfId="11826" xr:uid="{00000000-0005-0000-0000-0000312E0000}"/>
    <cellStyle name="쉼표 [0] 5 9 6 3" xfId="11827" xr:uid="{00000000-0005-0000-0000-0000322E0000}"/>
    <cellStyle name="쉼표 [0] 5 9 6 3 2" xfId="11828" xr:uid="{00000000-0005-0000-0000-0000332E0000}"/>
    <cellStyle name="쉼표 [0] 5 9 6 4" xfId="11829" xr:uid="{00000000-0005-0000-0000-0000342E0000}"/>
    <cellStyle name="쉼표 [0] 5 9 6 5" xfId="11830" xr:uid="{00000000-0005-0000-0000-0000352E0000}"/>
    <cellStyle name="쉼표 [0] 5 9 7" xfId="11831" xr:uid="{00000000-0005-0000-0000-0000362E0000}"/>
    <cellStyle name="쉼표 [0] 5 9 7 2" xfId="11832" xr:uid="{00000000-0005-0000-0000-0000372E0000}"/>
    <cellStyle name="쉼표 [0] 5 9 7 2 2" xfId="11833" xr:uid="{00000000-0005-0000-0000-0000382E0000}"/>
    <cellStyle name="쉼표 [0] 5 9 7 2 2 2" xfId="11834" xr:uid="{00000000-0005-0000-0000-0000392E0000}"/>
    <cellStyle name="쉼표 [0] 5 9 7 2 3" xfId="11835" xr:uid="{00000000-0005-0000-0000-00003A2E0000}"/>
    <cellStyle name="쉼표 [0] 5 9 7 2 4" xfId="11836" xr:uid="{00000000-0005-0000-0000-00003B2E0000}"/>
    <cellStyle name="쉼표 [0] 5 9 7 3" xfId="11837" xr:uid="{00000000-0005-0000-0000-00003C2E0000}"/>
    <cellStyle name="쉼표 [0] 5 9 7 3 2" xfId="11838" xr:uid="{00000000-0005-0000-0000-00003D2E0000}"/>
    <cellStyle name="쉼표 [0] 5 9 7 4" xfId="11839" xr:uid="{00000000-0005-0000-0000-00003E2E0000}"/>
    <cellStyle name="쉼표 [0] 5 9 7 5" xfId="11840" xr:uid="{00000000-0005-0000-0000-00003F2E0000}"/>
    <cellStyle name="쉼표 [0] 5 9 8" xfId="11841" xr:uid="{00000000-0005-0000-0000-0000402E0000}"/>
    <cellStyle name="쉼표 [0] 5 9 8 2" xfId="11842" xr:uid="{00000000-0005-0000-0000-0000412E0000}"/>
    <cellStyle name="쉼표 [0] 5 9 8 2 2" xfId="11843" xr:uid="{00000000-0005-0000-0000-0000422E0000}"/>
    <cellStyle name="쉼표 [0] 5 9 8 2 2 2" xfId="11844" xr:uid="{00000000-0005-0000-0000-0000432E0000}"/>
    <cellStyle name="쉼표 [0] 5 9 8 2 3" xfId="11845" xr:uid="{00000000-0005-0000-0000-0000442E0000}"/>
    <cellStyle name="쉼표 [0] 5 9 8 2 4" xfId="11846" xr:uid="{00000000-0005-0000-0000-0000452E0000}"/>
    <cellStyle name="쉼표 [0] 5 9 8 3" xfId="11847" xr:uid="{00000000-0005-0000-0000-0000462E0000}"/>
    <cellStyle name="쉼표 [0] 5 9 8 3 2" xfId="11848" xr:uid="{00000000-0005-0000-0000-0000472E0000}"/>
    <cellStyle name="쉼표 [0] 5 9 8 4" xfId="11849" xr:uid="{00000000-0005-0000-0000-0000482E0000}"/>
    <cellStyle name="쉼표 [0] 5 9 8 5" xfId="11850" xr:uid="{00000000-0005-0000-0000-0000492E0000}"/>
    <cellStyle name="쉼표 [0] 5 9 9" xfId="11851" xr:uid="{00000000-0005-0000-0000-00004A2E0000}"/>
    <cellStyle name="쉼표 [0] 5 9 9 2" xfId="11852" xr:uid="{00000000-0005-0000-0000-00004B2E0000}"/>
    <cellStyle name="쉼표 [0] 5 9 9 2 2" xfId="11853" xr:uid="{00000000-0005-0000-0000-00004C2E0000}"/>
    <cellStyle name="쉼표 [0] 5 9 9 3" xfId="11854" xr:uid="{00000000-0005-0000-0000-00004D2E0000}"/>
    <cellStyle name="쉼표 [0] 5 9 9 4" xfId="11855" xr:uid="{00000000-0005-0000-0000-00004E2E0000}"/>
    <cellStyle name="쉼표 [0] 6" xfId="11856" xr:uid="{00000000-0005-0000-0000-00004F2E0000}"/>
    <cellStyle name="쉼표 [0] 6 10" xfId="11857" xr:uid="{00000000-0005-0000-0000-0000502E0000}"/>
    <cellStyle name="쉼표 [0] 6 10 10" xfId="11858" xr:uid="{00000000-0005-0000-0000-0000512E0000}"/>
    <cellStyle name="쉼표 [0] 6 10 10 2" xfId="11859" xr:uid="{00000000-0005-0000-0000-0000522E0000}"/>
    <cellStyle name="쉼표 [0] 6 10 11" xfId="11860" xr:uid="{00000000-0005-0000-0000-0000532E0000}"/>
    <cellStyle name="쉼표 [0] 6 10 12" xfId="11861" xr:uid="{00000000-0005-0000-0000-0000542E0000}"/>
    <cellStyle name="쉼표 [0] 6 10 2" xfId="11862" xr:uid="{00000000-0005-0000-0000-0000552E0000}"/>
    <cellStyle name="쉼표 [0] 6 10 2 2" xfId="11863" xr:uid="{00000000-0005-0000-0000-0000562E0000}"/>
    <cellStyle name="쉼표 [0] 6 10 2 2 2" xfId="11864" xr:uid="{00000000-0005-0000-0000-0000572E0000}"/>
    <cellStyle name="쉼표 [0] 6 10 2 2 2 2" xfId="11865" xr:uid="{00000000-0005-0000-0000-0000582E0000}"/>
    <cellStyle name="쉼표 [0] 6 10 2 2 2 2 2" xfId="11866" xr:uid="{00000000-0005-0000-0000-0000592E0000}"/>
    <cellStyle name="쉼표 [0] 6 10 2 2 2 3" xfId="11867" xr:uid="{00000000-0005-0000-0000-00005A2E0000}"/>
    <cellStyle name="쉼표 [0] 6 10 2 2 2 4" xfId="11868" xr:uid="{00000000-0005-0000-0000-00005B2E0000}"/>
    <cellStyle name="쉼표 [0] 6 10 2 2 3" xfId="11869" xr:uid="{00000000-0005-0000-0000-00005C2E0000}"/>
    <cellStyle name="쉼표 [0] 6 10 2 2 3 2" xfId="11870" xr:uid="{00000000-0005-0000-0000-00005D2E0000}"/>
    <cellStyle name="쉼표 [0] 6 10 2 2 4" xfId="11871" xr:uid="{00000000-0005-0000-0000-00005E2E0000}"/>
    <cellStyle name="쉼표 [0] 6 10 2 2 5" xfId="11872" xr:uid="{00000000-0005-0000-0000-00005F2E0000}"/>
    <cellStyle name="쉼표 [0] 6 10 2 3" xfId="11873" xr:uid="{00000000-0005-0000-0000-0000602E0000}"/>
    <cellStyle name="쉼표 [0] 6 10 2 3 2" xfId="11874" xr:uid="{00000000-0005-0000-0000-0000612E0000}"/>
    <cellStyle name="쉼표 [0] 6 10 2 3 2 2" xfId="11875" xr:uid="{00000000-0005-0000-0000-0000622E0000}"/>
    <cellStyle name="쉼표 [0] 6 10 2 3 2 2 2" xfId="11876" xr:uid="{00000000-0005-0000-0000-0000632E0000}"/>
    <cellStyle name="쉼표 [0] 6 10 2 3 2 3" xfId="11877" xr:uid="{00000000-0005-0000-0000-0000642E0000}"/>
    <cellStyle name="쉼표 [0] 6 10 2 3 2 4" xfId="11878" xr:uid="{00000000-0005-0000-0000-0000652E0000}"/>
    <cellStyle name="쉼표 [0] 6 10 2 3 3" xfId="11879" xr:uid="{00000000-0005-0000-0000-0000662E0000}"/>
    <cellStyle name="쉼표 [0] 6 10 2 3 3 2" xfId="11880" xr:uid="{00000000-0005-0000-0000-0000672E0000}"/>
    <cellStyle name="쉼표 [0] 6 10 2 3 4" xfId="11881" xr:uid="{00000000-0005-0000-0000-0000682E0000}"/>
    <cellStyle name="쉼표 [0] 6 10 2 3 5" xfId="11882" xr:uid="{00000000-0005-0000-0000-0000692E0000}"/>
    <cellStyle name="쉼표 [0] 6 10 2 4" xfId="11883" xr:uid="{00000000-0005-0000-0000-00006A2E0000}"/>
    <cellStyle name="쉼표 [0] 6 10 2 4 2" xfId="11884" xr:uid="{00000000-0005-0000-0000-00006B2E0000}"/>
    <cellStyle name="쉼표 [0] 6 10 2 4 2 2" xfId="11885" xr:uid="{00000000-0005-0000-0000-00006C2E0000}"/>
    <cellStyle name="쉼표 [0] 6 10 2 4 3" xfId="11886" xr:uid="{00000000-0005-0000-0000-00006D2E0000}"/>
    <cellStyle name="쉼표 [0] 6 10 2 4 4" xfId="11887" xr:uid="{00000000-0005-0000-0000-00006E2E0000}"/>
    <cellStyle name="쉼표 [0] 6 10 2 5" xfId="11888" xr:uid="{00000000-0005-0000-0000-00006F2E0000}"/>
    <cellStyle name="쉼표 [0] 6 10 2 5 2" xfId="11889" xr:uid="{00000000-0005-0000-0000-0000702E0000}"/>
    <cellStyle name="쉼표 [0] 6 10 2 6" xfId="11890" xr:uid="{00000000-0005-0000-0000-0000712E0000}"/>
    <cellStyle name="쉼표 [0] 6 10 2 7" xfId="11891" xr:uid="{00000000-0005-0000-0000-0000722E0000}"/>
    <cellStyle name="쉼표 [0] 6 10 3" xfId="11892" xr:uid="{00000000-0005-0000-0000-0000732E0000}"/>
    <cellStyle name="쉼표 [0] 6 10 3 2" xfId="11893" xr:uid="{00000000-0005-0000-0000-0000742E0000}"/>
    <cellStyle name="쉼표 [0] 6 10 3 2 2" xfId="11894" xr:uid="{00000000-0005-0000-0000-0000752E0000}"/>
    <cellStyle name="쉼표 [0] 6 10 3 2 2 2" xfId="11895" xr:uid="{00000000-0005-0000-0000-0000762E0000}"/>
    <cellStyle name="쉼표 [0] 6 10 3 2 3" xfId="11896" xr:uid="{00000000-0005-0000-0000-0000772E0000}"/>
    <cellStyle name="쉼표 [0] 6 10 3 2 4" xfId="11897" xr:uid="{00000000-0005-0000-0000-0000782E0000}"/>
    <cellStyle name="쉼표 [0] 6 10 3 3" xfId="11898" xr:uid="{00000000-0005-0000-0000-0000792E0000}"/>
    <cellStyle name="쉼표 [0] 6 10 3 3 2" xfId="11899" xr:uid="{00000000-0005-0000-0000-00007A2E0000}"/>
    <cellStyle name="쉼표 [0] 6 10 3 4" xfId="11900" xr:uid="{00000000-0005-0000-0000-00007B2E0000}"/>
    <cellStyle name="쉼표 [0] 6 10 3 5" xfId="11901" xr:uid="{00000000-0005-0000-0000-00007C2E0000}"/>
    <cellStyle name="쉼표 [0] 6 10 4" xfId="11902" xr:uid="{00000000-0005-0000-0000-00007D2E0000}"/>
    <cellStyle name="쉼표 [0] 6 10 4 2" xfId="11903" xr:uid="{00000000-0005-0000-0000-00007E2E0000}"/>
    <cellStyle name="쉼표 [0] 6 10 4 2 2" xfId="11904" xr:uid="{00000000-0005-0000-0000-00007F2E0000}"/>
    <cellStyle name="쉼표 [0] 6 10 4 2 2 2" xfId="11905" xr:uid="{00000000-0005-0000-0000-0000802E0000}"/>
    <cellStyle name="쉼표 [0] 6 10 4 2 3" xfId="11906" xr:uid="{00000000-0005-0000-0000-0000812E0000}"/>
    <cellStyle name="쉼표 [0] 6 10 4 2 4" xfId="11907" xr:uid="{00000000-0005-0000-0000-0000822E0000}"/>
    <cellStyle name="쉼표 [0] 6 10 4 3" xfId="11908" xr:uid="{00000000-0005-0000-0000-0000832E0000}"/>
    <cellStyle name="쉼표 [0] 6 10 4 3 2" xfId="11909" xr:uid="{00000000-0005-0000-0000-0000842E0000}"/>
    <cellStyle name="쉼표 [0] 6 10 4 4" xfId="11910" xr:uid="{00000000-0005-0000-0000-0000852E0000}"/>
    <cellStyle name="쉼표 [0] 6 10 4 5" xfId="11911" xr:uid="{00000000-0005-0000-0000-0000862E0000}"/>
    <cellStyle name="쉼표 [0] 6 10 5" xfId="11912" xr:uid="{00000000-0005-0000-0000-0000872E0000}"/>
    <cellStyle name="쉼표 [0] 6 10 5 2" xfId="11913" xr:uid="{00000000-0005-0000-0000-0000882E0000}"/>
    <cellStyle name="쉼표 [0] 6 10 5 2 2" xfId="11914" xr:uid="{00000000-0005-0000-0000-0000892E0000}"/>
    <cellStyle name="쉼표 [0] 6 10 5 2 2 2" xfId="11915" xr:uid="{00000000-0005-0000-0000-00008A2E0000}"/>
    <cellStyle name="쉼표 [0] 6 10 5 2 3" xfId="11916" xr:uid="{00000000-0005-0000-0000-00008B2E0000}"/>
    <cellStyle name="쉼표 [0] 6 10 5 2 4" xfId="11917" xr:uid="{00000000-0005-0000-0000-00008C2E0000}"/>
    <cellStyle name="쉼표 [0] 6 10 5 3" xfId="11918" xr:uid="{00000000-0005-0000-0000-00008D2E0000}"/>
    <cellStyle name="쉼표 [0] 6 10 5 3 2" xfId="11919" xr:uid="{00000000-0005-0000-0000-00008E2E0000}"/>
    <cellStyle name="쉼표 [0] 6 10 5 4" xfId="11920" xr:uid="{00000000-0005-0000-0000-00008F2E0000}"/>
    <cellStyle name="쉼표 [0] 6 10 5 5" xfId="11921" xr:uid="{00000000-0005-0000-0000-0000902E0000}"/>
    <cellStyle name="쉼표 [0] 6 10 6" xfId="11922" xr:uid="{00000000-0005-0000-0000-0000912E0000}"/>
    <cellStyle name="쉼표 [0] 6 10 6 2" xfId="11923" xr:uid="{00000000-0005-0000-0000-0000922E0000}"/>
    <cellStyle name="쉼표 [0] 6 10 6 2 2" xfId="11924" xr:uid="{00000000-0005-0000-0000-0000932E0000}"/>
    <cellStyle name="쉼표 [0] 6 10 6 2 2 2" xfId="11925" xr:uid="{00000000-0005-0000-0000-0000942E0000}"/>
    <cellStyle name="쉼표 [0] 6 10 6 2 3" xfId="11926" xr:uid="{00000000-0005-0000-0000-0000952E0000}"/>
    <cellStyle name="쉼표 [0] 6 10 6 2 4" xfId="11927" xr:uid="{00000000-0005-0000-0000-0000962E0000}"/>
    <cellStyle name="쉼표 [0] 6 10 6 3" xfId="11928" xr:uid="{00000000-0005-0000-0000-0000972E0000}"/>
    <cellStyle name="쉼표 [0] 6 10 6 3 2" xfId="11929" xr:uid="{00000000-0005-0000-0000-0000982E0000}"/>
    <cellStyle name="쉼표 [0] 6 10 6 4" xfId="11930" xr:uid="{00000000-0005-0000-0000-0000992E0000}"/>
    <cellStyle name="쉼표 [0] 6 10 6 5" xfId="11931" xr:uid="{00000000-0005-0000-0000-00009A2E0000}"/>
    <cellStyle name="쉼표 [0] 6 10 7" xfId="11932" xr:uid="{00000000-0005-0000-0000-00009B2E0000}"/>
    <cellStyle name="쉼표 [0] 6 10 7 2" xfId="11933" xr:uid="{00000000-0005-0000-0000-00009C2E0000}"/>
    <cellStyle name="쉼표 [0] 6 10 7 2 2" xfId="11934" xr:uid="{00000000-0005-0000-0000-00009D2E0000}"/>
    <cellStyle name="쉼표 [0] 6 10 7 2 2 2" xfId="11935" xr:uid="{00000000-0005-0000-0000-00009E2E0000}"/>
    <cellStyle name="쉼표 [0] 6 10 7 2 3" xfId="11936" xr:uid="{00000000-0005-0000-0000-00009F2E0000}"/>
    <cellStyle name="쉼표 [0] 6 10 7 2 4" xfId="11937" xr:uid="{00000000-0005-0000-0000-0000A02E0000}"/>
    <cellStyle name="쉼표 [0] 6 10 7 3" xfId="11938" xr:uid="{00000000-0005-0000-0000-0000A12E0000}"/>
    <cellStyle name="쉼표 [0] 6 10 7 3 2" xfId="11939" xr:uid="{00000000-0005-0000-0000-0000A22E0000}"/>
    <cellStyle name="쉼표 [0] 6 10 7 4" xfId="11940" xr:uid="{00000000-0005-0000-0000-0000A32E0000}"/>
    <cellStyle name="쉼표 [0] 6 10 7 5" xfId="11941" xr:uid="{00000000-0005-0000-0000-0000A42E0000}"/>
    <cellStyle name="쉼표 [0] 6 10 8" xfId="11942" xr:uid="{00000000-0005-0000-0000-0000A52E0000}"/>
    <cellStyle name="쉼표 [0] 6 10 8 2" xfId="11943" xr:uid="{00000000-0005-0000-0000-0000A62E0000}"/>
    <cellStyle name="쉼표 [0] 6 10 8 2 2" xfId="11944" xr:uid="{00000000-0005-0000-0000-0000A72E0000}"/>
    <cellStyle name="쉼표 [0] 6 10 8 2 2 2" xfId="11945" xr:uid="{00000000-0005-0000-0000-0000A82E0000}"/>
    <cellStyle name="쉼표 [0] 6 10 8 2 3" xfId="11946" xr:uid="{00000000-0005-0000-0000-0000A92E0000}"/>
    <cellStyle name="쉼표 [0] 6 10 8 2 4" xfId="11947" xr:uid="{00000000-0005-0000-0000-0000AA2E0000}"/>
    <cellStyle name="쉼표 [0] 6 10 8 3" xfId="11948" xr:uid="{00000000-0005-0000-0000-0000AB2E0000}"/>
    <cellStyle name="쉼표 [0] 6 10 8 3 2" xfId="11949" xr:uid="{00000000-0005-0000-0000-0000AC2E0000}"/>
    <cellStyle name="쉼표 [0] 6 10 8 4" xfId="11950" xr:uid="{00000000-0005-0000-0000-0000AD2E0000}"/>
    <cellStyle name="쉼표 [0] 6 10 8 5" xfId="11951" xr:uid="{00000000-0005-0000-0000-0000AE2E0000}"/>
    <cellStyle name="쉼표 [0] 6 10 9" xfId="11952" xr:uid="{00000000-0005-0000-0000-0000AF2E0000}"/>
    <cellStyle name="쉼표 [0] 6 10 9 2" xfId="11953" xr:uid="{00000000-0005-0000-0000-0000B02E0000}"/>
    <cellStyle name="쉼표 [0] 6 10 9 2 2" xfId="11954" xr:uid="{00000000-0005-0000-0000-0000B12E0000}"/>
    <cellStyle name="쉼표 [0] 6 10 9 3" xfId="11955" xr:uid="{00000000-0005-0000-0000-0000B22E0000}"/>
    <cellStyle name="쉼표 [0] 6 10 9 4" xfId="11956" xr:uid="{00000000-0005-0000-0000-0000B32E0000}"/>
    <cellStyle name="쉼표 [0] 6 2" xfId="11957" xr:uid="{00000000-0005-0000-0000-0000B42E0000}"/>
    <cellStyle name="쉼표 [0] 6 2 2" xfId="11958" xr:uid="{00000000-0005-0000-0000-0000B52E0000}"/>
    <cellStyle name="쉼표 [0] 6 2 3" xfId="11959" xr:uid="{00000000-0005-0000-0000-0000B62E0000}"/>
    <cellStyle name="쉼표 [0] 6 3" xfId="11960" xr:uid="{00000000-0005-0000-0000-0000B72E0000}"/>
    <cellStyle name="쉼표 [0] 6 4" xfId="11961" xr:uid="{00000000-0005-0000-0000-0000B82E0000}"/>
    <cellStyle name="쉼표 [0] 6 5" xfId="11962" xr:uid="{00000000-0005-0000-0000-0000B92E0000}"/>
    <cellStyle name="쉼표 [0] 6 6" xfId="11963" xr:uid="{00000000-0005-0000-0000-0000BA2E0000}"/>
    <cellStyle name="쉼표 [0] 6 7" xfId="11964" xr:uid="{00000000-0005-0000-0000-0000BB2E0000}"/>
    <cellStyle name="쉼표 [0] 6 7 10" xfId="11965" xr:uid="{00000000-0005-0000-0000-0000BC2E0000}"/>
    <cellStyle name="쉼표 [0] 6 7 10 2" xfId="11966" xr:uid="{00000000-0005-0000-0000-0000BD2E0000}"/>
    <cellStyle name="쉼표 [0] 6 7 10 2 2" xfId="11967" xr:uid="{00000000-0005-0000-0000-0000BE2E0000}"/>
    <cellStyle name="쉼표 [0] 6 7 10 3" xfId="11968" xr:uid="{00000000-0005-0000-0000-0000BF2E0000}"/>
    <cellStyle name="쉼표 [0] 6 7 10 4" xfId="11969" xr:uid="{00000000-0005-0000-0000-0000C02E0000}"/>
    <cellStyle name="쉼표 [0] 6 7 11" xfId="11970" xr:uid="{00000000-0005-0000-0000-0000C12E0000}"/>
    <cellStyle name="쉼표 [0] 6 7 11 2" xfId="11971" xr:uid="{00000000-0005-0000-0000-0000C22E0000}"/>
    <cellStyle name="쉼표 [0] 6 7 12" xfId="11972" xr:uid="{00000000-0005-0000-0000-0000C32E0000}"/>
    <cellStyle name="쉼표 [0] 6 7 13" xfId="11973" xr:uid="{00000000-0005-0000-0000-0000C42E0000}"/>
    <cellStyle name="쉼표 [0] 6 7 2" xfId="11974" xr:uid="{00000000-0005-0000-0000-0000C52E0000}"/>
    <cellStyle name="쉼표 [0] 6 7 2 10" xfId="11975" xr:uid="{00000000-0005-0000-0000-0000C62E0000}"/>
    <cellStyle name="쉼표 [0] 6 7 2 10 2" xfId="11976" xr:uid="{00000000-0005-0000-0000-0000C72E0000}"/>
    <cellStyle name="쉼표 [0] 6 7 2 11" xfId="11977" xr:uid="{00000000-0005-0000-0000-0000C82E0000}"/>
    <cellStyle name="쉼표 [0] 6 7 2 12" xfId="11978" xr:uid="{00000000-0005-0000-0000-0000C92E0000}"/>
    <cellStyle name="쉼표 [0] 6 7 2 2" xfId="11979" xr:uid="{00000000-0005-0000-0000-0000CA2E0000}"/>
    <cellStyle name="쉼표 [0] 6 7 2 2 2" xfId="11980" xr:uid="{00000000-0005-0000-0000-0000CB2E0000}"/>
    <cellStyle name="쉼표 [0] 6 7 2 2 2 2" xfId="11981" xr:uid="{00000000-0005-0000-0000-0000CC2E0000}"/>
    <cellStyle name="쉼표 [0] 6 7 2 2 2 2 2" xfId="11982" xr:uid="{00000000-0005-0000-0000-0000CD2E0000}"/>
    <cellStyle name="쉼표 [0] 6 7 2 2 2 2 2 2" xfId="11983" xr:uid="{00000000-0005-0000-0000-0000CE2E0000}"/>
    <cellStyle name="쉼표 [0] 6 7 2 2 2 2 3" xfId="11984" xr:uid="{00000000-0005-0000-0000-0000CF2E0000}"/>
    <cellStyle name="쉼표 [0] 6 7 2 2 2 2 4" xfId="11985" xr:uid="{00000000-0005-0000-0000-0000D02E0000}"/>
    <cellStyle name="쉼표 [0] 6 7 2 2 2 3" xfId="11986" xr:uid="{00000000-0005-0000-0000-0000D12E0000}"/>
    <cellStyle name="쉼표 [0] 6 7 2 2 2 3 2" xfId="11987" xr:uid="{00000000-0005-0000-0000-0000D22E0000}"/>
    <cellStyle name="쉼표 [0] 6 7 2 2 2 4" xfId="11988" xr:uid="{00000000-0005-0000-0000-0000D32E0000}"/>
    <cellStyle name="쉼표 [0] 6 7 2 2 2 5" xfId="11989" xr:uid="{00000000-0005-0000-0000-0000D42E0000}"/>
    <cellStyle name="쉼표 [0] 6 7 2 2 3" xfId="11990" xr:uid="{00000000-0005-0000-0000-0000D52E0000}"/>
    <cellStyle name="쉼표 [0] 6 7 2 2 3 2" xfId="11991" xr:uid="{00000000-0005-0000-0000-0000D62E0000}"/>
    <cellStyle name="쉼표 [0] 6 7 2 2 3 2 2" xfId="11992" xr:uid="{00000000-0005-0000-0000-0000D72E0000}"/>
    <cellStyle name="쉼표 [0] 6 7 2 2 3 2 2 2" xfId="11993" xr:uid="{00000000-0005-0000-0000-0000D82E0000}"/>
    <cellStyle name="쉼표 [0] 6 7 2 2 3 2 3" xfId="11994" xr:uid="{00000000-0005-0000-0000-0000D92E0000}"/>
    <cellStyle name="쉼표 [0] 6 7 2 2 3 2 4" xfId="11995" xr:uid="{00000000-0005-0000-0000-0000DA2E0000}"/>
    <cellStyle name="쉼표 [0] 6 7 2 2 3 3" xfId="11996" xr:uid="{00000000-0005-0000-0000-0000DB2E0000}"/>
    <cellStyle name="쉼표 [0] 6 7 2 2 3 3 2" xfId="11997" xr:uid="{00000000-0005-0000-0000-0000DC2E0000}"/>
    <cellStyle name="쉼표 [0] 6 7 2 2 3 4" xfId="11998" xr:uid="{00000000-0005-0000-0000-0000DD2E0000}"/>
    <cellStyle name="쉼표 [0] 6 7 2 2 3 5" xfId="11999" xr:uid="{00000000-0005-0000-0000-0000DE2E0000}"/>
    <cellStyle name="쉼표 [0] 6 7 2 2 4" xfId="12000" xr:uid="{00000000-0005-0000-0000-0000DF2E0000}"/>
    <cellStyle name="쉼표 [0] 6 7 2 2 4 2" xfId="12001" xr:uid="{00000000-0005-0000-0000-0000E02E0000}"/>
    <cellStyle name="쉼표 [0] 6 7 2 2 4 2 2" xfId="12002" xr:uid="{00000000-0005-0000-0000-0000E12E0000}"/>
    <cellStyle name="쉼표 [0] 6 7 2 2 4 3" xfId="12003" xr:uid="{00000000-0005-0000-0000-0000E22E0000}"/>
    <cellStyle name="쉼표 [0] 6 7 2 2 4 4" xfId="12004" xr:uid="{00000000-0005-0000-0000-0000E32E0000}"/>
    <cellStyle name="쉼표 [0] 6 7 2 2 5" xfId="12005" xr:uid="{00000000-0005-0000-0000-0000E42E0000}"/>
    <cellStyle name="쉼표 [0] 6 7 2 2 5 2" xfId="12006" xr:uid="{00000000-0005-0000-0000-0000E52E0000}"/>
    <cellStyle name="쉼표 [0] 6 7 2 2 6" xfId="12007" xr:uid="{00000000-0005-0000-0000-0000E62E0000}"/>
    <cellStyle name="쉼표 [0] 6 7 2 2 7" xfId="12008" xr:uid="{00000000-0005-0000-0000-0000E72E0000}"/>
    <cellStyle name="쉼표 [0] 6 7 2 3" xfId="12009" xr:uid="{00000000-0005-0000-0000-0000E82E0000}"/>
    <cellStyle name="쉼표 [0] 6 7 2 3 2" xfId="12010" xr:uid="{00000000-0005-0000-0000-0000E92E0000}"/>
    <cellStyle name="쉼표 [0] 6 7 2 3 2 2" xfId="12011" xr:uid="{00000000-0005-0000-0000-0000EA2E0000}"/>
    <cellStyle name="쉼표 [0] 6 7 2 3 2 2 2" xfId="12012" xr:uid="{00000000-0005-0000-0000-0000EB2E0000}"/>
    <cellStyle name="쉼표 [0] 6 7 2 3 2 3" xfId="12013" xr:uid="{00000000-0005-0000-0000-0000EC2E0000}"/>
    <cellStyle name="쉼표 [0] 6 7 2 3 2 4" xfId="12014" xr:uid="{00000000-0005-0000-0000-0000ED2E0000}"/>
    <cellStyle name="쉼표 [0] 6 7 2 3 3" xfId="12015" xr:uid="{00000000-0005-0000-0000-0000EE2E0000}"/>
    <cellStyle name="쉼표 [0] 6 7 2 3 3 2" xfId="12016" xr:uid="{00000000-0005-0000-0000-0000EF2E0000}"/>
    <cellStyle name="쉼표 [0] 6 7 2 3 4" xfId="12017" xr:uid="{00000000-0005-0000-0000-0000F02E0000}"/>
    <cellStyle name="쉼표 [0] 6 7 2 3 5" xfId="12018" xr:uid="{00000000-0005-0000-0000-0000F12E0000}"/>
    <cellStyle name="쉼표 [0] 6 7 2 4" xfId="12019" xr:uid="{00000000-0005-0000-0000-0000F22E0000}"/>
    <cellStyle name="쉼표 [0] 6 7 2 4 2" xfId="12020" xr:uid="{00000000-0005-0000-0000-0000F32E0000}"/>
    <cellStyle name="쉼표 [0] 6 7 2 4 2 2" xfId="12021" xr:uid="{00000000-0005-0000-0000-0000F42E0000}"/>
    <cellStyle name="쉼표 [0] 6 7 2 4 2 2 2" xfId="12022" xr:uid="{00000000-0005-0000-0000-0000F52E0000}"/>
    <cellStyle name="쉼표 [0] 6 7 2 4 2 3" xfId="12023" xr:uid="{00000000-0005-0000-0000-0000F62E0000}"/>
    <cellStyle name="쉼표 [0] 6 7 2 4 2 4" xfId="12024" xr:uid="{00000000-0005-0000-0000-0000F72E0000}"/>
    <cellStyle name="쉼표 [0] 6 7 2 4 3" xfId="12025" xr:uid="{00000000-0005-0000-0000-0000F82E0000}"/>
    <cellStyle name="쉼표 [0] 6 7 2 4 3 2" xfId="12026" xr:uid="{00000000-0005-0000-0000-0000F92E0000}"/>
    <cellStyle name="쉼표 [0] 6 7 2 4 4" xfId="12027" xr:uid="{00000000-0005-0000-0000-0000FA2E0000}"/>
    <cellStyle name="쉼표 [0] 6 7 2 4 5" xfId="12028" xr:uid="{00000000-0005-0000-0000-0000FB2E0000}"/>
    <cellStyle name="쉼표 [0] 6 7 2 5" xfId="12029" xr:uid="{00000000-0005-0000-0000-0000FC2E0000}"/>
    <cellStyle name="쉼표 [0] 6 7 2 5 2" xfId="12030" xr:uid="{00000000-0005-0000-0000-0000FD2E0000}"/>
    <cellStyle name="쉼표 [0] 6 7 2 5 2 2" xfId="12031" xr:uid="{00000000-0005-0000-0000-0000FE2E0000}"/>
    <cellStyle name="쉼표 [0] 6 7 2 5 2 2 2" xfId="12032" xr:uid="{00000000-0005-0000-0000-0000FF2E0000}"/>
    <cellStyle name="쉼표 [0] 6 7 2 5 2 3" xfId="12033" xr:uid="{00000000-0005-0000-0000-0000002F0000}"/>
    <cellStyle name="쉼표 [0] 6 7 2 5 2 4" xfId="12034" xr:uid="{00000000-0005-0000-0000-0000012F0000}"/>
    <cellStyle name="쉼표 [0] 6 7 2 5 3" xfId="12035" xr:uid="{00000000-0005-0000-0000-0000022F0000}"/>
    <cellStyle name="쉼표 [0] 6 7 2 5 3 2" xfId="12036" xr:uid="{00000000-0005-0000-0000-0000032F0000}"/>
    <cellStyle name="쉼표 [0] 6 7 2 5 4" xfId="12037" xr:uid="{00000000-0005-0000-0000-0000042F0000}"/>
    <cellStyle name="쉼표 [0] 6 7 2 5 5" xfId="12038" xr:uid="{00000000-0005-0000-0000-0000052F0000}"/>
    <cellStyle name="쉼표 [0] 6 7 2 6" xfId="12039" xr:uid="{00000000-0005-0000-0000-0000062F0000}"/>
    <cellStyle name="쉼표 [0] 6 7 2 6 2" xfId="12040" xr:uid="{00000000-0005-0000-0000-0000072F0000}"/>
    <cellStyle name="쉼표 [0] 6 7 2 6 2 2" xfId="12041" xr:uid="{00000000-0005-0000-0000-0000082F0000}"/>
    <cellStyle name="쉼표 [0] 6 7 2 6 2 2 2" xfId="12042" xr:uid="{00000000-0005-0000-0000-0000092F0000}"/>
    <cellStyle name="쉼표 [0] 6 7 2 6 2 3" xfId="12043" xr:uid="{00000000-0005-0000-0000-00000A2F0000}"/>
    <cellStyle name="쉼표 [0] 6 7 2 6 2 4" xfId="12044" xr:uid="{00000000-0005-0000-0000-00000B2F0000}"/>
    <cellStyle name="쉼표 [0] 6 7 2 6 3" xfId="12045" xr:uid="{00000000-0005-0000-0000-00000C2F0000}"/>
    <cellStyle name="쉼표 [0] 6 7 2 6 3 2" xfId="12046" xr:uid="{00000000-0005-0000-0000-00000D2F0000}"/>
    <cellStyle name="쉼표 [0] 6 7 2 6 4" xfId="12047" xr:uid="{00000000-0005-0000-0000-00000E2F0000}"/>
    <cellStyle name="쉼표 [0] 6 7 2 6 5" xfId="12048" xr:uid="{00000000-0005-0000-0000-00000F2F0000}"/>
    <cellStyle name="쉼표 [0] 6 7 2 7" xfId="12049" xr:uid="{00000000-0005-0000-0000-0000102F0000}"/>
    <cellStyle name="쉼표 [0] 6 7 2 7 2" xfId="12050" xr:uid="{00000000-0005-0000-0000-0000112F0000}"/>
    <cellStyle name="쉼표 [0] 6 7 2 7 2 2" xfId="12051" xr:uid="{00000000-0005-0000-0000-0000122F0000}"/>
    <cellStyle name="쉼표 [0] 6 7 2 7 2 2 2" xfId="12052" xr:uid="{00000000-0005-0000-0000-0000132F0000}"/>
    <cellStyle name="쉼표 [0] 6 7 2 7 2 3" xfId="12053" xr:uid="{00000000-0005-0000-0000-0000142F0000}"/>
    <cellStyle name="쉼표 [0] 6 7 2 7 2 4" xfId="12054" xr:uid="{00000000-0005-0000-0000-0000152F0000}"/>
    <cellStyle name="쉼표 [0] 6 7 2 7 3" xfId="12055" xr:uid="{00000000-0005-0000-0000-0000162F0000}"/>
    <cellStyle name="쉼표 [0] 6 7 2 7 3 2" xfId="12056" xr:uid="{00000000-0005-0000-0000-0000172F0000}"/>
    <cellStyle name="쉼표 [0] 6 7 2 7 4" xfId="12057" xr:uid="{00000000-0005-0000-0000-0000182F0000}"/>
    <cellStyle name="쉼표 [0] 6 7 2 7 5" xfId="12058" xr:uid="{00000000-0005-0000-0000-0000192F0000}"/>
    <cellStyle name="쉼표 [0] 6 7 2 8" xfId="12059" xr:uid="{00000000-0005-0000-0000-00001A2F0000}"/>
    <cellStyle name="쉼표 [0] 6 7 2 8 2" xfId="12060" xr:uid="{00000000-0005-0000-0000-00001B2F0000}"/>
    <cellStyle name="쉼표 [0] 6 7 2 8 2 2" xfId="12061" xr:uid="{00000000-0005-0000-0000-00001C2F0000}"/>
    <cellStyle name="쉼표 [0] 6 7 2 8 2 2 2" xfId="12062" xr:uid="{00000000-0005-0000-0000-00001D2F0000}"/>
    <cellStyle name="쉼표 [0] 6 7 2 8 2 3" xfId="12063" xr:uid="{00000000-0005-0000-0000-00001E2F0000}"/>
    <cellStyle name="쉼표 [0] 6 7 2 8 2 4" xfId="12064" xr:uid="{00000000-0005-0000-0000-00001F2F0000}"/>
    <cellStyle name="쉼표 [0] 6 7 2 8 3" xfId="12065" xr:uid="{00000000-0005-0000-0000-0000202F0000}"/>
    <cellStyle name="쉼표 [0] 6 7 2 8 3 2" xfId="12066" xr:uid="{00000000-0005-0000-0000-0000212F0000}"/>
    <cellStyle name="쉼표 [0] 6 7 2 8 4" xfId="12067" xr:uid="{00000000-0005-0000-0000-0000222F0000}"/>
    <cellStyle name="쉼표 [0] 6 7 2 8 5" xfId="12068" xr:uid="{00000000-0005-0000-0000-0000232F0000}"/>
    <cellStyle name="쉼표 [0] 6 7 2 9" xfId="12069" xr:uid="{00000000-0005-0000-0000-0000242F0000}"/>
    <cellStyle name="쉼표 [0] 6 7 2 9 2" xfId="12070" xr:uid="{00000000-0005-0000-0000-0000252F0000}"/>
    <cellStyle name="쉼표 [0] 6 7 2 9 2 2" xfId="12071" xr:uid="{00000000-0005-0000-0000-0000262F0000}"/>
    <cellStyle name="쉼표 [0] 6 7 2 9 3" xfId="12072" xr:uid="{00000000-0005-0000-0000-0000272F0000}"/>
    <cellStyle name="쉼표 [0] 6 7 2 9 4" xfId="12073" xr:uid="{00000000-0005-0000-0000-0000282F0000}"/>
    <cellStyle name="쉼표 [0] 6 7 3" xfId="12074" xr:uid="{00000000-0005-0000-0000-0000292F0000}"/>
    <cellStyle name="쉼표 [0] 6 7 3 2" xfId="12075" xr:uid="{00000000-0005-0000-0000-00002A2F0000}"/>
    <cellStyle name="쉼표 [0] 6 7 3 2 2" xfId="12076" xr:uid="{00000000-0005-0000-0000-00002B2F0000}"/>
    <cellStyle name="쉼표 [0] 6 7 3 2 2 2" xfId="12077" xr:uid="{00000000-0005-0000-0000-00002C2F0000}"/>
    <cellStyle name="쉼표 [0] 6 7 3 2 2 2 2" xfId="12078" xr:uid="{00000000-0005-0000-0000-00002D2F0000}"/>
    <cellStyle name="쉼표 [0] 6 7 3 2 2 3" xfId="12079" xr:uid="{00000000-0005-0000-0000-00002E2F0000}"/>
    <cellStyle name="쉼표 [0] 6 7 3 2 2 4" xfId="12080" xr:uid="{00000000-0005-0000-0000-00002F2F0000}"/>
    <cellStyle name="쉼표 [0] 6 7 3 2 3" xfId="12081" xr:uid="{00000000-0005-0000-0000-0000302F0000}"/>
    <cellStyle name="쉼표 [0] 6 7 3 2 3 2" xfId="12082" xr:uid="{00000000-0005-0000-0000-0000312F0000}"/>
    <cellStyle name="쉼표 [0] 6 7 3 2 4" xfId="12083" xr:uid="{00000000-0005-0000-0000-0000322F0000}"/>
    <cellStyle name="쉼표 [0] 6 7 3 2 5" xfId="12084" xr:uid="{00000000-0005-0000-0000-0000332F0000}"/>
    <cellStyle name="쉼표 [0] 6 7 3 3" xfId="12085" xr:uid="{00000000-0005-0000-0000-0000342F0000}"/>
    <cellStyle name="쉼표 [0] 6 7 3 3 2" xfId="12086" xr:uid="{00000000-0005-0000-0000-0000352F0000}"/>
    <cellStyle name="쉼표 [0] 6 7 3 3 2 2" xfId="12087" xr:uid="{00000000-0005-0000-0000-0000362F0000}"/>
    <cellStyle name="쉼표 [0] 6 7 3 3 2 2 2" xfId="12088" xr:uid="{00000000-0005-0000-0000-0000372F0000}"/>
    <cellStyle name="쉼표 [0] 6 7 3 3 2 3" xfId="12089" xr:uid="{00000000-0005-0000-0000-0000382F0000}"/>
    <cellStyle name="쉼표 [0] 6 7 3 3 2 4" xfId="12090" xr:uid="{00000000-0005-0000-0000-0000392F0000}"/>
    <cellStyle name="쉼표 [0] 6 7 3 3 3" xfId="12091" xr:uid="{00000000-0005-0000-0000-00003A2F0000}"/>
    <cellStyle name="쉼표 [0] 6 7 3 3 3 2" xfId="12092" xr:uid="{00000000-0005-0000-0000-00003B2F0000}"/>
    <cellStyle name="쉼표 [0] 6 7 3 3 4" xfId="12093" xr:uid="{00000000-0005-0000-0000-00003C2F0000}"/>
    <cellStyle name="쉼표 [0] 6 7 3 3 5" xfId="12094" xr:uid="{00000000-0005-0000-0000-00003D2F0000}"/>
    <cellStyle name="쉼표 [0] 6 7 3 4" xfId="12095" xr:uid="{00000000-0005-0000-0000-00003E2F0000}"/>
    <cellStyle name="쉼표 [0] 6 7 3 4 2" xfId="12096" xr:uid="{00000000-0005-0000-0000-00003F2F0000}"/>
    <cellStyle name="쉼표 [0] 6 7 3 4 2 2" xfId="12097" xr:uid="{00000000-0005-0000-0000-0000402F0000}"/>
    <cellStyle name="쉼표 [0] 6 7 3 4 3" xfId="12098" xr:uid="{00000000-0005-0000-0000-0000412F0000}"/>
    <cellStyle name="쉼표 [0] 6 7 3 4 4" xfId="12099" xr:uid="{00000000-0005-0000-0000-0000422F0000}"/>
    <cellStyle name="쉼표 [0] 6 7 3 5" xfId="12100" xr:uid="{00000000-0005-0000-0000-0000432F0000}"/>
    <cellStyle name="쉼표 [0] 6 7 3 5 2" xfId="12101" xr:uid="{00000000-0005-0000-0000-0000442F0000}"/>
    <cellStyle name="쉼표 [0] 6 7 3 6" xfId="12102" xr:uid="{00000000-0005-0000-0000-0000452F0000}"/>
    <cellStyle name="쉼표 [0] 6 7 3 7" xfId="12103" xr:uid="{00000000-0005-0000-0000-0000462F0000}"/>
    <cellStyle name="쉼표 [0] 6 7 4" xfId="12104" xr:uid="{00000000-0005-0000-0000-0000472F0000}"/>
    <cellStyle name="쉼표 [0] 6 7 4 2" xfId="12105" xr:uid="{00000000-0005-0000-0000-0000482F0000}"/>
    <cellStyle name="쉼표 [0] 6 7 4 2 2" xfId="12106" xr:uid="{00000000-0005-0000-0000-0000492F0000}"/>
    <cellStyle name="쉼표 [0] 6 7 4 2 2 2" xfId="12107" xr:uid="{00000000-0005-0000-0000-00004A2F0000}"/>
    <cellStyle name="쉼표 [0] 6 7 4 2 3" xfId="12108" xr:uid="{00000000-0005-0000-0000-00004B2F0000}"/>
    <cellStyle name="쉼표 [0] 6 7 4 2 4" xfId="12109" xr:uid="{00000000-0005-0000-0000-00004C2F0000}"/>
    <cellStyle name="쉼표 [0] 6 7 4 3" xfId="12110" xr:uid="{00000000-0005-0000-0000-00004D2F0000}"/>
    <cellStyle name="쉼표 [0] 6 7 4 3 2" xfId="12111" xr:uid="{00000000-0005-0000-0000-00004E2F0000}"/>
    <cellStyle name="쉼표 [0] 6 7 4 4" xfId="12112" xr:uid="{00000000-0005-0000-0000-00004F2F0000}"/>
    <cellStyle name="쉼표 [0] 6 7 4 5" xfId="12113" xr:uid="{00000000-0005-0000-0000-0000502F0000}"/>
    <cellStyle name="쉼표 [0] 6 7 5" xfId="12114" xr:uid="{00000000-0005-0000-0000-0000512F0000}"/>
    <cellStyle name="쉼표 [0] 6 7 5 2" xfId="12115" xr:uid="{00000000-0005-0000-0000-0000522F0000}"/>
    <cellStyle name="쉼표 [0] 6 7 5 2 2" xfId="12116" xr:uid="{00000000-0005-0000-0000-0000532F0000}"/>
    <cellStyle name="쉼표 [0] 6 7 5 2 2 2" xfId="12117" xr:uid="{00000000-0005-0000-0000-0000542F0000}"/>
    <cellStyle name="쉼표 [0] 6 7 5 2 3" xfId="12118" xr:uid="{00000000-0005-0000-0000-0000552F0000}"/>
    <cellStyle name="쉼표 [0] 6 7 5 2 4" xfId="12119" xr:uid="{00000000-0005-0000-0000-0000562F0000}"/>
    <cellStyle name="쉼표 [0] 6 7 5 3" xfId="12120" xr:uid="{00000000-0005-0000-0000-0000572F0000}"/>
    <cellStyle name="쉼표 [0] 6 7 5 3 2" xfId="12121" xr:uid="{00000000-0005-0000-0000-0000582F0000}"/>
    <cellStyle name="쉼표 [0] 6 7 5 4" xfId="12122" xr:uid="{00000000-0005-0000-0000-0000592F0000}"/>
    <cellStyle name="쉼표 [0] 6 7 5 5" xfId="12123" xr:uid="{00000000-0005-0000-0000-00005A2F0000}"/>
    <cellStyle name="쉼표 [0] 6 7 6" xfId="12124" xr:uid="{00000000-0005-0000-0000-00005B2F0000}"/>
    <cellStyle name="쉼표 [0] 6 7 6 2" xfId="12125" xr:uid="{00000000-0005-0000-0000-00005C2F0000}"/>
    <cellStyle name="쉼표 [0] 6 7 6 2 2" xfId="12126" xr:uid="{00000000-0005-0000-0000-00005D2F0000}"/>
    <cellStyle name="쉼표 [0] 6 7 6 2 2 2" xfId="12127" xr:uid="{00000000-0005-0000-0000-00005E2F0000}"/>
    <cellStyle name="쉼표 [0] 6 7 6 2 3" xfId="12128" xr:uid="{00000000-0005-0000-0000-00005F2F0000}"/>
    <cellStyle name="쉼표 [0] 6 7 6 2 4" xfId="12129" xr:uid="{00000000-0005-0000-0000-0000602F0000}"/>
    <cellStyle name="쉼표 [0] 6 7 6 3" xfId="12130" xr:uid="{00000000-0005-0000-0000-0000612F0000}"/>
    <cellStyle name="쉼표 [0] 6 7 6 3 2" xfId="12131" xr:uid="{00000000-0005-0000-0000-0000622F0000}"/>
    <cellStyle name="쉼표 [0] 6 7 6 4" xfId="12132" xr:uid="{00000000-0005-0000-0000-0000632F0000}"/>
    <cellStyle name="쉼표 [0] 6 7 6 5" xfId="12133" xr:uid="{00000000-0005-0000-0000-0000642F0000}"/>
    <cellStyle name="쉼표 [0] 6 7 7" xfId="12134" xr:uid="{00000000-0005-0000-0000-0000652F0000}"/>
    <cellStyle name="쉼표 [0] 6 7 7 2" xfId="12135" xr:uid="{00000000-0005-0000-0000-0000662F0000}"/>
    <cellStyle name="쉼표 [0] 6 7 7 2 2" xfId="12136" xr:uid="{00000000-0005-0000-0000-0000672F0000}"/>
    <cellStyle name="쉼표 [0] 6 7 7 2 2 2" xfId="12137" xr:uid="{00000000-0005-0000-0000-0000682F0000}"/>
    <cellStyle name="쉼표 [0] 6 7 7 2 3" xfId="12138" xr:uid="{00000000-0005-0000-0000-0000692F0000}"/>
    <cellStyle name="쉼표 [0] 6 7 7 2 4" xfId="12139" xr:uid="{00000000-0005-0000-0000-00006A2F0000}"/>
    <cellStyle name="쉼표 [0] 6 7 7 3" xfId="12140" xr:uid="{00000000-0005-0000-0000-00006B2F0000}"/>
    <cellStyle name="쉼표 [0] 6 7 7 3 2" xfId="12141" xr:uid="{00000000-0005-0000-0000-00006C2F0000}"/>
    <cellStyle name="쉼표 [0] 6 7 7 4" xfId="12142" xr:uid="{00000000-0005-0000-0000-00006D2F0000}"/>
    <cellStyle name="쉼표 [0] 6 7 7 5" xfId="12143" xr:uid="{00000000-0005-0000-0000-00006E2F0000}"/>
    <cellStyle name="쉼표 [0] 6 7 8" xfId="12144" xr:uid="{00000000-0005-0000-0000-00006F2F0000}"/>
    <cellStyle name="쉼표 [0] 6 7 8 2" xfId="12145" xr:uid="{00000000-0005-0000-0000-0000702F0000}"/>
    <cellStyle name="쉼표 [0] 6 7 8 2 2" xfId="12146" xr:uid="{00000000-0005-0000-0000-0000712F0000}"/>
    <cellStyle name="쉼표 [0] 6 7 8 2 2 2" xfId="12147" xr:uid="{00000000-0005-0000-0000-0000722F0000}"/>
    <cellStyle name="쉼표 [0] 6 7 8 2 3" xfId="12148" xr:uid="{00000000-0005-0000-0000-0000732F0000}"/>
    <cellStyle name="쉼표 [0] 6 7 8 2 4" xfId="12149" xr:uid="{00000000-0005-0000-0000-0000742F0000}"/>
    <cellStyle name="쉼표 [0] 6 7 8 3" xfId="12150" xr:uid="{00000000-0005-0000-0000-0000752F0000}"/>
    <cellStyle name="쉼표 [0] 6 7 8 3 2" xfId="12151" xr:uid="{00000000-0005-0000-0000-0000762F0000}"/>
    <cellStyle name="쉼표 [0] 6 7 8 4" xfId="12152" xr:uid="{00000000-0005-0000-0000-0000772F0000}"/>
    <cellStyle name="쉼표 [0] 6 7 8 5" xfId="12153" xr:uid="{00000000-0005-0000-0000-0000782F0000}"/>
    <cellStyle name="쉼표 [0] 6 7 9" xfId="12154" xr:uid="{00000000-0005-0000-0000-0000792F0000}"/>
    <cellStyle name="쉼표 [0] 6 7 9 2" xfId="12155" xr:uid="{00000000-0005-0000-0000-00007A2F0000}"/>
    <cellStyle name="쉼표 [0] 6 7 9 2 2" xfId="12156" xr:uid="{00000000-0005-0000-0000-00007B2F0000}"/>
    <cellStyle name="쉼표 [0] 6 7 9 2 2 2" xfId="12157" xr:uid="{00000000-0005-0000-0000-00007C2F0000}"/>
    <cellStyle name="쉼표 [0] 6 7 9 2 3" xfId="12158" xr:uid="{00000000-0005-0000-0000-00007D2F0000}"/>
    <cellStyle name="쉼표 [0] 6 7 9 2 4" xfId="12159" xr:uid="{00000000-0005-0000-0000-00007E2F0000}"/>
    <cellStyle name="쉼표 [0] 6 7 9 3" xfId="12160" xr:uid="{00000000-0005-0000-0000-00007F2F0000}"/>
    <cellStyle name="쉼표 [0] 6 7 9 3 2" xfId="12161" xr:uid="{00000000-0005-0000-0000-0000802F0000}"/>
    <cellStyle name="쉼표 [0] 6 7 9 4" xfId="12162" xr:uid="{00000000-0005-0000-0000-0000812F0000}"/>
    <cellStyle name="쉼표 [0] 6 7 9 5" xfId="12163" xr:uid="{00000000-0005-0000-0000-0000822F0000}"/>
    <cellStyle name="쉼표 [0] 6 8" xfId="12164" xr:uid="{00000000-0005-0000-0000-0000832F0000}"/>
    <cellStyle name="쉼표 [0] 6 9" xfId="12165" xr:uid="{00000000-0005-0000-0000-0000842F0000}"/>
    <cellStyle name="쉼표 [0] 6 9 10" xfId="12166" xr:uid="{00000000-0005-0000-0000-0000852F0000}"/>
    <cellStyle name="쉼표 [0] 6 9 10 2" xfId="12167" xr:uid="{00000000-0005-0000-0000-0000862F0000}"/>
    <cellStyle name="쉼표 [0] 6 9 11" xfId="12168" xr:uid="{00000000-0005-0000-0000-0000872F0000}"/>
    <cellStyle name="쉼표 [0] 6 9 12" xfId="12169" xr:uid="{00000000-0005-0000-0000-0000882F0000}"/>
    <cellStyle name="쉼표 [0] 6 9 2" xfId="12170" xr:uid="{00000000-0005-0000-0000-0000892F0000}"/>
    <cellStyle name="쉼표 [0] 6 9 2 2" xfId="12171" xr:uid="{00000000-0005-0000-0000-00008A2F0000}"/>
    <cellStyle name="쉼표 [0] 6 9 2 2 2" xfId="12172" xr:uid="{00000000-0005-0000-0000-00008B2F0000}"/>
    <cellStyle name="쉼표 [0] 6 9 2 2 2 2" xfId="12173" xr:uid="{00000000-0005-0000-0000-00008C2F0000}"/>
    <cellStyle name="쉼표 [0] 6 9 2 2 2 2 2" xfId="12174" xr:uid="{00000000-0005-0000-0000-00008D2F0000}"/>
    <cellStyle name="쉼표 [0] 6 9 2 2 2 3" xfId="12175" xr:uid="{00000000-0005-0000-0000-00008E2F0000}"/>
    <cellStyle name="쉼표 [0] 6 9 2 2 2 4" xfId="12176" xr:uid="{00000000-0005-0000-0000-00008F2F0000}"/>
    <cellStyle name="쉼표 [0] 6 9 2 2 3" xfId="12177" xr:uid="{00000000-0005-0000-0000-0000902F0000}"/>
    <cellStyle name="쉼표 [0] 6 9 2 2 3 2" xfId="12178" xr:uid="{00000000-0005-0000-0000-0000912F0000}"/>
    <cellStyle name="쉼표 [0] 6 9 2 2 4" xfId="12179" xr:uid="{00000000-0005-0000-0000-0000922F0000}"/>
    <cellStyle name="쉼표 [0] 6 9 2 2 5" xfId="12180" xr:uid="{00000000-0005-0000-0000-0000932F0000}"/>
    <cellStyle name="쉼표 [0] 6 9 2 3" xfId="12181" xr:uid="{00000000-0005-0000-0000-0000942F0000}"/>
    <cellStyle name="쉼표 [0] 6 9 2 3 2" xfId="12182" xr:uid="{00000000-0005-0000-0000-0000952F0000}"/>
    <cellStyle name="쉼표 [0] 6 9 2 3 2 2" xfId="12183" xr:uid="{00000000-0005-0000-0000-0000962F0000}"/>
    <cellStyle name="쉼표 [0] 6 9 2 3 2 2 2" xfId="12184" xr:uid="{00000000-0005-0000-0000-0000972F0000}"/>
    <cellStyle name="쉼표 [0] 6 9 2 3 2 3" xfId="12185" xr:uid="{00000000-0005-0000-0000-0000982F0000}"/>
    <cellStyle name="쉼표 [0] 6 9 2 3 2 4" xfId="12186" xr:uid="{00000000-0005-0000-0000-0000992F0000}"/>
    <cellStyle name="쉼표 [0] 6 9 2 3 3" xfId="12187" xr:uid="{00000000-0005-0000-0000-00009A2F0000}"/>
    <cellStyle name="쉼표 [0] 6 9 2 3 3 2" xfId="12188" xr:uid="{00000000-0005-0000-0000-00009B2F0000}"/>
    <cellStyle name="쉼표 [0] 6 9 2 3 4" xfId="12189" xr:uid="{00000000-0005-0000-0000-00009C2F0000}"/>
    <cellStyle name="쉼표 [0] 6 9 2 3 5" xfId="12190" xr:uid="{00000000-0005-0000-0000-00009D2F0000}"/>
    <cellStyle name="쉼표 [0] 6 9 2 4" xfId="12191" xr:uid="{00000000-0005-0000-0000-00009E2F0000}"/>
    <cellStyle name="쉼표 [0] 6 9 2 4 2" xfId="12192" xr:uid="{00000000-0005-0000-0000-00009F2F0000}"/>
    <cellStyle name="쉼표 [0] 6 9 2 4 2 2" xfId="12193" xr:uid="{00000000-0005-0000-0000-0000A02F0000}"/>
    <cellStyle name="쉼표 [0] 6 9 2 4 3" xfId="12194" xr:uid="{00000000-0005-0000-0000-0000A12F0000}"/>
    <cellStyle name="쉼표 [0] 6 9 2 4 4" xfId="12195" xr:uid="{00000000-0005-0000-0000-0000A22F0000}"/>
    <cellStyle name="쉼표 [0] 6 9 2 5" xfId="12196" xr:uid="{00000000-0005-0000-0000-0000A32F0000}"/>
    <cellStyle name="쉼표 [0] 6 9 2 5 2" xfId="12197" xr:uid="{00000000-0005-0000-0000-0000A42F0000}"/>
    <cellStyle name="쉼표 [0] 6 9 2 6" xfId="12198" xr:uid="{00000000-0005-0000-0000-0000A52F0000}"/>
    <cellStyle name="쉼표 [0] 6 9 2 7" xfId="12199" xr:uid="{00000000-0005-0000-0000-0000A62F0000}"/>
    <cellStyle name="쉼표 [0] 6 9 3" xfId="12200" xr:uid="{00000000-0005-0000-0000-0000A72F0000}"/>
    <cellStyle name="쉼표 [0] 6 9 3 2" xfId="12201" xr:uid="{00000000-0005-0000-0000-0000A82F0000}"/>
    <cellStyle name="쉼표 [0] 6 9 3 2 2" xfId="12202" xr:uid="{00000000-0005-0000-0000-0000A92F0000}"/>
    <cellStyle name="쉼표 [0] 6 9 3 2 2 2" xfId="12203" xr:uid="{00000000-0005-0000-0000-0000AA2F0000}"/>
    <cellStyle name="쉼표 [0] 6 9 3 2 3" xfId="12204" xr:uid="{00000000-0005-0000-0000-0000AB2F0000}"/>
    <cellStyle name="쉼표 [0] 6 9 3 2 4" xfId="12205" xr:uid="{00000000-0005-0000-0000-0000AC2F0000}"/>
    <cellStyle name="쉼표 [0] 6 9 3 3" xfId="12206" xr:uid="{00000000-0005-0000-0000-0000AD2F0000}"/>
    <cellStyle name="쉼표 [0] 6 9 3 3 2" xfId="12207" xr:uid="{00000000-0005-0000-0000-0000AE2F0000}"/>
    <cellStyle name="쉼표 [0] 6 9 3 4" xfId="12208" xr:uid="{00000000-0005-0000-0000-0000AF2F0000}"/>
    <cellStyle name="쉼표 [0] 6 9 3 5" xfId="12209" xr:uid="{00000000-0005-0000-0000-0000B02F0000}"/>
    <cellStyle name="쉼표 [0] 6 9 4" xfId="12210" xr:uid="{00000000-0005-0000-0000-0000B12F0000}"/>
    <cellStyle name="쉼표 [0] 6 9 4 2" xfId="12211" xr:uid="{00000000-0005-0000-0000-0000B22F0000}"/>
    <cellStyle name="쉼표 [0] 6 9 4 2 2" xfId="12212" xr:uid="{00000000-0005-0000-0000-0000B32F0000}"/>
    <cellStyle name="쉼표 [0] 6 9 4 2 2 2" xfId="12213" xr:uid="{00000000-0005-0000-0000-0000B42F0000}"/>
    <cellStyle name="쉼표 [0] 6 9 4 2 3" xfId="12214" xr:uid="{00000000-0005-0000-0000-0000B52F0000}"/>
    <cellStyle name="쉼표 [0] 6 9 4 2 4" xfId="12215" xr:uid="{00000000-0005-0000-0000-0000B62F0000}"/>
    <cellStyle name="쉼표 [0] 6 9 4 3" xfId="12216" xr:uid="{00000000-0005-0000-0000-0000B72F0000}"/>
    <cellStyle name="쉼표 [0] 6 9 4 3 2" xfId="12217" xr:uid="{00000000-0005-0000-0000-0000B82F0000}"/>
    <cellStyle name="쉼표 [0] 6 9 4 4" xfId="12218" xr:uid="{00000000-0005-0000-0000-0000B92F0000}"/>
    <cellStyle name="쉼표 [0] 6 9 4 5" xfId="12219" xr:uid="{00000000-0005-0000-0000-0000BA2F0000}"/>
    <cellStyle name="쉼표 [0] 6 9 5" xfId="12220" xr:uid="{00000000-0005-0000-0000-0000BB2F0000}"/>
    <cellStyle name="쉼표 [0] 6 9 5 2" xfId="12221" xr:uid="{00000000-0005-0000-0000-0000BC2F0000}"/>
    <cellStyle name="쉼표 [0] 6 9 5 2 2" xfId="12222" xr:uid="{00000000-0005-0000-0000-0000BD2F0000}"/>
    <cellStyle name="쉼표 [0] 6 9 5 2 2 2" xfId="12223" xr:uid="{00000000-0005-0000-0000-0000BE2F0000}"/>
    <cellStyle name="쉼표 [0] 6 9 5 2 3" xfId="12224" xr:uid="{00000000-0005-0000-0000-0000BF2F0000}"/>
    <cellStyle name="쉼표 [0] 6 9 5 2 4" xfId="12225" xr:uid="{00000000-0005-0000-0000-0000C02F0000}"/>
    <cellStyle name="쉼표 [0] 6 9 5 3" xfId="12226" xr:uid="{00000000-0005-0000-0000-0000C12F0000}"/>
    <cellStyle name="쉼표 [0] 6 9 5 3 2" xfId="12227" xr:uid="{00000000-0005-0000-0000-0000C22F0000}"/>
    <cellStyle name="쉼표 [0] 6 9 5 4" xfId="12228" xr:uid="{00000000-0005-0000-0000-0000C32F0000}"/>
    <cellStyle name="쉼표 [0] 6 9 5 5" xfId="12229" xr:uid="{00000000-0005-0000-0000-0000C42F0000}"/>
    <cellStyle name="쉼표 [0] 6 9 6" xfId="12230" xr:uid="{00000000-0005-0000-0000-0000C52F0000}"/>
    <cellStyle name="쉼표 [0] 6 9 6 2" xfId="12231" xr:uid="{00000000-0005-0000-0000-0000C62F0000}"/>
    <cellStyle name="쉼표 [0] 6 9 6 2 2" xfId="12232" xr:uid="{00000000-0005-0000-0000-0000C72F0000}"/>
    <cellStyle name="쉼표 [0] 6 9 6 2 2 2" xfId="12233" xr:uid="{00000000-0005-0000-0000-0000C82F0000}"/>
    <cellStyle name="쉼표 [0] 6 9 6 2 3" xfId="12234" xr:uid="{00000000-0005-0000-0000-0000C92F0000}"/>
    <cellStyle name="쉼표 [0] 6 9 6 2 4" xfId="12235" xr:uid="{00000000-0005-0000-0000-0000CA2F0000}"/>
    <cellStyle name="쉼표 [0] 6 9 6 3" xfId="12236" xr:uid="{00000000-0005-0000-0000-0000CB2F0000}"/>
    <cellStyle name="쉼표 [0] 6 9 6 3 2" xfId="12237" xr:uid="{00000000-0005-0000-0000-0000CC2F0000}"/>
    <cellStyle name="쉼표 [0] 6 9 6 4" xfId="12238" xr:uid="{00000000-0005-0000-0000-0000CD2F0000}"/>
    <cellStyle name="쉼표 [0] 6 9 6 5" xfId="12239" xr:uid="{00000000-0005-0000-0000-0000CE2F0000}"/>
    <cellStyle name="쉼표 [0] 6 9 7" xfId="12240" xr:uid="{00000000-0005-0000-0000-0000CF2F0000}"/>
    <cellStyle name="쉼표 [0] 6 9 7 2" xfId="12241" xr:uid="{00000000-0005-0000-0000-0000D02F0000}"/>
    <cellStyle name="쉼표 [0] 6 9 7 2 2" xfId="12242" xr:uid="{00000000-0005-0000-0000-0000D12F0000}"/>
    <cellStyle name="쉼표 [0] 6 9 7 2 2 2" xfId="12243" xr:uid="{00000000-0005-0000-0000-0000D22F0000}"/>
    <cellStyle name="쉼표 [0] 6 9 7 2 3" xfId="12244" xr:uid="{00000000-0005-0000-0000-0000D32F0000}"/>
    <cellStyle name="쉼표 [0] 6 9 7 2 4" xfId="12245" xr:uid="{00000000-0005-0000-0000-0000D42F0000}"/>
    <cellStyle name="쉼표 [0] 6 9 7 3" xfId="12246" xr:uid="{00000000-0005-0000-0000-0000D52F0000}"/>
    <cellStyle name="쉼표 [0] 6 9 7 3 2" xfId="12247" xr:uid="{00000000-0005-0000-0000-0000D62F0000}"/>
    <cellStyle name="쉼표 [0] 6 9 7 4" xfId="12248" xr:uid="{00000000-0005-0000-0000-0000D72F0000}"/>
    <cellStyle name="쉼표 [0] 6 9 7 5" xfId="12249" xr:uid="{00000000-0005-0000-0000-0000D82F0000}"/>
    <cellStyle name="쉼표 [0] 6 9 8" xfId="12250" xr:uid="{00000000-0005-0000-0000-0000D92F0000}"/>
    <cellStyle name="쉼표 [0] 6 9 8 2" xfId="12251" xr:uid="{00000000-0005-0000-0000-0000DA2F0000}"/>
    <cellStyle name="쉼표 [0] 6 9 8 2 2" xfId="12252" xr:uid="{00000000-0005-0000-0000-0000DB2F0000}"/>
    <cellStyle name="쉼표 [0] 6 9 8 2 2 2" xfId="12253" xr:uid="{00000000-0005-0000-0000-0000DC2F0000}"/>
    <cellStyle name="쉼표 [0] 6 9 8 2 3" xfId="12254" xr:uid="{00000000-0005-0000-0000-0000DD2F0000}"/>
    <cellStyle name="쉼표 [0] 6 9 8 2 4" xfId="12255" xr:uid="{00000000-0005-0000-0000-0000DE2F0000}"/>
    <cellStyle name="쉼표 [0] 6 9 8 3" xfId="12256" xr:uid="{00000000-0005-0000-0000-0000DF2F0000}"/>
    <cellStyle name="쉼표 [0] 6 9 8 3 2" xfId="12257" xr:uid="{00000000-0005-0000-0000-0000E02F0000}"/>
    <cellStyle name="쉼표 [0] 6 9 8 4" xfId="12258" xr:uid="{00000000-0005-0000-0000-0000E12F0000}"/>
    <cellStyle name="쉼표 [0] 6 9 8 5" xfId="12259" xr:uid="{00000000-0005-0000-0000-0000E22F0000}"/>
    <cellStyle name="쉼표 [0] 6 9 9" xfId="12260" xr:uid="{00000000-0005-0000-0000-0000E32F0000}"/>
    <cellStyle name="쉼표 [0] 6 9 9 2" xfId="12261" xr:uid="{00000000-0005-0000-0000-0000E42F0000}"/>
    <cellStyle name="쉼표 [0] 6 9 9 2 2" xfId="12262" xr:uid="{00000000-0005-0000-0000-0000E52F0000}"/>
    <cellStyle name="쉼표 [0] 6 9 9 3" xfId="12263" xr:uid="{00000000-0005-0000-0000-0000E62F0000}"/>
    <cellStyle name="쉼표 [0] 6 9 9 4" xfId="12264" xr:uid="{00000000-0005-0000-0000-0000E72F0000}"/>
    <cellStyle name="쉼표 [0] 7" xfId="12265" xr:uid="{00000000-0005-0000-0000-0000E82F0000}"/>
    <cellStyle name="쉼표 [0] 7 2" xfId="12266" xr:uid="{00000000-0005-0000-0000-0000E92F0000}"/>
    <cellStyle name="쉼표 [0] 7 2 2" xfId="12267" xr:uid="{00000000-0005-0000-0000-0000EA2F0000}"/>
    <cellStyle name="쉼표 [0] 7 2 3" xfId="12268" xr:uid="{00000000-0005-0000-0000-0000EB2F0000}"/>
    <cellStyle name="쉼표 [0] 7 3" xfId="12269" xr:uid="{00000000-0005-0000-0000-0000EC2F0000}"/>
    <cellStyle name="쉼표 [0] 7 4" xfId="12270" xr:uid="{00000000-0005-0000-0000-0000ED2F0000}"/>
    <cellStyle name="쉼표 [0] 7 5" xfId="12271" xr:uid="{00000000-0005-0000-0000-0000EE2F0000}"/>
    <cellStyle name="쉼표 [0] 7 6" xfId="12272" xr:uid="{00000000-0005-0000-0000-0000EF2F0000}"/>
    <cellStyle name="쉼표 [0] 7 7" xfId="12273" xr:uid="{00000000-0005-0000-0000-0000F02F0000}"/>
    <cellStyle name="쉼표 [0] 7 8" xfId="12274" xr:uid="{00000000-0005-0000-0000-0000F12F0000}"/>
    <cellStyle name="쉼표 [0] 8" xfId="12275" xr:uid="{00000000-0005-0000-0000-0000F22F0000}"/>
    <cellStyle name="쉼표 [0] 8 2" xfId="12276" xr:uid="{00000000-0005-0000-0000-0000F32F0000}"/>
    <cellStyle name="쉼표 [0] 8 3" xfId="12277" xr:uid="{00000000-0005-0000-0000-0000F42F0000}"/>
    <cellStyle name="쉼표 [0] 8 4" xfId="12278" xr:uid="{00000000-0005-0000-0000-0000F52F0000}"/>
    <cellStyle name="쉼표 [0] 8 5" xfId="12279" xr:uid="{00000000-0005-0000-0000-0000F62F0000}"/>
    <cellStyle name="쉼표 [0] 9" xfId="12280" xr:uid="{00000000-0005-0000-0000-0000F72F0000}"/>
    <cellStyle name="쉼표 [0] 9 2" xfId="12281" xr:uid="{00000000-0005-0000-0000-0000F82F0000}"/>
    <cellStyle name="쉼표 [0] 9 3" xfId="12282" xr:uid="{00000000-0005-0000-0000-0000F92F0000}"/>
    <cellStyle name="쉼표 [0] 9 4" xfId="12283" xr:uid="{00000000-0005-0000-0000-0000FA2F0000}"/>
    <cellStyle name="쉼표 [0] 9 5" xfId="12284" xr:uid="{00000000-0005-0000-0000-0000FB2F0000}"/>
    <cellStyle name="쉼표 [0] 9 6" xfId="12285" xr:uid="{00000000-0005-0000-0000-0000FC2F0000}"/>
    <cellStyle name="쉼표 [0] 9 7" xfId="12286" xr:uid="{00000000-0005-0000-0000-0000FD2F0000}"/>
    <cellStyle name="쉼표 [0] 9 8" xfId="12287" xr:uid="{00000000-0005-0000-0000-0000FE2F0000}"/>
    <cellStyle name="쉼표 2" xfId="12288" xr:uid="{00000000-0005-0000-0000-0000FF2F0000}"/>
    <cellStyle name="스타일 1" xfId="12289" xr:uid="{00000000-0005-0000-0000-000000300000}"/>
    <cellStyle name="스타일 10" xfId="12290" xr:uid="{00000000-0005-0000-0000-000001300000}"/>
    <cellStyle name="스타일 100" xfId="12291" xr:uid="{00000000-0005-0000-0000-000002300000}"/>
    <cellStyle name="스타일 100 2" xfId="12292" xr:uid="{00000000-0005-0000-0000-000003300000}"/>
    <cellStyle name="스타일 101" xfId="12293" xr:uid="{00000000-0005-0000-0000-000004300000}"/>
    <cellStyle name="스타일 101 2" xfId="12294" xr:uid="{00000000-0005-0000-0000-000005300000}"/>
    <cellStyle name="스타일 102" xfId="12295" xr:uid="{00000000-0005-0000-0000-000006300000}"/>
    <cellStyle name="스타일 102 2" xfId="12296" xr:uid="{00000000-0005-0000-0000-000007300000}"/>
    <cellStyle name="스타일 103" xfId="12297" xr:uid="{00000000-0005-0000-0000-000008300000}"/>
    <cellStyle name="스타일 103 2" xfId="12298" xr:uid="{00000000-0005-0000-0000-000009300000}"/>
    <cellStyle name="스타일 104" xfId="12299" xr:uid="{00000000-0005-0000-0000-00000A300000}"/>
    <cellStyle name="스타일 104 2" xfId="12300" xr:uid="{00000000-0005-0000-0000-00000B300000}"/>
    <cellStyle name="스타일 105" xfId="12301" xr:uid="{00000000-0005-0000-0000-00000C300000}"/>
    <cellStyle name="스타일 105 2" xfId="12302" xr:uid="{00000000-0005-0000-0000-00000D300000}"/>
    <cellStyle name="스타일 106" xfId="12303" xr:uid="{00000000-0005-0000-0000-00000E300000}"/>
    <cellStyle name="스타일 106 2" xfId="12304" xr:uid="{00000000-0005-0000-0000-00000F300000}"/>
    <cellStyle name="스타일 107" xfId="12305" xr:uid="{00000000-0005-0000-0000-000010300000}"/>
    <cellStyle name="스타일 107 2" xfId="12306" xr:uid="{00000000-0005-0000-0000-000011300000}"/>
    <cellStyle name="스타일 108" xfId="12307" xr:uid="{00000000-0005-0000-0000-000012300000}"/>
    <cellStyle name="스타일 108 2" xfId="12308" xr:uid="{00000000-0005-0000-0000-000013300000}"/>
    <cellStyle name="스타일 109" xfId="12309" xr:uid="{00000000-0005-0000-0000-000014300000}"/>
    <cellStyle name="스타일 109 2" xfId="12310" xr:uid="{00000000-0005-0000-0000-000015300000}"/>
    <cellStyle name="스타일 11" xfId="12311" xr:uid="{00000000-0005-0000-0000-000016300000}"/>
    <cellStyle name="스타일 110" xfId="12312" xr:uid="{00000000-0005-0000-0000-000017300000}"/>
    <cellStyle name="스타일 110 2" xfId="12313" xr:uid="{00000000-0005-0000-0000-000018300000}"/>
    <cellStyle name="스타일 111" xfId="12314" xr:uid="{00000000-0005-0000-0000-000019300000}"/>
    <cellStyle name="스타일 111 2" xfId="12315" xr:uid="{00000000-0005-0000-0000-00001A300000}"/>
    <cellStyle name="스타일 112" xfId="12316" xr:uid="{00000000-0005-0000-0000-00001B300000}"/>
    <cellStyle name="스타일 112 2" xfId="12317" xr:uid="{00000000-0005-0000-0000-00001C300000}"/>
    <cellStyle name="스타일 113" xfId="12318" xr:uid="{00000000-0005-0000-0000-00001D300000}"/>
    <cellStyle name="스타일 113 2" xfId="12319" xr:uid="{00000000-0005-0000-0000-00001E300000}"/>
    <cellStyle name="스타일 114" xfId="12320" xr:uid="{00000000-0005-0000-0000-00001F300000}"/>
    <cellStyle name="스타일 114 2" xfId="12321" xr:uid="{00000000-0005-0000-0000-000020300000}"/>
    <cellStyle name="스타일 115" xfId="12322" xr:uid="{00000000-0005-0000-0000-000021300000}"/>
    <cellStyle name="스타일 115 2" xfId="12323" xr:uid="{00000000-0005-0000-0000-000022300000}"/>
    <cellStyle name="스타일 116" xfId="12324" xr:uid="{00000000-0005-0000-0000-000023300000}"/>
    <cellStyle name="스타일 116 2" xfId="12325" xr:uid="{00000000-0005-0000-0000-000024300000}"/>
    <cellStyle name="스타일 117" xfId="12326" xr:uid="{00000000-0005-0000-0000-000025300000}"/>
    <cellStyle name="스타일 118" xfId="12327" xr:uid="{00000000-0005-0000-0000-000026300000}"/>
    <cellStyle name="스타일 119" xfId="12328" xr:uid="{00000000-0005-0000-0000-000027300000}"/>
    <cellStyle name="스타일 12" xfId="12329" xr:uid="{00000000-0005-0000-0000-000028300000}"/>
    <cellStyle name="스타일 120" xfId="12330" xr:uid="{00000000-0005-0000-0000-000029300000}"/>
    <cellStyle name="스타일 121" xfId="12331" xr:uid="{00000000-0005-0000-0000-00002A300000}"/>
    <cellStyle name="스타일 122" xfId="12332" xr:uid="{00000000-0005-0000-0000-00002B300000}"/>
    <cellStyle name="스타일 123" xfId="12333" xr:uid="{00000000-0005-0000-0000-00002C300000}"/>
    <cellStyle name="스타일 124" xfId="12334" xr:uid="{00000000-0005-0000-0000-00002D300000}"/>
    <cellStyle name="스타일 125" xfId="12335" xr:uid="{00000000-0005-0000-0000-00002E300000}"/>
    <cellStyle name="스타일 126" xfId="12336" xr:uid="{00000000-0005-0000-0000-00002F300000}"/>
    <cellStyle name="스타일 127" xfId="12337" xr:uid="{00000000-0005-0000-0000-000030300000}"/>
    <cellStyle name="스타일 128" xfId="12338" xr:uid="{00000000-0005-0000-0000-000031300000}"/>
    <cellStyle name="스타일 129" xfId="12339" xr:uid="{00000000-0005-0000-0000-000032300000}"/>
    <cellStyle name="스타일 13" xfId="12340" xr:uid="{00000000-0005-0000-0000-000033300000}"/>
    <cellStyle name="스타일 130" xfId="12341" xr:uid="{00000000-0005-0000-0000-000034300000}"/>
    <cellStyle name="스타일 131" xfId="12342" xr:uid="{00000000-0005-0000-0000-000035300000}"/>
    <cellStyle name="스타일 132" xfId="12343" xr:uid="{00000000-0005-0000-0000-000036300000}"/>
    <cellStyle name="스타일 133" xfId="12344" xr:uid="{00000000-0005-0000-0000-000037300000}"/>
    <cellStyle name="스타일 134" xfId="12345" xr:uid="{00000000-0005-0000-0000-000038300000}"/>
    <cellStyle name="스타일 135" xfId="12346" xr:uid="{00000000-0005-0000-0000-000039300000}"/>
    <cellStyle name="스타일 136" xfId="12347" xr:uid="{00000000-0005-0000-0000-00003A300000}"/>
    <cellStyle name="스타일 137" xfId="12348" xr:uid="{00000000-0005-0000-0000-00003B300000}"/>
    <cellStyle name="스타일 138" xfId="12349" xr:uid="{00000000-0005-0000-0000-00003C300000}"/>
    <cellStyle name="스타일 139" xfId="12350" xr:uid="{00000000-0005-0000-0000-00003D300000}"/>
    <cellStyle name="스타일 14" xfId="12351" xr:uid="{00000000-0005-0000-0000-00003E300000}"/>
    <cellStyle name="스타일 140" xfId="12352" xr:uid="{00000000-0005-0000-0000-00003F300000}"/>
    <cellStyle name="스타일 141" xfId="12353" xr:uid="{00000000-0005-0000-0000-000040300000}"/>
    <cellStyle name="스타일 142" xfId="12354" xr:uid="{00000000-0005-0000-0000-000041300000}"/>
    <cellStyle name="스타일 143" xfId="12355" xr:uid="{00000000-0005-0000-0000-000042300000}"/>
    <cellStyle name="스타일 144" xfId="12356" xr:uid="{00000000-0005-0000-0000-000043300000}"/>
    <cellStyle name="스타일 145" xfId="12357" xr:uid="{00000000-0005-0000-0000-000044300000}"/>
    <cellStyle name="스타일 146" xfId="12358" xr:uid="{00000000-0005-0000-0000-000045300000}"/>
    <cellStyle name="스타일 147" xfId="12359" xr:uid="{00000000-0005-0000-0000-000046300000}"/>
    <cellStyle name="스타일 148" xfId="12360" xr:uid="{00000000-0005-0000-0000-000047300000}"/>
    <cellStyle name="스타일 149" xfId="12361" xr:uid="{00000000-0005-0000-0000-000048300000}"/>
    <cellStyle name="스타일 15" xfId="12362" xr:uid="{00000000-0005-0000-0000-000049300000}"/>
    <cellStyle name="스타일 150" xfId="12363" xr:uid="{00000000-0005-0000-0000-00004A300000}"/>
    <cellStyle name="스타일 151" xfId="12364" xr:uid="{00000000-0005-0000-0000-00004B300000}"/>
    <cellStyle name="스타일 152" xfId="12365" xr:uid="{00000000-0005-0000-0000-00004C300000}"/>
    <cellStyle name="스타일 153" xfId="12366" xr:uid="{00000000-0005-0000-0000-00004D300000}"/>
    <cellStyle name="스타일 154" xfId="12367" xr:uid="{00000000-0005-0000-0000-00004E300000}"/>
    <cellStyle name="스타일 155" xfId="12368" xr:uid="{00000000-0005-0000-0000-00004F300000}"/>
    <cellStyle name="스타일 156" xfId="12369" xr:uid="{00000000-0005-0000-0000-000050300000}"/>
    <cellStyle name="스타일 157" xfId="12370" xr:uid="{00000000-0005-0000-0000-000051300000}"/>
    <cellStyle name="스타일 158" xfId="12371" xr:uid="{00000000-0005-0000-0000-000052300000}"/>
    <cellStyle name="스타일 159" xfId="12372" xr:uid="{00000000-0005-0000-0000-000053300000}"/>
    <cellStyle name="스타일 16" xfId="12373" xr:uid="{00000000-0005-0000-0000-000054300000}"/>
    <cellStyle name="스타일 160" xfId="12374" xr:uid="{00000000-0005-0000-0000-000055300000}"/>
    <cellStyle name="스타일 161" xfId="12375" xr:uid="{00000000-0005-0000-0000-000056300000}"/>
    <cellStyle name="스타일 162" xfId="12376" xr:uid="{00000000-0005-0000-0000-000057300000}"/>
    <cellStyle name="스타일 163" xfId="12377" xr:uid="{00000000-0005-0000-0000-000058300000}"/>
    <cellStyle name="스타일 164" xfId="12378" xr:uid="{00000000-0005-0000-0000-000059300000}"/>
    <cellStyle name="스타일 165" xfId="12379" xr:uid="{00000000-0005-0000-0000-00005A300000}"/>
    <cellStyle name="스타일 166" xfId="12380" xr:uid="{00000000-0005-0000-0000-00005B300000}"/>
    <cellStyle name="스타일 167" xfId="12381" xr:uid="{00000000-0005-0000-0000-00005C300000}"/>
    <cellStyle name="스타일 168" xfId="12382" xr:uid="{00000000-0005-0000-0000-00005D300000}"/>
    <cellStyle name="스타일 169" xfId="12383" xr:uid="{00000000-0005-0000-0000-00005E300000}"/>
    <cellStyle name="스타일 17" xfId="12384" xr:uid="{00000000-0005-0000-0000-00005F300000}"/>
    <cellStyle name="스타일 170" xfId="12385" xr:uid="{00000000-0005-0000-0000-000060300000}"/>
    <cellStyle name="스타일 171" xfId="12386" xr:uid="{00000000-0005-0000-0000-000061300000}"/>
    <cellStyle name="스타일 172" xfId="12387" xr:uid="{00000000-0005-0000-0000-000062300000}"/>
    <cellStyle name="스타일 173" xfId="12388" xr:uid="{00000000-0005-0000-0000-000063300000}"/>
    <cellStyle name="스타일 174" xfId="12389" xr:uid="{00000000-0005-0000-0000-000064300000}"/>
    <cellStyle name="스타일 175" xfId="12390" xr:uid="{00000000-0005-0000-0000-000065300000}"/>
    <cellStyle name="스타일 176" xfId="12391" xr:uid="{00000000-0005-0000-0000-000066300000}"/>
    <cellStyle name="스타일 177" xfId="12392" xr:uid="{00000000-0005-0000-0000-000067300000}"/>
    <cellStyle name="스타일 178" xfId="12393" xr:uid="{00000000-0005-0000-0000-000068300000}"/>
    <cellStyle name="스타일 179" xfId="12394" xr:uid="{00000000-0005-0000-0000-000069300000}"/>
    <cellStyle name="스타일 18" xfId="12395" xr:uid="{00000000-0005-0000-0000-00006A300000}"/>
    <cellStyle name="스타일 180" xfId="12396" xr:uid="{00000000-0005-0000-0000-00006B300000}"/>
    <cellStyle name="스타일 181" xfId="12397" xr:uid="{00000000-0005-0000-0000-00006C300000}"/>
    <cellStyle name="스타일 182" xfId="12398" xr:uid="{00000000-0005-0000-0000-00006D300000}"/>
    <cellStyle name="스타일 183" xfId="12399" xr:uid="{00000000-0005-0000-0000-00006E300000}"/>
    <cellStyle name="스타일 184" xfId="12400" xr:uid="{00000000-0005-0000-0000-00006F300000}"/>
    <cellStyle name="스타일 185" xfId="12401" xr:uid="{00000000-0005-0000-0000-000070300000}"/>
    <cellStyle name="스타일 186" xfId="12402" xr:uid="{00000000-0005-0000-0000-000071300000}"/>
    <cellStyle name="스타일 187" xfId="12403" xr:uid="{00000000-0005-0000-0000-000072300000}"/>
    <cellStyle name="스타일 188" xfId="12404" xr:uid="{00000000-0005-0000-0000-000073300000}"/>
    <cellStyle name="스타일 189" xfId="12405" xr:uid="{00000000-0005-0000-0000-000074300000}"/>
    <cellStyle name="스타일 19" xfId="12406" xr:uid="{00000000-0005-0000-0000-000075300000}"/>
    <cellStyle name="스타일 190" xfId="12407" xr:uid="{00000000-0005-0000-0000-000076300000}"/>
    <cellStyle name="스타일 191" xfId="12408" xr:uid="{00000000-0005-0000-0000-000077300000}"/>
    <cellStyle name="스타일 192" xfId="12409" xr:uid="{00000000-0005-0000-0000-000078300000}"/>
    <cellStyle name="스타일 193" xfId="12410" xr:uid="{00000000-0005-0000-0000-000079300000}"/>
    <cellStyle name="스타일 194" xfId="12411" xr:uid="{00000000-0005-0000-0000-00007A300000}"/>
    <cellStyle name="스타일 195" xfId="12412" xr:uid="{00000000-0005-0000-0000-00007B300000}"/>
    <cellStyle name="스타일 196" xfId="12413" xr:uid="{00000000-0005-0000-0000-00007C300000}"/>
    <cellStyle name="스타일 197" xfId="12414" xr:uid="{00000000-0005-0000-0000-00007D300000}"/>
    <cellStyle name="스타일 198" xfId="12415" xr:uid="{00000000-0005-0000-0000-00007E300000}"/>
    <cellStyle name="스타일 199" xfId="12416" xr:uid="{00000000-0005-0000-0000-00007F300000}"/>
    <cellStyle name="스타일 2" xfId="12417" xr:uid="{00000000-0005-0000-0000-000080300000}"/>
    <cellStyle name="스타일 2 2" xfId="12418" xr:uid="{00000000-0005-0000-0000-000081300000}"/>
    <cellStyle name="스타일 2 3" xfId="12419" xr:uid="{00000000-0005-0000-0000-000082300000}"/>
    <cellStyle name="스타일 20" xfId="12420" xr:uid="{00000000-0005-0000-0000-000083300000}"/>
    <cellStyle name="스타일 200" xfId="12421" xr:uid="{00000000-0005-0000-0000-000084300000}"/>
    <cellStyle name="스타일 201" xfId="12422" xr:uid="{00000000-0005-0000-0000-000085300000}"/>
    <cellStyle name="스타일 202" xfId="12423" xr:uid="{00000000-0005-0000-0000-000086300000}"/>
    <cellStyle name="스타일 203" xfId="12424" xr:uid="{00000000-0005-0000-0000-000087300000}"/>
    <cellStyle name="스타일 204" xfId="12425" xr:uid="{00000000-0005-0000-0000-000088300000}"/>
    <cellStyle name="스타일 205" xfId="12426" xr:uid="{00000000-0005-0000-0000-000089300000}"/>
    <cellStyle name="스타일 206" xfId="12427" xr:uid="{00000000-0005-0000-0000-00008A300000}"/>
    <cellStyle name="스타일 207" xfId="12428" xr:uid="{00000000-0005-0000-0000-00008B300000}"/>
    <cellStyle name="스타일 208" xfId="12429" xr:uid="{00000000-0005-0000-0000-00008C300000}"/>
    <cellStyle name="스타일 209" xfId="12430" xr:uid="{00000000-0005-0000-0000-00008D300000}"/>
    <cellStyle name="스타일 21" xfId="12431" xr:uid="{00000000-0005-0000-0000-00008E300000}"/>
    <cellStyle name="스타일 210" xfId="12432" xr:uid="{00000000-0005-0000-0000-00008F300000}"/>
    <cellStyle name="스타일 211" xfId="12433" xr:uid="{00000000-0005-0000-0000-000090300000}"/>
    <cellStyle name="스타일 212" xfId="12434" xr:uid="{00000000-0005-0000-0000-000091300000}"/>
    <cellStyle name="스타일 213" xfId="12435" xr:uid="{00000000-0005-0000-0000-000092300000}"/>
    <cellStyle name="스타일 214" xfId="12436" xr:uid="{00000000-0005-0000-0000-000093300000}"/>
    <cellStyle name="스타일 215" xfId="12437" xr:uid="{00000000-0005-0000-0000-000094300000}"/>
    <cellStyle name="스타일 216" xfId="12438" xr:uid="{00000000-0005-0000-0000-000095300000}"/>
    <cellStyle name="스타일 217" xfId="12439" xr:uid="{00000000-0005-0000-0000-000096300000}"/>
    <cellStyle name="스타일 218" xfId="12440" xr:uid="{00000000-0005-0000-0000-000097300000}"/>
    <cellStyle name="스타일 219" xfId="12441" xr:uid="{00000000-0005-0000-0000-000098300000}"/>
    <cellStyle name="스타일 22" xfId="12442" xr:uid="{00000000-0005-0000-0000-000099300000}"/>
    <cellStyle name="스타일 220" xfId="12443" xr:uid="{00000000-0005-0000-0000-00009A300000}"/>
    <cellStyle name="스타일 221" xfId="12444" xr:uid="{00000000-0005-0000-0000-00009B300000}"/>
    <cellStyle name="스타일 222" xfId="12445" xr:uid="{00000000-0005-0000-0000-00009C300000}"/>
    <cellStyle name="스타일 223" xfId="12446" xr:uid="{00000000-0005-0000-0000-00009D300000}"/>
    <cellStyle name="스타일 224" xfId="12447" xr:uid="{00000000-0005-0000-0000-00009E300000}"/>
    <cellStyle name="스타일 225" xfId="12448" xr:uid="{00000000-0005-0000-0000-00009F300000}"/>
    <cellStyle name="스타일 226" xfId="12449" xr:uid="{00000000-0005-0000-0000-0000A0300000}"/>
    <cellStyle name="스타일 227" xfId="12450" xr:uid="{00000000-0005-0000-0000-0000A1300000}"/>
    <cellStyle name="스타일 228" xfId="12451" xr:uid="{00000000-0005-0000-0000-0000A2300000}"/>
    <cellStyle name="스타일 229" xfId="12452" xr:uid="{00000000-0005-0000-0000-0000A3300000}"/>
    <cellStyle name="스타일 23" xfId="12453" xr:uid="{00000000-0005-0000-0000-0000A4300000}"/>
    <cellStyle name="스타일 230" xfId="12454" xr:uid="{00000000-0005-0000-0000-0000A5300000}"/>
    <cellStyle name="스타일 231" xfId="12455" xr:uid="{00000000-0005-0000-0000-0000A6300000}"/>
    <cellStyle name="스타일 232" xfId="12456" xr:uid="{00000000-0005-0000-0000-0000A7300000}"/>
    <cellStyle name="스타일 233" xfId="12457" xr:uid="{00000000-0005-0000-0000-0000A8300000}"/>
    <cellStyle name="스타일 234" xfId="12458" xr:uid="{00000000-0005-0000-0000-0000A9300000}"/>
    <cellStyle name="스타일 235" xfId="12459" xr:uid="{00000000-0005-0000-0000-0000AA300000}"/>
    <cellStyle name="스타일 236" xfId="12460" xr:uid="{00000000-0005-0000-0000-0000AB300000}"/>
    <cellStyle name="스타일 237" xfId="12461" xr:uid="{00000000-0005-0000-0000-0000AC300000}"/>
    <cellStyle name="스타일 238" xfId="12462" xr:uid="{00000000-0005-0000-0000-0000AD300000}"/>
    <cellStyle name="스타일 239" xfId="12463" xr:uid="{00000000-0005-0000-0000-0000AE300000}"/>
    <cellStyle name="스타일 24" xfId="12464" xr:uid="{00000000-0005-0000-0000-0000AF300000}"/>
    <cellStyle name="스타일 240" xfId="12465" xr:uid="{00000000-0005-0000-0000-0000B0300000}"/>
    <cellStyle name="스타일 241" xfId="12466" xr:uid="{00000000-0005-0000-0000-0000B1300000}"/>
    <cellStyle name="스타일 242" xfId="12467" xr:uid="{00000000-0005-0000-0000-0000B2300000}"/>
    <cellStyle name="스타일 243" xfId="12468" xr:uid="{00000000-0005-0000-0000-0000B3300000}"/>
    <cellStyle name="스타일 244" xfId="12469" xr:uid="{00000000-0005-0000-0000-0000B4300000}"/>
    <cellStyle name="스타일 245" xfId="12470" xr:uid="{00000000-0005-0000-0000-0000B5300000}"/>
    <cellStyle name="스타일 246" xfId="12471" xr:uid="{00000000-0005-0000-0000-0000B6300000}"/>
    <cellStyle name="스타일 247" xfId="12472" xr:uid="{00000000-0005-0000-0000-0000B7300000}"/>
    <cellStyle name="스타일 248" xfId="12473" xr:uid="{00000000-0005-0000-0000-0000B8300000}"/>
    <cellStyle name="스타일 249" xfId="12474" xr:uid="{00000000-0005-0000-0000-0000B9300000}"/>
    <cellStyle name="스타일 25" xfId="12475" xr:uid="{00000000-0005-0000-0000-0000BA300000}"/>
    <cellStyle name="스타일 250" xfId="12476" xr:uid="{00000000-0005-0000-0000-0000BB300000}"/>
    <cellStyle name="스타일 251" xfId="12477" xr:uid="{00000000-0005-0000-0000-0000BC300000}"/>
    <cellStyle name="스타일 252" xfId="12478" xr:uid="{00000000-0005-0000-0000-0000BD300000}"/>
    <cellStyle name="스타일 253" xfId="12479" xr:uid="{00000000-0005-0000-0000-0000BE300000}"/>
    <cellStyle name="스타일 254" xfId="12480" xr:uid="{00000000-0005-0000-0000-0000BF300000}"/>
    <cellStyle name="스타일 255" xfId="12481" xr:uid="{00000000-0005-0000-0000-0000C0300000}"/>
    <cellStyle name="스타일 26" xfId="12482" xr:uid="{00000000-0005-0000-0000-0000C1300000}"/>
    <cellStyle name="스타일 27" xfId="12483" xr:uid="{00000000-0005-0000-0000-0000C2300000}"/>
    <cellStyle name="스타일 28" xfId="12484" xr:uid="{00000000-0005-0000-0000-0000C3300000}"/>
    <cellStyle name="스타일 29" xfId="12485" xr:uid="{00000000-0005-0000-0000-0000C4300000}"/>
    <cellStyle name="스타일 3" xfId="12486" xr:uid="{00000000-0005-0000-0000-0000C5300000}"/>
    <cellStyle name="스타일 3 2" xfId="12487" xr:uid="{00000000-0005-0000-0000-0000C6300000}"/>
    <cellStyle name="스타일 3 3" xfId="12488" xr:uid="{00000000-0005-0000-0000-0000C7300000}"/>
    <cellStyle name="스타일 30" xfId="12489" xr:uid="{00000000-0005-0000-0000-0000C8300000}"/>
    <cellStyle name="스타일 31" xfId="12490" xr:uid="{00000000-0005-0000-0000-0000C9300000}"/>
    <cellStyle name="스타일 32" xfId="12491" xr:uid="{00000000-0005-0000-0000-0000CA300000}"/>
    <cellStyle name="스타일 33" xfId="12492" xr:uid="{00000000-0005-0000-0000-0000CB300000}"/>
    <cellStyle name="스타일 34" xfId="12493" xr:uid="{00000000-0005-0000-0000-0000CC300000}"/>
    <cellStyle name="스타일 35" xfId="12494" xr:uid="{00000000-0005-0000-0000-0000CD300000}"/>
    <cellStyle name="스타일 36" xfId="12495" xr:uid="{00000000-0005-0000-0000-0000CE300000}"/>
    <cellStyle name="스타일 37" xfId="12496" xr:uid="{00000000-0005-0000-0000-0000CF300000}"/>
    <cellStyle name="스타일 38" xfId="12497" xr:uid="{00000000-0005-0000-0000-0000D0300000}"/>
    <cellStyle name="스타일 39" xfId="12498" xr:uid="{00000000-0005-0000-0000-0000D1300000}"/>
    <cellStyle name="스타일 4" xfId="12499" xr:uid="{00000000-0005-0000-0000-0000D2300000}"/>
    <cellStyle name="스타일 4 2" xfId="12500" xr:uid="{00000000-0005-0000-0000-0000D3300000}"/>
    <cellStyle name="스타일 4 3" xfId="12501" xr:uid="{00000000-0005-0000-0000-0000D4300000}"/>
    <cellStyle name="스타일 40" xfId="12502" xr:uid="{00000000-0005-0000-0000-0000D5300000}"/>
    <cellStyle name="스타일 41" xfId="12503" xr:uid="{00000000-0005-0000-0000-0000D6300000}"/>
    <cellStyle name="스타일 42" xfId="12504" xr:uid="{00000000-0005-0000-0000-0000D7300000}"/>
    <cellStyle name="스타일 43" xfId="12505" xr:uid="{00000000-0005-0000-0000-0000D8300000}"/>
    <cellStyle name="스타일 44" xfId="12506" xr:uid="{00000000-0005-0000-0000-0000D9300000}"/>
    <cellStyle name="스타일 45" xfId="12507" xr:uid="{00000000-0005-0000-0000-0000DA300000}"/>
    <cellStyle name="스타일 46" xfId="12508" xr:uid="{00000000-0005-0000-0000-0000DB300000}"/>
    <cellStyle name="스타일 47" xfId="12509" xr:uid="{00000000-0005-0000-0000-0000DC300000}"/>
    <cellStyle name="스타일 48" xfId="12510" xr:uid="{00000000-0005-0000-0000-0000DD300000}"/>
    <cellStyle name="스타일 49" xfId="12511" xr:uid="{00000000-0005-0000-0000-0000DE300000}"/>
    <cellStyle name="스타일 5" xfId="12512" xr:uid="{00000000-0005-0000-0000-0000DF300000}"/>
    <cellStyle name="스타일 5 10" xfId="12513" xr:uid="{00000000-0005-0000-0000-0000E0300000}"/>
    <cellStyle name="스타일 5 11" xfId="12514" xr:uid="{00000000-0005-0000-0000-0000E1300000}"/>
    <cellStyle name="스타일 5 12" xfId="12515" xr:uid="{00000000-0005-0000-0000-0000E2300000}"/>
    <cellStyle name="스타일 5 13" xfId="12516" xr:uid="{00000000-0005-0000-0000-0000E3300000}"/>
    <cellStyle name="스타일 5 2" xfId="12517" xr:uid="{00000000-0005-0000-0000-0000E4300000}"/>
    <cellStyle name="스타일 5 3" xfId="12518" xr:uid="{00000000-0005-0000-0000-0000E5300000}"/>
    <cellStyle name="스타일 5 4" xfId="12519" xr:uid="{00000000-0005-0000-0000-0000E6300000}"/>
    <cellStyle name="스타일 5 5" xfId="12520" xr:uid="{00000000-0005-0000-0000-0000E7300000}"/>
    <cellStyle name="스타일 5 6" xfId="12521" xr:uid="{00000000-0005-0000-0000-0000E8300000}"/>
    <cellStyle name="스타일 5 7" xfId="12522" xr:uid="{00000000-0005-0000-0000-0000E9300000}"/>
    <cellStyle name="스타일 5 8" xfId="12523" xr:uid="{00000000-0005-0000-0000-0000EA300000}"/>
    <cellStyle name="스타일 5 9" xfId="12524" xr:uid="{00000000-0005-0000-0000-0000EB300000}"/>
    <cellStyle name="스타일 50" xfId="12525" xr:uid="{00000000-0005-0000-0000-0000EC300000}"/>
    <cellStyle name="스타일 51" xfId="12526" xr:uid="{00000000-0005-0000-0000-0000ED300000}"/>
    <cellStyle name="스타일 52" xfId="12527" xr:uid="{00000000-0005-0000-0000-0000EE300000}"/>
    <cellStyle name="스타일 53" xfId="12528" xr:uid="{00000000-0005-0000-0000-0000EF300000}"/>
    <cellStyle name="스타일 54" xfId="12529" xr:uid="{00000000-0005-0000-0000-0000F0300000}"/>
    <cellStyle name="스타일 55" xfId="12530" xr:uid="{00000000-0005-0000-0000-0000F1300000}"/>
    <cellStyle name="스타일 56" xfId="12531" xr:uid="{00000000-0005-0000-0000-0000F2300000}"/>
    <cellStyle name="스타일 57" xfId="12532" xr:uid="{00000000-0005-0000-0000-0000F3300000}"/>
    <cellStyle name="스타일 58" xfId="12533" xr:uid="{00000000-0005-0000-0000-0000F4300000}"/>
    <cellStyle name="스타일 59" xfId="12534" xr:uid="{00000000-0005-0000-0000-0000F5300000}"/>
    <cellStyle name="스타일 6" xfId="12535" xr:uid="{00000000-0005-0000-0000-0000F6300000}"/>
    <cellStyle name="스타일 6 2" xfId="12536" xr:uid="{00000000-0005-0000-0000-0000F7300000}"/>
    <cellStyle name="스타일 6 3" xfId="12537" xr:uid="{00000000-0005-0000-0000-0000F8300000}"/>
    <cellStyle name="스타일 60" xfId="12538" xr:uid="{00000000-0005-0000-0000-0000F9300000}"/>
    <cellStyle name="스타일 61" xfId="12539" xr:uid="{00000000-0005-0000-0000-0000FA300000}"/>
    <cellStyle name="스타일 62" xfId="12540" xr:uid="{00000000-0005-0000-0000-0000FB300000}"/>
    <cellStyle name="스타일 63" xfId="12541" xr:uid="{00000000-0005-0000-0000-0000FC300000}"/>
    <cellStyle name="스타일 64" xfId="12542" xr:uid="{00000000-0005-0000-0000-0000FD300000}"/>
    <cellStyle name="스타일 65" xfId="12543" xr:uid="{00000000-0005-0000-0000-0000FE300000}"/>
    <cellStyle name="스타일 66" xfId="12544" xr:uid="{00000000-0005-0000-0000-0000FF300000}"/>
    <cellStyle name="스타일 67" xfId="12545" xr:uid="{00000000-0005-0000-0000-000000310000}"/>
    <cellStyle name="스타일 68" xfId="12546" xr:uid="{00000000-0005-0000-0000-000001310000}"/>
    <cellStyle name="스타일 69" xfId="12547" xr:uid="{00000000-0005-0000-0000-000002310000}"/>
    <cellStyle name="스타일 7" xfId="12548" xr:uid="{00000000-0005-0000-0000-000003310000}"/>
    <cellStyle name="스타일 7 2" xfId="12549" xr:uid="{00000000-0005-0000-0000-000004310000}"/>
    <cellStyle name="스타일 7 3" xfId="12550" xr:uid="{00000000-0005-0000-0000-000005310000}"/>
    <cellStyle name="스타일 70" xfId="12551" xr:uid="{00000000-0005-0000-0000-000006310000}"/>
    <cellStyle name="스타일 71" xfId="12552" xr:uid="{00000000-0005-0000-0000-000007310000}"/>
    <cellStyle name="스타일 72" xfId="12553" xr:uid="{00000000-0005-0000-0000-000008310000}"/>
    <cellStyle name="스타일 73" xfId="12554" xr:uid="{00000000-0005-0000-0000-000009310000}"/>
    <cellStyle name="스타일 74" xfId="12555" xr:uid="{00000000-0005-0000-0000-00000A310000}"/>
    <cellStyle name="스타일 75" xfId="12556" xr:uid="{00000000-0005-0000-0000-00000B310000}"/>
    <cellStyle name="스타일 76" xfId="12557" xr:uid="{00000000-0005-0000-0000-00000C310000}"/>
    <cellStyle name="스타일 77" xfId="12558" xr:uid="{00000000-0005-0000-0000-00000D310000}"/>
    <cellStyle name="스타일 78" xfId="12559" xr:uid="{00000000-0005-0000-0000-00000E310000}"/>
    <cellStyle name="스타일 79" xfId="12560" xr:uid="{00000000-0005-0000-0000-00000F310000}"/>
    <cellStyle name="스타일 8" xfId="12561" xr:uid="{00000000-0005-0000-0000-000010310000}"/>
    <cellStyle name="스타일 80" xfId="12562" xr:uid="{00000000-0005-0000-0000-000011310000}"/>
    <cellStyle name="스타일 81" xfId="12563" xr:uid="{00000000-0005-0000-0000-000012310000}"/>
    <cellStyle name="스타일 82" xfId="12564" xr:uid="{00000000-0005-0000-0000-000013310000}"/>
    <cellStyle name="스타일 83" xfId="12565" xr:uid="{00000000-0005-0000-0000-000014310000}"/>
    <cellStyle name="스타일 84" xfId="12566" xr:uid="{00000000-0005-0000-0000-000015310000}"/>
    <cellStyle name="스타일 85" xfId="12567" xr:uid="{00000000-0005-0000-0000-000016310000}"/>
    <cellStyle name="스타일 86" xfId="12568" xr:uid="{00000000-0005-0000-0000-000017310000}"/>
    <cellStyle name="스타일 87" xfId="12569" xr:uid="{00000000-0005-0000-0000-000018310000}"/>
    <cellStyle name="스타일 88" xfId="12570" xr:uid="{00000000-0005-0000-0000-000019310000}"/>
    <cellStyle name="스타일 89" xfId="12571" xr:uid="{00000000-0005-0000-0000-00001A310000}"/>
    <cellStyle name="스타일 9" xfId="12572" xr:uid="{00000000-0005-0000-0000-00001B310000}"/>
    <cellStyle name="스타일 90" xfId="12573" xr:uid="{00000000-0005-0000-0000-00001C310000}"/>
    <cellStyle name="스타일 91" xfId="12574" xr:uid="{00000000-0005-0000-0000-00001D310000}"/>
    <cellStyle name="스타일 92" xfId="12575" xr:uid="{00000000-0005-0000-0000-00001E310000}"/>
    <cellStyle name="스타일 93" xfId="12576" xr:uid="{00000000-0005-0000-0000-00001F310000}"/>
    <cellStyle name="스타일 93 2" xfId="12577" xr:uid="{00000000-0005-0000-0000-000020310000}"/>
    <cellStyle name="스타일 94" xfId="12578" xr:uid="{00000000-0005-0000-0000-000021310000}"/>
    <cellStyle name="스타일 94 2" xfId="12579" xr:uid="{00000000-0005-0000-0000-000022310000}"/>
    <cellStyle name="스타일 95" xfId="12580" xr:uid="{00000000-0005-0000-0000-000023310000}"/>
    <cellStyle name="스타일 95 2" xfId="12581" xr:uid="{00000000-0005-0000-0000-000024310000}"/>
    <cellStyle name="스타일 96" xfId="12582" xr:uid="{00000000-0005-0000-0000-000025310000}"/>
    <cellStyle name="스타일 96 2" xfId="12583" xr:uid="{00000000-0005-0000-0000-000026310000}"/>
    <cellStyle name="스타일 97" xfId="12584" xr:uid="{00000000-0005-0000-0000-000027310000}"/>
    <cellStyle name="스타일 97 2" xfId="12585" xr:uid="{00000000-0005-0000-0000-000028310000}"/>
    <cellStyle name="스타일 98" xfId="12586" xr:uid="{00000000-0005-0000-0000-000029310000}"/>
    <cellStyle name="스타일 98 2" xfId="12587" xr:uid="{00000000-0005-0000-0000-00002A310000}"/>
    <cellStyle name="스타일 99" xfId="12588" xr:uid="{00000000-0005-0000-0000-00002B310000}"/>
    <cellStyle name="스타일 99 2" xfId="12589" xr:uid="{00000000-0005-0000-0000-00002C310000}"/>
    <cellStyle name="식" xfId="12590" xr:uid="{00000000-0005-0000-0000-00002D310000}"/>
    <cellStyle name="식_Financial model_ver1" xfId="12591" xr:uid="{00000000-0005-0000-0000-00002E310000}"/>
    <cellStyle name="식_Financial model_ver1_사업단예산내역서" xfId="12592" xr:uid="{00000000-0005-0000-0000-00002F310000}"/>
    <cellStyle name="식_Financial model_ver1_사업단예산내역서(제주)" xfId="12593" xr:uid="{00000000-0005-0000-0000-000030310000}"/>
    <cellStyle name="식_FinancialModel1108(2)" xfId="12594" xr:uid="{00000000-0005-0000-0000-000031310000}"/>
    <cellStyle name="식_FinancialModel1108(2)_사업단예산내역서" xfId="12595" xr:uid="{00000000-0005-0000-0000-000032310000}"/>
    <cellStyle name="식_FinancialModel1108(2)_사업단예산내역서(제주)" xfId="12596" xr:uid="{00000000-0005-0000-0000-000033310000}"/>
    <cellStyle name="식_MODEL_0117" xfId="12597" xr:uid="{00000000-0005-0000-0000-000034310000}"/>
    <cellStyle name="식_MODEL_0117_사업단예산내역서" xfId="12598" xr:uid="{00000000-0005-0000-0000-000035310000}"/>
    <cellStyle name="식_MODEL_0117_사업단예산내역서(제주)" xfId="12599" xr:uid="{00000000-0005-0000-0000-000036310000}"/>
    <cellStyle name="식_MODEL_0118" xfId="12600" xr:uid="{00000000-0005-0000-0000-000037310000}"/>
    <cellStyle name="식_MODEL_0118_사업단예산내역서" xfId="12601" xr:uid="{00000000-0005-0000-0000-000038310000}"/>
    <cellStyle name="식_MODEL_0118_사업단예산내역서(제주)" xfId="12602" xr:uid="{00000000-0005-0000-0000-000039310000}"/>
    <cellStyle name="식_Model_0317" xfId="12603" xr:uid="{00000000-0005-0000-0000-00003A310000}"/>
    <cellStyle name="식_Model_0317_사업단예산내역서" xfId="12604" xr:uid="{00000000-0005-0000-0000-00003B310000}"/>
    <cellStyle name="식_Model_0317_사업단예산내역서(제주)" xfId="12605" xr:uid="{00000000-0005-0000-0000-00003C310000}"/>
    <cellStyle name="식_대안1(1129)" xfId="12606" xr:uid="{00000000-0005-0000-0000-00003D310000}"/>
    <cellStyle name="식_대안1(1129)_사업단예산내역서" xfId="12607" xr:uid="{00000000-0005-0000-0000-00003E310000}"/>
    <cellStyle name="식_대안1(1129)_사업단예산내역서(제주)" xfId="12608" xr:uid="{00000000-0005-0000-0000-00003F310000}"/>
    <cellStyle name="식_대안2(1201)" xfId="12609" xr:uid="{00000000-0005-0000-0000-000040310000}"/>
    <cellStyle name="식_대안2(1201)_사업단예산내역서" xfId="12610" xr:uid="{00000000-0005-0000-0000-000041310000}"/>
    <cellStyle name="식_대안2(1201)_사업단예산내역서(제주)" xfId="12611" xr:uid="{00000000-0005-0000-0000-000042310000}"/>
    <cellStyle name="식_사본 - MODEL_0105" xfId="12612" xr:uid="{00000000-0005-0000-0000-000043310000}"/>
    <cellStyle name="식_사본 - MODEL_0105_사업단예산내역서" xfId="12613" xr:uid="{00000000-0005-0000-0000-000044310000}"/>
    <cellStyle name="식_사본 - MODEL_0105_사업단예산내역서(제주)" xfId="12614" xr:uid="{00000000-0005-0000-0000-000045310000}"/>
    <cellStyle name="식_사본 - 사본 - 사본 - MODEL_0105" xfId="12615" xr:uid="{00000000-0005-0000-0000-000046310000}"/>
    <cellStyle name="식_사본 - 사본 - 사본 - MODEL_0105_사업단예산내역서" xfId="12616" xr:uid="{00000000-0005-0000-0000-000047310000}"/>
    <cellStyle name="식_사본 - 사본 - 사본 - MODEL_0105_사업단예산내역서(제주)" xfId="12617" xr:uid="{00000000-0005-0000-0000-000048310000}"/>
    <cellStyle name="식_사업단예산내역서" xfId="12618" xr:uid="{00000000-0005-0000-0000-000049310000}"/>
    <cellStyle name="식_사업단예산내역서(제주)" xfId="12619" xr:uid="{00000000-0005-0000-0000-00004A310000}"/>
    <cellStyle name="식_최종내부보고" xfId="12620" xr:uid="{00000000-0005-0000-0000-00004B310000}"/>
    <cellStyle name="식_최종내부보고_사업단예산내역서" xfId="12621" xr:uid="{00000000-0005-0000-0000-00004C310000}"/>
    <cellStyle name="식_최종내부보고_사업단예산내역서(제주)" xfId="12622" xr:uid="{00000000-0005-0000-0000-00004D310000}"/>
    <cellStyle name="식_평택STP_01_09_27" xfId="12623" xr:uid="{00000000-0005-0000-0000-00004E310000}"/>
    <cellStyle name="식_평택STP_01_09_27_FinancialModel1108" xfId="12624" xr:uid="{00000000-0005-0000-0000-00004F310000}"/>
    <cellStyle name="식_평택STP_01_09_27_FinancialModel1108_Financial model_ver1" xfId="12625" xr:uid="{00000000-0005-0000-0000-000050310000}"/>
    <cellStyle name="식_평택STP_01_09_27_FinancialModel1108_Financial model_ver1_사업단예산내역서" xfId="12626" xr:uid="{00000000-0005-0000-0000-000051310000}"/>
    <cellStyle name="식_평택STP_01_09_27_FinancialModel1108_Financial model_ver1_사업단예산내역서(제주)" xfId="12627" xr:uid="{00000000-0005-0000-0000-000052310000}"/>
    <cellStyle name="식_평택STP_01_09_27_FinancialModel1108_FinancialModel1108(2)" xfId="12628" xr:uid="{00000000-0005-0000-0000-000053310000}"/>
    <cellStyle name="식_평택STP_01_09_27_FinancialModel1108_FinancialModel1108(2)_사업단예산내역서" xfId="12629" xr:uid="{00000000-0005-0000-0000-000054310000}"/>
    <cellStyle name="식_평택STP_01_09_27_FinancialModel1108_FinancialModel1108(2)_사업단예산내역서(제주)" xfId="12630" xr:uid="{00000000-0005-0000-0000-000055310000}"/>
    <cellStyle name="식_평택STP_01_09_27_FinancialModel1108_MODEL_0117" xfId="12631" xr:uid="{00000000-0005-0000-0000-000056310000}"/>
    <cellStyle name="식_평택STP_01_09_27_FinancialModel1108_MODEL_0117_사업단예산내역서" xfId="12632" xr:uid="{00000000-0005-0000-0000-000057310000}"/>
    <cellStyle name="식_평택STP_01_09_27_FinancialModel1108_MODEL_0117_사업단예산내역서(제주)" xfId="12633" xr:uid="{00000000-0005-0000-0000-000058310000}"/>
    <cellStyle name="식_평택STP_01_09_27_FinancialModel1108_MODEL_0118" xfId="12634" xr:uid="{00000000-0005-0000-0000-000059310000}"/>
    <cellStyle name="식_평택STP_01_09_27_FinancialModel1108_MODEL_0118_사업단예산내역서" xfId="12635" xr:uid="{00000000-0005-0000-0000-00005A310000}"/>
    <cellStyle name="식_평택STP_01_09_27_FinancialModel1108_MODEL_0118_사업단예산내역서(제주)" xfId="12636" xr:uid="{00000000-0005-0000-0000-00005B310000}"/>
    <cellStyle name="식_평택STP_01_09_27_FinancialModel1108_Model_0317" xfId="12637" xr:uid="{00000000-0005-0000-0000-00005C310000}"/>
    <cellStyle name="식_평택STP_01_09_27_FinancialModel1108_Model_0317_사업단예산내역서" xfId="12638" xr:uid="{00000000-0005-0000-0000-00005D310000}"/>
    <cellStyle name="식_평택STP_01_09_27_FinancialModel1108_Model_0317_사업단예산내역서(제주)" xfId="12639" xr:uid="{00000000-0005-0000-0000-00005E310000}"/>
    <cellStyle name="식_평택STP_01_09_27_FinancialModel1108_대안1(1129)" xfId="12640" xr:uid="{00000000-0005-0000-0000-00005F310000}"/>
    <cellStyle name="식_평택STP_01_09_27_FinancialModel1108_대안1(1129)_사업단예산내역서" xfId="12641" xr:uid="{00000000-0005-0000-0000-000060310000}"/>
    <cellStyle name="식_평택STP_01_09_27_FinancialModel1108_대안1(1129)_사업단예산내역서(제주)" xfId="12642" xr:uid="{00000000-0005-0000-0000-000061310000}"/>
    <cellStyle name="식_평택STP_01_09_27_FinancialModel1108_대안2(1201)" xfId="12643" xr:uid="{00000000-0005-0000-0000-000062310000}"/>
    <cellStyle name="식_평택STP_01_09_27_FinancialModel1108_대안2(1201)_사업단예산내역서" xfId="12644" xr:uid="{00000000-0005-0000-0000-000063310000}"/>
    <cellStyle name="식_평택STP_01_09_27_FinancialModel1108_대안2(1201)_사업단예산내역서(제주)" xfId="12645" xr:uid="{00000000-0005-0000-0000-000064310000}"/>
    <cellStyle name="식_평택STP_01_09_27_FinancialModel1108_사본 - MODEL_0105" xfId="12646" xr:uid="{00000000-0005-0000-0000-000065310000}"/>
    <cellStyle name="식_평택STP_01_09_27_FinancialModel1108_사본 - MODEL_0105_사업단예산내역서" xfId="12647" xr:uid="{00000000-0005-0000-0000-000066310000}"/>
    <cellStyle name="식_평택STP_01_09_27_FinancialModel1108_사본 - MODEL_0105_사업단예산내역서(제주)" xfId="12648" xr:uid="{00000000-0005-0000-0000-000067310000}"/>
    <cellStyle name="식_평택STP_01_09_27_FinancialModel1108_사본 - 사본 - 사본 - MODEL_0105" xfId="12649" xr:uid="{00000000-0005-0000-0000-000068310000}"/>
    <cellStyle name="식_평택STP_01_09_27_FinancialModel1108_사본 - 사본 - 사본 - MODEL_0105_사업단예산내역서" xfId="12650" xr:uid="{00000000-0005-0000-0000-000069310000}"/>
    <cellStyle name="식_평택STP_01_09_27_FinancialModel1108_사본 - 사본 - 사본 - MODEL_0105_사업단예산내역서(제주)" xfId="12651" xr:uid="{00000000-0005-0000-0000-00006A310000}"/>
    <cellStyle name="식_평택STP_01_09_27_FinancialModel1108_사업단예산내역서" xfId="12652" xr:uid="{00000000-0005-0000-0000-00006B310000}"/>
    <cellStyle name="식_평택STP_01_09_27_FinancialModel1108_사업단예산내역서(제주)" xfId="12653" xr:uid="{00000000-0005-0000-0000-00006C310000}"/>
    <cellStyle name="식_평택STP_01_09_27_Pt" xfId="12654" xr:uid="{00000000-0005-0000-0000-00006D310000}"/>
    <cellStyle name="식_평택STP_01_09_27_Pt_Financial model_ver1" xfId="12655" xr:uid="{00000000-0005-0000-0000-00006E310000}"/>
    <cellStyle name="식_평택STP_01_09_27_Pt_Financial model_ver1_사업단예산내역서" xfId="12656" xr:uid="{00000000-0005-0000-0000-00006F310000}"/>
    <cellStyle name="식_평택STP_01_09_27_Pt_Financial model_ver1_사업단예산내역서(제주)" xfId="12657" xr:uid="{00000000-0005-0000-0000-000070310000}"/>
    <cellStyle name="식_평택STP_01_09_27_Pt_FinancialModel1108(2)" xfId="12658" xr:uid="{00000000-0005-0000-0000-000071310000}"/>
    <cellStyle name="식_평택STP_01_09_27_Pt_FinancialModel1108(2)_사업단예산내역서" xfId="12659" xr:uid="{00000000-0005-0000-0000-000072310000}"/>
    <cellStyle name="식_평택STP_01_09_27_Pt_FinancialModel1108(2)_사업단예산내역서(제주)" xfId="12660" xr:uid="{00000000-0005-0000-0000-000073310000}"/>
    <cellStyle name="식_평택STP_01_09_27_Pt_MODEL_0117" xfId="12661" xr:uid="{00000000-0005-0000-0000-000074310000}"/>
    <cellStyle name="식_평택STP_01_09_27_Pt_MODEL_0117_사업단예산내역서" xfId="12662" xr:uid="{00000000-0005-0000-0000-000075310000}"/>
    <cellStyle name="식_평택STP_01_09_27_Pt_MODEL_0117_사업단예산내역서(제주)" xfId="12663" xr:uid="{00000000-0005-0000-0000-000076310000}"/>
    <cellStyle name="식_평택STP_01_09_27_Pt_MODEL_0118" xfId="12664" xr:uid="{00000000-0005-0000-0000-000077310000}"/>
    <cellStyle name="식_평택STP_01_09_27_Pt_MODEL_0118_사업단예산내역서" xfId="12665" xr:uid="{00000000-0005-0000-0000-000078310000}"/>
    <cellStyle name="식_평택STP_01_09_27_Pt_MODEL_0118_사업단예산내역서(제주)" xfId="12666" xr:uid="{00000000-0005-0000-0000-000079310000}"/>
    <cellStyle name="식_평택STP_01_09_27_Pt_Model_0317" xfId="12667" xr:uid="{00000000-0005-0000-0000-00007A310000}"/>
    <cellStyle name="식_평택STP_01_09_27_Pt_Model_0317_사업단예산내역서" xfId="12668" xr:uid="{00000000-0005-0000-0000-00007B310000}"/>
    <cellStyle name="식_평택STP_01_09_27_Pt_Model_0317_사업단예산내역서(제주)" xfId="12669" xr:uid="{00000000-0005-0000-0000-00007C310000}"/>
    <cellStyle name="식_평택STP_01_09_27_Pt_대안1(1129)" xfId="12670" xr:uid="{00000000-0005-0000-0000-00007D310000}"/>
    <cellStyle name="식_평택STP_01_09_27_Pt_대안1(1129)_사업단예산내역서" xfId="12671" xr:uid="{00000000-0005-0000-0000-00007E310000}"/>
    <cellStyle name="식_평택STP_01_09_27_Pt_대안1(1129)_사업단예산내역서(제주)" xfId="12672" xr:uid="{00000000-0005-0000-0000-00007F310000}"/>
    <cellStyle name="식_평택STP_01_09_27_Pt_대안2(1201)" xfId="12673" xr:uid="{00000000-0005-0000-0000-000080310000}"/>
    <cellStyle name="식_평택STP_01_09_27_Pt_대안2(1201)_사업단예산내역서" xfId="12674" xr:uid="{00000000-0005-0000-0000-000081310000}"/>
    <cellStyle name="식_평택STP_01_09_27_Pt_대안2(1201)_사업단예산내역서(제주)" xfId="12675" xr:uid="{00000000-0005-0000-0000-000082310000}"/>
    <cellStyle name="식_평택STP_01_09_27_Pt_사본 - MODEL_0105" xfId="12676" xr:uid="{00000000-0005-0000-0000-000083310000}"/>
    <cellStyle name="식_평택STP_01_09_27_Pt_사본 - MODEL_0105_사업단예산내역서" xfId="12677" xr:uid="{00000000-0005-0000-0000-000084310000}"/>
    <cellStyle name="식_평택STP_01_09_27_Pt_사본 - MODEL_0105_사업단예산내역서(제주)" xfId="12678" xr:uid="{00000000-0005-0000-0000-000085310000}"/>
    <cellStyle name="식_평택STP_01_09_27_Pt_사본 - 사본 - 사본 - MODEL_0105" xfId="12679" xr:uid="{00000000-0005-0000-0000-000086310000}"/>
    <cellStyle name="식_평택STP_01_09_27_Pt_사본 - 사본 - 사본 - MODEL_0105_사업단예산내역서" xfId="12680" xr:uid="{00000000-0005-0000-0000-000087310000}"/>
    <cellStyle name="식_평택STP_01_09_27_Pt_사본 - 사본 - 사본 - MODEL_0105_사업단예산내역서(제주)" xfId="12681" xr:uid="{00000000-0005-0000-0000-000088310000}"/>
    <cellStyle name="식_평택STP_01_09_27_Pt_사업단예산내역서" xfId="12682" xr:uid="{00000000-0005-0000-0000-000089310000}"/>
    <cellStyle name="식_평택STP_01_09_27_Pt_사업단예산내역서(제주)" xfId="12683" xr:uid="{00000000-0005-0000-0000-00008A310000}"/>
    <cellStyle name="식_평택STP_01_09_27_사업단예산내역서" xfId="12684" xr:uid="{00000000-0005-0000-0000-00008B310000}"/>
    <cellStyle name="식_평택STP_01_09_27_사업단예산내역서(제주)" xfId="12685" xr:uid="{00000000-0005-0000-0000-00008C310000}"/>
    <cellStyle name="안건회계법인" xfId="12686" xr:uid="{00000000-0005-0000-0000-00008D310000}"/>
    <cellStyle name="양식-타이틀" xfId="12687" xr:uid="{00000000-0005-0000-0000-00008E310000}"/>
    <cellStyle name="양식-타이틀 2" xfId="12688" xr:uid="{00000000-0005-0000-0000-00008F310000}"/>
    <cellStyle name="양식-타이틀 2 2" xfId="12689" xr:uid="{00000000-0005-0000-0000-000090310000}"/>
    <cellStyle name="양식-타이틀 3" xfId="12690" xr:uid="{00000000-0005-0000-0000-000091310000}"/>
    <cellStyle name="양식-타이틀 3 2" xfId="12691" xr:uid="{00000000-0005-0000-0000-000092310000}"/>
    <cellStyle name="양식-타이틀 4" xfId="12692" xr:uid="{00000000-0005-0000-0000-000093310000}"/>
    <cellStyle name="양식-타이틀 4 2" xfId="12693" xr:uid="{00000000-0005-0000-0000-000094310000}"/>
    <cellStyle name="연결된 셀 2" xfId="12694" xr:uid="{00000000-0005-0000-0000-000095310000}"/>
    <cellStyle name="열어본 하이퍼링크" xfId="12695" xr:uid="{00000000-0005-0000-0000-000096310000}"/>
    <cellStyle name="열어본 하이퍼링크 2" xfId="12696" xr:uid="{00000000-0005-0000-0000-000097310000}"/>
    <cellStyle name="열어본 하이퍼링크 3" xfId="12697" xr:uid="{00000000-0005-0000-0000-000098310000}"/>
    <cellStyle name="왼쪽2" xfId="12698" xr:uid="{00000000-0005-0000-0000-000099310000}"/>
    <cellStyle name="왼쪽2 2" xfId="12699" xr:uid="{00000000-0005-0000-0000-00009A310000}"/>
    <cellStyle name="왼쪽2 2 2" xfId="12700" xr:uid="{00000000-0005-0000-0000-00009B310000}"/>
    <cellStyle name="왼쪽2 2 2 2" xfId="12701" xr:uid="{00000000-0005-0000-0000-00009C310000}"/>
    <cellStyle name="왼쪽2 2 3" xfId="12702" xr:uid="{00000000-0005-0000-0000-00009D310000}"/>
    <cellStyle name="왼쪽2 3" xfId="12703" xr:uid="{00000000-0005-0000-0000-00009E310000}"/>
    <cellStyle name="왼쪽2 3 2" xfId="12704" xr:uid="{00000000-0005-0000-0000-00009F310000}"/>
    <cellStyle name="왼쪽2 3 2 2" xfId="12705" xr:uid="{00000000-0005-0000-0000-0000A0310000}"/>
    <cellStyle name="왼쪽2 3 3" xfId="12706" xr:uid="{00000000-0005-0000-0000-0000A1310000}"/>
    <cellStyle name="왼쪽2 4" xfId="12707" xr:uid="{00000000-0005-0000-0000-0000A2310000}"/>
    <cellStyle name="왼쪽2 4 2" xfId="12708" xr:uid="{00000000-0005-0000-0000-0000A3310000}"/>
    <cellStyle name="왼쪽2 4 2 2" xfId="12709" xr:uid="{00000000-0005-0000-0000-0000A4310000}"/>
    <cellStyle name="왼쪽2 4 3" xfId="12710" xr:uid="{00000000-0005-0000-0000-0000A5310000}"/>
    <cellStyle name="왼쪽2 5" xfId="12711" xr:uid="{00000000-0005-0000-0000-0000A6310000}"/>
    <cellStyle name="요약 2" xfId="12712" xr:uid="{00000000-0005-0000-0000-0000A7310000}"/>
    <cellStyle name="요약 2 2" xfId="12713" xr:uid="{00000000-0005-0000-0000-0000A8310000}"/>
    <cellStyle name="요약 2 2 2" xfId="12714" xr:uid="{00000000-0005-0000-0000-0000A9310000}"/>
    <cellStyle name="요약 2 2 2 2" xfId="12715" xr:uid="{00000000-0005-0000-0000-0000AA310000}"/>
    <cellStyle name="요약 2 2 3" xfId="12716" xr:uid="{00000000-0005-0000-0000-0000AB310000}"/>
    <cellStyle name="요약 2 3" xfId="12717" xr:uid="{00000000-0005-0000-0000-0000AC310000}"/>
    <cellStyle name="요약 2 3 2" xfId="12718" xr:uid="{00000000-0005-0000-0000-0000AD310000}"/>
    <cellStyle name="요약 2 3 2 2" xfId="12719" xr:uid="{00000000-0005-0000-0000-0000AE310000}"/>
    <cellStyle name="요약 2 3 3" xfId="12720" xr:uid="{00000000-0005-0000-0000-0000AF310000}"/>
    <cellStyle name="요약 2 4" xfId="12721" xr:uid="{00000000-0005-0000-0000-0000B0310000}"/>
    <cellStyle name="요약 2 4 2" xfId="12722" xr:uid="{00000000-0005-0000-0000-0000B1310000}"/>
    <cellStyle name="요약 2 5" xfId="12723" xr:uid="{00000000-0005-0000-0000-0000B2310000}"/>
    <cellStyle name="우괄호_박심배수구조물공" xfId="12724" xr:uid="{00000000-0005-0000-0000-0000B3310000}"/>
    <cellStyle name="우측양괄호" xfId="12725" xr:uid="{00000000-0005-0000-0000-0000B4310000}"/>
    <cellStyle name="원" xfId="12726" xr:uid="{00000000-0005-0000-0000-0000B5310000}"/>
    <cellStyle name="원_발주내역서(안양박달)" xfId="12727" xr:uid="{00000000-0005-0000-0000-0000B6310000}"/>
    <cellStyle name="원_발주내역서(추자도090527) ver2" xfId="12728" xr:uid="{00000000-0005-0000-0000-0000B7310000}"/>
    <cellStyle name="원_발주내역서(추자도090708) ver2" xfId="12729" xr:uid="{00000000-0005-0000-0000-0000B8310000}"/>
    <cellStyle name="원_설계내역서" xfId="12730" xr:uid="{00000000-0005-0000-0000-0000B9310000}"/>
    <cellStyle name="원_충주하수처리시설개량_설계내역서(계약심사)" xfId="12731" xr:uid="{00000000-0005-0000-0000-0000BA310000}"/>
    <cellStyle name="유1" xfId="12732" xr:uid="{00000000-0005-0000-0000-0000BB310000}"/>
    <cellStyle name="유영" xfId="12733" xr:uid="{00000000-0005-0000-0000-0000BC310000}"/>
    <cellStyle name="을지" xfId="12734" xr:uid="{00000000-0005-0000-0000-0000BD310000}"/>
    <cellStyle name="을지 2" xfId="12735" xr:uid="{00000000-0005-0000-0000-0000BE310000}"/>
    <cellStyle name="을지 2 2" xfId="12736" xr:uid="{00000000-0005-0000-0000-0000BF310000}"/>
    <cellStyle name="을지 2 2 2" xfId="12737" xr:uid="{00000000-0005-0000-0000-0000C0310000}"/>
    <cellStyle name="을지 2 3" xfId="12738" xr:uid="{00000000-0005-0000-0000-0000C1310000}"/>
    <cellStyle name="을지 3" xfId="12739" xr:uid="{00000000-0005-0000-0000-0000C2310000}"/>
    <cellStyle name="을지 3 2" xfId="12740" xr:uid="{00000000-0005-0000-0000-0000C3310000}"/>
    <cellStyle name="을지 3 2 2" xfId="12741" xr:uid="{00000000-0005-0000-0000-0000C4310000}"/>
    <cellStyle name="을지 3 3" xfId="12742" xr:uid="{00000000-0005-0000-0000-0000C5310000}"/>
    <cellStyle name="을지 4" xfId="12743" xr:uid="{00000000-0005-0000-0000-0000C6310000}"/>
    <cellStyle name="을지 4 2" xfId="12744" xr:uid="{00000000-0005-0000-0000-0000C7310000}"/>
    <cellStyle name="을지 4 2 2" xfId="12745" xr:uid="{00000000-0005-0000-0000-0000C8310000}"/>
    <cellStyle name="을지 4 3" xfId="12746" xr:uid="{00000000-0005-0000-0000-0000C9310000}"/>
    <cellStyle name="을지 5" xfId="12747" xr:uid="{00000000-0005-0000-0000-0000CA310000}"/>
    <cellStyle name="을지 5 2" xfId="12748" xr:uid="{00000000-0005-0000-0000-0000CB310000}"/>
    <cellStyle name="을지 6" xfId="12749" xr:uid="{00000000-0005-0000-0000-0000CC310000}"/>
    <cellStyle name="일반" xfId="12750" xr:uid="{00000000-0005-0000-0000-0000CD310000}"/>
    <cellStyle name="일반 10" xfId="12751" xr:uid="{00000000-0005-0000-0000-0000CE310000}"/>
    <cellStyle name="일반 11" xfId="12752" xr:uid="{00000000-0005-0000-0000-0000CF310000}"/>
    <cellStyle name="일반 12" xfId="12753" xr:uid="{00000000-0005-0000-0000-0000D0310000}"/>
    <cellStyle name="일반 13" xfId="12754" xr:uid="{00000000-0005-0000-0000-0000D1310000}"/>
    <cellStyle name="일반 2" xfId="12755" xr:uid="{00000000-0005-0000-0000-0000D2310000}"/>
    <cellStyle name="일반 2 10" xfId="12756" xr:uid="{00000000-0005-0000-0000-0000D3310000}"/>
    <cellStyle name="일반 2 11" xfId="12757" xr:uid="{00000000-0005-0000-0000-0000D4310000}"/>
    <cellStyle name="일반 2 2" xfId="12758" xr:uid="{00000000-0005-0000-0000-0000D5310000}"/>
    <cellStyle name="일반 2 3" xfId="12759" xr:uid="{00000000-0005-0000-0000-0000D6310000}"/>
    <cellStyle name="일반 2 4" xfId="12760" xr:uid="{00000000-0005-0000-0000-0000D7310000}"/>
    <cellStyle name="일반 2 5" xfId="12761" xr:uid="{00000000-0005-0000-0000-0000D8310000}"/>
    <cellStyle name="일반 2 6" xfId="12762" xr:uid="{00000000-0005-0000-0000-0000D9310000}"/>
    <cellStyle name="일반 2 7" xfId="12763" xr:uid="{00000000-0005-0000-0000-0000DA310000}"/>
    <cellStyle name="일반 2 8" xfId="12764" xr:uid="{00000000-0005-0000-0000-0000DB310000}"/>
    <cellStyle name="일반 2 9" xfId="12765" xr:uid="{00000000-0005-0000-0000-0000DC310000}"/>
    <cellStyle name="일반 3" xfId="12766" xr:uid="{00000000-0005-0000-0000-0000DD310000}"/>
    <cellStyle name="일반 4" xfId="12767" xr:uid="{00000000-0005-0000-0000-0000DE310000}"/>
    <cellStyle name="일반 5" xfId="12768" xr:uid="{00000000-0005-0000-0000-0000DF310000}"/>
    <cellStyle name="일반 6" xfId="12769" xr:uid="{00000000-0005-0000-0000-0000E0310000}"/>
    <cellStyle name="일반 7" xfId="12770" xr:uid="{00000000-0005-0000-0000-0000E1310000}"/>
    <cellStyle name="일반 8" xfId="12771" xr:uid="{00000000-0005-0000-0000-0000E2310000}"/>
    <cellStyle name="일반 9" xfId="12772" xr:uid="{00000000-0005-0000-0000-0000E3310000}"/>
    <cellStyle name="一般_GARMENT STEP FORM HK" xfId="12773" xr:uid="{00000000-0005-0000-0000-0000E4310000}"/>
    <cellStyle name="일위대가" xfId="12774" xr:uid="{00000000-0005-0000-0000-0000E5310000}"/>
    <cellStyle name="입력 2" xfId="12775" xr:uid="{00000000-0005-0000-0000-0000E6310000}"/>
    <cellStyle name="입력 2 2" xfId="12776" xr:uid="{00000000-0005-0000-0000-0000E7310000}"/>
    <cellStyle name="입력 2 2 2" xfId="12777" xr:uid="{00000000-0005-0000-0000-0000E8310000}"/>
    <cellStyle name="입력 2 2 2 2" xfId="12778" xr:uid="{00000000-0005-0000-0000-0000E9310000}"/>
    <cellStyle name="입력 2 2 3" xfId="12779" xr:uid="{00000000-0005-0000-0000-0000EA310000}"/>
    <cellStyle name="입력 2 3" xfId="12780" xr:uid="{00000000-0005-0000-0000-0000EB310000}"/>
    <cellStyle name="입력 2 3 2" xfId="12781" xr:uid="{00000000-0005-0000-0000-0000EC310000}"/>
    <cellStyle name="입력 2 3 2 2" xfId="12782" xr:uid="{00000000-0005-0000-0000-0000ED310000}"/>
    <cellStyle name="입력 2 3 3" xfId="12783" xr:uid="{00000000-0005-0000-0000-0000EE310000}"/>
    <cellStyle name="입력 2 4" xfId="12784" xr:uid="{00000000-0005-0000-0000-0000EF310000}"/>
    <cellStyle name="입력 2 4 2" xfId="12785" xr:uid="{00000000-0005-0000-0000-0000F0310000}"/>
    <cellStyle name="입력 2 5" xfId="12786" xr:uid="{00000000-0005-0000-0000-0000F1310000}"/>
    <cellStyle name="자리수" xfId="12787" xr:uid="{00000000-0005-0000-0000-0000F2310000}"/>
    <cellStyle name="자리수 - 유형1" xfId="12788" xr:uid="{00000000-0005-0000-0000-0000F3310000}"/>
    <cellStyle name="자리수_11-지중정보내역-" xfId="12789" xr:uid="{00000000-0005-0000-0000-0000F4310000}"/>
    <cellStyle name="자리수0" xfId="12790" xr:uid="{00000000-0005-0000-0000-0000F5310000}"/>
    <cellStyle name="자리수0 2" xfId="12791" xr:uid="{00000000-0005-0000-0000-0000F6310000}"/>
    <cellStyle name="자리수0 3" xfId="12792" xr:uid="{00000000-0005-0000-0000-0000F7310000}"/>
    <cellStyle name="帳票" xfId="12793" xr:uid="{00000000-0005-0000-0000-0000F8310000}"/>
    <cellStyle name="제곱" xfId="12794" xr:uid="{00000000-0005-0000-0000-0000F9310000}"/>
    <cellStyle name="제목 1 2" xfId="12795" xr:uid="{00000000-0005-0000-0000-0000FA310000}"/>
    <cellStyle name="제목 1 2 2" xfId="12796" xr:uid="{00000000-0005-0000-0000-0000FB310000}"/>
    <cellStyle name="제목 2 2" xfId="12797" xr:uid="{00000000-0005-0000-0000-0000FC310000}"/>
    <cellStyle name="제목 2 2 2" xfId="12798" xr:uid="{00000000-0005-0000-0000-0000FD310000}"/>
    <cellStyle name="제목 3 2" xfId="12799" xr:uid="{00000000-0005-0000-0000-0000FE310000}"/>
    <cellStyle name="제목 3 2 2" xfId="12800" xr:uid="{00000000-0005-0000-0000-0000FF310000}"/>
    <cellStyle name="제목 4 2" xfId="12801" xr:uid="{00000000-0005-0000-0000-000000320000}"/>
    <cellStyle name="제목 4 2 2" xfId="12802" xr:uid="{00000000-0005-0000-0000-000001320000}"/>
    <cellStyle name="제목 5" xfId="12803" xr:uid="{00000000-0005-0000-0000-000002320000}"/>
    <cellStyle name="제목 5 2" xfId="12804" xr:uid="{00000000-0005-0000-0000-000003320000}"/>
    <cellStyle name="제목[1 줄]" xfId="12805" xr:uid="{00000000-0005-0000-0000-000004320000}"/>
    <cellStyle name="제목[1 줄] 2" xfId="12806" xr:uid="{00000000-0005-0000-0000-000005320000}"/>
    <cellStyle name="제목[1 줄] 2 2" xfId="12807" xr:uid="{00000000-0005-0000-0000-000006320000}"/>
    <cellStyle name="제목[1 줄] 2 2 2" xfId="12808" xr:uid="{00000000-0005-0000-0000-000007320000}"/>
    <cellStyle name="제목[1 줄] 2 3" xfId="12809" xr:uid="{00000000-0005-0000-0000-000008320000}"/>
    <cellStyle name="제목[1 줄] 3" xfId="12810" xr:uid="{00000000-0005-0000-0000-000009320000}"/>
    <cellStyle name="제목[1 줄] 3 2" xfId="12811" xr:uid="{00000000-0005-0000-0000-00000A320000}"/>
    <cellStyle name="제목[1 줄] 3 2 2" xfId="12812" xr:uid="{00000000-0005-0000-0000-00000B320000}"/>
    <cellStyle name="제목[1 줄] 3 3" xfId="12813" xr:uid="{00000000-0005-0000-0000-00000C320000}"/>
    <cellStyle name="제목[1 줄] 4" xfId="12814" xr:uid="{00000000-0005-0000-0000-00000D320000}"/>
    <cellStyle name="제목[1 줄] 4 2" xfId="12815" xr:uid="{00000000-0005-0000-0000-00000E320000}"/>
    <cellStyle name="제목[1 줄] 4 2 2" xfId="12816" xr:uid="{00000000-0005-0000-0000-00000F320000}"/>
    <cellStyle name="제목[1 줄] 4 3" xfId="12817" xr:uid="{00000000-0005-0000-0000-000010320000}"/>
    <cellStyle name="제목[1 줄] 5" xfId="12818" xr:uid="{00000000-0005-0000-0000-000011320000}"/>
    <cellStyle name="제목[2줄 아래]" xfId="12819" xr:uid="{00000000-0005-0000-0000-000012320000}"/>
    <cellStyle name="제목[2줄 아래] 2" xfId="12820" xr:uid="{00000000-0005-0000-0000-000013320000}"/>
    <cellStyle name="제목[2줄 아래] 3" xfId="12821" xr:uid="{00000000-0005-0000-0000-000014320000}"/>
    <cellStyle name="제목[2줄 아래] 4" xfId="12822" xr:uid="{00000000-0005-0000-0000-000015320000}"/>
    <cellStyle name="제목[2줄 위]" xfId="12823" xr:uid="{00000000-0005-0000-0000-000016320000}"/>
    <cellStyle name="제목[2줄 위] 2" xfId="12824" xr:uid="{00000000-0005-0000-0000-000017320000}"/>
    <cellStyle name="제목[2줄 위] 2 2" xfId="12825" xr:uid="{00000000-0005-0000-0000-000018320000}"/>
    <cellStyle name="제목[2줄 위] 2 2 2" xfId="12826" xr:uid="{00000000-0005-0000-0000-000019320000}"/>
    <cellStyle name="제목[2줄 위] 2 3" xfId="12827" xr:uid="{00000000-0005-0000-0000-00001A320000}"/>
    <cellStyle name="제목[2줄 위] 3" xfId="12828" xr:uid="{00000000-0005-0000-0000-00001B320000}"/>
    <cellStyle name="제목[2줄 위] 3 2" xfId="12829" xr:uid="{00000000-0005-0000-0000-00001C320000}"/>
    <cellStyle name="제목[2줄 위] 3 2 2" xfId="12830" xr:uid="{00000000-0005-0000-0000-00001D320000}"/>
    <cellStyle name="제목[2줄 위] 3 3" xfId="12831" xr:uid="{00000000-0005-0000-0000-00001E320000}"/>
    <cellStyle name="제목[2줄 위] 4" xfId="12832" xr:uid="{00000000-0005-0000-0000-00001F320000}"/>
    <cellStyle name="제목[2줄 위] 4 2" xfId="12833" xr:uid="{00000000-0005-0000-0000-000020320000}"/>
    <cellStyle name="제목[2줄 위] 4 2 2" xfId="12834" xr:uid="{00000000-0005-0000-0000-000021320000}"/>
    <cellStyle name="제목[2줄 위] 4 3" xfId="12835" xr:uid="{00000000-0005-0000-0000-000022320000}"/>
    <cellStyle name="제목[2줄 위] 5" xfId="12836" xr:uid="{00000000-0005-0000-0000-000023320000}"/>
    <cellStyle name="제목[2줄 위] 5 2" xfId="12837" xr:uid="{00000000-0005-0000-0000-000024320000}"/>
    <cellStyle name="제목[2줄 위] 6" xfId="12838" xr:uid="{00000000-0005-0000-0000-000025320000}"/>
    <cellStyle name="제목1" xfId="12839" xr:uid="{00000000-0005-0000-0000-000026320000}"/>
    <cellStyle name="좋음 2" xfId="12840" xr:uid="{00000000-0005-0000-0000-000027320000}"/>
    <cellStyle name="좌괄호_박심배수구조물공" xfId="12841" xr:uid="{00000000-0005-0000-0000-000028320000}"/>
    <cellStyle name="좌측양괄호" xfId="12842" xr:uid="{00000000-0005-0000-0000-000029320000}"/>
    <cellStyle name="지정되지 않음" xfId="12843" xr:uid="{00000000-0005-0000-0000-00002A320000}"/>
    <cellStyle name="千分位[0]_GARMENT STEP FORM HK" xfId="12844" xr:uid="{00000000-0005-0000-0000-00002B320000}"/>
    <cellStyle name="千分位_GARMENT STEP FORM HK" xfId="12845" xr:uid="{00000000-0005-0000-0000-00002C320000}"/>
    <cellStyle name="출력 2" xfId="12846" xr:uid="{00000000-0005-0000-0000-00002D320000}"/>
    <cellStyle name="출력 2 2" xfId="12847" xr:uid="{00000000-0005-0000-0000-00002E320000}"/>
    <cellStyle name="출력 2 2 2" xfId="12848" xr:uid="{00000000-0005-0000-0000-00002F320000}"/>
    <cellStyle name="출력 2 2 2 2" xfId="12849" xr:uid="{00000000-0005-0000-0000-000030320000}"/>
    <cellStyle name="출력 2 2 3" xfId="12850" xr:uid="{00000000-0005-0000-0000-000031320000}"/>
    <cellStyle name="출력 2 3" xfId="12851" xr:uid="{00000000-0005-0000-0000-000032320000}"/>
    <cellStyle name="출력 2 3 2" xfId="12852" xr:uid="{00000000-0005-0000-0000-000033320000}"/>
    <cellStyle name="출력 2 3 2 2" xfId="12853" xr:uid="{00000000-0005-0000-0000-000034320000}"/>
    <cellStyle name="출력 2 3 3" xfId="12854" xr:uid="{00000000-0005-0000-0000-000035320000}"/>
    <cellStyle name="출력 2 4" xfId="12855" xr:uid="{00000000-0005-0000-0000-000036320000}"/>
    <cellStyle name="출력 2 4 2" xfId="12856" xr:uid="{00000000-0005-0000-0000-000037320000}"/>
    <cellStyle name="출력 2 5" xfId="12857" xr:uid="{00000000-0005-0000-0000-000038320000}"/>
    <cellStyle name="측점" xfId="12858" xr:uid="{00000000-0005-0000-0000-000039320000}"/>
    <cellStyle name="코드" xfId="12859" xr:uid="{00000000-0005-0000-0000-00003A320000}"/>
    <cellStyle name="콤" xfId="12860" xr:uid="{00000000-0005-0000-0000-00003B320000}"/>
    <cellStyle name="콤 2" xfId="12861" xr:uid="{00000000-0005-0000-0000-00003C320000}"/>
    <cellStyle name="콤_00_토공1공구_총괄" xfId="12862" xr:uid="{00000000-0005-0000-0000-00003D320000}"/>
    <cellStyle name="콤_00_토공2공구_총괄--" xfId="12863" xr:uid="{00000000-0005-0000-0000-00003E320000}"/>
    <cellStyle name="콤_00설계예산서(계약)" xfId="12864" xr:uid="{00000000-0005-0000-0000-00003F320000}"/>
    <cellStyle name="콤_00설계예산서(계약)_지하시설물조사측량(R1)" xfId="12865" xr:uid="{00000000-0005-0000-0000-000040320000}"/>
    <cellStyle name="콤_01-토공_02-배수공" xfId="12866" xr:uid="{00000000-0005-0000-0000-000041320000}"/>
    <cellStyle name="콤_01-토공_02-배수공_02.구조물및추진,도달기지토공(D구간)" xfId="12867" xr:uid="{00000000-0005-0000-0000-000042320000}"/>
    <cellStyle name="콤_01-토공_02-배수공_토공" xfId="12868" xr:uid="{00000000-0005-0000-0000-000043320000}"/>
    <cellStyle name="콤_01-토공_02-배수공_토공_02.구조물및추진,도달기지토공(D구간)" xfId="12869" xr:uid="{00000000-0005-0000-0000-000044320000}"/>
    <cellStyle name="콤_01-토공_02-배수공_토공_2.0토공3" xfId="12870" xr:uid="{00000000-0005-0000-0000-000045320000}"/>
    <cellStyle name="콤_01-토공_02-배수공_토공_2.0토공3_02.구조물및추진,도달기지토공(D구간)" xfId="12871" xr:uid="{00000000-0005-0000-0000-000046320000}"/>
    <cellStyle name="콤_01-토공_02-배수공_토공_보령깨기집계" xfId="12872" xr:uid="{00000000-0005-0000-0000-000047320000}"/>
    <cellStyle name="콤_01-토공_02-배수공_토공_보령깨기집계_02.구조물및추진,도달기지토공(D구간)" xfId="12873" xr:uid="{00000000-0005-0000-0000-000048320000}"/>
    <cellStyle name="콤_01-토공_02-배수공_토공_정부장님토적" xfId="12874" xr:uid="{00000000-0005-0000-0000-000049320000}"/>
    <cellStyle name="콤_01-토공_02-배수공_토공_정부장님토적_02.구조물및추진,도달기지토공(D구간)" xfId="12875" xr:uid="{00000000-0005-0000-0000-00004A320000}"/>
    <cellStyle name="콤_01-토공_02-배수공_토공_토적표" xfId="12876" xr:uid="{00000000-0005-0000-0000-00004B320000}"/>
    <cellStyle name="콤_01-토공_02-배수공_토공_토적표_02.구조물및추진,도달기지토공(D구간)" xfId="12877" xr:uid="{00000000-0005-0000-0000-00004C320000}"/>
    <cellStyle name="콤_02._서울시_위례신도시_차집관거_설계예산서(전체)_0217" xfId="12878" xr:uid="{00000000-0005-0000-0000-00004D320000}"/>
    <cellStyle name="콤_02-배수공" xfId="12879" xr:uid="{00000000-0005-0000-0000-00004E320000}"/>
    <cellStyle name="콤_02-배수공_02.구조물및추진,도달기지토공(D구간)" xfId="12880" xr:uid="{00000000-0005-0000-0000-00004F320000}"/>
    <cellStyle name="콤_02-배수공_02-반중력식옹벽" xfId="12881" xr:uid="{00000000-0005-0000-0000-000050320000}"/>
    <cellStyle name="콤_02-배수공_02-반중력식옹벽_02.구조물및추진,도달기지토공(D구간)" xfId="12882" xr:uid="{00000000-0005-0000-0000-000051320000}"/>
    <cellStyle name="콤_02-배수공_02-반중력식옹벽_토공" xfId="12883" xr:uid="{00000000-0005-0000-0000-000052320000}"/>
    <cellStyle name="콤_02-배수공_02-반중력식옹벽_토공_02.구조물및추진,도달기지토공(D구간)" xfId="12884" xr:uid="{00000000-0005-0000-0000-000053320000}"/>
    <cellStyle name="콤_02-배수공_02-반중력식옹벽_토공_2.0토공3" xfId="12885" xr:uid="{00000000-0005-0000-0000-000054320000}"/>
    <cellStyle name="콤_02-배수공_02-반중력식옹벽_토공_2.0토공3_02.구조물및추진,도달기지토공(D구간)" xfId="12886" xr:uid="{00000000-0005-0000-0000-000055320000}"/>
    <cellStyle name="콤_02-배수공_02-반중력식옹벽_토공_보령깨기집계" xfId="12887" xr:uid="{00000000-0005-0000-0000-000056320000}"/>
    <cellStyle name="콤_02-배수공_02-반중력식옹벽_토공_보령깨기집계_02.구조물및추진,도달기지토공(D구간)" xfId="12888" xr:uid="{00000000-0005-0000-0000-000057320000}"/>
    <cellStyle name="콤_02-배수공_02-반중력식옹벽_토공_정부장님토적" xfId="12889" xr:uid="{00000000-0005-0000-0000-000058320000}"/>
    <cellStyle name="콤_02-배수공_02-반중력식옹벽_토공_정부장님토적_02.구조물및추진,도달기지토공(D구간)" xfId="12890" xr:uid="{00000000-0005-0000-0000-000059320000}"/>
    <cellStyle name="콤_02-배수공_02-반중력식옹벽_토공_토적표" xfId="12891" xr:uid="{00000000-0005-0000-0000-00005A320000}"/>
    <cellStyle name="콤_02-배수공_02-반중력식옹벽_토공_토적표_02.구조물및추진,도달기지토공(D구간)" xfId="12892" xr:uid="{00000000-0005-0000-0000-00005B320000}"/>
    <cellStyle name="콤_02-배수공_02-배수공" xfId="12893" xr:uid="{00000000-0005-0000-0000-00005C320000}"/>
    <cellStyle name="콤_02-배수공_02-배수공_02.구조물및추진,도달기지토공(D구간)" xfId="12894" xr:uid="{00000000-0005-0000-0000-00005D320000}"/>
    <cellStyle name="콤_02-배수공_02-배수공_토공" xfId="12895" xr:uid="{00000000-0005-0000-0000-00005E320000}"/>
    <cellStyle name="콤_02-배수공_02-배수공_토공_02.구조물및추진,도달기지토공(D구간)" xfId="12896" xr:uid="{00000000-0005-0000-0000-00005F320000}"/>
    <cellStyle name="콤_02-배수공_02-배수공_토공_2.0토공3" xfId="12897" xr:uid="{00000000-0005-0000-0000-000060320000}"/>
    <cellStyle name="콤_02-배수공_02-배수공_토공_2.0토공3_02.구조물및추진,도달기지토공(D구간)" xfId="12898" xr:uid="{00000000-0005-0000-0000-000061320000}"/>
    <cellStyle name="콤_02-배수공_02-배수공_토공_보령깨기집계" xfId="12899" xr:uid="{00000000-0005-0000-0000-000062320000}"/>
    <cellStyle name="콤_02-배수공_02-배수공_토공_보령깨기집계_02.구조물및추진,도달기지토공(D구간)" xfId="12900" xr:uid="{00000000-0005-0000-0000-000063320000}"/>
    <cellStyle name="콤_02-배수공_02-배수공_토공_정부장님토적" xfId="12901" xr:uid="{00000000-0005-0000-0000-000064320000}"/>
    <cellStyle name="콤_02-배수공_02-배수공_토공_정부장님토적_02.구조물및추진,도달기지토공(D구간)" xfId="12902" xr:uid="{00000000-0005-0000-0000-000065320000}"/>
    <cellStyle name="콤_02-배수공_02-배수공_토공_토적표" xfId="12903" xr:uid="{00000000-0005-0000-0000-000066320000}"/>
    <cellStyle name="콤_02-배수공_02-배수공_토공_토적표_02.구조물및추진,도달기지토공(D구간)" xfId="12904" xr:uid="{00000000-0005-0000-0000-000067320000}"/>
    <cellStyle name="콤_02-배수공_반중력" xfId="12905" xr:uid="{00000000-0005-0000-0000-000068320000}"/>
    <cellStyle name="콤_02-배수공_반중력_02.구조물및추진,도달기지토공(D구간)" xfId="12906" xr:uid="{00000000-0005-0000-0000-000069320000}"/>
    <cellStyle name="콤_02-배수공_반중력_토공" xfId="12907" xr:uid="{00000000-0005-0000-0000-00006A320000}"/>
    <cellStyle name="콤_02-배수공_반중력_토공_02.구조물및추진,도달기지토공(D구간)" xfId="12908" xr:uid="{00000000-0005-0000-0000-00006B320000}"/>
    <cellStyle name="콤_02-배수공_반중력_토공_2.0토공3" xfId="12909" xr:uid="{00000000-0005-0000-0000-00006C320000}"/>
    <cellStyle name="콤_02-배수공_반중력_토공_2.0토공3_02.구조물및추진,도달기지토공(D구간)" xfId="12910" xr:uid="{00000000-0005-0000-0000-00006D320000}"/>
    <cellStyle name="콤_02-배수공_반중력_토공_보령깨기집계" xfId="12911" xr:uid="{00000000-0005-0000-0000-00006E320000}"/>
    <cellStyle name="콤_02-배수공_반중력_토공_보령깨기집계_02.구조물및추진,도달기지토공(D구간)" xfId="12912" xr:uid="{00000000-0005-0000-0000-00006F320000}"/>
    <cellStyle name="콤_02-배수공_반중력_토공_정부장님토적" xfId="12913" xr:uid="{00000000-0005-0000-0000-000070320000}"/>
    <cellStyle name="콤_02-배수공_반중력_토공_정부장님토적_02.구조물및추진,도달기지토공(D구간)" xfId="12914" xr:uid="{00000000-0005-0000-0000-000071320000}"/>
    <cellStyle name="콤_02-배수공_반중력_토공_토적표" xfId="12915" xr:uid="{00000000-0005-0000-0000-000072320000}"/>
    <cellStyle name="콤_02-배수공_반중력_토공_토적표_02.구조물및추진,도달기지토공(D구간)" xfId="12916" xr:uid="{00000000-0005-0000-0000-000073320000}"/>
    <cellStyle name="콤_02-배수공_토공" xfId="12917" xr:uid="{00000000-0005-0000-0000-000074320000}"/>
    <cellStyle name="콤_02-배수공_토공_02.구조물및추진,도달기지토공(D구간)" xfId="12918" xr:uid="{00000000-0005-0000-0000-000075320000}"/>
    <cellStyle name="콤_02-배수공_토공_2.0토공3" xfId="12919" xr:uid="{00000000-0005-0000-0000-000076320000}"/>
    <cellStyle name="콤_02-배수공_토공_2.0토공3_02.구조물및추진,도달기지토공(D구간)" xfId="12920" xr:uid="{00000000-0005-0000-0000-000077320000}"/>
    <cellStyle name="콤_02-배수공_토공_보령깨기집계" xfId="12921" xr:uid="{00000000-0005-0000-0000-000078320000}"/>
    <cellStyle name="콤_02-배수공_토공_보령깨기집계_02.구조물및추진,도달기지토공(D구간)" xfId="12922" xr:uid="{00000000-0005-0000-0000-000079320000}"/>
    <cellStyle name="콤_02-배수공_토공_정부장님토적" xfId="12923" xr:uid="{00000000-0005-0000-0000-00007A320000}"/>
    <cellStyle name="콤_02-배수공_토공_정부장님토적_02.구조물및추진,도달기지토공(D구간)" xfId="12924" xr:uid="{00000000-0005-0000-0000-00007B320000}"/>
    <cellStyle name="콤_02-배수공_토공_토적표" xfId="12925" xr:uid="{00000000-0005-0000-0000-00007C320000}"/>
    <cellStyle name="콤_02-배수공_토공_토적표_02.구조물및추진,도달기지토공(D구간)" xfId="12926" xr:uid="{00000000-0005-0000-0000-00007D320000}"/>
    <cellStyle name="콤_04-포장공_02-배수공" xfId="12927" xr:uid="{00000000-0005-0000-0000-00007E320000}"/>
    <cellStyle name="콤_04-포장공_02-배수공_02.구조물및추진,도달기지토공(D구간)" xfId="12928" xr:uid="{00000000-0005-0000-0000-00007F320000}"/>
    <cellStyle name="콤_04-포장공_02-배수공_토공" xfId="12929" xr:uid="{00000000-0005-0000-0000-000080320000}"/>
    <cellStyle name="콤_04-포장공_02-배수공_토공_02.구조물및추진,도달기지토공(D구간)" xfId="12930" xr:uid="{00000000-0005-0000-0000-000081320000}"/>
    <cellStyle name="콤_04-포장공_02-배수공_토공_2.0토공3" xfId="12931" xr:uid="{00000000-0005-0000-0000-000082320000}"/>
    <cellStyle name="콤_04-포장공_02-배수공_토공_2.0토공3_02.구조물및추진,도달기지토공(D구간)" xfId="12932" xr:uid="{00000000-0005-0000-0000-000083320000}"/>
    <cellStyle name="콤_04-포장공_02-배수공_토공_보령깨기집계" xfId="12933" xr:uid="{00000000-0005-0000-0000-000084320000}"/>
    <cellStyle name="콤_04-포장공_02-배수공_토공_보령깨기집계_02.구조물및추진,도달기지토공(D구간)" xfId="12934" xr:uid="{00000000-0005-0000-0000-000085320000}"/>
    <cellStyle name="콤_04-포장공_02-배수공_토공_정부장님토적" xfId="12935" xr:uid="{00000000-0005-0000-0000-000086320000}"/>
    <cellStyle name="콤_04-포장공_02-배수공_토공_정부장님토적_02.구조물및추진,도달기지토공(D구간)" xfId="12936" xr:uid="{00000000-0005-0000-0000-000087320000}"/>
    <cellStyle name="콤_04-포장공_02-배수공_토공_토적표" xfId="12937" xr:uid="{00000000-0005-0000-0000-000088320000}"/>
    <cellStyle name="콤_04-포장공_02-배수공_토공_토적표_02.구조물및추진,도달기지토공(D구간)" xfId="12938" xr:uid="{00000000-0005-0000-0000-000089320000}"/>
    <cellStyle name="콤_06 토질조사예산서-1" xfId="12939" xr:uid="{00000000-0005-0000-0000-00008A320000}"/>
    <cellStyle name="콤_06. 물 푸 기-코드" xfId="12940" xr:uid="{00000000-0005-0000-0000-00008B320000}"/>
    <cellStyle name="콤_06-부대공_02-배수공" xfId="12941" xr:uid="{00000000-0005-0000-0000-00008C320000}"/>
    <cellStyle name="콤_06-부대공_02-배수공_02.구조물및추진,도달기지토공(D구간)" xfId="12942" xr:uid="{00000000-0005-0000-0000-00008D320000}"/>
    <cellStyle name="콤_06-부대공_02-배수공_토공" xfId="12943" xr:uid="{00000000-0005-0000-0000-00008E320000}"/>
    <cellStyle name="콤_06-부대공_02-배수공_토공_02.구조물및추진,도달기지토공(D구간)" xfId="12944" xr:uid="{00000000-0005-0000-0000-00008F320000}"/>
    <cellStyle name="콤_06-부대공_02-배수공_토공_2.0토공3" xfId="12945" xr:uid="{00000000-0005-0000-0000-000090320000}"/>
    <cellStyle name="콤_06-부대공_02-배수공_토공_2.0토공3_02.구조물및추진,도달기지토공(D구간)" xfId="12946" xr:uid="{00000000-0005-0000-0000-000091320000}"/>
    <cellStyle name="콤_06-부대공_02-배수공_토공_보령깨기집계" xfId="12947" xr:uid="{00000000-0005-0000-0000-000092320000}"/>
    <cellStyle name="콤_06-부대공_02-배수공_토공_보령깨기집계_02.구조물및추진,도달기지토공(D구간)" xfId="12948" xr:uid="{00000000-0005-0000-0000-000093320000}"/>
    <cellStyle name="콤_06-부대공_02-배수공_토공_정부장님토적" xfId="12949" xr:uid="{00000000-0005-0000-0000-000094320000}"/>
    <cellStyle name="콤_06-부대공_02-배수공_토공_정부장님토적_02.구조물및추진,도달기지토공(D구간)" xfId="12950" xr:uid="{00000000-0005-0000-0000-000095320000}"/>
    <cellStyle name="콤_06-부대공_02-배수공_토공_토적표" xfId="12951" xr:uid="{00000000-0005-0000-0000-000096320000}"/>
    <cellStyle name="콤_06-부대공_02-배수공_토공_토적표_02.구조물및추진,도달기지토공(D구간)" xfId="12952" xr:uid="{00000000-0005-0000-0000-000097320000}"/>
    <cellStyle name="콤_070405-제평가용역" xfId="12953" xr:uid="{00000000-0005-0000-0000-000098320000}"/>
    <cellStyle name="콤_10 0805 암유용 sample" xfId="12954" xr:uid="{00000000-0005-0000-0000-000099320000}"/>
    <cellStyle name="콤_2.0 오수구조물공(실옥)" xfId="12955" xr:uid="{00000000-0005-0000-0000-00009A320000}"/>
    <cellStyle name="콤_2.0 오수구조물공(실옥)_배수설비 제원표" xfId="12956" xr:uid="{00000000-0005-0000-0000-00009B320000}"/>
    <cellStyle name="콤_2.0 오수구조물공(실옥)_배수설비 제원표_배수설비 수량(장선)" xfId="12957" xr:uid="{00000000-0005-0000-0000-00009C320000}"/>
    <cellStyle name="콤_2.0 오수구조물공(실옥)_하수처리시설(황간)" xfId="12958" xr:uid="{00000000-0005-0000-0000-00009D320000}"/>
    <cellStyle name="콤_2.0 오수구조물공(실옥)_하수처리시설(황간)_배수설비 제원표" xfId="12959" xr:uid="{00000000-0005-0000-0000-00009E320000}"/>
    <cellStyle name="콤_2.0 오수구조물공(실옥)_하수처리시설(황간)_배수설비 제원표_배수설비 수량(장선)" xfId="12960" xr:uid="{00000000-0005-0000-0000-00009F320000}"/>
    <cellStyle name="콤_2.0관로공" xfId="12961" xr:uid="{00000000-0005-0000-0000-0000A0320000}"/>
    <cellStyle name="콤_20_깨기취합" xfId="12962" xr:uid="{00000000-0005-0000-0000-0000A1320000}"/>
    <cellStyle name="콤_20_깨기취합_발파암소할 2003 버전" xfId="12963" xr:uid="{00000000-0005-0000-0000-0000A2320000}"/>
    <cellStyle name="콤_20_깨기취합_토공수량산출서-3공구-사토" xfId="12964" xr:uid="{00000000-0005-0000-0000-0000A3320000}"/>
    <cellStyle name="콤_2006 폐기물처리시설(폐기물관리법)" xfId="12965" xr:uid="{00000000-0005-0000-0000-0000A4320000}"/>
    <cellStyle name="콤_21_깨기_배수1" xfId="12966" xr:uid="{00000000-0005-0000-0000-0000A5320000}"/>
    <cellStyle name="콤_21_깨기_토공" xfId="12967" xr:uid="{00000000-0005-0000-0000-0000A6320000}"/>
    <cellStyle name="콤_21_깨기_토공_발파암소할 2003 버전" xfId="12968" xr:uid="{00000000-0005-0000-0000-0000A7320000}"/>
    <cellStyle name="콤_21_깨기_토공_토공수량산출서-3공구-사토" xfId="12969" xr:uid="{00000000-0005-0000-0000-0000A8320000}"/>
    <cellStyle name="콤_4.부대공" xfId="12970" xr:uid="{00000000-0005-0000-0000-0000A9320000}"/>
    <cellStyle name="콤_4.부대공_06. 물 푸 기-코드" xfId="12971" xr:uid="{00000000-0005-0000-0000-0000AA320000}"/>
    <cellStyle name="콤_4.부대공_2.0 오수구조물공(실옥)" xfId="12972" xr:uid="{00000000-0005-0000-0000-0000AB320000}"/>
    <cellStyle name="콤_4.부대공_2.0 오수구조물공(실옥)_배수설비 제원표" xfId="12973" xr:uid="{00000000-0005-0000-0000-0000AC320000}"/>
    <cellStyle name="콤_4.부대공_2.0 오수구조물공(실옥)_배수설비 제원표_배수설비 수량(장선)" xfId="12974" xr:uid="{00000000-0005-0000-0000-0000AD320000}"/>
    <cellStyle name="콤_4.부대공_2.0 오수구조물공(실옥)_하수처리시설(황간)" xfId="12975" xr:uid="{00000000-0005-0000-0000-0000AE320000}"/>
    <cellStyle name="콤_4.부대공_2.0 오수구조물공(실옥)_하수처리시설(황간)_배수설비 제원표" xfId="12976" xr:uid="{00000000-0005-0000-0000-0000AF320000}"/>
    <cellStyle name="콤_4.부대공_2.0 오수구조물공(실옥)_하수처리시설(황간)_배수설비 제원표_배수설비 수량(장선)" xfId="12977" xr:uid="{00000000-0005-0000-0000-0000B0320000}"/>
    <cellStyle name="콤_4.부대공_4배관공" xfId="12978" xr:uid="{00000000-0005-0000-0000-0000B1320000}"/>
    <cellStyle name="콤_4.부대공_4배관공_06. 물 푸 기-코드" xfId="12979" xr:uid="{00000000-0005-0000-0000-0000B2320000}"/>
    <cellStyle name="콤_4.부대공_4배관공_2.0 오수구조물공(실옥)" xfId="12980" xr:uid="{00000000-0005-0000-0000-0000B3320000}"/>
    <cellStyle name="콤_4.부대공_4배관공_2.0 오수구조물공(실옥)_배수설비 제원표" xfId="12981" xr:uid="{00000000-0005-0000-0000-0000B4320000}"/>
    <cellStyle name="콤_4.부대공_4배관공_2.0 오수구조물공(실옥)_배수설비 제원표_배수설비 수량(장선)" xfId="12982" xr:uid="{00000000-0005-0000-0000-0000B5320000}"/>
    <cellStyle name="콤_4.부대공_4배관공_2.0 오수구조물공(실옥)_하수처리시설(황간)" xfId="12983" xr:uid="{00000000-0005-0000-0000-0000B6320000}"/>
    <cellStyle name="콤_4.부대공_4배관공_2.0 오수구조물공(실옥)_하수처리시설(황간)_배수설비 제원표" xfId="12984" xr:uid="{00000000-0005-0000-0000-0000B7320000}"/>
    <cellStyle name="콤_4.부대공_4배관공_2.0 오수구조물공(실옥)_하수처리시설(황간)_배수설비 제원표_배수설비 수량(장선)" xfId="12985" xr:uid="{00000000-0005-0000-0000-0000B8320000}"/>
    <cellStyle name="콤_4.부대공_4배관공_배수설비 제원표" xfId="12986" xr:uid="{00000000-0005-0000-0000-0000B9320000}"/>
    <cellStyle name="콤_4.부대공_4배관공_배수설비 제원표_배수설비 수량(장선)" xfId="12987" xr:uid="{00000000-0005-0000-0000-0000BA320000}"/>
    <cellStyle name="콤_4.부대공_4배관공_하수처리시설(황간)" xfId="12988" xr:uid="{00000000-0005-0000-0000-0000BB320000}"/>
    <cellStyle name="콤_4.부대공_4배관공_하수처리시설(황간)_배수설비 제원표" xfId="12989" xr:uid="{00000000-0005-0000-0000-0000BC320000}"/>
    <cellStyle name="콤_4.부대공_4배관공_하수처리시설(황간)_배수설비 제원표_배수설비 수량(장선)" xfId="12990" xr:uid="{00000000-0005-0000-0000-0000BD320000}"/>
    <cellStyle name="콤_4.부대공_5부대시설공" xfId="12991" xr:uid="{00000000-0005-0000-0000-0000BE320000}"/>
    <cellStyle name="콤_4.부대공_5부대시설공_06. 물 푸 기-코드" xfId="12992" xr:uid="{00000000-0005-0000-0000-0000BF320000}"/>
    <cellStyle name="콤_4.부대공_5부대시설공_2.0 오수구조물공(실옥)" xfId="12993" xr:uid="{00000000-0005-0000-0000-0000C0320000}"/>
    <cellStyle name="콤_4.부대공_5부대시설공_2.0 오수구조물공(실옥)_배수설비 제원표" xfId="12994" xr:uid="{00000000-0005-0000-0000-0000C1320000}"/>
    <cellStyle name="콤_4.부대공_5부대시설공_2.0 오수구조물공(실옥)_배수설비 제원표_배수설비 수량(장선)" xfId="12995" xr:uid="{00000000-0005-0000-0000-0000C2320000}"/>
    <cellStyle name="콤_4.부대공_5부대시설공_2.0 오수구조물공(실옥)_하수처리시설(황간)" xfId="12996" xr:uid="{00000000-0005-0000-0000-0000C3320000}"/>
    <cellStyle name="콤_4.부대공_5부대시설공_2.0 오수구조물공(실옥)_하수처리시설(황간)_배수설비 제원표" xfId="12997" xr:uid="{00000000-0005-0000-0000-0000C4320000}"/>
    <cellStyle name="콤_4.부대공_5부대시설공_2.0 오수구조물공(실옥)_하수처리시설(황간)_배수설비 제원표_배수설비 수량(장선)" xfId="12998" xr:uid="{00000000-0005-0000-0000-0000C5320000}"/>
    <cellStyle name="콤_4.부대공_5부대시설공_배수설비 제원표" xfId="12999" xr:uid="{00000000-0005-0000-0000-0000C6320000}"/>
    <cellStyle name="콤_4.부대공_5부대시설공_배수설비 제원표_배수설비 수량(장선)" xfId="13000" xr:uid="{00000000-0005-0000-0000-0000C7320000}"/>
    <cellStyle name="콤_4.부대공_5부대시설공_하수처리시설(황간)" xfId="13001" xr:uid="{00000000-0005-0000-0000-0000C8320000}"/>
    <cellStyle name="콤_4.부대공_5부대시설공_하수처리시설(황간)_배수설비 제원표" xfId="13002" xr:uid="{00000000-0005-0000-0000-0000C9320000}"/>
    <cellStyle name="콤_4.부대공_5부대시설공_하수처리시설(황간)_배수설비 제원표_배수설비 수량(장선)" xfId="13003" xr:uid="{00000000-0005-0000-0000-0000CA320000}"/>
    <cellStyle name="콤_4.부대공_배수설비 제원표" xfId="13004" xr:uid="{00000000-0005-0000-0000-0000CB320000}"/>
    <cellStyle name="콤_4.부대공_배수설비 제원표_배수설비 수량(장선)" xfId="13005" xr:uid="{00000000-0005-0000-0000-0000CC320000}"/>
    <cellStyle name="콤_4.부대공_하수처리시설(황간)" xfId="13006" xr:uid="{00000000-0005-0000-0000-0000CD320000}"/>
    <cellStyle name="콤_4.부대공_하수처리시설(황간)_배수설비 제원표" xfId="13007" xr:uid="{00000000-0005-0000-0000-0000CE320000}"/>
    <cellStyle name="콤_4.부대공_하수처리시설(황간)_배수설비 제원표_배수설비 수량(장선)" xfId="13008" xr:uid="{00000000-0005-0000-0000-0000CF320000}"/>
    <cellStyle name="콤_4배관공" xfId="13009" xr:uid="{00000000-0005-0000-0000-0000D0320000}"/>
    <cellStyle name="콤_4배관공_06. 물 푸 기-코드" xfId="13010" xr:uid="{00000000-0005-0000-0000-0000D1320000}"/>
    <cellStyle name="콤_4배관공_2.0 오수구조물공(실옥)" xfId="13011" xr:uid="{00000000-0005-0000-0000-0000D2320000}"/>
    <cellStyle name="콤_4배관공_2.0 오수구조물공(실옥)_배수설비 제원표" xfId="13012" xr:uid="{00000000-0005-0000-0000-0000D3320000}"/>
    <cellStyle name="콤_4배관공_2.0 오수구조물공(실옥)_배수설비 제원표_배수설비 수량(장선)" xfId="13013" xr:uid="{00000000-0005-0000-0000-0000D4320000}"/>
    <cellStyle name="콤_4배관공_2.0 오수구조물공(실옥)_하수처리시설(황간)" xfId="13014" xr:uid="{00000000-0005-0000-0000-0000D5320000}"/>
    <cellStyle name="콤_4배관공_2.0 오수구조물공(실옥)_하수처리시설(황간)_배수설비 제원표" xfId="13015" xr:uid="{00000000-0005-0000-0000-0000D6320000}"/>
    <cellStyle name="콤_4배관공_2.0 오수구조물공(실옥)_하수처리시설(황간)_배수설비 제원표_배수설비 수량(장선)" xfId="13016" xr:uid="{00000000-0005-0000-0000-0000D7320000}"/>
    <cellStyle name="콤_4배관공_배수설비 제원표" xfId="13017" xr:uid="{00000000-0005-0000-0000-0000D8320000}"/>
    <cellStyle name="콤_4배관공_배수설비 제원표_배수설비 수량(장선)" xfId="13018" xr:uid="{00000000-0005-0000-0000-0000D9320000}"/>
    <cellStyle name="콤_4배관공_하수처리시설(황간)" xfId="13019" xr:uid="{00000000-0005-0000-0000-0000DA320000}"/>
    <cellStyle name="콤_4배관공_하수처리시설(황간)_배수설비 제원표" xfId="13020" xr:uid="{00000000-0005-0000-0000-0000DB320000}"/>
    <cellStyle name="콤_4배관공_하수처리시설(황간)_배수설비 제원표_배수설비 수량(장선)" xfId="13021" xr:uid="{00000000-0005-0000-0000-0000DC320000}"/>
    <cellStyle name="콤_5부대시설공" xfId="13022" xr:uid="{00000000-0005-0000-0000-0000DD320000}"/>
    <cellStyle name="콤_5부대시설공_06. 물 푸 기-코드" xfId="13023" xr:uid="{00000000-0005-0000-0000-0000DE320000}"/>
    <cellStyle name="콤_5부대시설공_2.0 오수구조물공(실옥)" xfId="13024" xr:uid="{00000000-0005-0000-0000-0000DF320000}"/>
    <cellStyle name="콤_5부대시설공_2.0 오수구조물공(실옥)_배수설비 제원표" xfId="13025" xr:uid="{00000000-0005-0000-0000-0000E0320000}"/>
    <cellStyle name="콤_5부대시설공_2.0 오수구조물공(실옥)_배수설비 제원표_배수설비 수량(장선)" xfId="13026" xr:uid="{00000000-0005-0000-0000-0000E1320000}"/>
    <cellStyle name="콤_5부대시설공_2.0 오수구조물공(실옥)_하수처리시설(황간)" xfId="13027" xr:uid="{00000000-0005-0000-0000-0000E2320000}"/>
    <cellStyle name="콤_5부대시설공_2.0 오수구조물공(실옥)_하수처리시설(황간)_배수설비 제원표" xfId="13028" xr:uid="{00000000-0005-0000-0000-0000E3320000}"/>
    <cellStyle name="콤_5부대시설공_2.0 오수구조물공(실옥)_하수처리시설(황간)_배수설비 제원표_배수설비 수량(장선)" xfId="13029" xr:uid="{00000000-0005-0000-0000-0000E4320000}"/>
    <cellStyle name="콤_5부대시설공_배수설비 제원표" xfId="13030" xr:uid="{00000000-0005-0000-0000-0000E5320000}"/>
    <cellStyle name="콤_5부대시설공_배수설비 제원표_배수설비 수량(장선)" xfId="13031" xr:uid="{00000000-0005-0000-0000-0000E6320000}"/>
    <cellStyle name="콤_5부대시설공_하수처리시설(황간)" xfId="13032" xr:uid="{00000000-0005-0000-0000-0000E7320000}"/>
    <cellStyle name="콤_5부대시설공_하수처리시설(황간)_배수설비 제원표" xfId="13033" xr:uid="{00000000-0005-0000-0000-0000E8320000}"/>
    <cellStyle name="콤_5부대시설공_하수처리시설(황간)_배수설비 제원표_배수설비 수량(장선)" xfId="13034" xr:uid="{00000000-0005-0000-0000-0000E9320000}"/>
    <cellStyle name="콤_Book2" xfId="13035" xr:uid="{00000000-0005-0000-0000-0000EA320000}"/>
    <cellStyle name="콤_Book2 2" xfId="13036" xr:uid="{00000000-0005-0000-0000-0000EB320000}"/>
    <cellStyle name="콤_Book2_06. 물 푸 기-코드" xfId="13037" xr:uid="{00000000-0005-0000-0000-0000EC320000}"/>
    <cellStyle name="콤_Book2_1" xfId="13038" xr:uid="{00000000-0005-0000-0000-0000ED320000}"/>
    <cellStyle name="콤_Book2_2.0 오수구조물공(실옥)" xfId="13039" xr:uid="{00000000-0005-0000-0000-0000EE320000}"/>
    <cellStyle name="콤_Book2_2.0 오수구조물공(실옥)_배수설비 제원표" xfId="13040" xr:uid="{00000000-0005-0000-0000-0000EF320000}"/>
    <cellStyle name="콤_Book2_2.0 오수구조물공(실옥)_배수설비 제원표_배수설비 수량(장선)" xfId="13041" xr:uid="{00000000-0005-0000-0000-0000F0320000}"/>
    <cellStyle name="콤_Book2_2.0 오수구조물공(실옥)_하수처리시설(황간)" xfId="13042" xr:uid="{00000000-0005-0000-0000-0000F1320000}"/>
    <cellStyle name="콤_Book2_2.0 오수구조물공(실옥)_하수처리시설(황간)_배수설비 제원표" xfId="13043" xr:uid="{00000000-0005-0000-0000-0000F2320000}"/>
    <cellStyle name="콤_Book2_2.0 오수구조물공(실옥)_하수처리시설(황간)_배수설비 제원표_배수설비 수량(장선)" xfId="13044" xr:uid="{00000000-0005-0000-0000-0000F3320000}"/>
    <cellStyle name="콤_Book2_4.부대공" xfId="13045" xr:uid="{00000000-0005-0000-0000-0000F4320000}"/>
    <cellStyle name="콤_Book2_4.부대공_06. 물 푸 기-코드" xfId="13046" xr:uid="{00000000-0005-0000-0000-0000F5320000}"/>
    <cellStyle name="콤_Book2_4.부대공_2.0 오수구조물공(실옥)" xfId="13047" xr:uid="{00000000-0005-0000-0000-0000F6320000}"/>
    <cellStyle name="콤_Book2_4.부대공_2.0 오수구조물공(실옥)_배수설비 제원표" xfId="13048" xr:uid="{00000000-0005-0000-0000-0000F7320000}"/>
    <cellStyle name="콤_Book2_4.부대공_2.0 오수구조물공(실옥)_배수설비 제원표_배수설비 수량(장선)" xfId="13049" xr:uid="{00000000-0005-0000-0000-0000F8320000}"/>
    <cellStyle name="콤_Book2_4.부대공_2.0 오수구조물공(실옥)_하수처리시설(황간)" xfId="13050" xr:uid="{00000000-0005-0000-0000-0000F9320000}"/>
    <cellStyle name="콤_Book2_4.부대공_2.0 오수구조물공(실옥)_하수처리시설(황간)_배수설비 제원표" xfId="13051" xr:uid="{00000000-0005-0000-0000-0000FA320000}"/>
    <cellStyle name="콤_Book2_4.부대공_2.0 오수구조물공(실옥)_하수처리시설(황간)_배수설비 제원표_배수설비 수량(장선)" xfId="13052" xr:uid="{00000000-0005-0000-0000-0000FB320000}"/>
    <cellStyle name="콤_Book2_4.부대공_4배관공" xfId="13053" xr:uid="{00000000-0005-0000-0000-0000FC320000}"/>
    <cellStyle name="콤_Book2_4.부대공_4배관공_06. 물 푸 기-코드" xfId="13054" xr:uid="{00000000-0005-0000-0000-0000FD320000}"/>
    <cellStyle name="콤_Book2_4.부대공_4배관공_2.0 오수구조물공(실옥)" xfId="13055" xr:uid="{00000000-0005-0000-0000-0000FE320000}"/>
    <cellStyle name="콤_Book2_4.부대공_4배관공_2.0 오수구조물공(실옥)_배수설비 제원표" xfId="13056" xr:uid="{00000000-0005-0000-0000-0000FF320000}"/>
    <cellStyle name="콤_Book2_4.부대공_4배관공_2.0 오수구조물공(실옥)_배수설비 제원표_배수설비 수량(장선)" xfId="13057" xr:uid="{00000000-0005-0000-0000-000000330000}"/>
    <cellStyle name="콤_Book2_4.부대공_4배관공_2.0 오수구조물공(실옥)_하수처리시설(황간)" xfId="13058" xr:uid="{00000000-0005-0000-0000-000001330000}"/>
    <cellStyle name="콤_Book2_4.부대공_4배관공_2.0 오수구조물공(실옥)_하수처리시설(황간)_배수설비 제원표" xfId="13059" xr:uid="{00000000-0005-0000-0000-000002330000}"/>
    <cellStyle name="콤_Book2_4.부대공_4배관공_2.0 오수구조물공(실옥)_하수처리시설(황간)_배수설비 제원표_배수설비 수량(장선)" xfId="13060" xr:uid="{00000000-0005-0000-0000-000003330000}"/>
    <cellStyle name="콤_Book2_4.부대공_4배관공_배수설비 제원표" xfId="13061" xr:uid="{00000000-0005-0000-0000-000004330000}"/>
    <cellStyle name="콤_Book2_4.부대공_4배관공_배수설비 제원표_배수설비 수량(장선)" xfId="13062" xr:uid="{00000000-0005-0000-0000-000005330000}"/>
    <cellStyle name="콤_Book2_4.부대공_4배관공_하수처리시설(황간)" xfId="13063" xr:uid="{00000000-0005-0000-0000-000006330000}"/>
    <cellStyle name="콤_Book2_4.부대공_4배관공_하수처리시설(황간)_배수설비 제원표" xfId="13064" xr:uid="{00000000-0005-0000-0000-000007330000}"/>
    <cellStyle name="콤_Book2_4.부대공_4배관공_하수처리시설(황간)_배수설비 제원표_배수설비 수량(장선)" xfId="13065" xr:uid="{00000000-0005-0000-0000-000008330000}"/>
    <cellStyle name="콤_Book2_4.부대공_5부대시설공" xfId="13066" xr:uid="{00000000-0005-0000-0000-000009330000}"/>
    <cellStyle name="콤_Book2_4.부대공_5부대시설공_06. 물 푸 기-코드" xfId="13067" xr:uid="{00000000-0005-0000-0000-00000A330000}"/>
    <cellStyle name="콤_Book2_4.부대공_5부대시설공_2.0 오수구조물공(실옥)" xfId="13068" xr:uid="{00000000-0005-0000-0000-00000B330000}"/>
    <cellStyle name="콤_Book2_4.부대공_5부대시설공_2.0 오수구조물공(실옥)_배수설비 제원표" xfId="13069" xr:uid="{00000000-0005-0000-0000-00000C330000}"/>
    <cellStyle name="콤_Book2_4.부대공_5부대시설공_2.0 오수구조물공(실옥)_배수설비 제원표_배수설비 수량(장선)" xfId="13070" xr:uid="{00000000-0005-0000-0000-00000D330000}"/>
    <cellStyle name="콤_Book2_4.부대공_5부대시설공_2.0 오수구조물공(실옥)_하수처리시설(황간)" xfId="13071" xr:uid="{00000000-0005-0000-0000-00000E330000}"/>
    <cellStyle name="콤_Book2_4.부대공_5부대시설공_2.0 오수구조물공(실옥)_하수처리시설(황간)_배수설비 제원표" xfId="13072" xr:uid="{00000000-0005-0000-0000-00000F330000}"/>
    <cellStyle name="콤_Book2_4.부대공_5부대시설공_2.0 오수구조물공(실옥)_하수처리시설(황간)_배수설비 제원표_배수설비 수량(장선)" xfId="13073" xr:uid="{00000000-0005-0000-0000-000010330000}"/>
    <cellStyle name="콤_Book2_4.부대공_5부대시설공_배수설비 제원표" xfId="13074" xr:uid="{00000000-0005-0000-0000-000011330000}"/>
    <cellStyle name="콤_Book2_4.부대공_5부대시설공_배수설비 제원표_배수설비 수량(장선)" xfId="13075" xr:uid="{00000000-0005-0000-0000-000012330000}"/>
    <cellStyle name="콤_Book2_4.부대공_5부대시설공_하수처리시설(황간)" xfId="13076" xr:uid="{00000000-0005-0000-0000-000013330000}"/>
    <cellStyle name="콤_Book2_4.부대공_5부대시설공_하수처리시설(황간)_배수설비 제원표" xfId="13077" xr:uid="{00000000-0005-0000-0000-000014330000}"/>
    <cellStyle name="콤_Book2_4.부대공_5부대시설공_하수처리시설(황간)_배수설비 제원표_배수설비 수량(장선)" xfId="13078" xr:uid="{00000000-0005-0000-0000-000015330000}"/>
    <cellStyle name="콤_Book2_4.부대공_배수설비 제원표" xfId="13079" xr:uid="{00000000-0005-0000-0000-000016330000}"/>
    <cellStyle name="콤_Book2_4.부대공_배수설비 제원표_배수설비 수량(장선)" xfId="13080" xr:uid="{00000000-0005-0000-0000-000017330000}"/>
    <cellStyle name="콤_Book2_4.부대공_하수처리시설(황간)" xfId="13081" xr:uid="{00000000-0005-0000-0000-000018330000}"/>
    <cellStyle name="콤_Book2_4.부대공_하수처리시설(황간)_배수설비 제원표" xfId="13082" xr:uid="{00000000-0005-0000-0000-000019330000}"/>
    <cellStyle name="콤_Book2_4.부대공_하수처리시설(황간)_배수설비 제원표_배수설비 수량(장선)" xfId="13083" xr:uid="{00000000-0005-0000-0000-00001A330000}"/>
    <cellStyle name="콤_Book2_4배관공" xfId="13084" xr:uid="{00000000-0005-0000-0000-00001B330000}"/>
    <cellStyle name="콤_Book2_4배관공_06. 물 푸 기-코드" xfId="13085" xr:uid="{00000000-0005-0000-0000-00001C330000}"/>
    <cellStyle name="콤_Book2_4배관공_2.0 오수구조물공(실옥)" xfId="13086" xr:uid="{00000000-0005-0000-0000-00001D330000}"/>
    <cellStyle name="콤_Book2_4배관공_2.0 오수구조물공(실옥)_배수설비 제원표" xfId="13087" xr:uid="{00000000-0005-0000-0000-00001E330000}"/>
    <cellStyle name="콤_Book2_4배관공_2.0 오수구조물공(실옥)_배수설비 제원표_배수설비 수량(장선)" xfId="13088" xr:uid="{00000000-0005-0000-0000-00001F330000}"/>
    <cellStyle name="콤_Book2_4배관공_2.0 오수구조물공(실옥)_하수처리시설(황간)" xfId="13089" xr:uid="{00000000-0005-0000-0000-000020330000}"/>
    <cellStyle name="콤_Book2_4배관공_2.0 오수구조물공(실옥)_하수처리시설(황간)_배수설비 제원표" xfId="13090" xr:uid="{00000000-0005-0000-0000-000021330000}"/>
    <cellStyle name="콤_Book2_4배관공_2.0 오수구조물공(실옥)_하수처리시설(황간)_배수설비 제원표_배수설비 수량(장선)" xfId="13091" xr:uid="{00000000-0005-0000-0000-000022330000}"/>
    <cellStyle name="콤_Book2_4배관공_배수설비 제원표" xfId="13092" xr:uid="{00000000-0005-0000-0000-000023330000}"/>
    <cellStyle name="콤_Book2_4배관공_배수설비 제원표_배수설비 수량(장선)" xfId="13093" xr:uid="{00000000-0005-0000-0000-000024330000}"/>
    <cellStyle name="콤_Book2_4배관공_하수처리시설(황간)" xfId="13094" xr:uid="{00000000-0005-0000-0000-000025330000}"/>
    <cellStyle name="콤_Book2_4배관공_하수처리시설(황간)_배수설비 제원표" xfId="13095" xr:uid="{00000000-0005-0000-0000-000026330000}"/>
    <cellStyle name="콤_Book2_4배관공_하수처리시설(황간)_배수설비 제원표_배수설비 수량(장선)" xfId="13096" xr:uid="{00000000-0005-0000-0000-000027330000}"/>
    <cellStyle name="콤_Book2_5부대시설공" xfId="13097" xr:uid="{00000000-0005-0000-0000-000028330000}"/>
    <cellStyle name="콤_Book2_5부대시설공_06. 물 푸 기-코드" xfId="13098" xr:uid="{00000000-0005-0000-0000-000029330000}"/>
    <cellStyle name="콤_Book2_5부대시설공_2.0 오수구조물공(실옥)" xfId="13099" xr:uid="{00000000-0005-0000-0000-00002A330000}"/>
    <cellStyle name="콤_Book2_5부대시설공_2.0 오수구조물공(실옥)_배수설비 제원표" xfId="13100" xr:uid="{00000000-0005-0000-0000-00002B330000}"/>
    <cellStyle name="콤_Book2_5부대시설공_2.0 오수구조물공(실옥)_배수설비 제원표_배수설비 수량(장선)" xfId="13101" xr:uid="{00000000-0005-0000-0000-00002C330000}"/>
    <cellStyle name="콤_Book2_5부대시설공_2.0 오수구조물공(실옥)_하수처리시설(황간)" xfId="13102" xr:uid="{00000000-0005-0000-0000-00002D330000}"/>
    <cellStyle name="콤_Book2_5부대시설공_2.0 오수구조물공(실옥)_하수처리시설(황간)_배수설비 제원표" xfId="13103" xr:uid="{00000000-0005-0000-0000-00002E330000}"/>
    <cellStyle name="콤_Book2_5부대시설공_2.0 오수구조물공(실옥)_하수처리시설(황간)_배수설비 제원표_배수설비 수량(장선)" xfId="13104" xr:uid="{00000000-0005-0000-0000-00002F330000}"/>
    <cellStyle name="콤_Book2_5부대시설공_배수설비 제원표" xfId="13105" xr:uid="{00000000-0005-0000-0000-000030330000}"/>
    <cellStyle name="콤_Book2_5부대시설공_배수설비 제원표_배수설비 수량(장선)" xfId="13106" xr:uid="{00000000-0005-0000-0000-000031330000}"/>
    <cellStyle name="콤_Book2_5부대시설공_하수처리시설(황간)" xfId="13107" xr:uid="{00000000-0005-0000-0000-000032330000}"/>
    <cellStyle name="콤_Book2_5부대시설공_하수처리시설(황간)_배수설비 제원표" xfId="13108" xr:uid="{00000000-0005-0000-0000-000033330000}"/>
    <cellStyle name="콤_Book2_5부대시설공_하수처리시설(황간)_배수설비 제원표_배수설비 수량(장선)" xfId="13109" xr:uid="{00000000-0005-0000-0000-000034330000}"/>
    <cellStyle name="콤_Book2_배수설비 제원표" xfId="13110" xr:uid="{00000000-0005-0000-0000-000035330000}"/>
    <cellStyle name="콤_Book2_배수설비 제원표_배수설비 수량(장선)" xfId="13111" xr:uid="{00000000-0005-0000-0000-000036330000}"/>
    <cellStyle name="콤_Book2_하수처리시설(황간)" xfId="13112" xr:uid="{00000000-0005-0000-0000-000037330000}"/>
    <cellStyle name="콤_Book2_하수처리시설(황간)_배수설비 제원표" xfId="13113" xr:uid="{00000000-0005-0000-0000-000038330000}"/>
    <cellStyle name="콤_Book2_하수처리시설(황간)_배수설비 제원표_배수설비 수량(장선)" xfId="13114" xr:uid="{00000000-0005-0000-0000-000039330000}"/>
    <cellStyle name="콤_강릉내역서(설계변경)_0207" xfId="13115" xr:uid="{00000000-0005-0000-0000-00003A330000}"/>
    <cellStyle name="콤_교통영향평가예산서" xfId="13116" xr:uid="{00000000-0005-0000-0000-00003B330000}"/>
    <cellStyle name="콤_구조물공사(수정)" xfId="13117" xr:uid="{00000000-0005-0000-0000-00003C330000}"/>
    <cellStyle name="콤_기존구조물철거" xfId="13118" xr:uid="{00000000-0005-0000-0000-00003D330000}"/>
    <cellStyle name="콤_기존구조물철거_발파암소할 2003 버전" xfId="13119" xr:uid="{00000000-0005-0000-0000-00003E330000}"/>
    <cellStyle name="콤_기존구조물철거_토공수량산출서-3공구-사토" xfId="13120" xr:uid="{00000000-0005-0000-0000-00003F330000}"/>
    <cellStyle name="콤_기존구조물철거최종" xfId="13121" xr:uid="{00000000-0005-0000-0000-000040330000}"/>
    <cellStyle name="콤_기존구조물철거최종_발파암소할 2003 버전" xfId="13122" xr:uid="{00000000-0005-0000-0000-000041330000}"/>
    <cellStyle name="콤_기존구조물철거최종_토공수량산출서-3공구-사토" xfId="13123" xr:uid="{00000000-0005-0000-0000-000042330000}"/>
    <cellStyle name="콤_노면표지" xfId="13124" xr:uid="{00000000-0005-0000-0000-000043330000}"/>
    <cellStyle name="콤_문경내역(1127)" xfId="13125" xr:uid="{00000000-0005-0000-0000-000044330000}"/>
    <cellStyle name="콤_문경내역(1127)_지하시설물조사측량(R1)" xfId="13126" xr:uid="{00000000-0005-0000-0000-000045330000}"/>
    <cellStyle name="콤_문경내역(1127)_지하시설물조사측량(R1)_발주내역서" xfId="13127" xr:uid="{00000000-0005-0000-0000-000046330000}"/>
    <cellStyle name="콤_문경내역(1127)_지하시설물조사측량(R1)_발주내역서(8(1).9)-원본" xfId="13128" xr:uid="{00000000-0005-0000-0000-000047330000}"/>
    <cellStyle name="콤_문경내역(1127)_지하시설물조사측량(R1)_발주내역서-서울시발송수정" xfId="13129" xr:uid="{00000000-0005-0000-0000-000048330000}"/>
    <cellStyle name="콤_문경내역(1127)_지하시설물조사측량(R1)_설계내역서(2010(1).1.13)" xfId="13130" xr:uid="{00000000-0005-0000-0000-000049330000}"/>
    <cellStyle name="콤_문경내역(1127)_지하시설물조사측량(R1)_총괄" xfId="13131" xr:uid="{00000000-0005-0000-0000-00004A330000}"/>
    <cellStyle name="콤_미끄럼방지시설" xfId="13132" xr:uid="{00000000-0005-0000-0000-00004B330000}"/>
    <cellStyle name="콤_발파암소할" xfId="13133" xr:uid="{00000000-0005-0000-0000-00004C330000}"/>
    <cellStyle name="콤_발파암소할 2003 버전" xfId="13134" xr:uid="{00000000-0005-0000-0000-00004D330000}"/>
    <cellStyle name="콤_배수설비 제원표" xfId="13135" xr:uid="{00000000-0005-0000-0000-00004E330000}"/>
    <cellStyle name="콤_배수설비 제원표_배수설비 수량(장선)" xfId="13136" xr:uid="{00000000-0005-0000-0000-00004F330000}"/>
    <cellStyle name="콤_부대" xfId="13137" xr:uid="{00000000-0005-0000-0000-000050330000}"/>
    <cellStyle name="콤_부대공사" xfId="13138" xr:uid="{00000000-0005-0000-0000-000051330000}"/>
    <cellStyle name="콤_부대공사_1" xfId="13139" xr:uid="{00000000-0005-0000-0000-000052330000}"/>
    <cellStyle name="콤_부대공사단위수량" xfId="13140" xr:uid="{00000000-0005-0000-0000-000053330000}"/>
    <cellStyle name="콤_부대단위수량" xfId="13141" xr:uid="{00000000-0005-0000-0000-000054330000}"/>
    <cellStyle name="콤_부대수량" xfId="13142" xr:uid="{00000000-0005-0000-0000-000055330000}"/>
    <cellStyle name="콤_설계내역서(변경)_0303" xfId="13143" xr:uid="{00000000-0005-0000-0000-000056330000}"/>
    <cellStyle name="콤_설계내역서(변경)_0303_지하시설물조사측량(R1)" xfId="13144" xr:uid="{00000000-0005-0000-0000-000057330000}"/>
    <cellStyle name="콤_설계내역서(변경)_0303_지하시설물조사측량(R1)_발주내역서" xfId="13145" xr:uid="{00000000-0005-0000-0000-000058330000}"/>
    <cellStyle name="콤_설계내역서(변경)_0303_지하시설물조사측량(R1)_발주내역서(8(1).9)-원본" xfId="13146" xr:uid="{00000000-0005-0000-0000-000059330000}"/>
    <cellStyle name="콤_설계내역서(변경)_0303_지하시설물조사측량(R1)_발주내역서-서울시발송수정" xfId="13147" xr:uid="{00000000-0005-0000-0000-00005A330000}"/>
    <cellStyle name="콤_설계내역서(변경)_0303_지하시설물조사측량(R1)_설계내역서(2010(1).1.13)" xfId="13148" xr:uid="{00000000-0005-0000-0000-00005B330000}"/>
    <cellStyle name="콤_설계내역서(변경)_0303_지하시설물조사측량(R1)_총괄" xfId="13149" xr:uid="{00000000-0005-0000-0000-00005C330000}"/>
    <cellStyle name="콤_설계예산서(설계)" xfId="13150" xr:uid="{00000000-0005-0000-0000-00005D330000}"/>
    <cellStyle name="콤_설계예산서(설계)_지하시설물조사측량(R1)" xfId="13151" xr:uid="{00000000-0005-0000-0000-00005E330000}"/>
    <cellStyle name="콤_설계용역비" xfId="13152" xr:uid="{00000000-0005-0000-0000-00005F330000}"/>
    <cellStyle name="콤_설계용역비_070405-제평가용역" xfId="13153" xr:uid="{00000000-0005-0000-0000-000060330000}"/>
    <cellStyle name="콤_설계용역비_토취장 변경내역" xfId="13154" xr:uid="{00000000-0005-0000-0000-000061330000}"/>
    <cellStyle name="콤_설계용역비_토취장_변경내역" xfId="13155" xr:uid="{00000000-0005-0000-0000-000062330000}"/>
    <cellStyle name="콤_설계용역비_토취장_변경내역(수자원)" xfId="13156" xr:uid="{00000000-0005-0000-0000-000063330000}"/>
    <cellStyle name="콤_수량산출서(수정)" xfId="13157" xr:uid="{00000000-0005-0000-0000-000064330000}"/>
    <cellStyle name="콤_수량산출서(수정)_01-토공_02-배수공" xfId="13158" xr:uid="{00000000-0005-0000-0000-000065330000}"/>
    <cellStyle name="콤_수량산출서(수정)_01-토공_02-배수공_02.구조물및추진,도달기지토공(D구간)" xfId="13159" xr:uid="{00000000-0005-0000-0000-000066330000}"/>
    <cellStyle name="콤_수량산출서(수정)_01-토공_02-배수공_토공" xfId="13160" xr:uid="{00000000-0005-0000-0000-000067330000}"/>
    <cellStyle name="콤_수량산출서(수정)_01-토공_02-배수공_토공_02.구조물및추진,도달기지토공(D구간)" xfId="13161" xr:uid="{00000000-0005-0000-0000-000068330000}"/>
    <cellStyle name="콤_수량산출서(수정)_01-토공_02-배수공_토공_2.0토공3" xfId="13162" xr:uid="{00000000-0005-0000-0000-000069330000}"/>
    <cellStyle name="콤_수량산출서(수정)_01-토공_02-배수공_토공_2.0토공3_02.구조물및추진,도달기지토공(D구간)" xfId="13163" xr:uid="{00000000-0005-0000-0000-00006A330000}"/>
    <cellStyle name="콤_수량산출서(수정)_01-토공_02-배수공_토공_보령깨기집계" xfId="13164" xr:uid="{00000000-0005-0000-0000-00006B330000}"/>
    <cellStyle name="콤_수량산출서(수정)_01-토공_02-배수공_토공_보령깨기집계_02.구조물및추진,도달기지토공(D구간)" xfId="13165" xr:uid="{00000000-0005-0000-0000-00006C330000}"/>
    <cellStyle name="콤_수량산출서(수정)_01-토공_02-배수공_토공_정부장님토적" xfId="13166" xr:uid="{00000000-0005-0000-0000-00006D330000}"/>
    <cellStyle name="콤_수량산출서(수정)_01-토공_02-배수공_토공_정부장님토적_02.구조물및추진,도달기지토공(D구간)" xfId="13167" xr:uid="{00000000-0005-0000-0000-00006E330000}"/>
    <cellStyle name="콤_수량산출서(수정)_01-토공_02-배수공_토공_토적표" xfId="13168" xr:uid="{00000000-0005-0000-0000-00006F330000}"/>
    <cellStyle name="콤_수량산출서(수정)_01-토공_02-배수공_토공_토적표_02.구조물및추진,도달기지토공(D구간)" xfId="13169" xr:uid="{00000000-0005-0000-0000-000070330000}"/>
    <cellStyle name="콤_수량산출서(수정)_02-배수공" xfId="13170" xr:uid="{00000000-0005-0000-0000-000071330000}"/>
    <cellStyle name="콤_수량산출서(수정)_02-배수공_02.구조물및추진,도달기지토공(D구간)" xfId="13171" xr:uid="{00000000-0005-0000-0000-000072330000}"/>
    <cellStyle name="콤_수량산출서(수정)_02-배수공_02-반중력식옹벽" xfId="13172" xr:uid="{00000000-0005-0000-0000-000073330000}"/>
    <cellStyle name="콤_수량산출서(수정)_02-배수공_02-반중력식옹벽_02.구조물및추진,도달기지토공(D구간)" xfId="13173" xr:uid="{00000000-0005-0000-0000-000074330000}"/>
    <cellStyle name="콤_수량산출서(수정)_02-배수공_02-반중력식옹벽_토공" xfId="13174" xr:uid="{00000000-0005-0000-0000-000075330000}"/>
    <cellStyle name="콤_수량산출서(수정)_02-배수공_02-반중력식옹벽_토공_02.구조물및추진,도달기지토공(D구간)" xfId="13175" xr:uid="{00000000-0005-0000-0000-000076330000}"/>
    <cellStyle name="콤_수량산출서(수정)_02-배수공_02-반중력식옹벽_토공_2.0토공3" xfId="13176" xr:uid="{00000000-0005-0000-0000-000077330000}"/>
    <cellStyle name="콤_수량산출서(수정)_02-배수공_02-반중력식옹벽_토공_2.0토공3_02.구조물및추진,도달기지토공(D구간)" xfId="13177" xr:uid="{00000000-0005-0000-0000-000078330000}"/>
    <cellStyle name="콤_수량산출서(수정)_02-배수공_02-반중력식옹벽_토공_보령깨기집계" xfId="13178" xr:uid="{00000000-0005-0000-0000-000079330000}"/>
    <cellStyle name="콤_수량산출서(수정)_02-배수공_02-반중력식옹벽_토공_보령깨기집계_02.구조물및추진,도달기지토공(D구간)" xfId="13179" xr:uid="{00000000-0005-0000-0000-00007A330000}"/>
    <cellStyle name="콤_수량산출서(수정)_02-배수공_02-반중력식옹벽_토공_정부장님토적" xfId="13180" xr:uid="{00000000-0005-0000-0000-00007B330000}"/>
    <cellStyle name="콤_수량산출서(수정)_02-배수공_02-반중력식옹벽_토공_정부장님토적_02.구조물및추진,도달기지토공(D구간)" xfId="13181" xr:uid="{00000000-0005-0000-0000-00007C330000}"/>
    <cellStyle name="콤_수량산출서(수정)_02-배수공_02-반중력식옹벽_토공_토적표" xfId="13182" xr:uid="{00000000-0005-0000-0000-00007D330000}"/>
    <cellStyle name="콤_수량산출서(수정)_02-배수공_02-반중력식옹벽_토공_토적표_02.구조물및추진,도달기지토공(D구간)" xfId="13183" xr:uid="{00000000-0005-0000-0000-00007E330000}"/>
    <cellStyle name="콤_수량산출서(수정)_02-배수공_02-배수공" xfId="13184" xr:uid="{00000000-0005-0000-0000-00007F330000}"/>
    <cellStyle name="콤_수량산출서(수정)_02-배수공_02-배수공_02.구조물및추진,도달기지토공(D구간)" xfId="13185" xr:uid="{00000000-0005-0000-0000-000080330000}"/>
    <cellStyle name="콤_수량산출서(수정)_02-배수공_02-배수공_토공" xfId="13186" xr:uid="{00000000-0005-0000-0000-000081330000}"/>
    <cellStyle name="콤_수량산출서(수정)_02-배수공_02-배수공_토공_02.구조물및추진,도달기지토공(D구간)" xfId="13187" xr:uid="{00000000-0005-0000-0000-000082330000}"/>
    <cellStyle name="콤_수량산출서(수정)_02-배수공_02-배수공_토공_2.0토공3" xfId="13188" xr:uid="{00000000-0005-0000-0000-000083330000}"/>
    <cellStyle name="콤_수량산출서(수정)_02-배수공_02-배수공_토공_2.0토공3_02.구조물및추진,도달기지토공(D구간)" xfId="13189" xr:uid="{00000000-0005-0000-0000-000084330000}"/>
    <cellStyle name="콤_수량산출서(수정)_02-배수공_02-배수공_토공_보령깨기집계" xfId="13190" xr:uid="{00000000-0005-0000-0000-000085330000}"/>
    <cellStyle name="콤_수량산출서(수정)_02-배수공_02-배수공_토공_보령깨기집계_02.구조물및추진,도달기지토공(D구간)" xfId="13191" xr:uid="{00000000-0005-0000-0000-000086330000}"/>
    <cellStyle name="콤_수량산출서(수정)_02-배수공_02-배수공_토공_정부장님토적" xfId="13192" xr:uid="{00000000-0005-0000-0000-000087330000}"/>
    <cellStyle name="콤_수량산출서(수정)_02-배수공_02-배수공_토공_정부장님토적_02.구조물및추진,도달기지토공(D구간)" xfId="13193" xr:uid="{00000000-0005-0000-0000-000088330000}"/>
    <cellStyle name="콤_수량산출서(수정)_02-배수공_02-배수공_토공_토적표" xfId="13194" xr:uid="{00000000-0005-0000-0000-000089330000}"/>
    <cellStyle name="콤_수량산출서(수정)_02-배수공_02-배수공_토공_토적표_02.구조물및추진,도달기지토공(D구간)" xfId="13195" xr:uid="{00000000-0005-0000-0000-00008A330000}"/>
    <cellStyle name="콤_수량산출서(수정)_02-배수공_반중력" xfId="13196" xr:uid="{00000000-0005-0000-0000-00008B330000}"/>
    <cellStyle name="콤_수량산출서(수정)_02-배수공_반중력_02.구조물및추진,도달기지토공(D구간)" xfId="13197" xr:uid="{00000000-0005-0000-0000-00008C330000}"/>
    <cellStyle name="콤_수량산출서(수정)_02-배수공_반중력_토공" xfId="13198" xr:uid="{00000000-0005-0000-0000-00008D330000}"/>
    <cellStyle name="콤_수량산출서(수정)_02-배수공_반중력_토공_02.구조물및추진,도달기지토공(D구간)" xfId="13199" xr:uid="{00000000-0005-0000-0000-00008E330000}"/>
    <cellStyle name="콤_수량산출서(수정)_02-배수공_반중력_토공_2.0토공3" xfId="13200" xr:uid="{00000000-0005-0000-0000-00008F330000}"/>
    <cellStyle name="콤_수량산출서(수정)_02-배수공_반중력_토공_2.0토공3_02.구조물및추진,도달기지토공(D구간)" xfId="13201" xr:uid="{00000000-0005-0000-0000-000090330000}"/>
    <cellStyle name="콤_수량산출서(수정)_02-배수공_반중력_토공_보령깨기집계" xfId="13202" xr:uid="{00000000-0005-0000-0000-000091330000}"/>
    <cellStyle name="콤_수량산출서(수정)_02-배수공_반중력_토공_보령깨기집계_02.구조물및추진,도달기지토공(D구간)" xfId="13203" xr:uid="{00000000-0005-0000-0000-000092330000}"/>
    <cellStyle name="콤_수량산출서(수정)_02-배수공_반중력_토공_정부장님토적" xfId="13204" xr:uid="{00000000-0005-0000-0000-000093330000}"/>
    <cellStyle name="콤_수량산출서(수정)_02-배수공_반중력_토공_정부장님토적_02.구조물및추진,도달기지토공(D구간)" xfId="13205" xr:uid="{00000000-0005-0000-0000-000094330000}"/>
    <cellStyle name="콤_수량산출서(수정)_02-배수공_반중력_토공_토적표" xfId="13206" xr:uid="{00000000-0005-0000-0000-000095330000}"/>
    <cellStyle name="콤_수량산출서(수정)_02-배수공_반중력_토공_토적표_02.구조물및추진,도달기지토공(D구간)" xfId="13207" xr:uid="{00000000-0005-0000-0000-000096330000}"/>
    <cellStyle name="콤_수량산출서(수정)_02-배수공_토공" xfId="13208" xr:uid="{00000000-0005-0000-0000-000097330000}"/>
    <cellStyle name="콤_수량산출서(수정)_02-배수공_토공_02.구조물및추진,도달기지토공(D구간)" xfId="13209" xr:uid="{00000000-0005-0000-0000-000098330000}"/>
    <cellStyle name="콤_수량산출서(수정)_02-배수공_토공_2.0토공3" xfId="13210" xr:uid="{00000000-0005-0000-0000-000099330000}"/>
    <cellStyle name="콤_수량산출서(수정)_02-배수공_토공_2.0토공3_02.구조물및추진,도달기지토공(D구간)" xfId="13211" xr:uid="{00000000-0005-0000-0000-00009A330000}"/>
    <cellStyle name="콤_수량산출서(수정)_02-배수공_토공_보령깨기집계" xfId="13212" xr:uid="{00000000-0005-0000-0000-00009B330000}"/>
    <cellStyle name="콤_수량산출서(수정)_02-배수공_토공_보령깨기집계_02.구조물및추진,도달기지토공(D구간)" xfId="13213" xr:uid="{00000000-0005-0000-0000-00009C330000}"/>
    <cellStyle name="콤_수량산출서(수정)_02-배수공_토공_정부장님토적" xfId="13214" xr:uid="{00000000-0005-0000-0000-00009D330000}"/>
    <cellStyle name="콤_수량산출서(수정)_02-배수공_토공_정부장님토적_02.구조물및추진,도달기지토공(D구간)" xfId="13215" xr:uid="{00000000-0005-0000-0000-00009E330000}"/>
    <cellStyle name="콤_수량산출서(수정)_02-배수공_토공_토적표" xfId="13216" xr:uid="{00000000-0005-0000-0000-00009F330000}"/>
    <cellStyle name="콤_수량산출서(수정)_02-배수공_토공_토적표_02.구조물및추진,도달기지토공(D구간)" xfId="13217" xr:uid="{00000000-0005-0000-0000-0000A0330000}"/>
    <cellStyle name="콤_수량산출서(수정)_04-포장공_02-배수공" xfId="13218" xr:uid="{00000000-0005-0000-0000-0000A1330000}"/>
    <cellStyle name="콤_수량산출서(수정)_04-포장공_02-배수공_02.구조물및추진,도달기지토공(D구간)" xfId="13219" xr:uid="{00000000-0005-0000-0000-0000A2330000}"/>
    <cellStyle name="콤_수량산출서(수정)_04-포장공_02-배수공_토공" xfId="13220" xr:uid="{00000000-0005-0000-0000-0000A3330000}"/>
    <cellStyle name="콤_수량산출서(수정)_04-포장공_02-배수공_토공_02.구조물및추진,도달기지토공(D구간)" xfId="13221" xr:uid="{00000000-0005-0000-0000-0000A4330000}"/>
    <cellStyle name="콤_수량산출서(수정)_04-포장공_02-배수공_토공_2.0토공3" xfId="13222" xr:uid="{00000000-0005-0000-0000-0000A5330000}"/>
    <cellStyle name="콤_수량산출서(수정)_04-포장공_02-배수공_토공_2.0토공3_02.구조물및추진,도달기지토공(D구간)" xfId="13223" xr:uid="{00000000-0005-0000-0000-0000A6330000}"/>
    <cellStyle name="콤_수량산출서(수정)_04-포장공_02-배수공_토공_보령깨기집계" xfId="13224" xr:uid="{00000000-0005-0000-0000-0000A7330000}"/>
    <cellStyle name="콤_수량산출서(수정)_04-포장공_02-배수공_토공_보령깨기집계_02.구조물및추진,도달기지토공(D구간)" xfId="13225" xr:uid="{00000000-0005-0000-0000-0000A8330000}"/>
    <cellStyle name="콤_수량산출서(수정)_04-포장공_02-배수공_토공_정부장님토적" xfId="13226" xr:uid="{00000000-0005-0000-0000-0000A9330000}"/>
    <cellStyle name="콤_수량산출서(수정)_04-포장공_02-배수공_토공_정부장님토적_02.구조물및추진,도달기지토공(D구간)" xfId="13227" xr:uid="{00000000-0005-0000-0000-0000AA330000}"/>
    <cellStyle name="콤_수량산출서(수정)_04-포장공_02-배수공_토공_토적표" xfId="13228" xr:uid="{00000000-0005-0000-0000-0000AB330000}"/>
    <cellStyle name="콤_수량산출서(수정)_04-포장공_02-배수공_토공_토적표_02.구조물및추진,도달기지토공(D구간)" xfId="13229" xr:uid="{00000000-0005-0000-0000-0000AC330000}"/>
    <cellStyle name="콤_수량산출서(수정)_06-부대공_02-배수공" xfId="13230" xr:uid="{00000000-0005-0000-0000-0000AD330000}"/>
    <cellStyle name="콤_수량산출서(수정)_06-부대공_02-배수공_02.구조물및추진,도달기지토공(D구간)" xfId="13231" xr:uid="{00000000-0005-0000-0000-0000AE330000}"/>
    <cellStyle name="콤_수량산출서(수정)_06-부대공_02-배수공_토공" xfId="13232" xr:uid="{00000000-0005-0000-0000-0000AF330000}"/>
    <cellStyle name="콤_수량산출서(수정)_06-부대공_02-배수공_토공_02.구조물및추진,도달기지토공(D구간)" xfId="13233" xr:uid="{00000000-0005-0000-0000-0000B0330000}"/>
    <cellStyle name="콤_수량산출서(수정)_06-부대공_02-배수공_토공_2.0토공3" xfId="13234" xr:uid="{00000000-0005-0000-0000-0000B1330000}"/>
    <cellStyle name="콤_수량산출서(수정)_06-부대공_02-배수공_토공_2.0토공3_02.구조물및추진,도달기지토공(D구간)" xfId="13235" xr:uid="{00000000-0005-0000-0000-0000B2330000}"/>
    <cellStyle name="콤_수량산출서(수정)_06-부대공_02-배수공_토공_보령깨기집계" xfId="13236" xr:uid="{00000000-0005-0000-0000-0000B3330000}"/>
    <cellStyle name="콤_수량산출서(수정)_06-부대공_02-배수공_토공_보령깨기집계_02.구조물및추진,도달기지토공(D구간)" xfId="13237" xr:uid="{00000000-0005-0000-0000-0000B4330000}"/>
    <cellStyle name="콤_수량산출서(수정)_06-부대공_02-배수공_토공_정부장님토적" xfId="13238" xr:uid="{00000000-0005-0000-0000-0000B5330000}"/>
    <cellStyle name="콤_수량산출서(수정)_06-부대공_02-배수공_토공_정부장님토적_02.구조물및추진,도달기지토공(D구간)" xfId="13239" xr:uid="{00000000-0005-0000-0000-0000B6330000}"/>
    <cellStyle name="콤_수량산출서(수정)_06-부대공_02-배수공_토공_토적표" xfId="13240" xr:uid="{00000000-0005-0000-0000-0000B7330000}"/>
    <cellStyle name="콤_수량산출서(수정)_06-부대공_02-배수공_토공_토적표_02.구조물및추진,도달기지토공(D구간)" xfId="13241" xr:uid="{00000000-0005-0000-0000-0000B8330000}"/>
    <cellStyle name="콤_수량산출서(수정)_20_깨기취합" xfId="13242" xr:uid="{00000000-0005-0000-0000-0000B9330000}"/>
    <cellStyle name="콤_수량산출서(수정)_20_깨기취합_발파암소할 2003 버전" xfId="13243" xr:uid="{00000000-0005-0000-0000-0000BA330000}"/>
    <cellStyle name="콤_수량산출서(수정)_20_깨기취합_토공수량산출서-3공구-사토" xfId="13244" xr:uid="{00000000-0005-0000-0000-0000BB330000}"/>
    <cellStyle name="콤_수량산출서(수정)_21_깨기_배수1" xfId="13245" xr:uid="{00000000-0005-0000-0000-0000BC330000}"/>
    <cellStyle name="콤_수량산출서(수정)_21_깨기_토공" xfId="13246" xr:uid="{00000000-0005-0000-0000-0000BD330000}"/>
    <cellStyle name="콤_수량산출서(수정)_21_깨기_토공_발파암소할 2003 버전" xfId="13247" xr:uid="{00000000-0005-0000-0000-0000BE330000}"/>
    <cellStyle name="콤_수량산출서(수정)_21_깨기_토공_토공수량산출서-3공구-사토" xfId="13248" xr:uid="{00000000-0005-0000-0000-0000BF330000}"/>
    <cellStyle name="콤_수량산출서(수정)_기존구조물철거" xfId="13249" xr:uid="{00000000-0005-0000-0000-0000C0330000}"/>
    <cellStyle name="콤_수량산출서(수정)_기존구조물철거_발파암소할 2003 버전" xfId="13250" xr:uid="{00000000-0005-0000-0000-0000C1330000}"/>
    <cellStyle name="콤_수량산출서(수정)_기존구조물철거_토공수량산출서-3공구-사토" xfId="13251" xr:uid="{00000000-0005-0000-0000-0000C2330000}"/>
    <cellStyle name="콤_수량산출서(수정)_기존구조물철거최종" xfId="13252" xr:uid="{00000000-0005-0000-0000-0000C3330000}"/>
    <cellStyle name="콤_수량산출서(수정)_기존구조물철거최종_발파암소할 2003 버전" xfId="13253" xr:uid="{00000000-0005-0000-0000-0000C4330000}"/>
    <cellStyle name="콤_수량산출서(수정)_기존구조물철거최종_토공수량산출서-3공구-사토" xfId="13254" xr:uid="{00000000-0005-0000-0000-0000C5330000}"/>
    <cellStyle name="콤_수량산출서(수정)_발파암소할 2003 버전" xfId="13255" xr:uid="{00000000-0005-0000-0000-0000C6330000}"/>
    <cellStyle name="콤_수량산출서(수정)_오수공" xfId="13256" xr:uid="{00000000-0005-0000-0000-0000C7330000}"/>
    <cellStyle name="콤_수량산출서(수정)_오수공_20_깨기취합" xfId="13257" xr:uid="{00000000-0005-0000-0000-0000C8330000}"/>
    <cellStyle name="콤_수량산출서(수정)_오수공_20_깨기취합_발파암소할 2003 버전" xfId="13258" xr:uid="{00000000-0005-0000-0000-0000C9330000}"/>
    <cellStyle name="콤_수량산출서(수정)_오수공_20_깨기취합_토공수량산출서-3공구-사토" xfId="13259" xr:uid="{00000000-0005-0000-0000-0000CA330000}"/>
    <cellStyle name="콤_수량산출서(수정)_오수공_21_깨기_배수1" xfId="13260" xr:uid="{00000000-0005-0000-0000-0000CB330000}"/>
    <cellStyle name="콤_수량산출서(수정)_오수공_21_깨기_토공" xfId="13261" xr:uid="{00000000-0005-0000-0000-0000CC330000}"/>
    <cellStyle name="콤_수량산출서(수정)_오수공_21_깨기_토공_발파암소할 2003 버전" xfId="13262" xr:uid="{00000000-0005-0000-0000-0000CD330000}"/>
    <cellStyle name="콤_수량산출서(수정)_오수공_21_깨기_토공_토공수량산출서-3공구-사토" xfId="13263" xr:uid="{00000000-0005-0000-0000-0000CE330000}"/>
    <cellStyle name="콤_수량산출서(수정)_오수공_기존구조물철거" xfId="13264" xr:uid="{00000000-0005-0000-0000-0000CF330000}"/>
    <cellStyle name="콤_수량산출서(수정)_오수공_기존구조물철거_발파암소할 2003 버전" xfId="13265" xr:uid="{00000000-0005-0000-0000-0000D0330000}"/>
    <cellStyle name="콤_수량산출서(수정)_오수공_기존구조물철거_토공수량산출서-3공구-사토" xfId="13266" xr:uid="{00000000-0005-0000-0000-0000D1330000}"/>
    <cellStyle name="콤_수량산출서(수정)_오수공_기존구조물철거최종" xfId="13267" xr:uid="{00000000-0005-0000-0000-0000D2330000}"/>
    <cellStyle name="콤_수량산출서(수정)_오수공_기존구조물철거최종_발파암소할 2003 버전" xfId="13268" xr:uid="{00000000-0005-0000-0000-0000D3330000}"/>
    <cellStyle name="콤_수량산출서(수정)_오수공_기존구조물철거최종_토공수량산출서-3공구-사토" xfId="13269" xr:uid="{00000000-0005-0000-0000-0000D4330000}"/>
    <cellStyle name="콤_수량산출서(수정)_오수공_발파암소할 2003 버전" xfId="13270" xr:uid="{00000000-0005-0000-0000-0000D5330000}"/>
    <cellStyle name="콤_수량산출서(수정)_오수공_오수공" xfId="13271" xr:uid="{00000000-0005-0000-0000-0000D6330000}"/>
    <cellStyle name="콤_수량산출서(수정)_오수공_오수공_20_깨기취합" xfId="13272" xr:uid="{00000000-0005-0000-0000-0000D7330000}"/>
    <cellStyle name="콤_수량산출서(수정)_오수공_오수공_20_깨기취합_발파암소할 2003 버전" xfId="13273" xr:uid="{00000000-0005-0000-0000-0000D8330000}"/>
    <cellStyle name="콤_수량산출서(수정)_오수공_오수공_20_깨기취합_토공수량산출서-3공구-사토" xfId="13274" xr:uid="{00000000-0005-0000-0000-0000D9330000}"/>
    <cellStyle name="콤_수량산출서(수정)_오수공_오수공_21_깨기_배수1" xfId="13275" xr:uid="{00000000-0005-0000-0000-0000DA330000}"/>
    <cellStyle name="콤_수량산출서(수정)_오수공_오수공_21_깨기_토공" xfId="13276" xr:uid="{00000000-0005-0000-0000-0000DB330000}"/>
    <cellStyle name="콤_수량산출서(수정)_오수공_오수공_21_깨기_토공_발파암소할 2003 버전" xfId="13277" xr:uid="{00000000-0005-0000-0000-0000DC330000}"/>
    <cellStyle name="콤_수량산출서(수정)_오수공_오수공_21_깨기_토공_토공수량산출서-3공구-사토" xfId="13278" xr:uid="{00000000-0005-0000-0000-0000DD330000}"/>
    <cellStyle name="콤_수량산출서(수정)_오수공_오수공_기존구조물철거" xfId="13279" xr:uid="{00000000-0005-0000-0000-0000DE330000}"/>
    <cellStyle name="콤_수량산출서(수정)_오수공_오수공_기존구조물철거_발파암소할 2003 버전" xfId="13280" xr:uid="{00000000-0005-0000-0000-0000DF330000}"/>
    <cellStyle name="콤_수량산출서(수정)_오수공_오수공_기존구조물철거_토공수량산출서-3공구-사토" xfId="13281" xr:uid="{00000000-0005-0000-0000-0000E0330000}"/>
    <cellStyle name="콤_수량산출서(수정)_오수공_오수공_기존구조물철거최종" xfId="13282" xr:uid="{00000000-0005-0000-0000-0000E1330000}"/>
    <cellStyle name="콤_수량산출서(수정)_오수공_오수공_기존구조물철거최종_발파암소할 2003 버전" xfId="13283" xr:uid="{00000000-0005-0000-0000-0000E2330000}"/>
    <cellStyle name="콤_수량산출서(수정)_오수공_오수공_기존구조물철거최종_토공수량산출서-3공구-사토" xfId="13284" xr:uid="{00000000-0005-0000-0000-0000E3330000}"/>
    <cellStyle name="콤_수량산출서(수정)_오수공_오수공_발파암소할 2003 버전" xfId="13285" xr:uid="{00000000-0005-0000-0000-0000E4330000}"/>
    <cellStyle name="콤_수량산출서(수정)_오수공_오수공_토공수량산출서-3공구-사토" xfId="13286" xr:uid="{00000000-0005-0000-0000-0000E5330000}"/>
    <cellStyle name="콤_수량산출서(수정)_오수공_토공수량산출서-3공구-사토" xfId="13287" xr:uid="{00000000-0005-0000-0000-0000E6330000}"/>
    <cellStyle name="콤_수량산출서(수정)_토공수량산출서-3공구-사토" xfId="13288" xr:uid="{00000000-0005-0000-0000-0000E7330000}"/>
    <cellStyle name="콤_오수공" xfId="13289" xr:uid="{00000000-0005-0000-0000-0000E8330000}"/>
    <cellStyle name="콤_오수공_20_깨기취합" xfId="13290" xr:uid="{00000000-0005-0000-0000-0000E9330000}"/>
    <cellStyle name="콤_오수공_20_깨기취합_발파암소할 2003 버전" xfId="13291" xr:uid="{00000000-0005-0000-0000-0000EA330000}"/>
    <cellStyle name="콤_오수공_20_깨기취합_토공수량산출서-3공구-사토" xfId="13292" xr:uid="{00000000-0005-0000-0000-0000EB330000}"/>
    <cellStyle name="콤_오수공_21_깨기_배수1" xfId="13293" xr:uid="{00000000-0005-0000-0000-0000EC330000}"/>
    <cellStyle name="콤_오수공_21_깨기_토공" xfId="13294" xr:uid="{00000000-0005-0000-0000-0000ED330000}"/>
    <cellStyle name="콤_오수공_21_깨기_토공_발파암소할 2003 버전" xfId="13295" xr:uid="{00000000-0005-0000-0000-0000EE330000}"/>
    <cellStyle name="콤_오수공_21_깨기_토공_토공수량산출서-3공구-사토" xfId="13296" xr:uid="{00000000-0005-0000-0000-0000EF330000}"/>
    <cellStyle name="콤_오수공_기존구조물철거" xfId="13297" xr:uid="{00000000-0005-0000-0000-0000F0330000}"/>
    <cellStyle name="콤_오수공_기존구조물철거_발파암소할 2003 버전" xfId="13298" xr:uid="{00000000-0005-0000-0000-0000F1330000}"/>
    <cellStyle name="콤_오수공_기존구조물철거_토공수량산출서-3공구-사토" xfId="13299" xr:uid="{00000000-0005-0000-0000-0000F2330000}"/>
    <cellStyle name="콤_오수공_기존구조물철거최종" xfId="13300" xr:uid="{00000000-0005-0000-0000-0000F3330000}"/>
    <cellStyle name="콤_오수공_기존구조물철거최종_발파암소할 2003 버전" xfId="13301" xr:uid="{00000000-0005-0000-0000-0000F4330000}"/>
    <cellStyle name="콤_오수공_기존구조물철거최종_토공수량산출서-3공구-사토" xfId="13302" xr:uid="{00000000-0005-0000-0000-0000F5330000}"/>
    <cellStyle name="콤_오수공_발파암소할 2003 버전" xfId="13303" xr:uid="{00000000-0005-0000-0000-0000F6330000}"/>
    <cellStyle name="콤_오수공_오수공" xfId="13304" xr:uid="{00000000-0005-0000-0000-0000F7330000}"/>
    <cellStyle name="콤_오수공_오수공_20_깨기취합" xfId="13305" xr:uid="{00000000-0005-0000-0000-0000F8330000}"/>
    <cellStyle name="콤_오수공_오수공_20_깨기취합_발파암소할 2003 버전" xfId="13306" xr:uid="{00000000-0005-0000-0000-0000F9330000}"/>
    <cellStyle name="콤_오수공_오수공_20_깨기취합_토공수량산출서-3공구-사토" xfId="13307" xr:uid="{00000000-0005-0000-0000-0000FA330000}"/>
    <cellStyle name="콤_오수공_오수공_21_깨기_배수1" xfId="13308" xr:uid="{00000000-0005-0000-0000-0000FB330000}"/>
    <cellStyle name="콤_오수공_오수공_21_깨기_토공" xfId="13309" xr:uid="{00000000-0005-0000-0000-0000FC330000}"/>
    <cellStyle name="콤_오수공_오수공_21_깨기_토공_발파암소할 2003 버전" xfId="13310" xr:uid="{00000000-0005-0000-0000-0000FD330000}"/>
    <cellStyle name="콤_오수공_오수공_21_깨기_토공_토공수량산출서-3공구-사토" xfId="13311" xr:uid="{00000000-0005-0000-0000-0000FE330000}"/>
    <cellStyle name="콤_오수공_오수공_기존구조물철거" xfId="13312" xr:uid="{00000000-0005-0000-0000-0000FF330000}"/>
    <cellStyle name="콤_오수공_오수공_기존구조물철거_발파암소할 2003 버전" xfId="13313" xr:uid="{00000000-0005-0000-0000-000000340000}"/>
    <cellStyle name="콤_오수공_오수공_기존구조물철거_토공수량산출서-3공구-사토" xfId="13314" xr:uid="{00000000-0005-0000-0000-000001340000}"/>
    <cellStyle name="콤_오수공_오수공_기존구조물철거최종" xfId="13315" xr:uid="{00000000-0005-0000-0000-000002340000}"/>
    <cellStyle name="콤_오수공_오수공_기존구조물철거최종_발파암소할 2003 버전" xfId="13316" xr:uid="{00000000-0005-0000-0000-000003340000}"/>
    <cellStyle name="콤_오수공_오수공_기존구조물철거최종_토공수량산출서-3공구-사토" xfId="13317" xr:uid="{00000000-0005-0000-0000-000004340000}"/>
    <cellStyle name="콤_오수공_오수공_발파암소할 2003 버전" xfId="13318" xr:uid="{00000000-0005-0000-0000-000005340000}"/>
    <cellStyle name="콤_오수공_오수공_토공수량산출서-3공구-사토" xfId="13319" xr:uid="{00000000-0005-0000-0000-000006340000}"/>
    <cellStyle name="콤_오수공_토공수량산출서-3공구-사토" xfId="13320" xr:uid="{00000000-0005-0000-0000-000007340000}"/>
    <cellStyle name="콤_이형관재료계산서" xfId="13321" xr:uid="{00000000-0005-0000-0000-000008340000}"/>
    <cellStyle name="콤_이형관재료계산서_관수량 (2)" xfId="13322" xr:uid="{00000000-0005-0000-0000-000009340000}"/>
    <cellStyle name="콤_이형관재료계산서_관자재" xfId="13323" xr:uid="{00000000-0005-0000-0000-00000A340000}"/>
    <cellStyle name="콤_이형관재료계산서_수량산출" xfId="13324" xr:uid="{00000000-0005-0000-0000-00000B340000}"/>
    <cellStyle name="콤_지하시설물조사측량(R1)" xfId="13325" xr:uid="{00000000-0005-0000-0000-00000C340000}"/>
    <cellStyle name="콤_최종설계내역서" xfId="13326" xr:uid="{00000000-0005-0000-0000-00000D340000}"/>
    <cellStyle name="콤_최종설계내역서(변경)" xfId="13327" xr:uid="{00000000-0005-0000-0000-00000E340000}"/>
    <cellStyle name="콤_최종설계내역서(변경)_지하시설물조사측량(R1)" xfId="13328" xr:uid="{00000000-0005-0000-0000-00000F340000}"/>
    <cellStyle name="콤_최종설계내역서(변경)_지하시설물조사측량(R1)_발주내역서" xfId="13329" xr:uid="{00000000-0005-0000-0000-000010340000}"/>
    <cellStyle name="콤_최종설계내역서(변경)_지하시설물조사측량(R1)_발주내역서(8(1).9)-원본" xfId="13330" xr:uid="{00000000-0005-0000-0000-000011340000}"/>
    <cellStyle name="콤_최종설계내역서(변경)_지하시설물조사측량(R1)_발주내역서-서울시발송수정" xfId="13331" xr:uid="{00000000-0005-0000-0000-000012340000}"/>
    <cellStyle name="콤_최종설계내역서(변경)_지하시설물조사측량(R1)_설계내역서(2010(1).1.13)" xfId="13332" xr:uid="{00000000-0005-0000-0000-000013340000}"/>
    <cellStyle name="콤_최종설계내역서(변경)_지하시설물조사측량(R1)_총괄" xfId="13333" xr:uid="{00000000-0005-0000-0000-000014340000}"/>
    <cellStyle name="콤_최종설계내역서_지하시설물조사측량(R1)" xfId="13334" xr:uid="{00000000-0005-0000-0000-000015340000}"/>
    <cellStyle name="콤_최종설계내역서_지하시설물조사측량(R1)_발주내역서" xfId="13335" xr:uid="{00000000-0005-0000-0000-000016340000}"/>
    <cellStyle name="콤_최종설계내역서_지하시설물조사측량(R1)_발주내역서(8(1).9)-원본" xfId="13336" xr:uid="{00000000-0005-0000-0000-000017340000}"/>
    <cellStyle name="콤_최종설계내역서_지하시설물조사측량(R1)_발주내역서-서울시발송수정" xfId="13337" xr:uid="{00000000-0005-0000-0000-000018340000}"/>
    <cellStyle name="콤_최종설계내역서_지하시설물조사측량(R1)_설계내역서(2010(1).1.13)" xfId="13338" xr:uid="{00000000-0005-0000-0000-000019340000}"/>
    <cellStyle name="콤_최종설계내역서_지하시설물조사측량(R1)_총괄" xfId="13339" xr:uid="{00000000-0005-0000-0000-00001A340000}"/>
    <cellStyle name="콤_토공수량산출서-3공구-사토" xfId="13340" xr:uid="{00000000-0005-0000-0000-00001B340000}"/>
    <cellStyle name="콤_토취장 변경내역" xfId="13341" xr:uid="{00000000-0005-0000-0000-00001C340000}"/>
    <cellStyle name="콤_토취장_변경내역" xfId="13342" xr:uid="{00000000-0005-0000-0000-00001D340000}"/>
    <cellStyle name="콤_토취장_변경내역(수자원)" xfId="13343" xr:uid="{00000000-0005-0000-0000-00001E340000}"/>
    <cellStyle name="콤_하수처리시설(황간)" xfId="13344" xr:uid="{00000000-0005-0000-0000-00001F340000}"/>
    <cellStyle name="콤_하수처리시설(황간)_배수설비 제원표" xfId="13345" xr:uid="{00000000-0005-0000-0000-000020340000}"/>
    <cellStyle name="콤_하수처리시설(황간)_배수설비 제원표_배수설비 수량(장선)" xfId="13346" xr:uid="{00000000-0005-0000-0000-000021340000}"/>
    <cellStyle name="콤냡?&lt;_x000f_$??: `1_1 " xfId="13347" xr:uid="{00000000-0005-0000-0000-000022340000}"/>
    <cellStyle name="콤마" xfId="13348" xr:uid="{00000000-0005-0000-0000-000023340000}"/>
    <cellStyle name="콤마 [" xfId="13349" xr:uid="{00000000-0005-0000-0000-000024340000}"/>
    <cellStyle name="콤마 [ 2" xfId="13350" xr:uid="{00000000-0005-0000-0000-000025340000}"/>
    <cellStyle name="콤마 [#]" xfId="13351" xr:uid="{00000000-0005-0000-0000-000026340000}"/>
    <cellStyle name="콤마 [#] 10" xfId="13352" xr:uid="{00000000-0005-0000-0000-000027340000}"/>
    <cellStyle name="콤마 [#] 11" xfId="13353" xr:uid="{00000000-0005-0000-0000-000028340000}"/>
    <cellStyle name="콤마 [#] 2" xfId="13354" xr:uid="{00000000-0005-0000-0000-000029340000}"/>
    <cellStyle name="콤마 [#] 3" xfId="13355" xr:uid="{00000000-0005-0000-0000-00002A340000}"/>
    <cellStyle name="콤마 [#] 4" xfId="13356" xr:uid="{00000000-0005-0000-0000-00002B340000}"/>
    <cellStyle name="콤마 [#] 5" xfId="13357" xr:uid="{00000000-0005-0000-0000-00002C340000}"/>
    <cellStyle name="콤마 [#] 6" xfId="13358" xr:uid="{00000000-0005-0000-0000-00002D340000}"/>
    <cellStyle name="콤마 [#] 7" xfId="13359" xr:uid="{00000000-0005-0000-0000-00002E340000}"/>
    <cellStyle name="콤마 [#] 8" xfId="13360" xr:uid="{00000000-0005-0000-0000-00002F340000}"/>
    <cellStyle name="콤마 [#] 9" xfId="13361" xr:uid="{00000000-0005-0000-0000-000030340000}"/>
    <cellStyle name="콤마 []" xfId="13362" xr:uid="{00000000-0005-0000-0000-000031340000}"/>
    <cellStyle name="콤마 [-]" xfId="13363" xr:uid="{00000000-0005-0000-0000-000032340000}"/>
    <cellStyle name="콤마 [] 10" xfId="13364" xr:uid="{00000000-0005-0000-0000-000033340000}"/>
    <cellStyle name="콤마 [] 11" xfId="13365" xr:uid="{00000000-0005-0000-0000-000034340000}"/>
    <cellStyle name="콤마 [] 12" xfId="13366" xr:uid="{00000000-0005-0000-0000-000035340000}"/>
    <cellStyle name="콤마 [] 13" xfId="13367" xr:uid="{00000000-0005-0000-0000-000036340000}"/>
    <cellStyle name="콤마 [] 14" xfId="13368" xr:uid="{00000000-0005-0000-0000-000037340000}"/>
    <cellStyle name="콤마 [] 15" xfId="13369" xr:uid="{00000000-0005-0000-0000-000038340000}"/>
    <cellStyle name="콤마 [] 16" xfId="13370" xr:uid="{00000000-0005-0000-0000-000039340000}"/>
    <cellStyle name="콤마 [] 17" xfId="13371" xr:uid="{00000000-0005-0000-0000-00003A340000}"/>
    <cellStyle name="콤마 [] 18" xfId="13372" xr:uid="{00000000-0005-0000-0000-00003B340000}"/>
    <cellStyle name="콤마 [] 19" xfId="13373" xr:uid="{00000000-0005-0000-0000-00003C340000}"/>
    <cellStyle name="콤마 [] 2" xfId="13374" xr:uid="{00000000-0005-0000-0000-00003D340000}"/>
    <cellStyle name="콤마 [] 20" xfId="13375" xr:uid="{00000000-0005-0000-0000-00003E340000}"/>
    <cellStyle name="콤마 [] 21" xfId="13376" xr:uid="{00000000-0005-0000-0000-00003F340000}"/>
    <cellStyle name="콤마 [] 22" xfId="13377" xr:uid="{00000000-0005-0000-0000-000040340000}"/>
    <cellStyle name="콤마 [] 23" xfId="13378" xr:uid="{00000000-0005-0000-0000-000041340000}"/>
    <cellStyle name="콤마 [] 24" xfId="13379" xr:uid="{00000000-0005-0000-0000-000042340000}"/>
    <cellStyle name="콤마 [] 25" xfId="13380" xr:uid="{00000000-0005-0000-0000-000043340000}"/>
    <cellStyle name="콤마 [] 26" xfId="13381" xr:uid="{00000000-0005-0000-0000-000044340000}"/>
    <cellStyle name="콤마 [] 27" xfId="13382" xr:uid="{00000000-0005-0000-0000-000045340000}"/>
    <cellStyle name="콤마 [] 28" xfId="13383" xr:uid="{00000000-0005-0000-0000-000046340000}"/>
    <cellStyle name="콤마 [] 29" xfId="13384" xr:uid="{00000000-0005-0000-0000-000047340000}"/>
    <cellStyle name="콤마 [] 3" xfId="13385" xr:uid="{00000000-0005-0000-0000-000048340000}"/>
    <cellStyle name="콤마 [] 3 2" xfId="13386" xr:uid="{00000000-0005-0000-0000-000049340000}"/>
    <cellStyle name="콤마 [] 3 2 2" xfId="13387" xr:uid="{00000000-0005-0000-0000-00004A340000}"/>
    <cellStyle name="콤마 [] 3 3" xfId="13388" xr:uid="{00000000-0005-0000-0000-00004B340000}"/>
    <cellStyle name="콤마 [] 30" xfId="13389" xr:uid="{00000000-0005-0000-0000-00004C340000}"/>
    <cellStyle name="콤마 [] 31" xfId="13390" xr:uid="{00000000-0005-0000-0000-00004D340000}"/>
    <cellStyle name="콤마 [] 4" xfId="13391" xr:uid="{00000000-0005-0000-0000-00004E340000}"/>
    <cellStyle name="콤마 [] 4 2" xfId="13392" xr:uid="{00000000-0005-0000-0000-00004F340000}"/>
    <cellStyle name="콤마 [] 4 2 2" xfId="13393" xr:uid="{00000000-0005-0000-0000-000050340000}"/>
    <cellStyle name="콤마 [] 4 3" xfId="13394" xr:uid="{00000000-0005-0000-0000-000051340000}"/>
    <cellStyle name="콤마 [] 5" xfId="13395" xr:uid="{00000000-0005-0000-0000-000052340000}"/>
    <cellStyle name="콤마 [] 5 2" xfId="13396" xr:uid="{00000000-0005-0000-0000-000053340000}"/>
    <cellStyle name="콤마 [] 5 2 2" xfId="13397" xr:uid="{00000000-0005-0000-0000-000054340000}"/>
    <cellStyle name="콤마 [] 5 3" xfId="13398" xr:uid="{00000000-0005-0000-0000-000055340000}"/>
    <cellStyle name="콤마 [] 6" xfId="13399" xr:uid="{00000000-0005-0000-0000-000056340000}"/>
    <cellStyle name="콤마 [] 7" xfId="13400" xr:uid="{00000000-0005-0000-0000-000057340000}"/>
    <cellStyle name="콤마 [] 8" xfId="13401" xr:uid="{00000000-0005-0000-0000-000058340000}"/>
    <cellStyle name="콤마 [] 9" xfId="13402" xr:uid="{00000000-0005-0000-0000-000059340000}"/>
    <cellStyle name="콤마 [0.00]" xfId="13403" xr:uid="{00000000-0005-0000-0000-00005A340000}"/>
    <cellStyle name="콤마 [0.00] 2" xfId="13404" xr:uid="{00000000-0005-0000-0000-00005B340000}"/>
    <cellStyle name="콤마 [0.00] 2 2" xfId="13405" xr:uid="{00000000-0005-0000-0000-00005C340000}"/>
    <cellStyle name="콤마 [0.00] 3" xfId="13406" xr:uid="{00000000-0005-0000-0000-00005D340000}"/>
    <cellStyle name="콤마 [0.00] 3 2" xfId="13407" xr:uid="{00000000-0005-0000-0000-00005E340000}"/>
    <cellStyle name="콤마 [0.00] 4" xfId="13408" xr:uid="{00000000-0005-0000-0000-00005F340000}"/>
    <cellStyle name="콤마 [0.00] 4 2" xfId="13409" xr:uid="{00000000-0005-0000-0000-000060340000}"/>
    <cellStyle name="콤마 [0.00] 5" xfId="13410" xr:uid="{00000000-0005-0000-0000-000061340000}"/>
    <cellStyle name="콤마 [0.00] 5 2" xfId="13411" xr:uid="{00000000-0005-0000-0000-000062340000}"/>
    <cellStyle name="콤마 [0]" xfId="13412" xr:uid="{00000000-0005-0000-0000-000063340000}"/>
    <cellStyle name="콤마 [0]기기자재비" xfId="13413" xr:uid="{00000000-0005-0000-0000-000064340000}"/>
    <cellStyle name="콤마 [000]" xfId="13414" xr:uid="{00000000-0005-0000-0000-000065340000}"/>
    <cellStyle name="콤마 [1]" xfId="13415" xr:uid="{00000000-0005-0000-0000-000066340000}"/>
    <cellStyle name="콤마 [1] 2" xfId="13416" xr:uid="{00000000-0005-0000-0000-000067340000}"/>
    <cellStyle name="콤마 [1] 2 2" xfId="13417" xr:uid="{00000000-0005-0000-0000-000068340000}"/>
    <cellStyle name="콤마 [1] 2 2 2" xfId="13418" xr:uid="{00000000-0005-0000-0000-000069340000}"/>
    <cellStyle name="콤마 [1] 2 3" xfId="13419" xr:uid="{00000000-0005-0000-0000-00006A340000}"/>
    <cellStyle name="콤마 [1] 3" xfId="13420" xr:uid="{00000000-0005-0000-0000-00006B340000}"/>
    <cellStyle name="콤마 [1] 3 2" xfId="13421" xr:uid="{00000000-0005-0000-0000-00006C340000}"/>
    <cellStyle name="콤마 [1] 3 2 2" xfId="13422" xr:uid="{00000000-0005-0000-0000-00006D340000}"/>
    <cellStyle name="콤마 [1] 3 3" xfId="13423" xr:uid="{00000000-0005-0000-0000-00006E340000}"/>
    <cellStyle name="콤마 [1] 4" xfId="13424" xr:uid="{00000000-0005-0000-0000-00006F340000}"/>
    <cellStyle name="콤마 [1] 4 2" xfId="13425" xr:uid="{00000000-0005-0000-0000-000070340000}"/>
    <cellStyle name="콤마 [1] 4 2 2" xfId="13426" xr:uid="{00000000-0005-0000-0000-000071340000}"/>
    <cellStyle name="콤마 [1] 4 3" xfId="13427" xr:uid="{00000000-0005-0000-0000-000072340000}"/>
    <cellStyle name="콤마 [1] 5" xfId="13428" xr:uid="{00000000-0005-0000-0000-000073340000}"/>
    <cellStyle name="콤마 [1] 5 2" xfId="13429" xr:uid="{00000000-0005-0000-0000-000074340000}"/>
    <cellStyle name="콤마 [1] 5 2 2" xfId="13430" xr:uid="{00000000-0005-0000-0000-000075340000}"/>
    <cellStyle name="콤마 [1] 5 3" xfId="13431" xr:uid="{00000000-0005-0000-0000-000076340000}"/>
    <cellStyle name="콤마 [1] 6" xfId="13432" xr:uid="{00000000-0005-0000-0000-000077340000}"/>
    <cellStyle name="콤마 [2]" xfId="13433" xr:uid="{00000000-0005-0000-0000-000078340000}"/>
    <cellStyle name="콤마 [2] 10" xfId="13434" xr:uid="{00000000-0005-0000-0000-000079340000}"/>
    <cellStyle name="콤마 [2] 11" xfId="13435" xr:uid="{00000000-0005-0000-0000-00007A340000}"/>
    <cellStyle name="콤마 [2] 12" xfId="13436" xr:uid="{00000000-0005-0000-0000-00007B340000}"/>
    <cellStyle name="콤마 [2] 13" xfId="13437" xr:uid="{00000000-0005-0000-0000-00007C340000}"/>
    <cellStyle name="콤마 [2] 14" xfId="13438" xr:uid="{00000000-0005-0000-0000-00007D340000}"/>
    <cellStyle name="콤마 [2] 15" xfId="13439" xr:uid="{00000000-0005-0000-0000-00007E340000}"/>
    <cellStyle name="콤마 [2] 16" xfId="13440" xr:uid="{00000000-0005-0000-0000-00007F340000}"/>
    <cellStyle name="콤마 [2] 2" xfId="13441" xr:uid="{00000000-0005-0000-0000-000080340000}"/>
    <cellStyle name="콤마 [2] 2 10" xfId="13442" xr:uid="{00000000-0005-0000-0000-000081340000}"/>
    <cellStyle name="콤마 [2] 2 11" xfId="13443" xr:uid="{00000000-0005-0000-0000-000082340000}"/>
    <cellStyle name="콤마 [2] 2 2" xfId="13444" xr:uid="{00000000-0005-0000-0000-000083340000}"/>
    <cellStyle name="콤마 [2] 2 3" xfId="13445" xr:uid="{00000000-0005-0000-0000-000084340000}"/>
    <cellStyle name="콤마 [2] 2 4" xfId="13446" xr:uid="{00000000-0005-0000-0000-000085340000}"/>
    <cellStyle name="콤마 [2] 2 5" xfId="13447" xr:uid="{00000000-0005-0000-0000-000086340000}"/>
    <cellStyle name="콤마 [2] 2 6" xfId="13448" xr:uid="{00000000-0005-0000-0000-000087340000}"/>
    <cellStyle name="콤마 [2] 2 7" xfId="13449" xr:uid="{00000000-0005-0000-0000-000088340000}"/>
    <cellStyle name="콤마 [2] 2 8" xfId="13450" xr:uid="{00000000-0005-0000-0000-000089340000}"/>
    <cellStyle name="콤마 [2] 2 9" xfId="13451" xr:uid="{00000000-0005-0000-0000-00008A340000}"/>
    <cellStyle name="콤마 [2] 3" xfId="13452" xr:uid="{00000000-0005-0000-0000-00008B340000}"/>
    <cellStyle name="콤마 [2] 4" xfId="13453" xr:uid="{00000000-0005-0000-0000-00008C340000}"/>
    <cellStyle name="콤마 [2] 5" xfId="13454" xr:uid="{00000000-0005-0000-0000-00008D340000}"/>
    <cellStyle name="콤마 [2] 6" xfId="13455" xr:uid="{00000000-0005-0000-0000-00008E340000}"/>
    <cellStyle name="콤마 [2] 7" xfId="13456" xr:uid="{00000000-0005-0000-0000-00008F340000}"/>
    <cellStyle name="콤마 [2] 8" xfId="13457" xr:uid="{00000000-0005-0000-0000-000090340000}"/>
    <cellStyle name="콤마 [2] 9" xfId="13458" xr:uid="{00000000-0005-0000-0000-000091340000}"/>
    <cellStyle name="콤마 [3]" xfId="13459" xr:uid="{00000000-0005-0000-0000-000092340000}"/>
    <cellStyle name="콤마 [금액]" xfId="13460" xr:uid="{00000000-0005-0000-0000-000093340000}"/>
    <cellStyle name="콤마 [소수]" xfId="13461" xr:uid="{00000000-0005-0000-0000-000094340000}"/>
    <cellStyle name="콤마 [소수] 10" xfId="13462" xr:uid="{00000000-0005-0000-0000-000095340000}"/>
    <cellStyle name="콤마 [소수] 11" xfId="13463" xr:uid="{00000000-0005-0000-0000-000096340000}"/>
    <cellStyle name="콤마 [소수] 2" xfId="13464" xr:uid="{00000000-0005-0000-0000-000097340000}"/>
    <cellStyle name="콤마 [소수] 3" xfId="13465" xr:uid="{00000000-0005-0000-0000-000098340000}"/>
    <cellStyle name="콤마 [소수] 4" xfId="13466" xr:uid="{00000000-0005-0000-0000-000099340000}"/>
    <cellStyle name="콤마 [소수] 5" xfId="13467" xr:uid="{00000000-0005-0000-0000-00009A340000}"/>
    <cellStyle name="콤마 [소수] 6" xfId="13468" xr:uid="{00000000-0005-0000-0000-00009B340000}"/>
    <cellStyle name="콤마 [소수] 7" xfId="13469" xr:uid="{00000000-0005-0000-0000-00009C340000}"/>
    <cellStyle name="콤마 [소수] 8" xfId="13470" xr:uid="{00000000-0005-0000-0000-00009D340000}"/>
    <cellStyle name="콤마 [소수] 9" xfId="13471" xr:uid="{00000000-0005-0000-0000-00009E340000}"/>
    <cellStyle name="콤마 [수량]" xfId="13472" xr:uid="{00000000-0005-0000-0000-00009F340000}"/>
    <cellStyle name="콤마 [수량] 10" xfId="13473" xr:uid="{00000000-0005-0000-0000-0000A0340000}"/>
    <cellStyle name="콤마 [수량] 11" xfId="13474" xr:uid="{00000000-0005-0000-0000-0000A1340000}"/>
    <cellStyle name="콤마 [수량] 2" xfId="13475" xr:uid="{00000000-0005-0000-0000-0000A2340000}"/>
    <cellStyle name="콤마 [수량] 3" xfId="13476" xr:uid="{00000000-0005-0000-0000-0000A3340000}"/>
    <cellStyle name="콤마 [수량] 4" xfId="13477" xr:uid="{00000000-0005-0000-0000-0000A4340000}"/>
    <cellStyle name="콤마 [수량] 5" xfId="13478" xr:uid="{00000000-0005-0000-0000-0000A5340000}"/>
    <cellStyle name="콤마 [수량] 6" xfId="13479" xr:uid="{00000000-0005-0000-0000-0000A6340000}"/>
    <cellStyle name="콤마 [수량] 7" xfId="13480" xr:uid="{00000000-0005-0000-0000-0000A7340000}"/>
    <cellStyle name="콤마 [수량] 8" xfId="13481" xr:uid="{00000000-0005-0000-0000-0000A8340000}"/>
    <cellStyle name="콤마 [수량] 9" xfId="13482" xr:uid="{00000000-0005-0000-0000-0000A9340000}"/>
    <cellStyle name="콤마 1" xfId="13483" xr:uid="{00000000-0005-0000-0000-0000AA340000}"/>
    <cellStyle name="콤마(1)" xfId="13484" xr:uid="{00000000-0005-0000-0000-0000AB340000}"/>
    <cellStyle name="콤마(1) 2" xfId="13485" xr:uid="{00000000-0005-0000-0000-0000AC340000}"/>
    <cellStyle name="콤마(1) 2 2" xfId="13486" xr:uid="{00000000-0005-0000-0000-0000AD340000}"/>
    <cellStyle name="콤마(1) 2 3" xfId="13487" xr:uid="{00000000-0005-0000-0000-0000AE340000}"/>
    <cellStyle name="콤마(1) 2 4" xfId="13488" xr:uid="{00000000-0005-0000-0000-0000AF340000}"/>
    <cellStyle name="콤마(1) 3" xfId="13489" xr:uid="{00000000-0005-0000-0000-0000B0340000}"/>
    <cellStyle name="콤마(1) 3 2" xfId="13490" xr:uid="{00000000-0005-0000-0000-0000B1340000}"/>
    <cellStyle name="콤마(1) 3 3" xfId="13491" xr:uid="{00000000-0005-0000-0000-0000B2340000}"/>
    <cellStyle name="콤마(1) 3 4" xfId="13492" xr:uid="{00000000-0005-0000-0000-0000B3340000}"/>
    <cellStyle name="콤마(1) 4" xfId="13493" xr:uid="{00000000-0005-0000-0000-0000B4340000}"/>
    <cellStyle name="콤마(1) 4 2" xfId="13494" xr:uid="{00000000-0005-0000-0000-0000B5340000}"/>
    <cellStyle name="콤마(1) 4 3" xfId="13495" xr:uid="{00000000-0005-0000-0000-0000B6340000}"/>
    <cellStyle name="콤마(1) 4 4" xfId="13496" xr:uid="{00000000-0005-0000-0000-0000B7340000}"/>
    <cellStyle name="콤마(1) 5" xfId="13497" xr:uid="{00000000-0005-0000-0000-0000B8340000}"/>
    <cellStyle name="콤마(1) 5 2" xfId="13498" xr:uid="{00000000-0005-0000-0000-0000B9340000}"/>
    <cellStyle name="콤마(1) 5 3" xfId="13499" xr:uid="{00000000-0005-0000-0000-0000BA340000}"/>
    <cellStyle name="콤마(1) 5 4" xfId="13500" xr:uid="{00000000-0005-0000-0000-0000BB340000}"/>
    <cellStyle name="콤마(1) 6" xfId="13501" xr:uid="{00000000-0005-0000-0000-0000BC340000}"/>
    <cellStyle name="콤마(1) 6 2" xfId="13502" xr:uid="{00000000-0005-0000-0000-0000BD340000}"/>
    <cellStyle name="콤마(1) 6 3" xfId="13503" xr:uid="{00000000-0005-0000-0000-0000BE340000}"/>
    <cellStyle name="콤마(1) 6 4" xfId="13504" xr:uid="{00000000-0005-0000-0000-0000BF340000}"/>
    <cellStyle name="콤마(1) 7" xfId="13505" xr:uid="{00000000-0005-0000-0000-0000C0340000}"/>
    <cellStyle name="콤마(1) 7 2" xfId="13506" xr:uid="{00000000-0005-0000-0000-0000C1340000}"/>
    <cellStyle name="콤마(1) 7 3" xfId="13507" xr:uid="{00000000-0005-0000-0000-0000C2340000}"/>
    <cellStyle name="콤마(1) 7 4" xfId="13508" xr:uid="{00000000-0005-0000-0000-0000C3340000}"/>
    <cellStyle name="콤마(1) 8" xfId="13509" xr:uid="{00000000-0005-0000-0000-0000C4340000}"/>
    <cellStyle name="콤마(1) 8 2" xfId="13510" xr:uid="{00000000-0005-0000-0000-0000C5340000}"/>
    <cellStyle name="콤마(1) 8 3" xfId="13511" xr:uid="{00000000-0005-0000-0000-0000C6340000}"/>
    <cellStyle name="콤마(1) 8 4" xfId="13512" xr:uid="{00000000-0005-0000-0000-0000C7340000}"/>
    <cellStyle name="콤마[ ]" xfId="13513" xr:uid="{00000000-0005-0000-0000-0000C8340000}"/>
    <cellStyle name="콤마[*]" xfId="13514" xr:uid="{00000000-0005-0000-0000-0000C9340000}"/>
    <cellStyle name="콤마[,]" xfId="13515" xr:uid="{00000000-0005-0000-0000-0000CA340000}"/>
    <cellStyle name="콤마[.]" xfId="13516" xr:uid="{00000000-0005-0000-0000-0000CB340000}"/>
    <cellStyle name="콤마[0]" xfId="13517" xr:uid="{00000000-0005-0000-0000-0000CC340000}"/>
    <cellStyle name="콤마_  종  합  " xfId="13518" xr:uid="{00000000-0005-0000-0000-0000CD340000}"/>
    <cellStyle name="퀼마_현지법인" xfId="13519" xr:uid="{00000000-0005-0000-0000-0000CE340000}"/>
    <cellStyle name="큐준_주택수주_주택용지_1" xfId="13520" xr:uid="{00000000-0005-0000-0000-0000CF340000}"/>
    <cellStyle name="타이틀" xfId="13521" xr:uid="{00000000-0005-0000-0000-0000D0340000}"/>
    <cellStyle name="테두리" xfId="13522" xr:uid="{00000000-0005-0000-0000-0000D1340000}"/>
    <cellStyle name="토적1" xfId="13523" xr:uid="{00000000-0005-0000-0000-0000D2340000}"/>
    <cellStyle name="토적1 2" xfId="13524" xr:uid="{00000000-0005-0000-0000-0000D3340000}"/>
    <cellStyle name="토적1 2 2" xfId="13525" xr:uid="{00000000-0005-0000-0000-0000D4340000}"/>
    <cellStyle name="토적1 2 2 2" xfId="13526" xr:uid="{00000000-0005-0000-0000-0000D5340000}"/>
    <cellStyle name="토적1 2 3" xfId="13527" xr:uid="{00000000-0005-0000-0000-0000D6340000}"/>
    <cellStyle name="토적1 3" xfId="13528" xr:uid="{00000000-0005-0000-0000-0000D7340000}"/>
    <cellStyle name="토적1 3 2" xfId="13529" xr:uid="{00000000-0005-0000-0000-0000D8340000}"/>
    <cellStyle name="토적1 3 2 2" xfId="13530" xr:uid="{00000000-0005-0000-0000-0000D9340000}"/>
    <cellStyle name="토적1 3 3" xfId="13531" xr:uid="{00000000-0005-0000-0000-0000DA340000}"/>
    <cellStyle name="토적1 4" xfId="13532" xr:uid="{00000000-0005-0000-0000-0000DB340000}"/>
    <cellStyle name="토적1 4 2" xfId="13533" xr:uid="{00000000-0005-0000-0000-0000DC340000}"/>
    <cellStyle name="토적1 4 2 2" xfId="13534" xr:uid="{00000000-0005-0000-0000-0000DD340000}"/>
    <cellStyle name="토적1 4 3" xfId="13535" xr:uid="{00000000-0005-0000-0000-0000DE340000}"/>
    <cellStyle name="토적1 5" xfId="13536" xr:uid="{00000000-0005-0000-0000-0000DF340000}"/>
    <cellStyle name="통" xfId="13537" xr:uid="{00000000-0005-0000-0000-0000E0340000}"/>
    <cellStyle name="통 2" xfId="13538" xr:uid="{00000000-0005-0000-0000-0000E1340000}"/>
    <cellStyle name="통_00_토공1공구_총괄" xfId="13539" xr:uid="{00000000-0005-0000-0000-0000E2340000}"/>
    <cellStyle name="통_00_토공2공구_총괄--" xfId="13540" xr:uid="{00000000-0005-0000-0000-0000E3340000}"/>
    <cellStyle name="통_00설계예산서(계약)" xfId="13541" xr:uid="{00000000-0005-0000-0000-0000E4340000}"/>
    <cellStyle name="통_00설계예산서(계약)_지하시설물조사측량(R1)" xfId="13542" xr:uid="{00000000-0005-0000-0000-0000E5340000}"/>
    <cellStyle name="통_01-토공_02-배수공" xfId="13543" xr:uid="{00000000-0005-0000-0000-0000E6340000}"/>
    <cellStyle name="통_01-토공_02-배수공_02.구조물및추진,도달기지토공(D구간)" xfId="13544" xr:uid="{00000000-0005-0000-0000-0000E7340000}"/>
    <cellStyle name="통_01-토공_02-배수공_토공" xfId="13545" xr:uid="{00000000-0005-0000-0000-0000E8340000}"/>
    <cellStyle name="통_01-토공_02-배수공_토공_02.구조물및추진,도달기지토공(D구간)" xfId="13546" xr:uid="{00000000-0005-0000-0000-0000E9340000}"/>
    <cellStyle name="통_01-토공_02-배수공_토공_2.0토공3" xfId="13547" xr:uid="{00000000-0005-0000-0000-0000EA340000}"/>
    <cellStyle name="통_01-토공_02-배수공_토공_2.0토공3_02.구조물및추진,도달기지토공(D구간)" xfId="13548" xr:uid="{00000000-0005-0000-0000-0000EB340000}"/>
    <cellStyle name="통_01-토공_02-배수공_토공_보령깨기집계" xfId="13549" xr:uid="{00000000-0005-0000-0000-0000EC340000}"/>
    <cellStyle name="통_01-토공_02-배수공_토공_보령깨기집계_02.구조물및추진,도달기지토공(D구간)" xfId="13550" xr:uid="{00000000-0005-0000-0000-0000ED340000}"/>
    <cellStyle name="통_01-토공_02-배수공_토공_정부장님토적" xfId="13551" xr:uid="{00000000-0005-0000-0000-0000EE340000}"/>
    <cellStyle name="통_01-토공_02-배수공_토공_정부장님토적_02.구조물및추진,도달기지토공(D구간)" xfId="13552" xr:uid="{00000000-0005-0000-0000-0000EF340000}"/>
    <cellStyle name="통_01-토공_02-배수공_토공_토적표" xfId="13553" xr:uid="{00000000-0005-0000-0000-0000F0340000}"/>
    <cellStyle name="통_01-토공_02-배수공_토공_토적표_02.구조물및추진,도달기지토공(D구간)" xfId="13554" xr:uid="{00000000-0005-0000-0000-0000F1340000}"/>
    <cellStyle name="통_02._서울시_위례신도시_차집관거_설계예산서(전체)_0217" xfId="13555" xr:uid="{00000000-0005-0000-0000-0000F2340000}"/>
    <cellStyle name="통_02-배수공" xfId="13556" xr:uid="{00000000-0005-0000-0000-0000F3340000}"/>
    <cellStyle name="통_02-배수공_02.구조물및추진,도달기지토공(D구간)" xfId="13557" xr:uid="{00000000-0005-0000-0000-0000F4340000}"/>
    <cellStyle name="통_02-배수공_02-반중력식옹벽" xfId="13558" xr:uid="{00000000-0005-0000-0000-0000F5340000}"/>
    <cellStyle name="통_02-배수공_02-반중력식옹벽_02.구조물및추진,도달기지토공(D구간)" xfId="13559" xr:uid="{00000000-0005-0000-0000-0000F6340000}"/>
    <cellStyle name="통_02-배수공_02-반중력식옹벽_토공" xfId="13560" xr:uid="{00000000-0005-0000-0000-0000F7340000}"/>
    <cellStyle name="통_02-배수공_02-반중력식옹벽_토공_02.구조물및추진,도달기지토공(D구간)" xfId="13561" xr:uid="{00000000-0005-0000-0000-0000F8340000}"/>
    <cellStyle name="통_02-배수공_02-반중력식옹벽_토공_2.0토공3" xfId="13562" xr:uid="{00000000-0005-0000-0000-0000F9340000}"/>
    <cellStyle name="통_02-배수공_02-반중력식옹벽_토공_2.0토공3_02.구조물및추진,도달기지토공(D구간)" xfId="13563" xr:uid="{00000000-0005-0000-0000-0000FA340000}"/>
    <cellStyle name="통_02-배수공_02-반중력식옹벽_토공_보령깨기집계" xfId="13564" xr:uid="{00000000-0005-0000-0000-0000FB340000}"/>
    <cellStyle name="통_02-배수공_02-반중력식옹벽_토공_보령깨기집계_02.구조물및추진,도달기지토공(D구간)" xfId="13565" xr:uid="{00000000-0005-0000-0000-0000FC340000}"/>
    <cellStyle name="통_02-배수공_02-반중력식옹벽_토공_정부장님토적" xfId="13566" xr:uid="{00000000-0005-0000-0000-0000FD340000}"/>
    <cellStyle name="통_02-배수공_02-반중력식옹벽_토공_정부장님토적_02.구조물및추진,도달기지토공(D구간)" xfId="13567" xr:uid="{00000000-0005-0000-0000-0000FE340000}"/>
    <cellStyle name="통_02-배수공_02-반중력식옹벽_토공_토적표" xfId="13568" xr:uid="{00000000-0005-0000-0000-0000FF340000}"/>
    <cellStyle name="통_02-배수공_02-반중력식옹벽_토공_토적표_02.구조물및추진,도달기지토공(D구간)" xfId="13569" xr:uid="{00000000-0005-0000-0000-000000350000}"/>
    <cellStyle name="통_02-배수공_02-배수공" xfId="13570" xr:uid="{00000000-0005-0000-0000-000001350000}"/>
    <cellStyle name="통_02-배수공_02-배수공_02.구조물및추진,도달기지토공(D구간)" xfId="13571" xr:uid="{00000000-0005-0000-0000-000002350000}"/>
    <cellStyle name="통_02-배수공_02-배수공_토공" xfId="13572" xr:uid="{00000000-0005-0000-0000-000003350000}"/>
    <cellStyle name="통_02-배수공_02-배수공_토공_02.구조물및추진,도달기지토공(D구간)" xfId="13573" xr:uid="{00000000-0005-0000-0000-000004350000}"/>
    <cellStyle name="통_02-배수공_02-배수공_토공_2.0토공3" xfId="13574" xr:uid="{00000000-0005-0000-0000-000005350000}"/>
    <cellStyle name="통_02-배수공_02-배수공_토공_2.0토공3_02.구조물및추진,도달기지토공(D구간)" xfId="13575" xr:uid="{00000000-0005-0000-0000-000006350000}"/>
    <cellStyle name="통_02-배수공_02-배수공_토공_보령깨기집계" xfId="13576" xr:uid="{00000000-0005-0000-0000-000007350000}"/>
    <cellStyle name="통_02-배수공_02-배수공_토공_보령깨기집계_02.구조물및추진,도달기지토공(D구간)" xfId="13577" xr:uid="{00000000-0005-0000-0000-000008350000}"/>
    <cellStyle name="통_02-배수공_02-배수공_토공_정부장님토적" xfId="13578" xr:uid="{00000000-0005-0000-0000-000009350000}"/>
    <cellStyle name="통_02-배수공_02-배수공_토공_정부장님토적_02.구조물및추진,도달기지토공(D구간)" xfId="13579" xr:uid="{00000000-0005-0000-0000-00000A350000}"/>
    <cellStyle name="통_02-배수공_02-배수공_토공_토적표" xfId="13580" xr:uid="{00000000-0005-0000-0000-00000B350000}"/>
    <cellStyle name="통_02-배수공_02-배수공_토공_토적표_02.구조물및추진,도달기지토공(D구간)" xfId="13581" xr:uid="{00000000-0005-0000-0000-00000C350000}"/>
    <cellStyle name="통_02-배수공_반중력" xfId="13582" xr:uid="{00000000-0005-0000-0000-00000D350000}"/>
    <cellStyle name="통_02-배수공_반중력_02.구조물및추진,도달기지토공(D구간)" xfId="13583" xr:uid="{00000000-0005-0000-0000-00000E350000}"/>
    <cellStyle name="통_02-배수공_반중력_토공" xfId="13584" xr:uid="{00000000-0005-0000-0000-00000F350000}"/>
    <cellStyle name="통_02-배수공_반중력_토공_02.구조물및추진,도달기지토공(D구간)" xfId="13585" xr:uid="{00000000-0005-0000-0000-000010350000}"/>
    <cellStyle name="통_02-배수공_반중력_토공_2.0토공3" xfId="13586" xr:uid="{00000000-0005-0000-0000-000011350000}"/>
    <cellStyle name="통_02-배수공_반중력_토공_2.0토공3_02.구조물및추진,도달기지토공(D구간)" xfId="13587" xr:uid="{00000000-0005-0000-0000-000012350000}"/>
    <cellStyle name="통_02-배수공_반중력_토공_보령깨기집계" xfId="13588" xr:uid="{00000000-0005-0000-0000-000013350000}"/>
    <cellStyle name="통_02-배수공_반중력_토공_보령깨기집계_02.구조물및추진,도달기지토공(D구간)" xfId="13589" xr:uid="{00000000-0005-0000-0000-000014350000}"/>
    <cellStyle name="통_02-배수공_반중력_토공_정부장님토적" xfId="13590" xr:uid="{00000000-0005-0000-0000-000015350000}"/>
    <cellStyle name="통_02-배수공_반중력_토공_정부장님토적_02.구조물및추진,도달기지토공(D구간)" xfId="13591" xr:uid="{00000000-0005-0000-0000-000016350000}"/>
    <cellStyle name="통_02-배수공_반중력_토공_토적표" xfId="13592" xr:uid="{00000000-0005-0000-0000-000017350000}"/>
    <cellStyle name="통_02-배수공_반중력_토공_토적표_02.구조물및추진,도달기지토공(D구간)" xfId="13593" xr:uid="{00000000-0005-0000-0000-000018350000}"/>
    <cellStyle name="통_02-배수공_토공" xfId="13594" xr:uid="{00000000-0005-0000-0000-000019350000}"/>
    <cellStyle name="통_02-배수공_토공_02.구조물및추진,도달기지토공(D구간)" xfId="13595" xr:uid="{00000000-0005-0000-0000-00001A350000}"/>
    <cellStyle name="통_02-배수공_토공_2.0토공3" xfId="13596" xr:uid="{00000000-0005-0000-0000-00001B350000}"/>
    <cellStyle name="통_02-배수공_토공_2.0토공3_02.구조물및추진,도달기지토공(D구간)" xfId="13597" xr:uid="{00000000-0005-0000-0000-00001C350000}"/>
    <cellStyle name="통_02-배수공_토공_보령깨기집계" xfId="13598" xr:uid="{00000000-0005-0000-0000-00001D350000}"/>
    <cellStyle name="통_02-배수공_토공_보령깨기집계_02.구조물및추진,도달기지토공(D구간)" xfId="13599" xr:uid="{00000000-0005-0000-0000-00001E350000}"/>
    <cellStyle name="통_02-배수공_토공_정부장님토적" xfId="13600" xr:uid="{00000000-0005-0000-0000-00001F350000}"/>
    <cellStyle name="통_02-배수공_토공_정부장님토적_02.구조물및추진,도달기지토공(D구간)" xfId="13601" xr:uid="{00000000-0005-0000-0000-000020350000}"/>
    <cellStyle name="통_02-배수공_토공_토적표" xfId="13602" xr:uid="{00000000-0005-0000-0000-000021350000}"/>
    <cellStyle name="통_02-배수공_토공_토적표_02.구조물및추진,도달기지토공(D구간)" xfId="13603" xr:uid="{00000000-0005-0000-0000-000022350000}"/>
    <cellStyle name="통_04-포장공_02-배수공" xfId="13604" xr:uid="{00000000-0005-0000-0000-000023350000}"/>
    <cellStyle name="통_04-포장공_02-배수공_02.구조물및추진,도달기지토공(D구간)" xfId="13605" xr:uid="{00000000-0005-0000-0000-000024350000}"/>
    <cellStyle name="통_04-포장공_02-배수공_토공" xfId="13606" xr:uid="{00000000-0005-0000-0000-000025350000}"/>
    <cellStyle name="통_04-포장공_02-배수공_토공_02.구조물및추진,도달기지토공(D구간)" xfId="13607" xr:uid="{00000000-0005-0000-0000-000026350000}"/>
    <cellStyle name="통_04-포장공_02-배수공_토공_2.0토공3" xfId="13608" xr:uid="{00000000-0005-0000-0000-000027350000}"/>
    <cellStyle name="통_04-포장공_02-배수공_토공_2.0토공3_02.구조물및추진,도달기지토공(D구간)" xfId="13609" xr:uid="{00000000-0005-0000-0000-000028350000}"/>
    <cellStyle name="통_04-포장공_02-배수공_토공_보령깨기집계" xfId="13610" xr:uid="{00000000-0005-0000-0000-000029350000}"/>
    <cellStyle name="통_04-포장공_02-배수공_토공_보령깨기집계_02.구조물및추진,도달기지토공(D구간)" xfId="13611" xr:uid="{00000000-0005-0000-0000-00002A350000}"/>
    <cellStyle name="통_04-포장공_02-배수공_토공_정부장님토적" xfId="13612" xr:uid="{00000000-0005-0000-0000-00002B350000}"/>
    <cellStyle name="통_04-포장공_02-배수공_토공_정부장님토적_02.구조물및추진,도달기지토공(D구간)" xfId="13613" xr:uid="{00000000-0005-0000-0000-00002C350000}"/>
    <cellStyle name="통_04-포장공_02-배수공_토공_토적표" xfId="13614" xr:uid="{00000000-0005-0000-0000-00002D350000}"/>
    <cellStyle name="통_04-포장공_02-배수공_토공_토적표_02.구조물및추진,도달기지토공(D구간)" xfId="13615" xr:uid="{00000000-0005-0000-0000-00002E350000}"/>
    <cellStyle name="통_06 토질조사예산서-1" xfId="13616" xr:uid="{00000000-0005-0000-0000-00002F350000}"/>
    <cellStyle name="통_06. 물 푸 기-코드" xfId="13617" xr:uid="{00000000-0005-0000-0000-000030350000}"/>
    <cellStyle name="통_06-부대공_02-배수공" xfId="13618" xr:uid="{00000000-0005-0000-0000-000031350000}"/>
    <cellStyle name="통_06-부대공_02-배수공_02.구조물및추진,도달기지토공(D구간)" xfId="13619" xr:uid="{00000000-0005-0000-0000-000032350000}"/>
    <cellStyle name="통_06-부대공_02-배수공_토공" xfId="13620" xr:uid="{00000000-0005-0000-0000-000033350000}"/>
    <cellStyle name="통_06-부대공_02-배수공_토공_02.구조물및추진,도달기지토공(D구간)" xfId="13621" xr:uid="{00000000-0005-0000-0000-000034350000}"/>
    <cellStyle name="통_06-부대공_02-배수공_토공_2.0토공3" xfId="13622" xr:uid="{00000000-0005-0000-0000-000035350000}"/>
    <cellStyle name="통_06-부대공_02-배수공_토공_2.0토공3_02.구조물및추진,도달기지토공(D구간)" xfId="13623" xr:uid="{00000000-0005-0000-0000-000036350000}"/>
    <cellStyle name="통_06-부대공_02-배수공_토공_보령깨기집계" xfId="13624" xr:uid="{00000000-0005-0000-0000-000037350000}"/>
    <cellStyle name="통_06-부대공_02-배수공_토공_보령깨기집계_02.구조물및추진,도달기지토공(D구간)" xfId="13625" xr:uid="{00000000-0005-0000-0000-000038350000}"/>
    <cellStyle name="통_06-부대공_02-배수공_토공_정부장님토적" xfId="13626" xr:uid="{00000000-0005-0000-0000-000039350000}"/>
    <cellStyle name="통_06-부대공_02-배수공_토공_정부장님토적_02.구조물및추진,도달기지토공(D구간)" xfId="13627" xr:uid="{00000000-0005-0000-0000-00003A350000}"/>
    <cellStyle name="통_06-부대공_02-배수공_토공_토적표" xfId="13628" xr:uid="{00000000-0005-0000-0000-00003B350000}"/>
    <cellStyle name="통_06-부대공_02-배수공_토공_토적표_02.구조물및추진,도달기지토공(D구간)" xfId="13629" xr:uid="{00000000-0005-0000-0000-00003C350000}"/>
    <cellStyle name="통_070405-제평가용역" xfId="13630" xr:uid="{00000000-0005-0000-0000-00003D350000}"/>
    <cellStyle name="통_10 0805 암유용 sample" xfId="13631" xr:uid="{00000000-0005-0000-0000-00003E350000}"/>
    <cellStyle name="통_2.0 오수구조물공(실옥)" xfId="13632" xr:uid="{00000000-0005-0000-0000-00003F350000}"/>
    <cellStyle name="통_2.0 오수구조물공(실옥)_배수설비 제원표" xfId="13633" xr:uid="{00000000-0005-0000-0000-000040350000}"/>
    <cellStyle name="통_2.0 오수구조물공(실옥)_배수설비 제원표_배수설비 수량(장선)" xfId="13634" xr:uid="{00000000-0005-0000-0000-000041350000}"/>
    <cellStyle name="통_2.0 오수구조물공(실옥)_하수처리시설(황간)" xfId="13635" xr:uid="{00000000-0005-0000-0000-000042350000}"/>
    <cellStyle name="통_2.0 오수구조물공(실옥)_하수처리시설(황간)_배수설비 제원표" xfId="13636" xr:uid="{00000000-0005-0000-0000-000043350000}"/>
    <cellStyle name="통_2.0 오수구조물공(실옥)_하수처리시설(황간)_배수설비 제원표_배수설비 수량(장선)" xfId="13637" xr:uid="{00000000-0005-0000-0000-000044350000}"/>
    <cellStyle name="통_2.0관로공" xfId="13638" xr:uid="{00000000-0005-0000-0000-000045350000}"/>
    <cellStyle name="통_20_깨기취합" xfId="13639" xr:uid="{00000000-0005-0000-0000-000046350000}"/>
    <cellStyle name="통_20_깨기취합_발파암소할 2003 버전" xfId="13640" xr:uid="{00000000-0005-0000-0000-000047350000}"/>
    <cellStyle name="통_20_깨기취합_토공수량산출서-3공구-사토" xfId="13641" xr:uid="{00000000-0005-0000-0000-000048350000}"/>
    <cellStyle name="통_2006 폐기물처리시설(폐기물관리법)" xfId="13642" xr:uid="{00000000-0005-0000-0000-000049350000}"/>
    <cellStyle name="통_21_깨기_배수1" xfId="13643" xr:uid="{00000000-0005-0000-0000-00004A350000}"/>
    <cellStyle name="통_21_깨기_토공" xfId="13644" xr:uid="{00000000-0005-0000-0000-00004B350000}"/>
    <cellStyle name="통_21_깨기_토공_발파암소할 2003 버전" xfId="13645" xr:uid="{00000000-0005-0000-0000-00004C350000}"/>
    <cellStyle name="통_21_깨기_토공_토공수량산출서-3공구-사토" xfId="13646" xr:uid="{00000000-0005-0000-0000-00004D350000}"/>
    <cellStyle name="통_4.부대공" xfId="13647" xr:uid="{00000000-0005-0000-0000-00004E350000}"/>
    <cellStyle name="통_4.부대공_06. 물 푸 기-코드" xfId="13648" xr:uid="{00000000-0005-0000-0000-00004F350000}"/>
    <cellStyle name="통_4.부대공_2.0 오수구조물공(실옥)" xfId="13649" xr:uid="{00000000-0005-0000-0000-000050350000}"/>
    <cellStyle name="통_4.부대공_2.0 오수구조물공(실옥)_배수설비 제원표" xfId="13650" xr:uid="{00000000-0005-0000-0000-000051350000}"/>
    <cellStyle name="통_4.부대공_2.0 오수구조물공(실옥)_배수설비 제원표_배수설비 수량(장선)" xfId="13651" xr:uid="{00000000-0005-0000-0000-000052350000}"/>
    <cellStyle name="통_4.부대공_2.0 오수구조물공(실옥)_하수처리시설(황간)" xfId="13652" xr:uid="{00000000-0005-0000-0000-000053350000}"/>
    <cellStyle name="통_4.부대공_2.0 오수구조물공(실옥)_하수처리시설(황간)_배수설비 제원표" xfId="13653" xr:uid="{00000000-0005-0000-0000-000054350000}"/>
    <cellStyle name="통_4.부대공_2.0 오수구조물공(실옥)_하수처리시설(황간)_배수설비 제원표_배수설비 수량(장선)" xfId="13654" xr:uid="{00000000-0005-0000-0000-000055350000}"/>
    <cellStyle name="통_4.부대공_4배관공" xfId="13655" xr:uid="{00000000-0005-0000-0000-000056350000}"/>
    <cellStyle name="통_4.부대공_4배관공_06. 물 푸 기-코드" xfId="13656" xr:uid="{00000000-0005-0000-0000-000057350000}"/>
    <cellStyle name="통_4.부대공_4배관공_2.0 오수구조물공(실옥)" xfId="13657" xr:uid="{00000000-0005-0000-0000-000058350000}"/>
    <cellStyle name="통_4.부대공_4배관공_2.0 오수구조물공(실옥)_배수설비 제원표" xfId="13658" xr:uid="{00000000-0005-0000-0000-000059350000}"/>
    <cellStyle name="통_4.부대공_4배관공_2.0 오수구조물공(실옥)_배수설비 제원표_배수설비 수량(장선)" xfId="13659" xr:uid="{00000000-0005-0000-0000-00005A350000}"/>
    <cellStyle name="통_4.부대공_4배관공_2.0 오수구조물공(실옥)_하수처리시설(황간)" xfId="13660" xr:uid="{00000000-0005-0000-0000-00005B350000}"/>
    <cellStyle name="통_4.부대공_4배관공_2.0 오수구조물공(실옥)_하수처리시설(황간)_배수설비 제원표" xfId="13661" xr:uid="{00000000-0005-0000-0000-00005C350000}"/>
    <cellStyle name="통_4.부대공_4배관공_2.0 오수구조물공(실옥)_하수처리시설(황간)_배수설비 제원표_배수설비 수량(장선)" xfId="13662" xr:uid="{00000000-0005-0000-0000-00005D350000}"/>
    <cellStyle name="통_4.부대공_4배관공_배수설비 제원표" xfId="13663" xr:uid="{00000000-0005-0000-0000-00005E350000}"/>
    <cellStyle name="통_4.부대공_4배관공_배수설비 제원표_배수설비 수량(장선)" xfId="13664" xr:uid="{00000000-0005-0000-0000-00005F350000}"/>
    <cellStyle name="통_4.부대공_4배관공_하수처리시설(황간)" xfId="13665" xr:uid="{00000000-0005-0000-0000-000060350000}"/>
    <cellStyle name="통_4.부대공_4배관공_하수처리시설(황간)_배수설비 제원표" xfId="13666" xr:uid="{00000000-0005-0000-0000-000061350000}"/>
    <cellStyle name="통_4.부대공_4배관공_하수처리시설(황간)_배수설비 제원표_배수설비 수량(장선)" xfId="13667" xr:uid="{00000000-0005-0000-0000-000062350000}"/>
    <cellStyle name="통_4.부대공_5부대시설공" xfId="13668" xr:uid="{00000000-0005-0000-0000-000063350000}"/>
    <cellStyle name="통_4.부대공_5부대시설공_06. 물 푸 기-코드" xfId="13669" xr:uid="{00000000-0005-0000-0000-000064350000}"/>
    <cellStyle name="통_4.부대공_5부대시설공_2.0 오수구조물공(실옥)" xfId="13670" xr:uid="{00000000-0005-0000-0000-000065350000}"/>
    <cellStyle name="통_4.부대공_5부대시설공_2.0 오수구조물공(실옥)_배수설비 제원표" xfId="13671" xr:uid="{00000000-0005-0000-0000-000066350000}"/>
    <cellStyle name="통_4.부대공_5부대시설공_2.0 오수구조물공(실옥)_배수설비 제원표_배수설비 수량(장선)" xfId="13672" xr:uid="{00000000-0005-0000-0000-000067350000}"/>
    <cellStyle name="통_4.부대공_5부대시설공_2.0 오수구조물공(실옥)_하수처리시설(황간)" xfId="13673" xr:uid="{00000000-0005-0000-0000-000068350000}"/>
    <cellStyle name="통_4.부대공_5부대시설공_2.0 오수구조물공(실옥)_하수처리시설(황간)_배수설비 제원표" xfId="13674" xr:uid="{00000000-0005-0000-0000-000069350000}"/>
    <cellStyle name="통_4.부대공_5부대시설공_2.0 오수구조물공(실옥)_하수처리시설(황간)_배수설비 제원표_배수설비 수량(장선)" xfId="13675" xr:uid="{00000000-0005-0000-0000-00006A350000}"/>
    <cellStyle name="통_4.부대공_5부대시설공_배수설비 제원표" xfId="13676" xr:uid="{00000000-0005-0000-0000-00006B350000}"/>
    <cellStyle name="통_4.부대공_5부대시설공_배수설비 제원표_배수설비 수량(장선)" xfId="13677" xr:uid="{00000000-0005-0000-0000-00006C350000}"/>
    <cellStyle name="통_4.부대공_5부대시설공_하수처리시설(황간)" xfId="13678" xr:uid="{00000000-0005-0000-0000-00006D350000}"/>
    <cellStyle name="통_4.부대공_5부대시설공_하수처리시설(황간)_배수설비 제원표" xfId="13679" xr:uid="{00000000-0005-0000-0000-00006E350000}"/>
    <cellStyle name="통_4.부대공_5부대시설공_하수처리시설(황간)_배수설비 제원표_배수설비 수량(장선)" xfId="13680" xr:uid="{00000000-0005-0000-0000-00006F350000}"/>
    <cellStyle name="통_4.부대공_배수설비 제원표" xfId="13681" xr:uid="{00000000-0005-0000-0000-000070350000}"/>
    <cellStyle name="통_4.부대공_배수설비 제원표_배수설비 수량(장선)" xfId="13682" xr:uid="{00000000-0005-0000-0000-000071350000}"/>
    <cellStyle name="통_4.부대공_하수처리시설(황간)" xfId="13683" xr:uid="{00000000-0005-0000-0000-000072350000}"/>
    <cellStyle name="통_4.부대공_하수처리시설(황간)_배수설비 제원표" xfId="13684" xr:uid="{00000000-0005-0000-0000-000073350000}"/>
    <cellStyle name="통_4.부대공_하수처리시설(황간)_배수설비 제원표_배수설비 수량(장선)" xfId="13685" xr:uid="{00000000-0005-0000-0000-000074350000}"/>
    <cellStyle name="통_4배관공" xfId="13686" xr:uid="{00000000-0005-0000-0000-000075350000}"/>
    <cellStyle name="통_4배관공_06. 물 푸 기-코드" xfId="13687" xr:uid="{00000000-0005-0000-0000-000076350000}"/>
    <cellStyle name="통_4배관공_2.0 오수구조물공(실옥)" xfId="13688" xr:uid="{00000000-0005-0000-0000-000077350000}"/>
    <cellStyle name="통_4배관공_2.0 오수구조물공(실옥)_배수설비 제원표" xfId="13689" xr:uid="{00000000-0005-0000-0000-000078350000}"/>
    <cellStyle name="통_4배관공_2.0 오수구조물공(실옥)_배수설비 제원표_배수설비 수량(장선)" xfId="13690" xr:uid="{00000000-0005-0000-0000-000079350000}"/>
    <cellStyle name="통_4배관공_2.0 오수구조물공(실옥)_하수처리시설(황간)" xfId="13691" xr:uid="{00000000-0005-0000-0000-00007A350000}"/>
    <cellStyle name="통_4배관공_2.0 오수구조물공(실옥)_하수처리시설(황간)_배수설비 제원표" xfId="13692" xr:uid="{00000000-0005-0000-0000-00007B350000}"/>
    <cellStyle name="통_4배관공_2.0 오수구조물공(실옥)_하수처리시설(황간)_배수설비 제원표_배수설비 수량(장선)" xfId="13693" xr:uid="{00000000-0005-0000-0000-00007C350000}"/>
    <cellStyle name="통_4배관공_배수설비 제원표" xfId="13694" xr:uid="{00000000-0005-0000-0000-00007D350000}"/>
    <cellStyle name="통_4배관공_배수설비 제원표_배수설비 수량(장선)" xfId="13695" xr:uid="{00000000-0005-0000-0000-00007E350000}"/>
    <cellStyle name="통_4배관공_하수처리시설(황간)" xfId="13696" xr:uid="{00000000-0005-0000-0000-00007F350000}"/>
    <cellStyle name="통_4배관공_하수처리시설(황간)_배수설비 제원표" xfId="13697" xr:uid="{00000000-0005-0000-0000-000080350000}"/>
    <cellStyle name="통_4배관공_하수처리시설(황간)_배수설비 제원표_배수설비 수량(장선)" xfId="13698" xr:uid="{00000000-0005-0000-0000-000081350000}"/>
    <cellStyle name="통_5부대시설공" xfId="13699" xr:uid="{00000000-0005-0000-0000-000082350000}"/>
    <cellStyle name="통_5부대시설공_06. 물 푸 기-코드" xfId="13700" xr:uid="{00000000-0005-0000-0000-000083350000}"/>
    <cellStyle name="통_5부대시설공_2.0 오수구조물공(실옥)" xfId="13701" xr:uid="{00000000-0005-0000-0000-000084350000}"/>
    <cellStyle name="통_5부대시설공_2.0 오수구조물공(실옥)_배수설비 제원표" xfId="13702" xr:uid="{00000000-0005-0000-0000-000085350000}"/>
    <cellStyle name="통_5부대시설공_2.0 오수구조물공(실옥)_배수설비 제원표_배수설비 수량(장선)" xfId="13703" xr:uid="{00000000-0005-0000-0000-000086350000}"/>
    <cellStyle name="통_5부대시설공_2.0 오수구조물공(실옥)_하수처리시설(황간)" xfId="13704" xr:uid="{00000000-0005-0000-0000-000087350000}"/>
    <cellStyle name="통_5부대시설공_2.0 오수구조물공(실옥)_하수처리시설(황간)_배수설비 제원표" xfId="13705" xr:uid="{00000000-0005-0000-0000-000088350000}"/>
    <cellStyle name="통_5부대시설공_2.0 오수구조물공(실옥)_하수처리시설(황간)_배수설비 제원표_배수설비 수량(장선)" xfId="13706" xr:uid="{00000000-0005-0000-0000-000089350000}"/>
    <cellStyle name="통_5부대시설공_배수설비 제원표" xfId="13707" xr:uid="{00000000-0005-0000-0000-00008A350000}"/>
    <cellStyle name="통_5부대시설공_배수설비 제원표_배수설비 수량(장선)" xfId="13708" xr:uid="{00000000-0005-0000-0000-00008B350000}"/>
    <cellStyle name="통_5부대시설공_하수처리시설(황간)" xfId="13709" xr:uid="{00000000-0005-0000-0000-00008C350000}"/>
    <cellStyle name="통_5부대시설공_하수처리시설(황간)_배수설비 제원표" xfId="13710" xr:uid="{00000000-0005-0000-0000-00008D350000}"/>
    <cellStyle name="통_5부대시설공_하수처리시설(황간)_배수설비 제원표_배수설비 수량(장선)" xfId="13711" xr:uid="{00000000-0005-0000-0000-00008E350000}"/>
    <cellStyle name="통_Book2" xfId="13712" xr:uid="{00000000-0005-0000-0000-00008F350000}"/>
    <cellStyle name="통_Book2 2" xfId="13713" xr:uid="{00000000-0005-0000-0000-000090350000}"/>
    <cellStyle name="통_Book2_06. 물 푸 기-코드" xfId="13714" xr:uid="{00000000-0005-0000-0000-000091350000}"/>
    <cellStyle name="통_Book2_1" xfId="13715" xr:uid="{00000000-0005-0000-0000-000092350000}"/>
    <cellStyle name="통_Book2_2.0 오수구조물공(실옥)" xfId="13716" xr:uid="{00000000-0005-0000-0000-000093350000}"/>
    <cellStyle name="통_Book2_2.0 오수구조물공(실옥)_배수설비 제원표" xfId="13717" xr:uid="{00000000-0005-0000-0000-000094350000}"/>
    <cellStyle name="통_Book2_2.0 오수구조물공(실옥)_배수설비 제원표_배수설비 수량(장선)" xfId="13718" xr:uid="{00000000-0005-0000-0000-000095350000}"/>
    <cellStyle name="통_Book2_2.0 오수구조물공(실옥)_하수처리시설(황간)" xfId="13719" xr:uid="{00000000-0005-0000-0000-000096350000}"/>
    <cellStyle name="통_Book2_2.0 오수구조물공(실옥)_하수처리시설(황간)_배수설비 제원표" xfId="13720" xr:uid="{00000000-0005-0000-0000-000097350000}"/>
    <cellStyle name="통_Book2_2.0 오수구조물공(실옥)_하수처리시설(황간)_배수설비 제원표_배수설비 수량(장선)" xfId="13721" xr:uid="{00000000-0005-0000-0000-000098350000}"/>
    <cellStyle name="통_Book2_4.부대공" xfId="13722" xr:uid="{00000000-0005-0000-0000-000099350000}"/>
    <cellStyle name="통_Book2_4.부대공_06. 물 푸 기-코드" xfId="13723" xr:uid="{00000000-0005-0000-0000-00009A350000}"/>
    <cellStyle name="통_Book2_4.부대공_2.0 오수구조물공(실옥)" xfId="13724" xr:uid="{00000000-0005-0000-0000-00009B350000}"/>
    <cellStyle name="통_Book2_4.부대공_2.0 오수구조물공(실옥)_배수설비 제원표" xfId="13725" xr:uid="{00000000-0005-0000-0000-00009C350000}"/>
    <cellStyle name="통_Book2_4.부대공_2.0 오수구조물공(실옥)_배수설비 제원표_배수설비 수량(장선)" xfId="13726" xr:uid="{00000000-0005-0000-0000-00009D350000}"/>
    <cellStyle name="통_Book2_4.부대공_2.0 오수구조물공(실옥)_하수처리시설(황간)" xfId="13727" xr:uid="{00000000-0005-0000-0000-00009E350000}"/>
    <cellStyle name="통_Book2_4.부대공_2.0 오수구조물공(실옥)_하수처리시설(황간)_배수설비 제원표" xfId="13728" xr:uid="{00000000-0005-0000-0000-00009F350000}"/>
    <cellStyle name="통_Book2_4.부대공_2.0 오수구조물공(실옥)_하수처리시설(황간)_배수설비 제원표_배수설비 수량(장선)" xfId="13729" xr:uid="{00000000-0005-0000-0000-0000A0350000}"/>
    <cellStyle name="통_Book2_4.부대공_4배관공" xfId="13730" xr:uid="{00000000-0005-0000-0000-0000A1350000}"/>
    <cellStyle name="통_Book2_4.부대공_4배관공_06. 물 푸 기-코드" xfId="13731" xr:uid="{00000000-0005-0000-0000-0000A2350000}"/>
    <cellStyle name="통_Book2_4.부대공_4배관공_2.0 오수구조물공(실옥)" xfId="13732" xr:uid="{00000000-0005-0000-0000-0000A3350000}"/>
    <cellStyle name="통_Book2_4.부대공_4배관공_2.0 오수구조물공(실옥)_배수설비 제원표" xfId="13733" xr:uid="{00000000-0005-0000-0000-0000A4350000}"/>
    <cellStyle name="통_Book2_4.부대공_4배관공_2.0 오수구조물공(실옥)_배수설비 제원표_배수설비 수량(장선)" xfId="13734" xr:uid="{00000000-0005-0000-0000-0000A5350000}"/>
    <cellStyle name="통_Book2_4.부대공_4배관공_2.0 오수구조물공(실옥)_하수처리시설(황간)" xfId="13735" xr:uid="{00000000-0005-0000-0000-0000A6350000}"/>
    <cellStyle name="통_Book2_4.부대공_4배관공_2.0 오수구조물공(실옥)_하수처리시설(황간)_배수설비 제원표" xfId="13736" xr:uid="{00000000-0005-0000-0000-0000A7350000}"/>
    <cellStyle name="통_Book2_4.부대공_4배관공_2.0 오수구조물공(실옥)_하수처리시설(황간)_배수설비 제원표_배수설비 수량(장선)" xfId="13737" xr:uid="{00000000-0005-0000-0000-0000A8350000}"/>
    <cellStyle name="통_Book2_4.부대공_4배관공_배수설비 제원표" xfId="13738" xr:uid="{00000000-0005-0000-0000-0000A9350000}"/>
    <cellStyle name="통_Book2_4.부대공_4배관공_배수설비 제원표_배수설비 수량(장선)" xfId="13739" xr:uid="{00000000-0005-0000-0000-0000AA350000}"/>
    <cellStyle name="통_Book2_4.부대공_4배관공_하수처리시설(황간)" xfId="13740" xr:uid="{00000000-0005-0000-0000-0000AB350000}"/>
    <cellStyle name="통_Book2_4.부대공_4배관공_하수처리시설(황간)_배수설비 제원표" xfId="13741" xr:uid="{00000000-0005-0000-0000-0000AC350000}"/>
    <cellStyle name="통_Book2_4.부대공_4배관공_하수처리시설(황간)_배수설비 제원표_배수설비 수량(장선)" xfId="13742" xr:uid="{00000000-0005-0000-0000-0000AD350000}"/>
    <cellStyle name="통_Book2_4.부대공_5부대시설공" xfId="13743" xr:uid="{00000000-0005-0000-0000-0000AE350000}"/>
    <cellStyle name="통_Book2_4.부대공_5부대시설공_06. 물 푸 기-코드" xfId="13744" xr:uid="{00000000-0005-0000-0000-0000AF350000}"/>
    <cellStyle name="통_Book2_4.부대공_5부대시설공_2.0 오수구조물공(실옥)" xfId="13745" xr:uid="{00000000-0005-0000-0000-0000B0350000}"/>
    <cellStyle name="통_Book2_4.부대공_5부대시설공_2.0 오수구조물공(실옥)_배수설비 제원표" xfId="13746" xr:uid="{00000000-0005-0000-0000-0000B1350000}"/>
    <cellStyle name="통_Book2_4.부대공_5부대시설공_2.0 오수구조물공(실옥)_배수설비 제원표_배수설비 수량(장선)" xfId="13747" xr:uid="{00000000-0005-0000-0000-0000B2350000}"/>
    <cellStyle name="통_Book2_4.부대공_5부대시설공_2.0 오수구조물공(실옥)_하수처리시설(황간)" xfId="13748" xr:uid="{00000000-0005-0000-0000-0000B3350000}"/>
    <cellStyle name="통_Book2_4.부대공_5부대시설공_2.0 오수구조물공(실옥)_하수처리시설(황간)_배수설비 제원표" xfId="13749" xr:uid="{00000000-0005-0000-0000-0000B4350000}"/>
    <cellStyle name="통_Book2_4.부대공_5부대시설공_2.0 오수구조물공(실옥)_하수처리시설(황간)_배수설비 제원표_배수설비 수량(장선)" xfId="13750" xr:uid="{00000000-0005-0000-0000-0000B5350000}"/>
    <cellStyle name="통_Book2_4.부대공_5부대시설공_배수설비 제원표" xfId="13751" xr:uid="{00000000-0005-0000-0000-0000B6350000}"/>
    <cellStyle name="통_Book2_4.부대공_5부대시설공_배수설비 제원표_배수설비 수량(장선)" xfId="13752" xr:uid="{00000000-0005-0000-0000-0000B7350000}"/>
    <cellStyle name="통_Book2_4.부대공_5부대시설공_하수처리시설(황간)" xfId="13753" xr:uid="{00000000-0005-0000-0000-0000B8350000}"/>
    <cellStyle name="통_Book2_4.부대공_5부대시설공_하수처리시설(황간)_배수설비 제원표" xfId="13754" xr:uid="{00000000-0005-0000-0000-0000B9350000}"/>
    <cellStyle name="통_Book2_4.부대공_5부대시설공_하수처리시설(황간)_배수설비 제원표_배수설비 수량(장선)" xfId="13755" xr:uid="{00000000-0005-0000-0000-0000BA350000}"/>
    <cellStyle name="통_Book2_4.부대공_배수설비 제원표" xfId="13756" xr:uid="{00000000-0005-0000-0000-0000BB350000}"/>
    <cellStyle name="통_Book2_4.부대공_배수설비 제원표_배수설비 수량(장선)" xfId="13757" xr:uid="{00000000-0005-0000-0000-0000BC350000}"/>
    <cellStyle name="통_Book2_4.부대공_하수처리시설(황간)" xfId="13758" xr:uid="{00000000-0005-0000-0000-0000BD350000}"/>
    <cellStyle name="통_Book2_4.부대공_하수처리시설(황간)_배수설비 제원표" xfId="13759" xr:uid="{00000000-0005-0000-0000-0000BE350000}"/>
    <cellStyle name="통_Book2_4.부대공_하수처리시설(황간)_배수설비 제원표_배수설비 수량(장선)" xfId="13760" xr:uid="{00000000-0005-0000-0000-0000BF350000}"/>
    <cellStyle name="통_Book2_4배관공" xfId="13761" xr:uid="{00000000-0005-0000-0000-0000C0350000}"/>
    <cellStyle name="통_Book2_4배관공_06. 물 푸 기-코드" xfId="13762" xr:uid="{00000000-0005-0000-0000-0000C1350000}"/>
    <cellStyle name="통_Book2_4배관공_2.0 오수구조물공(실옥)" xfId="13763" xr:uid="{00000000-0005-0000-0000-0000C2350000}"/>
    <cellStyle name="통_Book2_4배관공_2.0 오수구조물공(실옥)_배수설비 제원표" xfId="13764" xr:uid="{00000000-0005-0000-0000-0000C3350000}"/>
    <cellStyle name="통_Book2_4배관공_2.0 오수구조물공(실옥)_배수설비 제원표_배수설비 수량(장선)" xfId="13765" xr:uid="{00000000-0005-0000-0000-0000C4350000}"/>
    <cellStyle name="통_Book2_4배관공_2.0 오수구조물공(실옥)_하수처리시설(황간)" xfId="13766" xr:uid="{00000000-0005-0000-0000-0000C5350000}"/>
    <cellStyle name="통_Book2_4배관공_2.0 오수구조물공(실옥)_하수처리시설(황간)_배수설비 제원표" xfId="13767" xr:uid="{00000000-0005-0000-0000-0000C6350000}"/>
    <cellStyle name="통_Book2_4배관공_2.0 오수구조물공(실옥)_하수처리시설(황간)_배수설비 제원표_배수설비 수량(장선)" xfId="13768" xr:uid="{00000000-0005-0000-0000-0000C7350000}"/>
    <cellStyle name="통_Book2_4배관공_배수설비 제원표" xfId="13769" xr:uid="{00000000-0005-0000-0000-0000C8350000}"/>
    <cellStyle name="통_Book2_4배관공_배수설비 제원표_배수설비 수량(장선)" xfId="13770" xr:uid="{00000000-0005-0000-0000-0000C9350000}"/>
    <cellStyle name="통_Book2_4배관공_하수처리시설(황간)" xfId="13771" xr:uid="{00000000-0005-0000-0000-0000CA350000}"/>
    <cellStyle name="통_Book2_4배관공_하수처리시설(황간)_배수설비 제원표" xfId="13772" xr:uid="{00000000-0005-0000-0000-0000CB350000}"/>
    <cellStyle name="통_Book2_4배관공_하수처리시설(황간)_배수설비 제원표_배수설비 수량(장선)" xfId="13773" xr:uid="{00000000-0005-0000-0000-0000CC350000}"/>
    <cellStyle name="통_Book2_5부대시설공" xfId="13774" xr:uid="{00000000-0005-0000-0000-0000CD350000}"/>
    <cellStyle name="통_Book2_5부대시설공_06. 물 푸 기-코드" xfId="13775" xr:uid="{00000000-0005-0000-0000-0000CE350000}"/>
    <cellStyle name="통_Book2_5부대시설공_2.0 오수구조물공(실옥)" xfId="13776" xr:uid="{00000000-0005-0000-0000-0000CF350000}"/>
    <cellStyle name="통_Book2_5부대시설공_2.0 오수구조물공(실옥)_배수설비 제원표" xfId="13777" xr:uid="{00000000-0005-0000-0000-0000D0350000}"/>
    <cellStyle name="통_Book2_5부대시설공_2.0 오수구조물공(실옥)_배수설비 제원표_배수설비 수량(장선)" xfId="13778" xr:uid="{00000000-0005-0000-0000-0000D1350000}"/>
    <cellStyle name="통_Book2_5부대시설공_2.0 오수구조물공(실옥)_하수처리시설(황간)" xfId="13779" xr:uid="{00000000-0005-0000-0000-0000D2350000}"/>
    <cellStyle name="통_Book2_5부대시설공_2.0 오수구조물공(실옥)_하수처리시설(황간)_배수설비 제원표" xfId="13780" xr:uid="{00000000-0005-0000-0000-0000D3350000}"/>
    <cellStyle name="통_Book2_5부대시설공_2.0 오수구조물공(실옥)_하수처리시설(황간)_배수설비 제원표_배수설비 수량(장선)" xfId="13781" xr:uid="{00000000-0005-0000-0000-0000D4350000}"/>
    <cellStyle name="통_Book2_5부대시설공_배수설비 제원표" xfId="13782" xr:uid="{00000000-0005-0000-0000-0000D5350000}"/>
    <cellStyle name="통_Book2_5부대시설공_배수설비 제원표_배수설비 수량(장선)" xfId="13783" xr:uid="{00000000-0005-0000-0000-0000D6350000}"/>
    <cellStyle name="통_Book2_5부대시설공_하수처리시설(황간)" xfId="13784" xr:uid="{00000000-0005-0000-0000-0000D7350000}"/>
    <cellStyle name="통_Book2_5부대시설공_하수처리시설(황간)_배수설비 제원표" xfId="13785" xr:uid="{00000000-0005-0000-0000-0000D8350000}"/>
    <cellStyle name="통_Book2_5부대시설공_하수처리시설(황간)_배수설비 제원표_배수설비 수량(장선)" xfId="13786" xr:uid="{00000000-0005-0000-0000-0000D9350000}"/>
    <cellStyle name="통_Book2_배수설비 제원표" xfId="13787" xr:uid="{00000000-0005-0000-0000-0000DA350000}"/>
    <cellStyle name="통_Book2_배수설비 제원표_배수설비 수량(장선)" xfId="13788" xr:uid="{00000000-0005-0000-0000-0000DB350000}"/>
    <cellStyle name="통_Book2_하수처리시설(황간)" xfId="13789" xr:uid="{00000000-0005-0000-0000-0000DC350000}"/>
    <cellStyle name="통_Book2_하수처리시설(황간)_배수설비 제원표" xfId="13790" xr:uid="{00000000-0005-0000-0000-0000DD350000}"/>
    <cellStyle name="통_Book2_하수처리시설(황간)_배수설비 제원표_배수설비 수량(장선)" xfId="13791" xr:uid="{00000000-0005-0000-0000-0000DE350000}"/>
    <cellStyle name="통_강릉내역서(설계변경)_0207" xfId="13792" xr:uid="{00000000-0005-0000-0000-0000DF350000}"/>
    <cellStyle name="통_교통영향평가예산서" xfId="13793" xr:uid="{00000000-0005-0000-0000-0000E0350000}"/>
    <cellStyle name="통_구조물공사(수정)" xfId="13794" xr:uid="{00000000-0005-0000-0000-0000E1350000}"/>
    <cellStyle name="통_기존구조물철거" xfId="13795" xr:uid="{00000000-0005-0000-0000-0000E2350000}"/>
    <cellStyle name="통_기존구조물철거_발파암소할 2003 버전" xfId="13796" xr:uid="{00000000-0005-0000-0000-0000E3350000}"/>
    <cellStyle name="통_기존구조물철거_토공수량산출서-3공구-사토" xfId="13797" xr:uid="{00000000-0005-0000-0000-0000E4350000}"/>
    <cellStyle name="통_기존구조물철거최종" xfId="13798" xr:uid="{00000000-0005-0000-0000-0000E5350000}"/>
    <cellStyle name="통_기존구조물철거최종_발파암소할 2003 버전" xfId="13799" xr:uid="{00000000-0005-0000-0000-0000E6350000}"/>
    <cellStyle name="통_기존구조물철거최종_토공수량산출서-3공구-사토" xfId="13800" xr:uid="{00000000-0005-0000-0000-0000E7350000}"/>
    <cellStyle name="통_노면표지" xfId="13801" xr:uid="{00000000-0005-0000-0000-0000E8350000}"/>
    <cellStyle name="통_문경내역(1127)" xfId="13802" xr:uid="{00000000-0005-0000-0000-0000E9350000}"/>
    <cellStyle name="통_문경내역(1127)_지하시설물조사측량(R1)" xfId="13803" xr:uid="{00000000-0005-0000-0000-0000EA350000}"/>
    <cellStyle name="통_문경내역(1127)_지하시설물조사측량(R1)_발주내역서" xfId="13804" xr:uid="{00000000-0005-0000-0000-0000EB350000}"/>
    <cellStyle name="통_문경내역(1127)_지하시설물조사측량(R1)_발주내역서(8(1).9)-원본" xfId="13805" xr:uid="{00000000-0005-0000-0000-0000EC350000}"/>
    <cellStyle name="통_문경내역(1127)_지하시설물조사측량(R1)_발주내역서-서울시발송수정" xfId="13806" xr:uid="{00000000-0005-0000-0000-0000ED350000}"/>
    <cellStyle name="통_문경내역(1127)_지하시설물조사측량(R1)_설계내역서(2010(1).1.13)" xfId="13807" xr:uid="{00000000-0005-0000-0000-0000EE350000}"/>
    <cellStyle name="통_문경내역(1127)_지하시설물조사측량(R1)_총괄" xfId="13808" xr:uid="{00000000-0005-0000-0000-0000EF350000}"/>
    <cellStyle name="통_미끄럼방지시설" xfId="13809" xr:uid="{00000000-0005-0000-0000-0000F0350000}"/>
    <cellStyle name="통_발파암소할" xfId="13810" xr:uid="{00000000-0005-0000-0000-0000F1350000}"/>
    <cellStyle name="통_발파암소할 2003 버전" xfId="13811" xr:uid="{00000000-0005-0000-0000-0000F2350000}"/>
    <cellStyle name="통_배수설비 제원표" xfId="13812" xr:uid="{00000000-0005-0000-0000-0000F3350000}"/>
    <cellStyle name="통_배수설비 제원표_배수설비 수량(장선)" xfId="13813" xr:uid="{00000000-0005-0000-0000-0000F4350000}"/>
    <cellStyle name="통_부대" xfId="13814" xr:uid="{00000000-0005-0000-0000-0000F5350000}"/>
    <cellStyle name="통_부대공사" xfId="13815" xr:uid="{00000000-0005-0000-0000-0000F6350000}"/>
    <cellStyle name="통_부대공사_1" xfId="13816" xr:uid="{00000000-0005-0000-0000-0000F7350000}"/>
    <cellStyle name="통_부대공사단위수량" xfId="13817" xr:uid="{00000000-0005-0000-0000-0000F8350000}"/>
    <cellStyle name="통_부대단위수량" xfId="13818" xr:uid="{00000000-0005-0000-0000-0000F9350000}"/>
    <cellStyle name="통_부대수량" xfId="13819" xr:uid="{00000000-0005-0000-0000-0000FA350000}"/>
    <cellStyle name="통_설계내역서(변경)_0303" xfId="13820" xr:uid="{00000000-0005-0000-0000-0000FB350000}"/>
    <cellStyle name="통_설계내역서(변경)_0303_지하시설물조사측량(R1)" xfId="13821" xr:uid="{00000000-0005-0000-0000-0000FC350000}"/>
    <cellStyle name="통_설계내역서(변경)_0303_지하시설물조사측량(R1)_발주내역서" xfId="13822" xr:uid="{00000000-0005-0000-0000-0000FD350000}"/>
    <cellStyle name="통_설계내역서(변경)_0303_지하시설물조사측량(R1)_발주내역서(8(1).9)-원본" xfId="13823" xr:uid="{00000000-0005-0000-0000-0000FE350000}"/>
    <cellStyle name="통_설계내역서(변경)_0303_지하시설물조사측량(R1)_발주내역서-서울시발송수정" xfId="13824" xr:uid="{00000000-0005-0000-0000-0000FF350000}"/>
    <cellStyle name="통_설계내역서(변경)_0303_지하시설물조사측량(R1)_설계내역서(2010(1).1.13)" xfId="13825" xr:uid="{00000000-0005-0000-0000-000000360000}"/>
    <cellStyle name="통_설계내역서(변경)_0303_지하시설물조사측량(R1)_총괄" xfId="13826" xr:uid="{00000000-0005-0000-0000-000001360000}"/>
    <cellStyle name="통_설계예산서(설계)" xfId="13827" xr:uid="{00000000-0005-0000-0000-000002360000}"/>
    <cellStyle name="통_설계예산서(설계)_지하시설물조사측량(R1)" xfId="13828" xr:uid="{00000000-0005-0000-0000-000003360000}"/>
    <cellStyle name="통_설계용역비" xfId="13829" xr:uid="{00000000-0005-0000-0000-000004360000}"/>
    <cellStyle name="통_설계용역비_070405-제평가용역" xfId="13830" xr:uid="{00000000-0005-0000-0000-000005360000}"/>
    <cellStyle name="통_설계용역비_토취장 변경내역" xfId="13831" xr:uid="{00000000-0005-0000-0000-000006360000}"/>
    <cellStyle name="통_설계용역비_토취장_변경내역" xfId="13832" xr:uid="{00000000-0005-0000-0000-000007360000}"/>
    <cellStyle name="통_설계용역비_토취장_변경내역(수자원)" xfId="13833" xr:uid="{00000000-0005-0000-0000-000008360000}"/>
    <cellStyle name="통_수량산출서(수정)" xfId="13834" xr:uid="{00000000-0005-0000-0000-000009360000}"/>
    <cellStyle name="통_수량산출서(수정)_01-토공_02-배수공" xfId="13835" xr:uid="{00000000-0005-0000-0000-00000A360000}"/>
    <cellStyle name="통_수량산출서(수정)_01-토공_02-배수공_02.구조물및추진,도달기지토공(D구간)" xfId="13836" xr:uid="{00000000-0005-0000-0000-00000B360000}"/>
    <cellStyle name="통_수량산출서(수정)_01-토공_02-배수공_토공" xfId="13837" xr:uid="{00000000-0005-0000-0000-00000C360000}"/>
    <cellStyle name="통_수량산출서(수정)_01-토공_02-배수공_토공_02.구조물및추진,도달기지토공(D구간)" xfId="13838" xr:uid="{00000000-0005-0000-0000-00000D360000}"/>
    <cellStyle name="통_수량산출서(수정)_01-토공_02-배수공_토공_2.0토공3" xfId="13839" xr:uid="{00000000-0005-0000-0000-00000E360000}"/>
    <cellStyle name="통_수량산출서(수정)_01-토공_02-배수공_토공_2.0토공3_02.구조물및추진,도달기지토공(D구간)" xfId="13840" xr:uid="{00000000-0005-0000-0000-00000F360000}"/>
    <cellStyle name="통_수량산출서(수정)_01-토공_02-배수공_토공_보령깨기집계" xfId="13841" xr:uid="{00000000-0005-0000-0000-000010360000}"/>
    <cellStyle name="통_수량산출서(수정)_01-토공_02-배수공_토공_보령깨기집계_02.구조물및추진,도달기지토공(D구간)" xfId="13842" xr:uid="{00000000-0005-0000-0000-000011360000}"/>
    <cellStyle name="통_수량산출서(수정)_01-토공_02-배수공_토공_정부장님토적" xfId="13843" xr:uid="{00000000-0005-0000-0000-000012360000}"/>
    <cellStyle name="통_수량산출서(수정)_01-토공_02-배수공_토공_정부장님토적_02.구조물및추진,도달기지토공(D구간)" xfId="13844" xr:uid="{00000000-0005-0000-0000-000013360000}"/>
    <cellStyle name="통_수량산출서(수정)_01-토공_02-배수공_토공_토적표" xfId="13845" xr:uid="{00000000-0005-0000-0000-000014360000}"/>
    <cellStyle name="통_수량산출서(수정)_01-토공_02-배수공_토공_토적표_02.구조물및추진,도달기지토공(D구간)" xfId="13846" xr:uid="{00000000-0005-0000-0000-000015360000}"/>
    <cellStyle name="통_수량산출서(수정)_02-배수공" xfId="13847" xr:uid="{00000000-0005-0000-0000-000016360000}"/>
    <cellStyle name="통_수량산출서(수정)_02-배수공_02.구조물및추진,도달기지토공(D구간)" xfId="13848" xr:uid="{00000000-0005-0000-0000-000017360000}"/>
    <cellStyle name="통_수량산출서(수정)_02-배수공_02-반중력식옹벽" xfId="13849" xr:uid="{00000000-0005-0000-0000-000018360000}"/>
    <cellStyle name="통_수량산출서(수정)_02-배수공_02-반중력식옹벽_02.구조물및추진,도달기지토공(D구간)" xfId="13850" xr:uid="{00000000-0005-0000-0000-000019360000}"/>
    <cellStyle name="통_수량산출서(수정)_02-배수공_02-반중력식옹벽_토공" xfId="13851" xr:uid="{00000000-0005-0000-0000-00001A360000}"/>
    <cellStyle name="통_수량산출서(수정)_02-배수공_02-반중력식옹벽_토공_02.구조물및추진,도달기지토공(D구간)" xfId="13852" xr:uid="{00000000-0005-0000-0000-00001B360000}"/>
    <cellStyle name="통_수량산출서(수정)_02-배수공_02-반중력식옹벽_토공_2.0토공3" xfId="13853" xr:uid="{00000000-0005-0000-0000-00001C360000}"/>
    <cellStyle name="통_수량산출서(수정)_02-배수공_02-반중력식옹벽_토공_2.0토공3_02.구조물및추진,도달기지토공(D구간)" xfId="13854" xr:uid="{00000000-0005-0000-0000-00001D360000}"/>
    <cellStyle name="통_수량산출서(수정)_02-배수공_02-반중력식옹벽_토공_보령깨기집계" xfId="13855" xr:uid="{00000000-0005-0000-0000-00001E360000}"/>
    <cellStyle name="통_수량산출서(수정)_02-배수공_02-반중력식옹벽_토공_보령깨기집계_02.구조물및추진,도달기지토공(D구간)" xfId="13856" xr:uid="{00000000-0005-0000-0000-00001F360000}"/>
    <cellStyle name="통_수량산출서(수정)_02-배수공_02-반중력식옹벽_토공_정부장님토적" xfId="13857" xr:uid="{00000000-0005-0000-0000-000020360000}"/>
    <cellStyle name="통_수량산출서(수정)_02-배수공_02-반중력식옹벽_토공_정부장님토적_02.구조물및추진,도달기지토공(D구간)" xfId="13858" xr:uid="{00000000-0005-0000-0000-000021360000}"/>
    <cellStyle name="통_수량산출서(수정)_02-배수공_02-반중력식옹벽_토공_토적표" xfId="13859" xr:uid="{00000000-0005-0000-0000-000022360000}"/>
    <cellStyle name="통_수량산출서(수정)_02-배수공_02-반중력식옹벽_토공_토적표_02.구조물및추진,도달기지토공(D구간)" xfId="13860" xr:uid="{00000000-0005-0000-0000-000023360000}"/>
    <cellStyle name="통_수량산출서(수정)_02-배수공_02-배수공" xfId="13861" xr:uid="{00000000-0005-0000-0000-000024360000}"/>
    <cellStyle name="통_수량산출서(수정)_02-배수공_02-배수공_02.구조물및추진,도달기지토공(D구간)" xfId="13862" xr:uid="{00000000-0005-0000-0000-000025360000}"/>
    <cellStyle name="통_수량산출서(수정)_02-배수공_02-배수공_토공" xfId="13863" xr:uid="{00000000-0005-0000-0000-000026360000}"/>
    <cellStyle name="통_수량산출서(수정)_02-배수공_02-배수공_토공_02.구조물및추진,도달기지토공(D구간)" xfId="13864" xr:uid="{00000000-0005-0000-0000-000027360000}"/>
    <cellStyle name="통_수량산출서(수정)_02-배수공_02-배수공_토공_2.0토공3" xfId="13865" xr:uid="{00000000-0005-0000-0000-000028360000}"/>
    <cellStyle name="통_수량산출서(수정)_02-배수공_02-배수공_토공_2.0토공3_02.구조물및추진,도달기지토공(D구간)" xfId="13866" xr:uid="{00000000-0005-0000-0000-000029360000}"/>
    <cellStyle name="통_수량산출서(수정)_02-배수공_02-배수공_토공_보령깨기집계" xfId="13867" xr:uid="{00000000-0005-0000-0000-00002A360000}"/>
    <cellStyle name="통_수량산출서(수정)_02-배수공_02-배수공_토공_보령깨기집계_02.구조물및추진,도달기지토공(D구간)" xfId="13868" xr:uid="{00000000-0005-0000-0000-00002B360000}"/>
    <cellStyle name="통_수량산출서(수정)_02-배수공_02-배수공_토공_정부장님토적" xfId="13869" xr:uid="{00000000-0005-0000-0000-00002C360000}"/>
    <cellStyle name="통_수량산출서(수정)_02-배수공_02-배수공_토공_정부장님토적_02.구조물및추진,도달기지토공(D구간)" xfId="13870" xr:uid="{00000000-0005-0000-0000-00002D360000}"/>
    <cellStyle name="통_수량산출서(수정)_02-배수공_02-배수공_토공_토적표" xfId="13871" xr:uid="{00000000-0005-0000-0000-00002E360000}"/>
    <cellStyle name="통_수량산출서(수정)_02-배수공_02-배수공_토공_토적표_02.구조물및추진,도달기지토공(D구간)" xfId="13872" xr:uid="{00000000-0005-0000-0000-00002F360000}"/>
    <cellStyle name="통_수량산출서(수정)_02-배수공_반중력" xfId="13873" xr:uid="{00000000-0005-0000-0000-000030360000}"/>
    <cellStyle name="통_수량산출서(수정)_02-배수공_반중력_02.구조물및추진,도달기지토공(D구간)" xfId="13874" xr:uid="{00000000-0005-0000-0000-000031360000}"/>
    <cellStyle name="통_수량산출서(수정)_02-배수공_반중력_토공" xfId="13875" xr:uid="{00000000-0005-0000-0000-000032360000}"/>
    <cellStyle name="통_수량산출서(수정)_02-배수공_반중력_토공_02.구조물및추진,도달기지토공(D구간)" xfId="13876" xr:uid="{00000000-0005-0000-0000-000033360000}"/>
    <cellStyle name="통_수량산출서(수정)_02-배수공_반중력_토공_2.0토공3" xfId="13877" xr:uid="{00000000-0005-0000-0000-000034360000}"/>
    <cellStyle name="통_수량산출서(수정)_02-배수공_반중력_토공_2.0토공3_02.구조물및추진,도달기지토공(D구간)" xfId="13878" xr:uid="{00000000-0005-0000-0000-000035360000}"/>
    <cellStyle name="통_수량산출서(수정)_02-배수공_반중력_토공_보령깨기집계" xfId="13879" xr:uid="{00000000-0005-0000-0000-000036360000}"/>
    <cellStyle name="통_수량산출서(수정)_02-배수공_반중력_토공_보령깨기집계_02.구조물및추진,도달기지토공(D구간)" xfId="13880" xr:uid="{00000000-0005-0000-0000-000037360000}"/>
    <cellStyle name="통_수량산출서(수정)_02-배수공_반중력_토공_정부장님토적" xfId="13881" xr:uid="{00000000-0005-0000-0000-000038360000}"/>
    <cellStyle name="통_수량산출서(수정)_02-배수공_반중력_토공_정부장님토적_02.구조물및추진,도달기지토공(D구간)" xfId="13882" xr:uid="{00000000-0005-0000-0000-000039360000}"/>
    <cellStyle name="통_수량산출서(수정)_02-배수공_반중력_토공_토적표" xfId="13883" xr:uid="{00000000-0005-0000-0000-00003A360000}"/>
    <cellStyle name="통_수량산출서(수정)_02-배수공_반중력_토공_토적표_02.구조물및추진,도달기지토공(D구간)" xfId="13884" xr:uid="{00000000-0005-0000-0000-00003B360000}"/>
    <cellStyle name="통_수량산출서(수정)_02-배수공_토공" xfId="13885" xr:uid="{00000000-0005-0000-0000-00003C360000}"/>
    <cellStyle name="통_수량산출서(수정)_02-배수공_토공_02.구조물및추진,도달기지토공(D구간)" xfId="13886" xr:uid="{00000000-0005-0000-0000-00003D360000}"/>
    <cellStyle name="통_수량산출서(수정)_02-배수공_토공_2.0토공3" xfId="13887" xr:uid="{00000000-0005-0000-0000-00003E360000}"/>
    <cellStyle name="통_수량산출서(수정)_02-배수공_토공_2.0토공3_02.구조물및추진,도달기지토공(D구간)" xfId="13888" xr:uid="{00000000-0005-0000-0000-00003F360000}"/>
    <cellStyle name="통_수량산출서(수정)_02-배수공_토공_보령깨기집계" xfId="13889" xr:uid="{00000000-0005-0000-0000-000040360000}"/>
    <cellStyle name="통_수량산출서(수정)_02-배수공_토공_보령깨기집계_02.구조물및추진,도달기지토공(D구간)" xfId="13890" xr:uid="{00000000-0005-0000-0000-000041360000}"/>
    <cellStyle name="통_수량산출서(수정)_02-배수공_토공_정부장님토적" xfId="13891" xr:uid="{00000000-0005-0000-0000-000042360000}"/>
    <cellStyle name="통_수량산출서(수정)_02-배수공_토공_정부장님토적_02.구조물및추진,도달기지토공(D구간)" xfId="13892" xr:uid="{00000000-0005-0000-0000-000043360000}"/>
    <cellStyle name="통_수량산출서(수정)_02-배수공_토공_토적표" xfId="13893" xr:uid="{00000000-0005-0000-0000-000044360000}"/>
    <cellStyle name="통_수량산출서(수정)_02-배수공_토공_토적표_02.구조물및추진,도달기지토공(D구간)" xfId="13894" xr:uid="{00000000-0005-0000-0000-000045360000}"/>
    <cellStyle name="통_수량산출서(수정)_04-포장공_02-배수공" xfId="13895" xr:uid="{00000000-0005-0000-0000-000046360000}"/>
    <cellStyle name="통_수량산출서(수정)_04-포장공_02-배수공_02.구조물및추진,도달기지토공(D구간)" xfId="13896" xr:uid="{00000000-0005-0000-0000-000047360000}"/>
    <cellStyle name="통_수량산출서(수정)_04-포장공_02-배수공_토공" xfId="13897" xr:uid="{00000000-0005-0000-0000-000048360000}"/>
    <cellStyle name="통_수량산출서(수정)_04-포장공_02-배수공_토공_02.구조물및추진,도달기지토공(D구간)" xfId="13898" xr:uid="{00000000-0005-0000-0000-000049360000}"/>
    <cellStyle name="통_수량산출서(수정)_04-포장공_02-배수공_토공_2.0토공3" xfId="13899" xr:uid="{00000000-0005-0000-0000-00004A360000}"/>
    <cellStyle name="통_수량산출서(수정)_04-포장공_02-배수공_토공_2.0토공3_02.구조물및추진,도달기지토공(D구간)" xfId="13900" xr:uid="{00000000-0005-0000-0000-00004B360000}"/>
    <cellStyle name="통_수량산출서(수정)_04-포장공_02-배수공_토공_보령깨기집계" xfId="13901" xr:uid="{00000000-0005-0000-0000-00004C360000}"/>
    <cellStyle name="통_수량산출서(수정)_04-포장공_02-배수공_토공_보령깨기집계_02.구조물및추진,도달기지토공(D구간)" xfId="13902" xr:uid="{00000000-0005-0000-0000-00004D360000}"/>
    <cellStyle name="통_수량산출서(수정)_04-포장공_02-배수공_토공_정부장님토적" xfId="13903" xr:uid="{00000000-0005-0000-0000-00004E360000}"/>
    <cellStyle name="통_수량산출서(수정)_04-포장공_02-배수공_토공_정부장님토적_02.구조물및추진,도달기지토공(D구간)" xfId="13904" xr:uid="{00000000-0005-0000-0000-00004F360000}"/>
    <cellStyle name="통_수량산출서(수정)_04-포장공_02-배수공_토공_토적표" xfId="13905" xr:uid="{00000000-0005-0000-0000-000050360000}"/>
    <cellStyle name="통_수량산출서(수정)_04-포장공_02-배수공_토공_토적표_02.구조물및추진,도달기지토공(D구간)" xfId="13906" xr:uid="{00000000-0005-0000-0000-000051360000}"/>
    <cellStyle name="통_수량산출서(수정)_06-부대공_02-배수공" xfId="13907" xr:uid="{00000000-0005-0000-0000-000052360000}"/>
    <cellStyle name="통_수량산출서(수정)_06-부대공_02-배수공_02.구조물및추진,도달기지토공(D구간)" xfId="13908" xr:uid="{00000000-0005-0000-0000-000053360000}"/>
    <cellStyle name="통_수량산출서(수정)_06-부대공_02-배수공_토공" xfId="13909" xr:uid="{00000000-0005-0000-0000-000054360000}"/>
    <cellStyle name="통_수량산출서(수정)_06-부대공_02-배수공_토공_02.구조물및추진,도달기지토공(D구간)" xfId="13910" xr:uid="{00000000-0005-0000-0000-000055360000}"/>
    <cellStyle name="통_수량산출서(수정)_06-부대공_02-배수공_토공_2.0토공3" xfId="13911" xr:uid="{00000000-0005-0000-0000-000056360000}"/>
    <cellStyle name="통_수량산출서(수정)_06-부대공_02-배수공_토공_2.0토공3_02.구조물및추진,도달기지토공(D구간)" xfId="13912" xr:uid="{00000000-0005-0000-0000-000057360000}"/>
    <cellStyle name="통_수량산출서(수정)_06-부대공_02-배수공_토공_보령깨기집계" xfId="13913" xr:uid="{00000000-0005-0000-0000-000058360000}"/>
    <cellStyle name="통_수량산출서(수정)_06-부대공_02-배수공_토공_보령깨기집계_02.구조물및추진,도달기지토공(D구간)" xfId="13914" xr:uid="{00000000-0005-0000-0000-000059360000}"/>
    <cellStyle name="통_수량산출서(수정)_06-부대공_02-배수공_토공_정부장님토적" xfId="13915" xr:uid="{00000000-0005-0000-0000-00005A360000}"/>
    <cellStyle name="통_수량산출서(수정)_06-부대공_02-배수공_토공_정부장님토적_02.구조물및추진,도달기지토공(D구간)" xfId="13916" xr:uid="{00000000-0005-0000-0000-00005B360000}"/>
    <cellStyle name="통_수량산출서(수정)_06-부대공_02-배수공_토공_토적표" xfId="13917" xr:uid="{00000000-0005-0000-0000-00005C360000}"/>
    <cellStyle name="통_수량산출서(수정)_06-부대공_02-배수공_토공_토적표_02.구조물및추진,도달기지토공(D구간)" xfId="13918" xr:uid="{00000000-0005-0000-0000-00005D360000}"/>
    <cellStyle name="통_수량산출서(수정)_20_깨기취합" xfId="13919" xr:uid="{00000000-0005-0000-0000-00005E360000}"/>
    <cellStyle name="통_수량산출서(수정)_20_깨기취합_발파암소할 2003 버전" xfId="13920" xr:uid="{00000000-0005-0000-0000-00005F360000}"/>
    <cellStyle name="통_수량산출서(수정)_20_깨기취합_토공수량산출서-3공구-사토" xfId="13921" xr:uid="{00000000-0005-0000-0000-000060360000}"/>
    <cellStyle name="통_수량산출서(수정)_21_깨기_배수1" xfId="13922" xr:uid="{00000000-0005-0000-0000-000061360000}"/>
    <cellStyle name="통_수량산출서(수정)_21_깨기_토공" xfId="13923" xr:uid="{00000000-0005-0000-0000-000062360000}"/>
    <cellStyle name="통_수량산출서(수정)_21_깨기_토공_발파암소할 2003 버전" xfId="13924" xr:uid="{00000000-0005-0000-0000-000063360000}"/>
    <cellStyle name="통_수량산출서(수정)_21_깨기_토공_토공수량산출서-3공구-사토" xfId="13925" xr:uid="{00000000-0005-0000-0000-000064360000}"/>
    <cellStyle name="통_수량산출서(수정)_기존구조물철거" xfId="13926" xr:uid="{00000000-0005-0000-0000-000065360000}"/>
    <cellStyle name="통_수량산출서(수정)_기존구조물철거_발파암소할 2003 버전" xfId="13927" xr:uid="{00000000-0005-0000-0000-000066360000}"/>
    <cellStyle name="통_수량산출서(수정)_기존구조물철거_토공수량산출서-3공구-사토" xfId="13928" xr:uid="{00000000-0005-0000-0000-000067360000}"/>
    <cellStyle name="통_수량산출서(수정)_기존구조물철거최종" xfId="13929" xr:uid="{00000000-0005-0000-0000-000068360000}"/>
    <cellStyle name="통_수량산출서(수정)_기존구조물철거최종_발파암소할 2003 버전" xfId="13930" xr:uid="{00000000-0005-0000-0000-000069360000}"/>
    <cellStyle name="통_수량산출서(수정)_기존구조물철거최종_토공수량산출서-3공구-사토" xfId="13931" xr:uid="{00000000-0005-0000-0000-00006A360000}"/>
    <cellStyle name="통_수량산출서(수정)_발파암소할 2003 버전" xfId="13932" xr:uid="{00000000-0005-0000-0000-00006B360000}"/>
    <cellStyle name="통_수량산출서(수정)_오수공" xfId="13933" xr:uid="{00000000-0005-0000-0000-00006C360000}"/>
    <cellStyle name="통_수량산출서(수정)_오수공_20_깨기취합" xfId="13934" xr:uid="{00000000-0005-0000-0000-00006D360000}"/>
    <cellStyle name="통_수량산출서(수정)_오수공_20_깨기취합_발파암소할 2003 버전" xfId="13935" xr:uid="{00000000-0005-0000-0000-00006E360000}"/>
    <cellStyle name="통_수량산출서(수정)_오수공_20_깨기취합_토공수량산출서-3공구-사토" xfId="13936" xr:uid="{00000000-0005-0000-0000-00006F360000}"/>
    <cellStyle name="통_수량산출서(수정)_오수공_21_깨기_배수1" xfId="13937" xr:uid="{00000000-0005-0000-0000-000070360000}"/>
    <cellStyle name="통_수량산출서(수정)_오수공_21_깨기_토공" xfId="13938" xr:uid="{00000000-0005-0000-0000-000071360000}"/>
    <cellStyle name="통_수량산출서(수정)_오수공_21_깨기_토공_발파암소할 2003 버전" xfId="13939" xr:uid="{00000000-0005-0000-0000-000072360000}"/>
    <cellStyle name="통_수량산출서(수정)_오수공_21_깨기_토공_토공수량산출서-3공구-사토" xfId="13940" xr:uid="{00000000-0005-0000-0000-000073360000}"/>
    <cellStyle name="통_수량산출서(수정)_오수공_기존구조물철거" xfId="13941" xr:uid="{00000000-0005-0000-0000-000074360000}"/>
    <cellStyle name="통_수량산출서(수정)_오수공_기존구조물철거_발파암소할 2003 버전" xfId="13942" xr:uid="{00000000-0005-0000-0000-000075360000}"/>
    <cellStyle name="통_수량산출서(수정)_오수공_기존구조물철거_토공수량산출서-3공구-사토" xfId="13943" xr:uid="{00000000-0005-0000-0000-000076360000}"/>
    <cellStyle name="통_수량산출서(수정)_오수공_기존구조물철거최종" xfId="13944" xr:uid="{00000000-0005-0000-0000-000077360000}"/>
    <cellStyle name="통_수량산출서(수정)_오수공_기존구조물철거최종_발파암소할 2003 버전" xfId="13945" xr:uid="{00000000-0005-0000-0000-000078360000}"/>
    <cellStyle name="통_수량산출서(수정)_오수공_기존구조물철거최종_토공수량산출서-3공구-사토" xfId="13946" xr:uid="{00000000-0005-0000-0000-000079360000}"/>
    <cellStyle name="통_수량산출서(수정)_오수공_발파암소할 2003 버전" xfId="13947" xr:uid="{00000000-0005-0000-0000-00007A360000}"/>
    <cellStyle name="통_수량산출서(수정)_오수공_오수공" xfId="13948" xr:uid="{00000000-0005-0000-0000-00007B360000}"/>
    <cellStyle name="통_수량산출서(수정)_오수공_오수공_20_깨기취합" xfId="13949" xr:uid="{00000000-0005-0000-0000-00007C360000}"/>
    <cellStyle name="통_수량산출서(수정)_오수공_오수공_20_깨기취합_발파암소할 2003 버전" xfId="13950" xr:uid="{00000000-0005-0000-0000-00007D360000}"/>
    <cellStyle name="통_수량산출서(수정)_오수공_오수공_20_깨기취합_토공수량산출서-3공구-사토" xfId="13951" xr:uid="{00000000-0005-0000-0000-00007E360000}"/>
    <cellStyle name="통_수량산출서(수정)_오수공_오수공_21_깨기_배수1" xfId="13952" xr:uid="{00000000-0005-0000-0000-00007F360000}"/>
    <cellStyle name="통_수량산출서(수정)_오수공_오수공_21_깨기_토공" xfId="13953" xr:uid="{00000000-0005-0000-0000-000080360000}"/>
    <cellStyle name="통_수량산출서(수정)_오수공_오수공_21_깨기_토공_발파암소할 2003 버전" xfId="13954" xr:uid="{00000000-0005-0000-0000-000081360000}"/>
    <cellStyle name="통_수량산출서(수정)_오수공_오수공_21_깨기_토공_토공수량산출서-3공구-사토" xfId="13955" xr:uid="{00000000-0005-0000-0000-000082360000}"/>
    <cellStyle name="통_수량산출서(수정)_오수공_오수공_기존구조물철거" xfId="13956" xr:uid="{00000000-0005-0000-0000-000083360000}"/>
    <cellStyle name="통_수량산출서(수정)_오수공_오수공_기존구조물철거_발파암소할 2003 버전" xfId="13957" xr:uid="{00000000-0005-0000-0000-000084360000}"/>
    <cellStyle name="통_수량산출서(수정)_오수공_오수공_기존구조물철거_토공수량산출서-3공구-사토" xfId="13958" xr:uid="{00000000-0005-0000-0000-000085360000}"/>
    <cellStyle name="통_수량산출서(수정)_오수공_오수공_기존구조물철거최종" xfId="13959" xr:uid="{00000000-0005-0000-0000-000086360000}"/>
    <cellStyle name="통_수량산출서(수정)_오수공_오수공_기존구조물철거최종_발파암소할 2003 버전" xfId="13960" xr:uid="{00000000-0005-0000-0000-000087360000}"/>
    <cellStyle name="통_수량산출서(수정)_오수공_오수공_기존구조물철거최종_토공수량산출서-3공구-사토" xfId="13961" xr:uid="{00000000-0005-0000-0000-000088360000}"/>
    <cellStyle name="통_수량산출서(수정)_오수공_오수공_발파암소할 2003 버전" xfId="13962" xr:uid="{00000000-0005-0000-0000-000089360000}"/>
    <cellStyle name="통_수량산출서(수정)_오수공_오수공_토공수량산출서-3공구-사토" xfId="13963" xr:uid="{00000000-0005-0000-0000-00008A360000}"/>
    <cellStyle name="통_수량산출서(수정)_오수공_토공수량산출서-3공구-사토" xfId="13964" xr:uid="{00000000-0005-0000-0000-00008B360000}"/>
    <cellStyle name="통_수량산출서(수정)_토공수량산출서-3공구-사토" xfId="13965" xr:uid="{00000000-0005-0000-0000-00008C360000}"/>
    <cellStyle name="통_오수공" xfId="13966" xr:uid="{00000000-0005-0000-0000-00008D360000}"/>
    <cellStyle name="통_오수공_20_깨기취합" xfId="13967" xr:uid="{00000000-0005-0000-0000-00008E360000}"/>
    <cellStyle name="통_오수공_20_깨기취합_발파암소할 2003 버전" xfId="13968" xr:uid="{00000000-0005-0000-0000-00008F360000}"/>
    <cellStyle name="통_오수공_20_깨기취합_토공수량산출서-3공구-사토" xfId="13969" xr:uid="{00000000-0005-0000-0000-000090360000}"/>
    <cellStyle name="통_오수공_21_깨기_배수1" xfId="13970" xr:uid="{00000000-0005-0000-0000-000091360000}"/>
    <cellStyle name="통_오수공_21_깨기_토공" xfId="13971" xr:uid="{00000000-0005-0000-0000-000092360000}"/>
    <cellStyle name="통_오수공_21_깨기_토공_발파암소할 2003 버전" xfId="13972" xr:uid="{00000000-0005-0000-0000-000093360000}"/>
    <cellStyle name="통_오수공_21_깨기_토공_토공수량산출서-3공구-사토" xfId="13973" xr:uid="{00000000-0005-0000-0000-000094360000}"/>
    <cellStyle name="통_오수공_기존구조물철거" xfId="13974" xr:uid="{00000000-0005-0000-0000-000095360000}"/>
    <cellStyle name="통_오수공_기존구조물철거_발파암소할 2003 버전" xfId="13975" xr:uid="{00000000-0005-0000-0000-000096360000}"/>
    <cellStyle name="통_오수공_기존구조물철거_토공수량산출서-3공구-사토" xfId="13976" xr:uid="{00000000-0005-0000-0000-000097360000}"/>
    <cellStyle name="통_오수공_기존구조물철거최종" xfId="13977" xr:uid="{00000000-0005-0000-0000-000098360000}"/>
    <cellStyle name="통_오수공_기존구조물철거최종_발파암소할 2003 버전" xfId="13978" xr:uid="{00000000-0005-0000-0000-000099360000}"/>
    <cellStyle name="통_오수공_기존구조물철거최종_토공수량산출서-3공구-사토" xfId="13979" xr:uid="{00000000-0005-0000-0000-00009A360000}"/>
    <cellStyle name="통_오수공_발파암소할 2003 버전" xfId="13980" xr:uid="{00000000-0005-0000-0000-00009B360000}"/>
    <cellStyle name="통_오수공_오수공" xfId="13981" xr:uid="{00000000-0005-0000-0000-00009C360000}"/>
    <cellStyle name="통_오수공_오수공_20_깨기취합" xfId="13982" xr:uid="{00000000-0005-0000-0000-00009D360000}"/>
    <cellStyle name="통_오수공_오수공_20_깨기취합_발파암소할 2003 버전" xfId="13983" xr:uid="{00000000-0005-0000-0000-00009E360000}"/>
    <cellStyle name="통_오수공_오수공_20_깨기취합_토공수량산출서-3공구-사토" xfId="13984" xr:uid="{00000000-0005-0000-0000-00009F360000}"/>
    <cellStyle name="통_오수공_오수공_21_깨기_배수1" xfId="13985" xr:uid="{00000000-0005-0000-0000-0000A0360000}"/>
    <cellStyle name="통_오수공_오수공_21_깨기_토공" xfId="13986" xr:uid="{00000000-0005-0000-0000-0000A1360000}"/>
    <cellStyle name="통_오수공_오수공_21_깨기_토공_발파암소할 2003 버전" xfId="13987" xr:uid="{00000000-0005-0000-0000-0000A2360000}"/>
    <cellStyle name="통_오수공_오수공_21_깨기_토공_토공수량산출서-3공구-사토" xfId="13988" xr:uid="{00000000-0005-0000-0000-0000A3360000}"/>
    <cellStyle name="통_오수공_오수공_기존구조물철거" xfId="13989" xr:uid="{00000000-0005-0000-0000-0000A4360000}"/>
    <cellStyle name="통_오수공_오수공_기존구조물철거_발파암소할 2003 버전" xfId="13990" xr:uid="{00000000-0005-0000-0000-0000A5360000}"/>
    <cellStyle name="통_오수공_오수공_기존구조물철거_토공수량산출서-3공구-사토" xfId="13991" xr:uid="{00000000-0005-0000-0000-0000A6360000}"/>
    <cellStyle name="통_오수공_오수공_기존구조물철거최종" xfId="13992" xr:uid="{00000000-0005-0000-0000-0000A7360000}"/>
    <cellStyle name="통_오수공_오수공_기존구조물철거최종_발파암소할 2003 버전" xfId="13993" xr:uid="{00000000-0005-0000-0000-0000A8360000}"/>
    <cellStyle name="통_오수공_오수공_기존구조물철거최종_토공수량산출서-3공구-사토" xfId="13994" xr:uid="{00000000-0005-0000-0000-0000A9360000}"/>
    <cellStyle name="통_오수공_오수공_발파암소할 2003 버전" xfId="13995" xr:uid="{00000000-0005-0000-0000-0000AA360000}"/>
    <cellStyle name="통_오수공_오수공_토공수량산출서-3공구-사토" xfId="13996" xr:uid="{00000000-0005-0000-0000-0000AB360000}"/>
    <cellStyle name="통_오수공_토공수량산출서-3공구-사토" xfId="13997" xr:uid="{00000000-0005-0000-0000-0000AC360000}"/>
    <cellStyle name="통_이형관재료계산서" xfId="13998" xr:uid="{00000000-0005-0000-0000-0000AD360000}"/>
    <cellStyle name="통_이형관재료계산서_관수량 (2)" xfId="13999" xr:uid="{00000000-0005-0000-0000-0000AE360000}"/>
    <cellStyle name="통_이형관재료계산서_관자재" xfId="14000" xr:uid="{00000000-0005-0000-0000-0000AF360000}"/>
    <cellStyle name="통_이형관재료계산서_수량산출" xfId="14001" xr:uid="{00000000-0005-0000-0000-0000B0360000}"/>
    <cellStyle name="통_지하시설물조사측량(R1)" xfId="14002" xr:uid="{00000000-0005-0000-0000-0000B1360000}"/>
    <cellStyle name="통_최종설계내역서" xfId="14003" xr:uid="{00000000-0005-0000-0000-0000B2360000}"/>
    <cellStyle name="통_최종설계내역서(변경)" xfId="14004" xr:uid="{00000000-0005-0000-0000-0000B3360000}"/>
    <cellStyle name="통_최종설계내역서(변경)_지하시설물조사측량(R1)" xfId="14005" xr:uid="{00000000-0005-0000-0000-0000B4360000}"/>
    <cellStyle name="통_최종설계내역서(변경)_지하시설물조사측량(R1)_발주내역서" xfId="14006" xr:uid="{00000000-0005-0000-0000-0000B5360000}"/>
    <cellStyle name="통_최종설계내역서(변경)_지하시설물조사측량(R1)_발주내역서(8(1).9)-원본" xfId="14007" xr:uid="{00000000-0005-0000-0000-0000B6360000}"/>
    <cellStyle name="통_최종설계내역서(변경)_지하시설물조사측량(R1)_발주내역서-서울시발송수정" xfId="14008" xr:uid="{00000000-0005-0000-0000-0000B7360000}"/>
    <cellStyle name="통_최종설계내역서(변경)_지하시설물조사측량(R1)_설계내역서(2010(1).1.13)" xfId="14009" xr:uid="{00000000-0005-0000-0000-0000B8360000}"/>
    <cellStyle name="통_최종설계내역서(변경)_지하시설물조사측량(R1)_총괄" xfId="14010" xr:uid="{00000000-0005-0000-0000-0000B9360000}"/>
    <cellStyle name="통_최종설계내역서_지하시설물조사측량(R1)" xfId="14011" xr:uid="{00000000-0005-0000-0000-0000BA360000}"/>
    <cellStyle name="통_최종설계내역서_지하시설물조사측량(R1)_발주내역서" xfId="14012" xr:uid="{00000000-0005-0000-0000-0000BB360000}"/>
    <cellStyle name="통_최종설계내역서_지하시설물조사측량(R1)_발주내역서(8(1).9)-원본" xfId="14013" xr:uid="{00000000-0005-0000-0000-0000BC360000}"/>
    <cellStyle name="통_최종설계내역서_지하시설물조사측량(R1)_발주내역서-서울시발송수정" xfId="14014" xr:uid="{00000000-0005-0000-0000-0000BD360000}"/>
    <cellStyle name="통_최종설계내역서_지하시설물조사측량(R1)_설계내역서(2010(1).1.13)" xfId="14015" xr:uid="{00000000-0005-0000-0000-0000BE360000}"/>
    <cellStyle name="통_최종설계내역서_지하시설물조사측량(R1)_총괄" xfId="14016" xr:uid="{00000000-0005-0000-0000-0000BF360000}"/>
    <cellStyle name="통_토공수량산출서-3공구-사토" xfId="14017" xr:uid="{00000000-0005-0000-0000-0000C0360000}"/>
    <cellStyle name="통_토취장 변경내역" xfId="14018" xr:uid="{00000000-0005-0000-0000-0000C1360000}"/>
    <cellStyle name="통_토취장_변경내역" xfId="14019" xr:uid="{00000000-0005-0000-0000-0000C2360000}"/>
    <cellStyle name="통_토취장_변경내역(수자원)" xfId="14020" xr:uid="{00000000-0005-0000-0000-0000C3360000}"/>
    <cellStyle name="통_하수처리시설(황간)" xfId="14021" xr:uid="{00000000-0005-0000-0000-0000C4360000}"/>
    <cellStyle name="통_하수처리시설(황간)_배수설비 제원표" xfId="14022" xr:uid="{00000000-0005-0000-0000-0000C5360000}"/>
    <cellStyle name="통_하수처리시설(황간)_배수설비 제원표_배수설비 수량(장선)" xfId="14023" xr:uid="{00000000-0005-0000-0000-0000C6360000}"/>
    <cellStyle name="통화 [" xfId="14024" xr:uid="{00000000-0005-0000-0000-0000C7360000}"/>
    <cellStyle name="통화 [ 2" xfId="14025" xr:uid="{00000000-0005-0000-0000-0000C8360000}"/>
    <cellStyle name="通貨 [0.00]_　配車(by matue)" xfId="14026" xr:uid="{00000000-0005-0000-0000-0000C9360000}"/>
    <cellStyle name="통화 [0] 2" xfId="14027" xr:uid="{00000000-0005-0000-0000-0000CA360000}"/>
    <cellStyle name="통화 [0] 2 2" xfId="14028" xr:uid="{00000000-0005-0000-0000-0000CB360000}"/>
    <cellStyle name="통화 [0] 3" xfId="14029" xr:uid="{00000000-0005-0000-0000-0000CC360000}"/>
    <cellStyle name="통화 [0㉝〸" xfId="14030" xr:uid="{00000000-0005-0000-0000-0000CD360000}"/>
    <cellStyle name="通貨_　配車(by matue)" xfId="14031" xr:uid="{00000000-0005-0000-0000-0000CE360000}"/>
    <cellStyle name="퍼센트" xfId="14032" xr:uid="{00000000-0005-0000-0000-0000CF360000}"/>
    <cellStyle name="퍼센트 2" xfId="14033" xr:uid="{00000000-0005-0000-0000-0000D0360000}"/>
    <cellStyle name="퍼센트 3" xfId="14034" xr:uid="{00000000-0005-0000-0000-0000D1360000}"/>
    <cellStyle name="평" xfId="14035" xr:uid="{00000000-0005-0000-0000-0000D2360000}"/>
    <cellStyle name="평_Financial model_ver1" xfId="14036" xr:uid="{00000000-0005-0000-0000-0000D3360000}"/>
    <cellStyle name="평_Financial model_ver1_사업단예산내역서" xfId="14037" xr:uid="{00000000-0005-0000-0000-0000D4360000}"/>
    <cellStyle name="평_Financial model_ver1_사업단예산내역서(제주)" xfId="14038" xr:uid="{00000000-0005-0000-0000-0000D5360000}"/>
    <cellStyle name="평_FinancialModel1108(2)" xfId="14039" xr:uid="{00000000-0005-0000-0000-0000D6360000}"/>
    <cellStyle name="평_FinancialModel1108(2)_사업단예산내역서" xfId="14040" xr:uid="{00000000-0005-0000-0000-0000D7360000}"/>
    <cellStyle name="평_FinancialModel1108(2)_사업단예산내역서(제주)" xfId="14041" xr:uid="{00000000-0005-0000-0000-0000D8360000}"/>
    <cellStyle name="평_MODEL_0117" xfId="14042" xr:uid="{00000000-0005-0000-0000-0000D9360000}"/>
    <cellStyle name="평_MODEL_0117_사업단예산내역서" xfId="14043" xr:uid="{00000000-0005-0000-0000-0000DA360000}"/>
    <cellStyle name="평_MODEL_0117_사업단예산내역서(제주)" xfId="14044" xr:uid="{00000000-0005-0000-0000-0000DB360000}"/>
    <cellStyle name="평_MODEL_0118" xfId="14045" xr:uid="{00000000-0005-0000-0000-0000DC360000}"/>
    <cellStyle name="평_MODEL_0118_사업단예산내역서" xfId="14046" xr:uid="{00000000-0005-0000-0000-0000DD360000}"/>
    <cellStyle name="평_MODEL_0118_사업단예산내역서(제주)" xfId="14047" xr:uid="{00000000-0005-0000-0000-0000DE360000}"/>
    <cellStyle name="평_Model_0317" xfId="14048" xr:uid="{00000000-0005-0000-0000-0000DF360000}"/>
    <cellStyle name="평_Model_0317_사업단예산내역서" xfId="14049" xr:uid="{00000000-0005-0000-0000-0000E0360000}"/>
    <cellStyle name="평_Model_0317_사업단예산내역서(제주)" xfId="14050" xr:uid="{00000000-0005-0000-0000-0000E1360000}"/>
    <cellStyle name="평_대안1(1129)" xfId="14051" xr:uid="{00000000-0005-0000-0000-0000E2360000}"/>
    <cellStyle name="평_대안1(1129)_사업단예산내역서" xfId="14052" xr:uid="{00000000-0005-0000-0000-0000E3360000}"/>
    <cellStyle name="평_대안1(1129)_사업단예산내역서(제주)" xfId="14053" xr:uid="{00000000-0005-0000-0000-0000E4360000}"/>
    <cellStyle name="평_대안2(1201)" xfId="14054" xr:uid="{00000000-0005-0000-0000-0000E5360000}"/>
    <cellStyle name="평_대안2(1201)_사업단예산내역서" xfId="14055" xr:uid="{00000000-0005-0000-0000-0000E6360000}"/>
    <cellStyle name="평_대안2(1201)_사업단예산내역서(제주)" xfId="14056" xr:uid="{00000000-0005-0000-0000-0000E7360000}"/>
    <cellStyle name="평_사본 - MODEL_0105" xfId="14057" xr:uid="{00000000-0005-0000-0000-0000E8360000}"/>
    <cellStyle name="평_사본 - MODEL_0105_사업단예산내역서" xfId="14058" xr:uid="{00000000-0005-0000-0000-0000E9360000}"/>
    <cellStyle name="평_사본 - MODEL_0105_사업단예산내역서(제주)" xfId="14059" xr:uid="{00000000-0005-0000-0000-0000EA360000}"/>
    <cellStyle name="평_사본 - 사본 - 사본 - MODEL_0105" xfId="14060" xr:uid="{00000000-0005-0000-0000-0000EB360000}"/>
    <cellStyle name="평_사본 - 사본 - 사본 - MODEL_0105_사업단예산내역서" xfId="14061" xr:uid="{00000000-0005-0000-0000-0000EC360000}"/>
    <cellStyle name="평_사본 - 사본 - 사본 - MODEL_0105_사업단예산내역서(제주)" xfId="14062" xr:uid="{00000000-0005-0000-0000-0000ED360000}"/>
    <cellStyle name="평_사업단예산내역서" xfId="14063" xr:uid="{00000000-0005-0000-0000-0000EE360000}"/>
    <cellStyle name="평_사업단예산내역서(제주)" xfId="14064" xr:uid="{00000000-0005-0000-0000-0000EF360000}"/>
    <cellStyle name="평_최종내부보고" xfId="14065" xr:uid="{00000000-0005-0000-0000-0000F0360000}"/>
    <cellStyle name="평_최종내부보고_사업단예산내역서" xfId="14066" xr:uid="{00000000-0005-0000-0000-0000F1360000}"/>
    <cellStyle name="평_최종내부보고_사업단예산내역서(제주)" xfId="14067" xr:uid="{00000000-0005-0000-0000-0000F2360000}"/>
    <cellStyle name="평_평택STP_01_09_27" xfId="14068" xr:uid="{00000000-0005-0000-0000-0000F3360000}"/>
    <cellStyle name="평_평택STP_01_09_27_FinancialModel1108" xfId="14069" xr:uid="{00000000-0005-0000-0000-0000F4360000}"/>
    <cellStyle name="평_평택STP_01_09_27_FinancialModel1108_Financial model_ver1" xfId="14070" xr:uid="{00000000-0005-0000-0000-0000F5360000}"/>
    <cellStyle name="평_평택STP_01_09_27_FinancialModel1108_Financial model_ver1_사업단예산내역서" xfId="14071" xr:uid="{00000000-0005-0000-0000-0000F6360000}"/>
    <cellStyle name="평_평택STP_01_09_27_FinancialModel1108_Financial model_ver1_사업단예산내역서(제주)" xfId="14072" xr:uid="{00000000-0005-0000-0000-0000F7360000}"/>
    <cellStyle name="평_평택STP_01_09_27_FinancialModel1108_FinancialModel1108(2)" xfId="14073" xr:uid="{00000000-0005-0000-0000-0000F8360000}"/>
    <cellStyle name="평_평택STP_01_09_27_FinancialModel1108_FinancialModel1108(2)_사업단예산내역서" xfId="14074" xr:uid="{00000000-0005-0000-0000-0000F9360000}"/>
    <cellStyle name="평_평택STP_01_09_27_FinancialModel1108_FinancialModel1108(2)_사업단예산내역서(제주)" xfId="14075" xr:uid="{00000000-0005-0000-0000-0000FA360000}"/>
    <cellStyle name="평_평택STP_01_09_27_FinancialModel1108_MODEL_0117" xfId="14076" xr:uid="{00000000-0005-0000-0000-0000FB360000}"/>
    <cellStyle name="평_평택STP_01_09_27_FinancialModel1108_MODEL_0117_사업단예산내역서" xfId="14077" xr:uid="{00000000-0005-0000-0000-0000FC360000}"/>
    <cellStyle name="평_평택STP_01_09_27_FinancialModel1108_MODEL_0117_사업단예산내역서(제주)" xfId="14078" xr:uid="{00000000-0005-0000-0000-0000FD360000}"/>
    <cellStyle name="평_평택STP_01_09_27_FinancialModel1108_MODEL_0118" xfId="14079" xr:uid="{00000000-0005-0000-0000-0000FE360000}"/>
    <cellStyle name="평_평택STP_01_09_27_FinancialModel1108_MODEL_0118_사업단예산내역서" xfId="14080" xr:uid="{00000000-0005-0000-0000-0000FF360000}"/>
    <cellStyle name="평_평택STP_01_09_27_FinancialModel1108_MODEL_0118_사업단예산내역서(제주)" xfId="14081" xr:uid="{00000000-0005-0000-0000-000000370000}"/>
    <cellStyle name="평_평택STP_01_09_27_FinancialModel1108_Model_0317" xfId="14082" xr:uid="{00000000-0005-0000-0000-000001370000}"/>
    <cellStyle name="평_평택STP_01_09_27_FinancialModel1108_Model_0317_사업단예산내역서" xfId="14083" xr:uid="{00000000-0005-0000-0000-000002370000}"/>
    <cellStyle name="평_평택STP_01_09_27_FinancialModel1108_Model_0317_사업단예산내역서(제주)" xfId="14084" xr:uid="{00000000-0005-0000-0000-000003370000}"/>
    <cellStyle name="평_평택STP_01_09_27_FinancialModel1108_대안1(1129)" xfId="14085" xr:uid="{00000000-0005-0000-0000-000004370000}"/>
    <cellStyle name="평_평택STP_01_09_27_FinancialModel1108_대안1(1129)_사업단예산내역서" xfId="14086" xr:uid="{00000000-0005-0000-0000-000005370000}"/>
    <cellStyle name="평_평택STP_01_09_27_FinancialModel1108_대안1(1129)_사업단예산내역서(제주)" xfId="14087" xr:uid="{00000000-0005-0000-0000-000006370000}"/>
    <cellStyle name="평_평택STP_01_09_27_FinancialModel1108_대안2(1201)" xfId="14088" xr:uid="{00000000-0005-0000-0000-000007370000}"/>
    <cellStyle name="평_평택STP_01_09_27_FinancialModel1108_대안2(1201)_사업단예산내역서" xfId="14089" xr:uid="{00000000-0005-0000-0000-000008370000}"/>
    <cellStyle name="평_평택STP_01_09_27_FinancialModel1108_대안2(1201)_사업단예산내역서(제주)" xfId="14090" xr:uid="{00000000-0005-0000-0000-000009370000}"/>
    <cellStyle name="평_평택STP_01_09_27_FinancialModel1108_사본 - MODEL_0105" xfId="14091" xr:uid="{00000000-0005-0000-0000-00000A370000}"/>
    <cellStyle name="평_평택STP_01_09_27_FinancialModel1108_사본 - MODEL_0105_사업단예산내역서" xfId="14092" xr:uid="{00000000-0005-0000-0000-00000B370000}"/>
    <cellStyle name="평_평택STP_01_09_27_FinancialModel1108_사본 - MODEL_0105_사업단예산내역서(제주)" xfId="14093" xr:uid="{00000000-0005-0000-0000-00000C370000}"/>
    <cellStyle name="평_평택STP_01_09_27_FinancialModel1108_사본 - 사본 - 사본 - MODEL_0105" xfId="14094" xr:uid="{00000000-0005-0000-0000-00000D370000}"/>
    <cellStyle name="평_평택STP_01_09_27_FinancialModel1108_사본 - 사본 - 사본 - MODEL_0105_사업단예산내역서" xfId="14095" xr:uid="{00000000-0005-0000-0000-00000E370000}"/>
    <cellStyle name="평_평택STP_01_09_27_FinancialModel1108_사본 - 사본 - 사본 - MODEL_0105_사업단예산내역서(제주)" xfId="14096" xr:uid="{00000000-0005-0000-0000-00000F370000}"/>
    <cellStyle name="평_평택STP_01_09_27_FinancialModel1108_사업단예산내역서" xfId="14097" xr:uid="{00000000-0005-0000-0000-000010370000}"/>
    <cellStyle name="평_평택STP_01_09_27_FinancialModel1108_사업단예산내역서(제주)" xfId="14098" xr:uid="{00000000-0005-0000-0000-000011370000}"/>
    <cellStyle name="평_평택STP_01_09_27_Pt" xfId="14099" xr:uid="{00000000-0005-0000-0000-000012370000}"/>
    <cellStyle name="평_평택STP_01_09_27_Pt_Financial model_ver1" xfId="14100" xr:uid="{00000000-0005-0000-0000-000013370000}"/>
    <cellStyle name="평_평택STP_01_09_27_Pt_Financial model_ver1_사업단예산내역서" xfId="14101" xr:uid="{00000000-0005-0000-0000-000014370000}"/>
    <cellStyle name="평_평택STP_01_09_27_Pt_Financial model_ver1_사업단예산내역서(제주)" xfId="14102" xr:uid="{00000000-0005-0000-0000-000015370000}"/>
    <cellStyle name="평_평택STP_01_09_27_Pt_FinancialModel1108(2)" xfId="14103" xr:uid="{00000000-0005-0000-0000-000016370000}"/>
    <cellStyle name="평_평택STP_01_09_27_Pt_FinancialModel1108(2)_사업단예산내역서" xfId="14104" xr:uid="{00000000-0005-0000-0000-000017370000}"/>
    <cellStyle name="평_평택STP_01_09_27_Pt_FinancialModel1108(2)_사업단예산내역서(제주)" xfId="14105" xr:uid="{00000000-0005-0000-0000-000018370000}"/>
    <cellStyle name="평_평택STP_01_09_27_Pt_MODEL_0117" xfId="14106" xr:uid="{00000000-0005-0000-0000-000019370000}"/>
    <cellStyle name="평_평택STP_01_09_27_Pt_MODEL_0117_사업단예산내역서" xfId="14107" xr:uid="{00000000-0005-0000-0000-00001A370000}"/>
    <cellStyle name="평_평택STP_01_09_27_Pt_MODEL_0117_사업단예산내역서(제주)" xfId="14108" xr:uid="{00000000-0005-0000-0000-00001B370000}"/>
    <cellStyle name="평_평택STP_01_09_27_Pt_MODEL_0118" xfId="14109" xr:uid="{00000000-0005-0000-0000-00001C370000}"/>
    <cellStyle name="평_평택STP_01_09_27_Pt_MODEL_0118_사업단예산내역서" xfId="14110" xr:uid="{00000000-0005-0000-0000-00001D370000}"/>
    <cellStyle name="평_평택STP_01_09_27_Pt_MODEL_0118_사업단예산내역서(제주)" xfId="14111" xr:uid="{00000000-0005-0000-0000-00001E370000}"/>
    <cellStyle name="평_평택STP_01_09_27_Pt_Model_0317" xfId="14112" xr:uid="{00000000-0005-0000-0000-00001F370000}"/>
    <cellStyle name="평_평택STP_01_09_27_Pt_Model_0317_사업단예산내역서" xfId="14113" xr:uid="{00000000-0005-0000-0000-000020370000}"/>
    <cellStyle name="평_평택STP_01_09_27_Pt_Model_0317_사업단예산내역서(제주)" xfId="14114" xr:uid="{00000000-0005-0000-0000-000021370000}"/>
    <cellStyle name="평_평택STP_01_09_27_Pt_대안1(1129)" xfId="14115" xr:uid="{00000000-0005-0000-0000-000022370000}"/>
    <cellStyle name="평_평택STP_01_09_27_Pt_대안1(1129)_사업단예산내역서" xfId="14116" xr:uid="{00000000-0005-0000-0000-000023370000}"/>
    <cellStyle name="평_평택STP_01_09_27_Pt_대안1(1129)_사업단예산내역서(제주)" xfId="14117" xr:uid="{00000000-0005-0000-0000-000024370000}"/>
    <cellStyle name="평_평택STP_01_09_27_Pt_대안2(1201)" xfId="14118" xr:uid="{00000000-0005-0000-0000-000025370000}"/>
    <cellStyle name="평_평택STP_01_09_27_Pt_대안2(1201)_사업단예산내역서" xfId="14119" xr:uid="{00000000-0005-0000-0000-000026370000}"/>
    <cellStyle name="평_평택STP_01_09_27_Pt_대안2(1201)_사업단예산내역서(제주)" xfId="14120" xr:uid="{00000000-0005-0000-0000-000027370000}"/>
    <cellStyle name="평_평택STP_01_09_27_Pt_사본 - MODEL_0105" xfId="14121" xr:uid="{00000000-0005-0000-0000-000028370000}"/>
    <cellStyle name="평_평택STP_01_09_27_Pt_사본 - MODEL_0105_사업단예산내역서" xfId="14122" xr:uid="{00000000-0005-0000-0000-000029370000}"/>
    <cellStyle name="평_평택STP_01_09_27_Pt_사본 - MODEL_0105_사업단예산내역서(제주)" xfId="14123" xr:uid="{00000000-0005-0000-0000-00002A370000}"/>
    <cellStyle name="평_평택STP_01_09_27_Pt_사본 - 사본 - 사본 - MODEL_0105" xfId="14124" xr:uid="{00000000-0005-0000-0000-00002B370000}"/>
    <cellStyle name="평_평택STP_01_09_27_Pt_사본 - 사본 - 사본 - MODEL_0105_사업단예산내역서" xfId="14125" xr:uid="{00000000-0005-0000-0000-00002C370000}"/>
    <cellStyle name="평_평택STP_01_09_27_Pt_사본 - 사본 - 사본 - MODEL_0105_사업단예산내역서(제주)" xfId="14126" xr:uid="{00000000-0005-0000-0000-00002D370000}"/>
    <cellStyle name="평_평택STP_01_09_27_Pt_사업단예산내역서" xfId="14127" xr:uid="{00000000-0005-0000-0000-00002E370000}"/>
    <cellStyle name="평_평택STP_01_09_27_Pt_사업단예산내역서(제주)" xfId="14128" xr:uid="{00000000-0005-0000-0000-00002F370000}"/>
    <cellStyle name="평_평택STP_01_09_27_사업단예산내역서" xfId="14129" xr:uid="{00000000-0005-0000-0000-000030370000}"/>
    <cellStyle name="평_평택STP_01_09_27_사업단예산내역서(제주)" xfId="14130" xr:uid="{00000000-0005-0000-0000-000031370000}"/>
    <cellStyle name="표" xfId="14131" xr:uid="{00000000-0005-0000-0000-000032370000}"/>
    <cellStyle name="표 2" xfId="14132" xr:uid="{00000000-0005-0000-0000-000033370000}"/>
    <cellStyle name="표(가는선,가운데,중앙)" xfId="14133" xr:uid="{00000000-0005-0000-0000-000034370000}"/>
    <cellStyle name="표(가는선,왼쪽,중앙)" xfId="14134" xr:uid="{00000000-0005-0000-0000-000035370000}"/>
    <cellStyle name="표(세로쓰기)" xfId="14135" xr:uid="{00000000-0005-0000-0000-000036370000}"/>
    <cellStyle name="표_00_토공1공구_총괄" xfId="14136" xr:uid="{00000000-0005-0000-0000-000037370000}"/>
    <cellStyle name="표_00_토공2공구_총괄--" xfId="14137" xr:uid="{00000000-0005-0000-0000-000038370000}"/>
    <cellStyle name="표_00설계예산서(계약)" xfId="14138" xr:uid="{00000000-0005-0000-0000-000039370000}"/>
    <cellStyle name="표_00설계예산서(계약)_지하시설물조사측량(R1)" xfId="14139" xr:uid="{00000000-0005-0000-0000-00003A370000}"/>
    <cellStyle name="표_01-02.맨홀토공(OPEN-0.3)D-LINE" xfId="14140" xr:uid="{00000000-0005-0000-0000-00003B370000}"/>
    <cellStyle name="표_01-02.맨홀토공(OPEN-0.3)D-LINE_01-02.맨홀토공(OPEN-0.3)C-LINE" xfId="14141" xr:uid="{00000000-0005-0000-0000-00003C370000}"/>
    <cellStyle name="표_01-02.맨홀토공(OPEN-0.3)D-LINE_01-02.맨홀토공(OPEN-0.3)C-LINE_02.구조물및추진,도달기지토공(D구간)" xfId="14142" xr:uid="{00000000-0005-0000-0000-00003D370000}"/>
    <cellStyle name="표_01-02.맨홀토공(OPEN-0.3)D-LINE_01-02.맨홀토공(OPEN-0.3)D-LINE" xfId="14143" xr:uid="{00000000-0005-0000-0000-00003E370000}"/>
    <cellStyle name="표_01-02.맨홀토공(OPEN-0.3)D-LINE_01-02.맨홀토공(OPEN-0.3)D-LINE_02.구조물및추진,도달기지토공(D구간)" xfId="14144" xr:uid="{00000000-0005-0000-0000-00003F370000}"/>
    <cellStyle name="표_01-02.맨홀토공(OPEN-0.3)D-LINE_02.구조물및추진,도달기지토공(D구간)" xfId="14145" xr:uid="{00000000-0005-0000-0000-000040370000}"/>
    <cellStyle name="표_01-3.옥구오수신설  맨홀토공(OPEN-0.3)" xfId="14146" xr:uid="{00000000-0005-0000-0000-000041370000}"/>
    <cellStyle name="표_01-3.옥구오수신설  맨홀토공(OPEN-0.3)_01-02.맨홀토공(OPEN-0.3)C-LINE" xfId="14147" xr:uid="{00000000-0005-0000-0000-000042370000}"/>
    <cellStyle name="표_01-3.옥구오수신설  맨홀토공(OPEN-0.3)_01-02.맨홀토공(OPEN-0.3)C-LINE_02.구조물및추진,도달기지토공(D구간)" xfId="14148" xr:uid="{00000000-0005-0000-0000-000043370000}"/>
    <cellStyle name="표_01-3.옥구오수신설  맨홀토공(OPEN-0.3)_01-02.맨홀토공(OPEN-0.3)D-LINE" xfId="14149" xr:uid="{00000000-0005-0000-0000-000044370000}"/>
    <cellStyle name="표_01-3.옥구오수신설  맨홀토공(OPEN-0.3)_01-02.맨홀토공(OPEN-0.3)D-LINE_02.구조물및추진,도달기지토공(D구간)" xfId="14150" xr:uid="{00000000-0005-0000-0000-000045370000}"/>
    <cellStyle name="표_01-3.옥구오수신설  맨홀토공(OPEN-0.3)_02.구조물및추진,도달기지토공(D구간)" xfId="14151" xr:uid="{00000000-0005-0000-0000-000046370000}"/>
    <cellStyle name="표_01-3.옥서오수신설  맨홀토공(OPEN-0.3)" xfId="14152" xr:uid="{00000000-0005-0000-0000-000047370000}"/>
    <cellStyle name="표_01-3.옥서오수신설  맨홀토공(OPEN-0.3)_01-02.맨홀토공(OPEN-0.3)C-LINE" xfId="14153" xr:uid="{00000000-0005-0000-0000-000048370000}"/>
    <cellStyle name="표_01-3.옥서오수신설  맨홀토공(OPEN-0.3)_01-02.맨홀토공(OPEN-0.3)C-LINE_02.구조물및추진,도달기지토공(D구간)" xfId="14154" xr:uid="{00000000-0005-0000-0000-000049370000}"/>
    <cellStyle name="표_01-3.옥서오수신설  맨홀토공(OPEN-0.3)_01-02.맨홀토공(OPEN-0.3)D-LINE" xfId="14155" xr:uid="{00000000-0005-0000-0000-00004A370000}"/>
    <cellStyle name="표_01-3.옥서오수신설  맨홀토공(OPEN-0.3)_01-02.맨홀토공(OPEN-0.3)D-LINE_02.구조물및추진,도달기지토공(D구간)" xfId="14156" xr:uid="{00000000-0005-0000-0000-00004B370000}"/>
    <cellStyle name="표_01-3.옥서오수신설  맨홀토공(OPEN-0.3)_02.구조물및추진,도달기지토공(D구간)" xfId="14157" xr:uid="{00000000-0005-0000-0000-00004C370000}"/>
    <cellStyle name="표_01-토공_02-배수공" xfId="14158" xr:uid="{00000000-0005-0000-0000-00004D370000}"/>
    <cellStyle name="표_01-토공_02-배수공_02.구조물및추진,도달기지토공(D구간)" xfId="14159" xr:uid="{00000000-0005-0000-0000-00004E370000}"/>
    <cellStyle name="표_01-토공_02-배수공_토공" xfId="14160" xr:uid="{00000000-0005-0000-0000-00004F370000}"/>
    <cellStyle name="표_01-토공_02-배수공_토공_02.구조물및추진,도달기지토공(D구간)" xfId="14161" xr:uid="{00000000-0005-0000-0000-000050370000}"/>
    <cellStyle name="표_01-토공_02-배수공_토공_2.0토공3" xfId="14162" xr:uid="{00000000-0005-0000-0000-000051370000}"/>
    <cellStyle name="표_01-토공_02-배수공_토공_2.0토공3_02.구조물및추진,도달기지토공(D구간)" xfId="14163" xr:uid="{00000000-0005-0000-0000-000052370000}"/>
    <cellStyle name="표_01-토공_02-배수공_토공_보령깨기집계" xfId="14164" xr:uid="{00000000-0005-0000-0000-000053370000}"/>
    <cellStyle name="표_01-토공_02-배수공_토공_보령깨기집계_02.구조물및추진,도달기지토공(D구간)" xfId="14165" xr:uid="{00000000-0005-0000-0000-000054370000}"/>
    <cellStyle name="표_01-토공_02-배수공_토공_정부장님토적" xfId="14166" xr:uid="{00000000-0005-0000-0000-000055370000}"/>
    <cellStyle name="표_01-토공_02-배수공_토공_정부장님토적_02.구조물및추진,도달기지토공(D구간)" xfId="14167" xr:uid="{00000000-0005-0000-0000-000056370000}"/>
    <cellStyle name="표_01-토공_02-배수공_토공_토적표" xfId="14168" xr:uid="{00000000-0005-0000-0000-000057370000}"/>
    <cellStyle name="표_01-토공_02-배수공_토공_토적표_02.구조물및추진,도달기지토공(D구간)" xfId="14169" xr:uid="{00000000-0005-0000-0000-000058370000}"/>
    <cellStyle name="표_02.구조물및추진,도달기지토공(D구간)" xfId="14170" xr:uid="{00000000-0005-0000-0000-000059370000}"/>
    <cellStyle name="표_02-배수공" xfId="14171" xr:uid="{00000000-0005-0000-0000-00005A370000}"/>
    <cellStyle name="표_02-배수공_02.구조물및추진,도달기지토공(D구간)" xfId="14172" xr:uid="{00000000-0005-0000-0000-00005B370000}"/>
    <cellStyle name="표_02-배수공_02-반중력식옹벽" xfId="14173" xr:uid="{00000000-0005-0000-0000-00005C370000}"/>
    <cellStyle name="표_02-배수공_02-반중력식옹벽_02.구조물및추진,도달기지토공(D구간)" xfId="14174" xr:uid="{00000000-0005-0000-0000-00005D370000}"/>
    <cellStyle name="표_02-배수공_02-반중력식옹벽_토공" xfId="14175" xr:uid="{00000000-0005-0000-0000-00005E370000}"/>
    <cellStyle name="표_02-배수공_02-반중력식옹벽_토공_02.구조물및추진,도달기지토공(D구간)" xfId="14176" xr:uid="{00000000-0005-0000-0000-00005F370000}"/>
    <cellStyle name="표_02-배수공_02-반중력식옹벽_토공_2.0토공3" xfId="14177" xr:uid="{00000000-0005-0000-0000-000060370000}"/>
    <cellStyle name="표_02-배수공_02-반중력식옹벽_토공_2.0토공3_02.구조물및추진,도달기지토공(D구간)" xfId="14178" xr:uid="{00000000-0005-0000-0000-000061370000}"/>
    <cellStyle name="표_02-배수공_02-반중력식옹벽_토공_보령깨기집계" xfId="14179" xr:uid="{00000000-0005-0000-0000-000062370000}"/>
    <cellStyle name="표_02-배수공_02-반중력식옹벽_토공_보령깨기집계_02.구조물및추진,도달기지토공(D구간)" xfId="14180" xr:uid="{00000000-0005-0000-0000-000063370000}"/>
    <cellStyle name="표_02-배수공_02-반중력식옹벽_토공_정부장님토적" xfId="14181" xr:uid="{00000000-0005-0000-0000-000064370000}"/>
    <cellStyle name="표_02-배수공_02-반중력식옹벽_토공_정부장님토적_02.구조물및추진,도달기지토공(D구간)" xfId="14182" xr:uid="{00000000-0005-0000-0000-000065370000}"/>
    <cellStyle name="표_02-배수공_02-반중력식옹벽_토공_토적표" xfId="14183" xr:uid="{00000000-0005-0000-0000-000066370000}"/>
    <cellStyle name="표_02-배수공_02-반중력식옹벽_토공_토적표_02.구조물및추진,도달기지토공(D구간)" xfId="14184" xr:uid="{00000000-0005-0000-0000-000067370000}"/>
    <cellStyle name="표_02-배수공_02-배수공" xfId="14185" xr:uid="{00000000-0005-0000-0000-000068370000}"/>
    <cellStyle name="표_02-배수공_02-배수공_02.구조물및추진,도달기지토공(D구간)" xfId="14186" xr:uid="{00000000-0005-0000-0000-000069370000}"/>
    <cellStyle name="표_02-배수공_02-배수공_토공" xfId="14187" xr:uid="{00000000-0005-0000-0000-00006A370000}"/>
    <cellStyle name="표_02-배수공_02-배수공_토공_02.구조물및추진,도달기지토공(D구간)" xfId="14188" xr:uid="{00000000-0005-0000-0000-00006B370000}"/>
    <cellStyle name="표_02-배수공_02-배수공_토공_2.0토공3" xfId="14189" xr:uid="{00000000-0005-0000-0000-00006C370000}"/>
    <cellStyle name="표_02-배수공_02-배수공_토공_2.0토공3_02.구조물및추진,도달기지토공(D구간)" xfId="14190" xr:uid="{00000000-0005-0000-0000-00006D370000}"/>
    <cellStyle name="표_02-배수공_02-배수공_토공_보령깨기집계" xfId="14191" xr:uid="{00000000-0005-0000-0000-00006E370000}"/>
    <cellStyle name="표_02-배수공_02-배수공_토공_보령깨기집계_02.구조물및추진,도달기지토공(D구간)" xfId="14192" xr:uid="{00000000-0005-0000-0000-00006F370000}"/>
    <cellStyle name="표_02-배수공_02-배수공_토공_정부장님토적" xfId="14193" xr:uid="{00000000-0005-0000-0000-000070370000}"/>
    <cellStyle name="표_02-배수공_02-배수공_토공_정부장님토적_02.구조물및추진,도달기지토공(D구간)" xfId="14194" xr:uid="{00000000-0005-0000-0000-000071370000}"/>
    <cellStyle name="표_02-배수공_02-배수공_토공_토적표" xfId="14195" xr:uid="{00000000-0005-0000-0000-000072370000}"/>
    <cellStyle name="표_02-배수공_02-배수공_토공_토적표_02.구조물및추진,도달기지토공(D구간)" xfId="14196" xr:uid="{00000000-0005-0000-0000-000073370000}"/>
    <cellStyle name="표_02-배수공_반중력" xfId="14197" xr:uid="{00000000-0005-0000-0000-000074370000}"/>
    <cellStyle name="표_02-배수공_반중력_02.구조물및추진,도달기지토공(D구간)" xfId="14198" xr:uid="{00000000-0005-0000-0000-000075370000}"/>
    <cellStyle name="표_02-배수공_반중력_토공" xfId="14199" xr:uid="{00000000-0005-0000-0000-000076370000}"/>
    <cellStyle name="표_02-배수공_반중력_토공_02.구조물및추진,도달기지토공(D구간)" xfId="14200" xr:uid="{00000000-0005-0000-0000-000077370000}"/>
    <cellStyle name="표_02-배수공_반중력_토공_2.0토공3" xfId="14201" xr:uid="{00000000-0005-0000-0000-000078370000}"/>
    <cellStyle name="표_02-배수공_반중력_토공_2.0토공3_02.구조물및추진,도달기지토공(D구간)" xfId="14202" xr:uid="{00000000-0005-0000-0000-000079370000}"/>
    <cellStyle name="표_02-배수공_반중력_토공_보령깨기집계" xfId="14203" xr:uid="{00000000-0005-0000-0000-00007A370000}"/>
    <cellStyle name="표_02-배수공_반중력_토공_보령깨기집계_02.구조물및추진,도달기지토공(D구간)" xfId="14204" xr:uid="{00000000-0005-0000-0000-00007B370000}"/>
    <cellStyle name="표_02-배수공_반중력_토공_정부장님토적" xfId="14205" xr:uid="{00000000-0005-0000-0000-00007C370000}"/>
    <cellStyle name="표_02-배수공_반중력_토공_정부장님토적_02.구조물및추진,도달기지토공(D구간)" xfId="14206" xr:uid="{00000000-0005-0000-0000-00007D370000}"/>
    <cellStyle name="표_02-배수공_반중력_토공_토적표" xfId="14207" xr:uid="{00000000-0005-0000-0000-00007E370000}"/>
    <cellStyle name="표_02-배수공_반중력_토공_토적표_02.구조물및추진,도달기지토공(D구간)" xfId="14208" xr:uid="{00000000-0005-0000-0000-00007F370000}"/>
    <cellStyle name="표_02-배수공_토공" xfId="14209" xr:uid="{00000000-0005-0000-0000-000080370000}"/>
    <cellStyle name="표_02-배수공_토공_02.구조물및추진,도달기지토공(D구간)" xfId="14210" xr:uid="{00000000-0005-0000-0000-000081370000}"/>
    <cellStyle name="표_02-배수공_토공_2.0토공3" xfId="14211" xr:uid="{00000000-0005-0000-0000-000082370000}"/>
    <cellStyle name="표_02-배수공_토공_2.0토공3_02.구조물및추진,도달기지토공(D구간)" xfId="14212" xr:uid="{00000000-0005-0000-0000-000083370000}"/>
    <cellStyle name="표_02-배수공_토공_보령깨기집계" xfId="14213" xr:uid="{00000000-0005-0000-0000-000084370000}"/>
    <cellStyle name="표_02-배수공_토공_보령깨기집계_02.구조물및추진,도달기지토공(D구간)" xfId="14214" xr:uid="{00000000-0005-0000-0000-000085370000}"/>
    <cellStyle name="표_02-배수공_토공_정부장님토적" xfId="14215" xr:uid="{00000000-0005-0000-0000-000086370000}"/>
    <cellStyle name="표_02-배수공_토공_정부장님토적_02.구조물및추진,도달기지토공(D구간)" xfId="14216" xr:uid="{00000000-0005-0000-0000-000087370000}"/>
    <cellStyle name="표_02-배수공_토공_토적표" xfId="14217" xr:uid="{00000000-0005-0000-0000-000088370000}"/>
    <cellStyle name="표_02-배수공_토공_토적표_02.구조물및추진,도달기지토공(D구간)" xfId="14218" xr:uid="{00000000-0005-0000-0000-000089370000}"/>
    <cellStyle name="표_04-포장공_02-배수공" xfId="14219" xr:uid="{00000000-0005-0000-0000-00008A370000}"/>
    <cellStyle name="표_04-포장공_02-배수공_02.구조물및추진,도달기지토공(D구간)" xfId="14220" xr:uid="{00000000-0005-0000-0000-00008B370000}"/>
    <cellStyle name="표_04-포장공_02-배수공_토공" xfId="14221" xr:uid="{00000000-0005-0000-0000-00008C370000}"/>
    <cellStyle name="표_04-포장공_02-배수공_토공_02.구조물및추진,도달기지토공(D구간)" xfId="14222" xr:uid="{00000000-0005-0000-0000-00008D370000}"/>
    <cellStyle name="표_04-포장공_02-배수공_토공_2.0토공3" xfId="14223" xr:uid="{00000000-0005-0000-0000-00008E370000}"/>
    <cellStyle name="표_04-포장공_02-배수공_토공_2.0토공3_02.구조물및추진,도달기지토공(D구간)" xfId="14224" xr:uid="{00000000-0005-0000-0000-00008F370000}"/>
    <cellStyle name="표_04-포장공_02-배수공_토공_보령깨기집계" xfId="14225" xr:uid="{00000000-0005-0000-0000-000090370000}"/>
    <cellStyle name="표_04-포장공_02-배수공_토공_보령깨기집계_02.구조물및추진,도달기지토공(D구간)" xfId="14226" xr:uid="{00000000-0005-0000-0000-000091370000}"/>
    <cellStyle name="표_04-포장공_02-배수공_토공_정부장님토적" xfId="14227" xr:uid="{00000000-0005-0000-0000-000092370000}"/>
    <cellStyle name="표_04-포장공_02-배수공_토공_정부장님토적_02.구조물및추진,도달기지토공(D구간)" xfId="14228" xr:uid="{00000000-0005-0000-0000-000093370000}"/>
    <cellStyle name="표_04-포장공_02-배수공_토공_토적표" xfId="14229" xr:uid="{00000000-0005-0000-0000-000094370000}"/>
    <cellStyle name="표_04-포장공_02-배수공_토공_토적표_02.구조물및추진,도달기지토공(D구간)" xfId="14230" xr:uid="{00000000-0005-0000-0000-000095370000}"/>
    <cellStyle name="표_06 토질조사예산서-1" xfId="14231" xr:uid="{00000000-0005-0000-0000-000096370000}"/>
    <cellStyle name="표_06.서수 오수 부대공(신설)" xfId="14232" xr:uid="{00000000-0005-0000-0000-000097370000}"/>
    <cellStyle name="표_06.서수 오수 부대공(신설)_02.구조물및추진,도달기지토공(D구간)" xfId="14233" xr:uid="{00000000-0005-0000-0000-000098370000}"/>
    <cellStyle name="표_06.옥구 오수 부대공" xfId="14234" xr:uid="{00000000-0005-0000-0000-000099370000}"/>
    <cellStyle name="표_06.옥구 오수 부대공_02.구조물및추진,도달기지토공(D구간)" xfId="14235" xr:uid="{00000000-0005-0000-0000-00009A370000}"/>
    <cellStyle name="표_06.옥서 오수 부대공(신설)" xfId="14236" xr:uid="{00000000-0005-0000-0000-00009B370000}"/>
    <cellStyle name="표_06.옥서 오수 부대공(신설)_02.구조물및추진,도달기지토공(D구간)" xfId="14237" xr:uid="{00000000-0005-0000-0000-00009C370000}"/>
    <cellStyle name="표_06-부대공_02-배수공" xfId="14238" xr:uid="{00000000-0005-0000-0000-00009D370000}"/>
    <cellStyle name="표_06-부대공_02-배수공_02.구조물및추진,도달기지토공(D구간)" xfId="14239" xr:uid="{00000000-0005-0000-0000-00009E370000}"/>
    <cellStyle name="표_06-부대공_02-배수공_토공" xfId="14240" xr:uid="{00000000-0005-0000-0000-00009F370000}"/>
    <cellStyle name="표_06-부대공_02-배수공_토공_02.구조물및추진,도달기지토공(D구간)" xfId="14241" xr:uid="{00000000-0005-0000-0000-0000A0370000}"/>
    <cellStyle name="표_06-부대공_02-배수공_토공_2.0토공3" xfId="14242" xr:uid="{00000000-0005-0000-0000-0000A1370000}"/>
    <cellStyle name="표_06-부대공_02-배수공_토공_2.0토공3_02.구조물및추진,도달기지토공(D구간)" xfId="14243" xr:uid="{00000000-0005-0000-0000-0000A2370000}"/>
    <cellStyle name="표_06-부대공_02-배수공_토공_보령깨기집계" xfId="14244" xr:uid="{00000000-0005-0000-0000-0000A3370000}"/>
    <cellStyle name="표_06-부대공_02-배수공_토공_보령깨기집계_02.구조물및추진,도달기지토공(D구간)" xfId="14245" xr:uid="{00000000-0005-0000-0000-0000A4370000}"/>
    <cellStyle name="표_06-부대공_02-배수공_토공_정부장님토적" xfId="14246" xr:uid="{00000000-0005-0000-0000-0000A5370000}"/>
    <cellStyle name="표_06-부대공_02-배수공_토공_정부장님토적_02.구조물및추진,도달기지토공(D구간)" xfId="14247" xr:uid="{00000000-0005-0000-0000-0000A6370000}"/>
    <cellStyle name="표_06-부대공_02-배수공_토공_토적표" xfId="14248" xr:uid="{00000000-0005-0000-0000-0000A7370000}"/>
    <cellStyle name="표_06-부대공_02-배수공_토공_토적표_02.구조물및추진,도달기지토공(D구간)" xfId="14249" xr:uid="{00000000-0005-0000-0000-0000A8370000}"/>
    <cellStyle name="표_070405-제평가용역" xfId="14250" xr:uid="{00000000-0005-0000-0000-0000A9370000}"/>
    <cellStyle name="표_10 0805 암유용 sample" xfId="14251" xr:uid="{00000000-0005-0000-0000-0000AA370000}"/>
    <cellStyle name="표_1공구_깨기취합-090425" xfId="14252" xr:uid="{00000000-0005-0000-0000-0000AB370000}"/>
    <cellStyle name="표_2.0 오수구조물공(실옥)" xfId="14253" xr:uid="{00000000-0005-0000-0000-0000AC370000}"/>
    <cellStyle name="표_2.0 오수구조물공(실옥)_배수설비 제원표" xfId="14254" xr:uid="{00000000-0005-0000-0000-0000AD370000}"/>
    <cellStyle name="표_2.0 오수구조물공(실옥)_배수설비 제원표_배수설비 수량(장선)" xfId="14255" xr:uid="{00000000-0005-0000-0000-0000AE370000}"/>
    <cellStyle name="표_2.0 오수구조물공(실옥)_하수처리시설(황간)" xfId="14256" xr:uid="{00000000-0005-0000-0000-0000AF370000}"/>
    <cellStyle name="표_2.0 오수구조물공(실옥)_하수처리시설(황간)_배수설비 제원표" xfId="14257" xr:uid="{00000000-0005-0000-0000-0000B0370000}"/>
    <cellStyle name="표_2.0 오수구조물공(실옥)_하수처리시설(황간)_배수설비 제원표_배수설비 수량(장선)" xfId="14258" xr:uid="{00000000-0005-0000-0000-0000B1370000}"/>
    <cellStyle name="표_20_깨기취합" xfId="14259" xr:uid="{00000000-0005-0000-0000-0000B2370000}"/>
    <cellStyle name="표_20_깨기취합_발파암소할 2003 버전" xfId="14260" xr:uid="{00000000-0005-0000-0000-0000B3370000}"/>
    <cellStyle name="표_20_깨기취합_토공수량산출서-3공구-사토" xfId="14261" xr:uid="{00000000-0005-0000-0000-0000B4370000}"/>
    <cellStyle name="표_2006 폐기물처리시설(폐기물관리법)" xfId="14262" xr:uid="{00000000-0005-0000-0000-0000B5370000}"/>
    <cellStyle name="표_21_깨기_배수1" xfId="14263" xr:uid="{00000000-0005-0000-0000-0000B6370000}"/>
    <cellStyle name="표_21_깨기_토공" xfId="14264" xr:uid="{00000000-0005-0000-0000-0000B7370000}"/>
    <cellStyle name="표_21_깨기_토공_발파암소할 2003 버전" xfId="14265" xr:uid="{00000000-0005-0000-0000-0000B8370000}"/>
    <cellStyle name="표_21_깨기_토공_토공수량산출서-3공구-사토" xfId="14266" xr:uid="{00000000-0005-0000-0000-0000B9370000}"/>
    <cellStyle name="표_4.부대공" xfId="14267" xr:uid="{00000000-0005-0000-0000-0000BA370000}"/>
    <cellStyle name="표_4.부대공_06. 물 푸 기-코드" xfId="14268" xr:uid="{00000000-0005-0000-0000-0000BB370000}"/>
    <cellStyle name="표_4.부대공_2.0 오수구조물공(실옥)" xfId="14269" xr:uid="{00000000-0005-0000-0000-0000BC370000}"/>
    <cellStyle name="표_4.부대공_2.0 오수구조물공(실옥)_배수설비 제원표" xfId="14270" xr:uid="{00000000-0005-0000-0000-0000BD370000}"/>
    <cellStyle name="표_4.부대공_2.0 오수구조물공(실옥)_배수설비 제원표_배수설비 수량(장선)" xfId="14271" xr:uid="{00000000-0005-0000-0000-0000BE370000}"/>
    <cellStyle name="표_4.부대공_2.0 오수구조물공(실옥)_하수처리시설(황간)" xfId="14272" xr:uid="{00000000-0005-0000-0000-0000BF370000}"/>
    <cellStyle name="표_4.부대공_2.0 오수구조물공(실옥)_하수처리시설(황간)_배수설비 제원표" xfId="14273" xr:uid="{00000000-0005-0000-0000-0000C0370000}"/>
    <cellStyle name="표_4.부대공_2.0 오수구조물공(실옥)_하수처리시설(황간)_배수설비 제원표_배수설비 수량(장선)" xfId="14274" xr:uid="{00000000-0005-0000-0000-0000C1370000}"/>
    <cellStyle name="표_4.부대공_4배관공" xfId="14275" xr:uid="{00000000-0005-0000-0000-0000C2370000}"/>
    <cellStyle name="표_4.부대공_4배관공_06. 물 푸 기-코드" xfId="14276" xr:uid="{00000000-0005-0000-0000-0000C3370000}"/>
    <cellStyle name="표_4.부대공_4배관공_2.0 오수구조물공(실옥)" xfId="14277" xr:uid="{00000000-0005-0000-0000-0000C4370000}"/>
    <cellStyle name="표_4.부대공_4배관공_2.0 오수구조물공(실옥)_배수설비 제원표" xfId="14278" xr:uid="{00000000-0005-0000-0000-0000C5370000}"/>
    <cellStyle name="표_4.부대공_4배관공_2.0 오수구조물공(실옥)_배수설비 제원표_배수설비 수량(장선)" xfId="14279" xr:uid="{00000000-0005-0000-0000-0000C6370000}"/>
    <cellStyle name="표_4.부대공_4배관공_2.0 오수구조물공(실옥)_하수처리시설(황간)" xfId="14280" xr:uid="{00000000-0005-0000-0000-0000C7370000}"/>
    <cellStyle name="표_4.부대공_4배관공_2.0 오수구조물공(실옥)_하수처리시설(황간)_배수설비 제원표" xfId="14281" xr:uid="{00000000-0005-0000-0000-0000C8370000}"/>
    <cellStyle name="표_4.부대공_4배관공_2.0 오수구조물공(실옥)_하수처리시설(황간)_배수설비 제원표_배수설비 수량(장선)" xfId="14282" xr:uid="{00000000-0005-0000-0000-0000C9370000}"/>
    <cellStyle name="표_4.부대공_4배관공_배수설비 제원표" xfId="14283" xr:uid="{00000000-0005-0000-0000-0000CA370000}"/>
    <cellStyle name="표_4.부대공_4배관공_배수설비 제원표_배수설비 수량(장선)" xfId="14284" xr:uid="{00000000-0005-0000-0000-0000CB370000}"/>
    <cellStyle name="표_4.부대공_4배관공_하수처리시설(황간)" xfId="14285" xr:uid="{00000000-0005-0000-0000-0000CC370000}"/>
    <cellStyle name="표_4.부대공_4배관공_하수처리시설(황간)_배수설비 제원표" xfId="14286" xr:uid="{00000000-0005-0000-0000-0000CD370000}"/>
    <cellStyle name="표_4.부대공_4배관공_하수처리시설(황간)_배수설비 제원표_배수설비 수량(장선)" xfId="14287" xr:uid="{00000000-0005-0000-0000-0000CE370000}"/>
    <cellStyle name="표_4.부대공_5부대시설공" xfId="14288" xr:uid="{00000000-0005-0000-0000-0000CF370000}"/>
    <cellStyle name="표_4.부대공_5부대시설공_06. 물 푸 기-코드" xfId="14289" xr:uid="{00000000-0005-0000-0000-0000D0370000}"/>
    <cellStyle name="표_4.부대공_5부대시설공_2.0 오수구조물공(실옥)" xfId="14290" xr:uid="{00000000-0005-0000-0000-0000D1370000}"/>
    <cellStyle name="표_4.부대공_5부대시설공_2.0 오수구조물공(실옥)_배수설비 제원표" xfId="14291" xr:uid="{00000000-0005-0000-0000-0000D2370000}"/>
    <cellStyle name="표_4.부대공_5부대시설공_2.0 오수구조물공(실옥)_배수설비 제원표_배수설비 수량(장선)" xfId="14292" xr:uid="{00000000-0005-0000-0000-0000D3370000}"/>
    <cellStyle name="표_4.부대공_5부대시설공_2.0 오수구조물공(실옥)_하수처리시설(황간)" xfId="14293" xr:uid="{00000000-0005-0000-0000-0000D4370000}"/>
    <cellStyle name="표_4.부대공_5부대시설공_2.0 오수구조물공(실옥)_하수처리시설(황간)_배수설비 제원표" xfId="14294" xr:uid="{00000000-0005-0000-0000-0000D5370000}"/>
    <cellStyle name="표_4.부대공_5부대시설공_2.0 오수구조물공(실옥)_하수처리시설(황간)_배수설비 제원표_배수설비 수량(장선)" xfId="14295" xr:uid="{00000000-0005-0000-0000-0000D6370000}"/>
    <cellStyle name="표_4.부대공_5부대시설공_배수설비 제원표" xfId="14296" xr:uid="{00000000-0005-0000-0000-0000D7370000}"/>
    <cellStyle name="표_4.부대공_5부대시설공_배수설비 제원표_배수설비 수량(장선)" xfId="14297" xr:uid="{00000000-0005-0000-0000-0000D8370000}"/>
    <cellStyle name="표_4.부대공_5부대시설공_하수처리시설(황간)" xfId="14298" xr:uid="{00000000-0005-0000-0000-0000D9370000}"/>
    <cellStyle name="표_4.부대공_5부대시설공_하수처리시설(황간)_배수설비 제원표" xfId="14299" xr:uid="{00000000-0005-0000-0000-0000DA370000}"/>
    <cellStyle name="표_4.부대공_5부대시설공_하수처리시설(황간)_배수설비 제원표_배수설비 수량(장선)" xfId="14300" xr:uid="{00000000-0005-0000-0000-0000DB370000}"/>
    <cellStyle name="표_4.부대공_배수설비 제원표" xfId="14301" xr:uid="{00000000-0005-0000-0000-0000DC370000}"/>
    <cellStyle name="표_4.부대공_배수설비 제원표_배수설비 수량(장선)" xfId="14302" xr:uid="{00000000-0005-0000-0000-0000DD370000}"/>
    <cellStyle name="표_4.부대공_하수처리시설(황간)" xfId="14303" xr:uid="{00000000-0005-0000-0000-0000DE370000}"/>
    <cellStyle name="표_4.부대공_하수처리시설(황간)_배수설비 제원표" xfId="14304" xr:uid="{00000000-0005-0000-0000-0000DF370000}"/>
    <cellStyle name="표_4.부대공_하수처리시설(황간)_배수설비 제원표_배수설비 수량(장선)" xfId="14305" xr:uid="{00000000-0005-0000-0000-0000E0370000}"/>
    <cellStyle name="표_4공구 깨기(평화)" xfId="14306" xr:uid="{00000000-0005-0000-0000-0000E1370000}"/>
    <cellStyle name="표_4배관공" xfId="14307" xr:uid="{00000000-0005-0000-0000-0000E2370000}"/>
    <cellStyle name="표_4배관공_06. 물 푸 기-코드" xfId="14308" xr:uid="{00000000-0005-0000-0000-0000E3370000}"/>
    <cellStyle name="표_4배관공_2.0 오수구조물공(실옥)" xfId="14309" xr:uid="{00000000-0005-0000-0000-0000E4370000}"/>
    <cellStyle name="표_4배관공_2.0 오수구조물공(실옥)_배수설비 제원표" xfId="14310" xr:uid="{00000000-0005-0000-0000-0000E5370000}"/>
    <cellStyle name="표_4배관공_2.0 오수구조물공(실옥)_배수설비 제원표_배수설비 수량(장선)" xfId="14311" xr:uid="{00000000-0005-0000-0000-0000E6370000}"/>
    <cellStyle name="표_4배관공_2.0 오수구조물공(실옥)_하수처리시설(황간)" xfId="14312" xr:uid="{00000000-0005-0000-0000-0000E7370000}"/>
    <cellStyle name="표_4배관공_2.0 오수구조물공(실옥)_하수처리시설(황간)_배수설비 제원표" xfId="14313" xr:uid="{00000000-0005-0000-0000-0000E8370000}"/>
    <cellStyle name="표_4배관공_2.0 오수구조물공(실옥)_하수처리시설(황간)_배수설비 제원표_배수설비 수량(장선)" xfId="14314" xr:uid="{00000000-0005-0000-0000-0000E9370000}"/>
    <cellStyle name="표_4배관공_배수설비 제원표" xfId="14315" xr:uid="{00000000-0005-0000-0000-0000EA370000}"/>
    <cellStyle name="표_4배관공_배수설비 제원표_배수설비 수량(장선)" xfId="14316" xr:uid="{00000000-0005-0000-0000-0000EB370000}"/>
    <cellStyle name="표_4배관공_하수처리시설(황간)" xfId="14317" xr:uid="{00000000-0005-0000-0000-0000EC370000}"/>
    <cellStyle name="표_4배관공_하수처리시설(황간)_배수설비 제원표" xfId="14318" xr:uid="{00000000-0005-0000-0000-0000ED370000}"/>
    <cellStyle name="표_4배관공_하수처리시설(황간)_배수설비 제원표_배수설비 수량(장선)" xfId="14319" xr:uid="{00000000-0005-0000-0000-0000EE370000}"/>
    <cellStyle name="표_5부대시설공" xfId="14320" xr:uid="{00000000-0005-0000-0000-0000EF370000}"/>
    <cellStyle name="표_5부대시설공_06. 물 푸 기-코드" xfId="14321" xr:uid="{00000000-0005-0000-0000-0000F0370000}"/>
    <cellStyle name="표_5부대시설공_2.0 오수구조물공(실옥)" xfId="14322" xr:uid="{00000000-0005-0000-0000-0000F1370000}"/>
    <cellStyle name="표_5부대시설공_2.0 오수구조물공(실옥)_배수설비 제원표" xfId="14323" xr:uid="{00000000-0005-0000-0000-0000F2370000}"/>
    <cellStyle name="표_5부대시설공_2.0 오수구조물공(실옥)_배수설비 제원표_배수설비 수량(장선)" xfId="14324" xr:uid="{00000000-0005-0000-0000-0000F3370000}"/>
    <cellStyle name="표_5부대시설공_2.0 오수구조물공(실옥)_하수처리시설(황간)" xfId="14325" xr:uid="{00000000-0005-0000-0000-0000F4370000}"/>
    <cellStyle name="표_5부대시설공_2.0 오수구조물공(실옥)_하수처리시설(황간)_배수설비 제원표" xfId="14326" xr:uid="{00000000-0005-0000-0000-0000F5370000}"/>
    <cellStyle name="표_5부대시설공_2.0 오수구조물공(실옥)_하수처리시설(황간)_배수설비 제원표_배수설비 수량(장선)" xfId="14327" xr:uid="{00000000-0005-0000-0000-0000F6370000}"/>
    <cellStyle name="표_5부대시설공_배수설비 제원표" xfId="14328" xr:uid="{00000000-0005-0000-0000-0000F7370000}"/>
    <cellStyle name="표_5부대시설공_배수설비 제원표_배수설비 수량(장선)" xfId="14329" xr:uid="{00000000-0005-0000-0000-0000F8370000}"/>
    <cellStyle name="표_5부대시설공_하수처리시설(황간)" xfId="14330" xr:uid="{00000000-0005-0000-0000-0000F9370000}"/>
    <cellStyle name="표_5부대시설공_하수처리시설(황간)_배수설비 제원표" xfId="14331" xr:uid="{00000000-0005-0000-0000-0000FA370000}"/>
    <cellStyle name="표_5부대시설공_하수처리시설(황간)_배수설비 제원표_배수설비 수량(장선)" xfId="14332" xr:uid="{00000000-0005-0000-0000-0000FB370000}"/>
    <cellStyle name="표_Book2" xfId="14333" xr:uid="{00000000-0005-0000-0000-0000FC370000}"/>
    <cellStyle name="표_Book2 2" xfId="14334" xr:uid="{00000000-0005-0000-0000-0000FD370000}"/>
    <cellStyle name="표_Book2_06. 물 푸 기-코드" xfId="14335" xr:uid="{00000000-0005-0000-0000-0000FE370000}"/>
    <cellStyle name="표_Book2_2.0 오수구조물공(실옥)" xfId="14336" xr:uid="{00000000-0005-0000-0000-0000FF370000}"/>
    <cellStyle name="표_Book2_2.0 오수구조물공(실옥)_배수설비 제원표" xfId="14337" xr:uid="{00000000-0005-0000-0000-000000380000}"/>
    <cellStyle name="표_Book2_2.0 오수구조물공(실옥)_배수설비 제원표_배수설비 수량(장선)" xfId="14338" xr:uid="{00000000-0005-0000-0000-000001380000}"/>
    <cellStyle name="표_Book2_2.0 오수구조물공(실옥)_하수처리시설(황간)" xfId="14339" xr:uid="{00000000-0005-0000-0000-000002380000}"/>
    <cellStyle name="표_Book2_2.0 오수구조물공(실옥)_하수처리시설(황간)_배수설비 제원표" xfId="14340" xr:uid="{00000000-0005-0000-0000-000003380000}"/>
    <cellStyle name="표_Book2_2.0 오수구조물공(실옥)_하수처리시설(황간)_배수설비 제원표_배수설비 수량(장선)" xfId="14341" xr:uid="{00000000-0005-0000-0000-000004380000}"/>
    <cellStyle name="표_Book2_4.부대공" xfId="14342" xr:uid="{00000000-0005-0000-0000-000005380000}"/>
    <cellStyle name="표_Book2_4.부대공_06. 물 푸 기-코드" xfId="14343" xr:uid="{00000000-0005-0000-0000-000006380000}"/>
    <cellStyle name="표_Book2_4.부대공_2.0 오수구조물공(실옥)" xfId="14344" xr:uid="{00000000-0005-0000-0000-000007380000}"/>
    <cellStyle name="표_Book2_4.부대공_2.0 오수구조물공(실옥)_배수설비 제원표" xfId="14345" xr:uid="{00000000-0005-0000-0000-000008380000}"/>
    <cellStyle name="표_Book2_4.부대공_2.0 오수구조물공(실옥)_배수설비 제원표_배수설비 수량(장선)" xfId="14346" xr:uid="{00000000-0005-0000-0000-000009380000}"/>
    <cellStyle name="표_Book2_4.부대공_2.0 오수구조물공(실옥)_하수처리시설(황간)" xfId="14347" xr:uid="{00000000-0005-0000-0000-00000A380000}"/>
    <cellStyle name="표_Book2_4.부대공_2.0 오수구조물공(실옥)_하수처리시설(황간)_배수설비 제원표" xfId="14348" xr:uid="{00000000-0005-0000-0000-00000B380000}"/>
    <cellStyle name="표_Book2_4.부대공_2.0 오수구조물공(실옥)_하수처리시설(황간)_배수설비 제원표_배수설비 수량(장선)" xfId="14349" xr:uid="{00000000-0005-0000-0000-00000C380000}"/>
    <cellStyle name="표_Book2_4.부대공_4배관공" xfId="14350" xr:uid="{00000000-0005-0000-0000-00000D380000}"/>
    <cellStyle name="표_Book2_4.부대공_4배관공_06. 물 푸 기-코드" xfId="14351" xr:uid="{00000000-0005-0000-0000-00000E380000}"/>
    <cellStyle name="표_Book2_4.부대공_4배관공_2.0 오수구조물공(실옥)" xfId="14352" xr:uid="{00000000-0005-0000-0000-00000F380000}"/>
    <cellStyle name="표_Book2_4.부대공_4배관공_2.0 오수구조물공(실옥)_배수설비 제원표" xfId="14353" xr:uid="{00000000-0005-0000-0000-000010380000}"/>
    <cellStyle name="표_Book2_4.부대공_4배관공_2.0 오수구조물공(실옥)_배수설비 제원표_배수설비 수량(장선)" xfId="14354" xr:uid="{00000000-0005-0000-0000-000011380000}"/>
    <cellStyle name="표_Book2_4.부대공_4배관공_2.0 오수구조물공(실옥)_하수처리시설(황간)" xfId="14355" xr:uid="{00000000-0005-0000-0000-000012380000}"/>
    <cellStyle name="표_Book2_4.부대공_4배관공_2.0 오수구조물공(실옥)_하수처리시설(황간)_배수설비 제원표" xfId="14356" xr:uid="{00000000-0005-0000-0000-000013380000}"/>
    <cellStyle name="표_Book2_4.부대공_4배관공_2.0 오수구조물공(실옥)_하수처리시설(황간)_배수설비 제원표_배수설비 수량(장선)" xfId="14357" xr:uid="{00000000-0005-0000-0000-000014380000}"/>
    <cellStyle name="표_Book2_4.부대공_4배관공_배수설비 제원표" xfId="14358" xr:uid="{00000000-0005-0000-0000-000015380000}"/>
    <cellStyle name="표_Book2_4.부대공_4배관공_배수설비 제원표_배수설비 수량(장선)" xfId="14359" xr:uid="{00000000-0005-0000-0000-000016380000}"/>
    <cellStyle name="표_Book2_4.부대공_4배관공_하수처리시설(황간)" xfId="14360" xr:uid="{00000000-0005-0000-0000-000017380000}"/>
    <cellStyle name="표_Book2_4.부대공_4배관공_하수처리시설(황간)_배수설비 제원표" xfId="14361" xr:uid="{00000000-0005-0000-0000-000018380000}"/>
    <cellStyle name="표_Book2_4.부대공_4배관공_하수처리시설(황간)_배수설비 제원표_배수설비 수량(장선)" xfId="14362" xr:uid="{00000000-0005-0000-0000-000019380000}"/>
    <cellStyle name="표_Book2_4.부대공_5부대시설공" xfId="14363" xr:uid="{00000000-0005-0000-0000-00001A380000}"/>
    <cellStyle name="표_Book2_4.부대공_5부대시설공_06. 물 푸 기-코드" xfId="14364" xr:uid="{00000000-0005-0000-0000-00001B380000}"/>
    <cellStyle name="표_Book2_4.부대공_5부대시설공_2.0 오수구조물공(실옥)" xfId="14365" xr:uid="{00000000-0005-0000-0000-00001C380000}"/>
    <cellStyle name="표_Book2_4.부대공_5부대시설공_2.0 오수구조물공(실옥)_배수설비 제원표" xfId="14366" xr:uid="{00000000-0005-0000-0000-00001D380000}"/>
    <cellStyle name="표_Book2_4.부대공_5부대시설공_2.0 오수구조물공(실옥)_배수설비 제원표_배수설비 수량(장선)" xfId="14367" xr:uid="{00000000-0005-0000-0000-00001E380000}"/>
    <cellStyle name="표_Book2_4.부대공_5부대시설공_2.0 오수구조물공(실옥)_하수처리시설(황간)" xfId="14368" xr:uid="{00000000-0005-0000-0000-00001F380000}"/>
    <cellStyle name="표_Book2_4.부대공_5부대시설공_2.0 오수구조물공(실옥)_하수처리시설(황간)_배수설비 제원표" xfId="14369" xr:uid="{00000000-0005-0000-0000-000020380000}"/>
    <cellStyle name="표_Book2_4.부대공_5부대시설공_2.0 오수구조물공(실옥)_하수처리시설(황간)_배수설비 제원표_배수설비 수량(장선)" xfId="14370" xr:uid="{00000000-0005-0000-0000-000021380000}"/>
    <cellStyle name="표_Book2_4.부대공_5부대시설공_배수설비 제원표" xfId="14371" xr:uid="{00000000-0005-0000-0000-000022380000}"/>
    <cellStyle name="표_Book2_4.부대공_5부대시설공_배수설비 제원표_배수설비 수량(장선)" xfId="14372" xr:uid="{00000000-0005-0000-0000-000023380000}"/>
    <cellStyle name="표_Book2_4.부대공_5부대시설공_하수처리시설(황간)" xfId="14373" xr:uid="{00000000-0005-0000-0000-000024380000}"/>
    <cellStyle name="표_Book2_4.부대공_5부대시설공_하수처리시설(황간)_배수설비 제원표" xfId="14374" xr:uid="{00000000-0005-0000-0000-000025380000}"/>
    <cellStyle name="표_Book2_4.부대공_5부대시설공_하수처리시설(황간)_배수설비 제원표_배수설비 수량(장선)" xfId="14375" xr:uid="{00000000-0005-0000-0000-000026380000}"/>
    <cellStyle name="표_Book2_4.부대공_배수설비 제원표" xfId="14376" xr:uid="{00000000-0005-0000-0000-000027380000}"/>
    <cellStyle name="표_Book2_4.부대공_배수설비 제원표_배수설비 수량(장선)" xfId="14377" xr:uid="{00000000-0005-0000-0000-000028380000}"/>
    <cellStyle name="표_Book2_4.부대공_하수처리시설(황간)" xfId="14378" xr:uid="{00000000-0005-0000-0000-000029380000}"/>
    <cellStyle name="표_Book2_4.부대공_하수처리시설(황간)_배수설비 제원표" xfId="14379" xr:uid="{00000000-0005-0000-0000-00002A380000}"/>
    <cellStyle name="표_Book2_4.부대공_하수처리시설(황간)_배수설비 제원표_배수설비 수량(장선)" xfId="14380" xr:uid="{00000000-0005-0000-0000-00002B380000}"/>
    <cellStyle name="표_Book2_4배관공" xfId="14381" xr:uid="{00000000-0005-0000-0000-00002C380000}"/>
    <cellStyle name="표_Book2_4배관공_06. 물 푸 기-코드" xfId="14382" xr:uid="{00000000-0005-0000-0000-00002D380000}"/>
    <cellStyle name="표_Book2_4배관공_2.0 오수구조물공(실옥)" xfId="14383" xr:uid="{00000000-0005-0000-0000-00002E380000}"/>
    <cellStyle name="표_Book2_4배관공_2.0 오수구조물공(실옥)_배수설비 제원표" xfId="14384" xr:uid="{00000000-0005-0000-0000-00002F380000}"/>
    <cellStyle name="표_Book2_4배관공_2.0 오수구조물공(실옥)_배수설비 제원표_배수설비 수량(장선)" xfId="14385" xr:uid="{00000000-0005-0000-0000-000030380000}"/>
    <cellStyle name="표_Book2_4배관공_2.0 오수구조물공(실옥)_하수처리시설(황간)" xfId="14386" xr:uid="{00000000-0005-0000-0000-000031380000}"/>
    <cellStyle name="표_Book2_4배관공_2.0 오수구조물공(실옥)_하수처리시설(황간)_배수설비 제원표" xfId="14387" xr:uid="{00000000-0005-0000-0000-000032380000}"/>
    <cellStyle name="표_Book2_4배관공_2.0 오수구조물공(실옥)_하수처리시설(황간)_배수설비 제원표_배수설비 수량(장선)" xfId="14388" xr:uid="{00000000-0005-0000-0000-000033380000}"/>
    <cellStyle name="표_Book2_4배관공_배수설비 제원표" xfId="14389" xr:uid="{00000000-0005-0000-0000-000034380000}"/>
    <cellStyle name="표_Book2_4배관공_배수설비 제원표_배수설비 수량(장선)" xfId="14390" xr:uid="{00000000-0005-0000-0000-000035380000}"/>
    <cellStyle name="표_Book2_4배관공_하수처리시설(황간)" xfId="14391" xr:uid="{00000000-0005-0000-0000-000036380000}"/>
    <cellStyle name="표_Book2_4배관공_하수처리시설(황간)_배수설비 제원표" xfId="14392" xr:uid="{00000000-0005-0000-0000-000037380000}"/>
    <cellStyle name="표_Book2_4배관공_하수처리시설(황간)_배수설비 제원표_배수설비 수량(장선)" xfId="14393" xr:uid="{00000000-0005-0000-0000-000038380000}"/>
    <cellStyle name="표_Book2_5부대시설공" xfId="14394" xr:uid="{00000000-0005-0000-0000-000039380000}"/>
    <cellStyle name="표_Book2_5부대시설공_06. 물 푸 기-코드" xfId="14395" xr:uid="{00000000-0005-0000-0000-00003A380000}"/>
    <cellStyle name="표_Book2_5부대시설공_2.0 오수구조물공(실옥)" xfId="14396" xr:uid="{00000000-0005-0000-0000-00003B380000}"/>
    <cellStyle name="표_Book2_5부대시설공_2.0 오수구조물공(실옥)_배수설비 제원표" xfId="14397" xr:uid="{00000000-0005-0000-0000-00003C380000}"/>
    <cellStyle name="표_Book2_5부대시설공_2.0 오수구조물공(실옥)_배수설비 제원표_배수설비 수량(장선)" xfId="14398" xr:uid="{00000000-0005-0000-0000-00003D380000}"/>
    <cellStyle name="표_Book2_5부대시설공_2.0 오수구조물공(실옥)_하수처리시설(황간)" xfId="14399" xr:uid="{00000000-0005-0000-0000-00003E380000}"/>
    <cellStyle name="표_Book2_5부대시설공_2.0 오수구조물공(실옥)_하수처리시설(황간)_배수설비 제원표" xfId="14400" xr:uid="{00000000-0005-0000-0000-00003F380000}"/>
    <cellStyle name="표_Book2_5부대시설공_2.0 오수구조물공(실옥)_하수처리시설(황간)_배수설비 제원표_배수설비 수량(장선)" xfId="14401" xr:uid="{00000000-0005-0000-0000-000040380000}"/>
    <cellStyle name="표_Book2_5부대시설공_배수설비 제원표" xfId="14402" xr:uid="{00000000-0005-0000-0000-000041380000}"/>
    <cellStyle name="표_Book2_5부대시설공_배수설비 제원표_배수설비 수량(장선)" xfId="14403" xr:uid="{00000000-0005-0000-0000-000042380000}"/>
    <cellStyle name="표_Book2_5부대시설공_하수처리시설(황간)" xfId="14404" xr:uid="{00000000-0005-0000-0000-000043380000}"/>
    <cellStyle name="표_Book2_5부대시설공_하수처리시설(황간)_배수설비 제원표" xfId="14405" xr:uid="{00000000-0005-0000-0000-000044380000}"/>
    <cellStyle name="표_Book2_5부대시설공_하수처리시설(황간)_배수설비 제원표_배수설비 수량(장선)" xfId="14406" xr:uid="{00000000-0005-0000-0000-000045380000}"/>
    <cellStyle name="표_Book2_배수설비 제원표" xfId="14407" xr:uid="{00000000-0005-0000-0000-000046380000}"/>
    <cellStyle name="표_Book2_배수설비 제원표_배수설비 수량(장선)" xfId="14408" xr:uid="{00000000-0005-0000-0000-000047380000}"/>
    <cellStyle name="표_Book2_하수처리시설(황간)" xfId="14409" xr:uid="{00000000-0005-0000-0000-000048380000}"/>
    <cellStyle name="표_Book2_하수처리시설(황간)_배수설비 제원표" xfId="14410" xr:uid="{00000000-0005-0000-0000-000049380000}"/>
    <cellStyle name="표_Book2_하수처리시설(황간)_배수설비 제원표_배수설비 수량(장선)" xfId="14411" xr:uid="{00000000-0005-0000-0000-00004A380000}"/>
    <cellStyle name="표_강릉내역서(설계변경)_0207" xfId="14412" xr:uid="{00000000-0005-0000-0000-00004B380000}"/>
    <cellStyle name="표_경포 오수 부대공(신설)-1" xfId="14413" xr:uid="{00000000-0005-0000-0000-00004C380000}"/>
    <cellStyle name="표_경포 오수 부대공(신설)-1_02.구조물및추진,도달기지토공(D구간)" xfId="14414" xr:uid="{00000000-0005-0000-0000-00004D380000}"/>
    <cellStyle name="표_경포오수신설 부대공-기존관보호공" xfId="14415" xr:uid="{00000000-0005-0000-0000-00004E380000}"/>
    <cellStyle name="표_경포오수신설 부대공-기존관보호공_02.구조물및추진,도달기지토공(D구간)" xfId="14416" xr:uid="{00000000-0005-0000-0000-00004F380000}"/>
    <cellStyle name="표_계약내역서" xfId="14417" xr:uid="{00000000-0005-0000-0000-000050380000}"/>
    <cellStyle name="표_계약내역서_지하시설물조사측량(R1)" xfId="14418" xr:uid="{00000000-0005-0000-0000-000051380000}"/>
    <cellStyle name="표_교통영향평가예산서" xfId="14419" xr:uid="{00000000-0005-0000-0000-000052380000}"/>
    <cellStyle name="표_구조물공사(수정)" xfId="14420" xr:uid="{00000000-0005-0000-0000-000053380000}"/>
    <cellStyle name="표_기존구조물철거" xfId="14421" xr:uid="{00000000-0005-0000-0000-000054380000}"/>
    <cellStyle name="표_기존구조물철거_발파암소할 2003 버전" xfId="14422" xr:uid="{00000000-0005-0000-0000-000055380000}"/>
    <cellStyle name="표_기존구조물철거_토공수량산출서-3공구-사토" xfId="14423" xr:uid="{00000000-0005-0000-0000-000056380000}"/>
    <cellStyle name="표_기존구조물철거최종" xfId="14424" xr:uid="{00000000-0005-0000-0000-000057380000}"/>
    <cellStyle name="표_기존구조물철거최종_발파암소할 2003 버전" xfId="14425" xr:uid="{00000000-0005-0000-0000-000058380000}"/>
    <cellStyle name="표_기존구조물철거최종_토공수량산출서-3공구-사토" xfId="14426" xr:uid="{00000000-0005-0000-0000-000059380000}"/>
    <cellStyle name="표_노면표지" xfId="14427" xr:uid="{00000000-0005-0000-0000-00005A380000}"/>
    <cellStyle name="표_문경내역(1127)" xfId="14428" xr:uid="{00000000-0005-0000-0000-00005B380000}"/>
    <cellStyle name="표_문경내역(1127)_지하시설물조사측량(R1)" xfId="14429" xr:uid="{00000000-0005-0000-0000-00005C380000}"/>
    <cellStyle name="표_문경내역(1127)_지하시설물조사측량(R1)_발주내역서" xfId="14430" xr:uid="{00000000-0005-0000-0000-00005D380000}"/>
    <cellStyle name="표_문경내역(1127)_지하시설물조사측량(R1)_발주내역서(8(1).9)-원본" xfId="14431" xr:uid="{00000000-0005-0000-0000-00005E380000}"/>
    <cellStyle name="표_문경내역(1127)_지하시설물조사측량(R1)_발주내역서-서울시발송수정" xfId="14432" xr:uid="{00000000-0005-0000-0000-00005F380000}"/>
    <cellStyle name="표_문경내역(1127)_지하시설물조사측량(R1)_설계내역서(2010(1).1.13)" xfId="14433" xr:uid="{00000000-0005-0000-0000-000060380000}"/>
    <cellStyle name="표_문경내역(1127)_지하시설물조사측량(R1)_총괄" xfId="14434" xr:uid="{00000000-0005-0000-0000-000061380000}"/>
    <cellStyle name="표_미끄럼방지시설" xfId="14435" xr:uid="{00000000-0005-0000-0000-000062380000}"/>
    <cellStyle name="표_발파암소할" xfId="14436" xr:uid="{00000000-0005-0000-0000-000063380000}"/>
    <cellStyle name="표_발파암소할 2003 버전" xfId="14437" xr:uid="{00000000-0005-0000-0000-000064380000}"/>
    <cellStyle name="표_배수설비 제원표" xfId="14438" xr:uid="{00000000-0005-0000-0000-000065380000}"/>
    <cellStyle name="표_배수설비 제원표_배수설비 수량(장선)" xfId="14439" xr:uid="{00000000-0005-0000-0000-000066380000}"/>
    <cellStyle name="표_변경내역서(의왕수도정비)-07.12.10(보할수정)-김후호수정" xfId="14440" xr:uid="{00000000-0005-0000-0000-000067380000}"/>
    <cellStyle name="표_변경예정공정표(최종)" xfId="14441" xr:uid="{00000000-0005-0000-0000-000068380000}"/>
    <cellStyle name="표_부대" xfId="14442" xr:uid="{00000000-0005-0000-0000-000069380000}"/>
    <cellStyle name="표_부대공사" xfId="14443" xr:uid="{00000000-0005-0000-0000-00006A380000}"/>
    <cellStyle name="표_부대공사_1" xfId="14444" xr:uid="{00000000-0005-0000-0000-00006B380000}"/>
    <cellStyle name="표_부대공사단위수량" xfId="14445" xr:uid="{00000000-0005-0000-0000-00006C380000}"/>
    <cellStyle name="표_부대단위수량" xfId="14446" xr:uid="{00000000-0005-0000-0000-00006D380000}"/>
    <cellStyle name="표_부대수량" xfId="14447" xr:uid="{00000000-0005-0000-0000-00006E380000}"/>
    <cellStyle name="표_설계내역서(변경)_0303" xfId="14448" xr:uid="{00000000-0005-0000-0000-00006F380000}"/>
    <cellStyle name="표_설계내역서(변경)_0303_지하시설물조사측량(R1)" xfId="14449" xr:uid="{00000000-0005-0000-0000-000070380000}"/>
    <cellStyle name="표_설계내역서(변경)_0303_지하시설물조사측량(R1)_발주내역서" xfId="14450" xr:uid="{00000000-0005-0000-0000-000071380000}"/>
    <cellStyle name="표_설계내역서(변경)_0303_지하시설물조사측량(R1)_발주내역서(8(1).9)-원본" xfId="14451" xr:uid="{00000000-0005-0000-0000-000072380000}"/>
    <cellStyle name="표_설계내역서(변경)_0303_지하시설물조사측량(R1)_발주내역서-서울시발송수정" xfId="14452" xr:uid="{00000000-0005-0000-0000-000073380000}"/>
    <cellStyle name="표_설계내역서(변경)_0303_지하시설물조사측량(R1)_설계내역서(2010(1).1.13)" xfId="14453" xr:uid="{00000000-0005-0000-0000-000074380000}"/>
    <cellStyle name="표_설계내역서(변경)_0303_지하시설물조사측량(R1)_총괄" xfId="14454" xr:uid="{00000000-0005-0000-0000-000075380000}"/>
    <cellStyle name="표_설계예산서(설계)" xfId="14455" xr:uid="{00000000-0005-0000-0000-000076380000}"/>
    <cellStyle name="표_설계예산서(설계)_지하시설물조사측량(R1)" xfId="14456" xr:uid="{00000000-0005-0000-0000-000077380000}"/>
    <cellStyle name="표_설계용역비" xfId="14457" xr:uid="{00000000-0005-0000-0000-000078380000}"/>
    <cellStyle name="표_설계용역비_070405-제평가용역" xfId="14458" xr:uid="{00000000-0005-0000-0000-000079380000}"/>
    <cellStyle name="표_설계용역비_토취장 변경내역" xfId="14459" xr:uid="{00000000-0005-0000-0000-00007A380000}"/>
    <cellStyle name="표_설계용역비_토취장_변경내역" xfId="14460" xr:uid="{00000000-0005-0000-0000-00007B380000}"/>
    <cellStyle name="표_설계용역비_토취장_변경내역(수자원)" xfId="14461" xr:uid="{00000000-0005-0000-0000-00007C380000}"/>
    <cellStyle name="표_수량산출서(수정)" xfId="14462" xr:uid="{00000000-0005-0000-0000-00007D380000}"/>
    <cellStyle name="표_수량산출서(수정)_01-토공_02-배수공" xfId="14463" xr:uid="{00000000-0005-0000-0000-00007E380000}"/>
    <cellStyle name="표_수량산출서(수정)_01-토공_02-배수공_02.구조물및추진,도달기지토공(D구간)" xfId="14464" xr:uid="{00000000-0005-0000-0000-00007F380000}"/>
    <cellStyle name="표_수량산출서(수정)_01-토공_02-배수공_토공" xfId="14465" xr:uid="{00000000-0005-0000-0000-000080380000}"/>
    <cellStyle name="표_수량산출서(수정)_01-토공_02-배수공_토공_02.구조물및추진,도달기지토공(D구간)" xfId="14466" xr:uid="{00000000-0005-0000-0000-000081380000}"/>
    <cellStyle name="표_수량산출서(수정)_01-토공_02-배수공_토공_2.0토공3" xfId="14467" xr:uid="{00000000-0005-0000-0000-000082380000}"/>
    <cellStyle name="표_수량산출서(수정)_01-토공_02-배수공_토공_2.0토공3_02.구조물및추진,도달기지토공(D구간)" xfId="14468" xr:uid="{00000000-0005-0000-0000-000083380000}"/>
    <cellStyle name="표_수량산출서(수정)_01-토공_02-배수공_토공_보령깨기집계" xfId="14469" xr:uid="{00000000-0005-0000-0000-000084380000}"/>
    <cellStyle name="표_수량산출서(수정)_01-토공_02-배수공_토공_보령깨기집계_02.구조물및추진,도달기지토공(D구간)" xfId="14470" xr:uid="{00000000-0005-0000-0000-000085380000}"/>
    <cellStyle name="표_수량산출서(수정)_01-토공_02-배수공_토공_정부장님토적" xfId="14471" xr:uid="{00000000-0005-0000-0000-000086380000}"/>
    <cellStyle name="표_수량산출서(수정)_01-토공_02-배수공_토공_정부장님토적_02.구조물및추진,도달기지토공(D구간)" xfId="14472" xr:uid="{00000000-0005-0000-0000-000087380000}"/>
    <cellStyle name="표_수량산출서(수정)_01-토공_02-배수공_토공_토적표" xfId="14473" xr:uid="{00000000-0005-0000-0000-000088380000}"/>
    <cellStyle name="표_수량산출서(수정)_01-토공_02-배수공_토공_토적표_02.구조물및추진,도달기지토공(D구간)" xfId="14474" xr:uid="{00000000-0005-0000-0000-000089380000}"/>
    <cellStyle name="표_수량산출서(수정)_02-배수공" xfId="14475" xr:uid="{00000000-0005-0000-0000-00008A380000}"/>
    <cellStyle name="표_수량산출서(수정)_02-배수공_02.구조물및추진,도달기지토공(D구간)" xfId="14476" xr:uid="{00000000-0005-0000-0000-00008B380000}"/>
    <cellStyle name="표_수량산출서(수정)_02-배수공_02-반중력식옹벽" xfId="14477" xr:uid="{00000000-0005-0000-0000-00008C380000}"/>
    <cellStyle name="표_수량산출서(수정)_02-배수공_02-반중력식옹벽_02.구조물및추진,도달기지토공(D구간)" xfId="14478" xr:uid="{00000000-0005-0000-0000-00008D380000}"/>
    <cellStyle name="표_수량산출서(수정)_02-배수공_02-반중력식옹벽_토공" xfId="14479" xr:uid="{00000000-0005-0000-0000-00008E380000}"/>
    <cellStyle name="표_수량산출서(수정)_02-배수공_02-반중력식옹벽_토공_02.구조물및추진,도달기지토공(D구간)" xfId="14480" xr:uid="{00000000-0005-0000-0000-00008F380000}"/>
    <cellStyle name="표_수량산출서(수정)_02-배수공_02-반중력식옹벽_토공_2.0토공3" xfId="14481" xr:uid="{00000000-0005-0000-0000-000090380000}"/>
    <cellStyle name="표_수량산출서(수정)_02-배수공_02-반중력식옹벽_토공_2.0토공3_02.구조물및추진,도달기지토공(D구간)" xfId="14482" xr:uid="{00000000-0005-0000-0000-000091380000}"/>
    <cellStyle name="표_수량산출서(수정)_02-배수공_02-반중력식옹벽_토공_보령깨기집계" xfId="14483" xr:uid="{00000000-0005-0000-0000-000092380000}"/>
    <cellStyle name="표_수량산출서(수정)_02-배수공_02-반중력식옹벽_토공_보령깨기집계_02.구조물및추진,도달기지토공(D구간)" xfId="14484" xr:uid="{00000000-0005-0000-0000-000093380000}"/>
    <cellStyle name="표_수량산출서(수정)_02-배수공_02-반중력식옹벽_토공_정부장님토적" xfId="14485" xr:uid="{00000000-0005-0000-0000-000094380000}"/>
    <cellStyle name="표_수량산출서(수정)_02-배수공_02-반중력식옹벽_토공_정부장님토적_02.구조물및추진,도달기지토공(D구간)" xfId="14486" xr:uid="{00000000-0005-0000-0000-000095380000}"/>
    <cellStyle name="표_수량산출서(수정)_02-배수공_02-반중력식옹벽_토공_토적표" xfId="14487" xr:uid="{00000000-0005-0000-0000-000096380000}"/>
    <cellStyle name="표_수량산출서(수정)_02-배수공_02-반중력식옹벽_토공_토적표_02.구조물및추진,도달기지토공(D구간)" xfId="14488" xr:uid="{00000000-0005-0000-0000-000097380000}"/>
    <cellStyle name="표_수량산출서(수정)_02-배수공_02-배수공" xfId="14489" xr:uid="{00000000-0005-0000-0000-000098380000}"/>
    <cellStyle name="표_수량산출서(수정)_02-배수공_02-배수공_02.구조물및추진,도달기지토공(D구간)" xfId="14490" xr:uid="{00000000-0005-0000-0000-000099380000}"/>
    <cellStyle name="표_수량산출서(수정)_02-배수공_02-배수공_토공" xfId="14491" xr:uid="{00000000-0005-0000-0000-00009A380000}"/>
    <cellStyle name="표_수량산출서(수정)_02-배수공_02-배수공_토공_02.구조물및추진,도달기지토공(D구간)" xfId="14492" xr:uid="{00000000-0005-0000-0000-00009B380000}"/>
    <cellStyle name="표_수량산출서(수정)_02-배수공_02-배수공_토공_2.0토공3" xfId="14493" xr:uid="{00000000-0005-0000-0000-00009C380000}"/>
    <cellStyle name="표_수량산출서(수정)_02-배수공_02-배수공_토공_2.0토공3_02.구조물및추진,도달기지토공(D구간)" xfId="14494" xr:uid="{00000000-0005-0000-0000-00009D380000}"/>
    <cellStyle name="표_수량산출서(수정)_02-배수공_02-배수공_토공_보령깨기집계" xfId="14495" xr:uid="{00000000-0005-0000-0000-00009E380000}"/>
    <cellStyle name="표_수량산출서(수정)_02-배수공_02-배수공_토공_보령깨기집계_02.구조물및추진,도달기지토공(D구간)" xfId="14496" xr:uid="{00000000-0005-0000-0000-00009F380000}"/>
    <cellStyle name="표_수량산출서(수정)_02-배수공_02-배수공_토공_정부장님토적" xfId="14497" xr:uid="{00000000-0005-0000-0000-0000A0380000}"/>
    <cellStyle name="표_수량산출서(수정)_02-배수공_02-배수공_토공_정부장님토적_02.구조물및추진,도달기지토공(D구간)" xfId="14498" xr:uid="{00000000-0005-0000-0000-0000A1380000}"/>
    <cellStyle name="표_수량산출서(수정)_02-배수공_02-배수공_토공_토적표" xfId="14499" xr:uid="{00000000-0005-0000-0000-0000A2380000}"/>
    <cellStyle name="표_수량산출서(수정)_02-배수공_02-배수공_토공_토적표_02.구조물및추진,도달기지토공(D구간)" xfId="14500" xr:uid="{00000000-0005-0000-0000-0000A3380000}"/>
    <cellStyle name="표_수량산출서(수정)_02-배수공_반중력" xfId="14501" xr:uid="{00000000-0005-0000-0000-0000A4380000}"/>
    <cellStyle name="표_수량산출서(수정)_02-배수공_반중력_02.구조물및추진,도달기지토공(D구간)" xfId="14502" xr:uid="{00000000-0005-0000-0000-0000A5380000}"/>
    <cellStyle name="표_수량산출서(수정)_02-배수공_반중력_토공" xfId="14503" xr:uid="{00000000-0005-0000-0000-0000A6380000}"/>
    <cellStyle name="표_수량산출서(수정)_02-배수공_반중력_토공_02.구조물및추진,도달기지토공(D구간)" xfId="14504" xr:uid="{00000000-0005-0000-0000-0000A7380000}"/>
    <cellStyle name="표_수량산출서(수정)_02-배수공_반중력_토공_2.0토공3" xfId="14505" xr:uid="{00000000-0005-0000-0000-0000A8380000}"/>
    <cellStyle name="표_수량산출서(수정)_02-배수공_반중력_토공_2.0토공3_02.구조물및추진,도달기지토공(D구간)" xfId="14506" xr:uid="{00000000-0005-0000-0000-0000A9380000}"/>
    <cellStyle name="표_수량산출서(수정)_02-배수공_반중력_토공_보령깨기집계" xfId="14507" xr:uid="{00000000-0005-0000-0000-0000AA380000}"/>
    <cellStyle name="표_수량산출서(수정)_02-배수공_반중력_토공_보령깨기집계_02.구조물및추진,도달기지토공(D구간)" xfId="14508" xr:uid="{00000000-0005-0000-0000-0000AB380000}"/>
    <cellStyle name="표_수량산출서(수정)_02-배수공_반중력_토공_정부장님토적" xfId="14509" xr:uid="{00000000-0005-0000-0000-0000AC380000}"/>
    <cellStyle name="표_수량산출서(수정)_02-배수공_반중력_토공_정부장님토적_02.구조물및추진,도달기지토공(D구간)" xfId="14510" xr:uid="{00000000-0005-0000-0000-0000AD380000}"/>
    <cellStyle name="표_수량산출서(수정)_02-배수공_반중력_토공_토적표" xfId="14511" xr:uid="{00000000-0005-0000-0000-0000AE380000}"/>
    <cellStyle name="표_수량산출서(수정)_02-배수공_반중력_토공_토적표_02.구조물및추진,도달기지토공(D구간)" xfId="14512" xr:uid="{00000000-0005-0000-0000-0000AF380000}"/>
    <cellStyle name="표_수량산출서(수정)_02-배수공_토공" xfId="14513" xr:uid="{00000000-0005-0000-0000-0000B0380000}"/>
    <cellStyle name="표_수량산출서(수정)_02-배수공_토공_02.구조물및추진,도달기지토공(D구간)" xfId="14514" xr:uid="{00000000-0005-0000-0000-0000B1380000}"/>
    <cellStyle name="표_수량산출서(수정)_02-배수공_토공_2.0토공3" xfId="14515" xr:uid="{00000000-0005-0000-0000-0000B2380000}"/>
    <cellStyle name="표_수량산출서(수정)_02-배수공_토공_2.0토공3_02.구조물및추진,도달기지토공(D구간)" xfId="14516" xr:uid="{00000000-0005-0000-0000-0000B3380000}"/>
    <cellStyle name="표_수량산출서(수정)_02-배수공_토공_보령깨기집계" xfId="14517" xr:uid="{00000000-0005-0000-0000-0000B4380000}"/>
    <cellStyle name="표_수량산출서(수정)_02-배수공_토공_보령깨기집계_02.구조물및추진,도달기지토공(D구간)" xfId="14518" xr:uid="{00000000-0005-0000-0000-0000B5380000}"/>
    <cellStyle name="표_수량산출서(수정)_02-배수공_토공_정부장님토적" xfId="14519" xr:uid="{00000000-0005-0000-0000-0000B6380000}"/>
    <cellStyle name="표_수량산출서(수정)_02-배수공_토공_정부장님토적_02.구조물및추진,도달기지토공(D구간)" xfId="14520" xr:uid="{00000000-0005-0000-0000-0000B7380000}"/>
    <cellStyle name="표_수량산출서(수정)_02-배수공_토공_토적표" xfId="14521" xr:uid="{00000000-0005-0000-0000-0000B8380000}"/>
    <cellStyle name="표_수량산출서(수정)_02-배수공_토공_토적표_02.구조물및추진,도달기지토공(D구간)" xfId="14522" xr:uid="{00000000-0005-0000-0000-0000B9380000}"/>
    <cellStyle name="표_수량산출서(수정)_04-포장공_02-배수공" xfId="14523" xr:uid="{00000000-0005-0000-0000-0000BA380000}"/>
    <cellStyle name="표_수량산출서(수정)_04-포장공_02-배수공_02.구조물및추진,도달기지토공(D구간)" xfId="14524" xr:uid="{00000000-0005-0000-0000-0000BB380000}"/>
    <cellStyle name="표_수량산출서(수정)_04-포장공_02-배수공_토공" xfId="14525" xr:uid="{00000000-0005-0000-0000-0000BC380000}"/>
    <cellStyle name="표_수량산출서(수정)_04-포장공_02-배수공_토공_02.구조물및추진,도달기지토공(D구간)" xfId="14526" xr:uid="{00000000-0005-0000-0000-0000BD380000}"/>
    <cellStyle name="표_수량산출서(수정)_04-포장공_02-배수공_토공_2.0토공3" xfId="14527" xr:uid="{00000000-0005-0000-0000-0000BE380000}"/>
    <cellStyle name="표_수량산출서(수정)_04-포장공_02-배수공_토공_2.0토공3_02.구조물및추진,도달기지토공(D구간)" xfId="14528" xr:uid="{00000000-0005-0000-0000-0000BF380000}"/>
    <cellStyle name="표_수량산출서(수정)_04-포장공_02-배수공_토공_보령깨기집계" xfId="14529" xr:uid="{00000000-0005-0000-0000-0000C0380000}"/>
    <cellStyle name="표_수량산출서(수정)_04-포장공_02-배수공_토공_보령깨기집계_02.구조물및추진,도달기지토공(D구간)" xfId="14530" xr:uid="{00000000-0005-0000-0000-0000C1380000}"/>
    <cellStyle name="표_수량산출서(수정)_04-포장공_02-배수공_토공_정부장님토적" xfId="14531" xr:uid="{00000000-0005-0000-0000-0000C2380000}"/>
    <cellStyle name="표_수량산출서(수정)_04-포장공_02-배수공_토공_정부장님토적_02.구조물및추진,도달기지토공(D구간)" xfId="14532" xr:uid="{00000000-0005-0000-0000-0000C3380000}"/>
    <cellStyle name="표_수량산출서(수정)_04-포장공_02-배수공_토공_토적표" xfId="14533" xr:uid="{00000000-0005-0000-0000-0000C4380000}"/>
    <cellStyle name="표_수량산출서(수정)_04-포장공_02-배수공_토공_토적표_02.구조물및추진,도달기지토공(D구간)" xfId="14534" xr:uid="{00000000-0005-0000-0000-0000C5380000}"/>
    <cellStyle name="표_수량산출서(수정)_06-부대공_02-배수공" xfId="14535" xr:uid="{00000000-0005-0000-0000-0000C6380000}"/>
    <cellStyle name="표_수량산출서(수정)_06-부대공_02-배수공_02.구조물및추진,도달기지토공(D구간)" xfId="14536" xr:uid="{00000000-0005-0000-0000-0000C7380000}"/>
    <cellStyle name="표_수량산출서(수정)_06-부대공_02-배수공_토공" xfId="14537" xr:uid="{00000000-0005-0000-0000-0000C8380000}"/>
    <cellStyle name="표_수량산출서(수정)_06-부대공_02-배수공_토공_02.구조물및추진,도달기지토공(D구간)" xfId="14538" xr:uid="{00000000-0005-0000-0000-0000C9380000}"/>
    <cellStyle name="표_수량산출서(수정)_06-부대공_02-배수공_토공_2.0토공3" xfId="14539" xr:uid="{00000000-0005-0000-0000-0000CA380000}"/>
    <cellStyle name="표_수량산출서(수정)_06-부대공_02-배수공_토공_2.0토공3_02.구조물및추진,도달기지토공(D구간)" xfId="14540" xr:uid="{00000000-0005-0000-0000-0000CB380000}"/>
    <cellStyle name="표_수량산출서(수정)_06-부대공_02-배수공_토공_보령깨기집계" xfId="14541" xr:uid="{00000000-0005-0000-0000-0000CC380000}"/>
    <cellStyle name="표_수량산출서(수정)_06-부대공_02-배수공_토공_보령깨기집계_02.구조물및추진,도달기지토공(D구간)" xfId="14542" xr:uid="{00000000-0005-0000-0000-0000CD380000}"/>
    <cellStyle name="표_수량산출서(수정)_06-부대공_02-배수공_토공_정부장님토적" xfId="14543" xr:uid="{00000000-0005-0000-0000-0000CE380000}"/>
    <cellStyle name="표_수량산출서(수정)_06-부대공_02-배수공_토공_정부장님토적_02.구조물및추진,도달기지토공(D구간)" xfId="14544" xr:uid="{00000000-0005-0000-0000-0000CF380000}"/>
    <cellStyle name="표_수량산출서(수정)_06-부대공_02-배수공_토공_토적표" xfId="14545" xr:uid="{00000000-0005-0000-0000-0000D0380000}"/>
    <cellStyle name="표_수량산출서(수정)_06-부대공_02-배수공_토공_토적표_02.구조물및추진,도달기지토공(D구간)" xfId="14546" xr:uid="{00000000-0005-0000-0000-0000D1380000}"/>
    <cellStyle name="표_수량산출서(수정)_20_깨기취합" xfId="14547" xr:uid="{00000000-0005-0000-0000-0000D2380000}"/>
    <cellStyle name="표_수량산출서(수정)_20_깨기취합_발파암소할 2003 버전" xfId="14548" xr:uid="{00000000-0005-0000-0000-0000D3380000}"/>
    <cellStyle name="표_수량산출서(수정)_20_깨기취합_토공수량산출서-3공구-사토" xfId="14549" xr:uid="{00000000-0005-0000-0000-0000D4380000}"/>
    <cellStyle name="표_수량산출서(수정)_21_깨기_배수1" xfId="14550" xr:uid="{00000000-0005-0000-0000-0000D5380000}"/>
    <cellStyle name="표_수량산출서(수정)_21_깨기_토공" xfId="14551" xr:uid="{00000000-0005-0000-0000-0000D6380000}"/>
    <cellStyle name="표_수량산출서(수정)_21_깨기_토공_발파암소할 2003 버전" xfId="14552" xr:uid="{00000000-0005-0000-0000-0000D7380000}"/>
    <cellStyle name="표_수량산출서(수정)_21_깨기_토공_토공수량산출서-3공구-사토" xfId="14553" xr:uid="{00000000-0005-0000-0000-0000D8380000}"/>
    <cellStyle name="표_수량산출서(수정)_기존구조물철거" xfId="14554" xr:uid="{00000000-0005-0000-0000-0000D9380000}"/>
    <cellStyle name="표_수량산출서(수정)_기존구조물철거_발파암소할 2003 버전" xfId="14555" xr:uid="{00000000-0005-0000-0000-0000DA380000}"/>
    <cellStyle name="표_수량산출서(수정)_기존구조물철거_토공수량산출서-3공구-사토" xfId="14556" xr:uid="{00000000-0005-0000-0000-0000DB380000}"/>
    <cellStyle name="표_수량산출서(수정)_기존구조물철거최종" xfId="14557" xr:uid="{00000000-0005-0000-0000-0000DC380000}"/>
    <cellStyle name="표_수량산출서(수정)_기존구조물철거최종_발파암소할 2003 버전" xfId="14558" xr:uid="{00000000-0005-0000-0000-0000DD380000}"/>
    <cellStyle name="표_수량산출서(수정)_기존구조물철거최종_토공수량산출서-3공구-사토" xfId="14559" xr:uid="{00000000-0005-0000-0000-0000DE380000}"/>
    <cellStyle name="표_수량산출서(수정)_발파암소할 2003 버전" xfId="14560" xr:uid="{00000000-0005-0000-0000-0000DF380000}"/>
    <cellStyle name="표_수량산출서(수정)_오수공" xfId="14561" xr:uid="{00000000-0005-0000-0000-0000E0380000}"/>
    <cellStyle name="표_수량산출서(수정)_오수공_20_깨기취합" xfId="14562" xr:uid="{00000000-0005-0000-0000-0000E1380000}"/>
    <cellStyle name="표_수량산출서(수정)_오수공_20_깨기취합_발파암소할 2003 버전" xfId="14563" xr:uid="{00000000-0005-0000-0000-0000E2380000}"/>
    <cellStyle name="표_수량산출서(수정)_오수공_20_깨기취합_토공수량산출서-3공구-사토" xfId="14564" xr:uid="{00000000-0005-0000-0000-0000E3380000}"/>
    <cellStyle name="표_수량산출서(수정)_오수공_21_깨기_배수1" xfId="14565" xr:uid="{00000000-0005-0000-0000-0000E4380000}"/>
    <cellStyle name="표_수량산출서(수정)_오수공_21_깨기_토공" xfId="14566" xr:uid="{00000000-0005-0000-0000-0000E5380000}"/>
    <cellStyle name="표_수량산출서(수정)_오수공_21_깨기_토공_발파암소할 2003 버전" xfId="14567" xr:uid="{00000000-0005-0000-0000-0000E6380000}"/>
    <cellStyle name="표_수량산출서(수정)_오수공_21_깨기_토공_토공수량산출서-3공구-사토" xfId="14568" xr:uid="{00000000-0005-0000-0000-0000E7380000}"/>
    <cellStyle name="표_수량산출서(수정)_오수공_기존구조물철거" xfId="14569" xr:uid="{00000000-0005-0000-0000-0000E8380000}"/>
    <cellStyle name="표_수량산출서(수정)_오수공_기존구조물철거_발파암소할 2003 버전" xfId="14570" xr:uid="{00000000-0005-0000-0000-0000E9380000}"/>
    <cellStyle name="표_수량산출서(수정)_오수공_기존구조물철거_토공수량산출서-3공구-사토" xfId="14571" xr:uid="{00000000-0005-0000-0000-0000EA380000}"/>
    <cellStyle name="표_수량산출서(수정)_오수공_기존구조물철거최종" xfId="14572" xr:uid="{00000000-0005-0000-0000-0000EB380000}"/>
    <cellStyle name="표_수량산출서(수정)_오수공_기존구조물철거최종_발파암소할 2003 버전" xfId="14573" xr:uid="{00000000-0005-0000-0000-0000EC380000}"/>
    <cellStyle name="표_수량산출서(수정)_오수공_기존구조물철거최종_토공수량산출서-3공구-사토" xfId="14574" xr:uid="{00000000-0005-0000-0000-0000ED380000}"/>
    <cellStyle name="표_수량산출서(수정)_오수공_발파암소할 2003 버전" xfId="14575" xr:uid="{00000000-0005-0000-0000-0000EE380000}"/>
    <cellStyle name="표_수량산출서(수정)_오수공_오수공" xfId="14576" xr:uid="{00000000-0005-0000-0000-0000EF380000}"/>
    <cellStyle name="표_수량산출서(수정)_오수공_오수공_20_깨기취합" xfId="14577" xr:uid="{00000000-0005-0000-0000-0000F0380000}"/>
    <cellStyle name="표_수량산출서(수정)_오수공_오수공_20_깨기취합_발파암소할 2003 버전" xfId="14578" xr:uid="{00000000-0005-0000-0000-0000F1380000}"/>
    <cellStyle name="표_수량산출서(수정)_오수공_오수공_20_깨기취합_토공수량산출서-3공구-사토" xfId="14579" xr:uid="{00000000-0005-0000-0000-0000F2380000}"/>
    <cellStyle name="표_수량산출서(수정)_오수공_오수공_21_깨기_배수1" xfId="14580" xr:uid="{00000000-0005-0000-0000-0000F3380000}"/>
    <cellStyle name="표_수량산출서(수정)_오수공_오수공_21_깨기_토공" xfId="14581" xr:uid="{00000000-0005-0000-0000-0000F4380000}"/>
    <cellStyle name="표_수량산출서(수정)_오수공_오수공_21_깨기_토공_발파암소할 2003 버전" xfId="14582" xr:uid="{00000000-0005-0000-0000-0000F5380000}"/>
    <cellStyle name="표_수량산출서(수정)_오수공_오수공_21_깨기_토공_토공수량산출서-3공구-사토" xfId="14583" xr:uid="{00000000-0005-0000-0000-0000F6380000}"/>
    <cellStyle name="표_수량산출서(수정)_오수공_오수공_기존구조물철거" xfId="14584" xr:uid="{00000000-0005-0000-0000-0000F7380000}"/>
    <cellStyle name="표_수량산출서(수정)_오수공_오수공_기존구조물철거_발파암소할 2003 버전" xfId="14585" xr:uid="{00000000-0005-0000-0000-0000F8380000}"/>
    <cellStyle name="표_수량산출서(수정)_오수공_오수공_기존구조물철거_토공수량산출서-3공구-사토" xfId="14586" xr:uid="{00000000-0005-0000-0000-0000F9380000}"/>
    <cellStyle name="표_수량산출서(수정)_오수공_오수공_기존구조물철거최종" xfId="14587" xr:uid="{00000000-0005-0000-0000-0000FA380000}"/>
    <cellStyle name="표_수량산출서(수정)_오수공_오수공_기존구조물철거최종_발파암소할 2003 버전" xfId="14588" xr:uid="{00000000-0005-0000-0000-0000FB380000}"/>
    <cellStyle name="표_수량산출서(수정)_오수공_오수공_기존구조물철거최종_토공수량산출서-3공구-사토" xfId="14589" xr:uid="{00000000-0005-0000-0000-0000FC380000}"/>
    <cellStyle name="표_수량산출서(수정)_오수공_오수공_발파암소할 2003 버전" xfId="14590" xr:uid="{00000000-0005-0000-0000-0000FD380000}"/>
    <cellStyle name="표_수량산출서(수정)_오수공_오수공_토공수량산출서-3공구-사토" xfId="14591" xr:uid="{00000000-0005-0000-0000-0000FE380000}"/>
    <cellStyle name="표_수량산출서(수정)_오수공_토공수량산출서-3공구-사토" xfId="14592" xr:uid="{00000000-0005-0000-0000-0000FF380000}"/>
    <cellStyle name="표_수량산출서(수정)_토공수량산출서-3공구-사토" xfId="14593" xr:uid="{00000000-0005-0000-0000-000000390000}"/>
    <cellStyle name="표_오수공" xfId="14594" xr:uid="{00000000-0005-0000-0000-000001390000}"/>
    <cellStyle name="표_오수공_20_깨기취합" xfId="14595" xr:uid="{00000000-0005-0000-0000-000002390000}"/>
    <cellStyle name="표_오수공_20_깨기취합_발파암소할 2003 버전" xfId="14596" xr:uid="{00000000-0005-0000-0000-000003390000}"/>
    <cellStyle name="표_오수공_20_깨기취합_토공수량산출서-3공구-사토" xfId="14597" xr:uid="{00000000-0005-0000-0000-000004390000}"/>
    <cellStyle name="표_오수공_21_깨기_배수1" xfId="14598" xr:uid="{00000000-0005-0000-0000-000005390000}"/>
    <cellStyle name="표_오수공_21_깨기_토공" xfId="14599" xr:uid="{00000000-0005-0000-0000-000006390000}"/>
    <cellStyle name="표_오수공_21_깨기_토공_발파암소할 2003 버전" xfId="14600" xr:uid="{00000000-0005-0000-0000-000007390000}"/>
    <cellStyle name="표_오수공_21_깨기_토공_토공수량산출서-3공구-사토" xfId="14601" xr:uid="{00000000-0005-0000-0000-000008390000}"/>
    <cellStyle name="표_오수공_기존구조물철거" xfId="14602" xr:uid="{00000000-0005-0000-0000-000009390000}"/>
    <cellStyle name="표_오수공_기존구조물철거_발파암소할 2003 버전" xfId="14603" xr:uid="{00000000-0005-0000-0000-00000A390000}"/>
    <cellStyle name="표_오수공_기존구조물철거_토공수량산출서-3공구-사토" xfId="14604" xr:uid="{00000000-0005-0000-0000-00000B390000}"/>
    <cellStyle name="표_오수공_기존구조물철거최종" xfId="14605" xr:uid="{00000000-0005-0000-0000-00000C390000}"/>
    <cellStyle name="표_오수공_기존구조물철거최종_발파암소할 2003 버전" xfId="14606" xr:uid="{00000000-0005-0000-0000-00000D390000}"/>
    <cellStyle name="표_오수공_기존구조물철거최종_토공수량산출서-3공구-사토" xfId="14607" xr:uid="{00000000-0005-0000-0000-00000E390000}"/>
    <cellStyle name="표_오수공_발파암소할 2003 버전" xfId="14608" xr:uid="{00000000-0005-0000-0000-00000F390000}"/>
    <cellStyle name="표_오수공_오수공" xfId="14609" xr:uid="{00000000-0005-0000-0000-000010390000}"/>
    <cellStyle name="표_오수공_오수공_20_깨기취합" xfId="14610" xr:uid="{00000000-0005-0000-0000-000011390000}"/>
    <cellStyle name="표_오수공_오수공_20_깨기취합_발파암소할 2003 버전" xfId="14611" xr:uid="{00000000-0005-0000-0000-000012390000}"/>
    <cellStyle name="표_오수공_오수공_20_깨기취합_토공수량산출서-3공구-사토" xfId="14612" xr:uid="{00000000-0005-0000-0000-000013390000}"/>
    <cellStyle name="표_오수공_오수공_21_깨기_배수1" xfId="14613" xr:uid="{00000000-0005-0000-0000-000014390000}"/>
    <cellStyle name="표_오수공_오수공_21_깨기_토공" xfId="14614" xr:uid="{00000000-0005-0000-0000-000015390000}"/>
    <cellStyle name="표_오수공_오수공_21_깨기_토공_발파암소할 2003 버전" xfId="14615" xr:uid="{00000000-0005-0000-0000-000016390000}"/>
    <cellStyle name="표_오수공_오수공_21_깨기_토공_토공수량산출서-3공구-사토" xfId="14616" xr:uid="{00000000-0005-0000-0000-000017390000}"/>
    <cellStyle name="표_오수공_오수공_기존구조물철거" xfId="14617" xr:uid="{00000000-0005-0000-0000-000018390000}"/>
    <cellStyle name="표_오수공_오수공_기존구조물철거_발파암소할 2003 버전" xfId="14618" xr:uid="{00000000-0005-0000-0000-000019390000}"/>
    <cellStyle name="표_오수공_오수공_기존구조물철거_토공수량산출서-3공구-사토" xfId="14619" xr:uid="{00000000-0005-0000-0000-00001A390000}"/>
    <cellStyle name="표_오수공_오수공_기존구조물철거최종" xfId="14620" xr:uid="{00000000-0005-0000-0000-00001B390000}"/>
    <cellStyle name="표_오수공_오수공_기존구조물철거최종_발파암소할 2003 버전" xfId="14621" xr:uid="{00000000-0005-0000-0000-00001C390000}"/>
    <cellStyle name="표_오수공_오수공_기존구조물철거최종_토공수량산출서-3공구-사토" xfId="14622" xr:uid="{00000000-0005-0000-0000-00001D390000}"/>
    <cellStyle name="표_오수공_오수공_발파암소할 2003 버전" xfId="14623" xr:uid="{00000000-0005-0000-0000-00001E390000}"/>
    <cellStyle name="표_오수공_오수공_토공수량산출서-3공구-사토" xfId="14624" xr:uid="{00000000-0005-0000-0000-00001F390000}"/>
    <cellStyle name="표_오수공_토공수량산출서-3공구-사토" xfId="14625" xr:uid="{00000000-0005-0000-0000-000020390000}"/>
    <cellStyle name="표_이형관재료계산서" xfId="14626" xr:uid="{00000000-0005-0000-0000-000021390000}"/>
    <cellStyle name="표_이형관재료계산서_관수량 (2)" xfId="14627" xr:uid="{00000000-0005-0000-0000-000022390000}"/>
    <cellStyle name="표_이형관재료계산서_관자재" xfId="14628" xr:uid="{00000000-0005-0000-0000-000023390000}"/>
    <cellStyle name="표_이형관재료계산서_수량산출" xfId="14629" xr:uid="{00000000-0005-0000-0000-000024390000}"/>
    <cellStyle name="표_최종설계내역서" xfId="14630" xr:uid="{00000000-0005-0000-0000-000025390000}"/>
    <cellStyle name="표_최종설계내역서(변경)" xfId="14631" xr:uid="{00000000-0005-0000-0000-000026390000}"/>
    <cellStyle name="표_최종설계내역서(변경)_지하시설물조사측량(R1)" xfId="14632" xr:uid="{00000000-0005-0000-0000-000027390000}"/>
    <cellStyle name="표_최종설계내역서(변경)_지하시설물조사측량(R1)_발주내역서" xfId="14633" xr:uid="{00000000-0005-0000-0000-000028390000}"/>
    <cellStyle name="표_최종설계내역서(변경)_지하시설물조사측량(R1)_발주내역서(8(1).9)-원본" xfId="14634" xr:uid="{00000000-0005-0000-0000-000029390000}"/>
    <cellStyle name="표_최종설계내역서(변경)_지하시설물조사측량(R1)_발주내역서-서울시발송수정" xfId="14635" xr:uid="{00000000-0005-0000-0000-00002A390000}"/>
    <cellStyle name="표_최종설계내역서(변경)_지하시설물조사측량(R1)_설계내역서(2010(1).1.13)" xfId="14636" xr:uid="{00000000-0005-0000-0000-00002B390000}"/>
    <cellStyle name="표_최종설계내역서(변경)_지하시설물조사측량(R1)_총괄" xfId="14637" xr:uid="{00000000-0005-0000-0000-00002C390000}"/>
    <cellStyle name="표_최종설계내역서_지하시설물조사측량(R1)" xfId="14638" xr:uid="{00000000-0005-0000-0000-00002D390000}"/>
    <cellStyle name="표_최종설계내역서_지하시설물조사측량(R1)_발주내역서" xfId="14639" xr:uid="{00000000-0005-0000-0000-00002E390000}"/>
    <cellStyle name="표_최종설계내역서_지하시설물조사측량(R1)_발주내역서(8(1).9)-원본" xfId="14640" xr:uid="{00000000-0005-0000-0000-00002F390000}"/>
    <cellStyle name="표_최종설계내역서_지하시설물조사측량(R1)_발주내역서-서울시발송수정" xfId="14641" xr:uid="{00000000-0005-0000-0000-000030390000}"/>
    <cellStyle name="표_최종설계내역서_지하시설물조사측량(R1)_설계내역서(2010(1).1.13)" xfId="14642" xr:uid="{00000000-0005-0000-0000-000031390000}"/>
    <cellStyle name="표_최종설계내역서_지하시설물조사측량(R1)_총괄" xfId="14643" xr:uid="{00000000-0005-0000-0000-000032390000}"/>
    <cellStyle name="표_터파기공법" xfId="14644" xr:uid="{00000000-0005-0000-0000-000033390000}"/>
    <cellStyle name="표_터파기공법_06. 물 푸 기-코드" xfId="14645" xr:uid="{00000000-0005-0000-0000-000034390000}"/>
    <cellStyle name="표_토공수량산출서-3공구-사토" xfId="14646" xr:uid="{00000000-0005-0000-0000-000035390000}"/>
    <cellStyle name="표_토취장 변경내역" xfId="14647" xr:uid="{00000000-0005-0000-0000-000036390000}"/>
    <cellStyle name="표_토취장_변경내역" xfId="14648" xr:uid="{00000000-0005-0000-0000-000037390000}"/>
    <cellStyle name="표_토취장_변경내역(수자원)" xfId="14649" xr:uid="{00000000-0005-0000-0000-000038390000}"/>
    <cellStyle name="표_하수처리시설(황간)" xfId="14650" xr:uid="{00000000-0005-0000-0000-000039390000}"/>
    <cellStyle name="표_하수처리시설(황간)_배수설비 제원표" xfId="14651" xr:uid="{00000000-0005-0000-0000-00003A390000}"/>
    <cellStyle name="표_하수처리시설(황간)_배수설비 제원표_배수설비 수량(장선)" xfId="14652" xr:uid="{00000000-0005-0000-0000-00003B390000}"/>
    <cellStyle name="표제목" xfId="14653" xr:uid="{00000000-0005-0000-0000-00003C390000}"/>
    <cellStyle name="표준" xfId="0" builtinId="0"/>
    <cellStyle name="표준 10" xfId="14654" xr:uid="{00000000-0005-0000-0000-00003E390000}"/>
    <cellStyle name="표준 10 2" xfId="14655" xr:uid="{00000000-0005-0000-0000-00003F390000}"/>
    <cellStyle name="표준 10 3" xfId="14656" xr:uid="{00000000-0005-0000-0000-000040390000}"/>
    <cellStyle name="표준 10 4" xfId="14657" xr:uid="{00000000-0005-0000-0000-000041390000}"/>
    <cellStyle name="표준 10 5" xfId="14658" xr:uid="{00000000-0005-0000-0000-000042390000}"/>
    <cellStyle name="표준 100" xfId="14659" xr:uid="{00000000-0005-0000-0000-000043390000}"/>
    <cellStyle name="표준 101" xfId="14660" xr:uid="{00000000-0005-0000-0000-000044390000}"/>
    <cellStyle name="표준 102" xfId="14661" xr:uid="{00000000-0005-0000-0000-000045390000}"/>
    <cellStyle name="표준 103" xfId="14662" xr:uid="{00000000-0005-0000-0000-000046390000}"/>
    <cellStyle name="표준 104" xfId="14663" xr:uid="{00000000-0005-0000-0000-000047390000}"/>
    <cellStyle name="표준 105" xfId="14664" xr:uid="{00000000-0005-0000-0000-000048390000}"/>
    <cellStyle name="표준 106" xfId="14665" xr:uid="{00000000-0005-0000-0000-000049390000}"/>
    <cellStyle name="표준 107" xfId="14666" xr:uid="{00000000-0005-0000-0000-00004A390000}"/>
    <cellStyle name="표준 108" xfId="14667" xr:uid="{00000000-0005-0000-0000-00004B390000}"/>
    <cellStyle name="표준 109" xfId="14668" xr:uid="{00000000-0005-0000-0000-00004C390000}"/>
    <cellStyle name="표준 11" xfId="14669" xr:uid="{00000000-0005-0000-0000-00004D390000}"/>
    <cellStyle name="표준 11 2" xfId="14670" xr:uid="{00000000-0005-0000-0000-00004E390000}"/>
    <cellStyle name="표준 11 3" xfId="14671" xr:uid="{00000000-0005-0000-0000-00004F390000}"/>
    <cellStyle name="표준 110" xfId="14672" xr:uid="{00000000-0005-0000-0000-000050390000}"/>
    <cellStyle name="표준 111" xfId="14673" xr:uid="{00000000-0005-0000-0000-000051390000}"/>
    <cellStyle name="표준 112" xfId="14674" xr:uid="{00000000-0005-0000-0000-000052390000}"/>
    <cellStyle name="표준 113" xfId="14675" xr:uid="{00000000-0005-0000-0000-000053390000}"/>
    <cellStyle name="표준 114" xfId="14676" xr:uid="{00000000-0005-0000-0000-000054390000}"/>
    <cellStyle name="표준 115" xfId="14677" xr:uid="{00000000-0005-0000-0000-000055390000}"/>
    <cellStyle name="표준 116" xfId="14678" xr:uid="{00000000-0005-0000-0000-000056390000}"/>
    <cellStyle name="표준 117" xfId="14679" xr:uid="{00000000-0005-0000-0000-000057390000}"/>
    <cellStyle name="표준 118" xfId="14680" xr:uid="{00000000-0005-0000-0000-000058390000}"/>
    <cellStyle name="표준 119" xfId="14681" xr:uid="{00000000-0005-0000-0000-000059390000}"/>
    <cellStyle name="표준 12" xfId="14682" xr:uid="{00000000-0005-0000-0000-00005A390000}"/>
    <cellStyle name="표준 12 2" xfId="14683" xr:uid="{00000000-0005-0000-0000-00005B390000}"/>
    <cellStyle name="표준 12 3" xfId="14684" xr:uid="{00000000-0005-0000-0000-00005C390000}"/>
    <cellStyle name="표준 12 3 2" xfId="14685" xr:uid="{00000000-0005-0000-0000-00005D390000}"/>
    <cellStyle name="표준 12 4" xfId="14686" xr:uid="{00000000-0005-0000-0000-00005E390000}"/>
    <cellStyle name="표준 12 5" xfId="14687" xr:uid="{00000000-0005-0000-0000-00005F390000}"/>
    <cellStyle name="표준 120" xfId="14688" xr:uid="{00000000-0005-0000-0000-000060390000}"/>
    <cellStyle name="표준 121" xfId="14689" xr:uid="{00000000-0005-0000-0000-000061390000}"/>
    <cellStyle name="표준 122" xfId="14690" xr:uid="{00000000-0005-0000-0000-000062390000}"/>
    <cellStyle name="표준 123" xfId="14691" xr:uid="{00000000-0005-0000-0000-000063390000}"/>
    <cellStyle name="표준 124" xfId="14692" xr:uid="{00000000-0005-0000-0000-000064390000}"/>
    <cellStyle name="표준 125" xfId="14693" xr:uid="{00000000-0005-0000-0000-000065390000}"/>
    <cellStyle name="표준 126" xfId="14694" xr:uid="{00000000-0005-0000-0000-000066390000}"/>
    <cellStyle name="표준 127" xfId="14695" xr:uid="{00000000-0005-0000-0000-000067390000}"/>
    <cellStyle name="표준 128" xfId="14696" xr:uid="{00000000-0005-0000-0000-000068390000}"/>
    <cellStyle name="표준 129" xfId="14697" xr:uid="{00000000-0005-0000-0000-000069390000}"/>
    <cellStyle name="표준 13" xfId="14698" xr:uid="{00000000-0005-0000-0000-00006A390000}"/>
    <cellStyle name="표준 130" xfId="14699" xr:uid="{00000000-0005-0000-0000-00006B390000}"/>
    <cellStyle name="표준 131" xfId="14700" xr:uid="{00000000-0005-0000-0000-00006C390000}"/>
    <cellStyle name="표준 132" xfId="14701" xr:uid="{00000000-0005-0000-0000-00006D390000}"/>
    <cellStyle name="표준 133" xfId="14702" xr:uid="{00000000-0005-0000-0000-00006E390000}"/>
    <cellStyle name="표준 134" xfId="14703" xr:uid="{00000000-0005-0000-0000-00006F390000}"/>
    <cellStyle name="표준 135" xfId="14704" xr:uid="{00000000-0005-0000-0000-000070390000}"/>
    <cellStyle name="표준 136" xfId="14705" xr:uid="{00000000-0005-0000-0000-000071390000}"/>
    <cellStyle name="표준 137" xfId="14706" xr:uid="{00000000-0005-0000-0000-000072390000}"/>
    <cellStyle name="표준 138" xfId="14707" xr:uid="{00000000-0005-0000-0000-000073390000}"/>
    <cellStyle name="표준 139" xfId="14708" xr:uid="{00000000-0005-0000-0000-000074390000}"/>
    <cellStyle name="표준 14" xfId="14709" xr:uid="{00000000-0005-0000-0000-000075390000}"/>
    <cellStyle name="표준 140" xfId="14710" xr:uid="{00000000-0005-0000-0000-000076390000}"/>
    <cellStyle name="표준 141" xfId="14711" xr:uid="{00000000-0005-0000-0000-000077390000}"/>
    <cellStyle name="표준 142" xfId="14712" xr:uid="{00000000-0005-0000-0000-000078390000}"/>
    <cellStyle name="표준 143" xfId="14713" xr:uid="{00000000-0005-0000-0000-000079390000}"/>
    <cellStyle name="표준 144" xfId="14714" xr:uid="{00000000-0005-0000-0000-00007A390000}"/>
    <cellStyle name="표준 145" xfId="14715" xr:uid="{00000000-0005-0000-0000-00007B390000}"/>
    <cellStyle name="표준 146" xfId="14716" xr:uid="{00000000-0005-0000-0000-00007C390000}"/>
    <cellStyle name="표준 147" xfId="14717" xr:uid="{00000000-0005-0000-0000-00007D390000}"/>
    <cellStyle name="표준 148" xfId="14718" xr:uid="{00000000-0005-0000-0000-00007E390000}"/>
    <cellStyle name="표준 149" xfId="14719" xr:uid="{00000000-0005-0000-0000-00007F390000}"/>
    <cellStyle name="표준 15" xfId="14720" xr:uid="{00000000-0005-0000-0000-000080390000}"/>
    <cellStyle name="표준 150" xfId="14721" xr:uid="{00000000-0005-0000-0000-000081390000}"/>
    <cellStyle name="표준 151" xfId="14722" xr:uid="{00000000-0005-0000-0000-000082390000}"/>
    <cellStyle name="표준 152" xfId="14723" xr:uid="{00000000-0005-0000-0000-000083390000}"/>
    <cellStyle name="표준 153" xfId="14724" xr:uid="{00000000-0005-0000-0000-000084390000}"/>
    <cellStyle name="표준 154" xfId="14725" xr:uid="{00000000-0005-0000-0000-000085390000}"/>
    <cellStyle name="표준 155" xfId="14726" xr:uid="{00000000-0005-0000-0000-000086390000}"/>
    <cellStyle name="표준 156" xfId="14727" xr:uid="{00000000-0005-0000-0000-000087390000}"/>
    <cellStyle name="표준 157" xfId="14728" xr:uid="{00000000-0005-0000-0000-000088390000}"/>
    <cellStyle name="표준 158" xfId="14729" xr:uid="{00000000-0005-0000-0000-000089390000}"/>
    <cellStyle name="표준 159" xfId="14730" xr:uid="{00000000-0005-0000-0000-00008A390000}"/>
    <cellStyle name="표준 16" xfId="14731" xr:uid="{00000000-0005-0000-0000-00008B390000}"/>
    <cellStyle name="표준 16 2" xfId="14732" xr:uid="{00000000-0005-0000-0000-00008C390000}"/>
    <cellStyle name="표준 160" xfId="14733" xr:uid="{00000000-0005-0000-0000-00008D390000}"/>
    <cellStyle name="표준 161" xfId="14734" xr:uid="{00000000-0005-0000-0000-00008E390000}"/>
    <cellStyle name="표준 162" xfId="14735" xr:uid="{00000000-0005-0000-0000-00008F390000}"/>
    <cellStyle name="표준 163" xfId="14736" xr:uid="{00000000-0005-0000-0000-000090390000}"/>
    <cellStyle name="표준 164" xfId="14737" xr:uid="{00000000-0005-0000-0000-000091390000}"/>
    <cellStyle name="표준 165" xfId="14738" xr:uid="{00000000-0005-0000-0000-000092390000}"/>
    <cellStyle name="표준 166" xfId="14739" xr:uid="{00000000-0005-0000-0000-000093390000}"/>
    <cellStyle name="표준 167" xfId="14740" xr:uid="{00000000-0005-0000-0000-000094390000}"/>
    <cellStyle name="표준 168" xfId="14741" xr:uid="{00000000-0005-0000-0000-000095390000}"/>
    <cellStyle name="표준 169" xfId="14742" xr:uid="{00000000-0005-0000-0000-000096390000}"/>
    <cellStyle name="표준 17" xfId="14743" xr:uid="{00000000-0005-0000-0000-000097390000}"/>
    <cellStyle name="표준 170" xfId="14744" xr:uid="{00000000-0005-0000-0000-000098390000}"/>
    <cellStyle name="표준 171" xfId="14745" xr:uid="{00000000-0005-0000-0000-000099390000}"/>
    <cellStyle name="표준 172" xfId="14746" xr:uid="{00000000-0005-0000-0000-00009A390000}"/>
    <cellStyle name="표준 173" xfId="14747" xr:uid="{00000000-0005-0000-0000-00009B390000}"/>
    <cellStyle name="표준 174" xfId="14748" xr:uid="{00000000-0005-0000-0000-00009C390000}"/>
    <cellStyle name="표준 175" xfId="14749" xr:uid="{00000000-0005-0000-0000-00009D390000}"/>
    <cellStyle name="표준 176" xfId="14750" xr:uid="{00000000-0005-0000-0000-00009E390000}"/>
    <cellStyle name="표준 177" xfId="14751" xr:uid="{00000000-0005-0000-0000-00009F390000}"/>
    <cellStyle name="표준 178" xfId="14752" xr:uid="{00000000-0005-0000-0000-0000A0390000}"/>
    <cellStyle name="표준 179" xfId="14753" xr:uid="{00000000-0005-0000-0000-0000A1390000}"/>
    <cellStyle name="표준 18" xfId="14754" xr:uid="{00000000-0005-0000-0000-0000A2390000}"/>
    <cellStyle name="표준 180" xfId="14755" xr:uid="{00000000-0005-0000-0000-0000A3390000}"/>
    <cellStyle name="표준 181" xfId="14756" xr:uid="{00000000-0005-0000-0000-0000A4390000}"/>
    <cellStyle name="표준 182" xfId="14757" xr:uid="{00000000-0005-0000-0000-0000A5390000}"/>
    <cellStyle name="표준 183" xfId="14758" xr:uid="{00000000-0005-0000-0000-0000A6390000}"/>
    <cellStyle name="표준 183 2" xfId="14759" xr:uid="{00000000-0005-0000-0000-0000A7390000}"/>
    <cellStyle name="표준 183 2 2" xfId="14760" xr:uid="{00000000-0005-0000-0000-0000A8390000}"/>
    <cellStyle name="표준 183 2 2 2" xfId="14761" xr:uid="{00000000-0005-0000-0000-0000A9390000}"/>
    <cellStyle name="표준 183 2 2 2 2" xfId="14762" xr:uid="{00000000-0005-0000-0000-0000AA390000}"/>
    <cellStyle name="표준 183 2 2 2 2 2" xfId="14763" xr:uid="{00000000-0005-0000-0000-0000AB390000}"/>
    <cellStyle name="표준 183 2 2 2 3" xfId="14764" xr:uid="{00000000-0005-0000-0000-0000AC390000}"/>
    <cellStyle name="표준 183 2 2 2 4" xfId="14765" xr:uid="{00000000-0005-0000-0000-0000AD390000}"/>
    <cellStyle name="표준 183 2 2 3" xfId="14766" xr:uid="{00000000-0005-0000-0000-0000AE390000}"/>
    <cellStyle name="표준 183 2 2 3 2" xfId="14767" xr:uid="{00000000-0005-0000-0000-0000AF390000}"/>
    <cellStyle name="표준 183 2 2 4" xfId="14768" xr:uid="{00000000-0005-0000-0000-0000B0390000}"/>
    <cellStyle name="표준 183 2 2 5" xfId="14769" xr:uid="{00000000-0005-0000-0000-0000B1390000}"/>
    <cellStyle name="표준 183 2 3" xfId="14770" xr:uid="{00000000-0005-0000-0000-0000B2390000}"/>
    <cellStyle name="표준 183 2 3 2" xfId="14771" xr:uid="{00000000-0005-0000-0000-0000B3390000}"/>
    <cellStyle name="표준 183 2 3 2 2" xfId="14772" xr:uid="{00000000-0005-0000-0000-0000B4390000}"/>
    <cellStyle name="표준 183 2 3 3" xfId="14773" xr:uid="{00000000-0005-0000-0000-0000B5390000}"/>
    <cellStyle name="표준 183 2 3 4" xfId="14774" xr:uid="{00000000-0005-0000-0000-0000B6390000}"/>
    <cellStyle name="표준 183 2 4" xfId="14775" xr:uid="{00000000-0005-0000-0000-0000B7390000}"/>
    <cellStyle name="표준 183 2 4 2" xfId="14776" xr:uid="{00000000-0005-0000-0000-0000B8390000}"/>
    <cellStyle name="표준 183 2 5" xfId="14777" xr:uid="{00000000-0005-0000-0000-0000B9390000}"/>
    <cellStyle name="표준 183 2 6" xfId="14778" xr:uid="{00000000-0005-0000-0000-0000BA390000}"/>
    <cellStyle name="표준 183 3" xfId="14779" xr:uid="{00000000-0005-0000-0000-0000BB390000}"/>
    <cellStyle name="표준 183 3 2" xfId="14780" xr:uid="{00000000-0005-0000-0000-0000BC390000}"/>
    <cellStyle name="표준 183 3 2 2" xfId="14781" xr:uid="{00000000-0005-0000-0000-0000BD390000}"/>
    <cellStyle name="표준 183 3 2 2 2" xfId="14782" xr:uid="{00000000-0005-0000-0000-0000BE390000}"/>
    <cellStyle name="표준 183 3 2 3" xfId="14783" xr:uid="{00000000-0005-0000-0000-0000BF390000}"/>
    <cellStyle name="표준 183 3 2 4" xfId="14784" xr:uid="{00000000-0005-0000-0000-0000C0390000}"/>
    <cellStyle name="표준 183 3 3" xfId="14785" xr:uid="{00000000-0005-0000-0000-0000C1390000}"/>
    <cellStyle name="표준 183 3 3 2" xfId="14786" xr:uid="{00000000-0005-0000-0000-0000C2390000}"/>
    <cellStyle name="표준 183 3 4" xfId="14787" xr:uid="{00000000-0005-0000-0000-0000C3390000}"/>
    <cellStyle name="표준 183 3 5" xfId="14788" xr:uid="{00000000-0005-0000-0000-0000C4390000}"/>
    <cellStyle name="표준 183 4" xfId="14789" xr:uid="{00000000-0005-0000-0000-0000C5390000}"/>
    <cellStyle name="표준 183 4 2" xfId="14790" xr:uid="{00000000-0005-0000-0000-0000C6390000}"/>
    <cellStyle name="표준 183 4 2 2" xfId="14791" xr:uid="{00000000-0005-0000-0000-0000C7390000}"/>
    <cellStyle name="표준 183 4 2 2 2" xfId="14792" xr:uid="{00000000-0005-0000-0000-0000C8390000}"/>
    <cellStyle name="표준 183 4 2 3" xfId="14793" xr:uid="{00000000-0005-0000-0000-0000C9390000}"/>
    <cellStyle name="표준 183 4 2 4" xfId="14794" xr:uid="{00000000-0005-0000-0000-0000CA390000}"/>
    <cellStyle name="표준 183 4 3" xfId="14795" xr:uid="{00000000-0005-0000-0000-0000CB390000}"/>
    <cellStyle name="표준 183 4 3 2" xfId="14796" xr:uid="{00000000-0005-0000-0000-0000CC390000}"/>
    <cellStyle name="표준 183 4 4" xfId="14797" xr:uid="{00000000-0005-0000-0000-0000CD390000}"/>
    <cellStyle name="표준 183 4 5" xfId="14798" xr:uid="{00000000-0005-0000-0000-0000CE390000}"/>
    <cellStyle name="표준 183 5" xfId="14799" xr:uid="{00000000-0005-0000-0000-0000CF390000}"/>
    <cellStyle name="표준 183 5 2" xfId="14800" xr:uid="{00000000-0005-0000-0000-0000D0390000}"/>
    <cellStyle name="표준 183 5 2 2" xfId="14801" xr:uid="{00000000-0005-0000-0000-0000D1390000}"/>
    <cellStyle name="표준 183 5 3" xfId="14802" xr:uid="{00000000-0005-0000-0000-0000D2390000}"/>
    <cellStyle name="표준 183 5 4" xfId="14803" xr:uid="{00000000-0005-0000-0000-0000D3390000}"/>
    <cellStyle name="표준 183 6" xfId="14804" xr:uid="{00000000-0005-0000-0000-0000D4390000}"/>
    <cellStyle name="표준 183 6 2" xfId="14805" xr:uid="{00000000-0005-0000-0000-0000D5390000}"/>
    <cellStyle name="표준 183 7" xfId="14806" xr:uid="{00000000-0005-0000-0000-0000D6390000}"/>
    <cellStyle name="표준 183 8" xfId="14807" xr:uid="{00000000-0005-0000-0000-0000D7390000}"/>
    <cellStyle name="표준 184" xfId="14808" xr:uid="{00000000-0005-0000-0000-0000D8390000}"/>
    <cellStyle name="표준 184 2" xfId="14809" xr:uid="{00000000-0005-0000-0000-0000D9390000}"/>
    <cellStyle name="표준 184 2 2" xfId="14810" xr:uid="{00000000-0005-0000-0000-0000DA390000}"/>
    <cellStyle name="표준 184 3" xfId="14811" xr:uid="{00000000-0005-0000-0000-0000DB390000}"/>
    <cellStyle name="표준 184 4" xfId="14812" xr:uid="{00000000-0005-0000-0000-0000DC390000}"/>
    <cellStyle name="표준 185" xfId="14813" xr:uid="{00000000-0005-0000-0000-0000DD390000}"/>
    <cellStyle name="표준 186" xfId="14814" xr:uid="{00000000-0005-0000-0000-0000DE390000}"/>
    <cellStyle name="표준 187" xfId="14815" xr:uid="{00000000-0005-0000-0000-0000DF390000}"/>
    <cellStyle name="표준 188" xfId="14816" xr:uid="{00000000-0005-0000-0000-0000E0390000}"/>
    <cellStyle name="표준 189" xfId="14817" xr:uid="{00000000-0005-0000-0000-0000E1390000}"/>
    <cellStyle name="표준 19" xfId="14818" xr:uid="{00000000-0005-0000-0000-0000E2390000}"/>
    <cellStyle name="표준 190" xfId="14819" xr:uid="{00000000-0005-0000-0000-0000E3390000}"/>
    <cellStyle name="표준 191" xfId="14820" xr:uid="{00000000-0005-0000-0000-0000E4390000}"/>
    <cellStyle name="표준 192" xfId="14821" xr:uid="{00000000-0005-0000-0000-0000E5390000}"/>
    <cellStyle name="표준 193" xfId="14822" xr:uid="{00000000-0005-0000-0000-0000E6390000}"/>
    <cellStyle name="표준 194" xfId="14823" xr:uid="{00000000-0005-0000-0000-0000E7390000}"/>
    <cellStyle name="표준 195" xfId="14824" xr:uid="{00000000-0005-0000-0000-0000E8390000}"/>
    <cellStyle name="표준 196" xfId="14825" xr:uid="{00000000-0005-0000-0000-0000E9390000}"/>
    <cellStyle name="표준 197" xfId="14826" xr:uid="{00000000-0005-0000-0000-0000EA390000}"/>
    <cellStyle name="표준 198" xfId="14827" xr:uid="{00000000-0005-0000-0000-0000EB390000}"/>
    <cellStyle name="표준 2" xfId="14828" xr:uid="{00000000-0005-0000-0000-0000EC390000}"/>
    <cellStyle name="표준 2 10" xfId="14829" xr:uid="{00000000-0005-0000-0000-0000ED390000}"/>
    <cellStyle name="표준 2 11" xfId="14830" xr:uid="{00000000-0005-0000-0000-0000EE390000}"/>
    <cellStyle name="표준 2 12" xfId="14831" xr:uid="{00000000-0005-0000-0000-0000EF390000}"/>
    <cellStyle name="표준 2 13" xfId="14832" xr:uid="{00000000-0005-0000-0000-0000F0390000}"/>
    <cellStyle name="표준 2 14" xfId="14833" xr:uid="{00000000-0005-0000-0000-0000F1390000}"/>
    <cellStyle name="표준 2 15" xfId="14834" xr:uid="{00000000-0005-0000-0000-0000F2390000}"/>
    <cellStyle name="표준 2 16" xfId="14835" xr:uid="{00000000-0005-0000-0000-0000F3390000}"/>
    <cellStyle name="표준 2 2" xfId="14836" xr:uid="{00000000-0005-0000-0000-0000F4390000}"/>
    <cellStyle name="표준 2 2 2" xfId="14837" xr:uid="{00000000-0005-0000-0000-0000F5390000}"/>
    <cellStyle name="표준 2 2 2 2" xfId="14838" xr:uid="{00000000-0005-0000-0000-0000F6390000}"/>
    <cellStyle name="표준 2 2 2 3" xfId="14839" xr:uid="{00000000-0005-0000-0000-0000F7390000}"/>
    <cellStyle name="표준 2 2 3" xfId="14840" xr:uid="{00000000-0005-0000-0000-0000F8390000}"/>
    <cellStyle name="표준 2 2 3 2" xfId="14841" xr:uid="{00000000-0005-0000-0000-0000F9390000}"/>
    <cellStyle name="표준 2 2 4" xfId="14842" xr:uid="{00000000-0005-0000-0000-0000FA390000}"/>
    <cellStyle name="표준 2 2 5" xfId="14843" xr:uid="{00000000-0005-0000-0000-0000FB390000}"/>
    <cellStyle name="표준 2 2 6" xfId="14844" xr:uid="{00000000-0005-0000-0000-0000FC390000}"/>
    <cellStyle name="표준 2 3" xfId="14845" xr:uid="{00000000-0005-0000-0000-0000FD390000}"/>
    <cellStyle name="표준 2 3 2" xfId="14846" xr:uid="{00000000-0005-0000-0000-0000FE390000}"/>
    <cellStyle name="표준 2 3 3" xfId="14847" xr:uid="{00000000-0005-0000-0000-0000FF390000}"/>
    <cellStyle name="표준 2 3 4" xfId="14848" xr:uid="{00000000-0005-0000-0000-0000003A0000}"/>
    <cellStyle name="표준 2 4" xfId="14849" xr:uid="{00000000-0005-0000-0000-0000013A0000}"/>
    <cellStyle name="표준 2 4 2" xfId="14850" xr:uid="{00000000-0005-0000-0000-0000023A0000}"/>
    <cellStyle name="표준 2 5" xfId="14851" xr:uid="{00000000-0005-0000-0000-0000033A0000}"/>
    <cellStyle name="표준 2 6" xfId="14852" xr:uid="{00000000-0005-0000-0000-0000043A0000}"/>
    <cellStyle name="표준 2 7" xfId="14853" xr:uid="{00000000-0005-0000-0000-0000053A0000}"/>
    <cellStyle name="표준 2 8" xfId="14854" xr:uid="{00000000-0005-0000-0000-0000063A0000}"/>
    <cellStyle name="표준 2 9" xfId="14855" xr:uid="{00000000-0005-0000-0000-0000073A0000}"/>
    <cellStyle name="표준 2_001-2.구조물토공JP-A06" xfId="14856" xr:uid="{00000000-0005-0000-0000-0000083A0000}"/>
    <cellStyle name="표준 20" xfId="14857" xr:uid="{00000000-0005-0000-0000-0000093A0000}"/>
    <cellStyle name="표준 200" xfId="14858" xr:uid="{00000000-0005-0000-0000-00000A3A0000}"/>
    <cellStyle name="표준 201" xfId="14859" xr:uid="{00000000-0005-0000-0000-00000B3A0000}"/>
    <cellStyle name="표준 21" xfId="14860" xr:uid="{00000000-0005-0000-0000-00000C3A0000}"/>
    <cellStyle name="표준 22" xfId="14861" xr:uid="{00000000-0005-0000-0000-00000D3A0000}"/>
    <cellStyle name="표준 23" xfId="14862" xr:uid="{00000000-0005-0000-0000-00000E3A0000}"/>
    <cellStyle name="표준 24" xfId="14863" xr:uid="{00000000-0005-0000-0000-00000F3A0000}"/>
    <cellStyle name="표준 25" xfId="14864" xr:uid="{00000000-0005-0000-0000-0000103A0000}"/>
    <cellStyle name="표준 26" xfId="14865" xr:uid="{00000000-0005-0000-0000-0000113A0000}"/>
    <cellStyle name="표준 27" xfId="14866" xr:uid="{00000000-0005-0000-0000-0000123A0000}"/>
    <cellStyle name="표준 28" xfId="14867" xr:uid="{00000000-0005-0000-0000-0000133A0000}"/>
    <cellStyle name="표준 29" xfId="14868" xr:uid="{00000000-0005-0000-0000-0000143A0000}"/>
    <cellStyle name="표준 3" xfId="14869" xr:uid="{00000000-0005-0000-0000-0000153A0000}"/>
    <cellStyle name="표준 3 10" xfId="14870" xr:uid="{00000000-0005-0000-0000-0000163A0000}"/>
    <cellStyle name="표준 3 11" xfId="14871" xr:uid="{00000000-0005-0000-0000-0000173A0000}"/>
    <cellStyle name="표준 3 12" xfId="14872" xr:uid="{00000000-0005-0000-0000-0000183A0000}"/>
    <cellStyle name="표준 3 12 2" xfId="14873" xr:uid="{00000000-0005-0000-0000-0000193A0000}"/>
    <cellStyle name="표준 3 12 3" xfId="14874" xr:uid="{00000000-0005-0000-0000-00001A3A0000}"/>
    <cellStyle name="표준 3 13" xfId="14875" xr:uid="{00000000-0005-0000-0000-00001B3A0000}"/>
    <cellStyle name="표준 3 2" xfId="14876" xr:uid="{00000000-0005-0000-0000-00001C3A0000}"/>
    <cellStyle name="표준 3 3" xfId="14877" xr:uid="{00000000-0005-0000-0000-00001D3A0000}"/>
    <cellStyle name="표준 3 4" xfId="14878" xr:uid="{00000000-0005-0000-0000-00001E3A0000}"/>
    <cellStyle name="표준 3 40" xfId="14879" xr:uid="{00000000-0005-0000-0000-00001F3A0000}"/>
    <cellStyle name="표준 3 5" xfId="14880" xr:uid="{00000000-0005-0000-0000-0000203A0000}"/>
    <cellStyle name="표준 3 6" xfId="14881" xr:uid="{00000000-0005-0000-0000-0000213A0000}"/>
    <cellStyle name="표준 3 7" xfId="14882" xr:uid="{00000000-0005-0000-0000-0000223A0000}"/>
    <cellStyle name="표준 3 8" xfId="14883" xr:uid="{00000000-0005-0000-0000-0000233A0000}"/>
    <cellStyle name="표준 3 9" xfId="14884" xr:uid="{00000000-0005-0000-0000-0000243A0000}"/>
    <cellStyle name="표준 30" xfId="14885" xr:uid="{00000000-0005-0000-0000-0000253A0000}"/>
    <cellStyle name="표준 31" xfId="14886" xr:uid="{00000000-0005-0000-0000-0000263A0000}"/>
    <cellStyle name="표준 32" xfId="14887" xr:uid="{00000000-0005-0000-0000-0000273A0000}"/>
    <cellStyle name="표준 33" xfId="14888" xr:uid="{00000000-0005-0000-0000-0000283A0000}"/>
    <cellStyle name="표준 34" xfId="14889" xr:uid="{00000000-0005-0000-0000-0000293A0000}"/>
    <cellStyle name="표준 35" xfId="14890" xr:uid="{00000000-0005-0000-0000-00002A3A0000}"/>
    <cellStyle name="표준 36" xfId="14891" xr:uid="{00000000-0005-0000-0000-00002B3A0000}"/>
    <cellStyle name="표준 37" xfId="14892" xr:uid="{00000000-0005-0000-0000-00002C3A0000}"/>
    <cellStyle name="표준 38" xfId="14893" xr:uid="{00000000-0005-0000-0000-00002D3A0000}"/>
    <cellStyle name="표준 39" xfId="14894" xr:uid="{00000000-0005-0000-0000-00002E3A0000}"/>
    <cellStyle name="표준 4" xfId="1" xr:uid="{00000000-0005-0000-0000-00002F3A0000}"/>
    <cellStyle name="표준 4 10" xfId="14895" xr:uid="{00000000-0005-0000-0000-0000303A0000}"/>
    <cellStyle name="표준 4 11" xfId="14896" xr:uid="{00000000-0005-0000-0000-0000313A0000}"/>
    <cellStyle name="표준 4 12" xfId="14897" xr:uid="{00000000-0005-0000-0000-0000323A0000}"/>
    <cellStyle name="표준 4 13" xfId="14898" xr:uid="{00000000-0005-0000-0000-0000333A0000}"/>
    <cellStyle name="표준 4 2" xfId="14899" xr:uid="{00000000-0005-0000-0000-0000343A0000}"/>
    <cellStyle name="표준 4 3" xfId="14900" xr:uid="{00000000-0005-0000-0000-0000353A0000}"/>
    <cellStyle name="표준 4 4" xfId="14901" xr:uid="{00000000-0005-0000-0000-0000363A0000}"/>
    <cellStyle name="표준 4 5" xfId="14902" xr:uid="{00000000-0005-0000-0000-0000373A0000}"/>
    <cellStyle name="표준 4 6" xfId="14903" xr:uid="{00000000-0005-0000-0000-0000383A0000}"/>
    <cellStyle name="표준 4 7" xfId="14904" xr:uid="{00000000-0005-0000-0000-0000393A0000}"/>
    <cellStyle name="표준 4 8" xfId="14905" xr:uid="{00000000-0005-0000-0000-00003A3A0000}"/>
    <cellStyle name="표준 4 9" xfId="14906" xr:uid="{00000000-0005-0000-0000-00003B3A0000}"/>
    <cellStyle name="표준 4_01. 토목 기계 (대안) 설계내역서" xfId="14907" xr:uid="{00000000-0005-0000-0000-00003C3A0000}"/>
    <cellStyle name="표준 40" xfId="14908" xr:uid="{00000000-0005-0000-0000-00003D3A0000}"/>
    <cellStyle name="표준 41" xfId="14909" xr:uid="{00000000-0005-0000-0000-00003E3A0000}"/>
    <cellStyle name="표준 42" xfId="14910" xr:uid="{00000000-0005-0000-0000-00003F3A0000}"/>
    <cellStyle name="표준 43" xfId="14911" xr:uid="{00000000-0005-0000-0000-0000403A0000}"/>
    <cellStyle name="표준 44" xfId="14912" xr:uid="{00000000-0005-0000-0000-0000413A0000}"/>
    <cellStyle name="표준 45" xfId="14913" xr:uid="{00000000-0005-0000-0000-0000423A0000}"/>
    <cellStyle name="표준 46" xfId="14914" xr:uid="{00000000-0005-0000-0000-0000433A0000}"/>
    <cellStyle name="표준 47" xfId="14915" xr:uid="{00000000-0005-0000-0000-0000443A0000}"/>
    <cellStyle name="표준 48" xfId="14916" xr:uid="{00000000-0005-0000-0000-0000453A0000}"/>
    <cellStyle name="표준 49" xfId="14917" xr:uid="{00000000-0005-0000-0000-0000463A0000}"/>
    <cellStyle name="표준 5" xfId="14918" xr:uid="{00000000-0005-0000-0000-0000473A0000}"/>
    <cellStyle name="표준 5 2" xfId="14919" xr:uid="{00000000-0005-0000-0000-0000483A0000}"/>
    <cellStyle name="표준 5 3" xfId="14920" xr:uid="{00000000-0005-0000-0000-0000493A0000}"/>
    <cellStyle name="표준 5 4" xfId="14921" xr:uid="{00000000-0005-0000-0000-00004A3A0000}"/>
    <cellStyle name="표준 5 5" xfId="14922" xr:uid="{00000000-0005-0000-0000-00004B3A0000}"/>
    <cellStyle name="표준 50" xfId="14923" xr:uid="{00000000-0005-0000-0000-00004C3A0000}"/>
    <cellStyle name="표준 51" xfId="14924" xr:uid="{00000000-0005-0000-0000-00004D3A0000}"/>
    <cellStyle name="표준 52" xfId="14925" xr:uid="{00000000-0005-0000-0000-00004E3A0000}"/>
    <cellStyle name="표준 53" xfId="14926" xr:uid="{00000000-0005-0000-0000-00004F3A0000}"/>
    <cellStyle name="표준 54" xfId="14927" xr:uid="{00000000-0005-0000-0000-0000503A0000}"/>
    <cellStyle name="표준 55" xfId="14928" xr:uid="{00000000-0005-0000-0000-0000513A0000}"/>
    <cellStyle name="표준 56" xfId="14929" xr:uid="{00000000-0005-0000-0000-0000523A0000}"/>
    <cellStyle name="표준 57" xfId="14930" xr:uid="{00000000-0005-0000-0000-0000533A0000}"/>
    <cellStyle name="표준 58" xfId="14931" xr:uid="{00000000-0005-0000-0000-0000543A0000}"/>
    <cellStyle name="표준 59" xfId="14932" xr:uid="{00000000-0005-0000-0000-0000553A0000}"/>
    <cellStyle name="표준 6" xfId="14933" xr:uid="{00000000-0005-0000-0000-0000563A0000}"/>
    <cellStyle name="표준 6 2" xfId="14934" xr:uid="{00000000-0005-0000-0000-0000573A0000}"/>
    <cellStyle name="표준 6 2 2" xfId="14935" xr:uid="{00000000-0005-0000-0000-0000583A0000}"/>
    <cellStyle name="표준 6 2 3" xfId="14936" xr:uid="{00000000-0005-0000-0000-0000593A0000}"/>
    <cellStyle name="표준 6 3" xfId="14937" xr:uid="{00000000-0005-0000-0000-00005A3A0000}"/>
    <cellStyle name="표준 6 4" xfId="14938" xr:uid="{00000000-0005-0000-0000-00005B3A0000}"/>
    <cellStyle name="표준 6 5" xfId="14939" xr:uid="{00000000-0005-0000-0000-00005C3A0000}"/>
    <cellStyle name="표준 60" xfId="14940" xr:uid="{00000000-0005-0000-0000-00005D3A0000}"/>
    <cellStyle name="표준 61" xfId="14941" xr:uid="{00000000-0005-0000-0000-00005E3A0000}"/>
    <cellStyle name="표준 62" xfId="14942" xr:uid="{00000000-0005-0000-0000-00005F3A0000}"/>
    <cellStyle name="표준 63" xfId="14943" xr:uid="{00000000-0005-0000-0000-0000603A0000}"/>
    <cellStyle name="표준 64" xfId="14944" xr:uid="{00000000-0005-0000-0000-0000613A0000}"/>
    <cellStyle name="표준 65" xfId="14945" xr:uid="{00000000-0005-0000-0000-0000623A0000}"/>
    <cellStyle name="표준 66" xfId="14946" xr:uid="{00000000-0005-0000-0000-0000633A0000}"/>
    <cellStyle name="표준 67" xfId="14947" xr:uid="{00000000-0005-0000-0000-0000643A0000}"/>
    <cellStyle name="표준 68" xfId="14948" xr:uid="{00000000-0005-0000-0000-0000653A0000}"/>
    <cellStyle name="표준 69" xfId="14949" xr:uid="{00000000-0005-0000-0000-0000663A0000}"/>
    <cellStyle name="표준 7" xfId="14950" xr:uid="{00000000-0005-0000-0000-0000673A0000}"/>
    <cellStyle name="표준 7 2" xfId="14951" xr:uid="{00000000-0005-0000-0000-0000683A0000}"/>
    <cellStyle name="표준 7 3" xfId="14952" xr:uid="{00000000-0005-0000-0000-0000693A0000}"/>
    <cellStyle name="표준 7 4" xfId="14953" xr:uid="{00000000-0005-0000-0000-00006A3A0000}"/>
    <cellStyle name="표준 7 5" xfId="14954" xr:uid="{00000000-0005-0000-0000-00006B3A0000}"/>
    <cellStyle name="표준 7 6" xfId="14955" xr:uid="{00000000-0005-0000-0000-00006C3A0000}"/>
    <cellStyle name="표준 7 6 2" xfId="14956" xr:uid="{00000000-0005-0000-0000-00006D3A0000}"/>
    <cellStyle name="표준 7 7" xfId="14957" xr:uid="{00000000-0005-0000-0000-00006E3A0000}"/>
    <cellStyle name="표준 7 8" xfId="14958" xr:uid="{00000000-0005-0000-0000-00006F3A0000}"/>
    <cellStyle name="표준 70" xfId="14959" xr:uid="{00000000-0005-0000-0000-0000703A0000}"/>
    <cellStyle name="표준 71" xfId="14960" xr:uid="{00000000-0005-0000-0000-0000713A0000}"/>
    <cellStyle name="표준 72" xfId="14961" xr:uid="{00000000-0005-0000-0000-0000723A0000}"/>
    <cellStyle name="표준 73" xfId="14962" xr:uid="{00000000-0005-0000-0000-0000733A0000}"/>
    <cellStyle name="표준 74" xfId="14963" xr:uid="{00000000-0005-0000-0000-0000743A0000}"/>
    <cellStyle name="표준 75" xfId="14964" xr:uid="{00000000-0005-0000-0000-0000753A0000}"/>
    <cellStyle name="표준 76" xfId="14965" xr:uid="{00000000-0005-0000-0000-0000763A0000}"/>
    <cellStyle name="표준 77" xfId="14966" xr:uid="{00000000-0005-0000-0000-0000773A0000}"/>
    <cellStyle name="표준 78" xfId="14967" xr:uid="{00000000-0005-0000-0000-0000783A0000}"/>
    <cellStyle name="표준 79" xfId="14968" xr:uid="{00000000-0005-0000-0000-0000793A0000}"/>
    <cellStyle name="표준 8" xfId="14969" xr:uid="{00000000-0005-0000-0000-00007A3A0000}"/>
    <cellStyle name="표준 8 2" xfId="14970" xr:uid="{00000000-0005-0000-0000-00007B3A0000}"/>
    <cellStyle name="표준 8 3" xfId="14971" xr:uid="{00000000-0005-0000-0000-00007C3A0000}"/>
    <cellStyle name="표준 8 4" xfId="14972" xr:uid="{00000000-0005-0000-0000-00007D3A0000}"/>
    <cellStyle name="표준 80" xfId="14973" xr:uid="{00000000-0005-0000-0000-00007E3A0000}"/>
    <cellStyle name="표준 81" xfId="14974" xr:uid="{00000000-0005-0000-0000-00007F3A0000}"/>
    <cellStyle name="표준 82" xfId="14975" xr:uid="{00000000-0005-0000-0000-0000803A0000}"/>
    <cellStyle name="표준 83" xfId="14976" xr:uid="{00000000-0005-0000-0000-0000813A0000}"/>
    <cellStyle name="표준 84" xfId="14977" xr:uid="{00000000-0005-0000-0000-0000823A0000}"/>
    <cellStyle name="표준 85" xfId="14978" xr:uid="{00000000-0005-0000-0000-0000833A0000}"/>
    <cellStyle name="표준 86" xfId="14979" xr:uid="{00000000-0005-0000-0000-0000843A0000}"/>
    <cellStyle name="표준 87" xfId="14980" xr:uid="{00000000-0005-0000-0000-0000853A0000}"/>
    <cellStyle name="표준 88" xfId="14981" xr:uid="{00000000-0005-0000-0000-0000863A0000}"/>
    <cellStyle name="표준 89" xfId="14982" xr:uid="{00000000-0005-0000-0000-0000873A0000}"/>
    <cellStyle name="표준 9" xfId="14983" xr:uid="{00000000-0005-0000-0000-0000883A0000}"/>
    <cellStyle name="표준 9 2" xfId="14984" xr:uid="{00000000-0005-0000-0000-0000893A0000}"/>
    <cellStyle name="표준 9 3" xfId="14985" xr:uid="{00000000-0005-0000-0000-00008A3A0000}"/>
    <cellStyle name="표준 9 4" xfId="14986" xr:uid="{00000000-0005-0000-0000-00008B3A0000}"/>
    <cellStyle name="표준 90" xfId="14987" xr:uid="{00000000-0005-0000-0000-00008C3A0000}"/>
    <cellStyle name="표준 91" xfId="14988" xr:uid="{00000000-0005-0000-0000-00008D3A0000}"/>
    <cellStyle name="표준 92" xfId="14989" xr:uid="{00000000-0005-0000-0000-00008E3A0000}"/>
    <cellStyle name="표준 93" xfId="14990" xr:uid="{00000000-0005-0000-0000-00008F3A0000}"/>
    <cellStyle name="표준 94" xfId="14991" xr:uid="{00000000-0005-0000-0000-0000903A0000}"/>
    <cellStyle name="표준 95" xfId="14992" xr:uid="{00000000-0005-0000-0000-0000913A0000}"/>
    <cellStyle name="표준 96" xfId="14993" xr:uid="{00000000-0005-0000-0000-0000923A0000}"/>
    <cellStyle name="표준 97" xfId="14994" xr:uid="{00000000-0005-0000-0000-0000933A0000}"/>
    <cellStyle name="표준 98" xfId="14995" xr:uid="{00000000-0005-0000-0000-0000943A0000}"/>
    <cellStyle name="표준 99" xfId="14996" xr:uid="{00000000-0005-0000-0000-0000953A0000}"/>
    <cellStyle name="標準_’９７アウトドアツールフェア" xfId="14997" xr:uid="{00000000-0005-0000-0000-0000963A0000}"/>
    <cellStyle name="표준1" xfId="14998" xr:uid="{00000000-0005-0000-0000-0000973A0000}"/>
    <cellStyle name="표준1 2" xfId="14999" xr:uid="{00000000-0005-0000-0000-0000983A0000}"/>
    <cellStyle name="표준1 3" xfId="15000" xr:uid="{00000000-0005-0000-0000-0000993A0000}"/>
    <cellStyle name="표준1 4" xfId="15001" xr:uid="{00000000-0005-0000-0000-00009A3A0000}"/>
    <cellStyle name="표준1 5" xfId="15002" xr:uid="{00000000-0005-0000-0000-00009B3A0000}"/>
    <cellStyle name="표준123" xfId="15003" xr:uid="{00000000-0005-0000-0000-00009C3A0000}"/>
    <cellStyle name="표준2" xfId="15004" xr:uid="{00000000-0005-0000-0000-00009D3A0000}"/>
    <cellStyle name="표준2 2" xfId="15005" xr:uid="{00000000-0005-0000-0000-00009E3A0000}"/>
    <cellStyle name="표준2 3" xfId="15006" xr:uid="{00000000-0005-0000-0000-00009F3A0000}"/>
    <cellStyle name="표준JKDH" xfId="15007" xr:uid="{00000000-0005-0000-0000-0000A03A0000}"/>
    <cellStyle name="표준℘Sheet8 (3)" xfId="15008" xr:uid="{00000000-0005-0000-0000-0000A13A0000}"/>
    <cellStyle name="표준중앙" xfId="15009" xr:uid="{00000000-0005-0000-0000-0000A23A0000}"/>
    <cellStyle name="하이퍼링크 2" xfId="15010" xr:uid="{00000000-0005-0000-0000-0000A33A0000}"/>
    <cellStyle name="합계" xfId="15011" xr:uid="{00000000-0005-0000-0000-0000A43A0000}"/>
    <cellStyle name="합계 10" xfId="15012" xr:uid="{00000000-0005-0000-0000-0000A53A0000}"/>
    <cellStyle name="합계 11" xfId="15013" xr:uid="{00000000-0005-0000-0000-0000A63A0000}"/>
    <cellStyle name="합계 12" xfId="15014" xr:uid="{00000000-0005-0000-0000-0000A73A0000}"/>
    <cellStyle name="합계 13" xfId="15015" xr:uid="{00000000-0005-0000-0000-0000A83A0000}"/>
    <cellStyle name="합계 14" xfId="15016" xr:uid="{00000000-0005-0000-0000-0000A93A0000}"/>
    <cellStyle name="합계 2" xfId="15017" xr:uid="{00000000-0005-0000-0000-0000AA3A0000}"/>
    <cellStyle name="합계 3" xfId="15018" xr:uid="{00000000-0005-0000-0000-0000AB3A0000}"/>
    <cellStyle name="합계 4" xfId="15019" xr:uid="{00000000-0005-0000-0000-0000AC3A0000}"/>
    <cellStyle name="합계 5" xfId="15020" xr:uid="{00000000-0005-0000-0000-0000AD3A0000}"/>
    <cellStyle name="합계 6" xfId="15021" xr:uid="{00000000-0005-0000-0000-0000AE3A0000}"/>
    <cellStyle name="합계 7" xfId="15022" xr:uid="{00000000-0005-0000-0000-0000AF3A0000}"/>
    <cellStyle name="합계 8" xfId="15023" xr:uid="{00000000-0005-0000-0000-0000B03A0000}"/>
    <cellStyle name="합계 9" xfId="15024" xr:uid="{00000000-0005-0000-0000-0000B13A0000}"/>
    <cellStyle name="합산" xfId="15025" xr:uid="{00000000-0005-0000-0000-0000B23A0000}"/>
    <cellStyle name="桁区切り [0.00]_競合状況" xfId="15026" xr:uid="{00000000-0005-0000-0000-0000B33A0000}"/>
    <cellStyle name="桁区切り_競合状況" xfId="15027" xr:uid="{00000000-0005-0000-0000-0000B43A0000}"/>
    <cellStyle name="貨幣 [0]_GARMENT STEP FORM HK" xfId="15028" xr:uid="{00000000-0005-0000-0000-0000B53A0000}"/>
    <cellStyle name="貨幣_GARMENT STEP FORM HK" xfId="15029" xr:uid="{00000000-0005-0000-0000-0000B63A0000}"/>
    <cellStyle name="화폐기호" xfId="15030" xr:uid="{00000000-0005-0000-0000-0000B73A0000}"/>
    <cellStyle name="화폐기호 2" xfId="15031" xr:uid="{00000000-0005-0000-0000-0000B83A0000}"/>
    <cellStyle name="화폐기호 3" xfId="15032" xr:uid="{00000000-0005-0000-0000-0000B93A0000}"/>
    <cellStyle name="화폐기호 4" xfId="15033" xr:uid="{00000000-0005-0000-0000-0000BA3A0000}"/>
    <cellStyle name="화폐기호0" xfId="15034" xr:uid="{00000000-0005-0000-0000-0000BB3A0000}"/>
    <cellStyle name="화폐기호0 2" xfId="15035" xr:uid="{00000000-0005-0000-0000-0000BC3A0000}"/>
    <cellStyle name="화폐기호0 3" xfId="15036" xr:uid="{00000000-0005-0000-0000-0000BD3A0000}"/>
    <cellStyle name="ㅣ" xfId="15037" xr:uid="{00000000-0005-0000-0000-0000BE3A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5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21.xml"/><Relationship Id="rId47" Type="http://schemas.openxmlformats.org/officeDocument/2006/relationships/externalLink" Target="externalLinks/externalLink26.xml"/><Relationship Id="rId63" Type="http://schemas.openxmlformats.org/officeDocument/2006/relationships/externalLink" Target="externalLinks/externalLink42.xml"/><Relationship Id="rId68" Type="http://schemas.openxmlformats.org/officeDocument/2006/relationships/externalLink" Target="externalLinks/externalLink47.xml"/><Relationship Id="rId84" Type="http://schemas.openxmlformats.org/officeDocument/2006/relationships/externalLink" Target="externalLinks/externalLink63.xml"/><Relationship Id="rId89" Type="http://schemas.openxmlformats.org/officeDocument/2006/relationships/externalLink" Target="externalLinks/externalLink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1.xml"/><Relationship Id="rId37" Type="http://schemas.openxmlformats.org/officeDocument/2006/relationships/externalLink" Target="externalLinks/externalLink16.xml"/><Relationship Id="rId53" Type="http://schemas.openxmlformats.org/officeDocument/2006/relationships/externalLink" Target="externalLinks/externalLink32.xml"/><Relationship Id="rId58" Type="http://schemas.openxmlformats.org/officeDocument/2006/relationships/externalLink" Target="externalLinks/externalLink37.xml"/><Relationship Id="rId74" Type="http://schemas.openxmlformats.org/officeDocument/2006/relationships/externalLink" Target="externalLinks/externalLink53.xml"/><Relationship Id="rId79" Type="http://schemas.openxmlformats.org/officeDocument/2006/relationships/externalLink" Target="externalLinks/externalLink58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69.xml"/><Relationship Id="rId22" Type="http://schemas.openxmlformats.org/officeDocument/2006/relationships/externalLink" Target="externalLinks/externalLink1.xml"/><Relationship Id="rId27" Type="http://schemas.openxmlformats.org/officeDocument/2006/relationships/externalLink" Target="externalLinks/externalLink6.xml"/><Relationship Id="rId43" Type="http://schemas.openxmlformats.org/officeDocument/2006/relationships/externalLink" Target="externalLinks/externalLink22.xml"/><Relationship Id="rId48" Type="http://schemas.openxmlformats.org/officeDocument/2006/relationships/externalLink" Target="externalLinks/externalLink27.xml"/><Relationship Id="rId64" Type="http://schemas.openxmlformats.org/officeDocument/2006/relationships/externalLink" Target="externalLinks/externalLink43.xml"/><Relationship Id="rId69" Type="http://schemas.openxmlformats.org/officeDocument/2006/relationships/externalLink" Target="externalLinks/externalLink48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0.xml"/><Relationship Id="rId72" Type="http://schemas.openxmlformats.org/officeDocument/2006/relationships/externalLink" Target="externalLinks/externalLink51.xml"/><Relationship Id="rId80" Type="http://schemas.openxmlformats.org/officeDocument/2006/relationships/externalLink" Target="externalLinks/externalLink59.xml"/><Relationship Id="rId85" Type="http://schemas.openxmlformats.org/officeDocument/2006/relationships/externalLink" Target="externalLinks/externalLink64.xml"/><Relationship Id="rId9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4.xml"/><Relationship Id="rId33" Type="http://schemas.openxmlformats.org/officeDocument/2006/relationships/externalLink" Target="externalLinks/externalLink12.xml"/><Relationship Id="rId38" Type="http://schemas.openxmlformats.org/officeDocument/2006/relationships/externalLink" Target="externalLinks/externalLink17.xml"/><Relationship Id="rId46" Type="http://schemas.openxmlformats.org/officeDocument/2006/relationships/externalLink" Target="externalLinks/externalLink25.xml"/><Relationship Id="rId59" Type="http://schemas.openxmlformats.org/officeDocument/2006/relationships/externalLink" Target="externalLinks/externalLink38.xml"/><Relationship Id="rId67" Type="http://schemas.openxmlformats.org/officeDocument/2006/relationships/externalLink" Target="externalLinks/externalLink46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20.xml"/><Relationship Id="rId54" Type="http://schemas.openxmlformats.org/officeDocument/2006/relationships/externalLink" Target="externalLinks/externalLink33.xml"/><Relationship Id="rId62" Type="http://schemas.openxmlformats.org/officeDocument/2006/relationships/externalLink" Target="externalLinks/externalLink41.xml"/><Relationship Id="rId70" Type="http://schemas.openxmlformats.org/officeDocument/2006/relationships/externalLink" Target="externalLinks/externalLink49.xml"/><Relationship Id="rId75" Type="http://schemas.openxmlformats.org/officeDocument/2006/relationships/externalLink" Target="externalLinks/externalLink54.xml"/><Relationship Id="rId83" Type="http://schemas.openxmlformats.org/officeDocument/2006/relationships/externalLink" Target="externalLinks/externalLink62.xml"/><Relationship Id="rId88" Type="http://schemas.openxmlformats.org/officeDocument/2006/relationships/externalLink" Target="externalLinks/externalLink67.xml"/><Relationship Id="rId9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externalLink" Target="externalLinks/externalLink7.xml"/><Relationship Id="rId36" Type="http://schemas.openxmlformats.org/officeDocument/2006/relationships/externalLink" Target="externalLinks/externalLink15.xml"/><Relationship Id="rId49" Type="http://schemas.openxmlformats.org/officeDocument/2006/relationships/externalLink" Target="externalLinks/externalLink28.xml"/><Relationship Id="rId57" Type="http://schemas.openxmlformats.org/officeDocument/2006/relationships/externalLink" Target="externalLinks/externalLink36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0.xml"/><Relationship Id="rId44" Type="http://schemas.openxmlformats.org/officeDocument/2006/relationships/externalLink" Target="externalLinks/externalLink23.xml"/><Relationship Id="rId52" Type="http://schemas.openxmlformats.org/officeDocument/2006/relationships/externalLink" Target="externalLinks/externalLink31.xml"/><Relationship Id="rId60" Type="http://schemas.openxmlformats.org/officeDocument/2006/relationships/externalLink" Target="externalLinks/externalLink39.xml"/><Relationship Id="rId65" Type="http://schemas.openxmlformats.org/officeDocument/2006/relationships/externalLink" Target="externalLinks/externalLink44.xml"/><Relationship Id="rId73" Type="http://schemas.openxmlformats.org/officeDocument/2006/relationships/externalLink" Target="externalLinks/externalLink52.xml"/><Relationship Id="rId78" Type="http://schemas.openxmlformats.org/officeDocument/2006/relationships/externalLink" Target="externalLinks/externalLink57.xml"/><Relationship Id="rId81" Type="http://schemas.openxmlformats.org/officeDocument/2006/relationships/externalLink" Target="externalLinks/externalLink60.xml"/><Relationship Id="rId86" Type="http://schemas.openxmlformats.org/officeDocument/2006/relationships/externalLink" Target="externalLinks/externalLink65.xml"/><Relationship Id="rId9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8.xml"/><Relationship Id="rId34" Type="http://schemas.openxmlformats.org/officeDocument/2006/relationships/externalLink" Target="externalLinks/externalLink13.xml"/><Relationship Id="rId50" Type="http://schemas.openxmlformats.org/officeDocument/2006/relationships/externalLink" Target="externalLinks/externalLink29.xml"/><Relationship Id="rId55" Type="http://schemas.openxmlformats.org/officeDocument/2006/relationships/externalLink" Target="externalLinks/externalLink34.xml"/><Relationship Id="rId76" Type="http://schemas.openxmlformats.org/officeDocument/2006/relationships/externalLink" Target="externalLinks/externalLink55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0.xml"/><Relationship Id="rId92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8.xml"/><Relationship Id="rId24" Type="http://schemas.openxmlformats.org/officeDocument/2006/relationships/externalLink" Target="externalLinks/externalLink3.xml"/><Relationship Id="rId40" Type="http://schemas.openxmlformats.org/officeDocument/2006/relationships/externalLink" Target="externalLinks/externalLink19.xml"/><Relationship Id="rId45" Type="http://schemas.openxmlformats.org/officeDocument/2006/relationships/externalLink" Target="externalLinks/externalLink24.xml"/><Relationship Id="rId66" Type="http://schemas.openxmlformats.org/officeDocument/2006/relationships/externalLink" Target="externalLinks/externalLink45.xml"/><Relationship Id="rId87" Type="http://schemas.openxmlformats.org/officeDocument/2006/relationships/externalLink" Target="externalLinks/externalLink66.xml"/><Relationship Id="rId61" Type="http://schemas.openxmlformats.org/officeDocument/2006/relationships/externalLink" Target="externalLinks/externalLink40.xml"/><Relationship Id="rId82" Type="http://schemas.openxmlformats.org/officeDocument/2006/relationships/externalLink" Target="externalLinks/externalLink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externalLink" Target="externalLinks/externalLink9.xml"/><Relationship Id="rId35" Type="http://schemas.openxmlformats.org/officeDocument/2006/relationships/externalLink" Target="externalLinks/externalLink14.xml"/><Relationship Id="rId56" Type="http://schemas.openxmlformats.org/officeDocument/2006/relationships/externalLink" Target="externalLinks/externalLink35.xml"/><Relationship Id="rId77" Type="http://schemas.openxmlformats.org/officeDocument/2006/relationships/externalLink" Target="externalLinks/externalLink5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50</xdr:col>
      <xdr:colOff>28575</xdr:colOff>
      <xdr:row>4</xdr:row>
      <xdr:rowOff>85725</xdr:rowOff>
    </xdr:from>
    <xdr:to>
      <xdr:col>53</xdr:col>
      <xdr:colOff>0</xdr:colOff>
      <xdr:row>6</xdr:row>
      <xdr:rowOff>142875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20300" y="1076325"/>
          <a:ext cx="5715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&#49688;&#54665;&#54532;&#47196;&#51229;&#53944;/&#51076;&#49892;&#49345;&#49688;&#46020;/&#44228;&#49328;&#51088;&#47308;/10.0%20&#51221;&#49688;&#51648;%20&#48143;%20&#49569;&#49688;&#54156;&#54532;&#51109;%20&#49444;&#48708;(&#44592;&#48376;-&#49373;&#54876;-2&#45800;&#44228;-3&#45824;).xls" TargetMode="External"/><Relationship Id="rId1" Type="http://schemas.openxmlformats.org/officeDocument/2006/relationships/externalLinkPath" Target="/&#49688;&#54665;&#54532;&#47196;&#51229;&#53944;/&#51076;&#49892;&#49345;&#49688;&#46020;/&#44228;&#49328;&#51088;&#47308;/10.0%20&#51221;&#49688;&#51648;%20&#48143;%20&#49569;&#49688;&#54156;&#54532;&#51109;%20&#49444;&#48708;(&#44592;&#48376;-&#49373;&#54876;-2&#45800;&#44228;-3&#45824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O-&#45800;&#44032;&#51312;&#49324;&#49436;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TEAM-5/My%20Documents/dacom/&#50896;&#51452;~&#51228;&#52380;/&#50896;&#51452;&#52572;&#51333;/&#44277;&#53685;&#51088;&#47308;.xls" TargetMode="External"/><Relationship Id="rId1" Type="http://schemas.openxmlformats.org/officeDocument/2006/relationships/externalLinkPath" Target="/TEAM-5/My%20Documents/dacom/&#50896;&#51452;~&#51228;&#52380;/&#50896;&#51452;&#52572;&#51333;/&#44277;&#53685;&#51088;&#47308;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Documents%20and%20Settings/1/My%20Documents/&#50629;&#47924;/&#48152;&#50900;%20&#51204;&#44592;&#45236;&#50669;-1,%202&#52264;%20&#48516;&#47532;/&#45236;&#50669;&#49436;(&#51204;&#44592;)-1&#52264;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Documents%20and%20Settings/1/My%20Documents/&#50629;&#47924;/&#48152;&#50900;%20&#51204;&#44592;&#45236;&#50669;-1,%202&#52264;%20&#48516;&#47532;/&#45236;&#50669;&#49436;(&#51204;&#44592;)-1&#52264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44;&#44228;&#54016;1\&#47196;&#52972;%20&#46356;&#49828;&#53356;%20(d)\hb\&#49340;&#49328;1&#51648;&#44396;(&#49892;&#49884;)\&#51452;&#44277;&#49688;&#47049;\&#51068;&#50948;&#45824;&#44032;980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77;&#48337;&#49440;\&#44288;&#47532;&#49892;\hb\&#49340;&#49328;1&#51648;&#44396;(&#49892;&#49884;)\&#51452;&#44277;&#49688;&#47049;\&#51068;&#50948;&#45824;&#44032;980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2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YGN6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YGN6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project2005/1&#49345;&#49688;&#46020;/16&#44053;&#48320;&#50668;&#44284;&#49688;&#51204;&#44592;&#49444;&#44228;(&#52572;&#51333;&#48516;)/3&#49900;&#51032;&#54980;&#51089;&#50629;/2.&#44228;&#49328;&#49436;/&#51204;&#44592;&#44228;&#49328;&#49436;(12&#50900;2&#51068;&#49688;&#51221;).XLS" TargetMode="External"/><Relationship Id="rId1" Type="http://schemas.openxmlformats.org/officeDocument/2006/relationships/externalLinkPath" Target="/project2005/1&#49345;&#49688;&#46020;/16&#44053;&#48320;&#50668;&#44284;&#49688;&#51204;&#44592;&#49444;&#44228;(&#52572;&#51333;&#48516;)/3&#49900;&#51032;&#54980;&#51089;&#50629;/2.&#44228;&#49328;&#49436;/&#51204;&#44592;&#44228;&#49328;&#49436;(12&#50900;2&#51068;&#49688;&#51221;)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WG/&#44221;&#44592;&#44592;&#49696;&#45800;/&#52397;&#49328;&#54616;&#49688;&#52376;&#47532;&#51109;/&#51204;&#44592;(1019&#51228;&#52636;)/&#44400;&#45224;&#44228;&#53685;/&#52572;&#51333;-&#44400;&#45224;&#54616;&#49688;&#52376;&#47532;&#51109;(&#45236;&#50669;&#52572;&#51333;)/&#52572;&#51333;-&#44400;&#45224;&#54616;&#49688;&#52376;&#47532;&#51109;(&#52572;&#51333;1111&#45800;&#44032;).xls" TargetMode="External"/><Relationship Id="rId1" Type="http://schemas.openxmlformats.org/officeDocument/2006/relationships/externalLinkPath" Target="/DWG/&#44221;&#44592;&#44592;&#49696;&#45800;/&#52397;&#49328;&#54616;&#49688;&#52376;&#47532;&#51109;/&#51204;&#44592;(1019&#51228;&#52636;)/&#44400;&#45224;&#44228;&#53685;/&#52572;&#51333;-&#44400;&#45224;&#54616;&#49688;&#52376;&#47532;&#51109;(&#45236;&#50669;&#52572;&#51333;)/&#52572;&#51333;-&#44400;&#45224;&#54616;&#49688;&#52376;&#47532;&#51109;(&#52572;&#51333;1111&#45800;&#44032;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Startup" Target="&#51204;&#51452;&#44036;/&#51204;&#44592;/HWP/HWP/DF98513/PROJECT/LOAD/BONGSAN/BONG/HWP/OUT/Y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148;&#52629;\SE6380\TOP1\MISS_&#49688;\ORIGINAL\&#49688;_0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Startup" Target="6-6&#44277;&#44396;&#44032;&#47196;&#46321;/&#47560;&#54252;&#44396;/&#54633;&#51221;&#47196;&#45236;&#50669;&#49436;(&#53664;&#47785;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4228;&#49328;&#49436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\0COMPANY\GEONHOA\PAENGSEO\YESAN\YES.XLS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Project/PROJECT2005/1.&#49345;&#49688;&#46020;/&#44053;&#48320;&#50668;&#44284;&#49688;/1.&#51204;&#44592;&#49444;&#44228;(10&#50900;24&#51068;)/&#52280;&#44256;&#51088;&#47308;/1CAL-PWR(&#50668;&#49328;stp)-REV3-IEC.xls" TargetMode="External"/><Relationship Id="rId1" Type="http://schemas.openxmlformats.org/officeDocument/2006/relationships/externalLinkPath" Target="/Project/PROJECT2005/1.&#49345;&#49688;&#46020;/&#44053;&#48320;&#50668;&#44284;&#49688;/1.&#51204;&#44592;&#49444;&#44228;(10&#50900;24&#51068;)/&#52280;&#44256;&#51088;&#47308;/1CAL-PWR(&#50668;&#49328;stp)-REV3-IEC.xls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Ing/&#51064;&#52380;&#54617;&#51061;/&#44228;&#49328;&#49436;/&#51312;&#46020;&#44228;&#49328;&#49436;.xls" TargetMode="External"/><Relationship Id="rId1" Type="http://schemas.openxmlformats.org/officeDocument/2006/relationships/externalLinkPath" Target="/Ing/&#51064;&#52380;&#54617;&#51061;/&#44228;&#49328;&#49436;/&#51312;&#46020;&#44228;&#49328;&#49436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ON.YJ\&#51025;&#50857;&#53685;&#44228;\&#50896;&#44032;&#44228;&#49328;\My%20Documents\Data\MAST\&#45796;&#50896;(ZENECA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4608;&#50857;&#44592;\&#50641;&#49472;\GUMI4B2\&#44396;&#48120;4&#45800;2.XLS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ATA/SGH/NAMGWANG/REP-NG.XLS" TargetMode="External"/><Relationship Id="rId1" Type="http://schemas.openxmlformats.org/officeDocument/2006/relationships/externalLinkPath" Target="/DATA/SGH/NAMGWANG/REP-NG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HEXCEL\XLS\XL_DATA\&#44204;&#51201;\&#50629;&#52404;\HIT\&#50500;&#49328;&#44277;&#51109;\&#50500;&#49328;&#51032;&#51204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EXCEL\97BUN\DANG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-RMIL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AN\SICOMWEB\&#52392;&#48512;&#54632;\Execldata\LEEDM\&#45224;&#48512;&#49328;SS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cgwork\&#44256;&#47161;&#48516;&#44592;\&#48120;&#44552;OPGW.XLS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project2005/1&#49345;&#49688;&#46020;/16&#44053;&#48320;&#50668;&#44284;&#49688;&#51204;&#44592;&#49444;&#44228;(&#52572;&#51333;&#48516;)/16&#48320;&#44221;&#49444;&#44228;_9&#44060;&#49548;/3.%20&#51204;&#44592;&#48324;&#46020;/1&#49688;&#47049;&#49328;&#52636;&#49436;/1&#46041;&#47141;&#49688;&#47049;&#49328;&#52636;&#49436;_&#51204;&#49688;&#51221;.xls" TargetMode="External"/><Relationship Id="rId1" Type="http://schemas.openxmlformats.org/officeDocument/2006/relationships/externalLinkPath" Target="/project2005/1&#49345;&#49688;&#46020;/16&#44053;&#48320;&#50668;&#44284;&#49688;&#51204;&#44592;&#49444;&#44228;(&#52572;&#51333;&#48516;)/16&#48320;&#44221;&#49444;&#44228;_9&#44060;&#49548;/3.%20&#51204;&#44592;&#48324;&#46020;/1&#49688;&#47049;&#49328;&#52636;&#49436;/1&#46041;&#47141;&#49688;&#47049;&#49328;&#52636;&#49436;_&#51204;&#49688;&#51221;.xls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2004/2004DWG/&#54620;&#44397;&#49688;&#51088;&#50896;&#44277;&#49324;/&#54620;&#44397;&#49688;&#51088;&#50896;&#44277;&#49324;&#44305;&#51452;&#44428;&#45824;&#48520;-&#44285;&#47749;&#52384;&#50472;-2005.11.14/&#45236;&#50669;&#49436;-2005.11.16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2004/2004DWG/&#54620;&#44397;&#49688;&#51088;&#50896;&#44277;&#49324;/&#54620;&#44397;&#49688;&#51088;&#50896;&#44277;&#49324;&#44305;&#51452;&#44428;&#45824;&#48520;-&#44285;&#47749;&#52384;&#50472;-2005.11.14/&#45236;&#50669;&#49436;-2005.11.16.xls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Documents%20and%20Settings/&#49324;&#50857;&#51088;&#51060;&#47492;/&#48148;&#53461;%20&#54868;&#47732;/&#54788;&#50504;&#49324;&#54637;/&#49436;&#49328;&#44032;&#50517;&#51109;&#53945;&#44256;&#50517;&#48152;&#51228;&#51312;&#44396;&#47588;&#49444;&#52824;/&#44048;&#49324;&#54980;/&#54032;&#45356;&#51228;&#51312;&#44396;&#47588;/&#49436;&#49328;&#44032;&#50517;&#51109;%20&#51228;&#51312;&#44396;&#47588;(&#52572;&#51333;)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Documents%20and%20Settings/&#49324;&#50857;&#51088;&#51060;&#47492;/&#48148;&#53461;%20&#54868;&#47732;/&#54788;&#50504;&#49324;&#54637;/&#49436;&#49328;&#44032;&#50517;&#51109;&#53945;&#44256;&#50517;&#48152;&#51228;&#51312;&#44396;&#47588;&#49444;&#52824;/&#44048;&#49324;&#54980;/&#54032;&#45356;&#51228;&#51312;&#44396;&#47588;/&#49436;&#49328;&#44032;&#50517;&#51109;%20&#51228;&#51312;&#44396;&#47588;(&#52572;&#51333;).xls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ATA/0YEONGI/REPT-NG.XLS" TargetMode="External"/><Relationship Id="rId1" Type="http://schemas.openxmlformats.org/officeDocument/2006/relationships/externalLinkPath" Target="/DATA/0YEONGI/REPT-NG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\CAL\UNIT-QT.XLS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TEAM-5/9611/OUT/YES.XLS" TargetMode="External"/><Relationship Id="rId1" Type="http://schemas.openxmlformats.org/officeDocument/2006/relationships/externalLinkPath" Target="/TEAM-5/9611/OUT/YES.XLS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wg2000/&#49457;&#51068;/&#49884;&#45208;&#45769;&#49828;/PJT-97/R-SUWONJ/REP/P7-5-31/LX-CAL.XLS" TargetMode="External"/><Relationship Id="rId1" Type="http://schemas.openxmlformats.org/officeDocument/2006/relationships/externalLinkPath" Target="/dwg2000/&#49457;&#51068;/&#49884;&#45208;&#45769;&#49828;/PJT-97/R-SUWONJ/REP/P7-5-31/LX-CAL.XLS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My%20Documents/DATA/&#50872;&#49328;/DATA/&#54861;&#49688;&#50696;&#44221;&#48372;/YONGF0.XLS" TargetMode="External"/><Relationship Id="rId1" Type="http://schemas.openxmlformats.org/officeDocument/2006/relationships/externalLinkPath" Target="/My%20Documents/DATA/&#50872;&#49328;/DATA/&#54861;&#49688;&#50696;&#44221;&#48372;/YONGF0.XLS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wg2000/&#49457;&#51068;/&#49884;&#45208;&#45769;&#49828;/P-Iso/Calc-St2/LX-JU.XLS" TargetMode="External"/><Relationship Id="rId1" Type="http://schemas.openxmlformats.org/officeDocument/2006/relationships/externalLinkPath" Target="/dwg2000/&#49457;&#51068;/&#49884;&#45208;&#45769;&#49828;/P-Iso/Calc-St2/LX-JU.XLS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&#48128;&#50577;&#54616;&#49688;&#52376;&#47532;&#49324;&#50629;/&#48128;&#50577;&#54616;&#49688;&#52376;&#47532;&#49884;&#49444;&#50857;&#50669;/Documents%20and%20Settings/kunjin/My%20Documents/&#50672;&#44396;&#44060;&#48156;/&#49688;&#52376;&#47532;/&#54616;&#49345;&#50668;&#44284;/&#53444;&#52380;/&#53444;&#52380;%20&#54616;&#49345;&#50668;&#44284;&#49884;&#49444;%20&#49444;&#52824;&#49324;&#50629;/&#46020;&#47732;/0810/&#54620;&#46972;&#49328;&#50629;&#44060;&#48156;/&#54620;&#46972;&#49328;&#50629;&#44060;&#48156;/&#49688;&#47049;&#48143;&#45236;&#50669;&#49436;/&#53664;&#47785;/&#49888;&#50864;&#50644;&#51648;&#45768;&#50612;&#47553;/&#44608;&#47749;&#44260;/&#49437;&#44257;&#50725;&#44284;/&#49892;&#49884;&#49444;&#44228;/&#49688;&#47049;&#49328;&#52636;&#49436;/&#49437;&#44257;/&#46041;&#47141;&#51228;&#50612;&#49688;&#47049;&#49328;&#52636;&#49436;.xls" TargetMode="External"/><Relationship Id="rId1" Type="http://schemas.openxmlformats.org/officeDocument/2006/relationships/externalLinkPath" Target="/&#48128;&#50577;&#54616;&#49688;&#52376;&#47532;&#49324;&#50629;/&#48128;&#50577;&#54616;&#49688;&#52376;&#47532;&#49884;&#49444;&#50857;&#50669;/Documents%20and%20Settings/kunjin/My%20Documents/&#50672;&#44396;&#44060;&#48156;/&#49688;&#52376;&#47532;/&#54616;&#49345;&#50668;&#44284;/&#53444;&#52380;/&#53444;&#52380;%20&#54616;&#49345;&#50668;&#44284;&#49884;&#49444;%20&#49444;&#52824;&#49324;&#50629;/&#46020;&#47732;/0810/&#54620;&#46972;&#49328;&#50629;&#44060;&#48156;/&#54620;&#46972;&#49328;&#50629;&#44060;&#48156;/&#49688;&#47049;&#48143;&#45236;&#50669;&#49436;/&#53664;&#47785;/&#49888;&#50864;&#50644;&#51648;&#45768;&#50612;&#47553;/&#44608;&#47749;&#44260;/&#49437;&#44257;&#50725;&#44284;/&#49892;&#49884;&#49444;&#44228;/&#49688;&#47049;&#49328;&#52636;&#49436;/&#49437;&#44257;/&#46041;&#47141;&#51228;&#50612;&#49688;&#47049;&#49328;&#52636;&#49436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5224;&#50577;&#51452;&#51648;&#44032;&#54788;&#54889;.xls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2006&#45380;/&#44277;&#49324;/&#51116;&#54644;&#45824;&#52293;&#44592;&#44552;&#44277;&#49324;/&#55064;&#44221;&#48727;&#47932;&#54156;&#54532;&#51109;&#50808;%201&#44060;&#49548;%20&#51204;&#46041;&#48184;&#48652;%20&#51088;&#46041;&#51228;&#50612;&#48152;%20&#44396;&#47588;&#49444;&#52824;/&#51473;&#44257;&#48727;&#47932;&#51204;&#44592;&#45236;&#50669;&#49436;-&#49688;&#51221;(CCTV&#48520;&#54252;&#54632;)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2006&#45380;/&#44277;&#49324;/&#51116;&#54644;&#45824;&#52293;&#44592;&#44552;&#44277;&#49324;/&#55064;&#44221;&#48727;&#47932;&#54156;&#54532;&#51109;&#50808;%201&#44060;&#49548;%20&#51204;&#46041;&#48184;&#48652;%20&#51088;&#46041;&#51228;&#50612;&#48152;%20&#44396;&#47588;&#49444;&#52824;/&#51473;&#44257;&#48727;&#47932;&#51204;&#44592;&#45236;&#50669;&#49436;-&#49688;&#51221;(CCTV&#48520;&#54252;&#54632;).xls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&#51060;&#44221;&#54984;/Documents/2016&#45380;%20&#54532;&#47196;&#51229;&#53944;/&#49688;&#46020;&#44428;%20&#44305;&#50669;&#49345;&#49688;&#46020;%20&#50857;&#49688;&#44277;&#44553;%20&#49888;&#47280;&#49457;%20&#51228;&#44256;&#49324;&#50629;%20&#51228;2&#44277;&#44396;/21.%20&#51217;&#49688;&#51088;&#47308;/01.%20&#48516;&#50556;&#48324;(&#49444;&#44228;&#49324;)/&#53664;&#47785;%20-%20&#50976;&#49888;/&#44592;&#48376;&#44228;&#54925;%20&#51088;&#47308;/20151210_&#51204;&#44592;&#48516;&#50556;&#49569;&#48512;/02.&#51204;&#47141;&#48708;/02.&#54620;&#51204;&#49688;&#53441;&#48708;,&#49324;&#50857;&#51204;&#44160;&#49324;,&#53685;&#49888;&#48708;_2(&#49688;&#51221;&#49324;&#54637;&#50630;&#51020;).xls" TargetMode="External"/><Relationship Id="rId1" Type="http://schemas.openxmlformats.org/officeDocument/2006/relationships/externalLinkPath" Target="/Users/&#51060;&#44221;&#54984;/Documents/2016&#45380;%20&#54532;&#47196;&#51229;&#53944;/&#49688;&#46020;&#44428;%20&#44305;&#50669;&#49345;&#49688;&#46020;%20&#50857;&#49688;&#44277;&#44553;%20&#49888;&#47280;&#49457;%20&#51228;&#44256;&#49324;&#50629;%20&#51228;2&#44277;&#44396;/21.%20&#51217;&#49688;&#51088;&#47308;/01.%20&#48516;&#50556;&#48324;(&#49444;&#44228;&#49324;)/&#53664;&#47785;%20-%20&#50976;&#49888;/&#44592;&#48376;&#44228;&#54925;%20&#51088;&#47308;/20151210_&#51204;&#44592;&#48516;&#50556;&#49569;&#48512;/02.&#51204;&#47141;&#48708;/02.&#54620;&#51204;&#49688;&#53441;&#48708;,&#49324;&#50857;&#51204;&#44160;&#49324;,&#53685;&#49888;&#48708;_2(&#49688;&#51221;&#49324;&#54637;&#50630;&#51020;).xls" TargetMode="External"/></Relationships>
</file>

<file path=xl/externalLinks/_rels/externalLink3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TEAM-5/My%20Documents/dacom/&#50896;&#51452;~&#51228;&#52380;/&#50896;&#51452;&#52572;&#51333;/&#50696;&#49328;&#45236;~1.XLS" TargetMode="External"/><Relationship Id="rId1" Type="http://schemas.openxmlformats.org/officeDocument/2006/relationships/externalLinkPath" Target="/TEAM-5/My%20Documents/dacom/&#50896;&#51452;~&#51228;&#52380;/&#50896;&#51452;&#52572;&#51333;/&#50696;&#49328;&#45236;~1.XLS" TargetMode="External"/></Relationships>
</file>

<file path=xl/externalLinks/_rels/externalLink4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&#44277;&#50976;&#48169;/3.0%20&#44288;&#44144;&#44277;&#49324;&#48708;/&#45800;&#44032;2000/&#44277;&#49324;&#48708;-&#53664;&#47448;&#48317;.xls" TargetMode="External"/><Relationship Id="rId1" Type="http://schemas.openxmlformats.org/officeDocument/2006/relationships/externalLinkPath" Target="/&#44277;&#50976;&#48169;/3.0%20&#44288;&#44144;&#44277;&#49324;&#48708;/&#45800;&#44032;2000/&#44277;&#49324;&#48708;-&#53664;&#47448;&#48317;.xls" TargetMode="External"/></Relationships>
</file>

<file path=xl/externalLinks/_rels/externalLink4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&#48128;&#50577;&#54616;&#49688;&#52376;&#47532;&#49324;&#50629;/&#48128;&#50577;&#54616;&#49688;&#52376;&#47532;&#49884;&#49444;&#50857;&#50669;/Documents%20and%20Settings/kunjin/My%20Documents/&#50672;&#44396;&#44060;&#48156;/&#49688;&#52376;&#47532;/&#54616;&#49345;&#50668;&#44284;/&#53444;&#52380;/&#53444;&#52380;%20&#54616;&#49345;&#50668;&#44284;&#49884;&#49444;%20&#49444;&#52824;&#49324;&#50629;/&#46020;&#47732;/0810/&#54620;&#46972;&#49328;&#50629;&#44060;&#48156;/&#54620;&#46972;&#49328;&#50629;&#44060;&#48156;/&#49688;&#47049;&#48143;&#45236;&#50669;&#49436;/&#53664;&#47785;/arch2/&#52384;&#50896;&#44608;&#54868;&#52572;&#51333;/&#48373;&#49324;.XLS" TargetMode="External"/><Relationship Id="rId1" Type="http://schemas.openxmlformats.org/officeDocument/2006/relationships/externalLinkPath" Target="/&#48128;&#50577;&#54616;&#49688;&#52376;&#47532;&#49324;&#50629;/&#48128;&#50577;&#54616;&#49688;&#52376;&#47532;&#49884;&#49444;&#50857;&#50669;/Documents%20and%20Settings/kunjin/My%20Documents/&#50672;&#44396;&#44060;&#48156;/&#49688;&#52376;&#47532;/&#54616;&#49345;&#50668;&#44284;/&#53444;&#52380;/&#53444;&#52380;%20&#54616;&#49345;&#50668;&#44284;&#49884;&#49444;%20&#49444;&#52824;&#49324;&#50629;/&#46020;&#47732;/0810/&#54620;&#46972;&#49328;&#50629;&#44060;&#48156;/&#54620;&#46972;&#49328;&#50629;&#44060;&#48156;/&#49688;&#47049;&#48143;&#45236;&#50669;&#49436;/&#53664;&#47785;/arch2/&#52384;&#50896;&#44608;&#54868;&#52572;&#51333;/&#48373;&#49324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857;&#45812;&#45840;\&#49688;&#50517;&#52384;&#44288;\&#50641;&#49472;\2&#52264;&#44592;&#49457;.XLS" TargetMode="External"/></Relationships>
</file>

<file path=xl/externalLinks/_rels/externalLink4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My%20Documents/DATA/&#50872;&#49328;/DATA/&#54861;&#49688;&#50696;&#44221;&#48372;/YONGF0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My%20Documents/DATA/&#50872;&#49328;/DATA/&#54861;&#49688;&#50696;&#44221;&#48372;/YONGF0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cheol\&#45824;&#54840;&#49828;&#53664;&#54140;\&#47928;&#49436;\&#50504;&#51456;&#50865;\&#44288;&#47196;&#51060;&#49444;&#49444;&#44228;\&#49444;&#44228;&#49436;(SNP)\&#44221;&#51064;(&#44404;&#54252;&#52380;)&#44396;&#44036;\MYDOCU~1\JUN-TIE1.XLS" TargetMode="External"/></Relationships>
</file>

<file path=xl/externalLinks/_rels/externalLink4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LEEYONG/PUSAN154/&#44305;&#50577;&#51204;&#44592;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LEEYONG/PUSAN154/&#44305;&#50577;&#51204;&#44592;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51221;&#54812;\&#54620;&#44397;brt\My%20Documents\&#48155;&#51008;%20&#54028;&#51068;\&#44608;&#50857;&#44592;\&#50641;&#49472;\GUMI4B2\&#44396;&#48120;4&#45800;2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XCEL\LEEDM\&#44256;&#49888;&#48513;.XLS" TargetMode="External"/></Relationships>
</file>

<file path=xl/externalLinks/_rels/externalLink4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FF/2000&#45380;&#46020;/&#44277;&#49324;&#49444;&#44228;/&#51217;&#50504;&#49884;&#49444;&#51228;&#51089;/&#51217;&#50504;&#49884;&#49444;&#44396;&#47588;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FF/2000&#45380;&#46020;/&#44277;&#49324;&#49444;&#44228;/&#51217;&#50504;&#49884;&#49444;&#51228;&#51089;/&#51217;&#50504;&#49884;&#49444;&#44396;&#47588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OFFICE%20&#50577;&#49885;\N&#36035;&#63963;-&#32887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652;&#54665;project\&#49340;&#44368;&#53552;&#45328;\&#49340;&#44368;&#53552;&#45328;ruswjr2k1_0719.xls" TargetMode="External"/></Relationships>
</file>

<file path=xl/externalLinks/_rels/externalLink5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&#48128;&#50577;&#54616;&#49688;&#52376;&#47532;&#49324;&#50629;/&#48128;&#50577;&#54616;&#49688;&#52376;&#47532;&#49884;&#49444;&#50857;&#50669;/WINDOWS/TEMP/HANDY/&#49444;&#44228;&#45800;&#44032;/2003&#45380;/99&#49444;&#44228;&#44592;&#51456;&#45800;&#44032;.xls" TargetMode="External"/><Relationship Id="rId1" Type="http://schemas.openxmlformats.org/officeDocument/2006/relationships/externalLinkPath" Target="/&#48128;&#50577;&#54616;&#49688;&#52376;&#47532;&#49324;&#50629;/&#48128;&#50577;&#54616;&#49688;&#52376;&#47532;&#49884;&#49444;&#50857;&#50669;/WINDOWS/TEMP/HANDY/&#49444;&#44228;&#45800;&#44032;/2003&#45380;/99&#49444;&#44228;&#44592;&#51456;&#45800;&#44032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203.233.200.80/2005&#45380;/2005&#49324;&#50629;&#44228;&#54925;&#48143;&#50696;&#49328;/&#50696;&#49328;&#49888;&#52397;/&#49468;&#53552;/&#54016;&#48324;8.xls" TargetMode="External"/></Relationships>
</file>

<file path=xl/externalLinks/_rels/externalLink5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&#44592;&#49696;&#44160;&#53664;&#49436;/&#49436;&#48512;&#49688;&#46020;/&#49436;&#48512;&#48372;&#50756;/&#48373;&#49324;&#48376;%20IO&#49828;&#52992;&#51572;(&#49436;&#48512;-&#47564;&#47532;)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&#44592;&#49696;&#44160;&#53664;&#49436;/&#49436;&#48512;&#49688;&#46020;/&#49436;&#48512;&#48372;&#50756;/&#48373;&#49324;&#48376;%20IO&#49828;&#52992;&#51572;(&#49436;&#48512;-&#47564;&#47532;).xls" TargetMode="External"/></Relationships>
</file>

<file path=xl/externalLinks/_rels/externalLink5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TEMP/YGN56/SONG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TEMP/YGN56/SONG.XLS" TargetMode="External"/></Relationships>
</file>

<file path=xl/externalLinks/_rels/externalLink5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&#48128;&#50577;&#54616;&#49688;&#52376;&#47532;&#49324;&#50629;/&#48128;&#50577;&#54616;&#49688;&#52376;&#47532;&#49884;&#49444;&#50857;&#50669;/Documents%20and%20Settings/kunjin/My%20Documents/&#50672;&#44396;&#44060;&#48156;/&#49688;&#52376;&#47532;/&#54616;&#49345;&#50668;&#44284;/&#53444;&#52380;/&#53444;&#52380;%20&#54616;&#49345;&#50668;&#44284;&#49884;&#49444;%20&#49444;&#52824;&#49324;&#50629;/&#46020;&#47732;/0810/&#54620;&#46972;&#49328;&#50629;&#44060;&#48156;/&#54620;&#46972;&#49328;&#50629;&#44060;&#48156;/&#49688;&#47049;&#48143;&#45236;&#50669;&#49436;/&#53664;&#47785;/My%20Documents/&#50641;&#49472;DATA/&#54788;&#45824;&#50644;/&#51473;&#50521;/&#51473;&#50521;&#45236;&#50669;.XLS" TargetMode="External"/><Relationship Id="rId1" Type="http://schemas.openxmlformats.org/officeDocument/2006/relationships/externalLinkPath" Target="/&#48128;&#50577;&#54616;&#49688;&#52376;&#47532;&#49324;&#50629;/&#48128;&#50577;&#54616;&#49688;&#52376;&#47532;&#49884;&#49444;&#50857;&#50669;/Documents%20and%20Settings/kunjin/My%20Documents/&#50672;&#44396;&#44060;&#48156;/&#49688;&#52376;&#47532;/&#54616;&#49345;&#50668;&#44284;/&#53444;&#52380;/&#53444;&#52380;%20&#54616;&#49345;&#50668;&#44284;&#49884;&#49444;%20&#49444;&#52824;&#49324;&#50629;/&#46020;&#47732;/0810/&#54620;&#46972;&#49328;&#50629;&#44060;&#48156;/&#54620;&#46972;&#49328;&#50629;&#44060;&#48156;/&#49688;&#47049;&#48143;&#45236;&#50669;&#49436;/&#53664;&#47785;/My%20Documents/&#50641;&#49472;DATA/&#54788;&#45824;&#50644;/&#51473;&#50521;/&#51473;&#50521;&#45236;&#50669;.XLS" TargetMode="External"/></Relationships>
</file>

<file path=xl/externalLinks/_rels/externalLink5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&#48128;&#50577;&#54616;&#49688;&#52376;&#47532;&#49324;&#50629;/&#48128;&#50577;&#54616;&#49688;&#52376;&#47532;&#49884;&#49444;&#50857;&#50669;/Documents%20and%20Settings/kunjin/My%20Documents/&#50672;&#44396;&#44060;&#48156;/&#49688;&#52376;&#47532;/&#54616;&#49345;&#50668;&#44284;/&#53444;&#52380;/&#53444;&#52380;%20&#54616;&#49345;&#50668;&#44284;&#49884;&#49444;%20&#49444;&#52824;&#49324;&#50629;/&#46020;&#47732;/0810/&#54620;&#46972;&#49328;&#50629;&#44060;&#48156;/&#54620;&#46972;&#49328;&#50629;&#44060;&#48156;/&#49688;&#47049;&#48143;&#45236;&#50669;&#49436;/&#53664;&#47785;/My%20Documents/&#50641;&#49472;DATA/&#54788;&#45824;&#50644;/&#47560;&#49328;/&#51665;&#44228;&#54364;.XLS" TargetMode="External"/><Relationship Id="rId1" Type="http://schemas.openxmlformats.org/officeDocument/2006/relationships/externalLinkPath" Target="/&#48128;&#50577;&#54616;&#49688;&#52376;&#47532;&#49324;&#50629;/&#48128;&#50577;&#54616;&#49688;&#52376;&#47532;&#49884;&#49444;&#50857;&#50669;/Documents%20and%20Settings/kunjin/My%20Documents/&#50672;&#44396;&#44060;&#48156;/&#49688;&#52376;&#47532;/&#54616;&#49345;&#50668;&#44284;/&#53444;&#52380;/&#53444;&#52380;%20&#54616;&#49345;&#50668;&#44284;&#49884;&#49444;%20&#49444;&#52824;&#49324;&#50629;/&#46020;&#47732;/0810/&#54620;&#46972;&#49328;&#50629;&#44060;&#48156;/&#54620;&#46972;&#49328;&#50629;&#44060;&#48156;/&#49688;&#47049;&#48143;&#45236;&#50669;&#49436;/&#53664;&#47785;/My%20Documents/&#50641;&#49472;DATA/&#54788;&#45824;&#50644;/&#47560;&#49328;/&#51665;&#44228;&#54364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&#44400;&#54252;\DATA\XLS\DONGA3.XLS" TargetMode="External"/></Relationships>
</file>

<file path=xl/externalLinks/_rels/externalLink5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Documents%20and%20Settings/&#51068;&#49328;/&#48148;&#53461;%20&#54868;&#47732;/&#49569;&#54028;&#45236;&#50669;&#49436;/&#51204;&#44592;&#46020;&#47732;(3&#52264;&#50504;-gipam)/&#48155;&#51008;&#47700;&#51068;/&#49345;&#54889;&#49892;&#50808;&#54156;&#54532;&#51109;&#51088;&#46041;&#51228;&#50612;&#48152;/&#51473;&#44257;&#48727;&#47932;&#51204;&#44592;&#45236;&#50669;&#49436;-&#49688;&#51221;(CCTV&#48520;&#54252;&#54632;)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Documents%20and%20Settings/&#51068;&#49328;/&#48148;&#53461;%20&#54868;&#47732;/&#49569;&#54028;&#45236;&#50669;&#49436;/&#51204;&#44592;&#46020;&#47732;(3&#52264;&#50504;-gipam)/&#48155;&#51008;&#47700;&#51068;/&#49345;&#54889;&#49892;&#50808;&#54156;&#54532;&#51109;&#51088;&#46041;&#51228;&#50612;&#48152;/&#51473;&#44257;&#48727;&#47932;&#51204;&#44592;&#45236;&#50669;&#49436;-&#49688;&#51221;(CCTV&#48520;&#54252;&#54632;).xls" TargetMode="External"/></Relationships>
</file>

<file path=xl/externalLinks/_rels/externalLink5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DATA-DATA-DATA-DATA-DATA/D/DATA-DATA(&#45236;&#50669;&#49436;)/&#44228;&#51109;/&#52572;&#51333;&#45236;&#50669;&#49436;(&#44592;&#51088;&#51116;)/&#49345;&#49688;/&#54620;&#44053;&#54616;&#47448;&#44428;&#44553;&#49688;&#52404;&#44228;/&#51204;&#44592;&#49688;&#47049;/&#49328;&#52636;&#49436;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DATA-DATA-DATA-DATA-DATA/D/DATA-DATA(&#45236;&#50669;&#49436;)/&#44228;&#51109;/&#52572;&#51333;&#45236;&#50669;&#49436;(&#44592;&#51088;&#51116;)/&#49345;&#49688;/&#54620;&#44053;&#54616;&#47448;&#44428;&#44553;&#49688;&#52404;&#44228;/&#51204;&#44592;&#49688;&#47049;/&#49328;&#52636;&#49436;.xls" TargetMode="External"/></Relationships>
</file>

<file path=xl/externalLinks/_rels/externalLink6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&#48128;&#50577;&#54616;&#49688;&#52376;&#47532;&#49324;&#50629;/&#48128;&#50577;&#54616;&#49688;&#52376;&#47532;&#49884;&#49444;&#50857;&#50669;/WINDOWS/TEMP/HANDY/2004&#49444;&#44228;&#45800;&#44032;(&#52572;&#51333;).xls" TargetMode="External"/><Relationship Id="rId1" Type="http://schemas.openxmlformats.org/officeDocument/2006/relationships/externalLinkPath" Target="/&#48128;&#50577;&#54616;&#49688;&#52376;&#47532;&#49324;&#50629;/&#48128;&#50577;&#54616;&#49688;&#52376;&#47532;&#49884;&#49444;&#50857;&#50669;/WINDOWS/TEMP/HANDY/2004&#49444;&#44228;&#45800;&#44032;(&#52572;&#51333;).xls" TargetMode="External"/></Relationships>
</file>

<file path=xl/externalLinks/_rels/externalLink6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mr.lee&#9756;&#9758;/&#53552;&#45328;/&#49457;&#45224;&#51109;&#54840;&#50896;/&#45236;&#50669;&#49436;/&#45432;&#44480;&#51116;IC&#45236;&#50669;&#49436;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mr.lee&#9756;&#9758;/&#53552;&#45328;/&#49457;&#45224;&#51109;&#54840;&#50896;/&#45236;&#50669;&#49436;/&#45432;&#44480;&#51116;IC&#45236;&#50669;&#49436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868;&#50516;&#46041;\&#52992;&#51060;&#48660;-&#50577;&#49885;,&#51204;&#49569;&#50857;.xls" TargetMode="External"/></Relationships>
</file>

<file path=xl/externalLinks/_rels/externalLink6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@&#54532;&#47196;&#51229;&#53944;%202010(&#44608;&#49888;&#51068;)/&#50689;&#51452;&#45796;&#47785;&#51201;&#45840;%20TK%20&#49892;&#49884;&#49444;&#44228;/2%20&#45236;&#50669;&#49436;&#51089;&#50629;/&#44277;&#49324;&#44228;&#50557;%20&#45236;&#50669;&#49436;(&#49688;&#44277;-&#49340;&#49457;)/&#51204;&#52404;&#44277;&#49324;&#48516;/&#54620;&#51204;&#49688;&#53441;&#48708;/&#44060;&#47029;&#44277;&#49324;&#48708;&#49328;&#52636;(&#54665;&#48373;&#46020;&#49884;&#54616;&#49688;)-rev4.xls" TargetMode="External"/><Relationship Id="rId1" Type="http://schemas.openxmlformats.org/officeDocument/2006/relationships/externalLinkPath" Target="/@&#54532;&#47196;&#51229;&#53944;%202010(&#44608;&#49888;&#51068;)/&#50689;&#51452;&#45796;&#47785;&#51201;&#45840;%20TK%20&#49892;&#49884;&#49444;&#44228;/2%20&#45236;&#50669;&#49436;&#51089;&#50629;/&#44277;&#49324;&#44228;&#50557;%20&#45236;&#50669;&#49436;(&#49688;&#44277;-&#49340;&#49457;)/&#51204;&#52404;&#44277;&#49324;&#48516;/&#54620;&#51204;&#49688;&#53441;&#48708;/&#44060;&#47029;&#44277;&#49324;&#48708;&#49328;&#52636;(&#54665;&#48373;&#46020;&#49884;&#54616;&#49688;)-rev4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868;&#50516;&#46041;\&#49324;&#48376;%20-%20&#51204;&#49569;&#54532;&#47196;&#44536;&#47016;.xls" TargetMode="External"/></Relationships>
</file>

<file path=xl/externalLinks/_rels/externalLink6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2016&#45380;/&#49688;&#46020;&#44428;%20&#44305;&#50669;&#49345;&#49688;&#46020;%20&#50857;&#49688;&#44277;&#44553;%20&#49888;&#47280;&#49457;%20&#51228;&#44256;&#49324;&#50629;%20&#51228;2&#44277;&#44396;%20&#44592;&#48376;&#49444;&#44228;/01.%20&#51089;&#50629;&#48169;/8.&#45236;&#50669;&#49436;/&#49688;&#46020;&#44428;(&#8545;)&#44305;&#50669;&#49345;&#49688;&#46020;%20&#51204;&#44592;_&#51221;&#48372;&#53685;&#49888;&#44277;&#49324;-0405-&#49444;&#44228;&#44032;(2015&#49345;&#48152;&#44592;&#45432;&#51076;)REV02-&#52572;&#51333;.xlsm" TargetMode="External"/><Relationship Id="rId1" Type="http://schemas.openxmlformats.org/officeDocument/2006/relationships/externalLinkPath" Target="/2016&#45380;/&#49688;&#46020;&#44428;%20&#44305;&#50669;&#49345;&#49688;&#46020;%20&#50857;&#49688;&#44277;&#44553;%20&#49888;&#47280;&#49457;%20&#51228;&#44256;&#49324;&#50629;%20&#51228;2&#44277;&#44396;%20&#44592;&#48376;&#49444;&#44228;/01.%20&#51089;&#50629;&#48169;/8.&#45236;&#50669;&#49436;/&#49688;&#46020;&#44428;(&#8545;)&#44305;&#50669;&#49345;&#49688;&#46020;%20&#51204;&#44592;_&#51221;&#48372;&#53685;&#49888;&#44277;&#49324;-0405-&#49444;&#44228;&#44032;(2015&#49345;&#48152;&#44592;&#45432;&#51076;)REV02-&#52572;&#51333;.xlsm" TargetMode="External"/></Relationships>
</file>

<file path=xl/externalLinks/_rels/externalLink6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01.Project/03.%202007&#45380;%20Project/A723040(&#44608;&#54644;BTL%20&#49892;&#49884;&#49444;&#44228;)/&#44228;&#50557;&#44288;&#47144;/&#44053;&#54868;%20&#44288;&#44144;&#51221;&#48708;(&#44592;&#48376;&#44228;&#54925;%20&#48143;%20&#51077;&#52272;&#50504;&#45236;&#49436;)/&#45236;&#50669;&#49436;(2004.1).xls" TargetMode="External"/><Relationship Id="rId1" Type="http://schemas.openxmlformats.org/officeDocument/2006/relationships/externalLinkPath" Target="/01.Project/03.%202007&#45380;%20Project/A723040(&#44608;&#54644;BTL%20&#49892;&#49884;&#49444;&#44228;)/&#44228;&#50557;&#44288;&#47144;/&#44053;&#54868;%20&#44288;&#44144;&#51221;&#48708;(&#44592;&#48376;&#44228;&#54925;%20&#48143;%20&#51077;&#52272;&#50504;&#45236;&#49436;)/&#45236;&#50669;&#49436;(2004.1).xls" TargetMode="External"/></Relationships>
</file>

<file path=xl/externalLinks/_rels/externalLink6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&#48708;&#46168;&#44592;/&#44277;&#49324;&#44288;&#47144;/&#49884;&#49444;&#44277;&#49324;/2003&#44032;&#47196;&#46321;&#44277;&#49324;/&#49888;&#47548;&#46041;&#44600;&#44032;&#47196;&#46321;&#44277;&#49324;/&#49444;&#44228;/&#44032;&#47196;&#46321;/&#44277;&#49324;/&#49884;&#49444;&#44277;&#49324;/2001/&#49888;&#47548;8&#46041;&#49440;&#47196;&#44368;&#52404;&#44277;&#49324;/&#49884;&#55141;&#45824;&#47196;%20&#44032;&#47196;&#46321;%20&#44277;&#49324;(36&#48376;%20&#44592;&#52488;0.2)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&#48708;&#46168;&#44592;/&#44277;&#49324;&#44288;&#47144;/&#49884;&#49444;&#44277;&#49324;/2003&#44032;&#47196;&#46321;&#44277;&#49324;/&#49888;&#47548;&#46041;&#44600;&#44032;&#47196;&#46321;&#44277;&#49324;/&#49444;&#44228;/&#44032;&#47196;&#46321;/&#44277;&#49324;/&#49884;&#49444;&#44277;&#49324;/2001/&#49888;&#47548;8&#46041;&#49440;&#47196;&#44368;&#52404;&#44277;&#49324;/&#49884;&#55141;&#45824;&#47196;%20&#44032;&#47196;&#46321;%20&#44277;&#49324;(36&#48376;%20&#44592;&#52488;0.2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0&#50689;&#50629;&#49324;&#54637;(&#44204;&#51201;&#49436;)\AA&#51648;&#50669;&#48324;%20&#44204;&#51201;&#54788;&#54889;\2026&#45380;\&#49436;&#50872;&#49884;\2026&#45380;%20&#50500;&#52264;&#49328;&#50669;%20&#50808;%201&#44148;-&#46041;&#48512;&#49688;&#46020;&#49324;&#50629;&#49548;\&#50500;&#52264;&#49328;&#50669;%20&#51228;&#52636;\&#44032;&#44201;&#51228;&#50504;&#49436;%20&#51228;&#52636;(&#50500;&#52264;&#49328;&#50669;)\&#44204;&#51201;&#49436;(&#49444;&#44228;)%20-D700%20&#48512;&#45800;&#49688;&#52264;&#45800;(&#44032;&#48176;&#44288;%20D600)_&#44053;&#44288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cmain\(&#51452;)&#45824;&#54840;&#49828;&#53664;&#54140;\0&#50689;&#50629;&#49324;&#54637;(&#44204;&#51201;&#49436;)\AA&#51648;&#50669;&#48324;%20&#44204;&#51201;&#54788;&#54889;\2025&#45380;\&#52649;&#52397;&#45224;&#46020;\&#52380;&#50504;%20&#47609;&#44257;&#52380;(2200A)-&#52380;&#50504;&#44428;&#51648;&#49324;\&#49444;&#44228;&#49324;%20&#50864;&#47532;&#51333;&#54633;&#44592;&#49696;\&#44032;&#48176;&#44288;%20&#48143;%20&#48372;&#44053;%20&#45236;&#50669;-2512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aroux"/>
      <sheetName val="펌프용량결정"/>
      <sheetName val="펌프 성능곡선도"/>
      <sheetName val="병열운전 특성곡선"/>
      <sheetName val="송수펌프 케비테이션 검토"/>
      <sheetName val="송수펌프 운전검토"/>
      <sheetName val="송수펌프 병열운전 특성"/>
      <sheetName val="CUV"/>
      <sheetName val="VS P-Q"/>
      <sheetName val="CS P_Q 1"/>
      <sheetName val="ENE-CAL 1"/>
      <sheetName val="병열운전 특성곡선 데이타"/>
      <sheetName val="진공펌프용량계산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>
        <row r="10">
          <cell r="E10">
            <v>72.520833333333329</v>
          </cell>
        </row>
        <row r="11">
          <cell r="E11">
            <v>145.04259259259257</v>
          </cell>
        </row>
        <row r="12">
          <cell r="E12">
            <v>217.56435185185182</v>
          </cell>
        </row>
        <row r="13">
          <cell r="E13">
            <v>290.08611111111105</v>
          </cell>
        </row>
        <row r="14">
          <cell r="E14">
            <v>362.60787037037034</v>
          </cell>
        </row>
        <row r="15">
          <cell r="E15">
            <v>435.12962962962956</v>
          </cell>
        </row>
        <row r="16">
          <cell r="E16">
            <v>507.65138888888879</v>
          </cell>
        </row>
        <row r="17">
          <cell r="E17">
            <v>580.17314814814802</v>
          </cell>
        </row>
        <row r="18">
          <cell r="E18">
            <v>652.6949074074073</v>
          </cell>
        </row>
        <row r="19">
          <cell r="E19">
            <v>725.21666666666658</v>
          </cell>
        </row>
        <row r="20">
          <cell r="E20">
            <v>797.73842592592575</v>
          </cell>
        </row>
        <row r="21">
          <cell r="E21">
            <v>870.26018518518504</v>
          </cell>
        </row>
        <row r="22">
          <cell r="E22">
            <v>942.78194444444432</v>
          </cell>
        </row>
        <row r="23">
          <cell r="E23">
            <v>1015.3037037037035</v>
          </cell>
        </row>
        <row r="24">
          <cell r="E24">
            <v>1087.8254629629628</v>
          </cell>
        </row>
        <row r="25">
          <cell r="E25">
            <v>1160.3472222222219</v>
          </cell>
        </row>
        <row r="26">
          <cell r="E26">
            <v>1232.8689814814813</v>
          </cell>
        </row>
        <row r="27">
          <cell r="E27">
            <v>1305.3907407407405</v>
          </cell>
        </row>
        <row r="28">
          <cell r="E28">
            <v>1377.9124999999997</v>
          </cell>
        </row>
        <row r="29">
          <cell r="E29">
            <v>1450.4342592592591</v>
          </cell>
        </row>
        <row r="30">
          <cell r="E30">
            <v>1522.9560185185182</v>
          </cell>
        </row>
        <row r="31">
          <cell r="E31">
            <v>1595.4777777777774</v>
          </cell>
        </row>
        <row r="32">
          <cell r="E32">
            <v>1667.9995370370368</v>
          </cell>
        </row>
        <row r="33">
          <cell r="E33">
            <v>870.26064814814799</v>
          </cell>
        </row>
        <row r="34">
          <cell r="E34">
            <v>906.52152777777758</v>
          </cell>
        </row>
        <row r="35">
          <cell r="E35">
            <v>942.78240740740728</v>
          </cell>
        </row>
      </sheetData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격조사서"/>
      <sheetName val="VXXXXX"/>
      <sheetName val="VXXX"/>
      <sheetName val="일위대가 목차"/>
      <sheetName val="일위대가"/>
      <sheetName val="산출근거목차"/>
      <sheetName val="O-단가조사서"/>
      <sheetName val="1공구 건정토건 토공"/>
      <sheetName val="1공구 건정토건 철콘"/>
      <sheetName val="집계표"/>
      <sheetName val="BID"/>
      <sheetName val="전계가"/>
      <sheetName val="★도급내역"/>
      <sheetName val="갑지"/>
      <sheetName val="원본"/>
      <sheetName val="단가산출서(이동2교)"/>
      <sheetName val="자재"/>
      <sheetName val="노임적용2"/>
      <sheetName val="중기사용료 (08년)"/>
      <sheetName val="작업량-장비"/>
      <sheetName val="손료절감"/>
      <sheetName val="건설기계조종원"/>
      <sheetName val="기계경비목록"/>
      <sheetName val="기계경비적용"/>
      <sheetName val="노임table"/>
      <sheetName val="기계경비table"/>
      <sheetName val="일위대가_산근"/>
      <sheetName val="노임적용"/>
      <sheetName val="중기기초자료"/>
      <sheetName val="3.공통공사대비"/>
      <sheetName val="단가비교표"/>
      <sheetName val="결과조달"/>
      <sheetName val="연결임시"/>
      <sheetName val="입찰"/>
      <sheetName val="현경"/>
      <sheetName val="9902"/>
      <sheetName val="조건표"/>
      <sheetName val="금액내역서"/>
      <sheetName val="증감내용"/>
      <sheetName val="귀래 설계 공내역서"/>
      <sheetName val="#REF"/>
      <sheetName val="변경집계표"/>
      <sheetName val="부속동"/>
      <sheetName val="백호우계수"/>
      <sheetName val="청천내"/>
      <sheetName val="MOTOR"/>
      <sheetName val="집수정(600-700)"/>
      <sheetName val="연돌일위집계"/>
      <sheetName val="여과지동"/>
      <sheetName val="기초자료"/>
      <sheetName val="내역표지"/>
      <sheetName val="교량전기"/>
      <sheetName val="경상비"/>
      <sheetName val="설계"/>
      <sheetName val="COVER"/>
      <sheetName val="A-4"/>
      <sheetName val="2000년1차"/>
      <sheetName val="예가표"/>
      <sheetName val="대비"/>
      <sheetName val="내역(원안-대안)"/>
      <sheetName val="내역"/>
      <sheetName val="Y-WORK"/>
      <sheetName val="공통비"/>
      <sheetName val="9GNG운반"/>
      <sheetName val="기계경비(시간당)"/>
      <sheetName val="램머"/>
      <sheetName val="단면 (2)"/>
      <sheetName val="CIVIL4"/>
      <sheetName val="철거산출근거"/>
      <sheetName val="금융"/>
      <sheetName val="소일위대가코드표"/>
      <sheetName val="노임단가"/>
      <sheetName val="2000전체분"/>
      <sheetName val="Sheet4"/>
      <sheetName val="대림경상68억"/>
      <sheetName val="중기사용료"/>
      <sheetName val="기본단가표"/>
      <sheetName val="배수내역"/>
      <sheetName val="내역서"/>
      <sheetName val="간접비"/>
      <sheetName val="토목"/>
      <sheetName val="강교(Sub)"/>
      <sheetName val="Sheet3"/>
      <sheetName val="S0"/>
      <sheetName val="남양내역"/>
      <sheetName val="SG"/>
      <sheetName val="전체내역"/>
      <sheetName val="견적"/>
      <sheetName val="실행철강하도"/>
      <sheetName val="표지"/>
      <sheetName val="개요"/>
      <sheetName val="메모"/>
      <sheetName val="안전"/>
      <sheetName val="시공계획"/>
      <sheetName val="공사비예산서(토목분)"/>
      <sheetName val="간선계산"/>
      <sheetName val="구조물철거타공정이월"/>
      <sheetName val="실행"/>
      <sheetName val="2공구산출내역"/>
      <sheetName val="1,2공구원가계산서"/>
      <sheetName val="1공구산출내역서"/>
      <sheetName val="예정(3)"/>
      <sheetName val="동원(3)"/>
      <sheetName val="기별(종합)"/>
      <sheetName val="본선 토공 분배표"/>
      <sheetName val="일반공사"/>
      <sheetName val="2000.11월설계내역"/>
      <sheetName val="참고1.잔여수량(기계약기준)"/>
      <sheetName val="참고2.3개층 예상 투입수량"/>
      <sheetName val="Sheet5"/>
      <sheetName val="guard(mac)"/>
      <sheetName val="토적표 (2)"/>
      <sheetName val="001"/>
      <sheetName val="공문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토사(PE)"/>
      <sheetName val="단가"/>
      <sheetName val="O_단가조사서"/>
      <sheetName val="전신환매도율"/>
      <sheetName val="SCHEDULE"/>
      <sheetName val="ELECTRIC"/>
      <sheetName val="CTEMCOST"/>
      <sheetName val="일위대가(계측기설치)"/>
      <sheetName val="부안일위"/>
      <sheetName val="진접"/>
      <sheetName val="목표세부명세"/>
      <sheetName val="공사비집계"/>
      <sheetName val="Sheet1"/>
      <sheetName val="견적대비표"/>
      <sheetName val="106C0300"/>
      <sheetName val="집계표(육상)"/>
      <sheetName val="변경현황"/>
      <sheetName val="주차구획선수량"/>
      <sheetName val="내역서(총)"/>
      <sheetName val="발신정보"/>
      <sheetName val="VXXXXXXX"/>
      <sheetName val="tggwan(mac)"/>
      <sheetName val="자판실행"/>
      <sheetName val="변경내역대비표(2)"/>
      <sheetName val="입찰내역 발주처 양식"/>
      <sheetName val="관접합및부설"/>
      <sheetName val="품의서"/>
      <sheetName val="날개벽"/>
      <sheetName val="인부신상자료"/>
      <sheetName val="설계명세서(선로)"/>
      <sheetName val="업무처리전"/>
      <sheetName val="Eq. Mobilization"/>
      <sheetName val="공정관리"/>
      <sheetName val="수입"/>
      <sheetName val="금융현황(BBCHP)"/>
      <sheetName val="KUNGDEVI"/>
      <sheetName val="교각1"/>
      <sheetName val="COPING"/>
      <sheetName val="날개벽(시점좌측)"/>
      <sheetName val="1.설계기준"/>
      <sheetName val="I.설계조건"/>
      <sheetName val="주형"/>
      <sheetName val="3.바닥판설계"/>
      <sheetName val="1.설계조건"/>
      <sheetName val="용수간선"/>
      <sheetName val="1호맨홀토공"/>
      <sheetName val="지급자재"/>
      <sheetName val="Sheet2"/>
      <sheetName val="실행예산(97.12.17)"/>
      <sheetName val="부표총괄"/>
      <sheetName val="P-산#1-1(WOWA1)"/>
      <sheetName val="T6-6(7)"/>
      <sheetName val="T6-6(6)"/>
      <sheetName val="이자계산"/>
      <sheetName val="외주수리비"/>
      <sheetName val="계류장사용료"/>
      <sheetName val="정비재료비"/>
      <sheetName val="지상조업료"/>
      <sheetName val="AT"/>
      <sheetName val="B777"/>
      <sheetName val="신공항"/>
      <sheetName val="JJ"/>
      <sheetName val="잡유비"/>
      <sheetName val="MA"/>
      <sheetName val="MC"/>
      <sheetName val="ME"/>
      <sheetName val="MF"/>
      <sheetName val="MI"/>
      <sheetName val="MT"/>
      <sheetName val="QA"/>
      <sheetName val="국공유지및사유지"/>
      <sheetName val="사업계획"/>
      <sheetName val="기계내역"/>
      <sheetName val="원장갑지"/>
      <sheetName val="원가계산서  (2)"/>
      <sheetName val="창천동현금출납"/>
      <sheetName val="창천거래원장(1공구)"/>
      <sheetName val="1.토목공사"/>
      <sheetName val="2.레미콘"/>
      <sheetName val="3.목수"/>
      <sheetName val="4.반넬임대"/>
      <sheetName val="5.공구리"/>
      <sheetName val="6.미장,방수"/>
      <sheetName val="7.철근"/>
      <sheetName val="8.시멘트"/>
      <sheetName val="9.모래"/>
      <sheetName val="10.조적"/>
      <sheetName val="11.세멘벽돌"/>
      <sheetName val="12.적벽돌"/>
      <sheetName val="13.철물"/>
      <sheetName val="14.목재,석고보드"/>
      <sheetName val="15.PVC,스치로폴"/>
      <sheetName val="16.타일,타일시공"/>
      <sheetName val="17.창호"/>
      <sheetName val="18.목창호"/>
      <sheetName val="19.석공사"/>
      <sheetName val="20.유리"/>
      <sheetName val="21.도장"/>
      <sheetName val="22.도배,장판"/>
      <sheetName val="23.씽크,신발장"/>
      <sheetName val="24.책상,의자"/>
      <sheetName val="25.에어컨"/>
      <sheetName val="26.부대포장"/>
      <sheetName val="27.조경공사"/>
      <sheetName val="28.정화조"/>
      <sheetName val="29.전기공사"/>
      <sheetName val="30.설비공사"/>
      <sheetName val="31.도기"/>
      <sheetName val="32.수전"/>
      <sheetName val="33.배수배관용PVC"/>
      <sheetName val="34.지붕,치장유리"/>
      <sheetName val="35.준공후베란다샷시,유리"/>
      <sheetName val="36.현장관리비"/>
      <sheetName val="37.현장경비(식대)"/>
      <sheetName val="38.직영노임"/>
      <sheetName val="I一般比"/>
      <sheetName val="총괄내역서"/>
      <sheetName val="연습"/>
      <sheetName val="사급자재"/>
      <sheetName val="대전-교대(A1-A2)"/>
      <sheetName val="수량산출내역1115"/>
      <sheetName val="타공종이기"/>
      <sheetName val="기성조서"/>
      <sheetName val="SULKEA"/>
      <sheetName val="잔수량(작성)"/>
      <sheetName val="정보매체A동"/>
      <sheetName val="일위대가(가설)"/>
      <sheetName val="5. 간접 공사비 총괄"/>
      <sheetName val="DATA"/>
      <sheetName val="중기조종사 단위단가"/>
      <sheetName val="20관리비율"/>
      <sheetName val="J直材4"/>
      <sheetName val="기계공사"/>
      <sheetName val="공사비총"/>
      <sheetName val="정부노임단가"/>
      <sheetName val="5월"/>
      <sheetName val="차액보증"/>
      <sheetName val="견적내역서"/>
      <sheetName val="입찰안"/>
      <sheetName val="물가시세"/>
      <sheetName val="슬래브수량"/>
      <sheetName val="B토목"/>
      <sheetName val="BSD (2)"/>
      <sheetName val="D-623D"/>
      <sheetName val="공사비증감"/>
      <sheetName val="준검 내역서"/>
      <sheetName val="PAD TR보호대기초"/>
      <sheetName val="가로등기초"/>
      <sheetName val="HANDHOLE(2)"/>
      <sheetName val="수로단위수량"/>
      <sheetName val="프라임 강변역(4,236)"/>
      <sheetName val="h-013211-2"/>
      <sheetName val="Sheet1 (2)"/>
      <sheetName val="Sheet6"/>
      <sheetName val="원가(합계)"/>
      <sheetName val="직재"/>
      <sheetName val="ITC 현황"/>
      <sheetName val="특기사항"/>
      <sheetName val="하도내역 (철콘)"/>
      <sheetName val="일위대가목차"/>
      <sheetName val="관리사무소"/>
      <sheetName val="해전배수"/>
      <sheetName val="장비당단가 (1)"/>
      <sheetName val="목동1절주.bh01"/>
      <sheetName val="시행가"/>
      <sheetName val="01노임적용기준"/>
      <sheetName val="인천성심병원"/>
      <sheetName val="원가계산서"/>
      <sheetName val="역T형"/>
      <sheetName val="한강운반비"/>
      <sheetName val="CODE"/>
      <sheetName val="설산1.나"/>
      <sheetName val="본사S"/>
      <sheetName val="약품공급2"/>
      <sheetName val="입출재고현황 (2)"/>
      <sheetName val="DATA2000"/>
      <sheetName val="운반"/>
      <sheetName val="단중"/>
      <sheetName val="품셈표"/>
      <sheetName val="ROOMS"/>
      <sheetName val="A&amp;G"/>
      <sheetName val="OTHER OPERATING INCOME"/>
      <sheetName val="FOOD&amp;BEVERAGE"/>
      <sheetName val="MAINT. &amp; UTILITIES"/>
      <sheetName val="토적1"/>
      <sheetName val="스포회원매출"/>
      <sheetName val="ENE-CAL 1"/>
      <sheetName val="A"/>
      <sheetName val="S003031"/>
      <sheetName val="단가일람"/>
      <sheetName val="단위량당중기"/>
      <sheetName val="도수로집계"/>
      <sheetName val="일위대가(여기까지)"/>
      <sheetName val="2000시행총괄"/>
      <sheetName val="청하배수"/>
      <sheetName val="000000"/>
      <sheetName val="금융비용"/>
      <sheetName val="토목내역"/>
      <sheetName val="설계조건"/>
      <sheetName val="내역서 (2)"/>
      <sheetName val="화전내"/>
      <sheetName val="설계내역"/>
      <sheetName val="교각계산"/>
      <sheetName val="U-TYPE(1)"/>
      <sheetName val="증감내역서"/>
      <sheetName val="제출내역 (2)"/>
      <sheetName val="밸브설치"/>
      <sheetName val="전기"/>
      <sheetName val="WORK"/>
      <sheetName val="노임"/>
      <sheetName val="충주"/>
      <sheetName val="도급"/>
      <sheetName val="실행대비"/>
      <sheetName val="공사개요"/>
      <sheetName val="도급내역"/>
      <sheetName val="세부내역"/>
      <sheetName val="구조물공"/>
      <sheetName val="투찰추정"/>
      <sheetName val="도급내역5+800"/>
      <sheetName val="수목표준대가"/>
      <sheetName val="JUCKEYK"/>
      <sheetName val="부대공"/>
      <sheetName val="도급금액"/>
      <sheetName val="재노경"/>
      <sheetName val="배수공"/>
      <sheetName val="일위대가(1)"/>
      <sheetName val="총공사내역서"/>
      <sheetName val="200"/>
      <sheetName val="토공"/>
      <sheetName val="포장공"/>
      <sheetName val="설 계"/>
      <sheetName val="DATE"/>
      <sheetName val="PRICES"/>
      <sheetName val="jobhist"/>
      <sheetName val="OZ049E"/>
      <sheetName val="eq_data"/>
      <sheetName val="본부별사업계획2차"/>
      <sheetName val="출자한도"/>
      <sheetName val="현장"/>
      <sheetName val="현금"/>
      <sheetName val="1월"/>
      <sheetName val="관계주식"/>
      <sheetName val="남양구조시험동"/>
      <sheetName val="전기내역서"/>
      <sheetName val="설치공사"/>
      <sheetName val="일위대가(당초)"/>
      <sheetName val="2.냉난방설비공사"/>
      <sheetName val="건설실행"/>
      <sheetName val="6PILE  (돌출)"/>
      <sheetName val="준공전망(을)"/>
      <sheetName val="Ⅴ-2.공종별내역"/>
      <sheetName val="변경내역_2차변경"/>
      <sheetName val="총괄표"/>
      <sheetName val="국내"/>
      <sheetName val="공통비총괄표"/>
      <sheetName val=" "/>
      <sheetName val="유림콘도"/>
      <sheetName val="유림골조"/>
      <sheetName val="입력시트"/>
      <sheetName val="을"/>
      <sheetName val="건설어음발행내역"/>
      <sheetName val="초임연봉"/>
      <sheetName val="샘플표지"/>
      <sheetName val="s"/>
      <sheetName val="안산기계장치"/>
      <sheetName val="단위수량"/>
      <sheetName val="청산공사"/>
      <sheetName val="2공구하도급내역서"/>
      <sheetName val="계화총괄"/>
      <sheetName val="계화배수(3대)"/>
      <sheetName val="부대내역"/>
      <sheetName val="준공조서갑지"/>
      <sheetName val="구간별관경"/>
      <sheetName val="포장공사"/>
      <sheetName val="2.도급기성명세서"/>
      <sheetName val="조명시설"/>
      <sheetName val="옹벽일반수량"/>
      <sheetName val="산근"/>
      <sheetName val="식재인부"/>
      <sheetName val="기둥(원형)"/>
      <sheetName val="부하(성남)"/>
      <sheetName val="을지"/>
      <sheetName val="원(토·조) (2)"/>
      <sheetName val="9월큰빛신고"/>
      <sheetName val="12용지"/>
      <sheetName val="기계경비 (2)"/>
      <sheetName val="구천"/>
      <sheetName val="기계경비일람"/>
      <sheetName val="(C)원내역"/>
      <sheetName val="C3"/>
      <sheetName val="철탑재 준공물량"/>
      <sheetName val="영업2"/>
      <sheetName val="P.M 별"/>
      <sheetName val="층별물량산출"/>
      <sheetName val="TRE TABLE"/>
      <sheetName val="참조_세부공종코드"/>
      <sheetName val="직접인건비"/>
      <sheetName val="직접경비"/>
      <sheetName val="우수"/>
      <sheetName val="코드"/>
      <sheetName val="신우"/>
      <sheetName val="BJJIN"/>
      <sheetName val="인사자료총집계"/>
      <sheetName val="적용단위길이"/>
      <sheetName val="피벗테이블데이터분석"/>
      <sheetName val="특수기호강도거푸집"/>
      <sheetName val="종배수관면벽신"/>
      <sheetName val="종배수관(신)"/>
      <sheetName val="자료입력"/>
      <sheetName val="1,2,3,4,5단위수량"/>
      <sheetName val="결재"/>
      <sheetName val="전정 수량표 (2)"/>
      <sheetName val="N賃率-職"/>
      <sheetName val="설비"/>
      <sheetName val="2.펌프장(사급자재)"/>
      <sheetName val="빗물받이(910-510-410)"/>
      <sheetName val="아파트 "/>
      <sheetName val="발전기계산서"/>
      <sheetName val="집1"/>
      <sheetName val="misc"/>
      <sheetName val="일위"/>
      <sheetName val="제출전체재노경"/>
      <sheetName val="내역 (2)"/>
      <sheetName val="의뢰서"/>
      <sheetName val="LinerWt"/>
      <sheetName val="일위대가표"/>
      <sheetName val="산출내역서"/>
      <sheetName val="BOM"/>
      <sheetName val="수량산출서"/>
      <sheetName val="자재단가"/>
      <sheetName val="L형옹벽측구"/>
      <sheetName val=""/>
      <sheetName val="BOX-1510"/>
      <sheetName val="아울렛박스"/>
      <sheetName val="공통부대비"/>
      <sheetName val="원하도급내역서(당초)"/>
      <sheetName val="EP0618"/>
      <sheetName val="개선권고사항"/>
      <sheetName val="장비손료"/>
      <sheetName val="input"/>
      <sheetName val="5131-9"/>
      <sheetName val="5131-10"/>
      <sheetName val="5131-11"/>
      <sheetName val="5131-12"/>
      <sheetName val="bm(CIcable)"/>
      <sheetName val="터파기및재료"/>
      <sheetName val="36+45-113-18+19+20I"/>
      <sheetName val="중기비"/>
      <sheetName val="Macro(MCC)"/>
      <sheetName val="하수급견적대비"/>
      <sheetName val="손익분석"/>
      <sheetName val="SLAB"/>
      <sheetName val="대운산출"/>
      <sheetName val="TABLE"/>
      <sheetName val="D-RMIL"/>
      <sheetName val="깨기"/>
    </sheetNames>
    <sheetDataSet>
      <sheetData sheetId="0" refreshError="1">
        <row r="5">
          <cell r="D5" t="str">
            <v>m3</v>
          </cell>
        </row>
        <row r="6">
          <cell r="D6" t="str">
            <v>m3</v>
          </cell>
        </row>
        <row r="7">
          <cell r="D7" t="str">
            <v>m3</v>
          </cell>
        </row>
        <row r="8">
          <cell r="D8" t="str">
            <v>m2</v>
          </cell>
        </row>
        <row r="9">
          <cell r="D9" t="str">
            <v>m2</v>
          </cell>
        </row>
        <row r="10">
          <cell r="D10" t="str">
            <v>kg</v>
          </cell>
        </row>
        <row r="11">
          <cell r="D11" t="str">
            <v>kg</v>
          </cell>
        </row>
      </sheetData>
      <sheetData sheetId="1">
        <row r="5">
          <cell r="D5" t="str">
            <v>m3</v>
          </cell>
        </row>
      </sheetData>
      <sheetData sheetId="2">
        <row r="5">
          <cell r="D5" t="str">
            <v>m3</v>
          </cell>
        </row>
      </sheetData>
      <sheetData sheetId="3" refreshError="1"/>
      <sheetData sheetId="4" refreshError="1"/>
      <sheetData sheetId="5" refreshError="1"/>
      <sheetData sheetId="6" refreshError="1"/>
      <sheetData sheetId="7">
        <row r="5">
          <cell r="D5" t="str">
            <v>단 위</v>
          </cell>
        </row>
      </sheetData>
      <sheetData sheetId="8">
        <row r="5">
          <cell r="D5" t="str">
            <v>단 위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 refreshError="1"/>
      <sheetData sheetId="23" refreshError="1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/>
      <sheetData sheetId="201" refreshError="1"/>
      <sheetData sheetId="202" refreshError="1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일위대가"/>
    </sheetNames>
    <sheetDataSet>
      <sheetData sheetId="0">
        <row r="732">
          <cell r="A732" t="str">
            <v>K02</v>
          </cell>
          <cell r="B732">
            <v>47</v>
          </cell>
          <cell r="D732" t="str">
            <v>제 47 호표</v>
          </cell>
          <cell r="E732" t="str">
            <v>프라임코팅</v>
          </cell>
          <cell r="H732" t="str">
            <v>MC-1</v>
          </cell>
          <cell r="L732" t="str">
            <v>근거 : 건설12-11</v>
          </cell>
          <cell r="Q732" t="str">
            <v>단위 : 100m2</v>
          </cell>
        </row>
        <row r="733">
          <cell r="A733" t="str">
            <v xml:space="preserve"> </v>
          </cell>
          <cell r="D733" t="str">
            <v>명    칭</v>
          </cell>
          <cell r="E733" t="str">
            <v>규   격</v>
          </cell>
          <cell r="F733" t="str">
            <v>단  위</v>
          </cell>
          <cell r="G733" t="str">
            <v>수  량</v>
          </cell>
          <cell r="H733" t="str">
            <v>직접</v>
          </cell>
          <cell r="I733" t="str">
            <v>재료비</v>
          </cell>
          <cell r="J733" t="str">
            <v>간접</v>
          </cell>
          <cell r="K733" t="str">
            <v>재료비</v>
          </cell>
          <cell r="L733" t="str">
            <v>직접</v>
          </cell>
          <cell r="M733" t="str">
            <v>노무비</v>
          </cell>
          <cell r="N733" t="str">
            <v>경</v>
          </cell>
          <cell r="O733" t="str">
            <v>비</v>
          </cell>
          <cell r="P733" t="str">
            <v>계</v>
          </cell>
          <cell r="Q733" t="str">
            <v>비    고</v>
          </cell>
        </row>
        <row r="734">
          <cell r="A734" t="str">
            <v xml:space="preserve"> </v>
          </cell>
          <cell r="H734" t="str">
            <v>단가</v>
          </cell>
          <cell r="I734" t="str">
            <v>금액</v>
          </cell>
          <cell r="J734" t="str">
            <v>단가</v>
          </cell>
          <cell r="K734" t="str">
            <v>금액</v>
          </cell>
          <cell r="L734" t="str">
            <v>단가</v>
          </cell>
          <cell r="M734" t="str">
            <v>금액</v>
          </cell>
          <cell r="N734" t="str">
            <v>단가</v>
          </cell>
          <cell r="O734" t="str">
            <v>금액</v>
          </cell>
        </row>
        <row r="735">
          <cell r="A735" t="str">
            <v>I005</v>
          </cell>
          <cell r="B735">
            <v>0.38</v>
          </cell>
          <cell r="D735" t="str">
            <v>아스팔트</v>
          </cell>
          <cell r="E735" t="str">
            <v>MC-1</v>
          </cell>
          <cell r="F735" t="str">
            <v>d/m</v>
          </cell>
          <cell r="G735">
            <v>0.38</v>
          </cell>
          <cell r="H735">
            <v>38000</v>
          </cell>
          <cell r="I735">
            <v>14440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14440</v>
          </cell>
        </row>
        <row r="736">
          <cell r="A736" t="str">
            <v>r036</v>
          </cell>
          <cell r="B736">
            <v>0.04</v>
          </cell>
          <cell r="D736" t="str">
            <v>포장공</v>
          </cell>
          <cell r="E736">
            <v>0</v>
          </cell>
          <cell r="F736" t="str">
            <v>인</v>
          </cell>
          <cell r="G736">
            <v>0.04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68200</v>
          </cell>
          <cell r="M736">
            <v>2728</v>
          </cell>
          <cell r="N736">
            <v>0</v>
          </cell>
          <cell r="O736">
            <v>0</v>
          </cell>
          <cell r="P736">
            <v>2728</v>
          </cell>
        </row>
        <row r="737">
          <cell r="A737" t="str">
            <v>r010</v>
          </cell>
          <cell r="B737">
            <v>0.12</v>
          </cell>
          <cell r="D737" t="str">
            <v>보통인부</v>
          </cell>
          <cell r="E737">
            <v>0</v>
          </cell>
          <cell r="F737" t="str">
            <v>인</v>
          </cell>
          <cell r="G737">
            <v>0.12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34900</v>
          </cell>
          <cell r="M737">
            <v>4188</v>
          </cell>
          <cell r="N737">
            <v>0</v>
          </cell>
          <cell r="O737">
            <v>0</v>
          </cell>
          <cell r="P737">
            <v>4188</v>
          </cell>
        </row>
        <row r="742">
          <cell r="A742" t="str">
            <v xml:space="preserve"> </v>
          </cell>
        </row>
        <row r="743">
          <cell r="A743" t="str">
            <v xml:space="preserve"> </v>
          </cell>
        </row>
        <row r="744">
          <cell r="A744" t="str">
            <v xml:space="preserve"> </v>
          </cell>
        </row>
        <row r="745">
          <cell r="A745" t="str">
            <v xml:space="preserve"> </v>
          </cell>
          <cell r="C745" t="str">
            <v>K02</v>
          </cell>
          <cell r="D745" t="str">
            <v>계</v>
          </cell>
          <cell r="E745" t="str">
            <v>제 47 호표</v>
          </cell>
          <cell r="I745">
            <v>14440</v>
          </cell>
          <cell r="K745">
            <v>0</v>
          </cell>
          <cell r="M745">
            <v>6916</v>
          </cell>
          <cell r="O745">
            <v>0</v>
          </cell>
          <cell r="P745">
            <v>21356</v>
          </cell>
        </row>
        <row r="1400">
          <cell r="A1400" t="str">
            <v>B22</v>
          </cell>
          <cell r="B1400">
            <v>93</v>
          </cell>
          <cell r="D1400" t="str">
            <v>제 93 호표</v>
          </cell>
          <cell r="E1400" t="str">
            <v>관용접(Φ400mm)</v>
          </cell>
          <cell r="H1400">
            <v>0</v>
          </cell>
          <cell r="L1400" t="str">
            <v>근거 : 건설17-8</v>
          </cell>
          <cell r="Q1400" t="str">
            <v>단위 : 개소/6m</v>
          </cell>
        </row>
        <row r="1401">
          <cell r="A1401" t="str">
            <v xml:space="preserve"> </v>
          </cell>
          <cell r="D1401" t="str">
            <v>명    칭</v>
          </cell>
          <cell r="E1401" t="str">
            <v>규   격</v>
          </cell>
          <cell r="F1401" t="str">
            <v>단  위</v>
          </cell>
          <cell r="G1401" t="str">
            <v>수  량</v>
          </cell>
          <cell r="H1401" t="str">
            <v>직접</v>
          </cell>
          <cell r="I1401" t="str">
            <v>재료비</v>
          </cell>
          <cell r="J1401" t="str">
            <v>간접</v>
          </cell>
          <cell r="K1401" t="str">
            <v>재료비</v>
          </cell>
          <cell r="L1401" t="str">
            <v>직접</v>
          </cell>
          <cell r="M1401" t="str">
            <v>노무비</v>
          </cell>
          <cell r="N1401" t="str">
            <v>경</v>
          </cell>
          <cell r="O1401" t="str">
            <v>비</v>
          </cell>
          <cell r="P1401" t="str">
            <v>계</v>
          </cell>
          <cell r="Q1401" t="str">
            <v>비    고</v>
          </cell>
        </row>
        <row r="1402">
          <cell r="A1402" t="str">
            <v xml:space="preserve"> </v>
          </cell>
          <cell r="H1402" t="str">
            <v>단가</v>
          </cell>
          <cell r="I1402" t="str">
            <v>금액</v>
          </cell>
          <cell r="J1402" t="str">
            <v>단가</v>
          </cell>
          <cell r="K1402" t="str">
            <v>금액</v>
          </cell>
          <cell r="L1402" t="str">
            <v>단가</v>
          </cell>
          <cell r="M1402" t="str">
            <v>금액</v>
          </cell>
          <cell r="N1402" t="str">
            <v>단가</v>
          </cell>
          <cell r="O1402" t="str">
            <v>금액</v>
          </cell>
        </row>
        <row r="1403">
          <cell r="A1403" t="str">
            <v>I020</v>
          </cell>
          <cell r="B1403">
            <v>1.6</v>
          </cell>
          <cell r="D1403" t="str">
            <v>용접봉</v>
          </cell>
          <cell r="E1403" t="str">
            <v>115×3mm</v>
          </cell>
          <cell r="F1403" t="str">
            <v>kg</v>
          </cell>
          <cell r="G1403">
            <v>1.6</v>
          </cell>
          <cell r="H1403">
            <v>0</v>
          </cell>
          <cell r="I1403">
            <v>0</v>
          </cell>
          <cell r="J1403">
            <v>920</v>
          </cell>
          <cell r="K1403">
            <v>1472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1472</v>
          </cell>
        </row>
        <row r="1404">
          <cell r="A1404" t="str">
            <v>r013</v>
          </cell>
          <cell r="B1404">
            <v>0.54</v>
          </cell>
          <cell r="D1404" t="str">
            <v>용접공</v>
          </cell>
          <cell r="E1404">
            <v>0</v>
          </cell>
          <cell r="F1404" t="str">
            <v>인</v>
          </cell>
          <cell r="G1404">
            <v>0.54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65500</v>
          </cell>
          <cell r="M1404">
            <v>35370</v>
          </cell>
          <cell r="N1404">
            <v>0</v>
          </cell>
          <cell r="O1404">
            <v>0</v>
          </cell>
          <cell r="P1404">
            <v>35370</v>
          </cell>
        </row>
        <row r="1411">
          <cell r="A1411" t="str">
            <v xml:space="preserve"> </v>
          </cell>
        </row>
        <row r="1412">
          <cell r="A1412" t="str">
            <v xml:space="preserve"> </v>
          </cell>
        </row>
        <row r="1413">
          <cell r="A1413" t="str">
            <v xml:space="preserve"> </v>
          </cell>
          <cell r="C1413" t="str">
            <v>B22</v>
          </cell>
          <cell r="D1413" t="str">
            <v>계</v>
          </cell>
          <cell r="E1413" t="str">
            <v>제 93 호표</v>
          </cell>
          <cell r="I1413">
            <v>0</v>
          </cell>
          <cell r="K1413">
            <v>1472</v>
          </cell>
          <cell r="M1413">
            <v>35370</v>
          </cell>
          <cell r="O1413">
            <v>0</v>
          </cell>
          <cell r="P1413">
            <v>36842</v>
          </cell>
        </row>
        <row r="1516">
          <cell r="A1516" t="str">
            <v>O03</v>
          </cell>
          <cell r="B1516">
            <v>101</v>
          </cell>
          <cell r="D1516" t="str">
            <v>제 101 호표</v>
          </cell>
          <cell r="E1516" t="str">
            <v>인력 터파기(풍화암 및 연암)</v>
          </cell>
          <cell r="H1516" t="str">
            <v>인력(2-3)</v>
          </cell>
          <cell r="L1516" t="str">
            <v>근거 : 토공3-1</v>
          </cell>
          <cell r="Q1516" t="str">
            <v>단위 :㎥</v>
          </cell>
        </row>
        <row r="1517">
          <cell r="A1517" t="str">
            <v xml:space="preserve"> </v>
          </cell>
          <cell r="D1517" t="str">
            <v>명    칭</v>
          </cell>
          <cell r="E1517" t="str">
            <v>규   격</v>
          </cell>
          <cell r="F1517" t="str">
            <v>단  위</v>
          </cell>
          <cell r="G1517" t="str">
            <v>수  량</v>
          </cell>
          <cell r="H1517" t="str">
            <v>직접</v>
          </cell>
          <cell r="I1517" t="str">
            <v>재료비</v>
          </cell>
          <cell r="J1517" t="str">
            <v>간접</v>
          </cell>
          <cell r="K1517" t="str">
            <v>재료비</v>
          </cell>
          <cell r="L1517" t="str">
            <v>직접</v>
          </cell>
          <cell r="M1517" t="str">
            <v>노무비</v>
          </cell>
          <cell r="N1517" t="str">
            <v>경</v>
          </cell>
          <cell r="O1517" t="str">
            <v>비</v>
          </cell>
          <cell r="P1517" t="str">
            <v>계</v>
          </cell>
          <cell r="Q1517" t="str">
            <v>비    고</v>
          </cell>
        </row>
        <row r="1518">
          <cell r="A1518" t="str">
            <v xml:space="preserve"> </v>
          </cell>
          <cell r="H1518" t="str">
            <v>단가</v>
          </cell>
          <cell r="I1518" t="str">
            <v>금액</v>
          </cell>
          <cell r="J1518" t="str">
            <v>단가</v>
          </cell>
          <cell r="K1518" t="str">
            <v>금액</v>
          </cell>
          <cell r="L1518" t="str">
            <v>단가</v>
          </cell>
          <cell r="M1518" t="str">
            <v>금액</v>
          </cell>
          <cell r="N1518" t="str">
            <v>단가</v>
          </cell>
          <cell r="O1518" t="str">
            <v>금액</v>
          </cell>
        </row>
        <row r="1519">
          <cell r="A1519" t="str">
            <v>r010</v>
          </cell>
          <cell r="B1519">
            <v>1</v>
          </cell>
          <cell r="D1519" t="str">
            <v>보통인부</v>
          </cell>
          <cell r="E1519">
            <v>0</v>
          </cell>
          <cell r="F1519" t="str">
            <v>인</v>
          </cell>
          <cell r="G1519">
            <v>1</v>
          </cell>
          <cell r="H1519">
            <v>0</v>
          </cell>
          <cell r="I1519">
            <v>0</v>
          </cell>
          <cell r="J1519">
            <v>0</v>
          </cell>
          <cell r="K1519">
            <v>0</v>
          </cell>
          <cell r="L1519">
            <v>34900</v>
          </cell>
          <cell r="M1519">
            <v>34900</v>
          </cell>
          <cell r="N1519">
            <v>0</v>
          </cell>
          <cell r="O1519">
            <v>0</v>
          </cell>
          <cell r="P1519">
            <v>34900</v>
          </cell>
          <cell r="Q1519" t="str">
            <v>주위에 장애물이 있을경우</v>
          </cell>
        </row>
        <row r="1520">
          <cell r="A1520" t="str">
            <v>R037</v>
          </cell>
          <cell r="B1520">
            <v>2</v>
          </cell>
          <cell r="D1520" t="str">
            <v>할석공</v>
          </cell>
          <cell r="E1520">
            <v>0</v>
          </cell>
          <cell r="F1520" t="str">
            <v>인</v>
          </cell>
          <cell r="G1520">
            <v>2</v>
          </cell>
          <cell r="H1520">
            <v>0</v>
          </cell>
          <cell r="I1520">
            <v>0</v>
          </cell>
          <cell r="J1520">
            <v>0</v>
          </cell>
          <cell r="K1520">
            <v>0</v>
          </cell>
          <cell r="L1520">
            <v>65700</v>
          </cell>
          <cell r="M1520">
            <v>131400</v>
          </cell>
          <cell r="N1520">
            <v>0</v>
          </cell>
          <cell r="O1520">
            <v>0</v>
          </cell>
          <cell r="P1520">
            <v>131400</v>
          </cell>
          <cell r="Q1520" t="str">
            <v>50%까지 할증가능</v>
          </cell>
        </row>
        <row r="1528">
          <cell r="A1528" t="str">
            <v xml:space="preserve"> </v>
          </cell>
        </row>
        <row r="1529">
          <cell r="A1529" t="str">
            <v xml:space="preserve"> </v>
          </cell>
          <cell r="C1529" t="str">
            <v>O03</v>
          </cell>
          <cell r="D1529" t="str">
            <v>계</v>
          </cell>
          <cell r="E1529" t="str">
            <v>제 101 호표</v>
          </cell>
          <cell r="I1529">
            <v>0</v>
          </cell>
          <cell r="K1529">
            <v>0</v>
          </cell>
          <cell r="M1529">
            <v>166300</v>
          </cell>
          <cell r="O1529">
            <v>0</v>
          </cell>
          <cell r="P1529">
            <v>166300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aroux"/>
      <sheetName val="산출(수)"/>
      <sheetName val="원가(수)"/>
      <sheetName val="원가계산서"/>
      <sheetName val="집계표0"/>
      <sheetName val="집계표1"/>
      <sheetName val="집계표2"/>
      <sheetName val="내역서"/>
      <sheetName val="기자재내역"/>
      <sheetName val="한전수탁공사비"/>
      <sheetName val="단가조사서"/>
      <sheetName val="기자재단가조사"/>
      <sheetName val="집계표"/>
      <sheetName val="일위대가-1"/>
      <sheetName val="일위대가-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B3" t="str">
            <v>일    위    대    가    표</v>
          </cell>
        </row>
      </sheetData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대로근거"/>
      <sheetName val="6PILE  (돌출)"/>
      <sheetName val="R.C RAHMEN 해석"/>
      <sheetName val="중로근거"/>
      <sheetName val="N賃率-職"/>
      <sheetName val="TYPE-A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대비2"/>
      <sheetName val="대로근거"/>
      <sheetName val="중로근거"/>
      <sheetName val="상부집계표"/>
      <sheetName val="직재"/>
      <sheetName val="Sheet1"/>
      <sheetName val="Sheet2"/>
      <sheetName val="Sheet3"/>
      <sheetName val="3련 BOX"/>
      <sheetName val="공사비예산서(토목분)"/>
      <sheetName val="단위중량"/>
      <sheetName val="내역서"/>
      <sheetName val="토공"/>
      <sheetName val="교각계산"/>
      <sheetName val="2.2.2입적표"/>
      <sheetName val="Sheet17"/>
      <sheetName val="INPUT"/>
      <sheetName val="출력X"/>
      <sheetName val="연결임시"/>
      <sheetName val="철근단면적"/>
      <sheetName val="토목품셈"/>
      <sheetName val="단면 (2)"/>
      <sheetName val="설계조건"/>
      <sheetName val="INPUT(덕도방향-시점)"/>
      <sheetName val="총괄내역서"/>
      <sheetName val="날개벽수량표"/>
      <sheetName val="수량집계표"/>
      <sheetName val="토공총괄표"/>
      <sheetName val="PO-BOQ"/>
      <sheetName val="IW-LIST"/>
      <sheetName val="수량산출"/>
      <sheetName val="TYPE-A"/>
      <sheetName val="6PILE  (돌출)"/>
      <sheetName val="SORCE1"/>
      <sheetName val="차액보증"/>
      <sheetName val="관급"/>
      <sheetName val="일위대가9803"/>
      <sheetName val="설직재-1"/>
      <sheetName val="제직재"/>
      <sheetName val="초기화면"/>
      <sheetName val="이름정의"/>
      <sheetName val="초기화면1"/>
      <sheetName val="대비"/>
      <sheetName val="수안보-MBR1"/>
      <sheetName val="SLAB&quot;1&quot;"/>
      <sheetName val="토목"/>
      <sheetName val="간접비"/>
      <sheetName val="제경집계"/>
      <sheetName val="내역서을지"/>
      <sheetName val="시멘트"/>
      <sheetName val="#REF"/>
      <sheetName val="교각1"/>
      <sheetName val="CODE"/>
      <sheetName val="기둥(원형)"/>
      <sheetName val="COPING"/>
      <sheetName val="흥양2교토공집계표"/>
      <sheetName val="MOTOR"/>
      <sheetName val="3연box"/>
      <sheetName val="금액내역서"/>
      <sheetName val="수량3"/>
      <sheetName val="TEST1"/>
      <sheetName val="자재집계표"/>
      <sheetName val="DATE"/>
      <sheetName val="1.설계조건"/>
      <sheetName val="대포2교접속"/>
      <sheetName val="9509"/>
      <sheetName val="수량집계"/>
      <sheetName val="1호맨홀토공"/>
      <sheetName val="단가산출서"/>
      <sheetName val="(A)내역서"/>
      <sheetName val="1.설계기준"/>
      <sheetName val="I.설계조건"/>
      <sheetName val="설계내역서"/>
      <sheetName val="현장관리비"/>
      <sheetName val="노임단가"/>
      <sheetName val="수종"/>
      <sheetName val="규격"/>
      <sheetName val="갑지(추정)"/>
      <sheetName val="일위대가목차"/>
      <sheetName val="예가표"/>
      <sheetName val="P4-3"/>
      <sheetName val="도급,하도급 예정금액"/>
      <sheetName val="기초일위"/>
      <sheetName val="시설일위"/>
      <sheetName val="조명일위"/>
      <sheetName val="찍기"/>
      <sheetName val="archi(본사)"/>
      <sheetName val="제-노임"/>
      <sheetName val="유별자산배수"/>
      <sheetName val="예정(3)"/>
      <sheetName val="공문"/>
      <sheetName val="기본Data"/>
      <sheetName val="기계공사"/>
      <sheetName val="공사비총"/>
      <sheetName val="포장절단"/>
      <sheetName val="집계"/>
      <sheetName val="직노"/>
      <sheetName val="기본일위"/>
      <sheetName val="내역서2안"/>
      <sheetName val="실행내역"/>
      <sheetName val="N賃率-職"/>
      <sheetName val="패널"/>
      <sheetName val="경산"/>
      <sheetName val="9811"/>
      <sheetName val="일위대가(계측기설치)"/>
      <sheetName val="터파기및재료"/>
      <sheetName val="단가산출2"/>
      <sheetName val="ABUT수량-A1"/>
      <sheetName val="집계표"/>
      <sheetName val="갑지"/>
      <sheetName val="날개벽(시점좌측)"/>
      <sheetName val="주형"/>
      <sheetName val="3.바닥판설계"/>
      <sheetName val="중기사용료산출근거"/>
      <sheetName val="단가 및 재료비"/>
      <sheetName val="공비현2"/>
      <sheetName val="내역"/>
      <sheetName val="6PILE__(돌출)"/>
      <sheetName val="단면_(2)"/>
      <sheetName val="1_설계기준"/>
      <sheetName val="I_설계조건"/>
      <sheetName val="3련_BOX"/>
      <sheetName val="2_2_2입적표"/>
      <sheetName val="도급,하도급_예정금액"/>
      <sheetName val="주식"/>
      <sheetName val="우배수"/>
      <sheetName val="TOTAL_BOQ"/>
      <sheetName val="물가시세"/>
      <sheetName val="guard(mac)"/>
      <sheetName val="품셈TABLE"/>
      <sheetName val="구성비"/>
      <sheetName val="1062-X방향 "/>
      <sheetName val="골조시행"/>
      <sheetName val="도급원가"/>
      <sheetName val="보험료산출"/>
      <sheetName val="J"/>
      <sheetName val="산출내역(4월)"/>
      <sheetName val="산출내역(5월) (2)"/>
      <sheetName val="자재표"/>
      <sheetName val="포장공"/>
      <sheetName val="조건표"/>
      <sheetName val="설산1.나"/>
      <sheetName val="본사S"/>
      <sheetName val="2000년 공정표"/>
      <sheetName val="입찰안"/>
      <sheetName val="노임이"/>
      <sheetName val="암거단위-1련"/>
      <sheetName val="8.PILE  (돌출)"/>
      <sheetName val="데이터"/>
      <sheetName val="슬래브"/>
      <sheetName val="기본1"/>
      <sheetName val="2공구산출내역"/>
      <sheetName val="수정일위대가"/>
      <sheetName val="신규품목일위대가"/>
      <sheetName val="BOX"/>
      <sheetName val="조달일반"/>
      <sheetName val="참고"/>
      <sheetName val="영산"/>
      <sheetName val="참조"/>
      <sheetName val="설계"/>
      <sheetName val="투찰"/>
      <sheetName val="laroux"/>
      <sheetName val="충남종건"/>
      <sheetName val="충남종건 (2)"/>
      <sheetName val="태백시"/>
      <sheetName val="인천공항"/>
      <sheetName val="성남시 (2)"/>
      <sheetName val="성남시"/>
      <sheetName val="서대구인입"/>
      <sheetName val="여암교"/>
      <sheetName val="인쇄"/>
      <sheetName val="변경"/>
      <sheetName val="당초"/>
      <sheetName val="차수별계약"/>
      <sheetName val="차수별계약 (4차2회)"/>
      <sheetName val="4차분1회계약"/>
      <sheetName val="4차분요약"/>
      <sheetName val="4차분2회변경"/>
      <sheetName val="잡비 (4차2회)"/>
      <sheetName val="98신규단가(4차2회)"/>
      <sheetName val="차수별수량 (4차2회)"/>
      <sheetName val="5차분1회변경"/>
      <sheetName val="잡비 (5차1회)"/>
      <sheetName val="신규단가(5차1회)"/>
      <sheetName val="설계서갑지"/>
      <sheetName val="설계서갑지(결제)"/>
      <sheetName val="목차3차"/>
      <sheetName val="주요자재(4차2회)"/>
      <sheetName val="주요자재(전체3회변경)"/>
      <sheetName val="예정공정"/>
      <sheetName val="동원인원"/>
      <sheetName val="공사비증감"/>
      <sheetName val="내역서갑지"/>
      <sheetName val="3회변경내역"/>
      <sheetName val="잡비 (3회4차)"/>
      <sheetName val="98신규단가(3회)"/>
      <sheetName val="차수별수량"/>
      <sheetName val="단가조견 (3회)"/>
      <sheetName val="단가조견"/>
      <sheetName val="각종갑지"/>
      <sheetName val="수량갑지1"/>
      <sheetName val="수량갑지2"/>
      <sheetName val="수량갑지3"/>
      <sheetName val="바인더갑지"/>
      <sheetName val="위치도"/>
      <sheetName val="변경공사개요"/>
      <sheetName val="현황B (3)"/>
      <sheetName val="실정진행현황"/>
      <sheetName val="차수변경요약"/>
      <sheetName val="전체변경요약"/>
      <sheetName val="실정보고"/>
      <sheetName val="변경현황"/>
      <sheetName val="현황(전체3회)"/>
      <sheetName val="현황(전체2회)"/>
      <sheetName val="현황(전체1회)"/>
      <sheetName val="도장수량(하1)"/>
      <sheetName val="지급자재"/>
      <sheetName val="구조물공"/>
      <sheetName val="부대공"/>
      <sheetName val="배수공"/>
      <sheetName val="일위단위"/>
      <sheetName val="70%"/>
      <sheetName val="오수관연장산출서"/>
      <sheetName val="data"/>
      <sheetName val="단가산출1"/>
      <sheetName val="단가산출"/>
      <sheetName val="woo(mac)"/>
      <sheetName val="STEEL BOX 단면설계(SEC.8)"/>
      <sheetName val="안정검토"/>
      <sheetName val="날개벽"/>
      <sheetName val="8. 안정검토"/>
      <sheetName val="4.하중"/>
      <sheetName val="0.9x0.9"/>
      <sheetName val="VXXXXXXX"/>
      <sheetName val="FOOTING단면력"/>
      <sheetName val="L측형구집계"/>
      <sheetName val="Sheet1 (2)"/>
      <sheetName val="tggwan(mac)"/>
      <sheetName val="suk(mac)"/>
      <sheetName val="고양동1"/>
      <sheetName val="0.9토공"/>
      <sheetName val="사용성검토"/>
      <sheetName val="토공(우물통,기타) "/>
      <sheetName val="바닥판(1)"/>
      <sheetName val="일위대가(1)"/>
      <sheetName val="EQT-ESTN"/>
      <sheetName val="기초단가"/>
      <sheetName val="원가계산서"/>
      <sheetName val="말뚝지지력산정"/>
      <sheetName val="수목데이타 "/>
      <sheetName val="공사설계서"/>
      <sheetName val="관로토공산출근거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 refreshError="1"/>
      <sheetData sheetId="105" refreshError="1"/>
      <sheetData sheetId="106" refreshError="1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 refreshError="1"/>
      <sheetData sheetId="246" refreshError="1"/>
      <sheetData sheetId="247" refreshError="1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품셈"/>
      <sheetName val="토목품셈"/>
    </sheetNames>
    <sheetDataSet>
      <sheetData sheetId="0" refreshError="1"/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aroux"/>
      <sheetName val="표지"/>
      <sheetName val="목차"/>
      <sheetName val="1.변압기용량"/>
      <sheetName val="2.1부하집계표"/>
      <sheetName val="2.2부하산출서"/>
      <sheetName val="3.고장전류계산"/>
      <sheetName val="4.1차단기정격"/>
      <sheetName val="4.2MCC"/>
      <sheetName val="5. 직류전원"/>
      <sheetName val="6.콘덴서"/>
      <sheetName val="7.1전력간선 굵기"/>
      <sheetName val="7.2동력케이블"/>
      <sheetName val="7.2전압강하율"/>
      <sheetName val="8.MESH접지"/>
      <sheetName val="9.1TRAY집계"/>
      <sheetName val="9.2CABLE TRAY"/>
      <sheetName val="10.1 조도 계산"/>
      <sheetName val="10.2조도계산"/>
      <sheetName val="PRINTER"/>
      <sheetName val="11.자동화재탐지설비"/>
      <sheetName val="E10TRAY"/>
      <sheetName val="DWG-CAB-E"/>
      <sheetName val="DWG-CAB-I"/>
      <sheetName val="MOTOR"/>
      <sheetName val="N1CPU부하율"/>
      <sheetName val="콘덴서"/>
      <sheetName val="DATA"/>
      <sheetName val="CABLE개요"/>
      <sheetName val="Cable Size(설명)"/>
      <sheetName val="DATA1"/>
      <sheetName val="DATA-1"/>
      <sheetName val="sdata"/>
      <sheetName val="CABdata"/>
      <sheetName val="조도data"/>
      <sheetName val="허용전류-IEC DATA"/>
      <sheetName val="허용전류-IEC"/>
      <sheetName val="DATA (2)"/>
      <sheetName val="MCC제원"/>
      <sheetName val="DATA (3)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>
        <row r="66">
          <cell r="B66">
            <v>0</v>
          </cell>
          <cell r="C66">
            <v>1.5</v>
          </cell>
          <cell r="D66">
            <v>0</v>
          </cell>
          <cell r="E66">
            <v>1.5</v>
          </cell>
          <cell r="F66">
            <v>0</v>
          </cell>
          <cell r="G66">
            <v>1.5</v>
          </cell>
          <cell r="H66">
            <v>0</v>
          </cell>
          <cell r="I66">
            <v>1.5</v>
          </cell>
          <cell r="J66">
            <v>1.5</v>
          </cell>
          <cell r="K66">
            <v>16.5</v>
          </cell>
          <cell r="L66">
            <v>13.65</v>
          </cell>
          <cell r="M66">
            <v>13.2</v>
          </cell>
          <cell r="N66">
            <v>17.940000000000001</v>
          </cell>
        </row>
        <row r="67">
          <cell r="B67">
            <v>16.501000000000001</v>
          </cell>
          <cell r="C67">
            <v>2.5</v>
          </cell>
          <cell r="D67">
            <v>13.651</v>
          </cell>
          <cell r="E67">
            <v>2.5</v>
          </cell>
          <cell r="F67">
            <v>13.200999999999999</v>
          </cell>
          <cell r="G67">
            <v>2.5</v>
          </cell>
          <cell r="H67">
            <v>17.941000000000003</v>
          </cell>
          <cell r="I67">
            <v>2.5</v>
          </cell>
          <cell r="J67">
            <v>2.5</v>
          </cell>
          <cell r="K67">
            <v>22</v>
          </cell>
          <cell r="L67">
            <v>18.2</v>
          </cell>
          <cell r="M67">
            <v>17.399999999999999</v>
          </cell>
          <cell r="N67">
            <v>24.96</v>
          </cell>
        </row>
        <row r="68">
          <cell r="B68">
            <v>22.001000000000001</v>
          </cell>
          <cell r="C68">
            <v>4</v>
          </cell>
          <cell r="D68">
            <v>18.201000000000001</v>
          </cell>
          <cell r="E68">
            <v>4</v>
          </cell>
          <cell r="F68">
            <v>17.401</v>
          </cell>
          <cell r="G68">
            <v>4</v>
          </cell>
          <cell r="H68">
            <v>24.961000000000002</v>
          </cell>
          <cell r="I68">
            <v>4</v>
          </cell>
          <cell r="J68">
            <v>4</v>
          </cell>
          <cell r="K68">
            <v>30</v>
          </cell>
          <cell r="L68">
            <v>24.5</v>
          </cell>
          <cell r="M68">
            <v>22.2</v>
          </cell>
          <cell r="N68">
            <v>32.76</v>
          </cell>
        </row>
        <row r="69">
          <cell r="B69">
            <v>30.001000000000001</v>
          </cell>
          <cell r="C69">
            <v>6</v>
          </cell>
          <cell r="D69">
            <v>24.501000000000001</v>
          </cell>
          <cell r="E69">
            <v>6</v>
          </cell>
          <cell r="F69">
            <v>22.201000000000001</v>
          </cell>
          <cell r="G69">
            <v>6</v>
          </cell>
          <cell r="H69">
            <v>32.760999999999996</v>
          </cell>
          <cell r="I69">
            <v>6</v>
          </cell>
          <cell r="J69">
            <v>6</v>
          </cell>
          <cell r="K69">
            <v>38</v>
          </cell>
          <cell r="L69">
            <v>30.8</v>
          </cell>
          <cell r="M69">
            <v>27.6</v>
          </cell>
          <cell r="N69">
            <v>42.12</v>
          </cell>
        </row>
        <row r="70">
          <cell r="B70">
            <v>38.000999999999998</v>
          </cell>
          <cell r="C70">
            <v>10</v>
          </cell>
          <cell r="D70">
            <v>30.801000000000002</v>
          </cell>
          <cell r="E70">
            <v>10</v>
          </cell>
          <cell r="F70">
            <v>27.601000000000003</v>
          </cell>
          <cell r="G70">
            <v>10</v>
          </cell>
          <cell r="H70">
            <v>42.120999999999995</v>
          </cell>
          <cell r="I70">
            <v>10</v>
          </cell>
          <cell r="J70">
            <v>10</v>
          </cell>
          <cell r="K70">
            <v>51</v>
          </cell>
          <cell r="L70">
            <v>42</v>
          </cell>
          <cell r="M70">
            <v>36.6</v>
          </cell>
          <cell r="N70">
            <v>58.5</v>
          </cell>
        </row>
        <row r="71">
          <cell r="B71">
            <v>51.000999999999998</v>
          </cell>
          <cell r="C71">
            <v>16</v>
          </cell>
          <cell r="D71">
            <v>42.000999999999998</v>
          </cell>
          <cell r="E71">
            <v>16</v>
          </cell>
          <cell r="F71">
            <v>36.600999999999999</v>
          </cell>
          <cell r="G71">
            <v>16</v>
          </cell>
          <cell r="H71">
            <v>58.500999999999998</v>
          </cell>
          <cell r="I71">
            <v>16</v>
          </cell>
          <cell r="J71">
            <v>16</v>
          </cell>
          <cell r="K71">
            <v>68</v>
          </cell>
          <cell r="L71">
            <v>56</v>
          </cell>
          <cell r="M71">
            <v>47.4</v>
          </cell>
          <cell r="N71">
            <v>78</v>
          </cell>
        </row>
        <row r="72">
          <cell r="B72">
            <v>68.001000000000005</v>
          </cell>
          <cell r="C72">
            <v>25</v>
          </cell>
          <cell r="D72">
            <v>56.000999999999998</v>
          </cell>
          <cell r="E72">
            <v>25</v>
          </cell>
          <cell r="F72">
            <v>47.400999999999996</v>
          </cell>
          <cell r="G72">
            <v>25</v>
          </cell>
          <cell r="H72">
            <v>78.001000000000005</v>
          </cell>
          <cell r="I72">
            <v>25</v>
          </cell>
          <cell r="J72">
            <v>25</v>
          </cell>
          <cell r="K72">
            <v>89</v>
          </cell>
          <cell r="L72">
            <v>73.5</v>
          </cell>
          <cell r="M72">
            <v>60.6</v>
          </cell>
          <cell r="N72">
            <v>99.06</v>
          </cell>
        </row>
        <row r="73">
          <cell r="B73">
            <v>89.001000000000005</v>
          </cell>
          <cell r="C73">
            <v>35</v>
          </cell>
          <cell r="D73">
            <v>73.501000000000005</v>
          </cell>
          <cell r="E73">
            <v>35</v>
          </cell>
          <cell r="F73">
            <v>60.600999999999999</v>
          </cell>
          <cell r="G73">
            <v>35</v>
          </cell>
          <cell r="H73">
            <v>99.061000000000007</v>
          </cell>
          <cell r="I73">
            <v>35</v>
          </cell>
          <cell r="J73">
            <v>35</v>
          </cell>
          <cell r="K73">
            <v>109</v>
          </cell>
          <cell r="L73">
            <v>89.6</v>
          </cell>
          <cell r="M73">
            <v>73.2</v>
          </cell>
          <cell r="N73">
            <v>123.24</v>
          </cell>
        </row>
        <row r="74">
          <cell r="B74">
            <v>109.001</v>
          </cell>
          <cell r="C74">
            <v>50</v>
          </cell>
          <cell r="D74">
            <v>89.600999999999999</v>
          </cell>
          <cell r="E74">
            <v>50</v>
          </cell>
          <cell r="F74">
            <v>73.201000000000008</v>
          </cell>
          <cell r="G74">
            <v>50</v>
          </cell>
          <cell r="H74">
            <v>123.241</v>
          </cell>
          <cell r="I74">
            <v>50</v>
          </cell>
          <cell r="J74">
            <v>50</v>
          </cell>
          <cell r="K74">
            <v>130</v>
          </cell>
          <cell r="L74">
            <v>107.8</v>
          </cell>
          <cell r="M74">
            <v>86.4</v>
          </cell>
          <cell r="N74">
            <v>149.76</v>
          </cell>
        </row>
        <row r="75">
          <cell r="B75">
            <v>130.001</v>
          </cell>
          <cell r="C75">
            <v>70</v>
          </cell>
          <cell r="D75">
            <v>107.801</v>
          </cell>
          <cell r="E75">
            <v>70</v>
          </cell>
          <cell r="F75">
            <v>86.40100000000001</v>
          </cell>
          <cell r="G75">
            <v>70</v>
          </cell>
          <cell r="H75">
            <v>149.761</v>
          </cell>
          <cell r="I75">
            <v>70</v>
          </cell>
          <cell r="J75">
            <v>70</v>
          </cell>
          <cell r="K75">
            <v>179</v>
          </cell>
          <cell r="L75">
            <v>155.4</v>
          </cell>
          <cell r="M75">
            <v>106.8</v>
          </cell>
          <cell r="N75">
            <v>209.04</v>
          </cell>
        </row>
        <row r="76">
          <cell r="B76">
            <v>179.001</v>
          </cell>
          <cell r="C76">
            <v>95</v>
          </cell>
          <cell r="D76">
            <v>155.40100000000001</v>
          </cell>
          <cell r="E76">
            <v>95</v>
          </cell>
          <cell r="F76">
            <v>106.801</v>
          </cell>
          <cell r="G76">
            <v>95</v>
          </cell>
          <cell r="H76">
            <v>209.041</v>
          </cell>
          <cell r="I76">
            <v>95</v>
          </cell>
          <cell r="J76">
            <v>95</v>
          </cell>
          <cell r="K76">
            <v>216</v>
          </cell>
          <cell r="L76">
            <v>188.3</v>
          </cell>
          <cell r="M76">
            <v>126.6</v>
          </cell>
          <cell r="N76">
            <v>255.84</v>
          </cell>
        </row>
        <row r="77">
          <cell r="B77">
            <v>216.001</v>
          </cell>
          <cell r="C77">
            <v>120</v>
          </cell>
          <cell r="D77">
            <v>188.30100000000002</v>
          </cell>
          <cell r="E77">
            <v>120</v>
          </cell>
          <cell r="F77">
            <v>126.601</v>
          </cell>
          <cell r="G77">
            <v>120</v>
          </cell>
          <cell r="H77">
            <v>255.84100000000001</v>
          </cell>
          <cell r="I77">
            <v>120</v>
          </cell>
          <cell r="J77">
            <v>120</v>
          </cell>
          <cell r="K77">
            <v>249</v>
          </cell>
          <cell r="L77">
            <v>218.4</v>
          </cell>
          <cell r="M77">
            <v>144</v>
          </cell>
          <cell r="N77">
            <v>298.74</v>
          </cell>
        </row>
        <row r="78">
          <cell r="B78">
            <v>249.001</v>
          </cell>
          <cell r="C78">
            <v>150</v>
          </cell>
          <cell r="D78">
            <v>218.40100000000001</v>
          </cell>
          <cell r="E78">
            <v>150</v>
          </cell>
          <cell r="F78">
            <v>144.001</v>
          </cell>
          <cell r="G78">
            <v>150</v>
          </cell>
          <cell r="H78">
            <v>298.74099999999999</v>
          </cell>
          <cell r="I78">
            <v>150</v>
          </cell>
          <cell r="J78">
            <v>150</v>
          </cell>
          <cell r="K78">
            <v>285</v>
          </cell>
          <cell r="L78">
            <v>240.8</v>
          </cell>
          <cell r="M78">
            <v>162.6</v>
          </cell>
          <cell r="N78">
            <v>346.32</v>
          </cell>
        </row>
        <row r="79">
          <cell r="B79">
            <v>285.00099999999998</v>
          </cell>
          <cell r="C79">
            <v>185</v>
          </cell>
          <cell r="D79">
            <v>240.80100000000002</v>
          </cell>
          <cell r="E79">
            <v>185</v>
          </cell>
          <cell r="F79">
            <v>162.601</v>
          </cell>
          <cell r="G79">
            <v>185</v>
          </cell>
          <cell r="H79">
            <v>346.32099999999997</v>
          </cell>
          <cell r="I79">
            <v>185</v>
          </cell>
          <cell r="J79">
            <v>185</v>
          </cell>
          <cell r="K79">
            <v>324</v>
          </cell>
          <cell r="L79">
            <v>274.39999999999998</v>
          </cell>
          <cell r="M79">
            <v>182.4</v>
          </cell>
          <cell r="N79">
            <v>397.8</v>
          </cell>
        </row>
        <row r="80">
          <cell r="B80">
            <v>324.00099999999998</v>
          </cell>
          <cell r="C80">
            <v>240</v>
          </cell>
          <cell r="D80">
            <v>274.40099999999995</v>
          </cell>
          <cell r="E80">
            <v>240</v>
          </cell>
          <cell r="F80">
            <v>182.40100000000001</v>
          </cell>
          <cell r="G80">
            <v>240</v>
          </cell>
          <cell r="H80">
            <v>397.80099999999999</v>
          </cell>
          <cell r="I80">
            <v>240</v>
          </cell>
          <cell r="J80">
            <v>240</v>
          </cell>
          <cell r="K80">
            <v>380</v>
          </cell>
          <cell r="L80">
            <v>322.7</v>
          </cell>
          <cell r="M80">
            <v>210.6</v>
          </cell>
          <cell r="N80">
            <v>473.46</v>
          </cell>
        </row>
        <row r="81">
          <cell r="B81">
            <v>380.00099999999998</v>
          </cell>
          <cell r="C81">
            <v>300</v>
          </cell>
          <cell r="D81">
            <v>322.70099999999996</v>
          </cell>
          <cell r="E81">
            <v>300</v>
          </cell>
          <cell r="F81">
            <v>210.601</v>
          </cell>
          <cell r="G81">
            <v>300</v>
          </cell>
          <cell r="H81">
            <v>473.46099999999996</v>
          </cell>
          <cell r="I81">
            <v>300</v>
          </cell>
          <cell r="J81">
            <v>300</v>
          </cell>
          <cell r="K81">
            <v>435</v>
          </cell>
          <cell r="L81">
            <v>373.8</v>
          </cell>
          <cell r="M81">
            <v>237.6</v>
          </cell>
          <cell r="N81">
            <v>548.34</v>
          </cell>
        </row>
        <row r="82">
          <cell r="B82">
            <v>435.00099999999998</v>
          </cell>
          <cell r="C82">
            <v>400</v>
          </cell>
          <cell r="D82">
            <v>373.80099999999999</v>
          </cell>
          <cell r="E82">
            <v>400</v>
          </cell>
          <cell r="F82">
            <v>237.601</v>
          </cell>
          <cell r="G82">
            <v>400</v>
          </cell>
          <cell r="H82">
            <v>548.34100000000001</v>
          </cell>
          <cell r="I82">
            <v>400</v>
          </cell>
        </row>
        <row r="86">
          <cell r="A86" t="str">
            <v>FCV 1C 1.5</v>
          </cell>
          <cell r="B86">
            <v>6.3</v>
          </cell>
        </row>
        <row r="87">
          <cell r="A87" t="str">
            <v>FCV 1C 2.5</v>
          </cell>
          <cell r="B87">
            <v>6.7</v>
          </cell>
        </row>
        <row r="88">
          <cell r="A88" t="str">
            <v>FCV 1C 4</v>
          </cell>
          <cell r="B88">
            <v>7.2</v>
          </cell>
        </row>
        <row r="89">
          <cell r="A89" t="str">
            <v>FCV 1C 6</v>
          </cell>
          <cell r="B89">
            <v>7.8</v>
          </cell>
        </row>
        <row r="90">
          <cell r="A90" t="str">
            <v>FCV 1C 10</v>
          </cell>
          <cell r="B90">
            <v>9.4</v>
          </cell>
        </row>
        <row r="91">
          <cell r="A91" t="str">
            <v>FCV 1C 16</v>
          </cell>
          <cell r="B91">
            <v>10</v>
          </cell>
        </row>
        <row r="92">
          <cell r="A92" t="str">
            <v>FCV 1C 25</v>
          </cell>
          <cell r="B92">
            <v>12</v>
          </cell>
        </row>
        <row r="93">
          <cell r="A93" t="str">
            <v>FCV 1C 35</v>
          </cell>
          <cell r="B93">
            <v>13</v>
          </cell>
        </row>
        <row r="94">
          <cell r="A94" t="str">
            <v>FCV 1C 50</v>
          </cell>
          <cell r="B94">
            <v>14.5</v>
          </cell>
        </row>
        <row r="95">
          <cell r="A95" t="str">
            <v>FCV 1C 70</v>
          </cell>
          <cell r="B95">
            <v>16</v>
          </cell>
        </row>
        <row r="96">
          <cell r="A96" t="str">
            <v>FCV 1C 95</v>
          </cell>
          <cell r="B96">
            <v>18.5</v>
          </cell>
        </row>
        <row r="97">
          <cell r="A97" t="str">
            <v>FCV 1C 120</v>
          </cell>
          <cell r="B97">
            <v>20</v>
          </cell>
        </row>
        <row r="98">
          <cell r="A98" t="str">
            <v>FCV 1C 150</v>
          </cell>
          <cell r="B98">
            <v>22</v>
          </cell>
        </row>
        <row r="99">
          <cell r="A99" t="str">
            <v>FCV 1C 185</v>
          </cell>
          <cell r="B99">
            <v>24</v>
          </cell>
        </row>
        <row r="100">
          <cell r="A100" t="str">
            <v>FCV 1C 240</v>
          </cell>
          <cell r="B100">
            <v>27</v>
          </cell>
        </row>
        <row r="101">
          <cell r="A101" t="str">
            <v>FCV 1C 300</v>
          </cell>
          <cell r="B101">
            <v>30</v>
          </cell>
        </row>
        <row r="102">
          <cell r="A102" t="str">
            <v>FCV 1C 400</v>
          </cell>
          <cell r="B102">
            <v>34</v>
          </cell>
        </row>
        <row r="103">
          <cell r="A103" t="str">
            <v>FCV 1C 500</v>
          </cell>
          <cell r="B103">
            <v>37</v>
          </cell>
        </row>
        <row r="104">
          <cell r="A104" t="str">
            <v>FCV 1C 630</v>
          </cell>
          <cell r="B104">
            <v>42</v>
          </cell>
        </row>
        <row r="105">
          <cell r="A105" t="str">
            <v>FCV 2C 1.5</v>
          </cell>
          <cell r="B105">
            <v>11</v>
          </cell>
        </row>
        <row r="106">
          <cell r="A106" t="str">
            <v>FCV 2C 2.5</v>
          </cell>
          <cell r="B106">
            <v>12</v>
          </cell>
        </row>
        <row r="107">
          <cell r="A107" t="str">
            <v>FCV 2C 4</v>
          </cell>
          <cell r="B107">
            <v>13</v>
          </cell>
        </row>
        <row r="108">
          <cell r="A108" t="str">
            <v>FCV 2C 6</v>
          </cell>
          <cell r="B108">
            <v>14</v>
          </cell>
        </row>
        <row r="109">
          <cell r="A109" t="str">
            <v>FCV 2C 10</v>
          </cell>
          <cell r="B109">
            <v>17</v>
          </cell>
        </row>
        <row r="110">
          <cell r="A110" t="str">
            <v>FCV 2C 16</v>
          </cell>
          <cell r="B110">
            <v>18.5</v>
          </cell>
        </row>
        <row r="111">
          <cell r="A111" t="str">
            <v>FCV 2C 25</v>
          </cell>
          <cell r="B111">
            <v>22</v>
          </cell>
        </row>
        <row r="112">
          <cell r="A112" t="str">
            <v>FCV 2C 35</v>
          </cell>
          <cell r="B112">
            <v>24</v>
          </cell>
        </row>
        <row r="113">
          <cell r="A113" t="str">
            <v>FCV 2C 50</v>
          </cell>
          <cell r="B113">
            <v>27</v>
          </cell>
        </row>
        <row r="114">
          <cell r="A114" t="str">
            <v>FCV 2C 70</v>
          </cell>
          <cell r="B114">
            <v>31</v>
          </cell>
        </row>
        <row r="115">
          <cell r="A115" t="str">
            <v>FCV 2C 95</v>
          </cell>
          <cell r="B115">
            <v>35</v>
          </cell>
        </row>
        <row r="116">
          <cell r="A116" t="str">
            <v>FCV 2C 120</v>
          </cell>
          <cell r="B116">
            <v>38</v>
          </cell>
        </row>
        <row r="117">
          <cell r="A117" t="str">
            <v>FCV 2C 150</v>
          </cell>
          <cell r="B117">
            <v>43</v>
          </cell>
        </row>
        <row r="118">
          <cell r="A118" t="str">
            <v>FCV 2C 185</v>
          </cell>
          <cell r="B118">
            <v>47</v>
          </cell>
        </row>
        <row r="119">
          <cell r="A119" t="str">
            <v>FCV 2C 240</v>
          </cell>
          <cell r="B119">
            <v>53</v>
          </cell>
        </row>
        <row r="120">
          <cell r="A120" t="str">
            <v>FCV 2C 300</v>
          </cell>
          <cell r="B120">
            <v>58</v>
          </cell>
        </row>
        <row r="121">
          <cell r="A121" t="str">
            <v>FCV 3C 1.5</v>
          </cell>
          <cell r="B121">
            <v>11.5</v>
          </cell>
        </row>
        <row r="122">
          <cell r="A122" t="str">
            <v>FCV 3C 2.5</v>
          </cell>
          <cell r="B122">
            <v>12.5</v>
          </cell>
        </row>
        <row r="123">
          <cell r="A123" t="str">
            <v>FCV 3C 4</v>
          </cell>
          <cell r="B123">
            <v>13.5</v>
          </cell>
        </row>
        <row r="124">
          <cell r="A124" t="str">
            <v>FCV 3C 6</v>
          </cell>
          <cell r="B124">
            <v>14.5</v>
          </cell>
        </row>
        <row r="125">
          <cell r="A125" t="str">
            <v>FCV 3C 10</v>
          </cell>
          <cell r="B125">
            <v>18</v>
          </cell>
        </row>
        <row r="126">
          <cell r="A126" t="str">
            <v>FCV 3C 16</v>
          </cell>
          <cell r="B126">
            <v>19.5</v>
          </cell>
        </row>
        <row r="127">
          <cell r="A127" t="str">
            <v>FCV 3C 25</v>
          </cell>
          <cell r="B127">
            <v>23</v>
          </cell>
        </row>
        <row r="128">
          <cell r="A128" t="str">
            <v>FCV 3C 35</v>
          </cell>
          <cell r="B128">
            <v>25</v>
          </cell>
        </row>
        <row r="129">
          <cell r="A129" t="str">
            <v>FCV 3C 50</v>
          </cell>
          <cell r="B129">
            <v>29</v>
          </cell>
        </row>
        <row r="130">
          <cell r="A130" t="str">
            <v>FCV 3C 70</v>
          </cell>
          <cell r="B130">
            <v>33</v>
          </cell>
        </row>
        <row r="131">
          <cell r="A131" t="str">
            <v>FCV 3C 95</v>
          </cell>
          <cell r="B131">
            <v>37</v>
          </cell>
        </row>
        <row r="132">
          <cell r="A132" t="str">
            <v>FCV 3C 120</v>
          </cell>
          <cell r="B132">
            <v>41</v>
          </cell>
        </row>
        <row r="133">
          <cell r="A133" t="str">
            <v>FCV 3C 150</v>
          </cell>
          <cell r="B133">
            <v>46</v>
          </cell>
        </row>
        <row r="134">
          <cell r="A134" t="str">
            <v>FCV 3C 185</v>
          </cell>
          <cell r="B134">
            <v>50</v>
          </cell>
        </row>
        <row r="135">
          <cell r="A135" t="str">
            <v>FCV 3C 240</v>
          </cell>
          <cell r="B135">
            <v>57</v>
          </cell>
        </row>
        <row r="136">
          <cell r="A136" t="str">
            <v>FCV 3C 300</v>
          </cell>
          <cell r="B136">
            <v>62</v>
          </cell>
        </row>
        <row r="137">
          <cell r="A137" t="str">
            <v>FCV 4C 1.5</v>
          </cell>
          <cell r="B137">
            <v>12.5</v>
          </cell>
        </row>
        <row r="138">
          <cell r="A138" t="str">
            <v>FCV 4C 2.5</v>
          </cell>
          <cell r="B138">
            <v>13.5</v>
          </cell>
        </row>
        <row r="139">
          <cell r="A139" t="str">
            <v>FCV 4C 4</v>
          </cell>
          <cell r="B139">
            <v>14.5</v>
          </cell>
        </row>
        <row r="140">
          <cell r="A140" t="str">
            <v>FCV 4C 6</v>
          </cell>
          <cell r="B140">
            <v>16</v>
          </cell>
        </row>
        <row r="141">
          <cell r="A141" t="str">
            <v>FCV 4C 10</v>
          </cell>
          <cell r="B141">
            <v>20</v>
          </cell>
        </row>
        <row r="142">
          <cell r="A142" t="str">
            <v>FCV 4C 16</v>
          </cell>
          <cell r="B142">
            <v>22</v>
          </cell>
        </row>
        <row r="143">
          <cell r="A143" t="str">
            <v>FCV 4C 25</v>
          </cell>
          <cell r="B143">
            <v>26</v>
          </cell>
        </row>
        <row r="144">
          <cell r="A144" t="str">
            <v>FCV 4C 35</v>
          </cell>
          <cell r="B144">
            <v>28</v>
          </cell>
        </row>
        <row r="145">
          <cell r="A145" t="str">
            <v>FCV 4C 50</v>
          </cell>
          <cell r="B145">
            <v>32</v>
          </cell>
        </row>
        <row r="146">
          <cell r="A146" t="str">
            <v>FCV 4C 70</v>
          </cell>
          <cell r="B146">
            <v>36</v>
          </cell>
        </row>
        <row r="147">
          <cell r="A147" t="str">
            <v>FCV 4C 95</v>
          </cell>
          <cell r="B147">
            <v>42</v>
          </cell>
        </row>
        <row r="148">
          <cell r="A148" t="str">
            <v>FCV 4C 120</v>
          </cell>
          <cell r="B148">
            <v>46</v>
          </cell>
        </row>
        <row r="149">
          <cell r="A149" t="str">
            <v>FCV 4C 150</v>
          </cell>
          <cell r="B149">
            <v>51</v>
          </cell>
        </row>
        <row r="150">
          <cell r="A150" t="str">
            <v>FCV 4C 185</v>
          </cell>
          <cell r="B150">
            <v>56</v>
          </cell>
        </row>
        <row r="151">
          <cell r="A151" t="str">
            <v>FCV 4C 240</v>
          </cell>
          <cell r="B151">
            <v>63</v>
          </cell>
        </row>
        <row r="152">
          <cell r="A152" t="str">
            <v>FCV 4C 300</v>
          </cell>
          <cell r="B152">
            <v>70</v>
          </cell>
        </row>
        <row r="153">
          <cell r="A153" t="str">
            <v>6kV FCV 1C 16</v>
          </cell>
          <cell r="B153">
            <v>20</v>
          </cell>
        </row>
        <row r="154">
          <cell r="A154" t="str">
            <v>6kV FCV 1C 25</v>
          </cell>
          <cell r="B154">
            <v>21</v>
          </cell>
        </row>
        <row r="155">
          <cell r="A155" t="str">
            <v>6kV FCV 1C 35</v>
          </cell>
          <cell r="B155">
            <v>22</v>
          </cell>
        </row>
        <row r="156">
          <cell r="A156" t="str">
            <v>6kV FCV 1C 50</v>
          </cell>
          <cell r="B156">
            <v>23</v>
          </cell>
        </row>
        <row r="157">
          <cell r="A157" t="str">
            <v>6kV FCV 1C 70</v>
          </cell>
          <cell r="B157">
            <v>25</v>
          </cell>
        </row>
        <row r="158">
          <cell r="A158" t="str">
            <v>6kV FCV 1C 95</v>
          </cell>
          <cell r="B158">
            <v>27</v>
          </cell>
        </row>
        <row r="159">
          <cell r="A159" t="str">
            <v>6kV FCV 1C 120</v>
          </cell>
          <cell r="B159">
            <v>28</v>
          </cell>
        </row>
        <row r="160">
          <cell r="A160" t="str">
            <v>6kV FCV 1C 150</v>
          </cell>
          <cell r="B160">
            <v>30</v>
          </cell>
        </row>
        <row r="161">
          <cell r="A161" t="str">
            <v>6kV FCV 1C 185</v>
          </cell>
          <cell r="B161">
            <v>32</v>
          </cell>
        </row>
        <row r="162">
          <cell r="A162" t="str">
            <v>6kV FCV 1C 240</v>
          </cell>
          <cell r="B162">
            <v>35</v>
          </cell>
        </row>
        <row r="163">
          <cell r="A163" t="str">
            <v>6kV FCV 1C 300</v>
          </cell>
          <cell r="B163">
            <v>37</v>
          </cell>
        </row>
        <row r="164">
          <cell r="A164" t="str">
            <v>6kV FCV 1C 400</v>
          </cell>
          <cell r="B164">
            <v>40</v>
          </cell>
        </row>
        <row r="165">
          <cell r="A165" t="str">
            <v>6kV FCV 1C 500</v>
          </cell>
          <cell r="B165">
            <v>43</v>
          </cell>
        </row>
        <row r="166">
          <cell r="A166" t="str">
            <v>6kV FCV 1C 630</v>
          </cell>
          <cell r="B166">
            <v>48</v>
          </cell>
        </row>
        <row r="167">
          <cell r="A167" t="str">
            <v>6kV FCV 3C 16</v>
          </cell>
          <cell r="B167">
            <v>39</v>
          </cell>
        </row>
        <row r="168">
          <cell r="A168" t="str">
            <v>6kV FCV 3C 25</v>
          </cell>
          <cell r="B168">
            <v>41</v>
          </cell>
        </row>
        <row r="169">
          <cell r="A169" t="str">
            <v>6kV FCV 3C 35</v>
          </cell>
          <cell r="B169">
            <v>43</v>
          </cell>
        </row>
        <row r="170">
          <cell r="A170" t="str">
            <v>6kV FCV 3C 50</v>
          </cell>
          <cell r="B170">
            <v>46</v>
          </cell>
        </row>
        <row r="171">
          <cell r="A171" t="str">
            <v>6kV FCV 3C 70</v>
          </cell>
          <cell r="B171">
            <v>50</v>
          </cell>
        </row>
        <row r="172">
          <cell r="A172" t="str">
            <v>6kV FCV 3C 95</v>
          </cell>
          <cell r="B172">
            <v>53</v>
          </cell>
        </row>
        <row r="173">
          <cell r="A173" t="str">
            <v>6kV FCV 3C 120</v>
          </cell>
          <cell r="B173">
            <v>57</v>
          </cell>
        </row>
        <row r="174">
          <cell r="A174" t="str">
            <v>6kV FCV 3C 150</v>
          </cell>
          <cell r="B174">
            <v>60</v>
          </cell>
        </row>
        <row r="175">
          <cell r="A175" t="str">
            <v>6kV FCV 3C 185</v>
          </cell>
          <cell r="B175">
            <v>64</v>
          </cell>
        </row>
        <row r="176">
          <cell r="A176" t="str">
            <v>6kV FCV 3C 240</v>
          </cell>
          <cell r="B176">
            <v>69</v>
          </cell>
        </row>
        <row r="177">
          <cell r="A177" t="str">
            <v>6kV FCV 3C 300</v>
          </cell>
          <cell r="B177">
            <v>74</v>
          </cell>
        </row>
        <row r="178">
          <cell r="A178" t="str">
            <v>GV 1.5</v>
          </cell>
          <cell r="B178">
            <v>6</v>
          </cell>
        </row>
        <row r="179">
          <cell r="A179" t="str">
            <v>GV 2.5</v>
          </cell>
          <cell r="B179">
            <v>6.5</v>
          </cell>
        </row>
        <row r="180">
          <cell r="A180" t="str">
            <v>GV 4</v>
          </cell>
          <cell r="B180">
            <v>7.5</v>
          </cell>
        </row>
        <row r="181">
          <cell r="A181" t="str">
            <v>GV 6</v>
          </cell>
          <cell r="B181">
            <v>8</v>
          </cell>
        </row>
        <row r="182">
          <cell r="A182" t="str">
            <v>GV 10</v>
          </cell>
          <cell r="B182">
            <v>9</v>
          </cell>
        </row>
        <row r="183">
          <cell r="A183" t="str">
            <v>GV 16</v>
          </cell>
          <cell r="B183">
            <v>10</v>
          </cell>
        </row>
        <row r="184">
          <cell r="A184" t="str">
            <v>GV 25</v>
          </cell>
          <cell r="B184">
            <v>11.5</v>
          </cell>
        </row>
        <row r="185">
          <cell r="A185" t="str">
            <v>GV 35</v>
          </cell>
          <cell r="B185">
            <v>12.5</v>
          </cell>
        </row>
        <row r="186">
          <cell r="A186" t="str">
            <v>GV 50</v>
          </cell>
          <cell r="B186">
            <v>14</v>
          </cell>
        </row>
        <row r="187">
          <cell r="A187" t="str">
            <v>GV 70</v>
          </cell>
          <cell r="B187">
            <v>15.5</v>
          </cell>
        </row>
        <row r="188">
          <cell r="A188" t="str">
            <v>GV 95</v>
          </cell>
          <cell r="B188">
            <v>18</v>
          </cell>
        </row>
        <row r="189">
          <cell r="A189" t="str">
            <v>GV 120</v>
          </cell>
          <cell r="B189">
            <v>19.5</v>
          </cell>
        </row>
        <row r="190">
          <cell r="A190" t="str">
            <v>GV 150</v>
          </cell>
          <cell r="B190">
            <v>21.5</v>
          </cell>
        </row>
        <row r="191">
          <cell r="A191" t="str">
            <v>GV 185</v>
          </cell>
          <cell r="B191">
            <v>23.5</v>
          </cell>
        </row>
        <row r="192">
          <cell r="A192" t="str">
            <v>GV 240</v>
          </cell>
          <cell r="B192">
            <v>26.5</v>
          </cell>
        </row>
        <row r="193">
          <cell r="A193" t="str">
            <v>GV 300</v>
          </cell>
          <cell r="B193">
            <v>29.5</v>
          </cell>
        </row>
        <row r="194">
          <cell r="A194" t="str">
            <v>HIV 1.5</v>
          </cell>
          <cell r="B194">
            <v>3.2</v>
          </cell>
        </row>
        <row r="195">
          <cell r="A195" t="str">
            <v>HIV 2.5</v>
          </cell>
          <cell r="B195">
            <v>3.9</v>
          </cell>
        </row>
        <row r="196">
          <cell r="A196" t="str">
            <v>FCVV 2C 1.5</v>
          </cell>
          <cell r="B196">
            <v>10.5</v>
          </cell>
        </row>
        <row r="197">
          <cell r="A197" t="str">
            <v>FCVV 3C 1.5</v>
          </cell>
          <cell r="B197">
            <v>11</v>
          </cell>
        </row>
        <row r="198">
          <cell r="A198" t="str">
            <v>FCVV 4C 1.5</v>
          </cell>
          <cell r="B198">
            <v>12</v>
          </cell>
        </row>
        <row r="199">
          <cell r="A199" t="str">
            <v>FCVV 5C 1.5</v>
          </cell>
          <cell r="B199">
            <v>13</v>
          </cell>
        </row>
        <row r="200">
          <cell r="A200" t="str">
            <v>FCVV 6C 1.5</v>
          </cell>
          <cell r="B200">
            <v>14</v>
          </cell>
        </row>
        <row r="201">
          <cell r="A201" t="str">
            <v>FCVV 7C 1.5</v>
          </cell>
          <cell r="B201">
            <v>14</v>
          </cell>
        </row>
        <row r="202">
          <cell r="A202" t="str">
            <v>FCVV 8C 1.5</v>
          </cell>
          <cell r="B202">
            <v>15</v>
          </cell>
        </row>
        <row r="203">
          <cell r="A203" t="str">
            <v>FCVV 10C 1.5</v>
          </cell>
          <cell r="B203">
            <v>17</v>
          </cell>
        </row>
        <row r="204">
          <cell r="A204" t="str">
            <v>FCVV 12C 1.5</v>
          </cell>
          <cell r="B204">
            <v>17.5</v>
          </cell>
        </row>
        <row r="205">
          <cell r="A205" t="str">
            <v>FCVV 15C 1.5</v>
          </cell>
          <cell r="B205">
            <v>19</v>
          </cell>
        </row>
        <row r="206">
          <cell r="A206" t="str">
            <v>FCVV 20C 1.5</v>
          </cell>
          <cell r="B206">
            <v>21.5</v>
          </cell>
        </row>
        <row r="207">
          <cell r="A207" t="str">
            <v>FCVV 30C 1.5</v>
          </cell>
          <cell r="B207">
            <v>25</v>
          </cell>
        </row>
        <row r="208">
          <cell r="A208" t="str">
            <v>FCVV 2C 2.5</v>
          </cell>
          <cell r="B208">
            <v>11.5</v>
          </cell>
        </row>
        <row r="209">
          <cell r="A209" t="str">
            <v>FCVV 3C 2.5</v>
          </cell>
          <cell r="B209">
            <v>12</v>
          </cell>
        </row>
        <row r="210">
          <cell r="A210" t="str">
            <v>FCVV 4C 2.5</v>
          </cell>
          <cell r="B210">
            <v>13</v>
          </cell>
        </row>
        <row r="211">
          <cell r="A211" t="str">
            <v>FCVV 5C 2.5</v>
          </cell>
          <cell r="B211">
            <v>14</v>
          </cell>
        </row>
        <row r="212">
          <cell r="A212" t="str">
            <v>FCVV 6C 2.5</v>
          </cell>
          <cell r="B212">
            <v>15</v>
          </cell>
        </row>
        <row r="213">
          <cell r="A213" t="str">
            <v>FCVV 7C 2.5</v>
          </cell>
          <cell r="B213">
            <v>15</v>
          </cell>
        </row>
        <row r="214">
          <cell r="A214" t="str">
            <v>FCVV 8C 2.5</v>
          </cell>
          <cell r="B214">
            <v>16.5</v>
          </cell>
        </row>
        <row r="215">
          <cell r="A215" t="str">
            <v>FCVV 10C 2.5</v>
          </cell>
          <cell r="B215">
            <v>19</v>
          </cell>
        </row>
        <row r="216">
          <cell r="A216" t="str">
            <v>FCVV 12C 2.5</v>
          </cell>
          <cell r="B216">
            <v>19.5</v>
          </cell>
        </row>
        <row r="217">
          <cell r="A217" t="str">
            <v>FCVV 15C 2.5</v>
          </cell>
          <cell r="B217">
            <v>21</v>
          </cell>
        </row>
        <row r="218">
          <cell r="A218" t="str">
            <v>FCVV 20C 2.5</v>
          </cell>
          <cell r="B218">
            <v>23.5</v>
          </cell>
        </row>
        <row r="219">
          <cell r="A219" t="str">
            <v>FCVV 30C 2.5</v>
          </cell>
          <cell r="B219">
            <v>28</v>
          </cell>
        </row>
        <row r="220">
          <cell r="A220" t="str">
            <v>FCVVS 2C 1.5</v>
          </cell>
          <cell r="B220">
            <v>11</v>
          </cell>
        </row>
        <row r="221">
          <cell r="A221" t="str">
            <v>FCVVS 3C 1.5</v>
          </cell>
          <cell r="B221">
            <v>11.5</v>
          </cell>
        </row>
        <row r="222">
          <cell r="A222" t="str">
            <v>FCVVS 4C 1.5</v>
          </cell>
          <cell r="B222">
            <v>12.5</v>
          </cell>
        </row>
        <row r="223">
          <cell r="A223" t="str">
            <v>FCVVS 5C 1.5</v>
          </cell>
          <cell r="B223">
            <v>13.5</v>
          </cell>
        </row>
        <row r="224">
          <cell r="A224" t="str">
            <v>FCVVS 6C 1.5</v>
          </cell>
          <cell r="B224">
            <v>14.5</v>
          </cell>
        </row>
        <row r="225">
          <cell r="A225" t="str">
            <v>FCVVS 7C 1.5</v>
          </cell>
          <cell r="B225">
            <v>14.5</v>
          </cell>
        </row>
        <row r="226">
          <cell r="A226" t="str">
            <v>FCVVS 8C 1.5</v>
          </cell>
          <cell r="B226">
            <v>15.5</v>
          </cell>
        </row>
        <row r="227">
          <cell r="A227" t="str">
            <v>FCVVS 10C 1.5</v>
          </cell>
          <cell r="B227">
            <v>17.5</v>
          </cell>
        </row>
        <row r="228">
          <cell r="A228" t="str">
            <v>FCVVS 12C 1.5</v>
          </cell>
          <cell r="B228">
            <v>18</v>
          </cell>
        </row>
        <row r="229">
          <cell r="A229" t="str">
            <v>FCVVS 15C 1.5</v>
          </cell>
          <cell r="B229">
            <v>19.5</v>
          </cell>
        </row>
        <row r="230">
          <cell r="A230" t="str">
            <v>FCVVS 20C 1.5</v>
          </cell>
          <cell r="B230">
            <v>22</v>
          </cell>
        </row>
        <row r="231">
          <cell r="A231" t="str">
            <v>FCVVS 30C 1.5</v>
          </cell>
          <cell r="B231">
            <v>25.5</v>
          </cell>
        </row>
        <row r="232">
          <cell r="A232" t="str">
            <v>FCVVS 2C 2.5</v>
          </cell>
          <cell r="B232">
            <v>12</v>
          </cell>
        </row>
        <row r="233">
          <cell r="A233" t="str">
            <v>FCVVS 3C 2.5</v>
          </cell>
          <cell r="B233">
            <v>12.5</v>
          </cell>
        </row>
        <row r="234">
          <cell r="A234" t="str">
            <v>FCVVS 4C 2.5</v>
          </cell>
          <cell r="B234">
            <v>13.5</v>
          </cell>
        </row>
        <row r="235">
          <cell r="A235" t="str">
            <v>FCVVS 5C 2.5</v>
          </cell>
          <cell r="B235">
            <v>14.5</v>
          </cell>
        </row>
        <row r="236">
          <cell r="A236" t="str">
            <v>FCVVS 6C 2.5</v>
          </cell>
          <cell r="B236">
            <v>15.5</v>
          </cell>
        </row>
        <row r="237">
          <cell r="A237" t="str">
            <v>FCVVS 7C 2.5</v>
          </cell>
          <cell r="B237">
            <v>15.5</v>
          </cell>
        </row>
        <row r="238">
          <cell r="A238" t="str">
            <v>FCVVS 8C 2.5</v>
          </cell>
          <cell r="B238">
            <v>16.5</v>
          </cell>
        </row>
        <row r="239">
          <cell r="A239" t="str">
            <v>FCVVS 10C 2.5</v>
          </cell>
          <cell r="B239">
            <v>19</v>
          </cell>
        </row>
        <row r="240">
          <cell r="A240" t="str">
            <v>FCVVS 12C 2.5</v>
          </cell>
          <cell r="B240">
            <v>20</v>
          </cell>
        </row>
        <row r="241">
          <cell r="A241" t="str">
            <v>FCVVS 15C 2.5</v>
          </cell>
          <cell r="B241">
            <v>21.5</v>
          </cell>
        </row>
        <row r="242">
          <cell r="A242" t="str">
            <v>FCVVS 20C 2.5</v>
          </cell>
          <cell r="B242">
            <v>24</v>
          </cell>
        </row>
        <row r="243">
          <cell r="A243" t="str">
            <v>FCVVS 30C 2.5</v>
          </cell>
          <cell r="B243">
            <v>28.5</v>
          </cell>
        </row>
        <row r="244">
          <cell r="A244" t="str">
            <v>FCVV-SB 2C 1.5</v>
          </cell>
          <cell r="B244">
            <v>11</v>
          </cell>
        </row>
        <row r="245">
          <cell r="A245" t="str">
            <v>FCVV-SB 3C 1.5</v>
          </cell>
          <cell r="B245">
            <v>11.5</v>
          </cell>
        </row>
        <row r="246">
          <cell r="A246" t="str">
            <v>FCVV-SB 4C 1.5</v>
          </cell>
          <cell r="B246">
            <v>17.5</v>
          </cell>
        </row>
        <row r="247">
          <cell r="A247" t="str">
            <v>FCVV-SB 5C 1.5</v>
          </cell>
          <cell r="B247">
            <v>13</v>
          </cell>
        </row>
        <row r="248">
          <cell r="A248" t="str">
            <v>FCVV-SB 6C 1.5</v>
          </cell>
          <cell r="B248">
            <v>14</v>
          </cell>
        </row>
        <row r="249">
          <cell r="A249" t="str">
            <v>FCVV-SB 7C 1.5</v>
          </cell>
          <cell r="B249">
            <v>14</v>
          </cell>
        </row>
        <row r="250">
          <cell r="A250" t="str">
            <v>FCVV-SB 8C 1.5</v>
          </cell>
          <cell r="B250">
            <v>15</v>
          </cell>
        </row>
        <row r="251">
          <cell r="A251" t="str">
            <v>FCVV-SB 10C 1.5</v>
          </cell>
          <cell r="B251">
            <v>17.5</v>
          </cell>
        </row>
        <row r="252">
          <cell r="A252" t="str">
            <v>FCVV-SB 12C 1.5</v>
          </cell>
          <cell r="B252">
            <v>18</v>
          </cell>
        </row>
        <row r="253">
          <cell r="A253" t="str">
            <v>FCVV-SB 15C 1.5</v>
          </cell>
          <cell r="B253">
            <v>19.5</v>
          </cell>
        </row>
        <row r="254">
          <cell r="A254" t="str">
            <v>FCVV-SB 20C 1.5</v>
          </cell>
          <cell r="B254">
            <v>22</v>
          </cell>
        </row>
        <row r="255">
          <cell r="A255" t="str">
            <v>FCVV-SB 30C 1.5</v>
          </cell>
          <cell r="B255">
            <v>25.5</v>
          </cell>
        </row>
        <row r="256">
          <cell r="A256" t="str">
            <v>FCVV-SB 2C 2.5</v>
          </cell>
          <cell r="B256">
            <v>12</v>
          </cell>
        </row>
        <row r="257">
          <cell r="A257" t="str">
            <v>FCVV-SB 3C 2.5</v>
          </cell>
          <cell r="B257">
            <v>12.5</v>
          </cell>
        </row>
        <row r="258">
          <cell r="A258" t="str">
            <v>FCVV-SB 4C 2.5</v>
          </cell>
          <cell r="B258">
            <v>13.5</v>
          </cell>
        </row>
        <row r="259">
          <cell r="A259" t="str">
            <v>FCVV-SB 5C 2.5</v>
          </cell>
          <cell r="B259">
            <v>14.5</v>
          </cell>
        </row>
        <row r="260">
          <cell r="A260" t="str">
            <v>FCVV-SB 6C 2.5</v>
          </cell>
          <cell r="B260">
            <v>15.5</v>
          </cell>
        </row>
        <row r="261">
          <cell r="A261" t="str">
            <v>FCVV-SB 7C 2.5</v>
          </cell>
          <cell r="B261">
            <v>15.5</v>
          </cell>
        </row>
        <row r="262">
          <cell r="A262" t="str">
            <v>FCVV-SB 8C 2.5</v>
          </cell>
          <cell r="B262">
            <v>16.5</v>
          </cell>
        </row>
        <row r="263">
          <cell r="A263" t="str">
            <v>FCVV-SB 10C 2.5</v>
          </cell>
          <cell r="B263">
            <v>19</v>
          </cell>
        </row>
        <row r="264">
          <cell r="A264" t="str">
            <v>FCVV-SB 12C 2.5</v>
          </cell>
          <cell r="B264">
            <v>19.5</v>
          </cell>
        </row>
        <row r="265">
          <cell r="A265" t="str">
            <v>FCVV-SB 15C 2.5</v>
          </cell>
          <cell r="B265">
            <v>21.5</v>
          </cell>
        </row>
        <row r="266">
          <cell r="A266" t="str">
            <v>FCVV-SB 20C 2.5</v>
          </cell>
          <cell r="B266">
            <v>24</v>
          </cell>
        </row>
        <row r="267">
          <cell r="A267" t="str">
            <v>FCVV-SB 30C 2.5</v>
          </cell>
          <cell r="B267">
            <v>28.5</v>
          </cell>
        </row>
        <row r="268">
          <cell r="A268" t="str">
            <v>FR-8 1C 1.5</v>
          </cell>
          <cell r="B268">
            <v>7</v>
          </cell>
        </row>
        <row r="269">
          <cell r="A269" t="str">
            <v>FR-8 1C 2.5</v>
          </cell>
          <cell r="B269">
            <v>7.5</v>
          </cell>
        </row>
        <row r="270">
          <cell r="A270" t="str">
            <v>FR-8 1C 4</v>
          </cell>
          <cell r="B270">
            <v>8</v>
          </cell>
        </row>
        <row r="271">
          <cell r="A271" t="str">
            <v>FR-8 1C 6</v>
          </cell>
          <cell r="B271">
            <v>8.5</v>
          </cell>
        </row>
        <row r="272">
          <cell r="A272" t="str">
            <v>FR-8 1C 10</v>
          </cell>
          <cell r="B272">
            <v>9.5</v>
          </cell>
        </row>
        <row r="273">
          <cell r="A273" t="str">
            <v>FR-8 1C 16</v>
          </cell>
          <cell r="B273">
            <v>10</v>
          </cell>
        </row>
        <row r="274">
          <cell r="A274" t="str">
            <v>FR-8 1C 25</v>
          </cell>
          <cell r="B274">
            <v>11.5</v>
          </cell>
        </row>
        <row r="275">
          <cell r="A275" t="str">
            <v>FR-8 1C 35</v>
          </cell>
          <cell r="B275">
            <v>12.5</v>
          </cell>
        </row>
        <row r="276">
          <cell r="A276" t="str">
            <v>FR-8 1C 50</v>
          </cell>
          <cell r="B276">
            <v>14</v>
          </cell>
        </row>
        <row r="277">
          <cell r="A277" t="str">
            <v>FR-8 1C 70</v>
          </cell>
          <cell r="B277">
            <v>16</v>
          </cell>
        </row>
        <row r="278">
          <cell r="A278" t="str">
            <v>FR-8 1C 95</v>
          </cell>
          <cell r="B278">
            <v>18</v>
          </cell>
        </row>
        <row r="279">
          <cell r="A279" t="str">
            <v>FR-8 1C 120</v>
          </cell>
          <cell r="B279">
            <v>20</v>
          </cell>
        </row>
        <row r="280">
          <cell r="A280" t="str">
            <v>FR-8 1C 150</v>
          </cell>
          <cell r="B280">
            <v>22.5</v>
          </cell>
        </row>
        <row r="281">
          <cell r="A281" t="str">
            <v>FR-8 1C 185</v>
          </cell>
          <cell r="B281">
            <v>24.5</v>
          </cell>
        </row>
        <row r="282">
          <cell r="A282" t="str">
            <v>FR-8 1C 240</v>
          </cell>
          <cell r="B282">
            <v>27</v>
          </cell>
        </row>
        <row r="283">
          <cell r="A283" t="str">
            <v>FR-8 1C 300</v>
          </cell>
          <cell r="B283">
            <v>29.5</v>
          </cell>
        </row>
        <row r="284">
          <cell r="A284" t="str">
            <v>FR-8 1C 400</v>
          </cell>
          <cell r="B284">
            <v>33</v>
          </cell>
        </row>
        <row r="285">
          <cell r="A285" t="str">
            <v>FR-8 1C 500</v>
          </cell>
          <cell r="B285">
            <v>34</v>
          </cell>
        </row>
        <row r="286">
          <cell r="A286" t="str">
            <v>FR-8 2C 1.5</v>
          </cell>
          <cell r="B286">
            <v>12.5</v>
          </cell>
        </row>
        <row r="287">
          <cell r="A287" t="str">
            <v>FR-8 2C 2.5</v>
          </cell>
          <cell r="B287">
            <v>13.5</v>
          </cell>
        </row>
        <row r="288">
          <cell r="A288" t="str">
            <v>FR-8 2C 4</v>
          </cell>
          <cell r="B288">
            <v>14.5</v>
          </cell>
        </row>
        <row r="289">
          <cell r="A289" t="str">
            <v>FR-8 2C 6</v>
          </cell>
          <cell r="B289">
            <v>15.5</v>
          </cell>
        </row>
        <row r="290">
          <cell r="A290" t="str">
            <v>FR-8 2C 10</v>
          </cell>
          <cell r="B290">
            <v>17.5</v>
          </cell>
        </row>
        <row r="291">
          <cell r="A291" t="str">
            <v>FR-8 2C 16</v>
          </cell>
          <cell r="B291">
            <v>18.5</v>
          </cell>
        </row>
        <row r="292">
          <cell r="A292" t="str">
            <v>FR-8 2C 25</v>
          </cell>
          <cell r="B292">
            <v>22</v>
          </cell>
        </row>
        <row r="293">
          <cell r="A293" t="str">
            <v>FR-8 2C 35</v>
          </cell>
          <cell r="B293">
            <v>24</v>
          </cell>
        </row>
        <row r="294">
          <cell r="A294" t="str">
            <v>FR-8 2C 50</v>
          </cell>
          <cell r="B294">
            <v>26.5</v>
          </cell>
        </row>
        <row r="295">
          <cell r="A295" t="str">
            <v>FR-8 2C 70</v>
          </cell>
          <cell r="B295">
            <v>31</v>
          </cell>
        </row>
        <row r="296">
          <cell r="A296" t="str">
            <v>FR-8 2C 95</v>
          </cell>
          <cell r="B296">
            <v>34</v>
          </cell>
        </row>
        <row r="297">
          <cell r="A297" t="str">
            <v>FR-8 2C 120</v>
          </cell>
          <cell r="B297">
            <v>38</v>
          </cell>
        </row>
        <row r="298">
          <cell r="A298" t="str">
            <v>FR-8 2C 150</v>
          </cell>
          <cell r="B298">
            <v>42</v>
          </cell>
        </row>
        <row r="299">
          <cell r="A299" t="str">
            <v>FR-8 2C 185</v>
          </cell>
          <cell r="B299">
            <v>46</v>
          </cell>
        </row>
        <row r="300">
          <cell r="A300" t="str">
            <v>FR-8 2C 240</v>
          </cell>
          <cell r="B300">
            <v>52</v>
          </cell>
        </row>
        <row r="301">
          <cell r="A301" t="str">
            <v>FR-8 2C 300</v>
          </cell>
          <cell r="B301">
            <v>57</v>
          </cell>
        </row>
        <row r="302">
          <cell r="A302" t="str">
            <v>FR-8 3C 1.5</v>
          </cell>
          <cell r="B302">
            <v>13</v>
          </cell>
        </row>
        <row r="303">
          <cell r="A303" t="str">
            <v>FR-8 3C 2.5</v>
          </cell>
          <cell r="B303">
            <v>14</v>
          </cell>
        </row>
        <row r="304">
          <cell r="A304" t="str">
            <v>FR-8 3C 4</v>
          </cell>
          <cell r="B304">
            <v>15</v>
          </cell>
        </row>
        <row r="305">
          <cell r="A305" t="str">
            <v>FR-8 3C 6</v>
          </cell>
          <cell r="B305">
            <v>16.5</v>
          </cell>
        </row>
        <row r="306">
          <cell r="A306" t="str">
            <v>FR-8 3C 10</v>
          </cell>
          <cell r="B306">
            <v>18.5</v>
          </cell>
        </row>
        <row r="307">
          <cell r="A307" t="str">
            <v>FR-8 3C 16</v>
          </cell>
          <cell r="B307">
            <v>19</v>
          </cell>
        </row>
        <row r="308">
          <cell r="A308" t="str">
            <v>FR-8 3C 25</v>
          </cell>
          <cell r="B308">
            <v>23</v>
          </cell>
        </row>
        <row r="309">
          <cell r="A309" t="str">
            <v>FR-8 3C 35</v>
          </cell>
          <cell r="B309">
            <v>25.5</v>
          </cell>
        </row>
        <row r="310">
          <cell r="A310" t="str">
            <v>FR-8 3C 50</v>
          </cell>
          <cell r="B310">
            <v>28.5</v>
          </cell>
        </row>
        <row r="311">
          <cell r="A311" t="str">
            <v>FR-8 3C 70</v>
          </cell>
          <cell r="B311">
            <v>33</v>
          </cell>
        </row>
        <row r="312">
          <cell r="A312" t="str">
            <v>FR-8 3C 95</v>
          </cell>
          <cell r="B312">
            <v>36.5</v>
          </cell>
        </row>
        <row r="313">
          <cell r="A313" t="str">
            <v>FR-8 3C 120</v>
          </cell>
          <cell r="B313">
            <v>40.5</v>
          </cell>
        </row>
        <row r="314">
          <cell r="A314" t="str">
            <v>FR-8 3C 150</v>
          </cell>
          <cell r="B314">
            <v>45</v>
          </cell>
        </row>
        <row r="315">
          <cell r="A315" t="str">
            <v>FR-8 3C 185</v>
          </cell>
          <cell r="B315">
            <v>49.5</v>
          </cell>
        </row>
        <row r="316">
          <cell r="A316" t="str">
            <v>FR-8 3C 240</v>
          </cell>
          <cell r="B316">
            <v>55.5</v>
          </cell>
        </row>
        <row r="317">
          <cell r="A317" t="str">
            <v>FR-8 3C 300</v>
          </cell>
          <cell r="B317">
            <v>61</v>
          </cell>
        </row>
        <row r="318">
          <cell r="A318" t="str">
            <v>FR-8 4C 1.5</v>
          </cell>
          <cell r="B318">
            <v>14</v>
          </cell>
        </row>
        <row r="319">
          <cell r="A319" t="str">
            <v>FR-8 4C 2.5</v>
          </cell>
          <cell r="B319">
            <v>15</v>
          </cell>
        </row>
        <row r="320">
          <cell r="A320" t="str">
            <v>FR-8 4C 4</v>
          </cell>
          <cell r="B320">
            <v>16.5</v>
          </cell>
        </row>
        <row r="321">
          <cell r="A321" t="str">
            <v>FR-8 4C 6</v>
          </cell>
          <cell r="B321">
            <v>18</v>
          </cell>
        </row>
        <row r="322">
          <cell r="A322" t="str">
            <v>FR-8 4C 10</v>
          </cell>
          <cell r="B322">
            <v>20</v>
          </cell>
        </row>
        <row r="323">
          <cell r="A323" t="str">
            <v>FR-8 4C 16</v>
          </cell>
          <cell r="B323">
            <v>21.5</v>
          </cell>
        </row>
        <row r="324">
          <cell r="A324" t="str">
            <v>FR-8 4C 25</v>
          </cell>
          <cell r="B324">
            <v>25.5</v>
          </cell>
        </row>
        <row r="325">
          <cell r="A325" t="str">
            <v>FR-8 4C 35</v>
          </cell>
          <cell r="B325">
            <v>28</v>
          </cell>
        </row>
        <row r="326">
          <cell r="A326" t="str">
            <v>FR-8 4C 50</v>
          </cell>
          <cell r="B326">
            <v>31.5</v>
          </cell>
        </row>
        <row r="327">
          <cell r="A327" t="str">
            <v>FR-8 4C 70</v>
          </cell>
          <cell r="B327">
            <v>36.5</v>
          </cell>
        </row>
        <row r="328">
          <cell r="A328" t="str">
            <v>FR-8 4C 95</v>
          </cell>
          <cell r="B328">
            <v>41</v>
          </cell>
        </row>
        <row r="329">
          <cell r="A329" t="str">
            <v>FR-8 4C 120</v>
          </cell>
          <cell r="B329">
            <v>45</v>
          </cell>
        </row>
        <row r="330">
          <cell r="A330" t="str">
            <v>FR-8 4C 150</v>
          </cell>
          <cell r="B330">
            <v>50</v>
          </cell>
        </row>
        <row r="331">
          <cell r="A331" t="str">
            <v>FR-8 4C 185</v>
          </cell>
          <cell r="B331">
            <v>55</v>
          </cell>
        </row>
        <row r="332">
          <cell r="A332" t="str">
            <v>FR-8 4C 240</v>
          </cell>
          <cell r="B332">
            <v>62</v>
          </cell>
        </row>
        <row r="333">
          <cell r="A333" t="str">
            <v>FR-8 4C 300</v>
          </cell>
          <cell r="B333">
            <v>68.5</v>
          </cell>
        </row>
        <row r="334">
          <cell r="A334" t="str">
            <v>FR-3 1C 1.5</v>
          </cell>
          <cell r="B334">
            <v>7.5</v>
          </cell>
        </row>
        <row r="335">
          <cell r="A335" t="str">
            <v>FR-3 2C 1.5</v>
          </cell>
          <cell r="B335">
            <v>10.5</v>
          </cell>
        </row>
        <row r="336">
          <cell r="A336" t="str">
            <v>FR-3 3C 1.5</v>
          </cell>
          <cell r="B336">
            <v>11</v>
          </cell>
        </row>
        <row r="337">
          <cell r="A337" t="str">
            <v>FR-3 4C 1.5</v>
          </cell>
          <cell r="B337">
            <v>12</v>
          </cell>
        </row>
        <row r="338">
          <cell r="A338" t="str">
            <v>FR-3 5C 1.5</v>
          </cell>
          <cell r="B338">
            <v>13</v>
          </cell>
        </row>
        <row r="339">
          <cell r="A339" t="str">
            <v>FR-3 6C 1.5</v>
          </cell>
          <cell r="B339">
            <v>13.5</v>
          </cell>
        </row>
        <row r="340">
          <cell r="A340" t="str">
            <v>FR-3 7C 1.5</v>
          </cell>
          <cell r="B340">
            <v>13.5</v>
          </cell>
        </row>
        <row r="341">
          <cell r="A341" t="str">
            <v>FR-3 8C 1.5</v>
          </cell>
          <cell r="B341">
            <v>14.5</v>
          </cell>
        </row>
        <row r="342">
          <cell r="A342" t="str">
            <v>FR-3 9C 1.5</v>
          </cell>
          <cell r="B342">
            <v>15.5</v>
          </cell>
        </row>
        <row r="343">
          <cell r="A343" t="str">
            <v>FR-3 10C 1.5</v>
          </cell>
          <cell r="B343">
            <v>17</v>
          </cell>
        </row>
        <row r="344">
          <cell r="A344" t="str">
            <v>FR-3 12C 1.5</v>
          </cell>
          <cell r="B344">
            <v>17.5</v>
          </cell>
        </row>
        <row r="345">
          <cell r="A345" t="str">
            <v>FR-3 15C 1.5</v>
          </cell>
          <cell r="B345">
            <v>18.5</v>
          </cell>
        </row>
        <row r="346">
          <cell r="A346" t="str">
            <v>FR-3 16C 1.5</v>
          </cell>
          <cell r="B346">
            <v>19</v>
          </cell>
        </row>
        <row r="347">
          <cell r="A347" t="str">
            <v>FR-3 18C 1.5</v>
          </cell>
          <cell r="B347">
            <v>20</v>
          </cell>
        </row>
        <row r="348">
          <cell r="A348" t="str">
            <v>FR-3 19C 1.5</v>
          </cell>
          <cell r="B348">
            <v>20</v>
          </cell>
        </row>
        <row r="349">
          <cell r="A349" t="str">
            <v>FR-3 20C 1.5</v>
          </cell>
          <cell r="B349">
            <v>21</v>
          </cell>
        </row>
        <row r="350">
          <cell r="A350" t="str">
            <v>FR-3 24C 1.5</v>
          </cell>
          <cell r="B350">
            <v>23</v>
          </cell>
        </row>
        <row r="351">
          <cell r="A351" t="str">
            <v>FR-3 27C 1.5</v>
          </cell>
          <cell r="B351">
            <v>23.5</v>
          </cell>
        </row>
        <row r="352">
          <cell r="A352" t="str">
            <v>FR-3 30C 1.5</v>
          </cell>
          <cell r="B352">
            <v>24</v>
          </cell>
        </row>
        <row r="353">
          <cell r="A353" t="str">
            <v>FR-3 1C 2.5</v>
          </cell>
          <cell r="B353">
            <v>8</v>
          </cell>
        </row>
        <row r="354">
          <cell r="A354" t="str">
            <v>FR-3 2C 2.5</v>
          </cell>
          <cell r="B354">
            <v>11.5</v>
          </cell>
        </row>
        <row r="355">
          <cell r="A355" t="str">
            <v>FR-3 3C 2.5</v>
          </cell>
          <cell r="B355">
            <v>12</v>
          </cell>
        </row>
        <row r="356">
          <cell r="A356" t="str">
            <v>FR-3 4C 2.5</v>
          </cell>
          <cell r="B356">
            <v>13</v>
          </cell>
        </row>
        <row r="357">
          <cell r="A357" t="str">
            <v>FR-3 5C 2.5</v>
          </cell>
          <cell r="B357">
            <v>14</v>
          </cell>
        </row>
        <row r="358">
          <cell r="A358" t="str">
            <v>FR-3 6C 2.5</v>
          </cell>
          <cell r="B358">
            <v>15</v>
          </cell>
        </row>
        <row r="359">
          <cell r="A359" t="str">
            <v>FR-3 7C 2.5</v>
          </cell>
          <cell r="B359">
            <v>15</v>
          </cell>
        </row>
        <row r="360">
          <cell r="A360" t="str">
            <v>FR-3 8C 2.5</v>
          </cell>
          <cell r="B360">
            <v>16</v>
          </cell>
        </row>
        <row r="361">
          <cell r="A361" t="str">
            <v>FR-3 9C 2.5</v>
          </cell>
          <cell r="B361">
            <v>17</v>
          </cell>
        </row>
        <row r="362">
          <cell r="A362" t="str">
            <v>FR-3 10C 2.5</v>
          </cell>
          <cell r="B362">
            <v>18.5</v>
          </cell>
        </row>
        <row r="363">
          <cell r="A363" t="str">
            <v>FR-3 12C 2.5</v>
          </cell>
          <cell r="B363">
            <v>19</v>
          </cell>
        </row>
        <row r="364">
          <cell r="A364" t="str">
            <v>FR-3 15C 2.5</v>
          </cell>
          <cell r="B364">
            <v>20.5</v>
          </cell>
        </row>
        <row r="365">
          <cell r="A365" t="str">
            <v>FR-3 16C 2.5</v>
          </cell>
          <cell r="B365">
            <v>21</v>
          </cell>
        </row>
        <row r="366">
          <cell r="A366" t="str">
            <v>FR-3 18C 2.5</v>
          </cell>
          <cell r="B366">
            <v>22</v>
          </cell>
        </row>
        <row r="367">
          <cell r="A367" t="str">
            <v>FR-3 19C 2.5</v>
          </cell>
          <cell r="B367">
            <v>22</v>
          </cell>
        </row>
        <row r="368">
          <cell r="A368" t="str">
            <v>FR-3 20C 2.5</v>
          </cell>
          <cell r="B368">
            <v>23</v>
          </cell>
        </row>
        <row r="369">
          <cell r="A369" t="str">
            <v>FR-3 24C 2.5</v>
          </cell>
          <cell r="B369">
            <v>25.5</v>
          </cell>
        </row>
        <row r="370">
          <cell r="A370" t="str">
            <v>FR-3 27C 2.5</v>
          </cell>
          <cell r="B370">
            <v>26</v>
          </cell>
        </row>
        <row r="371">
          <cell r="A371" t="str">
            <v>FR-3 30C 2.5</v>
          </cell>
          <cell r="B371">
            <v>27</v>
          </cell>
        </row>
        <row r="372">
          <cell r="A372" t="str">
            <v>FR-3 1P 1.5</v>
          </cell>
          <cell r="B372">
            <v>10.5</v>
          </cell>
        </row>
        <row r="373">
          <cell r="A373" t="str">
            <v>FR-3 2P 1.5</v>
          </cell>
          <cell r="B373">
            <v>15.5</v>
          </cell>
        </row>
        <row r="374">
          <cell r="A374" t="str">
            <v>FR-3 3P 1.5</v>
          </cell>
          <cell r="B374">
            <v>16</v>
          </cell>
        </row>
        <row r="375">
          <cell r="A375" t="str">
            <v>FR-3 4P 1.5</v>
          </cell>
          <cell r="B375">
            <v>17.5</v>
          </cell>
        </row>
        <row r="376">
          <cell r="A376" t="str">
            <v>FR-3 5P 1.5</v>
          </cell>
          <cell r="B376">
            <v>19.5</v>
          </cell>
        </row>
        <row r="377">
          <cell r="A377" t="str">
            <v>FR-3 7P 1.5</v>
          </cell>
          <cell r="B377">
            <v>20</v>
          </cell>
        </row>
        <row r="378">
          <cell r="A378" t="str">
            <v>FR-3 10P 1.5</v>
          </cell>
          <cell r="B378">
            <v>24.5</v>
          </cell>
        </row>
        <row r="379">
          <cell r="A379" t="str">
            <v>FR-3 15P 1.5</v>
          </cell>
          <cell r="B379">
            <v>27.5</v>
          </cell>
        </row>
        <row r="380">
          <cell r="A380" t="str">
            <v>FR-3 20P 1.5</v>
          </cell>
          <cell r="B380">
            <v>30</v>
          </cell>
        </row>
        <row r="381">
          <cell r="A381" t="str">
            <v>FR-3 25P 1.5</v>
          </cell>
          <cell r="B381">
            <v>34.5</v>
          </cell>
        </row>
        <row r="382">
          <cell r="A382" t="str">
            <v>FR-3 30P 1.5</v>
          </cell>
          <cell r="B382">
            <v>36.5</v>
          </cell>
        </row>
        <row r="383">
          <cell r="A383" t="str">
            <v>FR-3 40P 1.5</v>
          </cell>
          <cell r="B383">
            <v>41</v>
          </cell>
        </row>
        <row r="384">
          <cell r="A384" t="str">
            <v>FR-3 50P 1.5</v>
          </cell>
          <cell r="B384">
            <v>45.5</v>
          </cell>
        </row>
        <row r="385">
          <cell r="A385" t="str">
            <v>FR-3 1P 2.5</v>
          </cell>
          <cell r="B385">
            <v>11.5</v>
          </cell>
        </row>
        <row r="386">
          <cell r="A386" t="str">
            <v>FR-3 2P 2.5</v>
          </cell>
          <cell r="B386">
            <v>17</v>
          </cell>
        </row>
        <row r="387">
          <cell r="A387" t="str">
            <v>FR-3 3P 2.5</v>
          </cell>
          <cell r="B387">
            <v>17.5</v>
          </cell>
        </row>
        <row r="388">
          <cell r="A388" t="str">
            <v>FR-3 4P 2.5</v>
          </cell>
          <cell r="B388">
            <v>19</v>
          </cell>
        </row>
        <row r="389">
          <cell r="A389" t="str">
            <v>FR-3 5P 2.5</v>
          </cell>
          <cell r="B389">
            <v>21.5</v>
          </cell>
        </row>
        <row r="390">
          <cell r="A390" t="str">
            <v>FR-3 7P 2.5</v>
          </cell>
          <cell r="B390">
            <v>22</v>
          </cell>
        </row>
        <row r="391">
          <cell r="A391" t="str">
            <v>FR-3 10P 2.5</v>
          </cell>
          <cell r="B391">
            <v>27</v>
          </cell>
        </row>
        <row r="392">
          <cell r="A392" t="str">
            <v>FR-3 15P 2.5</v>
          </cell>
          <cell r="B392">
            <v>30.5</v>
          </cell>
        </row>
        <row r="393">
          <cell r="A393" t="str">
            <v>FR-3 20P 2.5</v>
          </cell>
          <cell r="B393">
            <v>33.5</v>
          </cell>
        </row>
        <row r="394">
          <cell r="A394" t="str">
            <v>FR-3 25P 2.5</v>
          </cell>
          <cell r="B394">
            <v>39</v>
          </cell>
        </row>
        <row r="395">
          <cell r="A395" t="str">
            <v>FR-3 30P 2.5</v>
          </cell>
          <cell r="B395">
            <v>41</v>
          </cell>
        </row>
        <row r="396">
          <cell r="A396" t="str">
            <v>FR-3 40P 2.5</v>
          </cell>
          <cell r="B396">
            <v>46.5</v>
          </cell>
        </row>
        <row r="397">
          <cell r="A397" t="str">
            <v>FR-3 50P 2.5</v>
          </cell>
          <cell r="B397">
            <v>51.5</v>
          </cell>
        </row>
        <row r="398">
          <cell r="A398" t="str">
            <v>Cat.5 4P</v>
          </cell>
          <cell r="B398">
            <v>5.5</v>
          </cell>
        </row>
        <row r="399">
          <cell r="A399" t="str">
            <v>Cat.5 25P</v>
          </cell>
          <cell r="B399">
            <v>12.9</v>
          </cell>
        </row>
        <row r="400">
          <cell r="A400" t="str">
            <v>Cat.5 50P</v>
          </cell>
          <cell r="B400">
            <v>17.8</v>
          </cell>
        </row>
        <row r="401">
          <cell r="A401" t="str">
            <v>Cat.5 100P</v>
          </cell>
          <cell r="B401">
            <v>27</v>
          </cell>
        </row>
        <row r="402">
          <cell r="A402" t="str">
            <v>Cat.6 4P</v>
          </cell>
          <cell r="B402">
            <v>10.5</v>
          </cell>
        </row>
        <row r="403">
          <cell r="A403" t="str">
            <v>ECX 5C-2V</v>
          </cell>
          <cell r="B403">
            <v>5.6</v>
          </cell>
        </row>
        <row r="404">
          <cell r="A404" t="str">
            <v>ECX 7C-2V</v>
          </cell>
          <cell r="B404">
            <v>5.6</v>
          </cell>
        </row>
        <row r="405">
          <cell r="A405" t="str">
            <v>ECX 10C-2V</v>
          </cell>
          <cell r="B405">
            <v>8.1999999999999993</v>
          </cell>
        </row>
        <row r="406">
          <cell r="A406" t="str">
            <v>HFBT 5C</v>
          </cell>
          <cell r="B406">
            <v>7.9</v>
          </cell>
        </row>
        <row r="407">
          <cell r="A407" t="str">
            <v>HFBT 7C</v>
          </cell>
          <cell r="B407">
            <v>10.5</v>
          </cell>
        </row>
        <row r="408">
          <cell r="A408" t="str">
            <v>HFBT 10C</v>
          </cell>
          <cell r="B408">
            <v>12.8</v>
          </cell>
        </row>
      </sheetData>
      <sheetData sheetId="25"/>
      <sheetData sheetId="26"/>
      <sheetData sheetId="27"/>
      <sheetData sheetId="28"/>
      <sheetData sheetId="29"/>
      <sheetData sheetId="30" refreshError="1"/>
      <sheetData sheetId="31"/>
      <sheetData sheetId="32"/>
      <sheetData sheetId="33" refreshError="1">
        <row r="22">
          <cell r="E22" t="str">
            <v>A</v>
          </cell>
          <cell r="F22" t="str">
            <v>B</v>
          </cell>
        </row>
        <row r="23">
          <cell r="E23" t="str">
            <v>B</v>
          </cell>
          <cell r="F23" t="str">
            <v>C</v>
          </cell>
        </row>
        <row r="24">
          <cell r="E24" t="str">
            <v>C</v>
          </cell>
          <cell r="F24" t="str">
            <v>D</v>
          </cell>
        </row>
        <row r="25">
          <cell r="E25" t="str">
            <v>D</v>
          </cell>
          <cell r="F25" t="str">
            <v>E</v>
          </cell>
        </row>
        <row r="26">
          <cell r="E26" t="str">
            <v>E</v>
          </cell>
          <cell r="F26" t="str">
            <v>F</v>
          </cell>
        </row>
        <row r="27">
          <cell r="E27" t="str">
            <v>F</v>
          </cell>
          <cell r="F27" t="str">
            <v>G</v>
          </cell>
        </row>
        <row r="28">
          <cell r="E28" t="str">
            <v>G</v>
          </cell>
          <cell r="F28" t="str">
            <v>H</v>
          </cell>
        </row>
        <row r="29">
          <cell r="E29" t="str">
            <v>H</v>
          </cell>
          <cell r="F29" t="str">
            <v>I</v>
          </cell>
        </row>
        <row r="30">
          <cell r="E30" t="str">
            <v>I</v>
          </cell>
          <cell r="F30" t="str">
            <v>J</v>
          </cell>
        </row>
        <row r="31">
          <cell r="E31" t="str">
            <v>J</v>
          </cell>
          <cell r="F31" t="str">
            <v>K</v>
          </cell>
        </row>
        <row r="32">
          <cell r="E32" t="str">
            <v>K</v>
          </cell>
          <cell r="F32" t="str">
            <v>L</v>
          </cell>
        </row>
        <row r="33">
          <cell r="E33" t="str">
            <v>L</v>
          </cell>
          <cell r="F33" t="str">
            <v>M</v>
          </cell>
        </row>
        <row r="34">
          <cell r="E34" t="str">
            <v>M</v>
          </cell>
          <cell r="F34" t="str">
            <v>N</v>
          </cell>
        </row>
        <row r="35">
          <cell r="E35" t="str">
            <v>N</v>
          </cell>
          <cell r="F35" t="str">
            <v>O</v>
          </cell>
        </row>
        <row r="36">
          <cell r="E36" t="str">
            <v>O</v>
          </cell>
          <cell r="F36" t="str">
            <v>P</v>
          </cell>
        </row>
        <row r="37">
          <cell r="E37" t="str">
            <v>P</v>
          </cell>
          <cell r="F37" t="str">
            <v>Q</v>
          </cell>
        </row>
        <row r="38">
          <cell r="E38" t="str">
            <v>Q</v>
          </cell>
          <cell r="F38" t="str">
            <v>R</v>
          </cell>
        </row>
        <row r="39">
          <cell r="E39" t="str">
            <v>R</v>
          </cell>
          <cell r="F39" t="str">
            <v>S</v>
          </cell>
        </row>
        <row r="40">
          <cell r="E40" t="str">
            <v>S</v>
          </cell>
          <cell r="F40" t="str">
            <v>T</v>
          </cell>
        </row>
        <row r="41">
          <cell r="E41" t="str">
            <v>T</v>
          </cell>
          <cell r="F41" t="str">
            <v>U</v>
          </cell>
        </row>
        <row r="42">
          <cell r="E42" t="str">
            <v>U</v>
          </cell>
          <cell r="F42" t="str">
            <v>V</v>
          </cell>
        </row>
        <row r="43">
          <cell r="E43" t="str">
            <v>V</v>
          </cell>
          <cell r="F43" t="str">
            <v>W</v>
          </cell>
        </row>
        <row r="44">
          <cell r="E44" t="str">
            <v>W</v>
          </cell>
          <cell r="F44" t="str">
            <v>X</v>
          </cell>
        </row>
        <row r="45">
          <cell r="E45" t="str">
            <v>X</v>
          </cell>
          <cell r="F45" t="str">
            <v>Y</v>
          </cell>
        </row>
        <row r="46">
          <cell r="E46" t="str">
            <v>Y</v>
          </cell>
          <cell r="F46" t="str">
            <v>Z</v>
          </cell>
        </row>
      </sheetData>
      <sheetData sheetId="34"/>
      <sheetData sheetId="35"/>
      <sheetData sheetId="36"/>
      <sheetData sheetId="37"/>
      <sheetData sheetId="38"/>
      <sheetData sheetId="3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표지"/>
      <sheetName val="갑지"/>
      <sheetName val="목차"/>
      <sheetName val="1간지"/>
      <sheetName val="설계설명서"/>
      <sheetName val="2간지"/>
      <sheetName val="공정표"/>
      <sheetName val="3간지(예산서)"/>
      <sheetName val="원가계산서"/>
      <sheetName val="내역(계)"/>
      <sheetName val="기자재내역"/>
      <sheetName val="순공사(계)"/>
      <sheetName val="산출및내역"/>
      <sheetName val="4간지(일집)"/>
      <sheetName val="일위집계"/>
      <sheetName val="일위대가"/>
      <sheetName val="간지(부록)"/>
      <sheetName val="부록단가"/>
      <sheetName val="산근(토공)"/>
      <sheetName val="산근(기계)"/>
      <sheetName val="산근(가로등)"/>
      <sheetName val="5간지(수탁공사비)"/>
      <sheetName val="수탁공사비"/>
      <sheetName val="표지(수량)"/>
      <sheetName val="목차(수량)"/>
      <sheetName val="1간지(수량)"/>
      <sheetName val="집계(옥내참고)"/>
      <sheetName val="집계(옥외참고)"/>
      <sheetName val="집계"/>
      <sheetName val="수량산출"/>
      <sheetName val="2간지(단가)"/>
      <sheetName val="단가"/>
      <sheetName val="기자재단가"/>
      <sheetName val="3간지(견적서)"/>
      <sheetName val="노무비(DB)"/>
      <sheetName val="일람(엑셀)"/>
      <sheetName val="일람표(도면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-WORK"/>
      <sheetName val="I一般比"/>
      <sheetName val="배수공"/>
      <sheetName val="YES"/>
      <sheetName val="전등수량산출"/>
      <sheetName val="품셈표"/>
      <sheetName val="횡배수관토공수량"/>
      <sheetName val="현대물량"/>
      <sheetName val="9GNG운반"/>
      <sheetName val="토공사"/>
      <sheetName val="부대내역"/>
      <sheetName val="일위대가표"/>
      <sheetName val="일위목차"/>
      <sheetName val="일위대가"/>
      <sheetName val="단가비교표"/>
      <sheetName val="노임단가"/>
      <sheetName val="토목품셈"/>
      <sheetName val="Sheet6"/>
      <sheetName val="일위대가(계측기설치)"/>
      <sheetName val="Sheet1 (2)"/>
      <sheetName val="광통신 견적내역서1"/>
      <sheetName val="갑지"/>
      <sheetName val="총괄-1"/>
      <sheetName val="목차"/>
      <sheetName val="단가조사서"/>
      <sheetName val="노무비(DB)_이후 출력XXXXXX"/>
    </sheetNames>
    <definedNames>
      <definedName name="Macro13"/>
      <definedName name="Macro2"/>
      <definedName name="Macro7"/>
      <definedName name="Macro8"/>
      <definedName name="Macro9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GEND"/>
    </sheetNames>
    <sheetDataSet>
      <sheetData sheetId="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산서"/>
      <sheetName val="일위대가"/>
      <sheetName val="산출근거(집계)"/>
      <sheetName val="산출근거-1"/>
      <sheetName val="산출근거-2"/>
      <sheetName val="단가비교표"/>
      <sheetName val="단위수량-1"/>
      <sheetName val="노무비 근거"/>
      <sheetName val="Sheet1"/>
      <sheetName val="단가 및 재료비"/>
      <sheetName val="000000"/>
      <sheetName val="작업예정량"/>
      <sheetName val="관.자 제작비"/>
      <sheetName val="단가산출 (2)"/>
      <sheetName val="단가산출기초조사서"/>
      <sheetName val="노무비 "/>
      <sheetName val="총괄내역서(1구역)"/>
      <sheetName val="제경비산출서(1구역)"/>
      <sheetName val="총괄표(1구역)"/>
      <sheetName val="원가계산서(1)"/>
      <sheetName val="설계서(갑)"/>
      <sheetName val="갑지1"/>
      <sheetName val="총괄내역서(2구역)"/>
      <sheetName val="제경비산출서(2구역)"/>
      <sheetName val="총괄표(2구역)"/>
      <sheetName val="원가계산서(2구역)"/>
      <sheetName val="설계서(갑2)"/>
      <sheetName val="갑지2"/>
      <sheetName val="준공조서1구역"/>
      <sheetName val="준공조서2구역"/>
      <sheetName val="1,2공구원가계산서"/>
      <sheetName val="1공구산출내역서"/>
      <sheetName val="화재 탐지 설비"/>
      <sheetName val="산출내역서"/>
      <sheetName val="합정로내역서(토목)"/>
      <sheetName val="전체"/>
      <sheetName val="수량산출서"/>
      <sheetName val="산출서집계"/>
      <sheetName val="인입관수량총괄"/>
      <sheetName val="9GNG운반"/>
      <sheetName val="MOTOR"/>
      <sheetName val="금액결정"/>
      <sheetName val="전차선로 물량표"/>
      <sheetName val="한강운반비"/>
      <sheetName val="#REF"/>
      <sheetName val="자재"/>
      <sheetName val="공통(20-91)"/>
      <sheetName val="자재단가"/>
      <sheetName val="기술부 VENDOR LIST"/>
      <sheetName val="실행철강하도"/>
      <sheetName val="관급"/>
      <sheetName val="DATA"/>
      <sheetName val="데이타"/>
      <sheetName val="2.1  노무비 평균단가산출"/>
      <sheetName val="북방3터널"/>
      <sheetName val="원가계산서"/>
      <sheetName val="간선계산"/>
      <sheetName val="을지"/>
      <sheetName val="12.일위대가"/>
      <sheetName val="노임조서"/>
      <sheetName val="2공구산출내역"/>
      <sheetName val="건설실행"/>
      <sheetName val="인부신상자료"/>
      <sheetName val="I一般比"/>
      <sheetName val="N賃率-職"/>
      <sheetName val="일위대가(동대문운동장별관)"/>
      <sheetName val="기둥(원형)"/>
      <sheetName val="배수내역"/>
      <sheetName val="원형1호맨홀토공수량"/>
      <sheetName val="터널조도"/>
      <sheetName val="유입량"/>
      <sheetName val="ITEM"/>
      <sheetName val="갑지"/>
      <sheetName val="기흥하도용"/>
      <sheetName val="DANGA"/>
      <sheetName val="기초코드"/>
      <sheetName val="DATE"/>
      <sheetName val="코드표"/>
      <sheetName val="L_RPTB02_01"/>
      <sheetName val="노임"/>
      <sheetName val="이형관중량"/>
      <sheetName val="일위대가(목록)"/>
      <sheetName val="산근(목록)"/>
      <sheetName val="재료비"/>
      <sheetName val="토공"/>
      <sheetName val="이월"/>
      <sheetName val="업체별기성내역"/>
      <sheetName val="단가비교"/>
      <sheetName val="옥외외등집계표"/>
      <sheetName val="이월가격"/>
      <sheetName val="내역서"/>
      <sheetName val="NOMUBI"/>
      <sheetName val="단가산출"/>
      <sheetName val="산출"/>
      <sheetName val="단위단가"/>
      <sheetName val="일위(시설)"/>
      <sheetName val="을"/>
      <sheetName val="일위"/>
      <sheetName val="일위대가표"/>
      <sheetName val="인제내역"/>
      <sheetName val="사용자일위"/>
      <sheetName val="IT-BAT"/>
      <sheetName val="사업수지"/>
      <sheetName val="갑(전기)"/>
      <sheetName val="갑(계장)"/>
      <sheetName val="자재단가비교표"/>
      <sheetName val="공사비집계"/>
      <sheetName val="일위대가(1)"/>
      <sheetName val="단가산출서"/>
      <sheetName val="일괄인쇄"/>
      <sheetName val="기자재비"/>
      <sheetName val="현장관리비"/>
      <sheetName val="여과지동"/>
      <sheetName val="기초자료"/>
      <sheetName val="설계내역서"/>
      <sheetName val="Macro2"/>
      <sheetName val="Macro1"/>
      <sheetName val="SG"/>
      <sheetName val="산수배수"/>
      <sheetName val="저"/>
      <sheetName val="본공사"/>
      <sheetName val="수량산출"/>
      <sheetName val="인력터파기품"/>
      <sheetName val="투찰내역"/>
      <sheetName val="b_balju"/>
      <sheetName val="일위대가(계측기설치)"/>
      <sheetName val="맨홀수량산출"/>
      <sheetName val="노임단가"/>
      <sheetName val="Total"/>
      <sheetName val="WORK"/>
      <sheetName val="2"/>
      <sheetName val="가로등기초"/>
      <sheetName val="PAD TR보호대기초"/>
      <sheetName val="산출근거"/>
      <sheetName val="안양동교 1안"/>
      <sheetName val=" HIT-&gt;HMC 견적(3900)"/>
      <sheetName val="부하계산서"/>
      <sheetName val="설계조건"/>
      <sheetName val="단가대비표"/>
      <sheetName val="시화점실행"/>
      <sheetName val="내역"/>
      <sheetName val="Sheet2"/>
      <sheetName val="B1(반포1차)"/>
      <sheetName val="단위수량"/>
      <sheetName val="식재"/>
      <sheetName val="시설물"/>
      <sheetName val="식재출력용"/>
      <sheetName val="유지관리"/>
      <sheetName val="단가"/>
      <sheetName val="터파기및재료"/>
      <sheetName val="원가서"/>
      <sheetName val="기본단가"/>
      <sheetName val="유치원내역"/>
      <sheetName val="기본단가표"/>
      <sheetName val="22인공"/>
      <sheetName val="연습"/>
      <sheetName val="단위중량"/>
      <sheetName val="토공실행"/>
      <sheetName val="설계예시"/>
      <sheetName val="인원"/>
      <sheetName val="원가"/>
      <sheetName val="공사비예산서"/>
      <sheetName val="노무"/>
      <sheetName val="Y-WORK"/>
      <sheetName val="b_balju (2)"/>
      <sheetName val="b_gunmul"/>
      <sheetName val="준검 내역서"/>
      <sheetName val="간접비계산"/>
      <sheetName val="예산총괄"/>
      <sheetName val="노무비"/>
      <sheetName val="BID"/>
      <sheetName val="실행대비"/>
      <sheetName val="CTEMCOST"/>
      <sheetName val="현장관리비 산출내역"/>
      <sheetName val="Sheet3"/>
      <sheetName val="인원계획"/>
      <sheetName val="예산변경사항"/>
      <sheetName val="Baby일위대가"/>
      <sheetName val="하조서"/>
      <sheetName val="XL4Poppy"/>
      <sheetName val="포장공"/>
      <sheetName val="여암교"/>
      <sheetName val="참조"/>
      <sheetName val="가시설수량"/>
      <sheetName val="식음료"/>
      <sheetName val="대차"/>
      <sheetName val="집계표"/>
      <sheetName val="투자효율분석"/>
      <sheetName val="9509"/>
      <sheetName val="ABUT수량-A1"/>
      <sheetName val="BOX(1.5X1.5)"/>
      <sheetName val="자재일람"/>
      <sheetName val="1공구원가계산서"/>
      <sheetName val="토목단가"/>
      <sheetName val="철거산출근거"/>
      <sheetName val="견적"/>
      <sheetName val="총괄내역서"/>
      <sheetName val="개요"/>
      <sheetName val="본선"/>
      <sheetName val="도로포장면적산출(1)"/>
      <sheetName val="급수공사"/>
      <sheetName val="설계카드"/>
      <sheetName val="J"/>
      <sheetName val="일위목록"/>
      <sheetName val="Sheet5"/>
      <sheetName val="토공(1)"/>
      <sheetName val="차수공(1)"/>
      <sheetName val="97년 추정"/>
      <sheetName val="DATA입력"/>
      <sheetName val="단면상수 및 주빔설계"/>
      <sheetName val="3.공통공사대비"/>
      <sheetName val="골조시행"/>
      <sheetName val="5.공량산출서"/>
      <sheetName val="전선 및 전선관"/>
      <sheetName val="3련 BOX"/>
      <sheetName val="인건비"/>
      <sheetName val="4)유동표"/>
      <sheetName val="부하계산"/>
      <sheetName val="토목"/>
      <sheetName val="차액보증"/>
      <sheetName val="재료"/>
      <sheetName val="정부노임단가"/>
      <sheetName val="대림경상68억"/>
      <sheetName val="1유리"/>
      <sheetName val="식재인부"/>
      <sheetName val="2000년1차"/>
      <sheetName val="VXXXXXXX"/>
      <sheetName val="모델명"/>
      <sheetName val="A LINE"/>
      <sheetName val="예가표"/>
      <sheetName val="주소"/>
      <sheetName val="파이프류"/>
      <sheetName val="배관배선 단가조사"/>
      <sheetName val="일위대가집계"/>
      <sheetName val="도근좌표"/>
      <sheetName val="개소별수량산출"/>
      <sheetName val="중량산출"/>
      <sheetName val="조명율표"/>
      <sheetName val="Sheet13"/>
      <sheetName val="간선"/>
      <sheetName val="가로등내역서"/>
      <sheetName val="SP-B1"/>
      <sheetName val="인원DATA"/>
      <sheetName val="우성교간선"/>
      <sheetName val="일위_파일"/>
      <sheetName val="자재테이블"/>
      <sheetName val="정산내역"/>
      <sheetName val="일위대가(가설)"/>
      <sheetName val="단면치수"/>
      <sheetName val="제경비율"/>
      <sheetName val="가스"/>
      <sheetName val="집계"/>
      <sheetName val="목차"/>
      <sheetName val="Tot-sum"/>
      <sheetName val="간접(90)"/>
      <sheetName val="설비"/>
      <sheetName val="COPING"/>
      <sheetName val="표지 (2)"/>
      <sheetName val="목차임시"/>
      <sheetName val="견적대비"/>
      <sheetName val="감시제어"/>
      <sheetName val="J直材4"/>
      <sheetName val="제잡비산출내역"/>
      <sheetName val="공종"/>
      <sheetName val="A-4"/>
      <sheetName val="대치판정"/>
      <sheetName val="단가(자재)"/>
      <sheetName val="단가(노임)"/>
      <sheetName val="기초목록"/>
      <sheetName val="3월집계"/>
      <sheetName val="공사비증감"/>
      <sheetName val="1.수인터널"/>
      <sheetName val="일반공사"/>
      <sheetName val="그림모음"/>
      <sheetName val="조명시설"/>
      <sheetName val="Proposal"/>
      <sheetName val="금리계산"/>
      <sheetName val="PAY2002"/>
      <sheetName val="실행기초"/>
      <sheetName val="산출내역서집계표"/>
      <sheetName val="일위집계(기존)"/>
      <sheetName val="위치조서"/>
      <sheetName val="3BL공동구 수량"/>
      <sheetName val="1.적격점수"/>
      <sheetName val="기본설계기준"/>
      <sheetName val="본사인상전"/>
      <sheetName val="내역서(상세)"/>
      <sheetName val="심의위원명단"/>
      <sheetName val="노무비_근거"/>
      <sheetName val="관_자_제작비"/>
      <sheetName val="단가산출_(2)"/>
      <sheetName val="노무비_"/>
      <sheetName val="2_1__노무비_평균단가산출"/>
      <sheetName val="전차선로_물량표"/>
      <sheetName val="기술부_VENDOR_LIST"/>
      <sheetName val="화재_탐지_설비"/>
      <sheetName val="단가_및_재료비"/>
      <sheetName val="안양동교_1안"/>
      <sheetName val="_HIT-&gt;HMC_견적(3900)"/>
      <sheetName val="실행"/>
      <sheetName val="개거총"/>
      <sheetName val="200"/>
      <sheetName val="추가예산"/>
      <sheetName val="단가조사서"/>
      <sheetName val="기성내역"/>
      <sheetName val="기준"/>
      <sheetName val="단락전류-A"/>
      <sheetName val="중기일위대가"/>
      <sheetName val="인건비(VOICE)"/>
      <sheetName val="첨부1"/>
      <sheetName val="현장별"/>
      <sheetName val="명단"/>
      <sheetName val="공사비총괄표"/>
      <sheetName val="견적서갑지연속"/>
      <sheetName val="문학간접"/>
      <sheetName val="신우"/>
      <sheetName val="포장복구집계"/>
      <sheetName val="수량명세서"/>
      <sheetName val="투찰"/>
      <sheetName val="제진기"/>
      <sheetName val="FB25JN"/>
      <sheetName val="XXXXXX"/>
      <sheetName val="대비"/>
      <sheetName val="2.대외공문"/>
      <sheetName val="실행간접비"/>
      <sheetName val="TEMP1"/>
      <sheetName val="TEMP2"/>
      <sheetName val="BS"/>
      <sheetName val="PL"/>
      <sheetName val="IMP(MAIN)"/>
      <sheetName val="IMP (REACTOR)"/>
      <sheetName val="통신원가"/>
      <sheetName val="6.이토처리시간"/>
      <sheetName val="일위대가(총괄)"/>
      <sheetName val="시운전연료비"/>
      <sheetName val="선로정수"/>
      <sheetName val="일위대가목차"/>
      <sheetName val="단가조사-1"/>
      <sheetName val="단가조사-2"/>
      <sheetName val="우수공,맨홀,집수정"/>
      <sheetName val="주요항목별"/>
      <sheetName val="단가표"/>
      <sheetName val="DATA1"/>
      <sheetName val="비용"/>
      <sheetName val="기"/>
      <sheetName val="전선(총)"/>
      <sheetName val="IMPEADENCE MAP 취수장"/>
      <sheetName val="동력설비"/>
      <sheetName val="주beam"/>
      <sheetName val="1단계"/>
      <sheetName val="전국현황"/>
      <sheetName val="굴착현장"/>
      <sheetName val="½ÄÀçÃâ·Â¿ë"/>
      <sheetName val="½Ã¼³¹°"/>
      <sheetName val="½ÄÀç"/>
      <sheetName val="À¯Áö°ü¸®"/>
      <sheetName val="´Ü°¡"/>
      <sheetName val="전압강하계산"/>
      <sheetName val="부대공"/>
      <sheetName val="방호벽"/>
      <sheetName val="낙석방지책"/>
      <sheetName val="실행간접비용"/>
      <sheetName val="제출내역 (2)"/>
      <sheetName val="부대시설"/>
      <sheetName val="총괄표"/>
      <sheetName val="입찰견적보고서"/>
      <sheetName val="경비"/>
      <sheetName val="환경평가"/>
      <sheetName val="인구"/>
      <sheetName val="2공구하도급내역서"/>
      <sheetName val="2련간지"/>
      <sheetName val="간 지1"/>
      <sheetName val="유림총괄"/>
      <sheetName val="경산"/>
      <sheetName val="단가일람"/>
      <sheetName val="코드"/>
      <sheetName val="을 2"/>
      <sheetName val="을 1"/>
      <sheetName val="내역서(당초변경)"/>
      <sheetName val="조달청적격심사"/>
      <sheetName val="보할공정"/>
      <sheetName val="#2_일위대가목록"/>
      <sheetName val="1월"/>
      <sheetName val="CM 1"/>
      <sheetName val="신고조서"/>
      <sheetName val="원가계산서(변경)"/>
      <sheetName val="설 계"/>
      <sheetName val="인천제철"/>
      <sheetName val="송전재료비"/>
      <sheetName val="일반부표"/>
      <sheetName val="부표(010427)"/>
      <sheetName val="2002하반기노임기준"/>
      <sheetName val="Imp-Data"/>
      <sheetName val="관급자재"/>
      <sheetName val="공내역서"/>
      <sheetName val="조건표"/>
      <sheetName val="백암비스타내역"/>
      <sheetName val="대운반(철재)"/>
      <sheetName val="내   역"/>
      <sheetName val="내역서 "/>
      <sheetName val="통신물량"/>
      <sheetName val="FACTOR"/>
      <sheetName val="기계경비(시간당)"/>
      <sheetName val="5. 현장관리비(new) "/>
      <sheetName val="전기"/>
      <sheetName val="당정동경상이수"/>
      <sheetName val="당정동공통이수"/>
      <sheetName val="공정집계_국별"/>
      <sheetName val="철거 및 신설 노무비 산출내역"/>
      <sheetName val="설계서"/>
      <sheetName val="91"/>
      <sheetName val="71"/>
      <sheetName val="자재총괄"/>
      <sheetName val="전기공사"/>
      <sheetName val="Xunit (단위환산)"/>
      <sheetName val="입찰안"/>
      <sheetName val="1"/>
      <sheetName val="TEL"/>
      <sheetName val="3.2.1 마루높이결정"/>
      <sheetName val="인명부"/>
      <sheetName val="다곡2교"/>
      <sheetName val="수곡내역"/>
      <sheetName val="제경비"/>
      <sheetName val="6PILE  (돌출)"/>
      <sheetName val="96보완계획7.12"/>
      <sheetName val="공내역"/>
      <sheetName val="미장"/>
      <sheetName val="철골"/>
      <sheetName val="MAT"/>
      <sheetName val="대우단가(풍산)"/>
      <sheetName val="6월실적"/>
      <sheetName val="Testing"/>
      <sheetName val="손익분석"/>
      <sheetName val="공통가설"/>
      <sheetName val="TABLE"/>
      <sheetName val="공사비 내역 (가)"/>
      <sheetName val="견적정보"/>
      <sheetName val="사전총괄표"/>
      <sheetName val="CT"/>
      <sheetName val="지급자재"/>
      <sheetName val="하수급견적대비"/>
      <sheetName val="분전함신설"/>
      <sheetName val="접지1종"/>
      <sheetName val="현황정리"/>
      <sheetName val="48단가"/>
      <sheetName val="1.설계조건"/>
      <sheetName val="시점교대"/>
      <sheetName val="갑지(추정)"/>
      <sheetName val="안정계산"/>
      <sheetName val="단면검토"/>
      <sheetName val="BSD (2)"/>
      <sheetName val="기계경비적용기준"/>
      <sheetName val="BJJIN"/>
      <sheetName val="Sheet1 (2)"/>
      <sheetName val="횡배위치"/>
      <sheetName val="인입직관"/>
      <sheetName val="전기설계변경"/>
      <sheetName val="가중치"/>
      <sheetName val="차도조도계산"/>
      <sheetName val="기초단가"/>
      <sheetName val="가시설(TYPE-A)"/>
      <sheetName val="1호맨홀가감수량"/>
      <sheetName val="1-1평균터파기고(1)"/>
      <sheetName val="1호맨홀수량산출"/>
      <sheetName val="산근1"/>
      <sheetName val="일반수량총괄집계"/>
      <sheetName val="자료"/>
      <sheetName val="이설집계(1공구)"/>
      <sheetName val="DB"/>
      <sheetName val="부하표"/>
      <sheetName val="공정량산출내역서 "/>
      <sheetName val="00년재노경"/>
      <sheetName val="실행내역서 "/>
      <sheetName val="공사개요"/>
      <sheetName val="1차 내역서"/>
      <sheetName val="base"/>
      <sheetName val="표준차도부연장집계-ASP"/>
      <sheetName val="AS포장복구 "/>
      <sheetName val="남양내역"/>
      <sheetName val="98NS-N"/>
      <sheetName val="제잡비1"/>
      <sheetName val="NYS"/>
      <sheetName val="단 부"/>
      <sheetName val="MAIN_TABLE"/>
      <sheetName val="wall"/>
      <sheetName val="설계예산서(2_소천우회토목)"/>
      <sheetName val="기계경비"/>
      <sheetName val="특수선일위대가"/>
      <sheetName val="TYPE-A"/>
      <sheetName val="도면자료제출일정"/>
      <sheetName val="SLAB"/>
      <sheetName val="입력"/>
      <sheetName val="중기비"/>
      <sheetName val="12_일위대가"/>
      <sheetName val="ilch"/>
      <sheetName val="갑"/>
      <sheetName val="시약"/>
      <sheetName val="화설내"/>
      <sheetName val="한전분담금"/>
      <sheetName val="배수공"/>
      <sheetName val="영흥TL(UP,DOWN) "/>
      <sheetName val="남양주부대"/>
      <sheetName val="빌딩 안내"/>
      <sheetName val="주공 갑지"/>
      <sheetName val="단가조사"/>
      <sheetName val="의정부문예회관변경내역"/>
      <sheetName val="수정계획3"/>
      <sheetName val="Cash"/>
      <sheetName val="단가비교표_공통1"/>
      <sheetName val="수목데이타"/>
      <sheetName val="당초명세(평)"/>
      <sheetName val="월별수입"/>
      <sheetName val="가중치근거(조경)"/>
      <sheetName val="날개벽수량표"/>
      <sheetName val="맨홀수량산출(A-LINE)"/>
      <sheetName val="당사실시1"/>
      <sheetName val="설직재-1"/>
      <sheetName val="직노"/>
      <sheetName val="기성갑지"/>
      <sheetName val="공종별집계표(창고-52평)"/>
      <sheetName val="벽체면적당일위대가"/>
      <sheetName val="일대"/>
      <sheetName val="s"/>
      <sheetName val="사용자정의"/>
      <sheetName val="제품표준규격"/>
      <sheetName val="비대칭계수"/>
      <sheetName val="전동기 SPEC"/>
      <sheetName val="잔수량(작성)"/>
      <sheetName val="대비2"/>
      <sheetName val="건축공사"/>
      <sheetName val="원하대비"/>
      <sheetName val="원도급"/>
      <sheetName val="하도급"/>
      <sheetName val="bm(CIcable)"/>
      <sheetName val="도수로집계"/>
      <sheetName val="편성절차"/>
      <sheetName val="플랜트 설치"/>
      <sheetName val="건              축"/>
      <sheetName val="각종단가"/>
      <sheetName val="동우-견적서"/>
      <sheetName val="진주방향"/>
      <sheetName val="국내조달(통합-1)"/>
      <sheetName val="직접비"/>
      <sheetName val="전체도급"/>
      <sheetName val="98내역"/>
      <sheetName val="설계"/>
      <sheetName val="적용인원(지우지말것)"/>
      <sheetName val="Sheet4"/>
      <sheetName val="옥외등신설"/>
      <sheetName val="저케CV22신설"/>
      <sheetName val="저케CV38신설"/>
      <sheetName val="저케CV8신설"/>
      <sheetName val="접지3종"/>
      <sheetName val="직재"/>
      <sheetName val="중기사용료산출근거"/>
      <sheetName val="내역서2안"/>
      <sheetName val="단"/>
      <sheetName val="감액총괄표"/>
      <sheetName val="요율"/>
      <sheetName val="SW개발대상목록(기능점수)"/>
      <sheetName val="심사물량"/>
      <sheetName val="소야공정계획표"/>
      <sheetName val="자동제어"/>
      <sheetName val="2.펌프장(사급자재)"/>
      <sheetName val="배수관공"/>
      <sheetName val="총공사내역서"/>
      <sheetName val="증감내역서"/>
      <sheetName val="노무,재료"/>
      <sheetName val="sw1"/>
      <sheetName val="을지  (2)"/>
      <sheetName val="제잡비"/>
      <sheetName val="s.v"/>
      <sheetName val="옹벽"/>
      <sheetName val="약품공급2"/>
      <sheetName val="현장조사"/>
      <sheetName val="3층"/>
      <sheetName val="1층"/>
      <sheetName val="건축공사실행"/>
      <sheetName val="건축원가"/>
      <sheetName val="16-1"/>
      <sheetName val="G.R300경비"/>
      <sheetName val="교량"/>
      <sheetName val="일위집계표"/>
      <sheetName val="표지"/>
      <sheetName val="기준액"/>
      <sheetName val="내역서 (평창)"/>
      <sheetName val="(A)내역서"/>
      <sheetName val="소요자재"/>
      <sheetName val="세부내역서"/>
      <sheetName val="기초"/>
      <sheetName val="6호기"/>
      <sheetName val="수토공단위당"/>
      <sheetName val="견적내역"/>
      <sheetName val="건축내역서"/>
      <sheetName val="노무비(DB)"/>
      <sheetName val="산출및내역"/>
      <sheetName val="토사(PE)"/>
      <sheetName val="총괄"/>
      <sheetName val="국산화"/>
      <sheetName val="목록"/>
      <sheetName val="MCC제원"/>
      <sheetName val="허용전류-IEC DATA"/>
      <sheetName val="습지도저"/>
      <sheetName val="기타기기"/>
      <sheetName val="시설물일위"/>
      <sheetName val="가설공사"/>
      <sheetName val="단가결정"/>
      <sheetName val="내역아"/>
      <sheetName val="울타리"/>
      <sheetName val="토목을"/>
      <sheetName val="노임적용"/>
      <sheetName val="실행내역_원본"/>
      <sheetName val="대가표(품셈)"/>
      <sheetName val="설계명세서"/>
      <sheetName val="선급금신청서"/>
      <sheetName val="기계내역"/>
      <sheetName val="할증 "/>
      <sheetName val="신대방33(적용)"/>
      <sheetName val="보안등"/>
      <sheetName val="테이블"/>
      <sheetName val="5_공량산출서"/>
      <sheetName val="PAD_TR보호대기초"/>
      <sheetName val="준검_내역서"/>
      <sheetName val="현장관리비_산출내역"/>
      <sheetName val="97년_추정"/>
      <sheetName val="b_balju_(2)"/>
      <sheetName val="계약내역서"/>
      <sheetName val="100"/>
      <sheetName val="명일작업계획 (3)"/>
      <sheetName val="환산"/>
      <sheetName val="구분자"/>
      <sheetName val="익산-"/>
      <sheetName val="VOR설치(총괄)"/>
      <sheetName val="옥외인입"/>
      <sheetName val="동원(3)"/>
      <sheetName val="원가산출서"/>
      <sheetName val="AS복구"/>
      <sheetName val="중기터파기"/>
      <sheetName val="변수값"/>
      <sheetName val="중기상차"/>
      <sheetName val="버스운행안내"/>
      <sheetName val="자재대"/>
      <sheetName val="측량요율"/>
      <sheetName val="(포장)BOQ-실적공사"/>
      <sheetName val="설비단가표"/>
      <sheetName val="중기조종사 단위단가"/>
      <sheetName val="98수문일위"/>
      <sheetName val="교대(A1)"/>
      <sheetName val="sh1"/>
      <sheetName val="20관리비율"/>
      <sheetName val="02자재"/>
      <sheetName val="설치자재"/>
      <sheetName val="C.배수관공"/>
      <sheetName val="표층포설및다짐"/>
      <sheetName val="교통대책내역"/>
      <sheetName val="일위총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설계조건"/>
      <sheetName val="열관류율"/>
      <sheetName val="First"/>
      <sheetName val="부하계산서"/>
      <sheetName val="Front"/>
      <sheetName val="wall"/>
      <sheetName val="히팅펌프"/>
      <sheetName val="에어콘선정"/>
      <sheetName val="팬"/>
      <sheetName val="form"/>
      <sheetName val="ZONE"/>
      <sheetName val="DATA"/>
      <sheetName val="총부하"/>
      <sheetName val="F.C.U ZONE집계"/>
      <sheetName val="냉온수기"/>
      <sheetName val="PAC 집계"/>
      <sheetName val="보일러&amp;응축수탱크"/>
      <sheetName val="폐열회수기"/>
      <sheetName val="급탕탱크"/>
      <sheetName val="저수조"/>
      <sheetName val="펌프"/>
      <sheetName val="FAN"/>
      <sheetName val="스프링클러(아파트)"/>
      <sheetName val="스프링클러마찰손실(아파트)"/>
      <sheetName val="옥내소화전(아파트)"/>
      <sheetName val="옥내소화전마찰손실(아파트)"/>
      <sheetName val="ZONE대화"/>
      <sheetName val="출력대화"/>
      <sheetName val="기초자료"/>
      <sheetName val="목차"/>
      <sheetName val="설계개요"/>
      <sheetName val="ZONE모듈"/>
      <sheetName val="Module4"/>
      <sheetName val="장비선정"/>
      <sheetName val="장비선정 (PAC)"/>
      <sheetName val="팬선정"/>
      <sheetName val="팬대화"/>
      <sheetName val="팬모듈"/>
      <sheetName val="공조기"/>
      <sheetName val="부하집계"/>
      <sheetName val="부하계산"/>
      <sheetName val="열관류대화"/>
      <sheetName val="관류_MACRO_1"/>
      <sheetName val="장비대화"/>
      <sheetName val="장비모듈"/>
      <sheetName val="Module1"/>
      <sheetName val="Module2"/>
      <sheetName val="Module3"/>
      <sheetName val="공조기대화(1)"/>
      <sheetName val="공조기대화(2)"/>
      <sheetName val="공조기대화(3)"/>
      <sheetName val="공조기모듈"/>
      <sheetName val="Dialog1"/>
      <sheetName val="Dialog2"/>
      <sheetName val="Dialog3"/>
      <sheetName val="Dialog4"/>
      <sheetName val="목차 "/>
      <sheetName val="온수보일러"/>
      <sheetName val="온수순환펌프"/>
      <sheetName val="급수펌프"/>
      <sheetName val="급탕탱크 "/>
      <sheetName val="급탕순환펌프"/>
      <sheetName val="급탕재순환펌프"/>
      <sheetName val="배수펌프1"/>
      <sheetName val="환기설비"/>
      <sheetName val="환기장비선정"/>
      <sheetName val="덕트"/>
      <sheetName val="송풍기"/>
      <sheetName val="덕트규격"/>
      <sheetName val="환기량"/>
      <sheetName val="TITLE"/>
      <sheetName val="차례"/>
      <sheetName val="급수입상"/>
      <sheetName val="급수횡주"/>
      <sheetName val="기계실배기팬"/>
      <sheetName val="옥외급수간선"/>
      <sheetName val="급수가압펌프"/>
      <sheetName val="급수감압밸브(미완성)"/>
      <sheetName val="옥내세대_감압변"/>
      <sheetName val="배수입상"/>
      <sheetName val="배수횡주"/>
      <sheetName val="소화배관"/>
      <sheetName val="소화양정"/>
      <sheetName val="1m당손실"/>
      <sheetName val="감압양정"/>
      <sheetName val="자동제어"/>
      <sheetName val="급수용 케미컬피더"/>
      <sheetName val="배기팬"/>
      <sheetName val="덕트크기"/>
      <sheetName val="참조영역"/>
      <sheetName val="(복지관)관류율"/>
      <sheetName val="면적계산"/>
      <sheetName val="난방부하계산서"/>
      <sheetName val="부하집계표"/>
      <sheetName val="난방관경"/>
      <sheetName val="보일러선정"/>
      <sheetName val="주민복지관상가위생 (2)"/>
      <sheetName val="3.위생부하 및 관경 (3)"/>
      <sheetName val="주민복지관(환기)"/>
      <sheetName val="상가위생"/>
      <sheetName val="공동구 규격"/>
      <sheetName val="공동구관로"/>
      <sheetName val="펌프실가대규격(미완성)"/>
      <sheetName val="배관두께"/>
      <sheetName val="장비용량 (1)"/>
      <sheetName val="장비용량(2)"/>
      <sheetName val="장비용량(3)"/>
      <sheetName val="장비용량 (4)"/>
      <sheetName val="장비용량 (5)"/>
      <sheetName val="장비용량 (6)"/>
      <sheetName val="장비사양"/>
      <sheetName val="설계사양"/>
      <sheetName val="서울,경기"/>
      <sheetName val="대구"/>
      <sheetName val="빙장비사양"/>
      <sheetName val="흡장비사양"/>
      <sheetName val="빙운전방식"/>
      <sheetName val="빙운전비"/>
      <sheetName val="흡운전방식"/>
      <sheetName val="흡운전비"/>
      <sheetName val="단순비교"/>
      <sheetName val="고정투자대조표"/>
      <sheetName val="지원내용"/>
      <sheetName val="database"/>
      <sheetName val="갑"/>
      <sheetName val="가격(장비)"/>
      <sheetName val="가격(축열조)"/>
      <sheetName val="가격(제어)"/>
      <sheetName val="노무(장비)"/>
      <sheetName val="견적(AFT갑지)"/>
      <sheetName val="내역서(AFT)"/>
      <sheetName val="원가+내역서"/>
      <sheetName val="멀티듀티원가 (2)"/>
      <sheetName val="전기집진기원가1"/>
      <sheetName val="전기집진기원가2"/>
      <sheetName val="C.E.R"/>
      <sheetName val="노무(배관)"/>
      <sheetName val="노무(제어)"/>
      <sheetName val="배관수량"/>
      <sheetName val="제어수량"/>
      <sheetName val="가격(배관)"/>
      <sheetName val="갑2"/>
      <sheetName val="건축개요"/>
      <sheetName val="AHU집계"/>
      <sheetName val="AHU-1"/>
      <sheetName val="AHU-2"/>
      <sheetName val="냉온수유니트"/>
      <sheetName val="냉각탑"/>
      <sheetName val="냉온수펌프"/>
      <sheetName val="냉각수펌프"/>
      <sheetName val="경유탱크"/>
      <sheetName val="PAC선정"/>
      <sheetName val="PAC-1"/>
      <sheetName val="PAC정압계산"/>
      <sheetName val="FCU선정"/>
      <sheetName val="고가수조"/>
      <sheetName val="FAN정압계산-1"/>
      <sheetName val="조건표"/>
      <sheetName val="보일러"/>
      <sheetName val="보일러보급수펌프"/>
      <sheetName val="펌프(급탕)"/>
      <sheetName val="환기(최종)"/>
      <sheetName val="풍량"/>
      <sheetName val="냉온수기용"/>
      <sheetName val="수형군"/>
      <sheetName val="계산서"/>
      <sheetName val="수목표준대가"/>
      <sheetName val="금호"/>
      <sheetName val="데이타"/>
      <sheetName val="난방설비"/>
      <sheetName val="PUMP"/>
      <sheetName val="개요"/>
      <sheetName val="조건"/>
      <sheetName val="실별부하집계"/>
      <sheetName val="방열기"/>
      <sheetName val="시스템에어컨"/>
      <sheetName val="팽창탱크"/>
      <sheetName val="HWG"/>
      <sheetName val="급탕"/>
      <sheetName val="환기"/>
      <sheetName val="전열교환기"/>
      <sheetName val="부하계산서(1층)"/>
      <sheetName val="부하계산서(2층)"/>
      <sheetName val="표지 (2)"/>
      <sheetName val="표지 (3)"/>
      <sheetName val="표지 (4)"/>
      <sheetName val="급탕부하"/>
      <sheetName val="1.급수설비"/>
      <sheetName val="4)급수펌프"/>
      <sheetName val="Sheet1"/>
      <sheetName val="3.배수펌프"/>
      <sheetName val="2.환기설비"/>
      <sheetName val="3).정압계산"/>
      <sheetName val="3)장비선정"/>
      <sheetName val="Sheet3"/>
      <sheetName val="Sheet4"/>
      <sheetName val="Sheet4 (2)"/>
      <sheetName val="AHU-3"/>
      <sheetName val="ATU-1"/>
      <sheetName val="HVU계산"/>
      <sheetName val="HVU-1"/>
      <sheetName val="개요및설계기준"/>
      <sheetName val="열원설비"/>
      <sheetName val="우수및배수"/>
      <sheetName val="위생설비"/>
      <sheetName val="주차장"/>
      <sheetName val="참고자료(AD)"/>
      <sheetName val="1.설계조건"/>
      <sheetName val="2.부하집계"/>
      <sheetName val="3.열원설비"/>
      <sheetName val="4.위생"/>
      <sheetName val="5.펌프선정"/>
      <sheetName val="6.환기"/>
      <sheetName val="7.AHU"/>
      <sheetName val="8.항온항습기"/>
      <sheetName val="laroux"/>
      <sheetName val="계산표지"/>
      <sheetName val="기준자료"/>
      <sheetName val="TR"/>
      <sheetName val="GEN"/>
      <sheetName val="SS수배전"/>
      <sheetName val="단위세대"/>
      <sheetName val="동공용"/>
      <sheetName val="부대복리"/>
      <sheetName val="비상.동력"/>
      <sheetName val="상가"/>
      <sheetName val="세로내간선"/>
      <sheetName val="세로외간선"/>
      <sheetName val="비상일반"/>
      <sheetName val="세동별비상"/>
      <sheetName val="LX"/>
      <sheetName val="전력사다리"/>
      <sheetName val="전화사다리"/>
      <sheetName val="Tel"/>
      <sheetName val="PA"/>
      <sheetName val="Sheet15"/>
      <sheetName val="Sheet16"/>
      <sheetName val="케이블적용자료"/>
      <sheetName val="장비"/>
      <sheetName val="휀코일사양"/>
      <sheetName val="공조기용휀"/>
      <sheetName val="실별 부하"/>
      <sheetName val="1설계"/>
      <sheetName val="2장비"/>
      <sheetName val="공조용펌프"/>
      <sheetName val="급수 유량"/>
      <sheetName val="배수설비"/>
      <sheetName val="1변압기용량"/>
      <sheetName val="2부하집계"/>
      <sheetName val="2부하LIST"/>
      <sheetName val="4MCC용량"/>
      <sheetName val="5직류전원"/>
      <sheetName val="6콘덴서용량"/>
      <sheetName val="7간선케이블"/>
      <sheetName val="7분기케이블"/>
      <sheetName val="8조도계산서"/>
      <sheetName val="PRINTER"/>
      <sheetName val="4차단기선정"/>
      <sheetName val="9정보통신"/>
      <sheetName val="L-LIST"/>
      <sheetName val="CableSchedule"/>
      <sheetName val="CABLE개요"/>
      <sheetName val="9정보통신 (2)"/>
      <sheetName val="sdata"/>
      <sheetName val="Cable Size(설명)"/>
      <sheetName val="콘덴서"/>
      <sheetName val="DATA1"/>
      <sheetName val="CABdata"/>
      <sheetName val="Imp-Data"/>
      <sheetName val="COPING"/>
      <sheetName val="부표총괄"/>
      <sheetName val="설계명세서"/>
      <sheetName val="첨부파일"/>
      <sheetName val="지열"/>
      <sheetName val="내역서"/>
      <sheetName val="일위대가"/>
      <sheetName val="VXXXXXX"/>
      <sheetName val="설계조건1"/>
      <sheetName val="설계조건2"/>
      <sheetName val="부하계산(1)"/>
      <sheetName val="부하계산(2)"/>
      <sheetName val="부하계산(3)"/>
      <sheetName val="부하계산(4)"/>
      <sheetName val="급수설비 (2)"/>
      <sheetName val="급수기구"/>
      <sheetName val="급탕설비 (2)"/>
      <sheetName val="보일러 (2)"/>
      <sheetName val="배기휀-1"/>
      <sheetName val="지하주차장"/>
      <sheetName val="AHU"/>
      <sheetName val="가스냉온풍기"/>
      <sheetName val="온풍기"/>
      <sheetName val="전기온풍기+방열기"/>
      <sheetName val="응축수탱크"/>
      <sheetName val="4.환기설비"/>
      <sheetName val="2).정압계산"/>
      <sheetName val="4)주차장환기"/>
      <sheetName val="SIL98"/>
      <sheetName val="변압기용량"/>
      <sheetName val="전압조건"/>
      <sheetName val="전압강하계산서"/>
      <sheetName val="부하조건"/>
      <sheetName val="부하계산서(전등,전열)"/>
      <sheetName val="부하계산서(동력)"/>
      <sheetName val="조도계산서"/>
      <sheetName val="발전기부하"/>
      <sheetName val="발전기"/>
      <sheetName val="붙임#3-1"/>
      <sheetName val="부하계산서(59A)"/>
      <sheetName val="펌프배점"/>
      <sheetName val="급배기팬"/>
      <sheetName val="환기량-1(지하2)"/>
      <sheetName val=" 송풍기-1(지하2)"/>
      <sheetName val="환기량-1 (지하1)"/>
      <sheetName val=" 송풍기-1 (지하1)"/>
      <sheetName val="가중평균"/>
      <sheetName val="주7)"/>
      <sheetName val="배수펌프"/>
      <sheetName val="주차장환기-1"/>
      <sheetName val="주차장환기-2"/>
      <sheetName val="송풍기-1 "/>
      <sheetName val="송풍기-2"/>
      <sheetName val="전기붙임#8 "/>
      <sheetName val="고효율 전동기 적용여부"/>
      <sheetName val="입찰안"/>
      <sheetName val="Sheet5"/>
      <sheetName val="변경내역"/>
      <sheetName val="설계서(본관)"/>
      <sheetName val="VXXXXX"/>
      <sheetName val="세대별부하계산표"/>
      <sheetName val="단위세대부하계산"/>
      <sheetName val="오.배수탱크"/>
      <sheetName val="저수조 (2)"/>
      <sheetName val="펌프 (2)"/>
      <sheetName val="송풍기 (2)"/>
      <sheetName val="제1장 환기설비"/>
      <sheetName val="1.풍량선정"/>
      <sheetName val="2.휀선정"/>
      <sheetName val="제2장 위생설비"/>
      <sheetName val="1-1 급수량 선정"/>
      <sheetName val="1-2 급수펌프 용량 선정"/>
      <sheetName val="2.PUMP"/>
      <sheetName val="단지개요"/>
      <sheetName val="건설규모"/>
      <sheetName val="열량집계"/>
      <sheetName val="열량집계(3-가)-2"/>
      <sheetName val="연결열부하"/>
      <sheetName val="연결열부하(3-나)-2"/>
      <sheetName val="기계실장비"/>
      <sheetName val="기계실장비(3-다)-2"/>
      <sheetName val="설계기준 (4)"/>
      <sheetName val="난열교환기(5-가)"/>
      <sheetName val="급열교환기(5-나)"/>
      <sheetName val="케미컬피더(6-가)"/>
      <sheetName val="케미컬피더(급수)"/>
      <sheetName val="탈기장치(6-나)"/>
      <sheetName val="신축접수(7)"/>
      <sheetName val="1차압자동(8-가-1)"/>
      <sheetName val="온도조절V(8-다)"/>
      <sheetName val="1중온수(9-가)"/>
      <sheetName val="난방 2차측(9-나)"/>
      <sheetName val="급탕환탕관경(9-다)"/>
      <sheetName val="급탕보급(9-라)"/>
      <sheetName val="급수배관경(9-마)"/>
      <sheetName val="소화배관(9-바)"/>
      <sheetName val="형별발주관경(9-사)"/>
      <sheetName val="펌프선정(10-가)"/>
      <sheetName val="난방펌프(10-나)"/>
      <sheetName val="급탕펌프(10-다)"/>
      <sheetName val="급수펌프(10-라)"/>
      <sheetName val="급수감압밸브(3-가-5)"/>
      <sheetName val="구간별저항검토(급수1F기준)"/>
      <sheetName val="잔류압력검토(급수공동구구간)"/>
      <sheetName val="잔류압력검토(급수PITF기준)"/>
      <sheetName val="잔류압력검토(급수1F기준)"/>
      <sheetName val="배기팬(11)"/>
      <sheetName val="덕트 및 배기그릴선정"/>
      <sheetName val="자동제어관제점(12)"/>
      <sheetName val="지하주차장 가대규격(13)"/>
      <sheetName val="펌프,기계실가대규격"/>
      <sheetName val="공동구규격"/>
      <sheetName val="붙임-난방관수기계"/>
      <sheetName val="붙임-난방관수량"/>
      <sheetName val="붙임-난방양정1"/>
      <sheetName val="붙임-난방양정2"/>
      <sheetName val="붙임-난방양정(저층)3"/>
      <sheetName val="붙임-난방양정(고층)3"/>
      <sheetName val="붙임-급탕양정"/>
      <sheetName val="붙임-옥내급탕양정"/>
      <sheetName val="유량DATA(참고)"/>
      <sheetName val="배관별두께"/>
      <sheetName val="난방data"/>
      <sheetName val="위생data"/>
      <sheetName val="4.2.열관류율"/>
      <sheetName val="4.3비난방온도"/>
      <sheetName val="4-4.평형별 면적계산"/>
      <sheetName val="4.6방열기"/>
      <sheetName val="1설계조건2설계기준"/>
      <sheetName val="3.난방부하집계,4.연결열부하부하"/>
      <sheetName val="5장비선정"/>
      <sheetName val="2)온수순환펌프"/>
      <sheetName val="6.1차압자동"/>
      <sheetName val="1차측 PDCV"/>
      <sheetName val="2차차압밸브"/>
      <sheetName val="온도조절V"/>
      <sheetName val="2차측 PDCV"/>
      <sheetName val="7.팽창기체분리기"/>
      <sheetName val="101,104,106,107동(저),경로당난방용"/>
      <sheetName val="101,104,106,107동(중)난방용"/>
      <sheetName val="101,104,106,107동(고)난방용"/>
      <sheetName val="102,103,105,108,동(저),보육시설난방용"/>
      <sheetName val="102,103,105,108,동(중)난방용"/>
      <sheetName val="102,103,105,108,동(고)난방용"/>
      <sheetName val="장비표기법"/>
      <sheetName val="3.급탕부하집계"/>
      <sheetName val="2.급탕설비"/>
      <sheetName val="3)급탕순환펌프"/>
      <sheetName val="지하주차장 환기량"/>
      <sheetName val="Ⅳ.가스설비"/>
      <sheetName val="동시사용율표"/>
      <sheetName val="공식"/>
      <sheetName val="관경표"/>
      <sheetName val="2.급수펌프"/>
      <sheetName val="3.급탕부하 "/>
      <sheetName val="4.배수펌프"/>
      <sheetName val="장비선정(급기) "/>
      <sheetName val="장비선정(배기)"/>
      <sheetName val="A zone"/>
      <sheetName val="B zone"/>
      <sheetName val="5.가스"/>
      <sheetName val="동별유량 "/>
      <sheetName val="6.부하계산"/>
      <sheetName val="base"/>
      <sheetName val="빙설"/>
      <sheetName val="상업시설 냉방용"/>
      <sheetName val="영화관 냉, 난방용"/>
      <sheetName val="빙축열 냉방용"/>
      <sheetName val="흡장비炬┪"/>
      <sheetName val="표 지"/>
      <sheetName val="일반부하"/>
      <sheetName val="동력,MCC"/>
      <sheetName val="간 선"/>
      <sheetName val="변압기"/>
      <sheetName val="발전기(갑)"/>
      <sheetName val="발전기(을)"/>
      <sheetName val="조 도"/>
      <sheetName val="전화회선"/>
      <sheetName val="방송 AMP"/>
      <sheetName val="TV전계강도"/>
      <sheetName val="Macro(차단기)"/>
      <sheetName val="Macro(전선)"/>
      <sheetName val="Macro(전동기)"/>
      <sheetName val="laroux1"/>
      <sheetName val="열교환기"/>
      <sheetName val="가열코일"/>
      <sheetName val="펌프류"/>
      <sheetName val="팬류"/>
      <sheetName val="아파트_저수조"/>
      <sheetName val="일반_저수조"/>
      <sheetName val="순간온수기"/>
      <sheetName val="주방 개별보일러"/>
      <sheetName val="냉난방부하집계"/>
      <sheetName val="시스템에어콘선정"/>
      <sheetName val="가스탱크"/>
      <sheetName val="000000"/>
      <sheetName val="XXXXXX"/>
      <sheetName val="Recovered_Sheet1"/>
      <sheetName val="시방서표지"/>
      <sheetName val="전체표지 "/>
      <sheetName val="1.건축개요"/>
      <sheetName val="2.설계조건-1"/>
      <sheetName val="설계조건-2"/>
      <sheetName val="3.부하집계 "/>
      <sheetName val="관류보일러"/>
      <sheetName val="난방열교환기(스팀)"/>
      <sheetName val="4.위생설비"/>
      <sheetName val="펌프류 "/>
      <sheetName val="5.1환기설비"/>
      <sheetName val="휀류"/>
      <sheetName val="6.가스설비"/>
      <sheetName val="관경선정_2"/>
      <sheetName val="관경선정_3"/>
      <sheetName val="주차장환기"/>
      <sheetName val="7.관경선정_1"/>
      <sheetName val="시방서"/>
      <sheetName val="FU"/>
      <sheetName val="DATA_K"/>
      <sheetName val="사양"/>
      <sheetName val="e_0512"/>
      <sheetName val="Sizing"/>
      <sheetName val="PAC"/>
      <sheetName val="급수사용량"/>
      <sheetName val="급,배기팬"/>
      <sheetName val="변압기(동력)"/>
      <sheetName val="발전기(갑지)"/>
      <sheetName val="발전기(을지)"/>
      <sheetName val="세대부하"/>
      <sheetName val="동력(기계실)"/>
      <sheetName val="전압강하(주간선)"/>
      <sheetName val="원가계산서(남측)"/>
      <sheetName val="하조서"/>
      <sheetName val="OHU"/>
      <sheetName val="설비개요"/>
      <sheetName val="냉동기"/>
      <sheetName val="냉각탑1"/>
      <sheetName val="냉수펌프"/>
      <sheetName val="FCU선정 (2)"/>
      <sheetName val="보일러(증기)"/>
      <sheetName val="온수펌프"/>
      <sheetName val="유량"/>
      <sheetName val="일반실"/>
      <sheetName val="화장실"/>
      <sheetName val="판매시설"/>
      <sheetName val="노무단가"/>
      <sheetName val="6.1 급수설비"/>
      <sheetName val="빙100장비사양"/>
      <sheetName val="토목주소"/>
      <sheetName val="#REF"/>
      <sheetName val="식재인부"/>
      <sheetName val="조건입력"/>
      <sheetName val="조건입력(2)"/>
      <sheetName val="가-1지역(집계)"/>
      <sheetName val="가-2"/>
      <sheetName val="나-1,2"/>
      <sheetName val="영외숙소"/>
      <sheetName val="A-시설"/>
      <sheetName val="B-시설"/>
      <sheetName val="병영생활관"/>
      <sheetName val="복지시설"/>
      <sheetName val="D-시설"/>
      <sheetName val="DROP"/>
      <sheetName val="LN-M"/>
      <sheetName val="LN-2"/>
      <sheetName val="LN-2A"/>
      <sheetName val="LN-K"/>
      <sheetName val="MCP-F"/>
      <sheetName val="MCCDATA"/>
      <sheetName val="CURRENT"/>
      <sheetName val="첨부1-1"/>
      <sheetName val="내역"/>
      <sheetName val="포장복구집계"/>
      <sheetName val="납부서"/>
      <sheetName val="대비"/>
      <sheetName val="9811"/>
      <sheetName val="준검 내역서"/>
      <sheetName val="기초단가"/>
      <sheetName val="정부노임단가"/>
      <sheetName val="설계"/>
      <sheetName val="을지"/>
      <sheetName val="프랜트면허"/>
      <sheetName val="7.경제성결과"/>
      <sheetName val="일위대가표"/>
      <sheetName val="패널"/>
      <sheetName val="밸브설치"/>
      <sheetName val="단가조사"/>
      <sheetName val="관음목장(제출용)자105인97.5"/>
      <sheetName val="수목데이타 "/>
      <sheetName val="98지급계획"/>
      <sheetName val="품셈TABLE"/>
      <sheetName val="ABUT수량-A1"/>
      <sheetName val="실행철강하도"/>
      <sheetName val="소일위대가코드표"/>
      <sheetName val="기초일위"/>
      <sheetName val="시설일위"/>
      <sheetName val="조명일위"/>
      <sheetName val="시화점실행"/>
      <sheetName val="자재단가비교표"/>
      <sheetName val="남대문빌딩"/>
      <sheetName val="견적서"/>
      <sheetName val="전기공사"/>
      <sheetName val="자재단가"/>
      <sheetName val="경비"/>
      <sheetName val="원가"/>
      <sheetName val="냉난방(실별부하)"/>
      <sheetName val="난방(실별부하)"/>
      <sheetName val="냉온수기집계 및 선정"/>
      <sheetName val="보일러집계 및 선정"/>
      <sheetName val="냉난방용펌프선정"/>
      <sheetName val="급수설비"/>
      <sheetName val="급수펌프선정"/>
      <sheetName val="급탕설비"/>
      <sheetName val="배수펌프선정(집수정,우수)"/>
      <sheetName val="VXXXXXXXXXXXXXX"/>
      <sheetName val="★표지"/>
      <sheetName val="조건 "/>
      <sheetName val="집계-new"/>
      <sheetName val="집계"/>
      <sheetName val="아파트-new"/>
      <sheetName val="보일러-new"/>
      <sheetName val="아파트"/>
      <sheetName val="급수"/>
      <sheetName val="4.2.3동지하횡주관경-실시때작업"/>
      <sheetName val="4.2.4 옥외횡주관경-실시때작업"/>
      <sheetName val="배수-NEW"/>
      <sheetName val="환기 "/>
      <sheetName val="자료"/>
      <sheetName val="설계기준"/>
      <sheetName val="환기조화기"/>
      <sheetName val="냉온수기관련"/>
      <sheetName val="보일러관련"/>
      <sheetName val="변압기 및 발전기 용량"/>
      <sheetName val="Ⅰ.도면리스트"/>
      <sheetName val="Ⅱ.설계기준"/>
      <sheetName val="Ⅲ.체크리스트"/>
      <sheetName val="4.시스템냉난방용량"/>
      <sheetName val="전등-전열"/>
      <sheetName val="동 력"/>
      <sheetName val="MCC"/>
      <sheetName val="Sheet1 (2)"/>
      <sheetName val="Sheet2"/>
      <sheetName val="조명율표"/>
      <sheetName val="11.자재단가"/>
      <sheetName val="Load-Sum(클럽)"/>
      <sheetName val="AH-1 "/>
      <sheetName val="순환펌프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>
        <row r="2">
          <cell r="C2" t="str">
            <v>방위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30">
          <cell r="A30">
            <v>0</v>
          </cell>
          <cell r="B30">
            <v>30</v>
          </cell>
          <cell r="C30">
            <v>100</v>
          </cell>
          <cell r="D30">
            <v>400</v>
          </cell>
          <cell r="E30" t="str">
            <v>100AF/30AT</v>
          </cell>
          <cell r="H30">
            <v>5</v>
          </cell>
        </row>
        <row r="31">
          <cell r="A31">
            <v>30.1</v>
          </cell>
          <cell r="B31">
            <v>30</v>
          </cell>
          <cell r="C31">
            <v>100</v>
          </cell>
          <cell r="D31">
            <v>400</v>
          </cell>
          <cell r="E31" t="str">
            <v>100AF/30AT</v>
          </cell>
          <cell r="H31">
            <v>10</v>
          </cell>
        </row>
        <row r="32">
          <cell r="A32">
            <v>40.1</v>
          </cell>
          <cell r="B32">
            <v>40</v>
          </cell>
          <cell r="C32">
            <v>100</v>
          </cell>
          <cell r="D32">
            <v>400</v>
          </cell>
          <cell r="E32" t="str">
            <v>100AF/40AT</v>
          </cell>
          <cell r="H32">
            <v>0</v>
          </cell>
          <cell r="I32">
            <v>15</v>
          </cell>
        </row>
        <row r="33">
          <cell r="A33">
            <v>50.1</v>
          </cell>
          <cell r="B33">
            <v>50</v>
          </cell>
          <cell r="C33">
            <v>100</v>
          </cell>
          <cell r="D33">
            <v>400</v>
          </cell>
          <cell r="E33" t="str">
            <v>100AF/50AT</v>
          </cell>
          <cell r="H33">
            <v>15.1</v>
          </cell>
          <cell r="I33">
            <v>20</v>
          </cell>
        </row>
        <row r="34">
          <cell r="A34">
            <v>60.1</v>
          </cell>
          <cell r="B34">
            <v>60</v>
          </cell>
          <cell r="C34">
            <v>100</v>
          </cell>
          <cell r="D34">
            <v>400</v>
          </cell>
          <cell r="E34" t="str">
            <v>100AF/60AT</v>
          </cell>
          <cell r="H34">
            <v>20.100000000000001</v>
          </cell>
          <cell r="I34">
            <v>25</v>
          </cell>
        </row>
        <row r="35">
          <cell r="A35">
            <v>75.099999999999994</v>
          </cell>
          <cell r="B35">
            <v>75</v>
          </cell>
          <cell r="C35">
            <v>100</v>
          </cell>
          <cell r="D35">
            <v>400</v>
          </cell>
          <cell r="E35" t="str">
            <v>100AF/75AT</v>
          </cell>
          <cell r="H35">
            <v>25.1</v>
          </cell>
          <cell r="I35">
            <v>30</v>
          </cell>
        </row>
        <row r="36">
          <cell r="A36">
            <v>100.1</v>
          </cell>
          <cell r="B36">
            <v>100</v>
          </cell>
          <cell r="C36">
            <v>100</v>
          </cell>
          <cell r="D36">
            <v>400</v>
          </cell>
          <cell r="E36" t="str">
            <v>100AF/100AT</v>
          </cell>
          <cell r="H36">
            <v>30.1</v>
          </cell>
          <cell r="I36">
            <v>40</v>
          </cell>
        </row>
        <row r="37">
          <cell r="A37">
            <v>125.1</v>
          </cell>
          <cell r="B37">
            <v>125</v>
          </cell>
          <cell r="C37">
            <v>225</v>
          </cell>
          <cell r="D37">
            <v>400</v>
          </cell>
          <cell r="E37" t="str">
            <v>225AF/125AT</v>
          </cell>
          <cell r="H37">
            <v>40.1</v>
          </cell>
          <cell r="I37">
            <v>50</v>
          </cell>
        </row>
        <row r="38">
          <cell r="A38">
            <v>150.1</v>
          </cell>
          <cell r="B38">
            <v>150</v>
          </cell>
          <cell r="C38">
            <v>225</v>
          </cell>
          <cell r="D38">
            <v>400</v>
          </cell>
          <cell r="E38" t="str">
            <v>225AF/150AT</v>
          </cell>
          <cell r="H38">
            <v>50.1</v>
          </cell>
          <cell r="I38">
            <v>60</v>
          </cell>
        </row>
        <row r="39">
          <cell r="A39">
            <v>175.1</v>
          </cell>
          <cell r="B39">
            <v>175</v>
          </cell>
          <cell r="C39">
            <v>225</v>
          </cell>
          <cell r="D39">
            <v>400</v>
          </cell>
          <cell r="E39" t="str">
            <v>225AF/175AT</v>
          </cell>
          <cell r="H39">
            <v>60.1</v>
          </cell>
          <cell r="I39">
            <v>75</v>
          </cell>
        </row>
        <row r="40">
          <cell r="A40">
            <v>200.1</v>
          </cell>
          <cell r="B40">
            <v>200</v>
          </cell>
          <cell r="C40">
            <v>225</v>
          </cell>
          <cell r="D40">
            <v>400</v>
          </cell>
          <cell r="E40" t="str">
            <v>225AF/200AT</v>
          </cell>
          <cell r="H40">
            <v>75.099999999999994</v>
          </cell>
          <cell r="I40">
            <v>80</v>
          </cell>
        </row>
        <row r="41">
          <cell r="A41">
            <v>225.1</v>
          </cell>
          <cell r="B41">
            <v>225</v>
          </cell>
          <cell r="C41">
            <v>225</v>
          </cell>
          <cell r="D41">
            <v>600</v>
          </cell>
          <cell r="E41" t="str">
            <v>225AF/225AT</v>
          </cell>
          <cell r="H41">
            <v>80.099999999999994</v>
          </cell>
          <cell r="I41">
            <v>100</v>
          </cell>
        </row>
        <row r="42">
          <cell r="A42">
            <v>250.1</v>
          </cell>
          <cell r="B42">
            <v>250</v>
          </cell>
          <cell r="C42">
            <v>400</v>
          </cell>
          <cell r="D42">
            <v>600</v>
          </cell>
          <cell r="E42" t="str">
            <v>400AF/250AT</v>
          </cell>
          <cell r="H42">
            <v>100.1</v>
          </cell>
          <cell r="I42">
            <v>120</v>
          </cell>
        </row>
        <row r="43">
          <cell r="A43">
            <v>300.10000000000002</v>
          </cell>
          <cell r="B43">
            <v>300</v>
          </cell>
          <cell r="C43">
            <v>400</v>
          </cell>
          <cell r="D43">
            <v>600</v>
          </cell>
          <cell r="E43" t="str">
            <v>400AF/300AT</v>
          </cell>
          <cell r="H43">
            <v>120.1</v>
          </cell>
          <cell r="I43">
            <v>150</v>
          </cell>
        </row>
        <row r="44">
          <cell r="A44">
            <v>350.1</v>
          </cell>
          <cell r="B44">
            <v>350</v>
          </cell>
          <cell r="C44">
            <v>400</v>
          </cell>
          <cell r="D44">
            <v>600</v>
          </cell>
          <cell r="E44" t="str">
            <v>400AF/350AT</v>
          </cell>
          <cell r="H44">
            <v>150.1</v>
          </cell>
          <cell r="I44">
            <v>200</v>
          </cell>
        </row>
        <row r="45">
          <cell r="A45">
            <v>400.1</v>
          </cell>
          <cell r="B45">
            <v>400</v>
          </cell>
          <cell r="C45">
            <v>400</v>
          </cell>
          <cell r="D45">
            <v>800</v>
          </cell>
          <cell r="E45" t="str">
            <v>400AF/400AT</v>
          </cell>
          <cell r="H45">
            <v>200.1</v>
          </cell>
          <cell r="I45">
            <v>250</v>
          </cell>
        </row>
        <row r="46">
          <cell r="A46">
            <v>450.1</v>
          </cell>
          <cell r="B46">
            <v>450</v>
          </cell>
          <cell r="C46">
            <v>600</v>
          </cell>
          <cell r="D46">
            <v>800</v>
          </cell>
          <cell r="E46" t="str">
            <v>600AF/450AT</v>
          </cell>
          <cell r="H46">
            <v>250.1</v>
          </cell>
          <cell r="I46">
            <v>300</v>
          </cell>
        </row>
        <row r="47">
          <cell r="A47">
            <v>500.1</v>
          </cell>
          <cell r="B47">
            <v>500</v>
          </cell>
          <cell r="C47">
            <v>600</v>
          </cell>
          <cell r="D47">
            <v>800</v>
          </cell>
          <cell r="E47" t="str">
            <v>600AF/500AT</v>
          </cell>
          <cell r="H47">
            <v>300.10000000000002</v>
          </cell>
          <cell r="I47">
            <v>400</v>
          </cell>
        </row>
        <row r="48">
          <cell r="A48">
            <v>600.1</v>
          </cell>
          <cell r="B48">
            <v>600</v>
          </cell>
          <cell r="C48">
            <v>600</v>
          </cell>
          <cell r="D48">
            <v>1000</v>
          </cell>
          <cell r="E48" t="str">
            <v>600AF/600AT</v>
          </cell>
          <cell r="H48">
            <v>400.1</v>
          </cell>
          <cell r="I48">
            <v>500</v>
          </cell>
        </row>
        <row r="49">
          <cell r="A49">
            <v>700.1</v>
          </cell>
          <cell r="B49">
            <v>700</v>
          </cell>
          <cell r="C49">
            <v>800</v>
          </cell>
          <cell r="D49">
            <v>1000</v>
          </cell>
          <cell r="E49" t="str">
            <v>800AF/700AT</v>
          </cell>
          <cell r="H49">
            <v>500.1</v>
          </cell>
          <cell r="I49">
            <v>600</v>
          </cell>
        </row>
        <row r="50">
          <cell r="A50">
            <v>800.1</v>
          </cell>
          <cell r="B50">
            <v>800</v>
          </cell>
          <cell r="C50">
            <v>800</v>
          </cell>
          <cell r="D50">
            <v>1200</v>
          </cell>
          <cell r="E50" t="str">
            <v>800AF/800AT</v>
          </cell>
          <cell r="H50">
            <v>600.1</v>
          </cell>
          <cell r="I50">
            <v>750</v>
          </cell>
        </row>
        <row r="51">
          <cell r="A51">
            <v>1000.1</v>
          </cell>
          <cell r="B51">
            <v>1000</v>
          </cell>
          <cell r="C51">
            <v>1000</v>
          </cell>
          <cell r="D51">
            <v>1200</v>
          </cell>
          <cell r="E51" t="str">
            <v>1000AF/1000AT</v>
          </cell>
          <cell r="H51">
            <v>750.1</v>
          </cell>
          <cell r="I51">
            <v>800</v>
          </cell>
        </row>
        <row r="52">
          <cell r="A52">
            <v>1200.0999999999999</v>
          </cell>
          <cell r="B52">
            <v>1200</v>
          </cell>
          <cell r="C52">
            <v>1200</v>
          </cell>
          <cell r="E52" t="str">
            <v>1200AF/1200AT</v>
          </cell>
          <cell r="H52">
            <v>800.1</v>
          </cell>
          <cell r="I52">
            <v>1000</v>
          </cell>
        </row>
        <row r="53">
          <cell r="H53">
            <v>1000.1</v>
          </cell>
          <cell r="I53">
            <v>1200</v>
          </cell>
        </row>
        <row r="54">
          <cell r="H54">
            <v>1200.0999999999999</v>
          </cell>
          <cell r="I54">
            <v>1500</v>
          </cell>
        </row>
        <row r="55">
          <cell r="H55">
            <v>1500.1</v>
          </cell>
          <cell r="I55">
            <v>2000</v>
          </cell>
        </row>
        <row r="56">
          <cell r="H56">
            <v>2000.1</v>
          </cell>
          <cell r="I56">
            <v>2500</v>
          </cell>
        </row>
        <row r="57">
          <cell r="H57">
            <v>2500.1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/>
      <sheetData sheetId="217" refreshError="1"/>
      <sheetData sheetId="218" refreshError="1"/>
      <sheetData sheetId="219" refreshError="1"/>
      <sheetData sheetId="220" refreshError="1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/>
      <sheetData sheetId="277" refreshError="1"/>
      <sheetData sheetId="278" refreshError="1"/>
      <sheetData sheetId="279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/>
      <sheetData sheetId="326"/>
      <sheetData sheetId="327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/>
      <sheetData sheetId="336"/>
      <sheetData sheetId="337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/>
      <sheetData sheetId="364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/>
      <sheetData sheetId="430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/>
      <sheetData sheetId="481"/>
      <sheetData sheetId="482" refreshError="1"/>
      <sheetData sheetId="483"/>
      <sheetData sheetId="484"/>
      <sheetData sheetId="485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/>
      <sheetData sheetId="498"/>
      <sheetData sheetId="499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/>
      <sheetData sheetId="508"/>
      <sheetData sheetId="509" refreshError="1"/>
      <sheetData sheetId="510"/>
      <sheetData sheetId="511"/>
      <sheetData sheetId="512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/>
      <sheetData sheetId="532"/>
      <sheetData sheetId="533"/>
      <sheetData sheetId="534"/>
      <sheetData sheetId="535" refreshError="1"/>
      <sheetData sheetId="536"/>
      <sheetData sheetId="537"/>
      <sheetData sheetId="538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RAGE"/>
      <sheetName val="Y-WORK"/>
    </sheetNames>
    <sheetDataSet>
      <sheetData sheetId="0"/>
      <sheetData sheetId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표지 및 목차"/>
      <sheetName val="1.1 부하집계표"/>
      <sheetName val="1.2 동력설비 부하계산서"/>
      <sheetName val="2. 변압기 용량 계산"/>
      <sheetName val="3. 콘덴서"/>
      <sheetName val="6. 차단기"/>
      <sheetName val="7. Cable(설명)-IEC"/>
      <sheetName val="7.3.1 전력간선 굵기"/>
      <sheetName val="7.3.2 분기회로 굵기"/>
      <sheetName val="8.1 비상발전기-보안"/>
      <sheetName val="9. 접지계산"/>
      <sheetName val="9. 접지계산(x)-성덕"/>
      <sheetName val="전기실 중량(X)"/>
      <sheetName val="7. Cable(설명)-KS"/>
      <sheetName val="8.1 직류전원설비(X)"/>
      <sheetName val="8. 접지계산(x)"/>
      <sheetName val="10. 전기제원표(X)"/>
      <sheetName val="8.1 비상발전기"/>
      <sheetName val="MCC제원"/>
      <sheetName val="DATA"/>
      <sheetName val="허용전류-IEC DATA"/>
      <sheetName val="허용전류-IEC"/>
      <sheetName val="허용전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5">
          <cell r="A5">
            <v>1E-3</v>
          </cell>
          <cell r="D5">
            <v>0.95</v>
          </cell>
          <cell r="E5">
            <v>50</v>
          </cell>
          <cell r="F5">
            <v>15</v>
          </cell>
          <cell r="I5" t="str">
            <v>10/5A</v>
          </cell>
          <cell r="J5" t="str">
            <v>0.5 ~ 6A</v>
          </cell>
          <cell r="K5" t="str">
            <v>-</v>
          </cell>
          <cell r="L5">
            <v>200</v>
          </cell>
          <cell r="M5">
            <v>300</v>
          </cell>
          <cell r="N5">
            <v>400</v>
          </cell>
          <cell r="S5">
            <v>4</v>
          </cell>
          <cell r="T5">
            <v>4</v>
          </cell>
          <cell r="U5">
            <v>240</v>
          </cell>
          <cell r="V5">
            <v>240</v>
          </cell>
          <cell r="W5">
            <v>240</v>
          </cell>
          <cell r="AA5">
            <v>200</v>
          </cell>
          <cell r="AB5">
            <v>200</v>
          </cell>
          <cell r="AC5">
            <v>300</v>
          </cell>
        </row>
        <row r="6">
          <cell r="A6">
            <v>0.2</v>
          </cell>
          <cell r="B6">
            <v>58</v>
          </cell>
          <cell r="C6">
            <v>53</v>
          </cell>
          <cell r="D6">
            <v>0.95</v>
          </cell>
          <cell r="E6">
            <v>50</v>
          </cell>
          <cell r="F6">
            <v>15</v>
          </cell>
          <cell r="I6" t="str">
            <v>10/5A</v>
          </cell>
          <cell r="J6" t="str">
            <v>0.5 ~ 6A</v>
          </cell>
          <cell r="K6" t="str">
            <v>-</v>
          </cell>
          <cell r="L6">
            <v>200</v>
          </cell>
          <cell r="M6">
            <v>300</v>
          </cell>
          <cell r="N6">
            <v>400</v>
          </cell>
          <cell r="R6">
            <v>900</v>
          </cell>
          <cell r="S6">
            <v>4</v>
          </cell>
          <cell r="T6">
            <v>4</v>
          </cell>
          <cell r="U6">
            <v>240</v>
          </cell>
          <cell r="V6">
            <v>240</v>
          </cell>
          <cell r="W6">
            <v>240</v>
          </cell>
          <cell r="AA6">
            <v>200</v>
          </cell>
          <cell r="AB6">
            <v>200</v>
          </cell>
          <cell r="AC6">
            <v>300</v>
          </cell>
          <cell r="AG6">
            <v>900</v>
          </cell>
        </row>
        <row r="7">
          <cell r="A7">
            <v>0.25</v>
          </cell>
          <cell r="B7">
            <v>65</v>
          </cell>
          <cell r="C7">
            <v>63</v>
          </cell>
          <cell r="D7">
            <v>1.1299999999999999</v>
          </cell>
          <cell r="E7">
            <v>50</v>
          </cell>
          <cell r="F7">
            <v>15</v>
          </cell>
          <cell r="I7" t="str">
            <v>-</v>
          </cell>
          <cell r="J7" t="str">
            <v>-</v>
          </cell>
          <cell r="K7" t="str">
            <v>-</v>
          </cell>
          <cell r="L7">
            <v>200</v>
          </cell>
          <cell r="M7">
            <v>300</v>
          </cell>
          <cell r="N7">
            <v>400</v>
          </cell>
          <cell r="R7">
            <v>900</v>
          </cell>
          <cell r="S7">
            <v>4</v>
          </cell>
          <cell r="T7">
            <v>4</v>
          </cell>
          <cell r="U7">
            <v>240</v>
          </cell>
          <cell r="V7">
            <v>240</v>
          </cell>
          <cell r="W7">
            <v>240</v>
          </cell>
          <cell r="AA7">
            <v>200</v>
          </cell>
          <cell r="AB7">
            <v>200</v>
          </cell>
          <cell r="AC7">
            <v>300</v>
          </cell>
          <cell r="AG7">
            <v>900</v>
          </cell>
        </row>
        <row r="8">
          <cell r="A8">
            <v>0.4</v>
          </cell>
          <cell r="B8">
            <v>65</v>
          </cell>
          <cell r="C8">
            <v>63</v>
          </cell>
          <cell r="D8">
            <v>1.68</v>
          </cell>
          <cell r="E8">
            <v>50</v>
          </cell>
          <cell r="F8">
            <v>15</v>
          </cell>
          <cell r="I8" t="str">
            <v>10/5A</v>
          </cell>
          <cell r="J8" t="str">
            <v>0.5 ~ 6A</v>
          </cell>
          <cell r="K8" t="str">
            <v>-</v>
          </cell>
          <cell r="L8">
            <v>200</v>
          </cell>
          <cell r="M8">
            <v>300</v>
          </cell>
          <cell r="N8">
            <v>400</v>
          </cell>
          <cell r="R8">
            <v>900</v>
          </cell>
          <cell r="S8">
            <v>4</v>
          </cell>
          <cell r="T8">
            <v>4</v>
          </cell>
          <cell r="U8">
            <v>240</v>
          </cell>
          <cell r="V8">
            <v>240</v>
          </cell>
          <cell r="W8">
            <v>240</v>
          </cell>
          <cell r="AA8">
            <v>200</v>
          </cell>
          <cell r="AB8">
            <v>200</v>
          </cell>
          <cell r="AC8">
            <v>300</v>
          </cell>
          <cell r="AG8">
            <v>900</v>
          </cell>
        </row>
        <row r="9">
          <cell r="A9">
            <v>0.5</v>
          </cell>
          <cell r="B9">
            <v>71.5</v>
          </cell>
          <cell r="C9">
            <v>70</v>
          </cell>
          <cell r="D9">
            <v>1.92</v>
          </cell>
          <cell r="E9">
            <v>50</v>
          </cell>
          <cell r="F9">
            <v>15</v>
          </cell>
          <cell r="I9" t="str">
            <v>10/5A</v>
          </cell>
          <cell r="J9" t="str">
            <v>0.5 ~ 6A</v>
          </cell>
          <cell r="K9" t="str">
            <v>-</v>
          </cell>
          <cell r="L9">
            <v>200</v>
          </cell>
          <cell r="M9">
            <v>300</v>
          </cell>
          <cell r="N9">
            <v>400</v>
          </cell>
          <cell r="R9">
            <v>900</v>
          </cell>
          <cell r="S9">
            <v>4</v>
          </cell>
          <cell r="T9">
            <v>4</v>
          </cell>
          <cell r="U9">
            <v>240</v>
          </cell>
          <cell r="V9">
            <v>240</v>
          </cell>
          <cell r="W9">
            <v>240</v>
          </cell>
          <cell r="AA9">
            <v>200</v>
          </cell>
          <cell r="AB9">
            <v>200</v>
          </cell>
          <cell r="AC9">
            <v>300</v>
          </cell>
          <cell r="AG9">
            <v>900</v>
          </cell>
        </row>
        <row r="10">
          <cell r="A10">
            <v>0.74</v>
          </cell>
          <cell r="B10">
            <v>71.5</v>
          </cell>
          <cell r="C10">
            <v>70</v>
          </cell>
          <cell r="D10">
            <v>2.5099999999999998</v>
          </cell>
          <cell r="E10">
            <v>50</v>
          </cell>
          <cell r="F10">
            <v>15</v>
          </cell>
          <cell r="I10" t="str">
            <v>10/5A</v>
          </cell>
          <cell r="J10" t="str">
            <v>0.5 ~ 6A</v>
          </cell>
          <cell r="K10" t="str">
            <v>-</v>
          </cell>
          <cell r="L10">
            <v>200</v>
          </cell>
          <cell r="M10">
            <v>300</v>
          </cell>
          <cell r="N10">
            <v>400</v>
          </cell>
          <cell r="R10">
            <v>900</v>
          </cell>
          <cell r="S10">
            <v>4</v>
          </cell>
          <cell r="T10">
            <v>4</v>
          </cell>
          <cell r="U10">
            <v>240</v>
          </cell>
          <cell r="V10">
            <v>240</v>
          </cell>
          <cell r="W10">
            <v>240</v>
          </cell>
          <cell r="AA10">
            <v>200</v>
          </cell>
          <cell r="AB10">
            <v>200</v>
          </cell>
          <cell r="AC10">
            <v>300</v>
          </cell>
          <cell r="AG10">
            <v>900</v>
          </cell>
        </row>
        <row r="11">
          <cell r="A11">
            <v>0.75</v>
          </cell>
          <cell r="B11">
            <v>71.5</v>
          </cell>
          <cell r="C11">
            <v>70</v>
          </cell>
          <cell r="D11">
            <v>2.5299999999999998</v>
          </cell>
          <cell r="E11">
            <v>50</v>
          </cell>
          <cell r="F11">
            <v>15</v>
          </cell>
          <cell r="I11" t="str">
            <v>10/5A</v>
          </cell>
          <cell r="J11" t="str">
            <v>0.5 ~ 6A</v>
          </cell>
          <cell r="K11" t="str">
            <v>-</v>
          </cell>
          <cell r="L11">
            <v>200</v>
          </cell>
          <cell r="M11">
            <v>300</v>
          </cell>
          <cell r="N11">
            <v>400</v>
          </cell>
          <cell r="R11">
            <v>900</v>
          </cell>
          <cell r="S11">
            <v>4</v>
          </cell>
          <cell r="T11">
            <v>4</v>
          </cell>
          <cell r="U11">
            <v>240</v>
          </cell>
          <cell r="V11">
            <v>240</v>
          </cell>
          <cell r="W11">
            <v>240</v>
          </cell>
          <cell r="AA11">
            <v>200</v>
          </cell>
          <cell r="AB11">
            <v>200</v>
          </cell>
          <cell r="AC11">
            <v>300</v>
          </cell>
          <cell r="AG11">
            <v>900</v>
          </cell>
        </row>
        <row r="12">
          <cell r="A12">
            <v>0.79</v>
          </cell>
          <cell r="B12">
            <v>78</v>
          </cell>
          <cell r="C12">
            <v>75</v>
          </cell>
          <cell r="D12">
            <v>2.62</v>
          </cell>
          <cell r="E12">
            <v>50</v>
          </cell>
          <cell r="F12">
            <v>15</v>
          </cell>
          <cell r="I12" t="str">
            <v>10/5A</v>
          </cell>
          <cell r="J12" t="str">
            <v>-</v>
          </cell>
          <cell r="K12" t="str">
            <v>-</v>
          </cell>
          <cell r="L12">
            <v>200</v>
          </cell>
          <cell r="M12">
            <v>300</v>
          </cell>
          <cell r="N12">
            <v>400</v>
          </cell>
          <cell r="R12">
            <v>900</v>
          </cell>
          <cell r="S12">
            <v>4</v>
          </cell>
          <cell r="T12">
            <v>4</v>
          </cell>
          <cell r="U12">
            <v>240</v>
          </cell>
          <cell r="V12">
            <v>240</v>
          </cell>
          <cell r="W12">
            <v>240</v>
          </cell>
          <cell r="AA12">
            <v>200</v>
          </cell>
          <cell r="AB12">
            <v>200</v>
          </cell>
          <cell r="AC12">
            <v>300</v>
          </cell>
          <cell r="AG12">
            <v>900</v>
          </cell>
        </row>
        <row r="13">
          <cell r="A13">
            <v>0.9</v>
          </cell>
          <cell r="B13">
            <v>78</v>
          </cell>
          <cell r="C13">
            <v>75</v>
          </cell>
          <cell r="D13">
            <v>2.87</v>
          </cell>
          <cell r="E13">
            <v>50</v>
          </cell>
          <cell r="F13">
            <v>15</v>
          </cell>
          <cell r="I13" t="str">
            <v>10/5A</v>
          </cell>
          <cell r="J13" t="str">
            <v>-</v>
          </cell>
          <cell r="K13" t="str">
            <v>-</v>
          </cell>
          <cell r="L13">
            <v>200</v>
          </cell>
          <cell r="M13">
            <v>300</v>
          </cell>
          <cell r="N13">
            <v>400</v>
          </cell>
          <cell r="R13">
            <v>900</v>
          </cell>
          <cell r="S13">
            <v>4</v>
          </cell>
          <cell r="T13">
            <v>4</v>
          </cell>
          <cell r="U13">
            <v>240</v>
          </cell>
          <cell r="V13">
            <v>240</v>
          </cell>
          <cell r="W13">
            <v>240</v>
          </cell>
          <cell r="AA13">
            <v>200</v>
          </cell>
          <cell r="AB13">
            <v>200</v>
          </cell>
          <cell r="AC13">
            <v>300</v>
          </cell>
          <cell r="AG13">
            <v>900</v>
          </cell>
        </row>
        <row r="14">
          <cell r="A14">
            <v>1.1000000000000001</v>
          </cell>
          <cell r="B14">
            <v>78</v>
          </cell>
          <cell r="C14">
            <v>75</v>
          </cell>
          <cell r="D14">
            <v>3.31</v>
          </cell>
          <cell r="E14">
            <v>50</v>
          </cell>
          <cell r="F14">
            <v>15</v>
          </cell>
          <cell r="I14" t="str">
            <v>10/5A</v>
          </cell>
          <cell r="J14" t="str">
            <v>-</v>
          </cell>
          <cell r="K14" t="str">
            <v>-</v>
          </cell>
          <cell r="L14">
            <v>200</v>
          </cell>
          <cell r="M14">
            <v>300</v>
          </cell>
          <cell r="N14">
            <v>400</v>
          </cell>
          <cell r="R14">
            <v>900</v>
          </cell>
          <cell r="S14">
            <v>4</v>
          </cell>
          <cell r="T14">
            <v>4</v>
          </cell>
          <cell r="U14">
            <v>240</v>
          </cell>
          <cell r="V14">
            <v>240</v>
          </cell>
          <cell r="W14">
            <v>240</v>
          </cell>
          <cell r="AA14">
            <v>200</v>
          </cell>
          <cell r="AB14">
            <v>200</v>
          </cell>
          <cell r="AC14">
            <v>300</v>
          </cell>
          <cell r="AG14">
            <v>900</v>
          </cell>
        </row>
        <row r="15">
          <cell r="A15">
            <v>1.1499999999999999</v>
          </cell>
          <cell r="B15">
            <v>78</v>
          </cell>
          <cell r="C15">
            <v>75</v>
          </cell>
          <cell r="D15">
            <v>3.43</v>
          </cell>
          <cell r="E15">
            <v>50</v>
          </cell>
          <cell r="F15">
            <v>15</v>
          </cell>
          <cell r="I15" t="str">
            <v>-</v>
          </cell>
          <cell r="J15" t="str">
            <v>-</v>
          </cell>
          <cell r="K15" t="str">
            <v>-</v>
          </cell>
          <cell r="L15">
            <v>200</v>
          </cell>
          <cell r="M15">
            <v>300</v>
          </cell>
          <cell r="N15">
            <v>400</v>
          </cell>
          <cell r="R15">
            <v>900</v>
          </cell>
          <cell r="S15">
            <v>4</v>
          </cell>
          <cell r="T15">
            <v>4</v>
          </cell>
          <cell r="U15">
            <v>240</v>
          </cell>
          <cell r="V15">
            <v>240</v>
          </cell>
          <cell r="W15">
            <v>240</v>
          </cell>
          <cell r="AA15">
            <v>200</v>
          </cell>
          <cell r="AB15">
            <v>200</v>
          </cell>
          <cell r="AC15">
            <v>300</v>
          </cell>
          <cell r="AG15">
            <v>900</v>
          </cell>
        </row>
        <row r="16">
          <cell r="A16">
            <v>1.3</v>
          </cell>
          <cell r="B16">
            <v>78</v>
          </cell>
          <cell r="C16">
            <v>75</v>
          </cell>
          <cell r="D16">
            <v>3.76</v>
          </cell>
          <cell r="E16">
            <v>50</v>
          </cell>
          <cell r="F16">
            <v>15</v>
          </cell>
          <cell r="I16" t="str">
            <v>-</v>
          </cell>
          <cell r="J16" t="str">
            <v>-</v>
          </cell>
          <cell r="K16" t="str">
            <v>-</v>
          </cell>
          <cell r="L16">
            <v>200</v>
          </cell>
          <cell r="M16">
            <v>300</v>
          </cell>
          <cell r="N16">
            <v>400</v>
          </cell>
          <cell r="R16">
            <v>900</v>
          </cell>
          <cell r="S16">
            <v>4</v>
          </cell>
          <cell r="T16">
            <v>4</v>
          </cell>
          <cell r="U16">
            <v>240</v>
          </cell>
          <cell r="V16">
            <v>240</v>
          </cell>
          <cell r="W16">
            <v>240</v>
          </cell>
          <cell r="AA16">
            <v>200</v>
          </cell>
          <cell r="AB16">
            <v>200</v>
          </cell>
          <cell r="AC16">
            <v>300</v>
          </cell>
          <cell r="AG16">
            <v>900</v>
          </cell>
        </row>
        <row r="17">
          <cell r="A17">
            <v>1.5</v>
          </cell>
          <cell r="B17">
            <v>78</v>
          </cell>
          <cell r="C17">
            <v>75</v>
          </cell>
          <cell r="D17">
            <v>4.21</v>
          </cell>
          <cell r="E17">
            <v>50</v>
          </cell>
          <cell r="F17">
            <v>15</v>
          </cell>
          <cell r="I17" t="str">
            <v>10/5A</v>
          </cell>
          <cell r="J17" t="str">
            <v>0.5 ~ 6A</v>
          </cell>
          <cell r="K17">
            <v>10</v>
          </cell>
          <cell r="L17">
            <v>200</v>
          </cell>
          <cell r="M17">
            <v>300</v>
          </cell>
          <cell r="N17">
            <v>400</v>
          </cell>
          <cell r="R17">
            <v>900</v>
          </cell>
          <cell r="S17">
            <v>4</v>
          </cell>
          <cell r="T17">
            <v>4</v>
          </cell>
          <cell r="U17">
            <v>240</v>
          </cell>
          <cell r="V17">
            <v>240</v>
          </cell>
          <cell r="W17">
            <v>240</v>
          </cell>
          <cell r="AA17">
            <v>200</v>
          </cell>
          <cell r="AB17">
            <v>200</v>
          </cell>
          <cell r="AC17">
            <v>300</v>
          </cell>
          <cell r="AG17">
            <v>900</v>
          </cell>
        </row>
        <row r="18">
          <cell r="A18">
            <v>1.55</v>
          </cell>
          <cell r="B18">
            <v>81</v>
          </cell>
          <cell r="C18">
            <v>77</v>
          </cell>
          <cell r="D18">
            <v>4.33</v>
          </cell>
          <cell r="E18">
            <v>50</v>
          </cell>
          <cell r="F18">
            <v>15</v>
          </cell>
          <cell r="I18" t="str">
            <v>-</v>
          </cell>
          <cell r="J18" t="str">
            <v>-</v>
          </cell>
          <cell r="K18" t="str">
            <v>-</v>
          </cell>
          <cell r="L18">
            <v>200</v>
          </cell>
          <cell r="M18">
            <v>300</v>
          </cell>
          <cell r="N18">
            <v>400</v>
          </cell>
          <cell r="R18">
            <v>900</v>
          </cell>
          <cell r="S18">
            <v>4</v>
          </cell>
          <cell r="T18">
            <v>4</v>
          </cell>
          <cell r="U18">
            <v>240</v>
          </cell>
          <cell r="V18">
            <v>240</v>
          </cell>
          <cell r="W18">
            <v>240</v>
          </cell>
          <cell r="AA18">
            <v>200</v>
          </cell>
          <cell r="AB18">
            <v>200</v>
          </cell>
          <cell r="AC18">
            <v>300</v>
          </cell>
          <cell r="AG18">
            <v>900</v>
          </cell>
        </row>
        <row r="19">
          <cell r="A19">
            <v>1.6</v>
          </cell>
          <cell r="B19">
            <v>81</v>
          </cell>
          <cell r="C19">
            <v>77</v>
          </cell>
          <cell r="D19">
            <v>4.4400000000000004</v>
          </cell>
          <cell r="E19">
            <v>50</v>
          </cell>
          <cell r="F19">
            <v>15</v>
          </cell>
          <cell r="I19" t="str">
            <v>-</v>
          </cell>
          <cell r="J19" t="str">
            <v>-</v>
          </cell>
          <cell r="K19" t="str">
            <v>-</v>
          </cell>
          <cell r="L19">
            <v>200</v>
          </cell>
          <cell r="M19">
            <v>300</v>
          </cell>
          <cell r="N19">
            <v>400</v>
          </cell>
          <cell r="R19">
            <v>900</v>
          </cell>
          <cell r="S19">
            <v>4</v>
          </cell>
          <cell r="T19">
            <v>4</v>
          </cell>
          <cell r="U19">
            <v>240</v>
          </cell>
          <cell r="V19">
            <v>240</v>
          </cell>
          <cell r="W19">
            <v>240</v>
          </cell>
          <cell r="AA19">
            <v>200</v>
          </cell>
          <cell r="AB19">
            <v>200</v>
          </cell>
          <cell r="AC19">
            <v>300</v>
          </cell>
          <cell r="AG19">
            <v>900</v>
          </cell>
        </row>
        <row r="20">
          <cell r="A20">
            <v>1.8</v>
          </cell>
          <cell r="B20">
            <v>81</v>
          </cell>
          <cell r="C20">
            <v>77</v>
          </cell>
          <cell r="D20">
            <v>4.91</v>
          </cell>
          <cell r="E20">
            <v>50</v>
          </cell>
          <cell r="F20">
            <v>15</v>
          </cell>
          <cell r="I20" t="str">
            <v>-</v>
          </cell>
          <cell r="J20" t="str">
            <v>-</v>
          </cell>
          <cell r="K20" t="str">
            <v>-</v>
          </cell>
          <cell r="L20">
            <v>200</v>
          </cell>
          <cell r="M20">
            <v>300</v>
          </cell>
          <cell r="N20">
            <v>400</v>
          </cell>
          <cell r="R20">
            <v>900</v>
          </cell>
          <cell r="S20">
            <v>4</v>
          </cell>
          <cell r="T20">
            <v>4</v>
          </cell>
          <cell r="U20">
            <v>240</v>
          </cell>
          <cell r="V20">
            <v>240</v>
          </cell>
          <cell r="W20">
            <v>240</v>
          </cell>
          <cell r="AA20">
            <v>200</v>
          </cell>
          <cell r="AB20">
            <v>200</v>
          </cell>
          <cell r="AC20">
            <v>300</v>
          </cell>
          <cell r="AG20">
            <v>900</v>
          </cell>
        </row>
        <row r="21">
          <cell r="A21">
            <v>1.9</v>
          </cell>
          <cell r="B21">
            <v>81</v>
          </cell>
          <cell r="C21">
            <v>77</v>
          </cell>
          <cell r="D21">
            <v>5.14</v>
          </cell>
          <cell r="E21">
            <v>50</v>
          </cell>
          <cell r="F21">
            <v>15</v>
          </cell>
          <cell r="I21" t="str">
            <v>-</v>
          </cell>
          <cell r="J21" t="str">
            <v>-</v>
          </cell>
          <cell r="K21" t="str">
            <v>-</v>
          </cell>
          <cell r="L21">
            <v>200</v>
          </cell>
          <cell r="M21">
            <v>300</v>
          </cell>
          <cell r="N21">
            <v>400</v>
          </cell>
          <cell r="R21">
            <v>900</v>
          </cell>
          <cell r="S21">
            <v>4</v>
          </cell>
          <cell r="T21">
            <v>4</v>
          </cell>
          <cell r="U21">
            <v>240</v>
          </cell>
          <cell r="V21">
            <v>240</v>
          </cell>
          <cell r="W21">
            <v>240</v>
          </cell>
          <cell r="AA21">
            <v>200</v>
          </cell>
          <cell r="AB21">
            <v>200</v>
          </cell>
          <cell r="AC21">
            <v>300</v>
          </cell>
          <cell r="AG21">
            <v>900</v>
          </cell>
        </row>
        <row r="22">
          <cell r="A22">
            <v>1.95</v>
          </cell>
          <cell r="B22">
            <v>81</v>
          </cell>
          <cell r="C22">
            <v>77</v>
          </cell>
          <cell r="D22">
            <v>5.26</v>
          </cell>
          <cell r="E22">
            <v>50</v>
          </cell>
          <cell r="F22">
            <v>15</v>
          </cell>
          <cell r="I22" t="str">
            <v>-</v>
          </cell>
          <cell r="J22" t="str">
            <v>-</v>
          </cell>
          <cell r="K22" t="str">
            <v>-</v>
          </cell>
          <cell r="L22">
            <v>200</v>
          </cell>
          <cell r="M22">
            <v>300</v>
          </cell>
          <cell r="N22">
            <v>400</v>
          </cell>
          <cell r="R22">
            <v>900</v>
          </cell>
          <cell r="S22">
            <v>4</v>
          </cell>
          <cell r="T22">
            <v>4</v>
          </cell>
          <cell r="U22">
            <v>240</v>
          </cell>
          <cell r="V22">
            <v>240</v>
          </cell>
          <cell r="W22">
            <v>240</v>
          </cell>
          <cell r="AA22">
            <v>200</v>
          </cell>
          <cell r="AB22">
            <v>200</v>
          </cell>
          <cell r="AC22">
            <v>300</v>
          </cell>
          <cell r="AG22">
            <v>900</v>
          </cell>
        </row>
        <row r="23">
          <cell r="A23">
            <v>2.2000000000000002</v>
          </cell>
          <cell r="B23">
            <v>81</v>
          </cell>
          <cell r="C23">
            <v>77</v>
          </cell>
          <cell r="D23">
            <v>5.84</v>
          </cell>
          <cell r="E23">
            <v>50</v>
          </cell>
          <cell r="F23">
            <v>15</v>
          </cell>
          <cell r="I23" t="str">
            <v>10/5A</v>
          </cell>
          <cell r="J23" t="str">
            <v>3 ~ 30A</v>
          </cell>
          <cell r="K23">
            <v>15</v>
          </cell>
          <cell r="L23">
            <v>200</v>
          </cell>
          <cell r="M23">
            <v>300</v>
          </cell>
          <cell r="N23">
            <v>400</v>
          </cell>
          <cell r="S23">
            <v>4</v>
          </cell>
          <cell r="T23">
            <v>4</v>
          </cell>
          <cell r="U23">
            <v>240</v>
          </cell>
          <cell r="V23">
            <v>240</v>
          </cell>
          <cell r="W23">
            <v>240</v>
          </cell>
          <cell r="AA23">
            <v>200</v>
          </cell>
          <cell r="AB23">
            <v>200</v>
          </cell>
          <cell r="AC23">
            <v>300</v>
          </cell>
        </row>
        <row r="24">
          <cell r="A24">
            <v>2.25</v>
          </cell>
          <cell r="B24">
            <v>83</v>
          </cell>
          <cell r="C24">
            <v>78</v>
          </cell>
          <cell r="D24">
            <v>5.95</v>
          </cell>
          <cell r="E24">
            <v>50</v>
          </cell>
          <cell r="F24">
            <v>15</v>
          </cell>
          <cell r="I24" t="str">
            <v>-</v>
          </cell>
          <cell r="J24" t="str">
            <v>-</v>
          </cell>
          <cell r="K24" t="str">
            <v>-</v>
          </cell>
          <cell r="L24">
            <v>200</v>
          </cell>
          <cell r="M24">
            <v>300</v>
          </cell>
          <cell r="N24">
            <v>400</v>
          </cell>
          <cell r="R24">
            <v>900</v>
          </cell>
          <cell r="S24">
            <v>4</v>
          </cell>
          <cell r="T24">
            <v>4</v>
          </cell>
          <cell r="U24">
            <v>240</v>
          </cell>
          <cell r="V24">
            <v>240</v>
          </cell>
          <cell r="W24">
            <v>240</v>
          </cell>
          <cell r="AA24">
            <v>200</v>
          </cell>
          <cell r="AB24">
            <v>200</v>
          </cell>
          <cell r="AC24">
            <v>300</v>
          </cell>
          <cell r="AG24">
            <v>900</v>
          </cell>
        </row>
        <row r="25">
          <cell r="A25">
            <v>2.2999999999999998</v>
          </cell>
          <cell r="B25">
            <v>83</v>
          </cell>
          <cell r="C25">
            <v>78</v>
          </cell>
          <cell r="D25">
            <v>6.06</v>
          </cell>
          <cell r="E25">
            <v>50</v>
          </cell>
          <cell r="F25">
            <v>15</v>
          </cell>
          <cell r="I25" t="str">
            <v>-</v>
          </cell>
          <cell r="J25" t="str">
            <v>-</v>
          </cell>
          <cell r="K25" t="str">
            <v>-</v>
          </cell>
          <cell r="L25">
            <v>200</v>
          </cell>
          <cell r="M25">
            <v>300</v>
          </cell>
          <cell r="N25">
            <v>400</v>
          </cell>
          <cell r="R25">
            <v>900</v>
          </cell>
          <cell r="S25">
            <v>4</v>
          </cell>
          <cell r="T25">
            <v>4</v>
          </cell>
          <cell r="U25">
            <v>240</v>
          </cell>
          <cell r="V25">
            <v>240</v>
          </cell>
          <cell r="W25">
            <v>240</v>
          </cell>
          <cell r="AA25">
            <v>200</v>
          </cell>
          <cell r="AB25">
            <v>200</v>
          </cell>
          <cell r="AC25">
            <v>300</v>
          </cell>
          <cell r="AG25">
            <v>900</v>
          </cell>
        </row>
        <row r="26">
          <cell r="A26">
            <v>2.5</v>
          </cell>
          <cell r="B26">
            <v>83</v>
          </cell>
          <cell r="C26">
            <v>78</v>
          </cell>
          <cell r="D26">
            <v>6.5</v>
          </cell>
          <cell r="E26">
            <v>50</v>
          </cell>
          <cell r="F26">
            <v>15</v>
          </cell>
          <cell r="I26" t="str">
            <v>-</v>
          </cell>
          <cell r="J26" t="str">
            <v>-</v>
          </cell>
          <cell r="K26" t="str">
            <v>-</v>
          </cell>
          <cell r="L26">
            <v>200</v>
          </cell>
          <cell r="M26">
            <v>300</v>
          </cell>
          <cell r="N26">
            <v>400</v>
          </cell>
          <cell r="R26">
            <v>900</v>
          </cell>
          <cell r="S26">
            <v>4</v>
          </cell>
          <cell r="T26">
            <v>4</v>
          </cell>
          <cell r="U26">
            <v>240</v>
          </cell>
          <cell r="V26">
            <v>240</v>
          </cell>
          <cell r="W26">
            <v>240</v>
          </cell>
          <cell r="AA26">
            <v>200</v>
          </cell>
          <cell r="AB26">
            <v>200</v>
          </cell>
          <cell r="AC26">
            <v>300</v>
          </cell>
          <cell r="AG26">
            <v>900</v>
          </cell>
        </row>
        <row r="27">
          <cell r="A27">
            <v>2.6</v>
          </cell>
          <cell r="B27">
            <v>83</v>
          </cell>
          <cell r="C27">
            <v>78</v>
          </cell>
          <cell r="D27">
            <v>6.73</v>
          </cell>
          <cell r="E27">
            <v>50</v>
          </cell>
          <cell r="F27">
            <v>15</v>
          </cell>
          <cell r="I27" t="str">
            <v>-</v>
          </cell>
          <cell r="J27" t="str">
            <v>-</v>
          </cell>
          <cell r="K27" t="str">
            <v>-</v>
          </cell>
          <cell r="L27">
            <v>200</v>
          </cell>
          <cell r="M27">
            <v>300</v>
          </cell>
          <cell r="N27">
            <v>400</v>
          </cell>
          <cell r="R27">
            <v>900</v>
          </cell>
          <cell r="S27">
            <v>4</v>
          </cell>
          <cell r="T27">
            <v>4</v>
          </cell>
          <cell r="U27">
            <v>240</v>
          </cell>
          <cell r="V27">
            <v>240</v>
          </cell>
          <cell r="W27">
            <v>240</v>
          </cell>
          <cell r="AA27">
            <v>200</v>
          </cell>
          <cell r="AB27">
            <v>200</v>
          </cell>
          <cell r="AC27">
            <v>300</v>
          </cell>
          <cell r="AG27">
            <v>900</v>
          </cell>
        </row>
        <row r="28">
          <cell r="A28">
            <v>2.65</v>
          </cell>
          <cell r="B28">
            <v>83</v>
          </cell>
          <cell r="C28">
            <v>78</v>
          </cell>
          <cell r="D28">
            <v>6.84</v>
          </cell>
          <cell r="E28">
            <v>50</v>
          </cell>
          <cell r="F28">
            <v>15</v>
          </cell>
          <cell r="I28" t="str">
            <v>-</v>
          </cell>
          <cell r="J28" t="str">
            <v>-</v>
          </cell>
          <cell r="K28" t="str">
            <v>-</v>
          </cell>
          <cell r="L28">
            <v>200</v>
          </cell>
          <cell r="M28">
            <v>300</v>
          </cell>
          <cell r="N28">
            <v>400</v>
          </cell>
          <cell r="R28">
            <v>900</v>
          </cell>
          <cell r="S28">
            <v>4</v>
          </cell>
          <cell r="T28">
            <v>4</v>
          </cell>
          <cell r="U28">
            <v>240</v>
          </cell>
          <cell r="V28">
            <v>240</v>
          </cell>
          <cell r="W28">
            <v>240</v>
          </cell>
          <cell r="AA28">
            <v>200</v>
          </cell>
          <cell r="AB28">
            <v>200</v>
          </cell>
          <cell r="AC28">
            <v>300</v>
          </cell>
          <cell r="AG28">
            <v>900</v>
          </cell>
        </row>
        <row r="29">
          <cell r="A29">
            <v>2.7</v>
          </cell>
          <cell r="B29">
            <v>83</v>
          </cell>
          <cell r="C29">
            <v>78</v>
          </cell>
          <cell r="D29">
            <v>6.95</v>
          </cell>
          <cell r="E29">
            <v>50</v>
          </cell>
          <cell r="F29">
            <v>15</v>
          </cell>
          <cell r="I29" t="str">
            <v>-</v>
          </cell>
          <cell r="J29" t="str">
            <v>-</v>
          </cell>
          <cell r="K29" t="str">
            <v>-</v>
          </cell>
          <cell r="L29">
            <v>200</v>
          </cell>
          <cell r="M29">
            <v>300</v>
          </cell>
          <cell r="N29">
            <v>400</v>
          </cell>
          <cell r="R29">
            <v>900</v>
          </cell>
          <cell r="S29">
            <v>4</v>
          </cell>
          <cell r="T29">
            <v>4</v>
          </cell>
          <cell r="U29">
            <v>240</v>
          </cell>
          <cell r="V29">
            <v>240</v>
          </cell>
          <cell r="W29">
            <v>240</v>
          </cell>
          <cell r="AA29">
            <v>200</v>
          </cell>
          <cell r="AB29">
            <v>200</v>
          </cell>
          <cell r="AC29">
            <v>300</v>
          </cell>
          <cell r="AG29">
            <v>900</v>
          </cell>
        </row>
        <row r="30">
          <cell r="A30">
            <v>2.8</v>
          </cell>
          <cell r="B30">
            <v>83</v>
          </cell>
          <cell r="C30">
            <v>78</v>
          </cell>
          <cell r="D30">
            <v>7.17</v>
          </cell>
          <cell r="E30">
            <v>50</v>
          </cell>
          <cell r="F30">
            <v>15</v>
          </cell>
          <cell r="I30" t="str">
            <v>-</v>
          </cell>
          <cell r="J30" t="str">
            <v>-</v>
          </cell>
          <cell r="K30" t="str">
            <v>-</v>
          </cell>
          <cell r="L30">
            <v>200</v>
          </cell>
          <cell r="M30">
            <v>300</v>
          </cell>
          <cell r="N30">
            <v>400</v>
          </cell>
          <cell r="R30">
            <v>900</v>
          </cell>
          <cell r="S30">
            <v>4</v>
          </cell>
          <cell r="T30">
            <v>4</v>
          </cell>
          <cell r="U30">
            <v>240</v>
          </cell>
          <cell r="V30">
            <v>240</v>
          </cell>
          <cell r="W30">
            <v>240</v>
          </cell>
          <cell r="AA30">
            <v>200</v>
          </cell>
          <cell r="AB30">
            <v>200</v>
          </cell>
          <cell r="AC30">
            <v>300</v>
          </cell>
          <cell r="AG30">
            <v>900</v>
          </cell>
        </row>
        <row r="31">
          <cell r="A31">
            <v>2.9</v>
          </cell>
          <cell r="B31">
            <v>83</v>
          </cell>
          <cell r="C31">
            <v>78</v>
          </cell>
          <cell r="D31">
            <v>7.39</v>
          </cell>
          <cell r="E31">
            <v>50</v>
          </cell>
          <cell r="F31">
            <v>15</v>
          </cell>
          <cell r="I31" t="str">
            <v>-</v>
          </cell>
          <cell r="J31" t="str">
            <v>-</v>
          </cell>
          <cell r="K31" t="str">
            <v>-</v>
          </cell>
          <cell r="L31">
            <v>200</v>
          </cell>
          <cell r="M31">
            <v>300</v>
          </cell>
          <cell r="N31">
            <v>400</v>
          </cell>
          <cell r="R31">
            <v>900</v>
          </cell>
          <cell r="S31">
            <v>4</v>
          </cell>
          <cell r="T31">
            <v>4</v>
          </cell>
          <cell r="U31">
            <v>240</v>
          </cell>
          <cell r="V31">
            <v>240</v>
          </cell>
          <cell r="W31">
            <v>240</v>
          </cell>
          <cell r="AA31">
            <v>200</v>
          </cell>
          <cell r="AB31">
            <v>200</v>
          </cell>
          <cell r="AC31">
            <v>300</v>
          </cell>
          <cell r="AG31">
            <v>900</v>
          </cell>
        </row>
        <row r="32">
          <cell r="A32">
            <v>2.95</v>
          </cell>
          <cell r="B32">
            <v>83</v>
          </cell>
          <cell r="C32">
            <v>78</v>
          </cell>
          <cell r="D32">
            <v>7.5</v>
          </cell>
          <cell r="E32">
            <v>50</v>
          </cell>
          <cell r="F32">
            <v>15</v>
          </cell>
          <cell r="I32" t="str">
            <v>-</v>
          </cell>
          <cell r="J32" t="str">
            <v>-</v>
          </cell>
          <cell r="K32" t="str">
            <v>-</v>
          </cell>
          <cell r="L32">
            <v>200</v>
          </cell>
          <cell r="M32">
            <v>300</v>
          </cell>
          <cell r="N32">
            <v>400</v>
          </cell>
          <cell r="R32">
            <v>900</v>
          </cell>
          <cell r="S32">
            <v>4</v>
          </cell>
          <cell r="T32">
            <v>4</v>
          </cell>
          <cell r="U32">
            <v>240</v>
          </cell>
          <cell r="V32">
            <v>240</v>
          </cell>
          <cell r="W32">
            <v>240</v>
          </cell>
          <cell r="AA32">
            <v>200</v>
          </cell>
          <cell r="AB32">
            <v>200</v>
          </cell>
          <cell r="AC32">
            <v>300</v>
          </cell>
          <cell r="AG32">
            <v>900</v>
          </cell>
        </row>
        <row r="33">
          <cell r="A33">
            <v>3</v>
          </cell>
          <cell r="B33">
            <v>83</v>
          </cell>
          <cell r="C33">
            <v>78</v>
          </cell>
          <cell r="D33">
            <v>7.61</v>
          </cell>
          <cell r="E33">
            <v>50</v>
          </cell>
          <cell r="F33">
            <v>15</v>
          </cell>
          <cell r="I33" t="str">
            <v>-</v>
          </cell>
          <cell r="J33" t="str">
            <v>-</v>
          </cell>
          <cell r="K33" t="str">
            <v>-</v>
          </cell>
          <cell r="L33">
            <v>200</v>
          </cell>
          <cell r="M33">
            <v>300</v>
          </cell>
          <cell r="N33">
            <v>400</v>
          </cell>
          <cell r="R33">
            <v>900</v>
          </cell>
          <cell r="S33">
            <v>4</v>
          </cell>
          <cell r="T33">
            <v>4</v>
          </cell>
          <cell r="U33">
            <v>240</v>
          </cell>
          <cell r="V33">
            <v>240</v>
          </cell>
          <cell r="W33">
            <v>240</v>
          </cell>
          <cell r="AA33">
            <v>200</v>
          </cell>
          <cell r="AB33">
            <v>200</v>
          </cell>
          <cell r="AC33">
            <v>300</v>
          </cell>
          <cell r="AG33">
            <v>900</v>
          </cell>
        </row>
        <row r="34">
          <cell r="A34">
            <v>3.25</v>
          </cell>
          <cell r="B34">
            <v>83</v>
          </cell>
          <cell r="C34">
            <v>78</v>
          </cell>
          <cell r="D34">
            <v>8.16</v>
          </cell>
          <cell r="E34">
            <v>50</v>
          </cell>
          <cell r="F34">
            <v>15</v>
          </cell>
          <cell r="I34" t="str">
            <v>-</v>
          </cell>
          <cell r="J34" t="str">
            <v>-</v>
          </cell>
          <cell r="K34" t="str">
            <v>-</v>
          </cell>
          <cell r="L34">
            <v>200</v>
          </cell>
          <cell r="M34">
            <v>300</v>
          </cell>
          <cell r="N34">
            <v>400</v>
          </cell>
          <cell r="R34">
            <v>900</v>
          </cell>
          <cell r="S34">
            <v>4</v>
          </cell>
          <cell r="T34">
            <v>4</v>
          </cell>
          <cell r="U34">
            <v>240</v>
          </cell>
          <cell r="V34">
            <v>240</v>
          </cell>
          <cell r="W34">
            <v>240</v>
          </cell>
          <cell r="AA34">
            <v>200</v>
          </cell>
          <cell r="AB34">
            <v>200</v>
          </cell>
          <cell r="AC34">
            <v>300</v>
          </cell>
          <cell r="AG34">
            <v>900</v>
          </cell>
        </row>
        <row r="35">
          <cell r="A35">
            <v>3.3</v>
          </cell>
          <cell r="B35">
            <v>83</v>
          </cell>
          <cell r="C35">
            <v>78</v>
          </cell>
          <cell r="D35">
            <v>8.27</v>
          </cell>
          <cell r="E35">
            <v>50</v>
          </cell>
          <cell r="F35">
            <v>15</v>
          </cell>
          <cell r="I35" t="str">
            <v>-</v>
          </cell>
          <cell r="J35" t="str">
            <v>-</v>
          </cell>
          <cell r="K35" t="str">
            <v>-</v>
          </cell>
          <cell r="L35">
            <v>200</v>
          </cell>
          <cell r="M35">
            <v>300</v>
          </cell>
          <cell r="N35">
            <v>400</v>
          </cell>
          <cell r="R35">
            <v>900</v>
          </cell>
          <cell r="S35">
            <v>4</v>
          </cell>
          <cell r="T35">
            <v>4</v>
          </cell>
          <cell r="U35">
            <v>240</v>
          </cell>
          <cell r="V35">
            <v>240</v>
          </cell>
          <cell r="W35">
            <v>240</v>
          </cell>
          <cell r="AA35">
            <v>200</v>
          </cell>
          <cell r="AB35">
            <v>200</v>
          </cell>
          <cell r="AC35">
            <v>300</v>
          </cell>
          <cell r="AG35">
            <v>900</v>
          </cell>
        </row>
        <row r="36">
          <cell r="A36">
            <v>3.44</v>
          </cell>
          <cell r="B36">
            <v>83</v>
          </cell>
          <cell r="C36">
            <v>78</v>
          </cell>
          <cell r="D36">
            <v>8.58</v>
          </cell>
          <cell r="E36">
            <v>50</v>
          </cell>
          <cell r="F36">
            <v>15</v>
          </cell>
          <cell r="I36" t="str">
            <v>-</v>
          </cell>
          <cell r="J36" t="str">
            <v>-</v>
          </cell>
          <cell r="K36" t="str">
            <v>-</v>
          </cell>
          <cell r="L36">
            <v>200</v>
          </cell>
          <cell r="M36">
            <v>300</v>
          </cell>
          <cell r="N36">
            <v>400</v>
          </cell>
          <cell r="R36">
            <v>900</v>
          </cell>
          <cell r="S36">
            <v>4</v>
          </cell>
          <cell r="T36">
            <v>4</v>
          </cell>
          <cell r="U36">
            <v>240</v>
          </cell>
          <cell r="V36">
            <v>240</v>
          </cell>
          <cell r="W36">
            <v>240</v>
          </cell>
          <cell r="AA36">
            <v>200</v>
          </cell>
          <cell r="AB36">
            <v>200</v>
          </cell>
          <cell r="AC36">
            <v>300</v>
          </cell>
          <cell r="AG36">
            <v>900</v>
          </cell>
        </row>
        <row r="37">
          <cell r="A37">
            <v>3.5</v>
          </cell>
          <cell r="B37">
            <v>83</v>
          </cell>
          <cell r="C37">
            <v>78</v>
          </cell>
          <cell r="D37">
            <v>8.7200000000000006</v>
          </cell>
          <cell r="E37">
            <v>50</v>
          </cell>
          <cell r="F37">
            <v>15</v>
          </cell>
          <cell r="I37" t="str">
            <v>-</v>
          </cell>
          <cell r="J37" t="str">
            <v>-</v>
          </cell>
          <cell r="K37" t="str">
            <v>-</v>
          </cell>
          <cell r="L37">
            <v>200</v>
          </cell>
          <cell r="M37">
            <v>300</v>
          </cell>
          <cell r="N37">
            <v>400</v>
          </cell>
          <cell r="R37">
            <v>900</v>
          </cell>
          <cell r="S37">
            <v>4</v>
          </cell>
          <cell r="T37">
            <v>4</v>
          </cell>
          <cell r="U37">
            <v>240</v>
          </cell>
          <cell r="V37">
            <v>240</v>
          </cell>
          <cell r="W37">
            <v>240</v>
          </cell>
          <cell r="AA37">
            <v>200</v>
          </cell>
          <cell r="AB37">
            <v>200</v>
          </cell>
          <cell r="AC37">
            <v>300</v>
          </cell>
          <cell r="AG37">
            <v>900</v>
          </cell>
        </row>
        <row r="38">
          <cell r="A38">
            <v>3.7</v>
          </cell>
          <cell r="B38">
            <v>83</v>
          </cell>
          <cell r="C38">
            <v>78</v>
          </cell>
          <cell r="D38">
            <v>9.16</v>
          </cell>
          <cell r="E38">
            <v>50</v>
          </cell>
          <cell r="F38">
            <v>30</v>
          </cell>
          <cell r="I38" t="str">
            <v>15/5A</v>
          </cell>
          <cell r="J38" t="str">
            <v>3 ~ 30A</v>
          </cell>
          <cell r="K38">
            <v>20</v>
          </cell>
          <cell r="L38">
            <v>200</v>
          </cell>
          <cell r="M38">
            <v>300</v>
          </cell>
          <cell r="N38">
            <v>400</v>
          </cell>
          <cell r="R38">
            <v>900</v>
          </cell>
          <cell r="S38">
            <v>4</v>
          </cell>
          <cell r="T38">
            <v>4</v>
          </cell>
          <cell r="U38">
            <v>240</v>
          </cell>
          <cell r="V38">
            <v>240</v>
          </cell>
          <cell r="W38">
            <v>240</v>
          </cell>
          <cell r="Y38">
            <v>720</v>
          </cell>
          <cell r="AA38">
            <v>200</v>
          </cell>
          <cell r="AB38">
            <v>200</v>
          </cell>
          <cell r="AC38">
            <v>300</v>
          </cell>
          <cell r="AG38">
            <v>900</v>
          </cell>
        </row>
        <row r="39">
          <cell r="A39">
            <v>3.75</v>
          </cell>
          <cell r="B39">
            <v>85</v>
          </cell>
          <cell r="C39">
            <v>77</v>
          </cell>
          <cell r="D39">
            <v>9.2899999999999991</v>
          </cell>
          <cell r="E39">
            <v>50</v>
          </cell>
          <cell r="F39">
            <v>30</v>
          </cell>
          <cell r="I39" t="str">
            <v>-</v>
          </cell>
          <cell r="J39" t="str">
            <v>-</v>
          </cell>
          <cell r="K39" t="str">
            <v>-</v>
          </cell>
          <cell r="L39">
            <v>200</v>
          </cell>
          <cell r="M39">
            <v>300</v>
          </cell>
          <cell r="N39">
            <v>400</v>
          </cell>
          <cell r="R39">
            <v>900</v>
          </cell>
          <cell r="S39">
            <v>4</v>
          </cell>
          <cell r="T39">
            <v>4</v>
          </cell>
          <cell r="U39">
            <v>240</v>
          </cell>
          <cell r="V39">
            <v>240</v>
          </cell>
          <cell r="W39">
            <v>240</v>
          </cell>
          <cell r="Y39">
            <v>720</v>
          </cell>
          <cell r="AA39">
            <v>200</v>
          </cell>
          <cell r="AB39">
            <v>200</v>
          </cell>
          <cell r="AC39">
            <v>300</v>
          </cell>
          <cell r="AG39">
            <v>900</v>
          </cell>
        </row>
        <row r="40">
          <cell r="A40">
            <v>4.2</v>
          </cell>
          <cell r="B40">
            <v>85</v>
          </cell>
          <cell r="C40">
            <v>77</v>
          </cell>
          <cell r="D40">
            <v>10.42</v>
          </cell>
          <cell r="E40">
            <v>50</v>
          </cell>
          <cell r="F40">
            <v>30</v>
          </cell>
          <cell r="I40" t="str">
            <v>-</v>
          </cell>
          <cell r="J40" t="str">
            <v>-</v>
          </cell>
          <cell r="K40" t="str">
            <v>-</v>
          </cell>
          <cell r="L40">
            <v>200</v>
          </cell>
          <cell r="M40">
            <v>300</v>
          </cell>
          <cell r="N40">
            <v>400</v>
          </cell>
          <cell r="R40">
            <v>900</v>
          </cell>
          <cell r="S40">
            <v>4</v>
          </cell>
          <cell r="T40">
            <v>4</v>
          </cell>
          <cell r="U40">
            <v>240</v>
          </cell>
          <cell r="V40">
            <v>240</v>
          </cell>
          <cell r="W40">
            <v>240</v>
          </cell>
          <cell r="Y40">
            <v>720</v>
          </cell>
          <cell r="AA40">
            <v>200</v>
          </cell>
          <cell r="AB40">
            <v>200</v>
          </cell>
          <cell r="AC40">
            <v>300</v>
          </cell>
          <cell r="AG40">
            <v>900</v>
          </cell>
        </row>
        <row r="41">
          <cell r="A41">
            <v>4.4000000000000004</v>
          </cell>
          <cell r="B41">
            <v>85</v>
          </cell>
          <cell r="C41">
            <v>77</v>
          </cell>
          <cell r="D41">
            <v>10.92</v>
          </cell>
          <cell r="E41">
            <v>50</v>
          </cell>
          <cell r="F41">
            <v>30</v>
          </cell>
          <cell r="I41" t="str">
            <v>-</v>
          </cell>
          <cell r="J41" t="str">
            <v>-</v>
          </cell>
          <cell r="K41" t="str">
            <v>-</v>
          </cell>
          <cell r="L41">
            <v>200</v>
          </cell>
          <cell r="M41">
            <v>300</v>
          </cell>
          <cell r="N41">
            <v>400</v>
          </cell>
          <cell r="R41">
            <v>900</v>
          </cell>
          <cell r="S41">
            <v>4</v>
          </cell>
          <cell r="T41">
            <v>4</v>
          </cell>
          <cell r="U41">
            <v>240</v>
          </cell>
          <cell r="V41">
            <v>240</v>
          </cell>
          <cell r="W41">
            <v>240</v>
          </cell>
          <cell r="Y41">
            <v>720</v>
          </cell>
          <cell r="AA41">
            <v>200</v>
          </cell>
          <cell r="AB41">
            <v>200</v>
          </cell>
          <cell r="AC41">
            <v>300</v>
          </cell>
          <cell r="AG41">
            <v>900</v>
          </cell>
        </row>
        <row r="42">
          <cell r="A42">
            <v>4.45</v>
          </cell>
          <cell r="B42">
            <v>85</v>
          </cell>
          <cell r="C42">
            <v>77</v>
          </cell>
          <cell r="D42">
            <v>11.04</v>
          </cell>
          <cell r="E42">
            <v>50</v>
          </cell>
          <cell r="F42">
            <v>30</v>
          </cell>
          <cell r="I42" t="str">
            <v>-</v>
          </cell>
          <cell r="J42" t="str">
            <v>-</v>
          </cell>
          <cell r="K42" t="str">
            <v>-</v>
          </cell>
          <cell r="L42">
            <v>200</v>
          </cell>
          <cell r="M42">
            <v>300</v>
          </cell>
          <cell r="N42">
            <v>400</v>
          </cell>
          <cell r="R42">
            <v>900</v>
          </cell>
          <cell r="S42">
            <v>4</v>
          </cell>
          <cell r="T42">
            <v>4</v>
          </cell>
          <cell r="U42">
            <v>240</v>
          </cell>
          <cell r="V42">
            <v>240</v>
          </cell>
          <cell r="W42">
            <v>240</v>
          </cell>
          <cell r="Y42">
            <v>720</v>
          </cell>
          <cell r="AA42">
            <v>200</v>
          </cell>
          <cell r="AB42">
            <v>200</v>
          </cell>
          <cell r="AC42">
            <v>300</v>
          </cell>
          <cell r="AG42">
            <v>900</v>
          </cell>
        </row>
        <row r="43">
          <cell r="A43">
            <v>4.5</v>
          </cell>
          <cell r="B43">
            <v>85</v>
          </cell>
          <cell r="C43">
            <v>77</v>
          </cell>
          <cell r="D43">
            <v>11.17</v>
          </cell>
          <cell r="E43">
            <v>50</v>
          </cell>
          <cell r="F43">
            <v>30</v>
          </cell>
          <cell r="I43" t="str">
            <v>-</v>
          </cell>
          <cell r="J43" t="str">
            <v>-</v>
          </cell>
          <cell r="K43" t="str">
            <v>-</v>
          </cell>
          <cell r="L43">
            <v>200</v>
          </cell>
          <cell r="M43">
            <v>300</v>
          </cell>
          <cell r="N43">
            <v>400</v>
          </cell>
          <cell r="R43">
            <v>900</v>
          </cell>
          <cell r="S43">
            <v>4</v>
          </cell>
          <cell r="T43">
            <v>4</v>
          </cell>
          <cell r="U43">
            <v>240</v>
          </cell>
          <cell r="V43">
            <v>240</v>
          </cell>
          <cell r="W43">
            <v>240</v>
          </cell>
          <cell r="Y43">
            <v>720</v>
          </cell>
          <cell r="AA43">
            <v>200</v>
          </cell>
          <cell r="AB43">
            <v>200</v>
          </cell>
          <cell r="AC43">
            <v>300</v>
          </cell>
          <cell r="AG43">
            <v>900</v>
          </cell>
        </row>
        <row r="44">
          <cell r="A44">
            <v>4.7</v>
          </cell>
          <cell r="B44">
            <v>85</v>
          </cell>
          <cell r="C44">
            <v>77</v>
          </cell>
          <cell r="D44">
            <v>11.67</v>
          </cell>
          <cell r="E44">
            <v>50</v>
          </cell>
          <cell r="F44">
            <v>40</v>
          </cell>
          <cell r="I44" t="str">
            <v>-</v>
          </cell>
          <cell r="J44" t="str">
            <v>-</v>
          </cell>
          <cell r="K44" t="str">
            <v>-</v>
          </cell>
          <cell r="L44">
            <v>200</v>
          </cell>
          <cell r="M44">
            <v>300</v>
          </cell>
          <cell r="N44">
            <v>400</v>
          </cell>
          <cell r="R44">
            <v>900</v>
          </cell>
          <cell r="S44">
            <v>4</v>
          </cell>
          <cell r="T44">
            <v>4</v>
          </cell>
          <cell r="U44">
            <v>240</v>
          </cell>
          <cell r="V44">
            <v>240</v>
          </cell>
          <cell r="W44">
            <v>240</v>
          </cell>
          <cell r="Y44">
            <v>720</v>
          </cell>
          <cell r="AA44">
            <v>200</v>
          </cell>
          <cell r="AB44">
            <v>200</v>
          </cell>
          <cell r="AC44">
            <v>300</v>
          </cell>
          <cell r="AG44">
            <v>900</v>
          </cell>
        </row>
        <row r="45">
          <cell r="A45">
            <v>5.2</v>
          </cell>
          <cell r="B45">
            <v>83</v>
          </cell>
          <cell r="C45">
            <v>78</v>
          </cell>
          <cell r="D45">
            <v>12.93</v>
          </cell>
          <cell r="E45">
            <v>50</v>
          </cell>
          <cell r="F45">
            <v>40</v>
          </cell>
          <cell r="I45" t="str">
            <v>-</v>
          </cell>
          <cell r="J45" t="str">
            <v>-</v>
          </cell>
          <cell r="K45" t="str">
            <v>-</v>
          </cell>
          <cell r="L45">
            <v>200</v>
          </cell>
          <cell r="M45">
            <v>300</v>
          </cell>
          <cell r="N45">
            <v>400</v>
          </cell>
          <cell r="R45">
            <v>900</v>
          </cell>
          <cell r="S45">
            <v>4</v>
          </cell>
          <cell r="T45">
            <v>4</v>
          </cell>
          <cell r="U45">
            <v>240</v>
          </cell>
          <cell r="V45">
            <v>240</v>
          </cell>
          <cell r="W45">
            <v>240</v>
          </cell>
          <cell r="Y45">
            <v>720</v>
          </cell>
          <cell r="AA45">
            <v>200</v>
          </cell>
          <cell r="AB45">
            <v>200</v>
          </cell>
          <cell r="AC45">
            <v>300</v>
          </cell>
          <cell r="AG45">
            <v>900</v>
          </cell>
        </row>
        <row r="46">
          <cell r="A46">
            <v>5.5</v>
          </cell>
          <cell r="B46">
            <v>85</v>
          </cell>
          <cell r="C46">
            <v>77</v>
          </cell>
          <cell r="D46">
            <v>13.68</v>
          </cell>
          <cell r="E46">
            <v>50</v>
          </cell>
          <cell r="F46">
            <v>40</v>
          </cell>
          <cell r="G46">
            <v>50</v>
          </cell>
          <cell r="H46">
            <v>20</v>
          </cell>
          <cell r="I46" t="str">
            <v>20/5A</v>
          </cell>
          <cell r="J46" t="str">
            <v>3 ~ 30A</v>
          </cell>
          <cell r="K46">
            <v>50</v>
          </cell>
          <cell r="L46">
            <v>200</v>
          </cell>
          <cell r="M46">
            <v>300</v>
          </cell>
          <cell r="N46">
            <v>400</v>
          </cell>
          <cell r="Q46">
            <v>800</v>
          </cell>
          <cell r="R46">
            <v>900</v>
          </cell>
          <cell r="S46">
            <v>6</v>
          </cell>
          <cell r="T46">
            <v>4</v>
          </cell>
          <cell r="U46">
            <v>240</v>
          </cell>
          <cell r="V46">
            <v>240</v>
          </cell>
          <cell r="W46">
            <v>240</v>
          </cell>
          <cell r="Y46">
            <v>720</v>
          </cell>
          <cell r="AA46">
            <v>200</v>
          </cell>
          <cell r="AB46">
            <v>200</v>
          </cell>
          <cell r="AC46">
            <v>300</v>
          </cell>
          <cell r="AF46">
            <v>800</v>
          </cell>
          <cell r="AG46">
            <v>900</v>
          </cell>
        </row>
        <row r="47">
          <cell r="A47">
            <v>5.95</v>
          </cell>
          <cell r="B47">
            <v>86</v>
          </cell>
          <cell r="C47">
            <v>78</v>
          </cell>
          <cell r="D47">
            <v>14.63</v>
          </cell>
          <cell r="E47">
            <v>50</v>
          </cell>
          <cell r="F47">
            <v>50</v>
          </cell>
          <cell r="G47">
            <v>50</v>
          </cell>
          <cell r="H47">
            <v>20</v>
          </cell>
          <cell r="I47" t="str">
            <v>-</v>
          </cell>
          <cell r="J47" t="str">
            <v>-</v>
          </cell>
          <cell r="K47" t="str">
            <v>-</v>
          </cell>
          <cell r="L47">
            <v>200</v>
          </cell>
          <cell r="M47">
            <v>300</v>
          </cell>
          <cell r="N47">
            <v>400</v>
          </cell>
          <cell r="Q47">
            <v>800</v>
          </cell>
          <cell r="R47">
            <v>900</v>
          </cell>
          <cell r="S47">
            <v>6</v>
          </cell>
          <cell r="T47">
            <v>4</v>
          </cell>
          <cell r="U47">
            <v>240</v>
          </cell>
          <cell r="V47">
            <v>240</v>
          </cell>
          <cell r="W47">
            <v>240</v>
          </cell>
          <cell r="Y47">
            <v>720</v>
          </cell>
          <cell r="AA47">
            <v>200</v>
          </cell>
          <cell r="AB47">
            <v>200</v>
          </cell>
          <cell r="AC47">
            <v>400</v>
          </cell>
          <cell r="AF47">
            <v>800</v>
          </cell>
          <cell r="AG47">
            <v>900</v>
          </cell>
        </row>
        <row r="48">
          <cell r="A48">
            <v>6</v>
          </cell>
          <cell r="B48">
            <v>86</v>
          </cell>
          <cell r="C48">
            <v>78</v>
          </cell>
          <cell r="D48">
            <v>14.73</v>
          </cell>
          <cell r="E48">
            <v>50</v>
          </cell>
          <cell r="F48">
            <v>50</v>
          </cell>
          <cell r="G48">
            <v>50</v>
          </cell>
          <cell r="H48">
            <v>20</v>
          </cell>
          <cell r="I48" t="str">
            <v>-</v>
          </cell>
          <cell r="J48" t="str">
            <v>-</v>
          </cell>
          <cell r="K48" t="str">
            <v>-</v>
          </cell>
          <cell r="L48">
            <v>200</v>
          </cell>
          <cell r="M48">
            <v>300</v>
          </cell>
          <cell r="N48">
            <v>400</v>
          </cell>
          <cell r="Q48">
            <v>800</v>
          </cell>
          <cell r="R48">
            <v>900</v>
          </cell>
          <cell r="S48">
            <v>6</v>
          </cell>
          <cell r="T48">
            <v>4</v>
          </cell>
          <cell r="U48">
            <v>240</v>
          </cell>
          <cell r="V48">
            <v>240</v>
          </cell>
          <cell r="W48">
            <v>240</v>
          </cell>
          <cell r="Y48">
            <v>720</v>
          </cell>
          <cell r="AA48">
            <v>200</v>
          </cell>
          <cell r="AB48">
            <v>200</v>
          </cell>
          <cell r="AC48">
            <v>400</v>
          </cell>
          <cell r="AF48">
            <v>800</v>
          </cell>
          <cell r="AG48">
            <v>900</v>
          </cell>
        </row>
        <row r="49">
          <cell r="A49">
            <v>6.25</v>
          </cell>
          <cell r="B49">
            <v>86</v>
          </cell>
          <cell r="C49">
            <v>78</v>
          </cell>
          <cell r="D49">
            <v>15.26</v>
          </cell>
          <cell r="E49">
            <v>50</v>
          </cell>
          <cell r="F49">
            <v>50</v>
          </cell>
          <cell r="G49">
            <v>50</v>
          </cell>
          <cell r="H49">
            <v>20</v>
          </cell>
          <cell r="I49" t="str">
            <v>-</v>
          </cell>
          <cell r="J49" t="str">
            <v>-</v>
          </cell>
          <cell r="K49" t="str">
            <v>-</v>
          </cell>
          <cell r="L49">
            <v>200</v>
          </cell>
          <cell r="M49">
            <v>300</v>
          </cell>
          <cell r="N49">
            <v>400</v>
          </cell>
          <cell r="Q49">
            <v>800</v>
          </cell>
          <cell r="R49">
            <v>900</v>
          </cell>
          <cell r="S49">
            <v>6</v>
          </cell>
          <cell r="T49">
            <v>4</v>
          </cell>
          <cell r="U49">
            <v>240</v>
          </cell>
          <cell r="V49">
            <v>240</v>
          </cell>
          <cell r="W49">
            <v>240</v>
          </cell>
          <cell r="Y49">
            <v>720</v>
          </cell>
          <cell r="AA49">
            <v>200</v>
          </cell>
          <cell r="AB49">
            <v>200</v>
          </cell>
          <cell r="AC49">
            <v>400</v>
          </cell>
          <cell r="AF49">
            <v>800</v>
          </cell>
          <cell r="AG49">
            <v>900</v>
          </cell>
        </row>
        <row r="50">
          <cell r="A50">
            <v>7</v>
          </cell>
          <cell r="B50">
            <v>86</v>
          </cell>
          <cell r="C50">
            <v>78</v>
          </cell>
          <cell r="D50">
            <v>16.84</v>
          </cell>
          <cell r="E50">
            <v>50</v>
          </cell>
          <cell r="F50">
            <v>50</v>
          </cell>
          <cell r="G50">
            <v>50</v>
          </cell>
          <cell r="H50">
            <v>20</v>
          </cell>
          <cell r="I50" t="str">
            <v>-</v>
          </cell>
          <cell r="J50" t="str">
            <v>-</v>
          </cell>
          <cell r="K50" t="str">
            <v>-</v>
          </cell>
          <cell r="L50">
            <v>200</v>
          </cell>
          <cell r="M50">
            <v>300</v>
          </cell>
          <cell r="N50">
            <v>400</v>
          </cell>
          <cell r="Q50">
            <v>800</v>
          </cell>
          <cell r="R50">
            <v>900</v>
          </cell>
          <cell r="S50">
            <v>6</v>
          </cell>
          <cell r="T50">
            <v>4</v>
          </cell>
          <cell r="U50">
            <v>240</v>
          </cell>
          <cell r="V50">
            <v>240</v>
          </cell>
          <cell r="W50">
            <v>240</v>
          </cell>
          <cell r="Y50">
            <v>720</v>
          </cell>
          <cell r="AA50">
            <v>200</v>
          </cell>
          <cell r="AB50">
            <v>200</v>
          </cell>
          <cell r="AC50">
            <v>400</v>
          </cell>
          <cell r="AF50">
            <v>800</v>
          </cell>
          <cell r="AG50">
            <v>900</v>
          </cell>
        </row>
        <row r="51">
          <cell r="A51">
            <v>7.4</v>
          </cell>
          <cell r="B51">
            <v>86</v>
          </cell>
          <cell r="C51">
            <v>78</v>
          </cell>
          <cell r="D51">
            <v>17.68</v>
          </cell>
          <cell r="E51">
            <v>50</v>
          </cell>
          <cell r="F51">
            <v>50</v>
          </cell>
          <cell r="G51">
            <v>50</v>
          </cell>
          <cell r="H51">
            <v>20</v>
          </cell>
          <cell r="I51" t="str">
            <v>-</v>
          </cell>
          <cell r="J51" t="str">
            <v>-</v>
          </cell>
          <cell r="K51" t="str">
            <v>-</v>
          </cell>
          <cell r="L51">
            <v>200</v>
          </cell>
          <cell r="M51">
            <v>300</v>
          </cell>
          <cell r="N51">
            <v>400</v>
          </cell>
          <cell r="Q51">
            <v>800</v>
          </cell>
          <cell r="R51">
            <v>900</v>
          </cell>
          <cell r="S51">
            <v>6</v>
          </cell>
          <cell r="T51">
            <v>4</v>
          </cell>
          <cell r="U51">
            <v>240</v>
          </cell>
          <cell r="V51">
            <v>240</v>
          </cell>
          <cell r="W51">
            <v>240</v>
          </cell>
          <cell r="Y51">
            <v>720</v>
          </cell>
          <cell r="AA51">
            <v>200</v>
          </cell>
          <cell r="AB51">
            <v>200</v>
          </cell>
          <cell r="AC51">
            <v>400</v>
          </cell>
          <cell r="AF51">
            <v>800</v>
          </cell>
          <cell r="AG51">
            <v>900</v>
          </cell>
        </row>
        <row r="52">
          <cell r="A52">
            <v>7.5</v>
          </cell>
          <cell r="B52">
            <v>86</v>
          </cell>
          <cell r="C52">
            <v>78</v>
          </cell>
          <cell r="D52">
            <v>17.89</v>
          </cell>
          <cell r="E52">
            <v>50</v>
          </cell>
          <cell r="F52">
            <v>50</v>
          </cell>
          <cell r="G52">
            <v>50</v>
          </cell>
          <cell r="H52">
            <v>30</v>
          </cell>
          <cell r="I52" t="str">
            <v>30/5A</v>
          </cell>
          <cell r="J52" t="str">
            <v>3 ~ 30A</v>
          </cell>
          <cell r="K52">
            <v>75</v>
          </cell>
          <cell r="L52">
            <v>200</v>
          </cell>
          <cell r="M52">
            <v>300</v>
          </cell>
          <cell r="N52">
            <v>400</v>
          </cell>
          <cell r="O52">
            <v>500</v>
          </cell>
          <cell r="Q52">
            <v>800</v>
          </cell>
          <cell r="R52">
            <v>900</v>
          </cell>
          <cell r="S52">
            <v>10</v>
          </cell>
          <cell r="T52">
            <v>4</v>
          </cell>
          <cell r="U52">
            <v>240</v>
          </cell>
          <cell r="V52">
            <v>240</v>
          </cell>
          <cell r="W52">
            <v>240</v>
          </cell>
          <cell r="Y52">
            <v>720</v>
          </cell>
          <cell r="AA52">
            <v>200</v>
          </cell>
          <cell r="AB52">
            <v>200</v>
          </cell>
          <cell r="AC52">
            <v>400</v>
          </cell>
          <cell r="AD52">
            <v>500</v>
          </cell>
          <cell r="AF52">
            <v>800</v>
          </cell>
          <cell r="AG52">
            <v>900</v>
          </cell>
        </row>
        <row r="53">
          <cell r="A53">
            <v>7.75</v>
          </cell>
          <cell r="B53">
            <v>87</v>
          </cell>
          <cell r="C53">
            <v>79</v>
          </cell>
          <cell r="D53">
            <v>18.420000000000002</v>
          </cell>
          <cell r="E53">
            <v>50</v>
          </cell>
          <cell r="F53">
            <v>50</v>
          </cell>
          <cell r="G53">
            <v>50</v>
          </cell>
          <cell r="H53">
            <v>30</v>
          </cell>
          <cell r="I53" t="str">
            <v>40/5A</v>
          </cell>
          <cell r="J53" t="str">
            <v>3 ~ 30A</v>
          </cell>
          <cell r="K53">
            <v>100</v>
          </cell>
          <cell r="L53">
            <v>200</v>
          </cell>
          <cell r="M53">
            <v>300</v>
          </cell>
          <cell r="N53">
            <v>400</v>
          </cell>
          <cell r="O53">
            <v>500</v>
          </cell>
          <cell r="Q53">
            <v>800</v>
          </cell>
          <cell r="R53">
            <v>900</v>
          </cell>
          <cell r="S53">
            <v>10</v>
          </cell>
          <cell r="T53">
            <v>4</v>
          </cell>
          <cell r="U53">
            <v>240</v>
          </cell>
          <cell r="V53">
            <v>240</v>
          </cell>
          <cell r="W53">
            <v>240</v>
          </cell>
          <cell r="Y53">
            <v>720</v>
          </cell>
          <cell r="AA53">
            <v>200</v>
          </cell>
          <cell r="AB53">
            <v>200</v>
          </cell>
          <cell r="AC53">
            <v>400</v>
          </cell>
          <cell r="AD53">
            <v>500</v>
          </cell>
          <cell r="AF53">
            <v>800</v>
          </cell>
          <cell r="AG53">
            <v>900</v>
          </cell>
        </row>
        <row r="54">
          <cell r="A54">
            <v>8.4</v>
          </cell>
          <cell r="B54">
            <v>87</v>
          </cell>
          <cell r="C54">
            <v>79</v>
          </cell>
          <cell r="D54">
            <v>19.79</v>
          </cell>
          <cell r="E54">
            <v>50</v>
          </cell>
          <cell r="F54">
            <v>50</v>
          </cell>
          <cell r="G54">
            <v>50</v>
          </cell>
          <cell r="H54">
            <v>30</v>
          </cell>
          <cell r="I54" t="str">
            <v>40/5A</v>
          </cell>
          <cell r="J54" t="str">
            <v>3 ~ 30A</v>
          </cell>
          <cell r="K54">
            <v>100</v>
          </cell>
          <cell r="L54">
            <v>200</v>
          </cell>
          <cell r="M54">
            <v>300</v>
          </cell>
          <cell r="N54">
            <v>400</v>
          </cell>
          <cell r="O54">
            <v>500</v>
          </cell>
          <cell r="Q54">
            <v>800</v>
          </cell>
          <cell r="R54">
            <v>900</v>
          </cell>
          <cell r="S54">
            <v>10</v>
          </cell>
          <cell r="T54">
            <v>4</v>
          </cell>
          <cell r="U54">
            <v>240</v>
          </cell>
          <cell r="V54">
            <v>240</v>
          </cell>
          <cell r="W54">
            <v>240</v>
          </cell>
          <cell r="Y54">
            <v>720</v>
          </cell>
          <cell r="AA54">
            <v>200</v>
          </cell>
          <cell r="AB54">
            <v>200</v>
          </cell>
          <cell r="AC54">
            <v>400</v>
          </cell>
          <cell r="AD54">
            <v>500</v>
          </cell>
          <cell r="AF54">
            <v>800</v>
          </cell>
          <cell r="AG54">
            <v>900</v>
          </cell>
        </row>
        <row r="55">
          <cell r="A55">
            <v>8.85</v>
          </cell>
          <cell r="B55">
            <v>87</v>
          </cell>
          <cell r="C55">
            <v>79</v>
          </cell>
          <cell r="D55">
            <v>20.73</v>
          </cell>
          <cell r="E55">
            <v>50</v>
          </cell>
          <cell r="F55">
            <v>50</v>
          </cell>
          <cell r="G55">
            <v>50</v>
          </cell>
          <cell r="H55">
            <v>30</v>
          </cell>
          <cell r="I55" t="str">
            <v>40/5A</v>
          </cell>
          <cell r="J55" t="str">
            <v>3 ~ 30A</v>
          </cell>
          <cell r="K55">
            <v>100</v>
          </cell>
          <cell r="L55">
            <v>200</v>
          </cell>
          <cell r="M55">
            <v>300</v>
          </cell>
          <cell r="N55">
            <v>400</v>
          </cell>
          <cell r="O55">
            <v>500</v>
          </cell>
          <cell r="Q55">
            <v>800</v>
          </cell>
          <cell r="R55">
            <v>900</v>
          </cell>
          <cell r="S55">
            <v>10</v>
          </cell>
          <cell r="T55">
            <v>4</v>
          </cell>
          <cell r="U55">
            <v>240</v>
          </cell>
          <cell r="V55">
            <v>240</v>
          </cell>
          <cell r="W55">
            <v>240</v>
          </cell>
          <cell r="Y55">
            <v>720</v>
          </cell>
          <cell r="AA55">
            <v>200</v>
          </cell>
          <cell r="AB55">
            <v>200</v>
          </cell>
          <cell r="AC55">
            <v>400</v>
          </cell>
          <cell r="AD55">
            <v>500</v>
          </cell>
          <cell r="AF55">
            <v>800</v>
          </cell>
          <cell r="AG55">
            <v>900</v>
          </cell>
        </row>
        <row r="56">
          <cell r="A56">
            <v>11</v>
          </cell>
          <cell r="B56">
            <v>87</v>
          </cell>
          <cell r="C56">
            <v>79</v>
          </cell>
          <cell r="D56">
            <v>25.26</v>
          </cell>
          <cell r="E56">
            <v>100</v>
          </cell>
          <cell r="F56">
            <v>75</v>
          </cell>
          <cell r="G56">
            <v>50</v>
          </cell>
          <cell r="H56">
            <v>40</v>
          </cell>
          <cell r="I56" t="str">
            <v>40/5A</v>
          </cell>
          <cell r="J56" t="str">
            <v>3 ~ 30A</v>
          </cell>
          <cell r="K56">
            <v>100</v>
          </cell>
          <cell r="L56">
            <v>200</v>
          </cell>
          <cell r="M56">
            <v>400</v>
          </cell>
          <cell r="N56">
            <v>500</v>
          </cell>
          <cell r="O56">
            <v>500</v>
          </cell>
          <cell r="Q56">
            <v>800</v>
          </cell>
          <cell r="R56">
            <v>1100</v>
          </cell>
          <cell r="S56">
            <v>10</v>
          </cell>
          <cell r="T56">
            <v>6</v>
          </cell>
          <cell r="U56">
            <v>240</v>
          </cell>
          <cell r="V56">
            <v>240</v>
          </cell>
          <cell r="W56">
            <v>240</v>
          </cell>
          <cell r="Y56">
            <v>720</v>
          </cell>
          <cell r="AA56">
            <v>200</v>
          </cell>
          <cell r="AB56">
            <v>300</v>
          </cell>
          <cell r="AC56">
            <v>400</v>
          </cell>
          <cell r="AD56">
            <v>500</v>
          </cell>
          <cell r="AF56">
            <v>800</v>
          </cell>
          <cell r="AG56">
            <v>1100</v>
          </cell>
        </row>
        <row r="57">
          <cell r="A57">
            <v>11.1</v>
          </cell>
          <cell r="B57">
            <v>87</v>
          </cell>
          <cell r="C57">
            <v>79</v>
          </cell>
          <cell r="D57">
            <v>25.48</v>
          </cell>
          <cell r="E57">
            <v>100</v>
          </cell>
          <cell r="F57">
            <v>75</v>
          </cell>
          <cell r="G57">
            <v>50</v>
          </cell>
          <cell r="H57">
            <v>40</v>
          </cell>
          <cell r="I57" t="str">
            <v>-</v>
          </cell>
          <cell r="J57" t="str">
            <v>-</v>
          </cell>
          <cell r="K57" t="str">
            <v>-</v>
          </cell>
          <cell r="L57">
            <v>200</v>
          </cell>
          <cell r="M57">
            <v>400</v>
          </cell>
          <cell r="N57">
            <v>500</v>
          </cell>
          <cell r="O57">
            <v>500</v>
          </cell>
          <cell r="Q57">
            <v>800</v>
          </cell>
          <cell r="R57">
            <v>1100</v>
          </cell>
          <cell r="S57">
            <v>10</v>
          </cell>
          <cell r="T57">
            <v>6</v>
          </cell>
          <cell r="U57">
            <v>240</v>
          </cell>
          <cell r="V57">
            <v>240</v>
          </cell>
          <cell r="W57">
            <v>240</v>
          </cell>
          <cell r="Y57">
            <v>720</v>
          </cell>
          <cell r="AA57">
            <v>200</v>
          </cell>
          <cell r="AB57">
            <v>300</v>
          </cell>
          <cell r="AC57">
            <v>400</v>
          </cell>
          <cell r="AD57">
            <v>500</v>
          </cell>
          <cell r="AF57">
            <v>800</v>
          </cell>
          <cell r="AG57">
            <v>1100</v>
          </cell>
        </row>
        <row r="58">
          <cell r="A58">
            <v>11.25</v>
          </cell>
          <cell r="B58">
            <v>87</v>
          </cell>
          <cell r="C58">
            <v>79</v>
          </cell>
          <cell r="D58">
            <v>25.82</v>
          </cell>
          <cell r="E58">
            <v>100</v>
          </cell>
          <cell r="F58">
            <v>75</v>
          </cell>
          <cell r="G58">
            <v>50</v>
          </cell>
          <cell r="H58">
            <v>40</v>
          </cell>
          <cell r="I58" t="str">
            <v>-</v>
          </cell>
          <cell r="J58" t="str">
            <v>-</v>
          </cell>
          <cell r="K58" t="str">
            <v>-</v>
          </cell>
          <cell r="L58">
            <v>200</v>
          </cell>
          <cell r="M58">
            <v>400</v>
          </cell>
          <cell r="N58">
            <v>500</v>
          </cell>
          <cell r="O58">
            <v>500</v>
          </cell>
          <cell r="Q58">
            <v>800</v>
          </cell>
          <cell r="R58">
            <v>1100</v>
          </cell>
          <cell r="S58">
            <v>10</v>
          </cell>
          <cell r="T58">
            <v>6</v>
          </cell>
          <cell r="U58">
            <v>360</v>
          </cell>
          <cell r="V58">
            <v>360</v>
          </cell>
          <cell r="W58">
            <v>240</v>
          </cell>
          <cell r="Y58">
            <v>720</v>
          </cell>
          <cell r="AA58">
            <v>200</v>
          </cell>
          <cell r="AB58">
            <v>300</v>
          </cell>
          <cell r="AC58">
            <v>400</v>
          </cell>
          <cell r="AD58">
            <v>500</v>
          </cell>
          <cell r="AF58">
            <v>800</v>
          </cell>
          <cell r="AG58">
            <v>1100</v>
          </cell>
        </row>
        <row r="59">
          <cell r="A59">
            <v>11.75</v>
          </cell>
          <cell r="B59">
            <v>87</v>
          </cell>
          <cell r="C59">
            <v>79</v>
          </cell>
          <cell r="D59">
            <v>26.94</v>
          </cell>
          <cell r="E59">
            <v>100</v>
          </cell>
          <cell r="F59">
            <v>75</v>
          </cell>
          <cell r="G59">
            <v>50</v>
          </cell>
          <cell r="H59">
            <v>40</v>
          </cell>
          <cell r="I59" t="str">
            <v>-</v>
          </cell>
          <cell r="J59" t="str">
            <v>-</v>
          </cell>
          <cell r="K59" t="str">
            <v>-</v>
          </cell>
          <cell r="L59">
            <v>200</v>
          </cell>
          <cell r="M59">
            <v>400</v>
          </cell>
          <cell r="N59">
            <v>500</v>
          </cell>
          <cell r="O59">
            <v>500</v>
          </cell>
          <cell r="Q59">
            <v>800</v>
          </cell>
          <cell r="R59">
            <v>1100</v>
          </cell>
          <cell r="S59">
            <v>10</v>
          </cell>
          <cell r="T59">
            <v>6</v>
          </cell>
          <cell r="U59">
            <v>360</v>
          </cell>
          <cell r="V59">
            <v>360</v>
          </cell>
          <cell r="W59">
            <v>240</v>
          </cell>
          <cell r="Y59">
            <v>720</v>
          </cell>
          <cell r="AA59">
            <v>200</v>
          </cell>
          <cell r="AB59">
            <v>300</v>
          </cell>
          <cell r="AC59">
            <v>400</v>
          </cell>
          <cell r="AD59">
            <v>500</v>
          </cell>
          <cell r="AF59">
            <v>800</v>
          </cell>
          <cell r="AG59">
            <v>1100</v>
          </cell>
        </row>
        <row r="60">
          <cell r="A60">
            <v>12</v>
          </cell>
          <cell r="B60">
            <v>87</v>
          </cell>
          <cell r="C60">
            <v>79</v>
          </cell>
          <cell r="D60">
            <v>27.5</v>
          </cell>
          <cell r="E60">
            <v>100</v>
          </cell>
          <cell r="F60">
            <v>75</v>
          </cell>
          <cell r="G60">
            <v>50</v>
          </cell>
          <cell r="H60">
            <v>40</v>
          </cell>
          <cell r="I60" t="str">
            <v>-</v>
          </cell>
          <cell r="J60" t="str">
            <v>-</v>
          </cell>
          <cell r="K60" t="str">
            <v>-</v>
          </cell>
          <cell r="L60">
            <v>200</v>
          </cell>
          <cell r="M60">
            <v>400</v>
          </cell>
          <cell r="N60">
            <v>500</v>
          </cell>
          <cell r="O60">
            <v>500</v>
          </cell>
          <cell r="Q60">
            <v>800</v>
          </cell>
          <cell r="R60">
            <v>1100</v>
          </cell>
          <cell r="S60">
            <v>10</v>
          </cell>
          <cell r="T60">
            <v>6</v>
          </cell>
          <cell r="U60">
            <v>360</v>
          </cell>
          <cell r="V60">
            <v>360</v>
          </cell>
          <cell r="W60">
            <v>240</v>
          </cell>
          <cell r="Y60">
            <v>720</v>
          </cell>
          <cell r="AA60">
            <v>200</v>
          </cell>
          <cell r="AB60">
            <v>300</v>
          </cell>
          <cell r="AC60">
            <v>400</v>
          </cell>
          <cell r="AD60">
            <v>500</v>
          </cell>
          <cell r="AF60">
            <v>800</v>
          </cell>
          <cell r="AG60">
            <v>1100</v>
          </cell>
        </row>
        <row r="61">
          <cell r="A61">
            <v>13.6</v>
          </cell>
          <cell r="B61">
            <v>87</v>
          </cell>
          <cell r="C61">
            <v>79</v>
          </cell>
          <cell r="D61">
            <v>31.08</v>
          </cell>
          <cell r="E61">
            <v>100</v>
          </cell>
          <cell r="F61">
            <v>75</v>
          </cell>
          <cell r="G61">
            <v>50</v>
          </cell>
          <cell r="H61">
            <v>40</v>
          </cell>
          <cell r="I61" t="str">
            <v>-</v>
          </cell>
          <cell r="J61" t="str">
            <v>-</v>
          </cell>
          <cell r="K61" t="str">
            <v>-</v>
          </cell>
          <cell r="L61">
            <v>200</v>
          </cell>
          <cell r="M61">
            <v>400</v>
          </cell>
          <cell r="N61">
            <v>500</v>
          </cell>
          <cell r="O61">
            <v>500</v>
          </cell>
          <cell r="Q61">
            <v>800</v>
          </cell>
          <cell r="R61">
            <v>1100</v>
          </cell>
          <cell r="S61">
            <v>10</v>
          </cell>
          <cell r="T61">
            <v>6</v>
          </cell>
          <cell r="U61">
            <v>360</v>
          </cell>
          <cell r="V61">
            <v>360</v>
          </cell>
          <cell r="W61">
            <v>240</v>
          </cell>
          <cell r="Y61">
            <v>720</v>
          </cell>
          <cell r="AA61">
            <v>200</v>
          </cell>
          <cell r="AB61">
            <v>300</v>
          </cell>
          <cell r="AC61">
            <v>400</v>
          </cell>
          <cell r="AD61">
            <v>500</v>
          </cell>
          <cell r="AF61">
            <v>800</v>
          </cell>
          <cell r="AG61">
            <v>1100</v>
          </cell>
        </row>
        <row r="62">
          <cell r="A62">
            <v>14.35</v>
          </cell>
          <cell r="B62">
            <v>87</v>
          </cell>
          <cell r="C62">
            <v>79</v>
          </cell>
          <cell r="D62">
            <v>32.76</v>
          </cell>
          <cell r="E62">
            <v>100</v>
          </cell>
          <cell r="F62">
            <v>75</v>
          </cell>
          <cell r="G62">
            <v>50</v>
          </cell>
          <cell r="H62">
            <v>40</v>
          </cell>
          <cell r="I62" t="str">
            <v>-</v>
          </cell>
          <cell r="J62" t="str">
            <v>-</v>
          </cell>
          <cell r="K62" t="str">
            <v>-</v>
          </cell>
          <cell r="L62">
            <v>200</v>
          </cell>
          <cell r="M62">
            <v>400</v>
          </cell>
          <cell r="N62">
            <v>500</v>
          </cell>
          <cell r="O62">
            <v>500</v>
          </cell>
          <cell r="Q62">
            <v>800</v>
          </cell>
          <cell r="R62">
            <v>1100</v>
          </cell>
          <cell r="S62">
            <v>10</v>
          </cell>
          <cell r="T62">
            <v>6</v>
          </cell>
          <cell r="U62">
            <v>360</v>
          </cell>
          <cell r="V62">
            <v>360</v>
          </cell>
          <cell r="W62">
            <v>240</v>
          </cell>
          <cell r="Y62">
            <v>720</v>
          </cell>
          <cell r="AA62">
            <v>200</v>
          </cell>
          <cell r="AB62">
            <v>300</v>
          </cell>
          <cell r="AC62">
            <v>400</v>
          </cell>
          <cell r="AD62">
            <v>500</v>
          </cell>
          <cell r="AF62">
            <v>800</v>
          </cell>
          <cell r="AG62">
            <v>1100</v>
          </cell>
        </row>
        <row r="63">
          <cell r="A63">
            <v>15</v>
          </cell>
          <cell r="B63">
            <v>88</v>
          </cell>
          <cell r="C63">
            <v>79.5</v>
          </cell>
          <cell r="D63">
            <v>34.21</v>
          </cell>
          <cell r="E63">
            <v>100</v>
          </cell>
          <cell r="F63">
            <v>100</v>
          </cell>
          <cell r="G63">
            <v>50</v>
          </cell>
          <cell r="H63">
            <v>50</v>
          </cell>
          <cell r="I63" t="str">
            <v>60/5A</v>
          </cell>
          <cell r="J63" t="str">
            <v>5 ~ 60A</v>
          </cell>
          <cell r="K63">
            <v>100</v>
          </cell>
          <cell r="L63">
            <v>200</v>
          </cell>
          <cell r="M63">
            <v>400</v>
          </cell>
          <cell r="N63">
            <v>500</v>
          </cell>
          <cell r="O63">
            <v>500</v>
          </cell>
          <cell r="Q63">
            <v>800</v>
          </cell>
          <cell r="R63">
            <v>1100</v>
          </cell>
          <cell r="S63">
            <v>16</v>
          </cell>
          <cell r="T63">
            <v>6</v>
          </cell>
          <cell r="U63">
            <v>360</v>
          </cell>
          <cell r="V63">
            <v>360</v>
          </cell>
          <cell r="W63">
            <v>480</v>
          </cell>
          <cell r="Y63">
            <v>720</v>
          </cell>
          <cell r="AA63">
            <v>200</v>
          </cell>
          <cell r="AB63">
            <v>300</v>
          </cell>
          <cell r="AC63">
            <v>400</v>
          </cell>
          <cell r="AD63">
            <v>500</v>
          </cell>
          <cell r="AF63">
            <v>800</v>
          </cell>
          <cell r="AG63">
            <v>1100</v>
          </cell>
        </row>
        <row r="64">
          <cell r="A64">
            <v>15.4</v>
          </cell>
          <cell r="B64">
            <v>88.5</v>
          </cell>
          <cell r="C64">
            <v>80</v>
          </cell>
          <cell r="D64">
            <v>33.049999999999997</v>
          </cell>
          <cell r="E64">
            <v>100</v>
          </cell>
          <cell r="F64">
            <v>100</v>
          </cell>
          <cell r="G64">
            <v>100</v>
          </cell>
          <cell r="H64">
            <v>60</v>
          </cell>
          <cell r="I64" t="str">
            <v>-</v>
          </cell>
          <cell r="J64" t="str">
            <v>-</v>
          </cell>
          <cell r="K64" t="str">
            <v>-</v>
          </cell>
          <cell r="L64">
            <v>200</v>
          </cell>
          <cell r="M64">
            <v>400</v>
          </cell>
          <cell r="N64">
            <v>500</v>
          </cell>
          <cell r="O64">
            <v>500</v>
          </cell>
          <cell r="Q64">
            <v>800</v>
          </cell>
          <cell r="R64">
            <v>1100</v>
          </cell>
          <cell r="S64">
            <v>16</v>
          </cell>
          <cell r="T64">
            <v>6</v>
          </cell>
          <cell r="U64">
            <v>360</v>
          </cell>
          <cell r="V64">
            <v>360</v>
          </cell>
          <cell r="W64">
            <v>480</v>
          </cell>
          <cell r="Y64">
            <v>720</v>
          </cell>
          <cell r="AA64">
            <v>200</v>
          </cell>
          <cell r="AB64">
            <v>300</v>
          </cell>
          <cell r="AC64">
            <v>400</v>
          </cell>
          <cell r="AD64">
            <v>500</v>
          </cell>
          <cell r="AF64">
            <v>800</v>
          </cell>
          <cell r="AG64">
            <v>1100</v>
          </cell>
        </row>
        <row r="65">
          <cell r="A65">
            <v>16.5</v>
          </cell>
          <cell r="B65">
            <v>88.5</v>
          </cell>
          <cell r="C65">
            <v>80</v>
          </cell>
          <cell r="D65">
            <v>35.409999999999997</v>
          </cell>
          <cell r="E65">
            <v>100</v>
          </cell>
          <cell r="F65">
            <v>100</v>
          </cell>
          <cell r="G65">
            <v>100</v>
          </cell>
          <cell r="H65">
            <v>60</v>
          </cell>
          <cell r="I65" t="str">
            <v>-</v>
          </cell>
          <cell r="J65" t="str">
            <v>-</v>
          </cell>
          <cell r="K65" t="str">
            <v>-</v>
          </cell>
          <cell r="L65">
            <v>200</v>
          </cell>
          <cell r="M65">
            <v>400</v>
          </cell>
          <cell r="N65">
            <v>500</v>
          </cell>
          <cell r="O65">
            <v>500</v>
          </cell>
          <cell r="Q65">
            <v>800</v>
          </cell>
          <cell r="R65">
            <v>1100</v>
          </cell>
          <cell r="S65">
            <v>16</v>
          </cell>
          <cell r="T65">
            <v>6</v>
          </cell>
          <cell r="U65">
            <v>360</v>
          </cell>
          <cell r="V65">
            <v>360</v>
          </cell>
          <cell r="W65">
            <v>480</v>
          </cell>
          <cell r="Y65">
            <v>720</v>
          </cell>
          <cell r="AA65">
            <v>200</v>
          </cell>
          <cell r="AB65">
            <v>300</v>
          </cell>
          <cell r="AC65">
            <v>400</v>
          </cell>
          <cell r="AD65">
            <v>500</v>
          </cell>
          <cell r="AF65">
            <v>800</v>
          </cell>
          <cell r="AG65">
            <v>1100</v>
          </cell>
        </row>
        <row r="66">
          <cell r="A66">
            <v>18.5</v>
          </cell>
          <cell r="B66">
            <v>88.5</v>
          </cell>
          <cell r="C66">
            <v>80</v>
          </cell>
          <cell r="D66">
            <v>41.58</v>
          </cell>
          <cell r="E66">
            <v>100</v>
          </cell>
          <cell r="F66">
            <v>100</v>
          </cell>
          <cell r="G66">
            <v>100</v>
          </cell>
          <cell r="H66">
            <v>60</v>
          </cell>
          <cell r="I66" t="str">
            <v>75/5A</v>
          </cell>
          <cell r="J66" t="str">
            <v>5 ~ 60A</v>
          </cell>
          <cell r="K66">
            <v>150</v>
          </cell>
          <cell r="L66">
            <v>300</v>
          </cell>
          <cell r="M66">
            <v>400</v>
          </cell>
          <cell r="N66">
            <v>500</v>
          </cell>
          <cell r="O66">
            <v>600</v>
          </cell>
          <cell r="Q66">
            <v>800</v>
          </cell>
          <cell r="R66">
            <v>1200</v>
          </cell>
          <cell r="S66">
            <v>16</v>
          </cell>
          <cell r="T66">
            <v>6</v>
          </cell>
          <cell r="U66">
            <v>360</v>
          </cell>
          <cell r="V66">
            <v>360</v>
          </cell>
          <cell r="W66">
            <v>600</v>
          </cell>
          <cell r="Y66">
            <v>720</v>
          </cell>
          <cell r="AA66">
            <v>300</v>
          </cell>
          <cell r="AB66">
            <v>300</v>
          </cell>
          <cell r="AC66">
            <v>600</v>
          </cell>
          <cell r="AD66">
            <v>500</v>
          </cell>
          <cell r="AF66">
            <v>800</v>
          </cell>
          <cell r="AG66">
            <v>1200</v>
          </cell>
        </row>
        <row r="67">
          <cell r="A67">
            <v>22</v>
          </cell>
          <cell r="B67">
            <v>89</v>
          </cell>
          <cell r="C67">
            <v>80.5</v>
          </cell>
          <cell r="D67">
            <v>48.95</v>
          </cell>
          <cell r="E67">
            <v>225</v>
          </cell>
          <cell r="F67">
            <v>125</v>
          </cell>
          <cell r="G67">
            <v>100</v>
          </cell>
          <cell r="H67">
            <v>75</v>
          </cell>
          <cell r="I67" t="str">
            <v>100/5A</v>
          </cell>
          <cell r="J67" t="str">
            <v>5 ~ 60A</v>
          </cell>
          <cell r="K67">
            <v>150</v>
          </cell>
          <cell r="L67">
            <v>300</v>
          </cell>
          <cell r="M67">
            <v>500</v>
          </cell>
          <cell r="N67">
            <v>600</v>
          </cell>
          <cell r="O67">
            <v>600</v>
          </cell>
          <cell r="Q67">
            <v>800</v>
          </cell>
          <cell r="R67">
            <v>1200</v>
          </cell>
          <cell r="S67">
            <v>25</v>
          </cell>
          <cell r="T67">
            <v>10</v>
          </cell>
          <cell r="U67">
            <v>360</v>
          </cell>
          <cell r="V67">
            <v>360</v>
          </cell>
          <cell r="W67">
            <v>600</v>
          </cell>
          <cell r="Y67">
            <v>720</v>
          </cell>
          <cell r="AA67">
            <v>300</v>
          </cell>
          <cell r="AB67">
            <v>400</v>
          </cell>
          <cell r="AC67">
            <v>600</v>
          </cell>
          <cell r="AD67">
            <v>500</v>
          </cell>
          <cell r="AF67">
            <v>800</v>
          </cell>
          <cell r="AG67">
            <v>1200</v>
          </cell>
        </row>
        <row r="68">
          <cell r="A68">
            <v>22.35</v>
          </cell>
          <cell r="B68">
            <v>89.5</v>
          </cell>
          <cell r="C68">
            <v>81</v>
          </cell>
          <cell r="D68">
            <v>46.84</v>
          </cell>
          <cell r="E68">
            <v>225</v>
          </cell>
          <cell r="F68">
            <v>125</v>
          </cell>
          <cell r="G68">
            <v>100</v>
          </cell>
          <cell r="H68">
            <v>100</v>
          </cell>
          <cell r="I68" t="str">
            <v>-</v>
          </cell>
          <cell r="J68" t="str">
            <v>-</v>
          </cell>
          <cell r="K68" t="str">
            <v>-</v>
          </cell>
          <cell r="L68">
            <v>300</v>
          </cell>
          <cell r="M68">
            <v>500</v>
          </cell>
          <cell r="N68">
            <v>600</v>
          </cell>
          <cell r="O68">
            <v>600</v>
          </cell>
          <cell r="Q68">
            <v>800</v>
          </cell>
          <cell r="R68">
            <v>1200</v>
          </cell>
          <cell r="S68">
            <v>25</v>
          </cell>
          <cell r="T68">
            <v>10</v>
          </cell>
          <cell r="U68">
            <v>360</v>
          </cell>
          <cell r="V68">
            <v>360</v>
          </cell>
          <cell r="W68">
            <v>600</v>
          </cell>
          <cell r="Y68">
            <v>720</v>
          </cell>
          <cell r="AA68">
            <v>300</v>
          </cell>
          <cell r="AB68">
            <v>400</v>
          </cell>
          <cell r="AC68">
            <v>600</v>
          </cell>
          <cell r="AD68">
            <v>600</v>
          </cell>
          <cell r="AF68">
            <v>800</v>
          </cell>
          <cell r="AG68">
            <v>1200</v>
          </cell>
        </row>
        <row r="69">
          <cell r="A69">
            <v>22.9</v>
          </cell>
          <cell r="B69">
            <v>89.5</v>
          </cell>
          <cell r="C69">
            <v>81</v>
          </cell>
          <cell r="D69">
            <v>47.99</v>
          </cell>
          <cell r="E69">
            <v>225</v>
          </cell>
          <cell r="F69">
            <v>125</v>
          </cell>
          <cell r="G69">
            <v>100</v>
          </cell>
          <cell r="H69">
            <v>100</v>
          </cell>
          <cell r="I69" t="str">
            <v>-</v>
          </cell>
          <cell r="J69" t="str">
            <v>-</v>
          </cell>
          <cell r="K69" t="str">
            <v>-</v>
          </cell>
          <cell r="L69">
            <v>300</v>
          </cell>
          <cell r="M69">
            <v>500</v>
          </cell>
          <cell r="N69">
            <v>600</v>
          </cell>
          <cell r="O69">
            <v>600</v>
          </cell>
          <cell r="Q69">
            <v>800</v>
          </cell>
          <cell r="R69">
            <v>1200</v>
          </cell>
          <cell r="S69">
            <v>25</v>
          </cell>
          <cell r="T69">
            <v>10</v>
          </cell>
          <cell r="U69">
            <v>360</v>
          </cell>
          <cell r="V69">
            <v>360</v>
          </cell>
          <cell r="W69">
            <v>600</v>
          </cell>
          <cell r="Y69">
            <v>720</v>
          </cell>
          <cell r="AA69">
            <v>300</v>
          </cell>
          <cell r="AB69">
            <v>400</v>
          </cell>
          <cell r="AC69">
            <v>600</v>
          </cell>
          <cell r="AD69">
            <v>600</v>
          </cell>
          <cell r="AF69">
            <v>800</v>
          </cell>
          <cell r="AG69">
            <v>1200</v>
          </cell>
        </row>
        <row r="70">
          <cell r="A70">
            <v>28.45</v>
          </cell>
          <cell r="B70">
            <v>89.5</v>
          </cell>
          <cell r="C70">
            <v>81</v>
          </cell>
          <cell r="D70">
            <v>59.63</v>
          </cell>
          <cell r="E70">
            <v>225</v>
          </cell>
          <cell r="F70">
            <v>125</v>
          </cell>
          <cell r="G70">
            <v>100</v>
          </cell>
          <cell r="H70">
            <v>100</v>
          </cell>
          <cell r="I70" t="str">
            <v>-</v>
          </cell>
          <cell r="J70" t="str">
            <v>-</v>
          </cell>
          <cell r="K70" t="str">
            <v>-</v>
          </cell>
          <cell r="L70">
            <v>300</v>
          </cell>
          <cell r="M70">
            <v>500</v>
          </cell>
          <cell r="N70">
            <v>600</v>
          </cell>
          <cell r="O70">
            <v>600</v>
          </cell>
          <cell r="Q70">
            <v>800</v>
          </cell>
          <cell r="R70">
            <v>1200</v>
          </cell>
          <cell r="S70">
            <v>25</v>
          </cell>
          <cell r="T70">
            <v>10</v>
          </cell>
          <cell r="U70">
            <v>360</v>
          </cell>
          <cell r="V70">
            <v>360</v>
          </cell>
          <cell r="W70">
            <v>600</v>
          </cell>
          <cell r="Y70">
            <v>720</v>
          </cell>
          <cell r="AA70">
            <v>300</v>
          </cell>
          <cell r="AB70">
            <v>400</v>
          </cell>
          <cell r="AC70">
            <v>600</v>
          </cell>
          <cell r="AD70">
            <v>600</v>
          </cell>
          <cell r="AF70">
            <v>800</v>
          </cell>
          <cell r="AG70">
            <v>1200</v>
          </cell>
        </row>
        <row r="71">
          <cell r="A71">
            <v>30</v>
          </cell>
          <cell r="B71">
            <v>89.5</v>
          </cell>
          <cell r="C71">
            <v>81</v>
          </cell>
          <cell r="D71">
            <v>65.790000000000006</v>
          </cell>
          <cell r="E71">
            <v>225</v>
          </cell>
          <cell r="F71">
            <v>125</v>
          </cell>
          <cell r="G71">
            <v>100</v>
          </cell>
          <cell r="H71">
            <v>100</v>
          </cell>
          <cell r="I71" t="str">
            <v>100/5A</v>
          </cell>
          <cell r="J71" t="str">
            <v>10 ~ 120A</v>
          </cell>
          <cell r="K71">
            <v>200</v>
          </cell>
          <cell r="L71">
            <v>300</v>
          </cell>
          <cell r="M71">
            <v>500</v>
          </cell>
          <cell r="N71">
            <v>600</v>
          </cell>
          <cell r="O71">
            <v>600</v>
          </cell>
          <cell r="Q71">
            <v>800</v>
          </cell>
          <cell r="R71">
            <v>1800</v>
          </cell>
          <cell r="S71">
            <v>25</v>
          </cell>
          <cell r="T71">
            <v>10</v>
          </cell>
          <cell r="U71">
            <v>480</v>
          </cell>
          <cell r="V71">
            <v>480</v>
          </cell>
          <cell r="W71">
            <v>600</v>
          </cell>
          <cell r="Y71">
            <v>720</v>
          </cell>
          <cell r="Z71">
            <v>1800</v>
          </cell>
          <cell r="AA71">
            <v>300</v>
          </cell>
          <cell r="AB71">
            <v>400</v>
          </cell>
          <cell r="AC71">
            <v>600</v>
          </cell>
          <cell r="AD71">
            <v>600</v>
          </cell>
          <cell r="AF71">
            <v>800</v>
          </cell>
          <cell r="AG71">
            <v>1800</v>
          </cell>
        </row>
        <row r="72">
          <cell r="A72">
            <v>37</v>
          </cell>
          <cell r="B72">
            <v>90</v>
          </cell>
          <cell r="C72">
            <v>81.5</v>
          </cell>
          <cell r="D72">
            <v>84.21</v>
          </cell>
          <cell r="E72">
            <v>225</v>
          </cell>
          <cell r="F72">
            <v>150</v>
          </cell>
          <cell r="G72">
            <v>225</v>
          </cell>
          <cell r="H72">
            <v>125</v>
          </cell>
          <cell r="I72" t="str">
            <v>100/5A</v>
          </cell>
          <cell r="J72" t="str">
            <v>10 ~ 120A</v>
          </cell>
          <cell r="K72">
            <v>250</v>
          </cell>
          <cell r="L72">
            <v>300</v>
          </cell>
          <cell r="M72">
            <v>500</v>
          </cell>
          <cell r="N72">
            <v>600</v>
          </cell>
          <cell r="O72">
            <v>900</v>
          </cell>
          <cell r="Q72">
            <v>800</v>
          </cell>
          <cell r="R72">
            <v>1800</v>
          </cell>
          <cell r="S72">
            <v>50</v>
          </cell>
          <cell r="T72">
            <v>10</v>
          </cell>
          <cell r="U72">
            <v>480</v>
          </cell>
          <cell r="V72">
            <v>480</v>
          </cell>
          <cell r="W72">
            <v>720</v>
          </cell>
          <cell r="Y72">
            <v>720</v>
          </cell>
          <cell r="Z72">
            <v>1800</v>
          </cell>
          <cell r="AA72">
            <v>300</v>
          </cell>
          <cell r="AB72">
            <v>400</v>
          </cell>
          <cell r="AC72">
            <v>600</v>
          </cell>
          <cell r="AD72">
            <v>600</v>
          </cell>
          <cell r="AF72">
            <v>800</v>
          </cell>
          <cell r="AG72">
            <v>1800</v>
          </cell>
        </row>
        <row r="73">
          <cell r="A73">
            <v>45</v>
          </cell>
          <cell r="B73">
            <v>90.5</v>
          </cell>
          <cell r="C73">
            <v>82</v>
          </cell>
          <cell r="D73">
            <v>100</v>
          </cell>
          <cell r="E73">
            <v>225</v>
          </cell>
          <cell r="F73">
            <v>200</v>
          </cell>
          <cell r="G73">
            <v>225</v>
          </cell>
          <cell r="H73">
            <v>150</v>
          </cell>
          <cell r="I73" t="str">
            <v>150/5A</v>
          </cell>
          <cell r="J73" t="str">
            <v>20 ~ 240A</v>
          </cell>
          <cell r="K73">
            <v>400</v>
          </cell>
          <cell r="L73">
            <v>300</v>
          </cell>
          <cell r="M73">
            <v>500</v>
          </cell>
          <cell r="N73">
            <v>600</v>
          </cell>
          <cell r="O73">
            <v>900</v>
          </cell>
          <cell r="Q73">
            <v>800</v>
          </cell>
          <cell r="R73">
            <v>1800</v>
          </cell>
          <cell r="S73">
            <v>50</v>
          </cell>
          <cell r="T73">
            <v>10</v>
          </cell>
          <cell r="U73">
            <v>600</v>
          </cell>
          <cell r="V73">
            <v>600</v>
          </cell>
          <cell r="W73">
            <v>840</v>
          </cell>
          <cell r="Y73">
            <v>720</v>
          </cell>
          <cell r="Z73">
            <v>1800</v>
          </cell>
          <cell r="AA73">
            <v>300</v>
          </cell>
          <cell r="AB73">
            <v>600</v>
          </cell>
          <cell r="AC73">
            <v>800</v>
          </cell>
          <cell r="AD73">
            <v>600</v>
          </cell>
          <cell r="AF73">
            <v>800</v>
          </cell>
          <cell r="AG73">
            <v>1800</v>
          </cell>
        </row>
        <row r="74">
          <cell r="A74">
            <v>55</v>
          </cell>
          <cell r="B74">
            <v>0.90100000000000002</v>
          </cell>
          <cell r="C74">
            <v>0.877</v>
          </cell>
          <cell r="D74">
            <v>121</v>
          </cell>
          <cell r="E74">
            <v>225</v>
          </cell>
          <cell r="F74">
            <v>200</v>
          </cell>
          <cell r="G74">
            <v>225</v>
          </cell>
          <cell r="H74">
            <v>175</v>
          </cell>
          <cell r="I74" t="str">
            <v>200/5A</v>
          </cell>
          <cell r="J74" t="str">
            <v>20 ~ 240A</v>
          </cell>
          <cell r="K74">
            <v>500</v>
          </cell>
          <cell r="L74">
            <v>300</v>
          </cell>
          <cell r="M74">
            <v>500</v>
          </cell>
          <cell r="N74">
            <v>600</v>
          </cell>
          <cell r="O74">
            <v>900</v>
          </cell>
          <cell r="P74">
            <v>2300</v>
          </cell>
          <cell r="Q74">
            <v>800</v>
          </cell>
          <cell r="R74">
            <v>1800</v>
          </cell>
          <cell r="S74">
            <v>70</v>
          </cell>
          <cell r="T74">
            <v>16</v>
          </cell>
          <cell r="U74">
            <v>600</v>
          </cell>
          <cell r="V74">
            <v>600</v>
          </cell>
          <cell r="W74">
            <v>840</v>
          </cell>
          <cell r="X74">
            <v>1680</v>
          </cell>
          <cell r="Y74">
            <v>720</v>
          </cell>
          <cell r="Z74">
            <v>1800</v>
          </cell>
          <cell r="AA74">
            <v>300</v>
          </cell>
          <cell r="AB74">
            <v>600</v>
          </cell>
          <cell r="AC74">
            <v>800</v>
          </cell>
          <cell r="AD74">
            <v>600</v>
          </cell>
          <cell r="AE74">
            <v>2300</v>
          </cell>
          <cell r="AF74">
            <v>800</v>
          </cell>
          <cell r="AG74">
            <v>1800</v>
          </cell>
        </row>
        <row r="75">
          <cell r="A75">
            <v>75</v>
          </cell>
          <cell r="B75">
            <v>0.90700000000000003</v>
          </cell>
          <cell r="C75">
            <v>0.879</v>
          </cell>
          <cell r="D75">
            <v>163</v>
          </cell>
          <cell r="E75">
            <v>400</v>
          </cell>
          <cell r="F75">
            <v>300</v>
          </cell>
          <cell r="G75">
            <v>400</v>
          </cell>
          <cell r="H75">
            <v>250</v>
          </cell>
          <cell r="I75" t="str">
            <v>200/5A</v>
          </cell>
          <cell r="J75" t="str">
            <v>20 ~ 240A</v>
          </cell>
          <cell r="K75">
            <v>650</v>
          </cell>
          <cell r="L75">
            <v>400</v>
          </cell>
          <cell r="M75">
            <v>700</v>
          </cell>
          <cell r="N75">
            <v>600</v>
          </cell>
          <cell r="O75">
            <v>1200</v>
          </cell>
          <cell r="P75">
            <v>2300</v>
          </cell>
          <cell r="Q75">
            <v>1000</v>
          </cell>
          <cell r="R75">
            <v>1800</v>
          </cell>
          <cell r="S75">
            <v>120</v>
          </cell>
          <cell r="T75">
            <v>25</v>
          </cell>
          <cell r="U75">
            <v>600</v>
          </cell>
          <cell r="V75">
            <v>600</v>
          </cell>
          <cell r="W75">
            <v>840</v>
          </cell>
          <cell r="X75">
            <v>1680</v>
          </cell>
          <cell r="Y75">
            <v>840</v>
          </cell>
          <cell r="Z75">
            <v>1800</v>
          </cell>
          <cell r="AA75">
            <v>400</v>
          </cell>
          <cell r="AB75">
            <v>600</v>
          </cell>
          <cell r="AC75">
            <v>800</v>
          </cell>
          <cell r="AD75">
            <v>900</v>
          </cell>
          <cell r="AE75">
            <v>2300</v>
          </cell>
          <cell r="AF75">
            <v>1000</v>
          </cell>
          <cell r="AG75">
            <v>1800</v>
          </cell>
        </row>
        <row r="76">
          <cell r="A76">
            <v>90</v>
          </cell>
          <cell r="B76">
            <v>0.89900000000000002</v>
          </cell>
          <cell r="C76">
            <v>0.88</v>
          </cell>
          <cell r="D76">
            <v>168</v>
          </cell>
          <cell r="E76">
            <v>400</v>
          </cell>
          <cell r="F76">
            <v>400</v>
          </cell>
          <cell r="G76">
            <v>400</v>
          </cell>
          <cell r="H76">
            <v>300</v>
          </cell>
          <cell r="I76" t="str">
            <v>300/5A</v>
          </cell>
          <cell r="J76" t="str">
            <v>30 ~ 360A</v>
          </cell>
          <cell r="K76">
            <v>800</v>
          </cell>
          <cell r="L76">
            <v>400</v>
          </cell>
          <cell r="M76">
            <v>700</v>
          </cell>
          <cell r="N76">
            <v>600</v>
          </cell>
          <cell r="O76">
            <v>1200</v>
          </cell>
          <cell r="P76">
            <v>2300</v>
          </cell>
          <cell r="Q76">
            <v>1000</v>
          </cell>
          <cell r="R76">
            <v>1800</v>
          </cell>
          <cell r="S76">
            <v>150</v>
          </cell>
          <cell r="T76">
            <v>25</v>
          </cell>
          <cell r="U76">
            <v>600</v>
          </cell>
          <cell r="V76">
            <v>600</v>
          </cell>
          <cell r="W76">
            <v>840</v>
          </cell>
          <cell r="X76">
            <v>1680</v>
          </cell>
          <cell r="Y76">
            <v>840</v>
          </cell>
          <cell r="Z76">
            <v>1800</v>
          </cell>
          <cell r="AA76">
            <v>400</v>
          </cell>
          <cell r="AD76">
            <v>900</v>
          </cell>
          <cell r="AE76">
            <v>2300</v>
          </cell>
          <cell r="AF76">
            <v>1000</v>
          </cell>
          <cell r="AG76">
            <v>1800</v>
          </cell>
        </row>
        <row r="77">
          <cell r="A77">
            <v>110</v>
          </cell>
          <cell r="B77">
            <v>0.91700000000000004</v>
          </cell>
          <cell r="C77">
            <v>0.88100000000000001</v>
          </cell>
          <cell r="D77">
            <v>203</v>
          </cell>
          <cell r="E77">
            <v>600</v>
          </cell>
          <cell r="F77">
            <v>500</v>
          </cell>
          <cell r="G77">
            <v>400</v>
          </cell>
          <cell r="H77">
            <v>350</v>
          </cell>
          <cell r="I77" t="str">
            <v>400/6A</v>
          </cell>
          <cell r="J77" t="str">
            <v>30 ~ 360A</v>
          </cell>
          <cell r="K77">
            <v>1000</v>
          </cell>
          <cell r="L77">
            <v>400</v>
          </cell>
          <cell r="M77">
            <v>700</v>
          </cell>
          <cell r="N77">
            <v>700</v>
          </cell>
          <cell r="O77">
            <v>1400</v>
          </cell>
          <cell r="P77">
            <v>2300</v>
          </cell>
          <cell r="Q77">
            <v>1200</v>
          </cell>
          <cell r="R77">
            <v>1800</v>
          </cell>
          <cell r="S77">
            <v>240</v>
          </cell>
          <cell r="T77">
            <v>50</v>
          </cell>
          <cell r="U77">
            <v>600</v>
          </cell>
          <cell r="V77">
            <v>600</v>
          </cell>
          <cell r="W77">
            <v>840</v>
          </cell>
          <cell r="X77">
            <v>1680</v>
          </cell>
          <cell r="Y77">
            <v>960</v>
          </cell>
          <cell r="Z77">
            <v>1800</v>
          </cell>
          <cell r="AA77">
            <v>400</v>
          </cell>
          <cell r="AD77">
            <v>1200</v>
          </cell>
          <cell r="AE77">
            <v>2300</v>
          </cell>
          <cell r="AF77">
            <v>1200</v>
          </cell>
          <cell r="AG77">
            <v>1800</v>
          </cell>
        </row>
        <row r="78">
          <cell r="A78">
            <v>132</v>
          </cell>
          <cell r="B78">
            <v>0.93</v>
          </cell>
          <cell r="C78">
            <v>0.89500000000000002</v>
          </cell>
          <cell r="D78">
            <v>244</v>
          </cell>
          <cell r="E78">
            <v>600</v>
          </cell>
          <cell r="F78">
            <v>500</v>
          </cell>
          <cell r="G78">
            <v>400</v>
          </cell>
          <cell r="H78">
            <v>400</v>
          </cell>
          <cell r="I78" t="str">
            <v>500/7A</v>
          </cell>
          <cell r="J78" t="str">
            <v>30 ~ 360A</v>
          </cell>
          <cell r="K78">
            <v>1100</v>
          </cell>
          <cell r="L78">
            <v>800</v>
          </cell>
          <cell r="M78">
            <v>1000</v>
          </cell>
          <cell r="N78">
            <v>1000</v>
          </cell>
          <cell r="O78">
            <v>1400</v>
          </cell>
          <cell r="P78">
            <v>2300</v>
          </cell>
          <cell r="Q78">
            <v>1200</v>
          </cell>
          <cell r="S78">
            <v>300</v>
          </cell>
          <cell r="T78">
            <v>50</v>
          </cell>
          <cell r="W78">
            <v>840</v>
          </cell>
          <cell r="X78">
            <v>1680</v>
          </cell>
          <cell r="Y78">
            <v>960</v>
          </cell>
          <cell r="AA78">
            <v>800</v>
          </cell>
          <cell r="AD78">
            <v>1200</v>
          </cell>
          <cell r="AE78">
            <v>2300</v>
          </cell>
          <cell r="AF78">
            <v>1200</v>
          </cell>
        </row>
        <row r="79">
          <cell r="A79">
            <v>150</v>
          </cell>
          <cell r="D79">
            <v>273</v>
          </cell>
          <cell r="E79">
            <v>600</v>
          </cell>
          <cell r="F79">
            <v>600</v>
          </cell>
          <cell r="G79">
            <v>600</v>
          </cell>
          <cell r="H79">
            <v>500</v>
          </cell>
          <cell r="I79" t="str">
            <v>500/5A</v>
          </cell>
          <cell r="J79" t="str">
            <v>30 ~ 360A</v>
          </cell>
          <cell r="K79">
            <v>1200</v>
          </cell>
          <cell r="L79">
            <v>800</v>
          </cell>
          <cell r="M79">
            <v>1200</v>
          </cell>
          <cell r="N79">
            <v>1200</v>
          </cell>
          <cell r="P79">
            <v>2300</v>
          </cell>
          <cell r="Q79">
            <v>1200</v>
          </cell>
          <cell r="S79">
            <v>400</v>
          </cell>
          <cell r="T79">
            <v>70</v>
          </cell>
          <cell r="X79">
            <v>1680</v>
          </cell>
          <cell r="Y79">
            <v>960</v>
          </cell>
          <cell r="AA79">
            <v>800</v>
          </cell>
          <cell r="AD79">
            <v>1200</v>
          </cell>
          <cell r="AE79">
            <v>2300</v>
          </cell>
          <cell r="AF79">
            <v>1200</v>
          </cell>
        </row>
        <row r="80">
          <cell r="A80">
            <v>262</v>
          </cell>
          <cell r="D80">
            <v>526.84</v>
          </cell>
          <cell r="L80">
            <v>800</v>
          </cell>
          <cell r="M80">
            <v>1200</v>
          </cell>
          <cell r="N80">
            <v>1200</v>
          </cell>
          <cell r="P80">
            <v>2300</v>
          </cell>
          <cell r="Q80">
            <v>1200</v>
          </cell>
          <cell r="S80">
            <v>400</v>
          </cell>
          <cell r="T80">
            <v>70</v>
          </cell>
          <cell r="X80">
            <v>1680</v>
          </cell>
          <cell r="Y80">
            <v>960</v>
          </cell>
          <cell r="AA80">
            <v>800</v>
          </cell>
          <cell r="AE80">
            <v>2300</v>
          </cell>
          <cell r="AF80">
            <v>1200</v>
          </cell>
        </row>
      </sheetData>
      <sheetData sheetId="19" refreshError="1"/>
      <sheetData sheetId="20" refreshError="1">
        <row r="1">
          <cell r="B1" t="str">
            <v>A11</v>
          </cell>
        </row>
        <row r="2">
          <cell r="B2" t="str">
            <v>단면적
(㎟)</v>
          </cell>
          <cell r="C2" t="str">
            <v>허용
전류
(A)</v>
          </cell>
          <cell r="D2" t="str">
            <v>허용
전류
(A)</v>
          </cell>
          <cell r="E2" t="str">
            <v>단면적
(㎟)</v>
          </cell>
        </row>
        <row r="3">
          <cell r="D3">
            <v>1E-3</v>
          </cell>
          <cell r="E3">
            <v>1.5</v>
          </cell>
        </row>
        <row r="4">
          <cell r="A4" t="str">
            <v>A111.5</v>
          </cell>
          <cell r="B4">
            <v>1.5</v>
          </cell>
          <cell r="C4">
            <v>19</v>
          </cell>
          <cell r="D4">
            <v>19.001000000000001</v>
          </cell>
          <cell r="E4">
            <v>1.5</v>
          </cell>
        </row>
        <row r="5">
          <cell r="A5" t="str">
            <v>A112.5</v>
          </cell>
          <cell r="B5">
            <v>2.5</v>
          </cell>
          <cell r="C5">
            <v>26</v>
          </cell>
          <cell r="D5">
            <v>26.001000000000001</v>
          </cell>
          <cell r="E5">
            <v>2.5</v>
          </cell>
        </row>
        <row r="6">
          <cell r="A6" t="str">
            <v>A114</v>
          </cell>
          <cell r="B6">
            <v>4</v>
          </cell>
          <cell r="C6">
            <v>35</v>
          </cell>
          <cell r="D6">
            <v>35.000999999999998</v>
          </cell>
          <cell r="E6">
            <v>4</v>
          </cell>
        </row>
        <row r="7">
          <cell r="A7" t="str">
            <v>A116</v>
          </cell>
          <cell r="B7">
            <v>6</v>
          </cell>
          <cell r="C7">
            <v>45</v>
          </cell>
          <cell r="D7">
            <v>45.000999999999998</v>
          </cell>
          <cell r="E7">
            <v>6</v>
          </cell>
        </row>
        <row r="8">
          <cell r="A8" t="str">
            <v>A1110</v>
          </cell>
          <cell r="B8">
            <v>10</v>
          </cell>
          <cell r="C8">
            <v>61</v>
          </cell>
          <cell r="D8">
            <v>61.000999999999998</v>
          </cell>
          <cell r="E8">
            <v>10</v>
          </cell>
        </row>
        <row r="9">
          <cell r="A9" t="str">
            <v>A1116</v>
          </cell>
          <cell r="B9">
            <v>16</v>
          </cell>
          <cell r="C9">
            <v>81</v>
          </cell>
          <cell r="D9">
            <v>81.001000000000005</v>
          </cell>
          <cell r="E9">
            <v>16</v>
          </cell>
        </row>
        <row r="10">
          <cell r="A10" t="str">
            <v>A1125</v>
          </cell>
          <cell r="B10">
            <v>25</v>
          </cell>
          <cell r="C10">
            <v>106</v>
          </cell>
          <cell r="D10">
            <v>106.001</v>
          </cell>
          <cell r="E10">
            <v>25</v>
          </cell>
        </row>
        <row r="11">
          <cell r="A11" t="str">
            <v>A1135</v>
          </cell>
          <cell r="B11">
            <v>35</v>
          </cell>
          <cell r="C11">
            <v>131</v>
          </cell>
          <cell r="D11">
            <v>131.001</v>
          </cell>
          <cell r="E11">
            <v>35</v>
          </cell>
        </row>
        <row r="12">
          <cell r="A12" t="str">
            <v>A1150</v>
          </cell>
          <cell r="B12">
            <v>50</v>
          </cell>
          <cell r="C12">
            <v>158</v>
          </cell>
          <cell r="D12">
            <v>158.001</v>
          </cell>
          <cell r="E12">
            <v>50</v>
          </cell>
        </row>
        <row r="13">
          <cell r="A13" t="str">
            <v>A1170</v>
          </cell>
          <cell r="B13">
            <v>70</v>
          </cell>
          <cell r="C13">
            <v>200</v>
          </cell>
          <cell r="D13">
            <v>200.001</v>
          </cell>
          <cell r="E13">
            <v>70</v>
          </cell>
        </row>
        <row r="14">
          <cell r="A14" t="str">
            <v>A1195</v>
          </cell>
          <cell r="B14">
            <v>95</v>
          </cell>
          <cell r="C14">
            <v>241</v>
          </cell>
          <cell r="D14">
            <v>241.001</v>
          </cell>
          <cell r="E14">
            <v>95</v>
          </cell>
        </row>
        <row r="15">
          <cell r="A15" t="str">
            <v>A11120</v>
          </cell>
          <cell r="B15">
            <v>120</v>
          </cell>
          <cell r="C15">
            <v>278</v>
          </cell>
          <cell r="D15">
            <v>278.00099999999998</v>
          </cell>
          <cell r="E15">
            <v>120</v>
          </cell>
        </row>
        <row r="16">
          <cell r="A16" t="str">
            <v>A11150</v>
          </cell>
          <cell r="B16">
            <v>150</v>
          </cell>
          <cell r="C16">
            <v>318</v>
          </cell>
          <cell r="D16">
            <v>318.00099999999998</v>
          </cell>
          <cell r="E16">
            <v>150</v>
          </cell>
        </row>
        <row r="17">
          <cell r="A17" t="str">
            <v>A11185</v>
          </cell>
          <cell r="B17">
            <v>185</v>
          </cell>
          <cell r="C17">
            <v>262</v>
          </cell>
          <cell r="D17">
            <v>262.00099999999998</v>
          </cell>
          <cell r="E17">
            <v>185</v>
          </cell>
        </row>
        <row r="18">
          <cell r="A18" t="str">
            <v>A11240</v>
          </cell>
          <cell r="B18">
            <v>240</v>
          </cell>
          <cell r="C18">
            <v>424</v>
          </cell>
          <cell r="D18">
            <v>424.00099999999998</v>
          </cell>
          <cell r="E18">
            <v>240</v>
          </cell>
        </row>
        <row r="19">
          <cell r="A19" t="str">
            <v>A11300</v>
          </cell>
          <cell r="B19">
            <v>300</v>
          </cell>
          <cell r="C19">
            <v>486</v>
          </cell>
          <cell r="D19">
            <v>486.00099999999998</v>
          </cell>
          <cell r="E19">
            <v>300</v>
          </cell>
        </row>
        <row r="20">
          <cell r="A20" t="str">
            <v>A11400</v>
          </cell>
          <cell r="B20">
            <v>400</v>
          </cell>
        </row>
        <row r="21">
          <cell r="A21" t="str">
            <v>A11500</v>
          </cell>
          <cell r="B21">
            <v>500</v>
          </cell>
        </row>
        <row r="22">
          <cell r="A22" t="str">
            <v>A11630</v>
          </cell>
          <cell r="B22">
            <v>630</v>
          </cell>
        </row>
        <row r="23">
          <cell r="B23" t="str">
            <v>A13</v>
          </cell>
        </row>
        <row r="24">
          <cell r="B24" t="str">
            <v>단면적
(㎟)</v>
          </cell>
          <cell r="C24" t="str">
            <v>허용
전류
(A)</v>
          </cell>
          <cell r="D24" t="str">
            <v>허용
전류
(A)</v>
          </cell>
          <cell r="E24" t="str">
            <v>단면적
(㎟)</v>
          </cell>
        </row>
        <row r="25">
          <cell r="D25">
            <v>1E-3</v>
          </cell>
          <cell r="E25">
            <v>1.5</v>
          </cell>
        </row>
        <row r="26">
          <cell r="A26" t="str">
            <v>A131.5</v>
          </cell>
          <cell r="B26">
            <v>1.5</v>
          </cell>
          <cell r="C26">
            <v>17</v>
          </cell>
          <cell r="D26">
            <v>17.001000000000001</v>
          </cell>
          <cell r="E26">
            <v>1.5</v>
          </cell>
        </row>
        <row r="27">
          <cell r="A27" t="str">
            <v>A132.5</v>
          </cell>
          <cell r="B27">
            <v>2.5</v>
          </cell>
          <cell r="C27">
            <v>23</v>
          </cell>
          <cell r="D27">
            <v>23.001000000000001</v>
          </cell>
          <cell r="E27">
            <v>2.5</v>
          </cell>
        </row>
        <row r="28">
          <cell r="A28" t="str">
            <v>A134</v>
          </cell>
          <cell r="B28">
            <v>4</v>
          </cell>
          <cell r="C28">
            <v>31</v>
          </cell>
          <cell r="D28">
            <v>31.001000000000001</v>
          </cell>
          <cell r="E28">
            <v>4</v>
          </cell>
        </row>
        <row r="29">
          <cell r="A29" t="str">
            <v>A136</v>
          </cell>
          <cell r="B29">
            <v>6</v>
          </cell>
          <cell r="C29">
            <v>40</v>
          </cell>
          <cell r="D29">
            <v>40.000999999999998</v>
          </cell>
          <cell r="E29">
            <v>6</v>
          </cell>
        </row>
        <row r="30">
          <cell r="A30" t="str">
            <v>A1310</v>
          </cell>
          <cell r="B30">
            <v>10</v>
          </cell>
          <cell r="C30">
            <v>54</v>
          </cell>
          <cell r="D30">
            <v>54.000999999999998</v>
          </cell>
          <cell r="E30">
            <v>10</v>
          </cell>
        </row>
        <row r="31">
          <cell r="A31" t="str">
            <v>A1316</v>
          </cell>
          <cell r="B31">
            <v>16</v>
          </cell>
          <cell r="C31">
            <v>73</v>
          </cell>
          <cell r="D31">
            <v>73.001000000000005</v>
          </cell>
          <cell r="E31">
            <v>16</v>
          </cell>
        </row>
        <row r="32">
          <cell r="A32" t="str">
            <v>A1325</v>
          </cell>
          <cell r="B32">
            <v>25</v>
          </cell>
          <cell r="C32">
            <v>95</v>
          </cell>
          <cell r="D32">
            <v>95.001000000000005</v>
          </cell>
          <cell r="E32">
            <v>25</v>
          </cell>
        </row>
        <row r="33">
          <cell r="A33" t="str">
            <v>A1335</v>
          </cell>
          <cell r="B33">
            <v>35</v>
          </cell>
          <cell r="C33">
            <v>117</v>
          </cell>
          <cell r="D33">
            <v>117.001</v>
          </cell>
          <cell r="E33">
            <v>35</v>
          </cell>
        </row>
        <row r="34">
          <cell r="A34" t="str">
            <v>A1350</v>
          </cell>
          <cell r="B34">
            <v>50</v>
          </cell>
          <cell r="C34">
            <v>141</v>
          </cell>
          <cell r="D34">
            <v>141.001</v>
          </cell>
          <cell r="E34">
            <v>50</v>
          </cell>
        </row>
        <row r="35">
          <cell r="A35" t="str">
            <v>A1370</v>
          </cell>
          <cell r="B35">
            <v>70</v>
          </cell>
          <cell r="C35">
            <v>179</v>
          </cell>
          <cell r="D35">
            <v>179.001</v>
          </cell>
          <cell r="E35">
            <v>70</v>
          </cell>
        </row>
        <row r="36">
          <cell r="A36" t="str">
            <v>A1395</v>
          </cell>
          <cell r="B36">
            <v>95</v>
          </cell>
          <cell r="C36">
            <v>216</v>
          </cell>
          <cell r="D36">
            <v>216.001</v>
          </cell>
          <cell r="E36">
            <v>95</v>
          </cell>
        </row>
        <row r="37">
          <cell r="A37" t="str">
            <v>A13120</v>
          </cell>
          <cell r="B37">
            <v>120</v>
          </cell>
          <cell r="C37">
            <v>249</v>
          </cell>
          <cell r="D37">
            <v>249.001</v>
          </cell>
          <cell r="E37">
            <v>120</v>
          </cell>
        </row>
        <row r="38">
          <cell r="A38" t="str">
            <v>A13150</v>
          </cell>
          <cell r="B38">
            <v>150</v>
          </cell>
          <cell r="C38">
            <v>285</v>
          </cell>
          <cell r="D38">
            <v>285.00099999999998</v>
          </cell>
          <cell r="E38">
            <v>150</v>
          </cell>
        </row>
        <row r="39">
          <cell r="A39" t="str">
            <v>A13185</v>
          </cell>
          <cell r="B39">
            <v>185</v>
          </cell>
          <cell r="C39">
            <v>324</v>
          </cell>
          <cell r="D39">
            <v>324.00099999999998</v>
          </cell>
          <cell r="E39">
            <v>185</v>
          </cell>
        </row>
        <row r="40">
          <cell r="A40" t="str">
            <v>A13240</v>
          </cell>
          <cell r="B40">
            <v>240</v>
          </cell>
          <cell r="C40">
            <v>380</v>
          </cell>
          <cell r="D40">
            <v>380.00099999999998</v>
          </cell>
          <cell r="E40">
            <v>240</v>
          </cell>
        </row>
        <row r="41">
          <cell r="A41" t="str">
            <v>A13300</v>
          </cell>
          <cell r="B41">
            <v>300</v>
          </cell>
          <cell r="C41">
            <v>435</v>
          </cell>
          <cell r="D41">
            <v>435.00099999999998</v>
          </cell>
          <cell r="E41">
            <v>300</v>
          </cell>
        </row>
        <row r="42">
          <cell r="A42" t="str">
            <v>A13400</v>
          </cell>
          <cell r="B42">
            <v>400</v>
          </cell>
        </row>
        <row r="43">
          <cell r="A43" t="str">
            <v>A13500</v>
          </cell>
          <cell r="B43">
            <v>500</v>
          </cell>
        </row>
        <row r="44">
          <cell r="A44" t="str">
            <v>A13630</v>
          </cell>
          <cell r="B44">
            <v>630</v>
          </cell>
        </row>
        <row r="45">
          <cell r="B45" t="str">
            <v>A21</v>
          </cell>
        </row>
        <row r="46">
          <cell r="B46" t="str">
            <v>단면적
(㎟)</v>
          </cell>
          <cell r="C46" t="str">
            <v>허용
전류
(A)</v>
          </cell>
          <cell r="D46" t="str">
            <v>허용
전류
(A)</v>
          </cell>
          <cell r="E46" t="str">
            <v>단면적
(㎟)</v>
          </cell>
        </row>
        <row r="47">
          <cell r="D47">
            <v>1E-3</v>
          </cell>
          <cell r="E47">
            <v>1.5</v>
          </cell>
        </row>
        <row r="48">
          <cell r="A48" t="str">
            <v>A211.5</v>
          </cell>
          <cell r="B48">
            <v>1.5</v>
          </cell>
          <cell r="C48">
            <v>18.5</v>
          </cell>
          <cell r="D48">
            <v>18.501000000000001</v>
          </cell>
          <cell r="E48">
            <v>1.5</v>
          </cell>
        </row>
        <row r="49">
          <cell r="A49" t="str">
            <v>A212.5</v>
          </cell>
          <cell r="B49">
            <v>2.5</v>
          </cell>
          <cell r="C49">
            <v>25</v>
          </cell>
          <cell r="D49">
            <v>25.001000000000001</v>
          </cell>
          <cell r="E49">
            <v>2.5</v>
          </cell>
        </row>
        <row r="50">
          <cell r="A50" t="str">
            <v>A214</v>
          </cell>
          <cell r="B50">
            <v>4</v>
          </cell>
          <cell r="C50">
            <v>33</v>
          </cell>
          <cell r="D50">
            <v>33.000999999999998</v>
          </cell>
          <cell r="E50">
            <v>4</v>
          </cell>
        </row>
        <row r="51">
          <cell r="A51" t="str">
            <v>A216</v>
          </cell>
          <cell r="B51">
            <v>6</v>
          </cell>
          <cell r="C51">
            <v>42</v>
          </cell>
          <cell r="D51">
            <v>42.000999999999998</v>
          </cell>
          <cell r="E51">
            <v>6</v>
          </cell>
        </row>
        <row r="52">
          <cell r="A52" t="str">
            <v>A2110</v>
          </cell>
          <cell r="B52">
            <v>10</v>
          </cell>
          <cell r="C52">
            <v>57</v>
          </cell>
          <cell r="D52">
            <v>57.000999999999998</v>
          </cell>
          <cell r="E52">
            <v>10</v>
          </cell>
        </row>
        <row r="53">
          <cell r="A53" t="str">
            <v>A2116</v>
          </cell>
          <cell r="B53">
            <v>16</v>
          </cell>
          <cell r="C53">
            <v>76</v>
          </cell>
          <cell r="D53">
            <v>76.001000000000005</v>
          </cell>
          <cell r="E53">
            <v>16</v>
          </cell>
        </row>
        <row r="54">
          <cell r="A54" t="str">
            <v>A2125</v>
          </cell>
          <cell r="B54">
            <v>25</v>
          </cell>
          <cell r="C54">
            <v>99</v>
          </cell>
          <cell r="D54">
            <v>99.001000000000005</v>
          </cell>
          <cell r="E54">
            <v>25</v>
          </cell>
        </row>
        <row r="55">
          <cell r="A55" t="str">
            <v>A2135</v>
          </cell>
          <cell r="B55">
            <v>35</v>
          </cell>
          <cell r="C55">
            <v>121</v>
          </cell>
          <cell r="D55">
            <v>121.001</v>
          </cell>
          <cell r="E55">
            <v>35</v>
          </cell>
        </row>
        <row r="56">
          <cell r="A56" t="str">
            <v>A2150</v>
          </cell>
          <cell r="B56">
            <v>50</v>
          </cell>
          <cell r="C56">
            <v>145</v>
          </cell>
          <cell r="D56">
            <v>145.001</v>
          </cell>
          <cell r="E56">
            <v>50</v>
          </cell>
        </row>
        <row r="57">
          <cell r="A57" t="str">
            <v>A2170</v>
          </cell>
          <cell r="B57">
            <v>70</v>
          </cell>
          <cell r="C57">
            <v>183</v>
          </cell>
          <cell r="D57">
            <v>183.001</v>
          </cell>
          <cell r="E57">
            <v>70</v>
          </cell>
        </row>
        <row r="58">
          <cell r="A58" t="str">
            <v>A2195</v>
          </cell>
          <cell r="B58">
            <v>95</v>
          </cell>
          <cell r="C58">
            <v>220</v>
          </cell>
          <cell r="D58">
            <v>220.001</v>
          </cell>
          <cell r="E58">
            <v>95</v>
          </cell>
        </row>
        <row r="59">
          <cell r="A59" t="str">
            <v>A21120</v>
          </cell>
          <cell r="B59">
            <v>120</v>
          </cell>
          <cell r="C59">
            <v>253</v>
          </cell>
          <cell r="D59">
            <v>253.001</v>
          </cell>
          <cell r="E59">
            <v>120</v>
          </cell>
        </row>
        <row r="60">
          <cell r="A60" t="str">
            <v>A21150</v>
          </cell>
          <cell r="B60">
            <v>150</v>
          </cell>
          <cell r="C60">
            <v>290</v>
          </cell>
          <cell r="D60">
            <v>290.00099999999998</v>
          </cell>
          <cell r="E60">
            <v>150</v>
          </cell>
        </row>
        <row r="61">
          <cell r="A61" t="str">
            <v>A21185</v>
          </cell>
          <cell r="B61">
            <v>185</v>
          </cell>
          <cell r="C61">
            <v>329</v>
          </cell>
          <cell r="D61">
            <v>329.00099999999998</v>
          </cell>
          <cell r="E61">
            <v>185</v>
          </cell>
        </row>
        <row r="62">
          <cell r="A62" t="str">
            <v>A21240</v>
          </cell>
          <cell r="B62">
            <v>240</v>
          </cell>
          <cell r="C62">
            <v>386</v>
          </cell>
          <cell r="D62">
            <v>386.00099999999998</v>
          </cell>
          <cell r="E62">
            <v>240</v>
          </cell>
        </row>
        <row r="63">
          <cell r="A63" t="str">
            <v>A21300</v>
          </cell>
          <cell r="B63">
            <v>300</v>
          </cell>
          <cell r="C63">
            <v>442</v>
          </cell>
          <cell r="D63">
            <v>442.00099999999998</v>
          </cell>
          <cell r="E63">
            <v>300</v>
          </cell>
        </row>
        <row r="64">
          <cell r="A64" t="str">
            <v>A21400</v>
          </cell>
          <cell r="B64">
            <v>400</v>
          </cell>
        </row>
        <row r="65">
          <cell r="A65" t="str">
            <v>A21500</v>
          </cell>
          <cell r="B65">
            <v>500</v>
          </cell>
        </row>
        <row r="66">
          <cell r="A66" t="str">
            <v>A21630</v>
          </cell>
          <cell r="B66">
            <v>630</v>
          </cell>
        </row>
        <row r="67">
          <cell r="B67" t="str">
            <v>A23</v>
          </cell>
        </row>
        <row r="68">
          <cell r="B68" t="str">
            <v>단면적
(㎟)</v>
          </cell>
          <cell r="C68" t="str">
            <v>허용
전류
(A)</v>
          </cell>
          <cell r="D68" t="str">
            <v>허용
전류
(A)</v>
          </cell>
          <cell r="E68" t="str">
            <v>단면적
(㎟)</v>
          </cell>
        </row>
        <row r="69">
          <cell r="D69">
            <v>1E-3</v>
          </cell>
          <cell r="E69">
            <v>1.5</v>
          </cell>
        </row>
        <row r="70">
          <cell r="A70" t="str">
            <v>A231.5</v>
          </cell>
          <cell r="B70">
            <v>1.5</v>
          </cell>
          <cell r="C70">
            <v>16.5</v>
          </cell>
          <cell r="D70">
            <v>16.501000000000001</v>
          </cell>
          <cell r="E70">
            <v>1.5</v>
          </cell>
        </row>
        <row r="71">
          <cell r="A71" t="str">
            <v>A232.5</v>
          </cell>
          <cell r="B71">
            <v>2.5</v>
          </cell>
          <cell r="C71">
            <v>22</v>
          </cell>
          <cell r="D71">
            <v>22.001000000000001</v>
          </cell>
          <cell r="E71">
            <v>2.5</v>
          </cell>
        </row>
        <row r="72">
          <cell r="A72" t="str">
            <v>A234</v>
          </cell>
          <cell r="B72">
            <v>4</v>
          </cell>
          <cell r="C72">
            <v>30</v>
          </cell>
          <cell r="D72">
            <v>30.001000000000001</v>
          </cell>
          <cell r="E72">
            <v>4</v>
          </cell>
        </row>
        <row r="73">
          <cell r="A73" t="str">
            <v>A236</v>
          </cell>
          <cell r="B73">
            <v>6</v>
          </cell>
          <cell r="C73">
            <v>38</v>
          </cell>
          <cell r="D73">
            <v>38.000999999999998</v>
          </cell>
          <cell r="E73">
            <v>6</v>
          </cell>
        </row>
        <row r="74">
          <cell r="A74" t="str">
            <v>A2310</v>
          </cell>
          <cell r="B74">
            <v>10</v>
          </cell>
          <cell r="C74">
            <v>51</v>
          </cell>
          <cell r="D74">
            <v>51.000999999999998</v>
          </cell>
          <cell r="E74">
            <v>10</v>
          </cell>
        </row>
        <row r="75">
          <cell r="A75" t="str">
            <v>A2316</v>
          </cell>
          <cell r="B75">
            <v>16</v>
          </cell>
          <cell r="C75">
            <v>68</v>
          </cell>
          <cell r="D75">
            <v>68.001000000000005</v>
          </cell>
          <cell r="E75">
            <v>16</v>
          </cell>
        </row>
        <row r="76">
          <cell r="A76" t="str">
            <v>A2325</v>
          </cell>
          <cell r="B76">
            <v>25</v>
          </cell>
          <cell r="C76">
            <v>89</v>
          </cell>
          <cell r="D76">
            <v>89.001000000000005</v>
          </cell>
          <cell r="E76">
            <v>25</v>
          </cell>
        </row>
        <row r="77">
          <cell r="A77" t="str">
            <v>A2335</v>
          </cell>
          <cell r="B77">
            <v>35</v>
          </cell>
          <cell r="C77">
            <v>109</v>
          </cell>
          <cell r="D77">
            <v>109.001</v>
          </cell>
          <cell r="E77">
            <v>35</v>
          </cell>
        </row>
        <row r="78">
          <cell r="A78" t="str">
            <v>A2350</v>
          </cell>
          <cell r="B78">
            <v>50</v>
          </cell>
          <cell r="C78">
            <v>130</v>
          </cell>
          <cell r="D78">
            <v>130.001</v>
          </cell>
          <cell r="E78">
            <v>50</v>
          </cell>
        </row>
        <row r="79">
          <cell r="A79" t="str">
            <v>A2370</v>
          </cell>
          <cell r="B79">
            <v>70</v>
          </cell>
          <cell r="C79">
            <v>164</v>
          </cell>
          <cell r="D79">
            <v>164.001</v>
          </cell>
          <cell r="E79">
            <v>70</v>
          </cell>
        </row>
        <row r="80">
          <cell r="A80" t="str">
            <v>A2395</v>
          </cell>
          <cell r="B80">
            <v>95</v>
          </cell>
          <cell r="C80">
            <v>197</v>
          </cell>
          <cell r="D80">
            <v>197.001</v>
          </cell>
          <cell r="E80">
            <v>95</v>
          </cell>
        </row>
        <row r="81">
          <cell r="A81" t="str">
            <v>A23120</v>
          </cell>
          <cell r="B81">
            <v>120</v>
          </cell>
          <cell r="C81">
            <v>227</v>
          </cell>
          <cell r="D81">
            <v>227.001</v>
          </cell>
          <cell r="E81">
            <v>120</v>
          </cell>
        </row>
        <row r="82">
          <cell r="A82" t="str">
            <v>A23150</v>
          </cell>
          <cell r="B82">
            <v>150</v>
          </cell>
          <cell r="C82">
            <v>259</v>
          </cell>
          <cell r="D82">
            <v>259.00099999999998</v>
          </cell>
          <cell r="E82">
            <v>150</v>
          </cell>
        </row>
        <row r="83">
          <cell r="A83" t="str">
            <v>A23185</v>
          </cell>
          <cell r="B83">
            <v>185</v>
          </cell>
          <cell r="C83">
            <v>295</v>
          </cell>
          <cell r="D83">
            <v>295.00099999999998</v>
          </cell>
          <cell r="E83">
            <v>185</v>
          </cell>
        </row>
        <row r="84">
          <cell r="A84" t="str">
            <v>A23240</v>
          </cell>
          <cell r="B84">
            <v>240</v>
          </cell>
          <cell r="C84">
            <v>346</v>
          </cell>
          <cell r="D84">
            <v>346.00099999999998</v>
          </cell>
          <cell r="E84">
            <v>240</v>
          </cell>
        </row>
        <row r="85">
          <cell r="A85" t="str">
            <v>A23300</v>
          </cell>
          <cell r="B85">
            <v>300</v>
          </cell>
          <cell r="C85">
            <v>396</v>
          </cell>
          <cell r="D85">
            <v>396.00099999999998</v>
          </cell>
          <cell r="E85">
            <v>300</v>
          </cell>
        </row>
        <row r="86">
          <cell r="A86" t="str">
            <v>A23400</v>
          </cell>
          <cell r="B86">
            <v>400</v>
          </cell>
        </row>
        <row r="87">
          <cell r="A87" t="str">
            <v>A23500</v>
          </cell>
          <cell r="B87">
            <v>500</v>
          </cell>
        </row>
        <row r="88">
          <cell r="A88" t="str">
            <v>A23630</v>
          </cell>
          <cell r="B88">
            <v>630</v>
          </cell>
        </row>
        <row r="89">
          <cell r="B89" t="str">
            <v>B11</v>
          </cell>
        </row>
        <row r="90">
          <cell r="B90" t="str">
            <v>단면적
(㎟)</v>
          </cell>
          <cell r="C90" t="str">
            <v>허용
전류
(A)</v>
          </cell>
          <cell r="D90" t="str">
            <v>허용
전류
(A)</v>
          </cell>
          <cell r="E90" t="str">
            <v>단면적
(㎟)</v>
          </cell>
        </row>
        <row r="91">
          <cell r="D91">
            <v>1E-3</v>
          </cell>
          <cell r="E91">
            <v>1.5</v>
          </cell>
        </row>
        <row r="92">
          <cell r="A92" t="str">
            <v>B111.5</v>
          </cell>
          <cell r="B92">
            <v>1.5</v>
          </cell>
          <cell r="C92">
            <v>23</v>
          </cell>
          <cell r="D92">
            <v>23.001000000000001</v>
          </cell>
          <cell r="E92">
            <v>1.5</v>
          </cell>
        </row>
        <row r="93">
          <cell r="A93" t="str">
            <v>B112.5</v>
          </cell>
          <cell r="B93">
            <v>2.5</v>
          </cell>
          <cell r="C93">
            <v>31</v>
          </cell>
          <cell r="D93">
            <v>31.001000000000001</v>
          </cell>
          <cell r="E93">
            <v>2.5</v>
          </cell>
        </row>
        <row r="94">
          <cell r="A94" t="str">
            <v>B114</v>
          </cell>
          <cell r="B94">
            <v>4</v>
          </cell>
          <cell r="C94">
            <v>42</v>
          </cell>
          <cell r="D94">
            <v>42.000999999999998</v>
          </cell>
          <cell r="E94">
            <v>4</v>
          </cell>
        </row>
        <row r="95">
          <cell r="A95" t="str">
            <v>B116</v>
          </cell>
          <cell r="B95">
            <v>6</v>
          </cell>
          <cell r="C95">
            <v>54</v>
          </cell>
          <cell r="D95">
            <v>54.000999999999998</v>
          </cell>
          <cell r="E95">
            <v>6</v>
          </cell>
        </row>
        <row r="96">
          <cell r="A96" t="str">
            <v>B1110</v>
          </cell>
          <cell r="B96">
            <v>10</v>
          </cell>
          <cell r="C96">
            <v>75</v>
          </cell>
          <cell r="D96">
            <v>75.001000000000005</v>
          </cell>
          <cell r="E96">
            <v>10</v>
          </cell>
        </row>
        <row r="97">
          <cell r="A97" t="str">
            <v>B1116</v>
          </cell>
          <cell r="B97">
            <v>16</v>
          </cell>
          <cell r="C97">
            <v>100</v>
          </cell>
          <cell r="D97">
            <v>100.001</v>
          </cell>
          <cell r="E97">
            <v>16</v>
          </cell>
        </row>
        <row r="98">
          <cell r="A98" t="str">
            <v>B1125</v>
          </cell>
          <cell r="B98">
            <v>25</v>
          </cell>
          <cell r="C98">
            <v>133</v>
          </cell>
          <cell r="D98">
            <v>133.001</v>
          </cell>
          <cell r="E98">
            <v>25</v>
          </cell>
        </row>
        <row r="99">
          <cell r="A99" t="str">
            <v>B1135</v>
          </cell>
          <cell r="B99">
            <v>35</v>
          </cell>
          <cell r="C99">
            <v>164</v>
          </cell>
          <cell r="D99">
            <v>164.001</v>
          </cell>
          <cell r="E99">
            <v>35</v>
          </cell>
        </row>
        <row r="100">
          <cell r="A100" t="str">
            <v>B1150</v>
          </cell>
          <cell r="B100">
            <v>50</v>
          </cell>
          <cell r="C100">
            <v>198</v>
          </cell>
          <cell r="D100">
            <v>198.001</v>
          </cell>
          <cell r="E100">
            <v>50</v>
          </cell>
        </row>
        <row r="101">
          <cell r="A101" t="str">
            <v>B1170</v>
          </cell>
          <cell r="B101">
            <v>70</v>
          </cell>
          <cell r="C101">
            <v>253</v>
          </cell>
          <cell r="D101">
            <v>253.001</v>
          </cell>
          <cell r="E101">
            <v>70</v>
          </cell>
        </row>
        <row r="102">
          <cell r="A102" t="str">
            <v>B1195</v>
          </cell>
          <cell r="B102">
            <v>95</v>
          </cell>
          <cell r="C102">
            <v>306</v>
          </cell>
          <cell r="D102">
            <v>306.00099999999998</v>
          </cell>
          <cell r="E102">
            <v>95</v>
          </cell>
        </row>
        <row r="103">
          <cell r="A103" t="str">
            <v>B11120</v>
          </cell>
          <cell r="B103">
            <v>120</v>
          </cell>
          <cell r="C103">
            <v>354</v>
          </cell>
          <cell r="D103">
            <v>354.00099999999998</v>
          </cell>
          <cell r="E103">
            <v>120</v>
          </cell>
        </row>
        <row r="104">
          <cell r="A104" t="str">
            <v>B11150</v>
          </cell>
          <cell r="B104">
            <v>150</v>
          </cell>
          <cell r="D104">
            <v>1E-3</v>
          </cell>
          <cell r="E104">
            <v>150</v>
          </cell>
        </row>
        <row r="105">
          <cell r="A105" t="str">
            <v>B11185</v>
          </cell>
          <cell r="B105">
            <v>185</v>
          </cell>
          <cell r="D105">
            <v>1E-3</v>
          </cell>
          <cell r="E105">
            <v>185</v>
          </cell>
        </row>
        <row r="106">
          <cell r="A106" t="str">
            <v>B11240</v>
          </cell>
          <cell r="B106">
            <v>240</v>
          </cell>
          <cell r="D106">
            <v>1E-3</v>
          </cell>
          <cell r="E106">
            <v>240</v>
          </cell>
        </row>
        <row r="107">
          <cell r="A107" t="str">
            <v>B11300</v>
          </cell>
          <cell r="B107">
            <v>300</v>
          </cell>
          <cell r="D107">
            <v>1E-3</v>
          </cell>
          <cell r="E107">
            <v>300</v>
          </cell>
        </row>
        <row r="108">
          <cell r="A108" t="str">
            <v>B11400</v>
          </cell>
          <cell r="B108">
            <v>400</v>
          </cell>
        </row>
        <row r="109">
          <cell r="A109" t="str">
            <v>B11500</v>
          </cell>
          <cell r="B109">
            <v>500</v>
          </cell>
        </row>
        <row r="110">
          <cell r="A110" t="str">
            <v>B11630</v>
          </cell>
          <cell r="B110">
            <v>630</v>
          </cell>
        </row>
        <row r="111">
          <cell r="B111" t="str">
            <v>B13</v>
          </cell>
        </row>
        <row r="112">
          <cell r="B112" t="str">
            <v>단면적
(㎟)</v>
          </cell>
          <cell r="C112" t="str">
            <v>허용
전류
(A)</v>
          </cell>
          <cell r="D112" t="str">
            <v>허용
전류
(A)</v>
          </cell>
          <cell r="E112" t="str">
            <v>단면적
(㎟)</v>
          </cell>
        </row>
        <row r="113">
          <cell r="D113">
            <v>1E-3</v>
          </cell>
          <cell r="E113">
            <v>1.5</v>
          </cell>
        </row>
        <row r="114">
          <cell r="A114" t="str">
            <v>B131.5</v>
          </cell>
          <cell r="B114">
            <v>1.5</v>
          </cell>
          <cell r="C114">
            <v>20</v>
          </cell>
          <cell r="D114">
            <v>20.001000000000001</v>
          </cell>
          <cell r="E114">
            <v>1.5</v>
          </cell>
        </row>
        <row r="115">
          <cell r="A115" t="str">
            <v>B132.5</v>
          </cell>
          <cell r="B115">
            <v>2.5</v>
          </cell>
          <cell r="C115">
            <v>28</v>
          </cell>
          <cell r="D115">
            <v>28.001000000000001</v>
          </cell>
          <cell r="E115">
            <v>2.5</v>
          </cell>
        </row>
        <row r="116">
          <cell r="A116" t="str">
            <v>B134</v>
          </cell>
          <cell r="B116">
            <v>4</v>
          </cell>
          <cell r="C116">
            <v>37</v>
          </cell>
          <cell r="D116">
            <v>37.000999999999998</v>
          </cell>
          <cell r="E116">
            <v>4</v>
          </cell>
        </row>
        <row r="117">
          <cell r="A117" t="str">
            <v>B136</v>
          </cell>
          <cell r="B117">
            <v>6</v>
          </cell>
          <cell r="C117">
            <v>48</v>
          </cell>
          <cell r="D117">
            <v>48.000999999999998</v>
          </cell>
          <cell r="E117">
            <v>6</v>
          </cell>
        </row>
        <row r="118">
          <cell r="A118" t="str">
            <v>B1310</v>
          </cell>
          <cell r="B118">
            <v>10</v>
          </cell>
          <cell r="C118">
            <v>66</v>
          </cell>
          <cell r="D118">
            <v>66.001000000000005</v>
          </cell>
          <cell r="E118">
            <v>10</v>
          </cell>
        </row>
        <row r="119">
          <cell r="A119" t="str">
            <v>B1316</v>
          </cell>
          <cell r="B119">
            <v>16</v>
          </cell>
          <cell r="C119">
            <v>88</v>
          </cell>
          <cell r="D119">
            <v>88.001000000000005</v>
          </cell>
          <cell r="E119">
            <v>16</v>
          </cell>
        </row>
        <row r="120">
          <cell r="A120" t="str">
            <v>B1325</v>
          </cell>
          <cell r="B120">
            <v>25</v>
          </cell>
          <cell r="C120">
            <v>117</v>
          </cell>
          <cell r="D120">
            <v>117.001</v>
          </cell>
          <cell r="E120">
            <v>25</v>
          </cell>
        </row>
        <row r="121">
          <cell r="A121" t="str">
            <v>B1335</v>
          </cell>
          <cell r="B121">
            <v>35</v>
          </cell>
          <cell r="C121">
            <v>144</v>
          </cell>
          <cell r="D121">
            <v>144.001</v>
          </cell>
          <cell r="E121">
            <v>35</v>
          </cell>
        </row>
        <row r="122">
          <cell r="A122" t="str">
            <v>B1350</v>
          </cell>
          <cell r="B122">
            <v>50</v>
          </cell>
          <cell r="C122">
            <v>175</v>
          </cell>
          <cell r="D122">
            <v>175.001</v>
          </cell>
          <cell r="E122">
            <v>50</v>
          </cell>
        </row>
        <row r="123">
          <cell r="A123" t="str">
            <v>B1370</v>
          </cell>
          <cell r="B123">
            <v>70</v>
          </cell>
          <cell r="C123">
            <v>222</v>
          </cell>
          <cell r="D123">
            <v>222.001</v>
          </cell>
          <cell r="E123">
            <v>70</v>
          </cell>
        </row>
        <row r="124">
          <cell r="A124" t="str">
            <v>B1395</v>
          </cell>
          <cell r="B124">
            <v>95</v>
          </cell>
          <cell r="C124">
            <v>269</v>
          </cell>
          <cell r="D124">
            <v>269.00099999999998</v>
          </cell>
          <cell r="E124">
            <v>95</v>
          </cell>
        </row>
        <row r="125">
          <cell r="A125" t="str">
            <v>B13120</v>
          </cell>
          <cell r="B125">
            <v>120</v>
          </cell>
          <cell r="C125">
            <v>312</v>
          </cell>
          <cell r="D125">
            <v>312.00099999999998</v>
          </cell>
          <cell r="E125">
            <v>120</v>
          </cell>
        </row>
        <row r="126">
          <cell r="A126" t="str">
            <v>B13150</v>
          </cell>
          <cell r="B126">
            <v>150</v>
          </cell>
          <cell r="D126">
            <v>1E-3</v>
          </cell>
          <cell r="E126">
            <v>150</v>
          </cell>
        </row>
        <row r="127">
          <cell r="A127" t="str">
            <v>B13185</v>
          </cell>
          <cell r="B127">
            <v>185</v>
          </cell>
          <cell r="D127">
            <v>1E-3</v>
          </cell>
          <cell r="E127">
            <v>185</v>
          </cell>
        </row>
        <row r="128">
          <cell r="A128" t="str">
            <v>B13240</v>
          </cell>
          <cell r="B128">
            <v>240</v>
          </cell>
          <cell r="D128">
            <v>1E-3</v>
          </cell>
          <cell r="E128">
            <v>240</v>
          </cell>
        </row>
        <row r="129">
          <cell r="A129" t="str">
            <v>B13300</v>
          </cell>
          <cell r="B129">
            <v>300</v>
          </cell>
          <cell r="D129">
            <v>1E-3</v>
          </cell>
          <cell r="E129">
            <v>300</v>
          </cell>
        </row>
        <row r="130">
          <cell r="A130" t="str">
            <v>B13400</v>
          </cell>
          <cell r="B130">
            <v>400</v>
          </cell>
        </row>
        <row r="131">
          <cell r="A131" t="str">
            <v>B13500</v>
          </cell>
          <cell r="B131">
            <v>500</v>
          </cell>
        </row>
        <row r="132">
          <cell r="A132" t="str">
            <v>B13630</v>
          </cell>
          <cell r="B132">
            <v>630</v>
          </cell>
        </row>
        <row r="133">
          <cell r="B133" t="str">
            <v>B21</v>
          </cell>
        </row>
        <row r="134">
          <cell r="B134" t="str">
            <v>단면적
(㎟)</v>
          </cell>
          <cell r="C134" t="str">
            <v>허용
전류
(A)</v>
          </cell>
          <cell r="D134" t="str">
            <v>허용
전류
(A)</v>
          </cell>
          <cell r="E134" t="str">
            <v>단면적
(㎟)</v>
          </cell>
        </row>
        <row r="135">
          <cell r="D135">
            <v>1E-3</v>
          </cell>
          <cell r="E135">
            <v>1.5</v>
          </cell>
        </row>
        <row r="136">
          <cell r="A136" t="str">
            <v>B211.5</v>
          </cell>
          <cell r="B136">
            <v>1.5</v>
          </cell>
          <cell r="C136">
            <v>22</v>
          </cell>
          <cell r="D136">
            <v>22.001000000000001</v>
          </cell>
          <cell r="E136">
            <v>1.5</v>
          </cell>
        </row>
        <row r="137">
          <cell r="A137" t="str">
            <v>B212.5</v>
          </cell>
          <cell r="B137">
            <v>2.5</v>
          </cell>
          <cell r="C137">
            <v>30</v>
          </cell>
          <cell r="D137">
            <v>30.001000000000001</v>
          </cell>
          <cell r="E137">
            <v>2.5</v>
          </cell>
        </row>
        <row r="138">
          <cell r="A138" t="str">
            <v>B214</v>
          </cell>
          <cell r="B138">
            <v>4</v>
          </cell>
          <cell r="C138">
            <v>40</v>
          </cell>
          <cell r="D138">
            <v>40.000999999999998</v>
          </cell>
          <cell r="E138">
            <v>4</v>
          </cell>
        </row>
        <row r="139">
          <cell r="A139" t="str">
            <v>B216</v>
          </cell>
          <cell r="B139">
            <v>6</v>
          </cell>
          <cell r="C139">
            <v>51</v>
          </cell>
          <cell r="D139">
            <v>51.000999999999998</v>
          </cell>
          <cell r="E139">
            <v>6</v>
          </cell>
        </row>
        <row r="140">
          <cell r="A140" t="str">
            <v>B2110</v>
          </cell>
          <cell r="B140">
            <v>10</v>
          </cell>
          <cell r="C140">
            <v>69</v>
          </cell>
          <cell r="D140">
            <v>69.001000000000005</v>
          </cell>
          <cell r="E140">
            <v>10</v>
          </cell>
        </row>
        <row r="141">
          <cell r="A141" t="str">
            <v>B2116</v>
          </cell>
          <cell r="B141">
            <v>16</v>
          </cell>
          <cell r="C141">
            <v>91</v>
          </cell>
          <cell r="D141">
            <v>91.001000000000005</v>
          </cell>
          <cell r="E141">
            <v>16</v>
          </cell>
        </row>
        <row r="142">
          <cell r="A142" t="str">
            <v>B2125</v>
          </cell>
          <cell r="B142">
            <v>25</v>
          </cell>
          <cell r="C142">
            <v>119</v>
          </cell>
          <cell r="D142">
            <v>119.001</v>
          </cell>
          <cell r="E142">
            <v>25</v>
          </cell>
        </row>
        <row r="143">
          <cell r="A143" t="str">
            <v>B2135</v>
          </cell>
          <cell r="B143">
            <v>35</v>
          </cell>
          <cell r="C143">
            <v>146</v>
          </cell>
          <cell r="D143">
            <v>146.001</v>
          </cell>
          <cell r="E143">
            <v>35</v>
          </cell>
        </row>
        <row r="144">
          <cell r="A144" t="str">
            <v>B2150</v>
          </cell>
          <cell r="B144">
            <v>50</v>
          </cell>
          <cell r="C144">
            <v>175</v>
          </cell>
          <cell r="D144">
            <v>175.001</v>
          </cell>
          <cell r="E144">
            <v>50</v>
          </cell>
        </row>
        <row r="145">
          <cell r="A145" t="str">
            <v>B2170</v>
          </cell>
          <cell r="B145">
            <v>70</v>
          </cell>
          <cell r="C145">
            <v>221</v>
          </cell>
          <cell r="D145">
            <v>221.001</v>
          </cell>
          <cell r="E145">
            <v>70</v>
          </cell>
        </row>
        <row r="146">
          <cell r="A146" t="str">
            <v>B2195</v>
          </cell>
          <cell r="B146">
            <v>95</v>
          </cell>
          <cell r="C146">
            <v>265</v>
          </cell>
          <cell r="D146">
            <v>265.00099999999998</v>
          </cell>
          <cell r="E146">
            <v>95</v>
          </cell>
        </row>
        <row r="147">
          <cell r="A147" t="str">
            <v>B21120</v>
          </cell>
          <cell r="B147">
            <v>120</v>
          </cell>
          <cell r="C147">
            <v>305</v>
          </cell>
          <cell r="D147">
            <v>305.00099999999998</v>
          </cell>
          <cell r="E147">
            <v>120</v>
          </cell>
        </row>
        <row r="148">
          <cell r="A148" t="str">
            <v>B21150</v>
          </cell>
          <cell r="B148">
            <v>150</v>
          </cell>
          <cell r="D148">
            <v>1E-3</v>
          </cell>
          <cell r="E148">
            <v>150</v>
          </cell>
        </row>
        <row r="149">
          <cell r="A149" t="str">
            <v>B21185</v>
          </cell>
          <cell r="B149">
            <v>185</v>
          </cell>
          <cell r="D149">
            <v>1E-3</v>
          </cell>
          <cell r="E149">
            <v>185</v>
          </cell>
        </row>
        <row r="150">
          <cell r="A150" t="str">
            <v>B21240</v>
          </cell>
          <cell r="B150">
            <v>240</v>
          </cell>
          <cell r="D150">
            <v>1E-3</v>
          </cell>
          <cell r="E150">
            <v>240</v>
          </cell>
        </row>
        <row r="151">
          <cell r="A151" t="str">
            <v>B21300</v>
          </cell>
          <cell r="B151">
            <v>300</v>
          </cell>
          <cell r="D151">
            <v>1E-3</v>
          </cell>
          <cell r="E151">
            <v>300</v>
          </cell>
        </row>
        <row r="152">
          <cell r="A152" t="str">
            <v>B21400</v>
          </cell>
          <cell r="B152">
            <v>400</v>
          </cell>
        </row>
        <row r="153">
          <cell r="A153" t="str">
            <v>B21500</v>
          </cell>
          <cell r="B153">
            <v>500</v>
          </cell>
        </row>
        <row r="154">
          <cell r="A154" t="str">
            <v>B21630</v>
          </cell>
          <cell r="B154">
            <v>630</v>
          </cell>
        </row>
        <row r="155">
          <cell r="B155" t="str">
            <v>B23</v>
          </cell>
        </row>
        <row r="156">
          <cell r="B156" t="str">
            <v>단면적
(㎟)</v>
          </cell>
          <cell r="C156" t="str">
            <v>허용
전류
(A)</v>
          </cell>
          <cell r="D156" t="str">
            <v>허용
전류
(A)</v>
          </cell>
          <cell r="E156" t="str">
            <v>단면적
(㎟)</v>
          </cell>
        </row>
        <row r="157">
          <cell r="D157">
            <v>1E-3</v>
          </cell>
          <cell r="E157">
            <v>1.5</v>
          </cell>
        </row>
        <row r="158">
          <cell r="A158" t="str">
            <v>B231.5</v>
          </cell>
          <cell r="B158">
            <v>1.5</v>
          </cell>
          <cell r="C158">
            <v>19.5</v>
          </cell>
          <cell r="D158">
            <v>19.501000000000001</v>
          </cell>
          <cell r="E158">
            <v>1.5</v>
          </cell>
        </row>
        <row r="159">
          <cell r="A159" t="str">
            <v>B232.5</v>
          </cell>
          <cell r="B159">
            <v>2.5</v>
          </cell>
          <cell r="C159">
            <v>26</v>
          </cell>
          <cell r="D159">
            <v>26.001000000000001</v>
          </cell>
          <cell r="E159">
            <v>2.5</v>
          </cell>
        </row>
        <row r="160">
          <cell r="A160" t="str">
            <v>B234</v>
          </cell>
          <cell r="B160">
            <v>4</v>
          </cell>
          <cell r="C160">
            <v>35</v>
          </cell>
          <cell r="D160">
            <v>35.000999999999998</v>
          </cell>
          <cell r="E160">
            <v>4</v>
          </cell>
        </row>
        <row r="161">
          <cell r="A161" t="str">
            <v>B236</v>
          </cell>
          <cell r="B161">
            <v>6</v>
          </cell>
          <cell r="C161">
            <v>44</v>
          </cell>
          <cell r="D161">
            <v>44.000999999999998</v>
          </cell>
          <cell r="E161">
            <v>6</v>
          </cell>
        </row>
        <row r="162">
          <cell r="A162" t="str">
            <v>B2310</v>
          </cell>
          <cell r="B162">
            <v>10</v>
          </cell>
          <cell r="C162">
            <v>60</v>
          </cell>
          <cell r="D162">
            <v>60.000999999999998</v>
          </cell>
          <cell r="E162">
            <v>10</v>
          </cell>
        </row>
        <row r="163">
          <cell r="A163" t="str">
            <v>B2316</v>
          </cell>
          <cell r="B163">
            <v>16</v>
          </cell>
          <cell r="C163">
            <v>80</v>
          </cell>
          <cell r="D163">
            <v>80.001000000000005</v>
          </cell>
          <cell r="E163">
            <v>16</v>
          </cell>
        </row>
        <row r="164">
          <cell r="A164" t="str">
            <v>B2325</v>
          </cell>
          <cell r="B164">
            <v>25</v>
          </cell>
          <cell r="C164">
            <v>105</v>
          </cell>
          <cell r="D164">
            <v>105.001</v>
          </cell>
          <cell r="E164">
            <v>25</v>
          </cell>
        </row>
        <row r="165">
          <cell r="A165" t="str">
            <v>B2335</v>
          </cell>
          <cell r="B165">
            <v>35</v>
          </cell>
          <cell r="C165">
            <v>128</v>
          </cell>
          <cell r="D165">
            <v>128.001</v>
          </cell>
          <cell r="E165">
            <v>35</v>
          </cell>
        </row>
        <row r="166">
          <cell r="A166" t="str">
            <v>B2350</v>
          </cell>
          <cell r="B166">
            <v>50</v>
          </cell>
          <cell r="C166">
            <v>154</v>
          </cell>
          <cell r="D166">
            <v>154.001</v>
          </cell>
          <cell r="E166">
            <v>50</v>
          </cell>
        </row>
        <row r="167">
          <cell r="A167" t="str">
            <v>B2370</v>
          </cell>
          <cell r="B167">
            <v>70</v>
          </cell>
          <cell r="C167">
            <v>194</v>
          </cell>
          <cell r="D167">
            <v>194.001</v>
          </cell>
          <cell r="E167">
            <v>70</v>
          </cell>
        </row>
        <row r="168">
          <cell r="A168" t="str">
            <v>B2395</v>
          </cell>
          <cell r="B168">
            <v>95</v>
          </cell>
          <cell r="C168">
            <v>233</v>
          </cell>
          <cell r="D168">
            <v>233.001</v>
          </cell>
          <cell r="E168">
            <v>95</v>
          </cell>
        </row>
        <row r="169">
          <cell r="A169" t="str">
            <v>B23120</v>
          </cell>
          <cell r="B169">
            <v>120</v>
          </cell>
          <cell r="C169">
            <v>268</v>
          </cell>
          <cell r="D169">
            <v>268.00099999999998</v>
          </cell>
          <cell r="E169">
            <v>120</v>
          </cell>
        </row>
        <row r="170">
          <cell r="A170" t="str">
            <v>B23150</v>
          </cell>
          <cell r="B170">
            <v>150</v>
          </cell>
          <cell r="D170">
            <v>1E-3</v>
          </cell>
          <cell r="E170">
            <v>150</v>
          </cell>
        </row>
        <row r="171">
          <cell r="A171" t="str">
            <v>B23185</v>
          </cell>
          <cell r="B171">
            <v>185</v>
          </cell>
          <cell r="D171">
            <v>1E-3</v>
          </cell>
          <cell r="E171">
            <v>185</v>
          </cell>
        </row>
        <row r="172">
          <cell r="A172" t="str">
            <v>B23240</v>
          </cell>
          <cell r="B172">
            <v>240</v>
          </cell>
          <cell r="D172">
            <v>1E-3</v>
          </cell>
          <cell r="E172">
            <v>240</v>
          </cell>
        </row>
        <row r="173">
          <cell r="A173" t="str">
            <v>B23300</v>
          </cell>
          <cell r="B173">
            <v>300</v>
          </cell>
          <cell r="D173">
            <v>1E-3</v>
          </cell>
          <cell r="E173">
            <v>300</v>
          </cell>
        </row>
        <row r="174">
          <cell r="A174" t="str">
            <v>B23400</v>
          </cell>
          <cell r="B174">
            <v>400</v>
          </cell>
        </row>
        <row r="175">
          <cell r="A175" t="str">
            <v>B23500</v>
          </cell>
          <cell r="B175">
            <v>500</v>
          </cell>
        </row>
        <row r="176">
          <cell r="A176" t="str">
            <v>B23630</v>
          </cell>
          <cell r="B176">
            <v>630</v>
          </cell>
        </row>
        <row r="177">
          <cell r="B177" t="str">
            <v>D11</v>
          </cell>
        </row>
        <row r="178">
          <cell r="B178" t="str">
            <v>단면적
(㎟)</v>
          </cell>
          <cell r="C178" t="str">
            <v>허용
전류
(A)</v>
          </cell>
          <cell r="D178" t="str">
            <v>허용
전류
(A)</v>
          </cell>
          <cell r="E178" t="str">
            <v>단면적
(㎟)</v>
          </cell>
        </row>
        <row r="179">
          <cell r="D179">
            <v>1E-3</v>
          </cell>
          <cell r="E179">
            <v>1.5</v>
          </cell>
        </row>
        <row r="180">
          <cell r="A180" t="str">
            <v>D111.5</v>
          </cell>
          <cell r="B180">
            <v>1.5</v>
          </cell>
          <cell r="C180">
            <v>15</v>
          </cell>
          <cell r="D180">
            <v>15.000999999999999</v>
          </cell>
          <cell r="E180">
            <v>1.5</v>
          </cell>
        </row>
        <row r="181">
          <cell r="A181" t="str">
            <v>D112.5</v>
          </cell>
          <cell r="B181">
            <v>2.5</v>
          </cell>
          <cell r="C181">
            <v>20</v>
          </cell>
          <cell r="D181">
            <v>20.001000000000001</v>
          </cell>
          <cell r="E181">
            <v>2.5</v>
          </cell>
        </row>
        <row r="182">
          <cell r="A182" t="str">
            <v>D114</v>
          </cell>
          <cell r="B182">
            <v>4</v>
          </cell>
          <cell r="C182">
            <v>26</v>
          </cell>
          <cell r="D182">
            <v>26.001000000000001</v>
          </cell>
          <cell r="E182">
            <v>4</v>
          </cell>
        </row>
        <row r="183">
          <cell r="A183" t="str">
            <v>D116</v>
          </cell>
          <cell r="B183">
            <v>6</v>
          </cell>
          <cell r="C183">
            <v>33</v>
          </cell>
          <cell r="D183">
            <v>33.000999999999998</v>
          </cell>
          <cell r="E183">
            <v>6</v>
          </cell>
        </row>
        <row r="184">
          <cell r="A184" t="str">
            <v>D1110</v>
          </cell>
          <cell r="B184">
            <v>10</v>
          </cell>
          <cell r="C184">
            <v>43</v>
          </cell>
          <cell r="D184">
            <v>43.000999999999998</v>
          </cell>
          <cell r="E184">
            <v>10</v>
          </cell>
        </row>
        <row r="185">
          <cell r="A185" t="str">
            <v>D1116</v>
          </cell>
          <cell r="B185">
            <v>16</v>
          </cell>
          <cell r="C185">
            <v>57</v>
          </cell>
          <cell r="D185">
            <v>57.000999999999998</v>
          </cell>
          <cell r="E185">
            <v>16</v>
          </cell>
        </row>
        <row r="186">
          <cell r="A186" t="str">
            <v>D1125</v>
          </cell>
          <cell r="B186">
            <v>25</v>
          </cell>
          <cell r="C186">
            <v>72</v>
          </cell>
          <cell r="D186">
            <v>72.001000000000005</v>
          </cell>
          <cell r="E186">
            <v>25</v>
          </cell>
        </row>
        <row r="187">
          <cell r="A187" t="str">
            <v>D1135</v>
          </cell>
          <cell r="B187">
            <v>35</v>
          </cell>
          <cell r="C187">
            <v>87</v>
          </cell>
          <cell r="D187">
            <v>87.001000000000005</v>
          </cell>
          <cell r="E187">
            <v>35</v>
          </cell>
        </row>
        <row r="188">
          <cell r="A188" t="str">
            <v>D1150</v>
          </cell>
          <cell r="B188">
            <v>50</v>
          </cell>
          <cell r="C188">
            <v>103</v>
          </cell>
          <cell r="D188">
            <v>103.001</v>
          </cell>
          <cell r="E188">
            <v>50</v>
          </cell>
        </row>
        <row r="189">
          <cell r="A189" t="str">
            <v>D1170</v>
          </cell>
          <cell r="B189">
            <v>70</v>
          </cell>
          <cell r="C189">
            <v>127</v>
          </cell>
          <cell r="D189">
            <v>127.001</v>
          </cell>
          <cell r="E189">
            <v>70</v>
          </cell>
        </row>
        <row r="190">
          <cell r="A190" t="str">
            <v>D1195</v>
          </cell>
          <cell r="B190">
            <v>95</v>
          </cell>
          <cell r="C190">
            <v>151</v>
          </cell>
          <cell r="D190">
            <v>151.001</v>
          </cell>
          <cell r="E190">
            <v>95</v>
          </cell>
        </row>
        <row r="191">
          <cell r="A191" t="str">
            <v>D11120</v>
          </cell>
          <cell r="B191">
            <v>120</v>
          </cell>
          <cell r="C191">
            <v>172</v>
          </cell>
          <cell r="D191">
            <v>172.001</v>
          </cell>
          <cell r="E191">
            <v>120</v>
          </cell>
        </row>
        <row r="192">
          <cell r="A192" t="str">
            <v>D11150</v>
          </cell>
          <cell r="B192">
            <v>150</v>
          </cell>
          <cell r="C192">
            <v>194</v>
          </cell>
          <cell r="D192">
            <v>194.001</v>
          </cell>
          <cell r="E192">
            <v>150</v>
          </cell>
        </row>
        <row r="193">
          <cell r="A193" t="str">
            <v>D11185</v>
          </cell>
          <cell r="B193">
            <v>185</v>
          </cell>
          <cell r="C193">
            <v>217</v>
          </cell>
          <cell r="D193">
            <v>217.001</v>
          </cell>
          <cell r="E193">
            <v>185</v>
          </cell>
        </row>
        <row r="194">
          <cell r="A194" t="str">
            <v>D11240</v>
          </cell>
          <cell r="B194">
            <v>240</v>
          </cell>
          <cell r="C194">
            <v>251</v>
          </cell>
          <cell r="D194">
            <v>251.001</v>
          </cell>
          <cell r="E194">
            <v>240</v>
          </cell>
        </row>
        <row r="195">
          <cell r="A195" t="str">
            <v>D11300</v>
          </cell>
          <cell r="B195">
            <v>300</v>
          </cell>
          <cell r="C195">
            <v>284</v>
          </cell>
          <cell r="D195">
            <v>284.00099999999998</v>
          </cell>
          <cell r="E195">
            <v>300</v>
          </cell>
        </row>
        <row r="196">
          <cell r="A196" t="str">
            <v>D11400</v>
          </cell>
          <cell r="B196">
            <v>400</v>
          </cell>
        </row>
        <row r="197">
          <cell r="A197" t="str">
            <v>D11500</v>
          </cell>
          <cell r="B197">
            <v>500</v>
          </cell>
        </row>
        <row r="198">
          <cell r="A198" t="str">
            <v>D11630</v>
          </cell>
          <cell r="B198">
            <v>630</v>
          </cell>
        </row>
        <row r="199">
          <cell r="B199" t="str">
            <v>D13</v>
          </cell>
        </row>
        <row r="200">
          <cell r="B200" t="str">
            <v>단면적
(㎟)</v>
          </cell>
          <cell r="C200" t="str">
            <v>허용
전류
(A)</v>
          </cell>
          <cell r="D200" t="str">
            <v>허용
전류
(A)</v>
          </cell>
          <cell r="E200" t="str">
            <v>단면적
(㎟)</v>
          </cell>
        </row>
        <row r="201">
          <cell r="D201">
            <v>1E-3</v>
          </cell>
          <cell r="E201">
            <v>1.5</v>
          </cell>
        </row>
        <row r="202">
          <cell r="A202" t="str">
            <v>D131.5</v>
          </cell>
          <cell r="B202">
            <v>1.5</v>
          </cell>
          <cell r="C202">
            <v>13</v>
          </cell>
          <cell r="D202">
            <v>13.000999999999999</v>
          </cell>
          <cell r="E202">
            <v>1.5</v>
          </cell>
        </row>
        <row r="203">
          <cell r="A203" t="str">
            <v>D132.5</v>
          </cell>
          <cell r="B203">
            <v>2.5</v>
          </cell>
          <cell r="C203">
            <v>17</v>
          </cell>
          <cell r="D203">
            <v>17.001000000000001</v>
          </cell>
          <cell r="E203">
            <v>2.5</v>
          </cell>
        </row>
        <row r="204">
          <cell r="A204" t="str">
            <v>D134</v>
          </cell>
          <cell r="B204">
            <v>4</v>
          </cell>
          <cell r="C204">
            <v>22</v>
          </cell>
          <cell r="D204">
            <v>22.001000000000001</v>
          </cell>
          <cell r="E204">
            <v>4</v>
          </cell>
        </row>
        <row r="205">
          <cell r="A205" t="str">
            <v>D136</v>
          </cell>
          <cell r="B205">
            <v>6</v>
          </cell>
          <cell r="C205">
            <v>27</v>
          </cell>
          <cell r="D205">
            <v>27.001000000000001</v>
          </cell>
          <cell r="E205">
            <v>6</v>
          </cell>
        </row>
        <row r="206">
          <cell r="A206" t="str">
            <v>D1310</v>
          </cell>
          <cell r="B206">
            <v>10</v>
          </cell>
          <cell r="C206">
            <v>36</v>
          </cell>
          <cell r="D206">
            <v>36.000999999999998</v>
          </cell>
          <cell r="E206">
            <v>10</v>
          </cell>
        </row>
        <row r="207">
          <cell r="A207" t="str">
            <v>D1316</v>
          </cell>
          <cell r="B207">
            <v>16</v>
          </cell>
          <cell r="C207">
            <v>47</v>
          </cell>
          <cell r="D207">
            <v>47.000999999999998</v>
          </cell>
          <cell r="E207">
            <v>16</v>
          </cell>
        </row>
        <row r="208">
          <cell r="A208" t="str">
            <v>D1325</v>
          </cell>
          <cell r="B208">
            <v>25</v>
          </cell>
          <cell r="C208">
            <v>60</v>
          </cell>
          <cell r="D208">
            <v>60.000999999999998</v>
          </cell>
          <cell r="E208">
            <v>25</v>
          </cell>
        </row>
        <row r="209">
          <cell r="A209" t="str">
            <v>D1335</v>
          </cell>
          <cell r="B209">
            <v>35</v>
          </cell>
          <cell r="C209">
            <v>73</v>
          </cell>
          <cell r="D209">
            <v>73.001000000000005</v>
          </cell>
          <cell r="E209">
            <v>35</v>
          </cell>
        </row>
        <row r="210">
          <cell r="A210" t="str">
            <v>D1350</v>
          </cell>
          <cell r="B210">
            <v>50</v>
          </cell>
          <cell r="C210">
            <v>86</v>
          </cell>
          <cell r="D210">
            <v>86.001000000000005</v>
          </cell>
          <cell r="E210">
            <v>50</v>
          </cell>
        </row>
        <row r="211">
          <cell r="A211" t="str">
            <v>D1370</v>
          </cell>
          <cell r="B211">
            <v>70</v>
          </cell>
          <cell r="C211">
            <v>106</v>
          </cell>
          <cell r="D211">
            <v>106.001</v>
          </cell>
          <cell r="E211">
            <v>70</v>
          </cell>
        </row>
        <row r="212">
          <cell r="A212" t="str">
            <v>D1395</v>
          </cell>
          <cell r="B212">
            <v>95</v>
          </cell>
          <cell r="C212">
            <v>126</v>
          </cell>
          <cell r="D212">
            <v>126.001</v>
          </cell>
          <cell r="E212">
            <v>95</v>
          </cell>
        </row>
        <row r="213">
          <cell r="A213" t="str">
            <v>D13120</v>
          </cell>
          <cell r="B213">
            <v>120</v>
          </cell>
          <cell r="C213">
            <v>144</v>
          </cell>
          <cell r="D213">
            <v>144.001</v>
          </cell>
          <cell r="E213">
            <v>120</v>
          </cell>
        </row>
        <row r="214">
          <cell r="A214" t="str">
            <v>D13150</v>
          </cell>
          <cell r="B214">
            <v>150</v>
          </cell>
          <cell r="C214">
            <v>162</v>
          </cell>
          <cell r="D214">
            <v>162.001</v>
          </cell>
          <cell r="E214">
            <v>150</v>
          </cell>
        </row>
        <row r="215">
          <cell r="A215" t="str">
            <v>D13185</v>
          </cell>
          <cell r="B215">
            <v>185</v>
          </cell>
          <cell r="C215">
            <v>182</v>
          </cell>
          <cell r="D215">
            <v>182.001</v>
          </cell>
          <cell r="E215">
            <v>185</v>
          </cell>
        </row>
        <row r="216">
          <cell r="A216" t="str">
            <v>D13240</v>
          </cell>
          <cell r="B216">
            <v>240</v>
          </cell>
          <cell r="C216">
            <v>210</v>
          </cell>
          <cell r="D216">
            <v>210.001</v>
          </cell>
          <cell r="E216">
            <v>240</v>
          </cell>
        </row>
        <row r="217">
          <cell r="A217" t="str">
            <v>D13300</v>
          </cell>
          <cell r="B217">
            <v>300</v>
          </cell>
          <cell r="C217">
            <v>237</v>
          </cell>
          <cell r="D217">
            <v>237.001</v>
          </cell>
          <cell r="E217">
            <v>300</v>
          </cell>
        </row>
        <row r="218">
          <cell r="A218" t="str">
            <v>D13400</v>
          </cell>
          <cell r="B218">
            <v>400</v>
          </cell>
        </row>
        <row r="219">
          <cell r="A219" t="str">
            <v>D13500</v>
          </cell>
          <cell r="B219">
            <v>500</v>
          </cell>
        </row>
        <row r="220">
          <cell r="A220" t="str">
            <v>D13630</v>
          </cell>
          <cell r="B220">
            <v>630</v>
          </cell>
        </row>
        <row r="221">
          <cell r="B221" t="str">
            <v>D21</v>
          </cell>
        </row>
        <row r="222">
          <cell r="B222" t="str">
            <v>단면적
(㎟)</v>
          </cell>
          <cell r="C222" t="str">
            <v>허용
전류
(A)</v>
          </cell>
          <cell r="D222" t="str">
            <v>허용
전류
(A)</v>
          </cell>
          <cell r="E222" t="str">
            <v>단면적
(㎟)</v>
          </cell>
        </row>
        <row r="223">
          <cell r="D223">
            <v>1E-3</v>
          </cell>
          <cell r="E223">
            <v>1.5</v>
          </cell>
        </row>
        <row r="224">
          <cell r="A224" t="str">
            <v>D211.5</v>
          </cell>
          <cell r="B224">
            <v>1.5</v>
          </cell>
          <cell r="C224">
            <v>15</v>
          </cell>
          <cell r="D224">
            <v>15.000999999999999</v>
          </cell>
          <cell r="E224">
            <v>1.5</v>
          </cell>
        </row>
        <row r="225">
          <cell r="A225" t="str">
            <v>D212.5</v>
          </cell>
          <cell r="B225">
            <v>2.5</v>
          </cell>
          <cell r="C225">
            <v>20</v>
          </cell>
          <cell r="D225">
            <v>20.001000000000001</v>
          </cell>
          <cell r="E225">
            <v>2.5</v>
          </cell>
        </row>
        <row r="226">
          <cell r="A226" t="str">
            <v>D214</v>
          </cell>
          <cell r="B226">
            <v>4</v>
          </cell>
          <cell r="C226">
            <v>26</v>
          </cell>
          <cell r="D226">
            <v>26.001000000000001</v>
          </cell>
          <cell r="E226">
            <v>4</v>
          </cell>
        </row>
        <row r="227">
          <cell r="A227" t="str">
            <v>D216</v>
          </cell>
          <cell r="B227">
            <v>6</v>
          </cell>
          <cell r="C227">
            <v>33</v>
          </cell>
          <cell r="D227">
            <v>33.000999999999998</v>
          </cell>
          <cell r="E227">
            <v>6</v>
          </cell>
        </row>
        <row r="228">
          <cell r="A228" t="str">
            <v>D2110</v>
          </cell>
          <cell r="B228">
            <v>10</v>
          </cell>
          <cell r="C228">
            <v>43</v>
          </cell>
          <cell r="D228">
            <v>43.000999999999998</v>
          </cell>
          <cell r="E228">
            <v>10</v>
          </cell>
        </row>
        <row r="229">
          <cell r="A229" t="str">
            <v>D2116</v>
          </cell>
          <cell r="B229">
            <v>16</v>
          </cell>
          <cell r="C229">
            <v>57</v>
          </cell>
          <cell r="D229">
            <v>57.000999999999998</v>
          </cell>
          <cell r="E229">
            <v>16</v>
          </cell>
        </row>
        <row r="230">
          <cell r="A230" t="str">
            <v>D2125</v>
          </cell>
          <cell r="B230">
            <v>25</v>
          </cell>
          <cell r="C230">
            <v>72</v>
          </cell>
          <cell r="D230">
            <v>72.001000000000005</v>
          </cell>
          <cell r="E230">
            <v>25</v>
          </cell>
        </row>
        <row r="231">
          <cell r="A231" t="str">
            <v>D2135</v>
          </cell>
          <cell r="B231">
            <v>35</v>
          </cell>
          <cell r="C231">
            <v>87</v>
          </cell>
          <cell r="D231">
            <v>87.001000000000005</v>
          </cell>
          <cell r="E231">
            <v>35</v>
          </cell>
        </row>
        <row r="232">
          <cell r="A232" t="str">
            <v>D2150</v>
          </cell>
          <cell r="B232">
            <v>50</v>
          </cell>
          <cell r="C232">
            <v>103</v>
          </cell>
          <cell r="D232">
            <v>103.001</v>
          </cell>
          <cell r="E232">
            <v>50</v>
          </cell>
        </row>
        <row r="233">
          <cell r="A233" t="str">
            <v>D2170</v>
          </cell>
          <cell r="B233">
            <v>70</v>
          </cell>
          <cell r="C233">
            <v>127</v>
          </cell>
          <cell r="D233">
            <v>127.001</v>
          </cell>
          <cell r="E233">
            <v>70</v>
          </cell>
        </row>
        <row r="234">
          <cell r="A234" t="str">
            <v>D2195</v>
          </cell>
          <cell r="B234">
            <v>95</v>
          </cell>
          <cell r="C234">
            <v>151</v>
          </cell>
          <cell r="D234">
            <v>151.001</v>
          </cell>
          <cell r="E234">
            <v>95</v>
          </cell>
        </row>
        <row r="235">
          <cell r="A235" t="str">
            <v>D21120</v>
          </cell>
          <cell r="B235">
            <v>120</v>
          </cell>
          <cell r="C235">
            <v>172</v>
          </cell>
          <cell r="D235">
            <v>172.001</v>
          </cell>
          <cell r="E235">
            <v>120</v>
          </cell>
        </row>
        <row r="236">
          <cell r="A236" t="str">
            <v>D21150</v>
          </cell>
          <cell r="B236">
            <v>150</v>
          </cell>
          <cell r="C236">
            <v>194</v>
          </cell>
          <cell r="D236">
            <v>194.001</v>
          </cell>
          <cell r="E236">
            <v>150</v>
          </cell>
        </row>
        <row r="237">
          <cell r="A237" t="str">
            <v>D21185</v>
          </cell>
          <cell r="B237">
            <v>185</v>
          </cell>
          <cell r="C237">
            <v>217</v>
          </cell>
          <cell r="D237">
            <v>217.001</v>
          </cell>
          <cell r="E237">
            <v>185</v>
          </cell>
        </row>
        <row r="238">
          <cell r="A238" t="str">
            <v>D21240</v>
          </cell>
          <cell r="B238">
            <v>240</v>
          </cell>
          <cell r="C238">
            <v>251</v>
          </cell>
          <cell r="D238">
            <v>251.001</v>
          </cell>
          <cell r="E238">
            <v>240</v>
          </cell>
        </row>
        <row r="239">
          <cell r="A239" t="str">
            <v>D21300</v>
          </cell>
          <cell r="B239">
            <v>300</v>
          </cell>
          <cell r="C239">
            <v>284</v>
          </cell>
          <cell r="D239">
            <v>284.00099999999998</v>
          </cell>
          <cell r="E239">
            <v>300</v>
          </cell>
        </row>
        <row r="240">
          <cell r="A240" t="str">
            <v>D21400</v>
          </cell>
          <cell r="B240">
            <v>400</v>
          </cell>
        </row>
        <row r="241">
          <cell r="A241" t="str">
            <v>D21500</v>
          </cell>
          <cell r="B241">
            <v>500</v>
          </cell>
        </row>
        <row r="242">
          <cell r="A242" t="str">
            <v>D21630</v>
          </cell>
          <cell r="B242">
            <v>630</v>
          </cell>
        </row>
        <row r="243">
          <cell r="B243" t="str">
            <v>D23</v>
          </cell>
        </row>
        <row r="244">
          <cell r="B244" t="str">
            <v>단면적
(㎟)</v>
          </cell>
          <cell r="C244" t="str">
            <v>허용
전류
(A)</v>
          </cell>
          <cell r="D244" t="str">
            <v>허용
전류
(A)</v>
          </cell>
          <cell r="E244" t="str">
            <v>단면적
(㎟)</v>
          </cell>
        </row>
        <row r="245">
          <cell r="D245">
            <v>1E-3</v>
          </cell>
          <cell r="E245">
            <v>1.5</v>
          </cell>
        </row>
        <row r="246">
          <cell r="A246" t="str">
            <v>D231.5</v>
          </cell>
          <cell r="B246">
            <v>1.5</v>
          </cell>
          <cell r="C246">
            <v>13</v>
          </cell>
          <cell r="D246">
            <v>13.000999999999999</v>
          </cell>
          <cell r="E246">
            <v>1.5</v>
          </cell>
        </row>
        <row r="247">
          <cell r="A247" t="str">
            <v>D232.5</v>
          </cell>
          <cell r="B247">
            <v>2.5</v>
          </cell>
          <cell r="C247">
            <v>17</v>
          </cell>
          <cell r="D247">
            <v>17.001000000000001</v>
          </cell>
          <cell r="E247">
            <v>2.5</v>
          </cell>
        </row>
        <row r="248">
          <cell r="A248" t="str">
            <v>D234</v>
          </cell>
          <cell r="B248">
            <v>4</v>
          </cell>
          <cell r="C248">
            <v>22</v>
          </cell>
          <cell r="D248">
            <v>22.001000000000001</v>
          </cell>
          <cell r="E248">
            <v>4</v>
          </cell>
        </row>
        <row r="249">
          <cell r="A249" t="str">
            <v>D236</v>
          </cell>
          <cell r="B249">
            <v>6</v>
          </cell>
          <cell r="C249">
            <v>27</v>
          </cell>
          <cell r="D249">
            <v>27.001000000000001</v>
          </cell>
          <cell r="E249">
            <v>6</v>
          </cell>
        </row>
        <row r="250">
          <cell r="A250" t="str">
            <v>D2310</v>
          </cell>
          <cell r="B250">
            <v>10</v>
          </cell>
          <cell r="C250">
            <v>36</v>
          </cell>
          <cell r="D250">
            <v>36.000999999999998</v>
          </cell>
          <cell r="E250">
            <v>10</v>
          </cell>
        </row>
        <row r="251">
          <cell r="A251" t="str">
            <v>D2316</v>
          </cell>
          <cell r="B251">
            <v>16</v>
          </cell>
          <cell r="C251">
            <v>47</v>
          </cell>
          <cell r="D251">
            <v>47.000999999999998</v>
          </cell>
          <cell r="E251">
            <v>16</v>
          </cell>
        </row>
        <row r="252">
          <cell r="A252" t="str">
            <v>D2325</v>
          </cell>
          <cell r="B252">
            <v>25</v>
          </cell>
          <cell r="C252">
            <v>60</v>
          </cell>
          <cell r="D252">
            <v>60.000999999999998</v>
          </cell>
          <cell r="E252">
            <v>25</v>
          </cell>
        </row>
        <row r="253">
          <cell r="A253" t="str">
            <v>D2335</v>
          </cell>
          <cell r="B253">
            <v>35</v>
          </cell>
          <cell r="C253">
            <v>73</v>
          </cell>
          <cell r="D253">
            <v>73.001000000000005</v>
          </cell>
          <cell r="E253">
            <v>35</v>
          </cell>
        </row>
        <row r="254">
          <cell r="A254" t="str">
            <v>D2350</v>
          </cell>
          <cell r="B254">
            <v>50</v>
          </cell>
          <cell r="C254">
            <v>86</v>
          </cell>
          <cell r="D254">
            <v>86.001000000000005</v>
          </cell>
          <cell r="E254">
            <v>50</v>
          </cell>
        </row>
        <row r="255">
          <cell r="A255" t="str">
            <v>D2370</v>
          </cell>
          <cell r="B255">
            <v>70</v>
          </cell>
          <cell r="C255">
            <v>106</v>
          </cell>
          <cell r="D255">
            <v>106.001</v>
          </cell>
          <cell r="E255">
            <v>70</v>
          </cell>
        </row>
        <row r="256">
          <cell r="A256" t="str">
            <v>D2395</v>
          </cell>
          <cell r="B256">
            <v>95</v>
          </cell>
          <cell r="C256">
            <v>126</v>
          </cell>
          <cell r="D256">
            <v>126.001</v>
          </cell>
          <cell r="E256">
            <v>95</v>
          </cell>
        </row>
        <row r="257">
          <cell r="A257" t="str">
            <v>D23120</v>
          </cell>
          <cell r="B257">
            <v>120</v>
          </cell>
          <cell r="C257">
            <v>144</v>
          </cell>
          <cell r="D257">
            <v>144.001</v>
          </cell>
          <cell r="E257">
            <v>120</v>
          </cell>
        </row>
        <row r="258">
          <cell r="A258" t="str">
            <v>D23150</v>
          </cell>
          <cell r="B258">
            <v>150</v>
          </cell>
          <cell r="C258">
            <v>162</v>
          </cell>
          <cell r="D258">
            <v>162.001</v>
          </cell>
          <cell r="E258">
            <v>150</v>
          </cell>
        </row>
        <row r="259">
          <cell r="A259" t="str">
            <v>D23185</v>
          </cell>
          <cell r="B259">
            <v>185</v>
          </cell>
          <cell r="C259">
            <v>182</v>
          </cell>
          <cell r="D259">
            <v>182.001</v>
          </cell>
          <cell r="E259">
            <v>185</v>
          </cell>
        </row>
        <row r="260">
          <cell r="A260" t="str">
            <v>D23240</v>
          </cell>
          <cell r="B260">
            <v>240</v>
          </cell>
          <cell r="C260">
            <v>210</v>
          </cell>
          <cell r="D260">
            <v>210.001</v>
          </cell>
          <cell r="E260">
            <v>240</v>
          </cell>
        </row>
        <row r="261">
          <cell r="A261" t="str">
            <v>D23300</v>
          </cell>
          <cell r="B261">
            <v>300</v>
          </cell>
          <cell r="C261">
            <v>237</v>
          </cell>
          <cell r="D261">
            <v>237.001</v>
          </cell>
          <cell r="E261">
            <v>300</v>
          </cell>
        </row>
        <row r="262">
          <cell r="A262" t="str">
            <v>D23400</v>
          </cell>
          <cell r="B262">
            <v>400</v>
          </cell>
        </row>
        <row r="263">
          <cell r="A263" t="str">
            <v>D23500</v>
          </cell>
          <cell r="B263">
            <v>500</v>
          </cell>
        </row>
        <row r="264">
          <cell r="A264" t="str">
            <v>D23630</v>
          </cell>
          <cell r="B264">
            <v>630</v>
          </cell>
        </row>
        <row r="265">
          <cell r="B265" t="str">
            <v>E1</v>
          </cell>
        </row>
        <row r="266">
          <cell r="B266" t="str">
            <v>단면적
(㎟)</v>
          </cell>
          <cell r="C266" t="str">
            <v>허용
전류
(A)</v>
          </cell>
          <cell r="D266" t="str">
            <v>허용
전류
(A)</v>
          </cell>
          <cell r="E266" t="str">
            <v>단면적
(㎟)</v>
          </cell>
        </row>
        <row r="267">
          <cell r="D267">
            <v>1E-3</v>
          </cell>
          <cell r="E267">
            <v>1.5</v>
          </cell>
        </row>
        <row r="268">
          <cell r="A268" t="str">
            <v>E11.5</v>
          </cell>
          <cell r="B268">
            <v>1.5</v>
          </cell>
          <cell r="C268">
            <v>20</v>
          </cell>
          <cell r="D268">
            <v>20.001000000000001</v>
          </cell>
          <cell r="E268">
            <v>1.5</v>
          </cell>
        </row>
        <row r="269">
          <cell r="A269" t="str">
            <v>E12.5</v>
          </cell>
          <cell r="B269">
            <v>2.5</v>
          </cell>
          <cell r="C269">
            <v>28</v>
          </cell>
          <cell r="D269">
            <v>28.001000000000001</v>
          </cell>
          <cell r="E269">
            <v>2.5</v>
          </cell>
        </row>
        <row r="270">
          <cell r="A270" t="str">
            <v>E14</v>
          </cell>
          <cell r="B270">
            <v>4</v>
          </cell>
          <cell r="C270">
            <v>38</v>
          </cell>
          <cell r="D270">
            <v>38.000999999999998</v>
          </cell>
          <cell r="E270">
            <v>4</v>
          </cell>
        </row>
        <row r="271">
          <cell r="A271" t="str">
            <v>E16</v>
          </cell>
          <cell r="B271">
            <v>6</v>
          </cell>
          <cell r="C271">
            <v>49</v>
          </cell>
          <cell r="D271">
            <v>49.000999999999998</v>
          </cell>
          <cell r="E271">
            <v>6</v>
          </cell>
        </row>
        <row r="272">
          <cell r="A272" t="str">
            <v>E110</v>
          </cell>
          <cell r="B272">
            <v>10</v>
          </cell>
          <cell r="C272">
            <v>67</v>
          </cell>
          <cell r="D272">
            <v>67.001000000000005</v>
          </cell>
          <cell r="E272">
            <v>10</v>
          </cell>
        </row>
        <row r="273">
          <cell r="A273" t="str">
            <v>E116</v>
          </cell>
          <cell r="B273">
            <v>16</v>
          </cell>
          <cell r="C273">
            <v>89</v>
          </cell>
          <cell r="D273">
            <v>89.001000000000005</v>
          </cell>
          <cell r="E273">
            <v>16</v>
          </cell>
        </row>
        <row r="274">
          <cell r="A274" t="str">
            <v>E125</v>
          </cell>
          <cell r="B274">
            <v>25</v>
          </cell>
          <cell r="C274">
            <v>116</v>
          </cell>
          <cell r="D274">
            <v>116.001</v>
          </cell>
          <cell r="E274">
            <v>25</v>
          </cell>
        </row>
        <row r="275">
          <cell r="A275" t="str">
            <v>E135</v>
          </cell>
          <cell r="B275">
            <v>35</v>
          </cell>
          <cell r="C275">
            <v>144</v>
          </cell>
          <cell r="D275">
            <v>144.001</v>
          </cell>
          <cell r="E275">
            <v>35</v>
          </cell>
        </row>
        <row r="276">
          <cell r="A276" t="str">
            <v>E150</v>
          </cell>
          <cell r="B276">
            <v>50</v>
          </cell>
          <cell r="C276">
            <v>175</v>
          </cell>
          <cell r="D276">
            <v>175.001</v>
          </cell>
          <cell r="E276">
            <v>50</v>
          </cell>
        </row>
        <row r="277">
          <cell r="A277" t="str">
            <v>E170</v>
          </cell>
          <cell r="B277">
            <v>70</v>
          </cell>
          <cell r="C277">
            <v>225</v>
          </cell>
          <cell r="D277">
            <v>225.001</v>
          </cell>
          <cell r="E277">
            <v>70</v>
          </cell>
        </row>
        <row r="278">
          <cell r="A278" t="str">
            <v>E195</v>
          </cell>
          <cell r="B278">
            <v>95</v>
          </cell>
          <cell r="C278">
            <v>274</v>
          </cell>
          <cell r="D278">
            <v>274.00099999999998</v>
          </cell>
          <cell r="E278">
            <v>95</v>
          </cell>
        </row>
        <row r="279">
          <cell r="A279" t="str">
            <v>E1120</v>
          </cell>
          <cell r="B279">
            <v>120</v>
          </cell>
          <cell r="C279">
            <v>319</v>
          </cell>
          <cell r="D279">
            <v>319.00099999999998</v>
          </cell>
          <cell r="E279">
            <v>120</v>
          </cell>
        </row>
        <row r="280">
          <cell r="A280" t="str">
            <v>E1150</v>
          </cell>
          <cell r="B280">
            <v>150</v>
          </cell>
          <cell r="C280">
            <v>368</v>
          </cell>
          <cell r="D280">
            <v>368.00099999999998</v>
          </cell>
          <cell r="E280">
            <v>150</v>
          </cell>
        </row>
        <row r="281">
          <cell r="A281" t="str">
            <v>E1185</v>
          </cell>
          <cell r="B281">
            <v>185</v>
          </cell>
          <cell r="C281">
            <v>422</v>
          </cell>
          <cell r="D281">
            <v>422.00099999999998</v>
          </cell>
          <cell r="E281">
            <v>185</v>
          </cell>
        </row>
        <row r="282">
          <cell r="A282" t="str">
            <v>E1240</v>
          </cell>
          <cell r="B282">
            <v>240</v>
          </cell>
          <cell r="C282">
            <v>499</v>
          </cell>
          <cell r="D282">
            <v>499.00099999999998</v>
          </cell>
          <cell r="E282">
            <v>240</v>
          </cell>
        </row>
        <row r="283">
          <cell r="A283" t="str">
            <v>E1300</v>
          </cell>
          <cell r="B283">
            <v>300</v>
          </cell>
          <cell r="C283">
            <v>577</v>
          </cell>
          <cell r="D283">
            <v>577.00099999999998</v>
          </cell>
          <cell r="E283">
            <v>300</v>
          </cell>
        </row>
        <row r="284">
          <cell r="A284" t="str">
            <v>E1400</v>
          </cell>
          <cell r="B284">
            <v>400</v>
          </cell>
        </row>
        <row r="285">
          <cell r="A285" t="str">
            <v>E1500</v>
          </cell>
          <cell r="B285">
            <v>500</v>
          </cell>
        </row>
        <row r="286">
          <cell r="A286" t="str">
            <v>E1630</v>
          </cell>
          <cell r="B286">
            <v>630</v>
          </cell>
        </row>
        <row r="287">
          <cell r="B287" t="str">
            <v>E3</v>
          </cell>
        </row>
        <row r="288">
          <cell r="B288" t="str">
            <v>단면적
(㎟)</v>
          </cell>
          <cell r="C288" t="str">
            <v>허용
전류
(A)</v>
          </cell>
          <cell r="D288" t="str">
            <v>허용
전류
(A)</v>
          </cell>
          <cell r="E288" t="str">
            <v>단면적
(㎟)</v>
          </cell>
        </row>
        <row r="289">
          <cell r="D289">
            <v>1E-3</v>
          </cell>
          <cell r="E289">
            <v>1.5</v>
          </cell>
        </row>
        <row r="290">
          <cell r="A290" t="str">
            <v>E31.5</v>
          </cell>
          <cell r="B290">
            <v>1.5</v>
          </cell>
          <cell r="C290">
            <v>17</v>
          </cell>
          <cell r="D290">
            <v>17.001000000000001</v>
          </cell>
          <cell r="E290">
            <v>1.5</v>
          </cell>
        </row>
        <row r="291">
          <cell r="A291" t="str">
            <v>E32.5</v>
          </cell>
          <cell r="B291">
            <v>2.5</v>
          </cell>
          <cell r="C291">
            <v>24</v>
          </cell>
          <cell r="D291">
            <v>24.001000000000001</v>
          </cell>
          <cell r="E291">
            <v>2.5</v>
          </cell>
        </row>
        <row r="292">
          <cell r="A292" t="str">
            <v>E34</v>
          </cell>
          <cell r="B292">
            <v>4</v>
          </cell>
          <cell r="C292">
            <v>32</v>
          </cell>
          <cell r="D292">
            <v>32.000999999999998</v>
          </cell>
          <cell r="E292">
            <v>4</v>
          </cell>
        </row>
        <row r="293">
          <cell r="A293" t="str">
            <v>E36</v>
          </cell>
          <cell r="B293">
            <v>6</v>
          </cell>
          <cell r="C293">
            <v>42</v>
          </cell>
          <cell r="D293">
            <v>42.000999999999998</v>
          </cell>
          <cell r="E293">
            <v>6</v>
          </cell>
        </row>
        <row r="294">
          <cell r="A294" t="str">
            <v>E310</v>
          </cell>
          <cell r="B294">
            <v>10</v>
          </cell>
          <cell r="C294">
            <v>58</v>
          </cell>
          <cell r="D294">
            <v>58.000999999999998</v>
          </cell>
          <cell r="E294">
            <v>10</v>
          </cell>
        </row>
        <row r="295">
          <cell r="A295" t="str">
            <v>E316</v>
          </cell>
          <cell r="B295">
            <v>16</v>
          </cell>
          <cell r="C295">
            <v>78</v>
          </cell>
          <cell r="D295">
            <v>78.001000000000005</v>
          </cell>
          <cell r="E295">
            <v>16</v>
          </cell>
        </row>
        <row r="296">
          <cell r="A296" t="str">
            <v>E325</v>
          </cell>
          <cell r="B296">
            <v>25</v>
          </cell>
          <cell r="C296">
            <v>99</v>
          </cell>
          <cell r="D296">
            <v>99.001000000000005</v>
          </cell>
          <cell r="E296">
            <v>25</v>
          </cell>
        </row>
        <row r="297">
          <cell r="A297" t="str">
            <v>E335</v>
          </cell>
          <cell r="B297">
            <v>35</v>
          </cell>
          <cell r="C297">
            <v>123</v>
          </cell>
          <cell r="D297">
            <v>123.001</v>
          </cell>
          <cell r="E297">
            <v>35</v>
          </cell>
        </row>
        <row r="298">
          <cell r="A298" t="str">
            <v>E350</v>
          </cell>
          <cell r="B298">
            <v>50</v>
          </cell>
          <cell r="C298">
            <v>149</v>
          </cell>
          <cell r="D298">
            <v>149.001</v>
          </cell>
          <cell r="E298">
            <v>50</v>
          </cell>
        </row>
        <row r="299">
          <cell r="A299" t="str">
            <v>E370</v>
          </cell>
          <cell r="B299">
            <v>70</v>
          </cell>
          <cell r="C299">
            <v>191</v>
          </cell>
          <cell r="D299">
            <v>191.001</v>
          </cell>
          <cell r="E299">
            <v>70</v>
          </cell>
        </row>
        <row r="300">
          <cell r="A300" t="str">
            <v>E395</v>
          </cell>
          <cell r="B300">
            <v>95</v>
          </cell>
          <cell r="C300">
            <v>232</v>
          </cell>
          <cell r="D300">
            <v>232.001</v>
          </cell>
          <cell r="E300">
            <v>95</v>
          </cell>
        </row>
        <row r="301">
          <cell r="A301" t="str">
            <v>E3120</v>
          </cell>
          <cell r="B301">
            <v>120</v>
          </cell>
          <cell r="C301">
            <v>269</v>
          </cell>
          <cell r="D301">
            <v>269.00099999999998</v>
          </cell>
          <cell r="E301">
            <v>120</v>
          </cell>
        </row>
        <row r="302">
          <cell r="A302" t="str">
            <v>E3150</v>
          </cell>
          <cell r="B302">
            <v>150</v>
          </cell>
          <cell r="C302">
            <v>311</v>
          </cell>
          <cell r="D302">
            <v>311.00099999999998</v>
          </cell>
          <cell r="E302">
            <v>150</v>
          </cell>
        </row>
        <row r="303">
          <cell r="A303" t="str">
            <v>E3185</v>
          </cell>
          <cell r="B303">
            <v>185</v>
          </cell>
          <cell r="C303">
            <v>355</v>
          </cell>
          <cell r="D303">
            <v>355.00099999999998</v>
          </cell>
          <cell r="E303">
            <v>185</v>
          </cell>
        </row>
        <row r="304">
          <cell r="A304" t="str">
            <v>E3240</v>
          </cell>
          <cell r="B304">
            <v>240</v>
          </cell>
          <cell r="C304">
            <v>419</v>
          </cell>
          <cell r="D304">
            <v>419.00099999999998</v>
          </cell>
          <cell r="E304">
            <v>240</v>
          </cell>
        </row>
        <row r="305">
          <cell r="A305" t="str">
            <v>E3300</v>
          </cell>
          <cell r="B305">
            <v>300</v>
          </cell>
          <cell r="C305">
            <v>484</v>
          </cell>
          <cell r="D305">
            <v>484.00099999999998</v>
          </cell>
          <cell r="E305">
            <v>300</v>
          </cell>
        </row>
        <row r="306">
          <cell r="A306" t="str">
            <v>E3400</v>
          </cell>
          <cell r="B306">
            <v>400</v>
          </cell>
        </row>
        <row r="307">
          <cell r="A307" t="str">
            <v>E3500</v>
          </cell>
          <cell r="B307">
            <v>500</v>
          </cell>
        </row>
        <row r="308">
          <cell r="A308" t="str">
            <v>E3630</v>
          </cell>
          <cell r="B308">
            <v>630</v>
          </cell>
        </row>
        <row r="309">
          <cell r="B309" t="str">
            <v>F1</v>
          </cell>
        </row>
        <row r="310">
          <cell r="B310" t="str">
            <v>단면적
(㎟)</v>
          </cell>
          <cell r="C310" t="str">
            <v>허용
전류
(A)</v>
          </cell>
          <cell r="D310" t="str">
            <v>허용
전류
(A)</v>
          </cell>
          <cell r="E310" t="str">
            <v>단면적
(㎟)</v>
          </cell>
        </row>
        <row r="311">
          <cell r="E311">
            <v>1.5</v>
          </cell>
        </row>
        <row r="312">
          <cell r="A312" t="str">
            <v>F11.5</v>
          </cell>
          <cell r="B312">
            <v>1.5</v>
          </cell>
          <cell r="E312">
            <v>1.5</v>
          </cell>
        </row>
        <row r="313">
          <cell r="A313" t="str">
            <v>F12.5</v>
          </cell>
          <cell r="B313">
            <v>2.5</v>
          </cell>
          <cell r="E313">
            <v>2.5</v>
          </cell>
        </row>
        <row r="314">
          <cell r="A314" t="str">
            <v>F14</v>
          </cell>
          <cell r="B314">
            <v>4</v>
          </cell>
          <cell r="E314">
            <v>4</v>
          </cell>
        </row>
        <row r="315">
          <cell r="A315" t="str">
            <v>F16</v>
          </cell>
          <cell r="B315">
            <v>6</v>
          </cell>
          <cell r="E315">
            <v>6</v>
          </cell>
        </row>
        <row r="316">
          <cell r="A316" t="str">
            <v>F110</v>
          </cell>
          <cell r="B316">
            <v>10</v>
          </cell>
          <cell r="E316">
            <v>10</v>
          </cell>
        </row>
        <row r="317">
          <cell r="A317" t="str">
            <v>F116</v>
          </cell>
          <cell r="B317">
            <v>16</v>
          </cell>
          <cell r="D317">
            <v>1E-3</v>
          </cell>
          <cell r="E317">
            <v>16</v>
          </cell>
        </row>
        <row r="318">
          <cell r="A318" t="str">
            <v>F125</v>
          </cell>
          <cell r="B318">
            <v>25</v>
          </cell>
          <cell r="C318">
            <v>125</v>
          </cell>
          <cell r="D318">
            <v>125.001</v>
          </cell>
          <cell r="E318">
            <v>25</v>
          </cell>
        </row>
        <row r="319">
          <cell r="A319" t="str">
            <v>F135</v>
          </cell>
          <cell r="B319">
            <v>35</v>
          </cell>
          <cell r="C319">
            <v>156</v>
          </cell>
          <cell r="D319">
            <v>156.001</v>
          </cell>
          <cell r="E319">
            <v>35</v>
          </cell>
        </row>
        <row r="320">
          <cell r="A320" t="str">
            <v>F150</v>
          </cell>
          <cell r="B320">
            <v>50</v>
          </cell>
          <cell r="C320">
            <v>188</v>
          </cell>
          <cell r="D320">
            <v>188.001</v>
          </cell>
          <cell r="E320">
            <v>50</v>
          </cell>
        </row>
        <row r="321">
          <cell r="A321" t="str">
            <v>F170</v>
          </cell>
          <cell r="B321">
            <v>70</v>
          </cell>
          <cell r="C321">
            <v>241</v>
          </cell>
          <cell r="D321">
            <v>241.001</v>
          </cell>
          <cell r="E321">
            <v>70</v>
          </cell>
        </row>
        <row r="322">
          <cell r="A322" t="str">
            <v>F195</v>
          </cell>
          <cell r="B322">
            <v>95</v>
          </cell>
          <cell r="C322">
            <v>294</v>
          </cell>
          <cell r="D322">
            <v>294.00099999999998</v>
          </cell>
          <cell r="E322">
            <v>95</v>
          </cell>
        </row>
        <row r="323">
          <cell r="A323" t="str">
            <v>F1120</v>
          </cell>
          <cell r="B323">
            <v>120</v>
          </cell>
          <cell r="C323">
            <v>340</v>
          </cell>
          <cell r="D323">
            <v>340.00099999999998</v>
          </cell>
          <cell r="E323">
            <v>120</v>
          </cell>
        </row>
        <row r="324">
          <cell r="A324" t="str">
            <v>F1150</v>
          </cell>
          <cell r="B324">
            <v>150</v>
          </cell>
          <cell r="C324">
            <v>393</v>
          </cell>
          <cell r="D324">
            <v>393.00099999999998</v>
          </cell>
          <cell r="E324">
            <v>150</v>
          </cell>
        </row>
        <row r="325">
          <cell r="A325" t="str">
            <v>F1185</v>
          </cell>
          <cell r="B325">
            <v>185</v>
          </cell>
          <cell r="C325">
            <v>448</v>
          </cell>
          <cell r="D325">
            <v>448.00099999999998</v>
          </cell>
          <cell r="E325">
            <v>185</v>
          </cell>
        </row>
        <row r="326">
          <cell r="A326" t="str">
            <v>F1240</v>
          </cell>
          <cell r="B326">
            <v>240</v>
          </cell>
          <cell r="C326">
            <v>529</v>
          </cell>
          <cell r="D326">
            <v>529.00099999999998</v>
          </cell>
          <cell r="E326">
            <v>240</v>
          </cell>
        </row>
        <row r="327">
          <cell r="A327" t="str">
            <v>F1300</v>
          </cell>
          <cell r="B327">
            <v>300</v>
          </cell>
          <cell r="C327">
            <v>610</v>
          </cell>
          <cell r="D327">
            <v>610.00099999999998</v>
          </cell>
          <cell r="E327">
            <v>300</v>
          </cell>
        </row>
        <row r="328">
          <cell r="A328" t="str">
            <v>F1400</v>
          </cell>
          <cell r="B328">
            <v>400</v>
          </cell>
          <cell r="C328">
            <v>733</v>
          </cell>
        </row>
        <row r="329">
          <cell r="A329" t="str">
            <v>F1500</v>
          </cell>
          <cell r="B329">
            <v>500</v>
          </cell>
          <cell r="C329">
            <v>844</v>
          </cell>
        </row>
        <row r="330">
          <cell r="A330" t="str">
            <v>F1630</v>
          </cell>
          <cell r="B330">
            <v>630</v>
          </cell>
          <cell r="C330">
            <v>978</v>
          </cell>
        </row>
        <row r="331">
          <cell r="B331" t="str">
            <v>F3</v>
          </cell>
        </row>
        <row r="332">
          <cell r="B332" t="str">
            <v>단면적
(㎟)</v>
          </cell>
          <cell r="C332" t="str">
            <v>허용
전류
(A)</v>
          </cell>
          <cell r="D332" t="str">
            <v>허용
전류
(A)</v>
          </cell>
          <cell r="E332" t="str">
            <v>단면적
(㎟)</v>
          </cell>
        </row>
        <row r="333">
          <cell r="E333">
            <v>1.5</v>
          </cell>
        </row>
        <row r="334">
          <cell r="A334" t="str">
            <v>F31.5</v>
          </cell>
          <cell r="B334">
            <v>1.5</v>
          </cell>
          <cell r="E334">
            <v>1.5</v>
          </cell>
        </row>
        <row r="335">
          <cell r="A335" t="str">
            <v>F32.5</v>
          </cell>
          <cell r="B335">
            <v>2.5</v>
          </cell>
          <cell r="E335">
            <v>2.5</v>
          </cell>
        </row>
        <row r="336">
          <cell r="A336" t="str">
            <v>F34</v>
          </cell>
          <cell r="B336">
            <v>4</v>
          </cell>
          <cell r="E336">
            <v>4</v>
          </cell>
        </row>
        <row r="337">
          <cell r="A337" t="str">
            <v>F36</v>
          </cell>
          <cell r="B337">
            <v>6</v>
          </cell>
          <cell r="E337">
            <v>6</v>
          </cell>
        </row>
        <row r="338">
          <cell r="A338" t="str">
            <v>F310</v>
          </cell>
          <cell r="B338">
            <v>10</v>
          </cell>
          <cell r="E338">
            <v>10</v>
          </cell>
        </row>
        <row r="339">
          <cell r="A339" t="str">
            <v>F316</v>
          </cell>
          <cell r="B339">
            <v>16</v>
          </cell>
          <cell r="D339">
            <v>1E-3</v>
          </cell>
          <cell r="E339">
            <v>16</v>
          </cell>
        </row>
        <row r="340">
          <cell r="A340" t="str">
            <v>F325</v>
          </cell>
          <cell r="B340">
            <v>25</v>
          </cell>
          <cell r="C340">
            <v>109</v>
          </cell>
          <cell r="D340">
            <v>109.001</v>
          </cell>
          <cell r="E340">
            <v>25</v>
          </cell>
        </row>
        <row r="341">
          <cell r="A341" t="str">
            <v>F335</v>
          </cell>
          <cell r="B341">
            <v>35</v>
          </cell>
          <cell r="C341">
            <v>137</v>
          </cell>
          <cell r="D341">
            <v>137.001</v>
          </cell>
          <cell r="E341">
            <v>35</v>
          </cell>
        </row>
        <row r="342">
          <cell r="A342" t="str">
            <v>F350</v>
          </cell>
          <cell r="B342">
            <v>50</v>
          </cell>
          <cell r="C342">
            <v>168</v>
          </cell>
          <cell r="D342">
            <v>168.001</v>
          </cell>
          <cell r="E342">
            <v>50</v>
          </cell>
        </row>
        <row r="343">
          <cell r="A343" t="str">
            <v>F370</v>
          </cell>
          <cell r="B343">
            <v>70</v>
          </cell>
          <cell r="C343">
            <v>217</v>
          </cell>
          <cell r="D343">
            <v>217.001</v>
          </cell>
          <cell r="E343">
            <v>70</v>
          </cell>
        </row>
        <row r="344">
          <cell r="A344" t="str">
            <v>F395</v>
          </cell>
          <cell r="B344">
            <v>95</v>
          </cell>
          <cell r="C344">
            <v>266</v>
          </cell>
          <cell r="D344">
            <v>266.00099999999998</v>
          </cell>
          <cell r="E344">
            <v>95</v>
          </cell>
        </row>
        <row r="345">
          <cell r="A345" t="str">
            <v>F3120</v>
          </cell>
          <cell r="B345">
            <v>120</v>
          </cell>
          <cell r="C345">
            <v>312</v>
          </cell>
          <cell r="D345">
            <v>312.00099999999998</v>
          </cell>
          <cell r="E345">
            <v>120</v>
          </cell>
        </row>
        <row r="346">
          <cell r="A346" t="str">
            <v>F3150</v>
          </cell>
          <cell r="B346">
            <v>150</v>
          </cell>
          <cell r="C346">
            <v>361</v>
          </cell>
          <cell r="D346">
            <v>361.00099999999998</v>
          </cell>
          <cell r="E346">
            <v>150</v>
          </cell>
        </row>
        <row r="347">
          <cell r="A347" t="str">
            <v>F3185</v>
          </cell>
          <cell r="B347">
            <v>185</v>
          </cell>
          <cell r="C347">
            <v>415</v>
          </cell>
          <cell r="D347">
            <v>415.00099999999998</v>
          </cell>
          <cell r="E347">
            <v>185</v>
          </cell>
        </row>
        <row r="348">
          <cell r="A348" t="str">
            <v>F3240</v>
          </cell>
          <cell r="B348">
            <v>240</v>
          </cell>
          <cell r="C348">
            <v>494</v>
          </cell>
          <cell r="D348">
            <v>494.00099999999998</v>
          </cell>
          <cell r="E348">
            <v>240</v>
          </cell>
        </row>
        <row r="349">
          <cell r="A349" t="str">
            <v>F3300</v>
          </cell>
          <cell r="B349">
            <v>300</v>
          </cell>
          <cell r="C349">
            <v>574</v>
          </cell>
          <cell r="D349">
            <v>574.00099999999998</v>
          </cell>
          <cell r="E349">
            <v>300</v>
          </cell>
        </row>
        <row r="350">
          <cell r="A350" t="str">
            <v>F3400</v>
          </cell>
          <cell r="B350">
            <v>400</v>
          </cell>
          <cell r="C350">
            <v>677</v>
          </cell>
        </row>
        <row r="351">
          <cell r="A351" t="str">
            <v>F3500</v>
          </cell>
          <cell r="B351">
            <v>500</v>
          </cell>
          <cell r="C351">
            <v>778</v>
          </cell>
        </row>
        <row r="352">
          <cell r="A352" t="str">
            <v>F3630</v>
          </cell>
          <cell r="B352">
            <v>630</v>
          </cell>
          <cell r="C352">
            <v>897</v>
          </cell>
        </row>
      </sheetData>
      <sheetData sheetId="21" refreshError="1"/>
      <sheetData sheetId="2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aroux"/>
      <sheetName val="data"/>
      <sheetName val="조도기준"/>
      <sheetName val="Macro1"/>
      <sheetName val="Macro2"/>
      <sheetName val="Macro3"/>
      <sheetName val="Macro4"/>
    </sheetNames>
    <sheetDataSet>
      <sheetData sheetId="0" refreshError="1"/>
      <sheetData sheetId="1" refreshError="1">
        <row r="4">
          <cell r="P4">
            <v>0</v>
          </cell>
          <cell r="Q4" t="str">
            <v>J</v>
          </cell>
          <cell r="S4" t="str">
            <v>FCL 20W</v>
          </cell>
          <cell r="T4">
            <v>1040</v>
          </cell>
          <cell r="AA4">
            <v>0</v>
          </cell>
          <cell r="AB4">
            <v>3</v>
          </cell>
          <cell r="AC4">
            <v>4</v>
          </cell>
          <cell r="AD4">
            <v>6</v>
          </cell>
          <cell r="AE4" t="str">
            <v>A</v>
          </cell>
        </row>
        <row r="5">
          <cell r="P5">
            <v>0.7</v>
          </cell>
          <cell r="Q5" t="str">
            <v>I</v>
          </cell>
          <cell r="S5" t="str">
            <v>FCL 30W</v>
          </cell>
          <cell r="T5">
            <v>1580</v>
          </cell>
          <cell r="AA5">
            <v>3.1</v>
          </cell>
          <cell r="AB5">
            <v>6</v>
          </cell>
          <cell r="AC5">
            <v>10</v>
          </cell>
          <cell r="AD5">
            <v>15</v>
          </cell>
          <cell r="AE5" t="str">
            <v>B</v>
          </cell>
        </row>
        <row r="6">
          <cell r="P6">
            <v>0.9</v>
          </cell>
          <cell r="Q6" t="str">
            <v>H</v>
          </cell>
          <cell r="S6" t="str">
            <v>FCL 32W</v>
          </cell>
          <cell r="T6">
            <v>1940</v>
          </cell>
          <cell r="AA6">
            <v>6.1</v>
          </cell>
          <cell r="AB6">
            <v>15</v>
          </cell>
          <cell r="AC6">
            <v>20</v>
          </cell>
          <cell r="AD6">
            <v>30</v>
          </cell>
          <cell r="AE6" t="str">
            <v>C</v>
          </cell>
        </row>
        <row r="7">
          <cell r="P7">
            <v>1.1200000000000001</v>
          </cell>
          <cell r="Q7" t="str">
            <v>G</v>
          </cell>
          <cell r="S7" t="str">
            <v>FCL 40W</v>
          </cell>
          <cell r="T7">
            <v>2660</v>
          </cell>
          <cell r="AA7">
            <v>15.1</v>
          </cell>
          <cell r="AB7">
            <v>30</v>
          </cell>
          <cell r="AC7">
            <v>40</v>
          </cell>
          <cell r="AD7">
            <v>60</v>
          </cell>
          <cell r="AE7" t="str">
            <v>D</v>
          </cell>
        </row>
        <row r="8">
          <cell r="P8">
            <v>1.38</v>
          </cell>
          <cell r="Q8" t="str">
            <v>F</v>
          </cell>
          <cell r="S8" t="str">
            <v>FL 1/20W</v>
          </cell>
          <cell r="T8">
            <v>1160</v>
          </cell>
          <cell r="AA8">
            <v>30.1</v>
          </cell>
          <cell r="AB8">
            <v>60</v>
          </cell>
          <cell r="AC8">
            <v>100</v>
          </cell>
          <cell r="AD8">
            <v>150</v>
          </cell>
          <cell r="AE8" t="str">
            <v>E</v>
          </cell>
        </row>
        <row r="9">
          <cell r="P9">
            <v>1.75</v>
          </cell>
          <cell r="Q9" t="str">
            <v>E</v>
          </cell>
          <cell r="S9" t="str">
            <v>FL 1/40W</v>
          </cell>
          <cell r="T9">
            <v>2880</v>
          </cell>
          <cell r="AA9">
            <v>60.1</v>
          </cell>
          <cell r="AB9">
            <v>150</v>
          </cell>
          <cell r="AC9">
            <v>200</v>
          </cell>
          <cell r="AD9">
            <v>300</v>
          </cell>
          <cell r="AE9" t="str">
            <v>F</v>
          </cell>
        </row>
        <row r="10">
          <cell r="P10">
            <v>2.25</v>
          </cell>
          <cell r="Q10" t="str">
            <v>D</v>
          </cell>
          <cell r="S10" t="str">
            <v>FL 2/20W</v>
          </cell>
          <cell r="T10">
            <v>2320</v>
          </cell>
          <cell r="AA10">
            <v>150.1</v>
          </cell>
          <cell r="AB10">
            <v>300</v>
          </cell>
          <cell r="AC10">
            <v>400</v>
          </cell>
          <cell r="AD10">
            <v>600</v>
          </cell>
          <cell r="AE10" t="str">
            <v>G</v>
          </cell>
        </row>
        <row r="11">
          <cell r="P11">
            <v>2.75</v>
          </cell>
          <cell r="Q11" t="str">
            <v>C</v>
          </cell>
          <cell r="S11" t="str">
            <v>FL 2/32W</v>
          </cell>
          <cell r="T11">
            <v>6100</v>
          </cell>
          <cell r="AA11">
            <v>300.10000000000002</v>
          </cell>
          <cell r="AB11">
            <v>600</v>
          </cell>
          <cell r="AC11">
            <v>1000</v>
          </cell>
          <cell r="AD11">
            <v>1500</v>
          </cell>
          <cell r="AE11" t="str">
            <v>H</v>
          </cell>
        </row>
        <row r="12">
          <cell r="P12">
            <v>3.5</v>
          </cell>
          <cell r="Q12" t="str">
            <v>B</v>
          </cell>
          <cell r="S12" t="str">
            <v>FL 2/40W</v>
          </cell>
          <cell r="T12">
            <v>5760</v>
          </cell>
          <cell r="AA12">
            <v>600.1</v>
          </cell>
          <cell r="AB12">
            <v>1500</v>
          </cell>
          <cell r="AC12">
            <v>2000</v>
          </cell>
          <cell r="AD12">
            <v>3000</v>
          </cell>
          <cell r="AE12" t="str">
            <v>I</v>
          </cell>
        </row>
        <row r="13">
          <cell r="P13">
            <v>4.5</v>
          </cell>
          <cell r="Q13" t="str">
            <v>A</v>
          </cell>
          <cell r="S13" t="str">
            <v>FUL 13W</v>
          </cell>
          <cell r="T13">
            <v>800</v>
          </cell>
          <cell r="AA13">
            <v>1500.1</v>
          </cell>
          <cell r="AB13">
            <v>3000</v>
          </cell>
          <cell r="AC13">
            <v>4000</v>
          </cell>
          <cell r="AD13">
            <v>6000</v>
          </cell>
          <cell r="AE13" t="str">
            <v>J</v>
          </cell>
        </row>
        <row r="14">
          <cell r="S14" t="str">
            <v>FUL 18W</v>
          </cell>
          <cell r="T14">
            <v>1070</v>
          </cell>
          <cell r="AA14">
            <v>3000.1</v>
          </cell>
          <cell r="AB14">
            <v>6000</v>
          </cell>
          <cell r="AC14">
            <v>10000</v>
          </cell>
          <cell r="AD14">
            <v>15000</v>
          </cell>
          <cell r="AE14" t="str">
            <v>K</v>
          </cell>
        </row>
        <row r="15">
          <cell r="S15" t="str">
            <v>FUL 27W</v>
          </cell>
          <cell r="T15">
            <v>1550</v>
          </cell>
        </row>
        <row r="16">
          <cell r="S16" t="str">
            <v>IL 100W</v>
          </cell>
          <cell r="T16">
            <v>1440</v>
          </cell>
        </row>
        <row r="17">
          <cell r="S17" t="str">
            <v>IL 10W</v>
          </cell>
          <cell r="T17">
            <v>71</v>
          </cell>
        </row>
        <row r="18">
          <cell r="S18" t="str">
            <v>IL 150W</v>
          </cell>
          <cell r="T18">
            <v>2380</v>
          </cell>
        </row>
        <row r="19">
          <cell r="S19" t="str">
            <v>IL 200W</v>
          </cell>
          <cell r="T19">
            <v>3300</v>
          </cell>
        </row>
        <row r="20">
          <cell r="S20" t="str">
            <v>IL 20W</v>
          </cell>
          <cell r="T20">
            <v>164</v>
          </cell>
        </row>
        <row r="21">
          <cell r="S21" t="str">
            <v>IL 30W</v>
          </cell>
          <cell r="T21">
            <v>305</v>
          </cell>
        </row>
        <row r="22">
          <cell r="S22" t="str">
            <v>IL 40W</v>
          </cell>
          <cell r="T22">
            <v>450</v>
          </cell>
        </row>
        <row r="23">
          <cell r="S23" t="str">
            <v>IL 60W</v>
          </cell>
          <cell r="T23">
            <v>780</v>
          </cell>
        </row>
        <row r="24">
          <cell r="S24" t="str">
            <v>MH 100W</v>
          </cell>
          <cell r="T24">
            <v>6500</v>
          </cell>
        </row>
        <row r="25">
          <cell r="S25" t="str">
            <v>MH 175W</v>
          </cell>
          <cell r="T25">
            <v>14500</v>
          </cell>
        </row>
        <row r="26">
          <cell r="S26" t="str">
            <v>MH 250W</v>
          </cell>
          <cell r="T26">
            <v>20000</v>
          </cell>
        </row>
        <row r="27">
          <cell r="S27" t="str">
            <v>MH 400W</v>
          </cell>
          <cell r="T27">
            <v>34000</v>
          </cell>
        </row>
        <row r="28">
          <cell r="S28" t="str">
            <v>NH 110W</v>
          </cell>
          <cell r="T28">
            <v>9000</v>
          </cell>
        </row>
        <row r="29">
          <cell r="S29" t="str">
            <v>NH 150W</v>
          </cell>
          <cell r="T29">
            <v>13000</v>
          </cell>
        </row>
        <row r="30">
          <cell r="S30" t="str">
            <v>NH 220W</v>
          </cell>
          <cell r="T30">
            <v>23500</v>
          </cell>
        </row>
        <row r="31">
          <cell r="S31" t="str">
            <v>NH 70W</v>
          </cell>
          <cell r="T31">
            <v>6200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소비자가"/>
    </sheetNames>
    <sheetDataSet>
      <sheetData sheetId="0" refreshError="1"/>
      <sheetData sheetId="1" refreshError="1">
        <row r="46">
          <cell r="I46" t="str">
            <v>내용</v>
          </cell>
          <cell r="J46" t="str">
            <v>단가</v>
          </cell>
        </row>
        <row r="47">
          <cell r="I47" t="str">
            <v>ED008</v>
          </cell>
          <cell r="J47">
            <v>141800</v>
          </cell>
        </row>
        <row r="48">
          <cell r="I48" t="str">
            <v>ED012</v>
          </cell>
          <cell r="J48">
            <v>173300</v>
          </cell>
        </row>
        <row r="49">
          <cell r="I49" t="str">
            <v>ED014</v>
          </cell>
          <cell r="J49">
            <v>216300</v>
          </cell>
        </row>
        <row r="50">
          <cell r="I50" t="str">
            <v>ED016</v>
          </cell>
          <cell r="J50">
            <v>231000</v>
          </cell>
        </row>
        <row r="51">
          <cell r="I51" t="str">
            <v>ED018</v>
          </cell>
          <cell r="J51">
            <v>243600</v>
          </cell>
        </row>
        <row r="52">
          <cell r="I52" t="str">
            <v>ED018X</v>
          </cell>
          <cell r="J52">
            <v>268800</v>
          </cell>
        </row>
        <row r="53">
          <cell r="I53" t="str">
            <v>ED0108</v>
          </cell>
          <cell r="J53">
            <v>105000</v>
          </cell>
        </row>
        <row r="54">
          <cell r="I54" t="str">
            <v>ED0112</v>
          </cell>
          <cell r="J54">
            <v>132300</v>
          </cell>
        </row>
        <row r="55">
          <cell r="I55" t="str">
            <v>ED0114</v>
          </cell>
          <cell r="J55">
            <v>162800</v>
          </cell>
        </row>
        <row r="56">
          <cell r="I56" t="str">
            <v>ED0116</v>
          </cell>
          <cell r="J56">
            <v>177500</v>
          </cell>
        </row>
        <row r="57">
          <cell r="I57" t="str">
            <v>EP0202</v>
          </cell>
          <cell r="J57">
            <v>131300</v>
          </cell>
        </row>
        <row r="58">
          <cell r="I58" t="str">
            <v>EP0203</v>
          </cell>
          <cell r="J58">
            <v>131300</v>
          </cell>
        </row>
        <row r="59">
          <cell r="I59" t="str">
            <v>EP0302</v>
          </cell>
          <cell r="J59">
            <v>168000</v>
          </cell>
        </row>
        <row r="60">
          <cell r="I60" t="str">
            <v>EP0303</v>
          </cell>
          <cell r="J60">
            <v>168000</v>
          </cell>
        </row>
        <row r="61">
          <cell r="I61" t="str">
            <v>ED401</v>
          </cell>
          <cell r="J61">
            <v>128100</v>
          </cell>
        </row>
        <row r="62">
          <cell r="I62" t="str">
            <v>ED410R</v>
          </cell>
          <cell r="J62">
            <v>160700</v>
          </cell>
        </row>
        <row r="63">
          <cell r="I63" t="str">
            <v>ED410L</v>
          </cell>
          <cell r="J63">
            <v>160700</v>
          </cell>
        </row>
        <row r="64">
          <cell r="I64" t="str">
            <v>ED412</v>
          </cell>
          <cell r="J64">
            <v>160700</v>
          </cell>
        </row>
        <row r="65">
          <cell r="I65" t="str">
            <v>ED950</v>
          </cell>
          <cell r="J65">
            <v>264600</v>
          </cell>
        </row>
        <row r="66">
          <cell r="I66" t="str">
            <v>ED5086R</v>
          </cell>
          <cell r="J66">
            <v>105000</v>
          </cell>
        </row>
        <row r="67">
          <cell r="I67" t="str">
            <v>ED5086L</v>
          </cell>
          <cell r="J67">
            <v>105000</v>
          </cell>
        </row>
        <row r="68">
          <cell r="I68" t="str">
            <v>ED5466</v>
          </cell>
          <cell r="J68">
            <v>33600</v>
          </cell>
        </row>
        <row r="69">
          <cell r="I69" t="str">
            <v>ED5966</v>
          </cell>
          <cell r="J69">
            <v>56700</v>
          </cell>
        </row>
        <row r="70">
          <cell r="I70" t="str">
            <v>ED912</v>
          </cell>
          <cell r="J70">
            <v>203700</v>
          </cell>
        </row>
        <row r="71">
          <cell r="I71" t="str">
            <v>ED916</v>
          </cell>
          <cell r="J71">
            <v>249900</v>
          </cell>
        </row>
        <row r="72">
          <cell r="I72" t="str">
            <v>ED516</v>
          </cell>
          <cell r="J72">
            <v>63000</v>
          </cell>
        </row>
        <row r="73">
          <cell r="I73" t="str">
            <v>ED517R</v>
          </cell>
          <cell r="J73">
            <v>74600</v>
          </cell>
        </row>
        <row r="74">
          <cell r="I74" t="str">
            <v>ED517L</v>
          </cell>
          <cell r="J74">
            <v>74600</v>
          </cell>
        </row>
        <row r="75">
          <cell r="I75" t="str">
            <v>ED5488</v>
          </cell>
          <cell r="J75">
            <v>39900</v>
          </cell>
        </row>
        <row r="76">
          <cell r="I76" t="str">
            <v>ED5988</v>
          </cell>
          <cell r="J76">
            <v>65100</v>
          </cell>
        </row>
        <row r="77">
          <cell r="I77" t="str">
            <v>ED0608</v>
          </cell>
          <cell r="J77">
            <v>54600</v>
          </cell>
        </row>
        <row r="78">
          <cell r="I78" t="str">
            <v>ED0612</v>
          </cell>
          <cell r="J78">
            <v>65100</v>
          </cell>
        </row>
        <row r="81">
          <cell r="I81" t="str">
            <v>ED0616</v>
          </cell>
          <cell r="J81">
            <v>92400</v>
          </cell>
        </row>
        <row r="82">
          <cell r="I82" t="str">
            <v>ED0706</v>
          </cell>
          <cell r="J82">
            <v>105000</v>
          </cell>
        </row>
        <row r="83">
          <cell r="I83" t="str">
            <v>ED0708</v>
          </cell>
          <cell r="J83">
            <v>141800</v>
          </cell>
        </row>
        <row r="84">
          <cell r="I84" t="str">
            <v>ED0806</v>
          </cell>
          <cell r="J84">
            <v>122900</v>
          </cell>
        </row>
        <row r="85">
          <cell r="I85" t="str">
            <v>ED0808</v>
          </cell>
          <cell r="J85">
            <v>164900</v>
          </cell>
        </row>
        <row r="86">
          <cell r="I86" t="str">
            <v>EZ016</v>
          </cell>
          <cell r="J86">
            <v>371700</v>
          </cell>
        </row>
        <row r="87">
          <cell r="I87" t="str">
            <v>EZ018</v>
          </cell>
          <cell r="J87">
            <v>400100</v>
          </cell>
        </row>
        <row r="88">
          <cell r="I88" t="str">
            <v>TD008</v>
          </cell>
          <cell r="J88">
            <v>155400</v>
          </cell>
        </row>
        <row r="89">
          <cell r="I89" t="str">
            <v>TD010</v>
          </cell>
          <cell r="J89">
            <v>173300</v>
          </cell>
        </row>
        <row r="90">
          <cell r="I90" t="str">
            <v>TD012</v>
          </cell>
          <cell r="J90">
            <v>191100</v>
          </cell>
        </row>
        <row r="91">
          <cell r="I91" t="str">
            <v>TD014</v>
          </cell>
          <cell r="J91">
            <v>236300</v>
          </cell>
        </row>
        <row r="92">
          <cell r="I92" t="str">
            <v>TD016</v>
          </cell>
          <cell r="J92">
            <v>254100</v>
          </cell>
        </row>
        <row r="93">
          <cell r="I93" t="str">
            <v>TD018</v>
          </cell>
          <cell r="J93">
            <v>272000</v>
          </cell>
        </row>
        <row r="94">
          <cell r="I94" t="str">
            <v>TD108</v>
          </cell>
          <cell r="J94">
            <v>115500</v>
          </cell>
        </row>
        <row r="112">
          <cell r="I112" t="str">
            <v>TD110</v>
          </cell>
          <cell r="J112">
            <v>130200</v>
          </cell>
        </row>
        <row r="113">
          <cell r="I113" t="str">
            <v>TD112</v>
          </cell>
          <cell r="J113">
            <v>147000</v>
          </cell>
        </row>
        <row r="114">
          <cell r="I114" t="str">
            <v>TD114</v>
          </cell>
          <cell r="J114">
            <v>178500</v>
          </cell>
        </row>
        <row r="115">
          <cell r="I115" t="str">
            <v>TD116</v>
          </cell>
          <cell r="J115">
            <v>196400</v>
          </cell>
        </row>
        <row r="116">
          <cell r="I116" t="str">
            <v>TD118</v>
          </cell>
          <cell r="J116">
            <v>222600</v>
          </cell>
        </row>
        <row r="117">
          <cell r="I117" t="str">
            <v>TP0302</v>
          </cell>
          <cell r="J117">
            <v>198500</v>
          </cell>
        </row>
        <row r="118">
          <cell r="I118" t="str">
            <v>TP0303</v>
          </cell>
          <cell r="J118">
            <v>206900</v>
          </cell>
        </row>
        <row r="119">
          <cell r="I119" t="str">
            <v>TP0312</v>
          </cell>
          <cell r="J119">
            <v>156500</v>
          </cell>
        </row>
        <row r="120">
          <cell r="I120" t="str">
            <v>TP0313</v>
          </cell>
          <cell r="J120">
            <v>162800</v>
          </cell>
        </row>
        <row r="121">
          <cell r="I121" t="str">
            <v>TP0502</v>
          </cell>
          <cell r="J121">
            <v>149100</v>
          </cell>
        </row>
        <row r="122">
          <cell r="I122" t="str">
            <v>TP0503</v>
          </cell>
          <cell r="J122">
            <v>152300</v>
          </cell>
        </row>
        <row r="123">
          <cell r="I123" t="str">
            <v>TD410</v>
          </cell>
          <cell r="J123">
            <v>163800</v>
          </cell>
        </row>
        <row r="124">
          <cell r="I124" t="str">
            <v>TD412</v>
          </cell>
          <cell r="J124">
            <v>173300</v>
          </cell>
        </row>
        <row r="125">
          <cell r="I125" t="str">
            <v>TD546</v>
          </cell>
          <cell r="J125">
            <v>46200</v>
          </cell>
        </row>
        <row r="126">
          <cell r="I126" t="str">
            <v>TD596</v>
          </cell>
          <cell r="J126">
            <v>68300</v>
          </cell>
        </row>
        <row r="127">
          <cell r="I127" t="str">
            <v>TD516</v>
          </cell>
          <cell r="J127">
            <v>83000</v>
          </cell>
        </row>
        <row r="128">
          <cell r="I128" t="str">
            <v>TD517R</v>
          </cell>
          <cell r="J128">
            <v>97700</v>
          </cell>
        </row>
        <row r="129">
          <cell r="I129" t="str">
            <v>TD517L</v>
          </cell>
          <cell r="J129">
            <v>97700</v>
          </cell>
        </row>
        <row r="130">
          <cell r="I130" t="str">
            <v>TD518</v>
          </cell>
          <cell r="J130">
            <v>108200</v>
          </cell>
        </row>
        <row r="131">
          <cell r="I131" t="str">
            <v>TD546</v>
          </cell>
          <cell r="J131">
            <v>46200</v>
          </cell>
        </row>
        <row r="132">
          <cell r="I132" t="str">
            <v>TD548</v>
          </cell>
          <cell r="J132">
            <v>66200</v>
          </cell>
        </row>
        <row r="133">
          <cell r="I133" t="str">
            <v>TD506</v>
          </cell>
          <cell r="J133">
            <v>159600</v>
          </cell>
        </row>
        <row r="134">
          <cell r="I134" t="str">
            <v>TD507R</v>
          </cell>
          <cell r="J134">
            <v>171200</v>
          </cell>
        </row>
        <row r="135">
          <cell r="I135" t="str">
            <v>TD507L</v>
          </cell>
          <cell r="J135">
            <v>171200</v>
          </cell>
        </row>
        <row r="136">
          <cell r="I136" t="str">
            <v>TD508</v>
          </cell>
          <cell r="J136">
            <v>183800</v>
          </cell>
        </row>
        <row r="137">
          <cell r="I137" t="str">
            <v>TD598</v>
          </cell>
          <cell r="J137">
            <v>95600</v>
          </cell>
        </row>
        <row r="138">
          <cell r="I138" t="str">
            <v>TD597R</v>
          </cell>
          <cell r="J138">
            <v>86100</v>
          </cell>
        </row>
        <row r="139">
          <cell r="I139" t="str">
            <v>TD597L</v>
          </cell>
          <cell r="J139">
            <v>86100</v>
          </cell>
        </row>
        <row r="140">
          <cell r="I140" t="str">
            <v>TD0608</v>
          </cell>
          <cell r="J140">
            <v>56700</v>
          </cell>
        </row>
        <row r="141">
          <cell r="I141" t="str">
            <v>TD0612</v>
          </cell>
          <cell r="J141">
            <v>68300</v>
          </cell>
        </row>
        <row r="142">
          <cell r="I142" t="str">
            <v>TD0614</v>
          </cell>
          <cell r="J142">
            <v>86100</v>
          </cell>
        </row>
        <row r="143">
          <cell r="I143" t="str">
            <v>TD0616</v>
          </cell>
          <cell r="J143">
            <v>96600</v>
          </cell>
        </row>
        <row r="144">
          <cell r="I144" t="str">
            <v>TD712</v>
          </cell>
          <cell r="J144">
            <v>212100</v>
          </cell>
        </row>
        <row r="145">
          <cell r="I145" t="str">
            <v>TD808</v>
          </cell>
          <cell r="J145">
            <v>180600</v>
          </cell>
        </row>
        <row r="146">
          <cell r="I146" t="str">
            <v>TD990</v>
          </cell>
          <cell r="J146">
            <v>159600</v>
          </cell>
        </row>
        <row r="147">
          <cell r="I147" t="str">
            <v>TD912</v>
          </cell>
          <cell r="J147">
            <v>129200</v>
          </cell>
        </row>
        <row r="148">
          <cell r="I148" t="str">
            <v>TD916</v>
          </cell>
          <cell r="J148">
            <v>171200</v>
          </cell>
        </row>
        <row r="149">
          <cell r="I149" t="str">
            <v>TD966</v>
          </cell>
          <cell r="J149">
            <v>96600</v>
          </cell>
        </row>
        <row r="150">
          <cell r="I150" t="str">
            <v>TD988</v>
          </cell>
          <cell r="J150">
            <v>155400</v>
          </cell>
        </row>
        <row r="151">
          <cell r="I151" t="str">
            <v>TF008</v>
          </cell>
          <cell r="J151">
            <v>51500</v>
          </cell>
        </row>
        <row r="152">
          <cell r="I152" t="str">
            <v>TF010</v>
          </cell>
          <cell r="J152">
            <v>61700</v>
          </cell>
        </row>
        <row r="153">
          <cell r="I153" t="str">
            <v>TF012</v>
          </cell>
          <cell r="J153">
            <v>69300</v>
          </cell>
        </row>
        <row r="154">
          <cell r="I154" t="str">
            <v>TF014</v>
          </cell>
          <cell r="J154">
            <v>85100</v>
          </cell>
        </row>
        <row r="155">
          <cell r="I155" t="str">
            <v>TF016</v>
          </cell>
          <cell r="J155">
            <v>92400</v>
          </cell>
        </row>
        <row r="156">
          <cell r="I156" t="str">
            <v>TF018</v>
          </cell>
          <cell r="J156">
            <v>103800</v>
          </cell>
        </row>
        <row r="157">
          <cell r="I157" t="str">
            <v>YD018</v>
          </cell>
          <cell r="J157">
            <v>351800</v>
          </cell>
        </row>
        <row r="158">
          <cell r="I158" t="str">
            <v>YP0302</v>
          </cell>
          <cell r="J158">
            <v>233100</v>
          </cell>
        </row>
        <row r="159">
          <cell r="I159" t="str">
            <v>YP0303</v>
          </cell>
          <cell r="J159">
            <v>233100</v>
          </cell>
        </row>
        <row r="160">
          <cell r="I160" t="str">
            <v>YD412</v>
          </cell>
          <cell r="J160">
            <v>194300</v>
          </cell>
        </row>
        <row r="161">
          <cell r="I161" t="str">
            <v>YC055L</v>
          </cell>
          <cell r="J161">
            <v>290900</v>
          </cell>
        </row>
        <row r="162">
          <cell r="I162" t="str">
            <v>YC555R</v>
          </cell>
          <cell r="J162">
            <v>290900</v>
          </cell>
        </row>
        <row r="163">
          <cell r="I163" t="str">
            <v>YC085</v>
          </cell>
          <cell r="J163">
            <v>396900</v>
          </cell>
        </row>
        <row r="164">
          <cell r="I164" t="str">
            <v>YC2082</v>
          </cell>
          <cell r="J164">
            <v>411600</v>
          </cell>
        </row>
        <row r="165">
          <cell r="I165" t="str">
            <v>YC182</v>
          </cell>
          <cell r="J165">
            <v>226800</v>
          </cell>
        </row>
        <row r="166">
          <cell r="I166" t="str">
            <v>YD990</v>
          </cell>
          <cell r="J166">
            <v>202700</v>
          </cell>
        </row>
        <row r="167">
          <cell r="I167" t="str">
            <v>PD018</v>
          </cell>
          <cell r="J167">
            <v>584900</v>
          </cell>
        </row>
        <row r="168">
          <cell r="I168" t="str">
            <v>PD021</v>
          </cell>
          <cell r="J168">
            <v>621600</v>
          </cell>
        </row>
        <row r="169">
          <cell r="I169" t="str">
            <v>PP0202</v>
          </cell>
          <cell r="J169">
            <v>246800</v>
          </cell>
        </row>
        <row r="170">
          <cell r="I170" t="str">
            <v>PP0203</v>
          </cell>
          <cell r="J170">
            <v>246800</v>
          </cell>
        </row>
        <row r="171">
          <cell r="I171" t="str">
            <v>PP0302</v>
          </cell>
          <cell r="J171">
            <v>246800</v>
          </cell>
        </row>
        <row r="172">
          <cell r="I172" t="str">
            <v>PP0303</v>
          </cell>
          <cell r="J172">
            <v>246800</v>
          </cell>
        </row>
        <row r="173">
          <cell r="I173" t="str">
            <v>PD414</v>
          </cell>
          <cell r="J173">
            <v>484100</v>
          </cell>
        </row>
        <row r="174">
          <cell r="I174" t="str">
            <v>PZ021</v>
          </cell>
          <cell r="J174">
            <v>696200</v>
          </cell>
        </row>
        <row r="175">
          <cell r="I175" t="str">
            <v>PC055L</v>
          </cell>
          <cell r="J175">
            <v>347600</v>
          </cell>
        </row>
        <row r="176">
          <cell r="I176" t="str">
            <v>PC355L</v>
          </cell>
          <cell r="J176">
            <v>487200</v>
          </cell>
        </row>
        <row r="177">
          <cell r="I177" t="str">
            <v>PC5055R</v>
          </cell>
          <cell r="J177">
            <v>353900</v>
          </cell>
        </row>
        <row r="178">
          <cell r="I178" t="str">
            <v>PC085</v>
          </cell>
          <cell r="J178">
            <v>513500</v>
          </cell>
        </row>
        <row r="179">
          <cell r="I179" t="str">
            <v>LD021</v>
          </cell>
          <cell r="J179">
            <v>2876000</v>
          </cell>
        </row>
        <row r="180">
          <cell r="I180" t="str">
            <v>LD018</v>
          </cell>
          <cell r="J180">
            <v>2595600</v>
          </cell>
        </row>
        <row r="181">
          <cell r="I181" t="str">
            <v>LD712R</v>
          </cell>
          <cell r="J181">
            <v>781200</v>
          </cell>
        </row>
        <row r="182">
          <cell r="I182" t="str">
            <v>LD712L</v>
          </cell>
          <cell r="J182">
            <v>781200</v>
          </cell>
        </row>
        <row r="183">
          <cell r="I183" t="str">
            <v>LC01</v>
          </cell>
          <cell r="J183">
            <v>5120900</v>
          </cell>
        </row>
        <row r="184">
          <cell r="I184" t="str">
            <v>LC02</v>
          </cell>
          <cell r="J184">
            <v>4102400</v>
          </cell>
        </row>
        <row r="185">
          <cell r="I185" t="str">
            <v>LC03</v>
          </cell>
          <cell r="J185">
            <v>3716000</v>
          </cell>
        </row>
        <row r="186">
          <cell r="I186" t="str">
            <v>LC04</v>
          </cell>
          <cell r="J186">
            <v>5292000</v>
          </cell>
        </row>
        <row r="187">
          <cell r="I187" t="str">
            <v>LC05</v>
          </cell>
          <cell r="J187">
            <v>4273500</v>
          </cell>
        </row>
        <row r="188">
          <cell r="I188" t="str">
            <v>LC11</v>
          </cell>
          <cell r="J188">
            <v>4237800</v>
          </cell>
        </row>
        <row r="189">
          <cell r="I189" t="str">
            <v>LC12</v>
          </cell>
          <cell r="J189">
            <v>3182600</v>
          </cell>
        </row>
        <row r="190">
          <cell r="I190" t="str">
            <v>LC06</v>
          </cell>
          <cell r="J190">
            <v>3887100</v>
          </cell>
        </row>
        <row r="191">
          <cell r="I191" t="str">
            <v>LC21</v>
          </cell>
          <cell r="J191">
            <v>3257100</v>
          </cell>
        </row>
        <row r="192">
          <cell r="I192" t="str">
            <v>LC22</v>
          </cell>
          <cell r="J192">
            <v>2519000</v>
          </cell>
        </row>
        <row r="193">
          <cell r="I193" t="str">
            <v>LC23</v>
          </cell>
          <cell r="J193">
            <v>3782100</v>
          </cell>
        </row>
        <row r="194">
          <cell r="I194" t="str">
            <v>LC24</v>
          </cell>
          <cell r="J194">
            <v>3044000</v>
          </cell>
        </row>
        <row r="195">
          <cell r="I195" t="str">
            <v>LC565R</v>
          </cell>
          <cell r="J195">
            <v>750800</v>
          </cell>
        </row>
        <row r="196">
          <cell r="I196" t="str">
            <v>LC065L</v>
          </cell>
          <cell r="J196">
            <v>729800</v>
          </cell>
        </row>
        <row r="197">
          <cell r="I197" t="str">
            <v>LC162R</v>
          </cell>
          <cell r="J197">
            <v>343400</v>
          </cell>
        </row>
        <row r="198">
          <cell r="I198" t="str">
            <v>LC162L</v>
          </cell>
          <cell r="J198">
            <v>343400</v>
          </cell>
        </row>
        <row r="199">
          <cell r="I199" t="str">
            <v>LC6122</v>
          </cell>
          <cell r="J199">
            <v>515600</v>
          </cell>
        </row>
        <row r="200">
          <cell r="I200" t="str">
            <v>LC7064</v>
          </cell>
          <cell r="J200">
            <v>605900</v>
          </cell>
        </row>
        <row r="201">
          <cell r="I201" t="str">
            <v>LC1063S</v>
          </cell>
          <cell r="J201">
            <v>89300</v>
          </cell>
        </row>
        <row r="202">
          <cell r="I202" t="str">
            <v>LB1063G</v>
          </cell>
          <cell r="J202">
            <v>190100</v>
          </cell>
        </row>
        <row r="203">
          <cell r="I203" t="str">
            <v>LC9112</v>
          </cell>
          <cell r="J203">
            <v>179600</v>
          </cell>
        </row>
        <row r="204">
          <cell r="I204" t="str">
            <v>LC9118</v>
          </cell>
          <cell r="J204">
            <v>237300</v>
          </cell>
        </row>
        <row r="205">
          <cell r="I205" t="str">
            <v>LC9124</v>
          </cell>
          <cell r="J205">
            <v>336000</v>
          </cell>
        </row>
        <row r="206">
          <cell r="I206" t="str">
            <v>LC9106T</v>
          </cell>
          <cell r="J206">
            <v>86100</v>
          </cell>
        </row>
        <row r="207">
          <cell r="I207" t="str">
            <v>LC9112T</v>
          </cell>
          <cell r="J207">
            <v>179600</v>
          </cell>
        </row>
        <row r="208">
          <cell r="I208" t="str">
            <v>LC9118T</v>
          </cell>
          <cell r="J208">
            <v>217400</v>
          </cell>
        </row>
        <row r="209">
          <cell r="I209" t="str">
            <v>LC9124T</v>
          </cell>
          <cell r="J209">
            <v>287700</v>
          </cell>
        </row>
        <row r="210">
          <cell r="I210" t="str">
            <v>LC9124N</v>
          </cell>
          <cell r="J210">
            <v>336000</v>
          </cell>
        </row>
        <row r="211">
          <cell r="I211" t="str">
            <v>LZ01</v>
          </cell>
          <cell r="J211">
            <v>2063300</v>
          </cell>
        </row>
        <row r="212">
          <cell r="I212" t="str">
            <v>LZ02</v>
          </cell>
          <cell r="J212">
            <v>2234400</v>
          </cell>
        </row>
        <row r="213">
          <cell r="I213" t="str">
            <v>LZ11</v>
          </cell>
          <cell r="J213">
            <v>1529900</v>
          </cell>
        </row>
        <row r="214">
          <cell r="I214" t="str">
            <v>LR024</v>
          </cell>
          <cell r="J214">
            <v>1932000</v>
          </cell>
        </row>
        <row r="215">
          <cell r="I215" t="str">
            <v>LR012</v>
          </cell>
          <cell r="J215">
            <v>1430100</v>
          </cell>
        </row>
        <row r="216">
          <cell r="I216" t="str">
            <v>LS7001C</v>
          </cell>
          <cell r="J216">
            <v>1045800</v>
          </cell>
        </row>
        <row r="217">
          <cell r="I217" t="str">
            <v>LS7001W</v>
          </cell>
          <cell r="J217">
            <v>1045800</v>
          </cell>
        </row>
        <row r="218">
          <cell r="I218" t="str">
            <v>LS7003C</v>
          </cell>
          <cell r="J218">
            <v>1708400</v>
          </cell>
        </row>
        <row r="219">
          <cell r="I219" t="str">
            <v>LS7003W</v>
          </cell>
          <cell r="J219">
            <v>1708400</v>
          </cell>
        </row>
        <row r="220">
          <cell r="I220" t="str">
            <v>LL016</v>
          </cell>
          <cell r="J220">
            <v>1146600</v>
          </cell>
        </row>
        <row r="221">
          <cell r="I221" t="str">
            <v>LL008</v>
          </cell>
          <cell r="J221">
            <v>1019600</v>
          </cell>
        </row>
        <row r="222">
          <cell r="I222" t="str">
            <v>LL0007</v>
          </cell>
          <cell r="J222">
            <v>393800</v>
          </cell>
        </row>
        <row r="223">
          <cell r="I223" t="str">
            <v>CA0302</v>
          </cell>
          <cell r="J223">
            <v>60900</v>
          </cell>
        </row>
        <row r="224">
          <cell r="I224" t="str">
            <v>CA0301</v>
          </cell>
          <cell r="J224">
            <v>10500</v>
          </cell>
        </row>
        <row r="225">
          <cell r="I225" t="str">
            <v>CA1101</v>
          </cell>
          <cell r="J225">
            <v>10500</v>
          </cell>
        </row>
        <row r="226">
          <cell r="I226" t="str">
            <v>CC1082</v>
          </cell>
          <cell r="J226">
            <v>107100</v>
          </cell>
        </row>
        <row r="227">
          <cell r="I227" t="str">
            <v>CC1083</v>
          </cell>
          <cell r="J227">
            <v>147000</v>
          </cell>
        </row>
        <row r="228">
          <cell r="I228" t="str">
            <v>CC0054</v>
          </cell>
          <cell r="J228">
            <v>108200</v>
          </cell>
        </row>
        <row r="229">
          <cell r="I229" t="str">
            <v>CC0055</v>
          </cell>
          <cell r="J229">
            <v>129200</v>
          </cell>
        </row>
        <row r="230">
          <cell r="I230" t="str">
            <v>CC0084</v>
          </cell>
          <cell r="J230">
            <v>147000</v>
          </cell>
        </row>
        <row r="231">
          <cell r="I231" t="str">
            <v>CC0085</v>
          </cell>
          <cell r="J231">
            <v>164900</v>
          </cell>
        </row>
        <row r="232">
          <cell r="I232" t="str">
            <v>CC0084N</v>
          </cell>
          <cell r="J232">
            <v>113400</v>
          </cell>
        </row>
        <row r="233">
          <cell r="I233" t="str">
            <v>CC0085N</v>
          </cell>
          <cell r="J233">
            <v>129200</v>
          </cell>
        </row>
        <row r="234">
          <cell r="I234" t="str">
            <v>CC5054</v>
          </cell>
          <cell r="J234">
            <v>101900</v>
          </cell>
        </row>
        <row r="235">
          <cell r="I235" t="str">
            <v>CC5055</v>
          </cell>
          <cell r="J235">
            <v>117600</v>
          </cell>
        </row>
        <row r="236">
          <cell r="I236" t="str">
            <v>TB1082</v>
          </cell>
          <cell r="J236">
            <v>69300</v>
          </cell>
        </row>
        <row r="237">
          <cell r="I237" t="str">
            <v>TB1083</v>
          </cell>
          <cell r="J237">
            <v>90300</v>
          </cell>
        </row>
        <row r="238">
          <cell r="I238" t="str">
            <v>TB0082</v>
          </cell>
          <cell r="J238">
            <v>69300</v>
          </cell>
        </row>
        <row r="239">
          <cell r="I239" t="str">
            <v>TB084</v>
          </cell>
          <cell r="J239">
            <v>127100</v>
          </cell>
        </row>
        <row r="240">
          <cell r="I240" t="str">
            <v>TB085</v>
          </cell>
          <cell r="J240">
            <v>152300</v>
          </cell>
        </row>
        <row r="241">
          <cell r="I241" t="str">
            <v>TB0052R</v>
          </cell>
          <cell r="J241">
            <v>50400</v>
          </cell>
        </row>
        <row r="242">
          <cell r="I242" t="str">
            <v>TB0052L</v>
          </cell>
          <cell r="J242">
            <v>50400</v>
          </cell>
        </row>
        <row r="243">
          <cell r="I243" t="str">
            <v>TB0054R</v>
          </cell>
          <cell r="J243">
            <v>90300</v>
          </cell>
        </row>
        <row r="244">
          <cell r="I244" t="str">
            <v>TB0054L</v>
          </cell>
          <cell r="J244">
            <v>90300</v>
          </cell>
        </row>
        <row r="245">
          <cell r="I245" t="str">
            <v>TB0055R</v>
          </cell>
          <cell r="J245">
            <v>102900</v>
          </cell>
        </row>
        <row r="246">
          <cell r="I246" t="str">
            <v>TB0055L</v>
          </cell>
          <cell r="J246">
            <v>102900</v>
          </cell>
        </row>
        <row r="247">
          <cell r="I247" t="str">
            <v>TB0083G</v>
          </cell>
          <cell r="J247">
            <v>76700</v>
          </cell>
        </row>
        <row r="248">
          <cell r="I248" t="str">
            <v>EB1083G</v>
          </cell>
          <cell r="J248">
            <v>72500</v>
          </cell>
        </row>
        <row r="249">
          <cell r="I249" t="str">
            <v>EB1082</v>
          </cell>
          <cell r="J249">
            <v>54600</v>
          </cell>
        </row>
        <row r="250">
          <cell r="I250" t="str">
            <v>EB1083</v>
          </cell>
          <cell r="J250">
            <v>72500</v>
          </cell>
        </row>
        <row r="251">
          <cell r="I251" t="str">
            <v>EB0082</v>
          </cell>
          <cell r="J251">
            <v>54600</v>
          </cell>
        </row>
        <row r="252">
          <cell r="I252" t="str">
            <v>EB084</v>
          </cell>
          <cell r="J252">
            <v>101900</v>
          </cell>
        </row>
        <row r="253">
          <cell r="I253" t="str">
            <v>EB085</v>
          </cell>
          <cell r="J253">
            <v>120800</v>
          </cell>
        </row>
        <row r="254">
          <cell r="I254" t="str">
            <v>EB0052R</v>
          </cell>
          <cell r="J254">
            <v>42000</v>
          </cell>
        </row>
        <row r="255">
          <cell r="I255" t="str">
            <v>EB0052L</v>
          </cell>
          <cell r="J255">
            <v>42000</v>
          </cell>
        </row>
        <row r="256">
          <cell r="I256" t="str">
            <v>EB0054R</v>
          </cell>
          <cell r="J256">
            <v>74600</v>
          </cell>
        </row>
        <row r="257">
          <cell r="I257" t="str">
            <v>EB0054L</v>
          </cell>
          <cell r="J257">
            <v>74600</v>
          </cell>
        </row>
        <row r="258">
          <cell r="I258" t="str">
            <v>EB0055R</v>
          </cell>
          <cell r="J258">
            <v>86100</v>
          </cell>
        </row>
        <row r="259">
          <cell r="I259" t="str">
            <v>EB0055L</v>
          </cell>
          <cell r="J259">
            <v>86100</v>
          </cell>
        </row>
        <row r="260">
          <cell r="I260" t="str">
            <v>EC2052</v>
          </cell>
          <cell r="J260">
            <v>201600</v>
          </cell>
        </row>
        <row r="261">
          <cell r="I261" t="str">
            <v>EC2053</v>
          </cell>
          <cell r="J261">
            <v>269900</v>
          </cell>
        </row>
        <row r="262">
          <cell r="I262" t="str">
            <v>EC2050</v>
          </cell>
          <cell r="J262">
            <v>38900</v>
          </cell>
        </row>
        <row r="263">
          <cell r="I263" t="str">
            <v>TC2042</v>
          </cell>
          <cell r="J263">
            <v>242600</v>
          </cell>
        </row>
        <row r="264">
          <cell r="I264" t="str">
            <v>TC2043</v>
          </cell>
          <cell r="J264">
            <v>327600</v>
          </cell>
        </row>
        <row r="265">
          <cell r="I265" t="str">
            <v>TC2082</v>
          </cell>
          <cell r="J265">
            <v>371700</v>
          </cell>
        </row>
        <row r="266">
          <cell r="I266" t="str">
            <v>TC2083</v>
          </cell>
          <cell r="J266">
            <v>492500</v>
          </cell>
        </row>
        <row r="267">
          <cell r="I267" t="str">
            <v>TC242S</v>
          </cell>
          <cell r="J267">
            <v>253100</v>
          </cell>
        </row>
        <row r="268">
          <cell r="I268" t="str">
            <v>TC242N</v>
          </cell>
          <cell r="J268">
            <v>246800</v>
          </cell>
        </row>
        <row r="269">
          <cell r="I269" t="str">
            <v>CB9054</v>
          </cell>
          <cell r="J269">
            <v>27300</v>
          </cell>
        </row>
        <row r="270">
          <cell r="I270" t="str">
            <v>CB955</v>
          </cell>
          <cell r="J270">
            <v>35700</v>
          </cell>
        </row>
        <row r="271">
          <cell r="I271" t="str">
            <v>CB9084</v>
          </cell>
          <cell r="J271">
            <v>42000</v>
          </cell>
        </row>
        <row r="272">
          <cell r="I272" t="str">
            <v>CB985</v>
          </cell>
          <cell r="J272">
            <v>54600</v>
          </cell>
        </row>
        <row r="273">
          <cell r="I273" t="str">
            <v>XX100</v>
          </cell>
          <cell r="J273">
            <v>459900</v>
          </cell>
        </row>
        <row r="274">
          <cell r="I274" t="str">
            <v>XC100</v>
          </cell>
          <cell r="J274">
            <v>430500</v>
          </cell>
        </row>
        <row r="275">
          <cell r="I275" t="str">
            <v>XC150R</v>
          </cell>
          <cell r="J275">
            <v>279300</v>
          </cell>
        </row>
        <row r="276">
          <cell r="I276" t="str">
            <v>XC150L</v>
          </cell>
          <cell r="J276">
            <v>279300</v>
          </cell>
        </row>
        <row r="277">
          <cell r="I277" t="str">
            <v>CR1007</v>
          </cell>
          <cell r="J277">
            <v>132300</v>
          </cell>
        </row>
        <row r="278">
          <cell r="I278" t="str">
            <v>CR1015</v>
          </cell>
          <cell r="J278">
            <v>183800</v>
          </cell>
        </row>
        <row r="279">
          <cell r="I279" t="str">
            <v>CR1066</v>
          </cell>
          <cell r="J279">
            <v>201600</v>
          </cell>
        </row>
        <row r="280">
          <cell r="I280" t="str">
            <v>CR1107</v>
          </cell>
          <cell r="J280">
            <v>114500</v>
          </cell>
        </row>
        <row r="281">
          <cell r="I281" t="str">
            <v>CR1115</v>
          </cell>
          <cell r="J281">
            <v>150200</v>
          </cell>
        </row>
        <row r="282">
          <cell r="I282" t="str">
            <v>CR1166</v>
          </cell>
          <cell r="J282">
            <v>158600</v>
          </cell>
        </row>
        <row r="283">
          <cell r="I283" t="str">
            <v>CR1206</v>
          </cell>
          <cell r="J283">
            <v>30500</v>
          </cell>
        </row>
        <row r="284">
          <cell r="I284" t="str">
            <v>CR1207</v>
          </cell>
          <cell r="J284">
            <v>33600</v>
          </cell>
        </row>
        <row r="285">
          <cell r="I285" t="str">
            <v>CR1307</v>
          </cell>
          <cell r="J285">
            <v>17900</v>
          </cell>
        </row>
        <row r="286">
          <cell r="I286" t="str">
            <v>CR1315</v>
          </cell>
          <cell r="J286">
            <v>33600</v>
          </cell>
        </row>
        <row r="287">
          <cell r="I287" t="str">
            <v>CR1360</v>
          </cell>
          <cell r="J287">
            <v>17900</v>
          </cell>
        </row>
        <row r="288">
          <cell r="I288" t="str">
            <v>CR1361</v>
          </cell>
          <cell r="J288">
            <v>17900</v>
          </cell>
        </row>
        <row r="289">
          <cell r="I289" t="str">
            <v>CR2008N</v>
          </cell>
          <cell r="J289">
            <v>150200</v>
          </cell>
        </row>
        <row r="290">
          <cell r="I290" t="str">
            <v>CR2016N</v>
          </cell>
          <cell r="J290">
            <v>246800</v>
          </cell>
        </row>
        <row r="291">
          <cell r="I291" t="str">
            <v>CR2590N</v>
          </cell>
          <cell r="J291">
            <v>135500</v>
          </cell>
        </row>
        <row r="292">
          <cell r="I292" t="str">
            <v>CR2000</v>
          </cell>
          <cell r="J292">
            <v>48300</v>
          </cell>
        </row>
        <row r="293">
          <cell r="I293" t="str">
            <v>CR2000S</v>
          </cell>
          <cell r="J293">
            <v>26300</v>
          </cell>
        </row>
        <row r="294">
          <cell r="I294" t="str">
            <v>CR2000E</v>
          </cell>
          <cell r="J294">
            <v>48300</v>
          </cell>
        </row>
        <row r="295">
          <cell r="I295" t="str">
            <v>CR018</v>
          </cell>
          <cell r="J295">
            <v>278300</v>
          </cell>
        </row>
        <row r="296">
          <cell r="I296" t="str">
            <v>CR024</v>
          </cell>
          <cell r="J296">
            <v>354900</v>
          </cell>
        </row>
        <row r="297">
          <cell r="I297" t="str">
            <v>CR3118</v>
          </cell>
          <cell r="J297">
            <v>285600</v>
          </cell>
        </row>
        <row r="298">
          <cell r="I298" t="str">
            <v>CR3218</v>
          </cell>
          <cell r="J298">
            <v>249900</v>
          </cell>
        </row>
        <row r="299">
          <cell r="I299" t="str">
            <v>CR3114N</v>
          </cell>
          <cell r="J299">
            <v>225800</v>
          </cell>
        </row>
        <row r="300">
          <cell r="I300" t="str">
            <v>CR3214N</v>
          </cell>
          <cell r="J300">
            <v>206900</v>
          </cell>
        </row>
        <row r="301">
          <cell r="I301" t="str">
            <v>CR4110</v>
          </cell>
          <cell r="J301">
            <v>107100</v>
          </cell>
        </row>
        <row r="302">
          <cell r="I302" t="str">
            <v>SR009</v>
          </cell>
          <cell r="J302">
            <v>225800</v>
          </cell>
        </row>
        <row r="303">
          <cell r="I303" t="str">
            <v>SR012</v>
          </cell>
          <cell r="J303">
            <v>241500</v>
          </cell>
        </row>
        <row r="304">
          <cell r="I304" t="str">
            <v>SR018</v>
          </cell>
          <cell r="J304">
            <v>303500</v>
          </cell>
        </row>
        <row r="305">
          <cell r="I305" t="str">
            <v>SR024S</v>
          </cell>
          <cell r="J305">
            <v>375900</v>
          </cell>
        </row>
        <row r="306">
          <cell r="I306" t="str">
            <v>SR024</v>
          </cell>
          <cell r="J306">
            <v>375900</v>
          </cell>
        </row>
        <row r="307">
          <cell r="I307" t="str">
            <v>SR032</v>
          </cell>
          <cell r="J307">
            <v>483000</v>
          </cell>
        </row>
        <row r="308">
          <cell r="I308" t="str">
            <v>CR413</v>
          </cell>
          <cell r="J308">
            <v>129200</v>
          </cell>
        </row>
        <row r="309">
          <cell r="I309" t="str">
            <v>CA9900</v>
          </cell>
          <cell r="J309">
            <v>5300</v>
          </cell>
        </row>
        <row r="310">
          <cell r="I310" t="str">
            <v>CA9901</v>
          </cell>
          <cell r="J310">
            <v>4200</v>
          </cell>
        </row>
        <row r="311">
          <cell r="I311" t="str">
            <v>CA0100</v>
          </cell>
          <cell r="J311">
            <v>26300</v>
          </cell>
        </row>
        <row r="312">
          <cell r="I312" t="str">
            <v>CA0401</v>
          </cell>
          <cell r="J312">
            <v>175400</v>
          </cell>
        </row>
        <row r="313">
          <cell r="I313" t="str">
            <v>CA0402</v>
          </cell>
          <cell r="J313">
            <v>194300</v>
          </cell>
        </row>
        <row r="314">
          <cell r="I314" t="str">
            <v>CA0501</v>
          </cell>
          <cell r="J314">
            <v>161700</v>
          </cell>
        </row>
        <row r="315">
          <cell r="I315" t="str">
            <v>CA0601</v>
          </cell>
          <cell r="J315">
            <v>99800</v>
          </cell>
        </row>
        <row r="316">
          <cell r="I316" t="str">
            <v>CA0702</v>
          </cell>
          <cell r="J316">
            <v>24200</v>
          </cell>
        </row>
        <row r="317">
          <cell r="I317" t="str">
            <v>CA0703</v>
          </cell>
          <cell r="J317">
            <v>18900</v>
          </cell>
        </row>
        <row r="318">
          <cell r="I318" t="str">
            <v>CA0801</v>
          </cell>
          <cell r="J318">
            <v>15800</v>
          </cell>
        </row>
        <row r="319">
          <cell r="I319" t="str">
            <v>CA0802</v>
          </cell>
          <cell r="J319">
            <v>142800</v>
          </cell>
        </row>
        <row r="320">
          <cell r="I320" t="str">
            <v>CA0803</v>
          </cell>
          <cell r="J320">
            <v>66200</v>
          </cell>
        </row>
        <row r="321">
          <cell r="I321" t="str">
            <v>CA0901</v>
          </cell>
          <cell r="J321">
            <v>48300</v>
          </cell>
        </row>
        <row r="322">
          <cell r="I322" t="str">
            <v>CA0001</v>
          </cell>
          <cell r="J322">
            <v>62000</v>
          </cell>
        </row>
        <row r="323">
          <cell r="I323" t="str">
            <v>CA0002</v>
          </cell>
          <cell r="J323">
            <v>172200</v>
          </cell>
        </row>
        <row r="324">
          <cell r="I324" t="str">
            <v>CA0110</v>
          </cell>
          <cell r="J324">
            <v>105000</v>
          </cell>
        </row>
        <row r="325">
          <cell r="I325" t="str">
            <v>CA1003</v>
          </cell>
          <cell r="J325">
            <v>44100</v>
          </cell>
        </row>
        <row r="326">
          <cell r="I326" t="str">
            <v>CA1004</v>
          </cell>
          <cell r="J326">
            <v>44100</v>
          </cell>
        </row>
        <row r="327">
          <cell r="I327" t="str">
            <v>CA1005</v>
          </cell>
          <cell r="J327">
            <v>44000</v>
          </cell>
        </row>
        <row r="328">
          <cell r="I328" t="str">
            <v>CA120</v>
          </cell>
          <cell r="J328">
            <v>123900</v>
          </cell>
        </row>
        <row r="329">
          <cell r="I329" t="str">
            <v>CA0120</v>
          </cell>
          <cell r="J329">
            <v>62000</v>
          </cell>
        </row>
        <row r="330">
          <cell r="I330" t="str">
            <v>NF0060</v>
          </cell>
          <cell r="J330">
            <v>110300</v>
          </cell>
        </row>
        <row r="331">
          <cell r="I331" t="str">
            <v>NF0080</v>
          </cell>
          <cell r="J331">
            <v>122900</v>
          </cell>
        </row>
        <row r="332">
          <cell r="I332" t="str">
            <v>NF0100</v>
          </cell>
          <cell r="J332">
            <v>134400</v>
          </cell>
        </row>
        <row r="333">
          <cell r="I333" t="str">
            <v>NF0120</v>
          </cell>
          <cell r="J333">
            <v>144900</v>
          </cell>
        </row>
        <row r="334">
          <cell r="I334" t="str">
            <v>NF0062</v>
          </cell>
          <cell r="J334">
            <v>123900</v>
          </cell>
        </row>
        <row r="335">
          <cell r="I335" t="str">
            <v>NF0082</v>
          </cell>
          <cell r="J335">
            <v>135500</v>
          </cell>
        </row>
        <row r="336">
          <cell r="I336" t="str">
            <v>NF0102</v>
          </cell>
          <cell r="J336">
            <v>147000</v>
          </cell>
        </row>
        <row r="337">
          <cell r="I337" t="str">
            <v>NF0122</v>
          </cell>
          <cell r="J337">
            <v>159600</v>
          </cell>
        </row>
        <row r="338">
          <cell r="I338" t="str">
            <v>NF0065</v>
          </cell>
          <cell r="J338">
            <v>143900</v>
          </cell>
        </row>
        <row r="339">
          <cell r="I339" t="str">
            <v>NF0085</v>
          </cell>
          <cell r="J339">
            <v>161700</v>
          </cell>
        </row>
        <row r="340">
          <cell r="I340" t="str">
            <v>NF0105</v>
          </cell>
          <cell r="J340">
            <v>177500</v>
          </cell>
        </row>
        <row r="341">
          <cell r="I341" t="str">
            <v>NF0125</v>
          </cell>
          <cell r="J341">
            <v>195300</v>
          </cell>
        </row>
        <row r="342">
          <cell r="I342" t="str">
            <v>NF0068</v>
          </cell>
          <cell r="J342">
            <v>170100</v>
          </cell>
        </row>
        <row r="343">
          <cell r="I343" t="str">
            <v>NF0088</v>
          </cell>
          <cell r="J343">
            <v>195300</v>
          </cell>
        </row>
        <row r="344">
          <cell r="I344" t="str">
            <v>NF0108</v>
          </cell>
          <cell r="J344">
            <v>221600</v>
          </cell>
        </row>
        <row r="345">
          <cell r="I345" t="str">
            <v>NF0128</v>
          </cell>
          <cell r="J345">
            <v>245700</v>
          </cell>
        </row>
        <row r="346">
          <cell r="I346" t="str">
            <v>NF1082</v>
          </cell>
          <cell r="J346">
            <v>204800</v>
          </cell>
        </row>
        <row r="347">
          <cell r="I347" t="str">
            <v>NF1102</v>
          </cell>
          <cell r="J347">
            <v>231000</v>
          </cell>
        </row>
        <row r="348">
          <cell r="I348" t="str">
            <v>NF1085</v>
          </cell>
          <cell r="J348">
            <v>234200</v>
          </cell>
        </row>
        <row r="349">
          <cell r="I349" t="str">
            <v>NF1105</v>
          </cell>
          <cell r="J349">
            <v>273000</v>
          </cell>
        </row>
        <row r="350">
          <cell r="I350" t="str">
            <v>NF1088</v>
          </cell>
          <cell r="J350">
            <v>273000</v>
          </cell>
        </row>
        <row r="351">
          <cell r="I351" t="str">
            <v>NF1108</v>
          </cell>
          <cell r="J351">
            <v>321300</v>
          </cell>
        </row>
        <row r="352">
          <cell r="I352" t="str">
            <v>NF2085</v>
          </cell>
          <cell r="J352">
            <v>242600</v>
          </cell>
        </row>
        <row r="353">
          <cell r="I353" t="str">
            <v>NF2105</v>
          </cell>
          <cell r="J353">
            <v>281400</v>
          </cell>
        </row>
        <row r="354">
          <cell r="I354" t="str">
            <v>NF2088</v>
          </cell>
          <cell r="J354">
            <v>281400</v>
          </cell>
        </row>
        <row r="355">
          <cell r="I355" t="str">
            <v>NF2108</v>
          </cell>
          <cell r="J355">
            <v>329700</v>
          </cell>
        </row>
        <row r="356">
          <cell r="I356" t="str">
            <v>NF0060X</v>
          </cell>
          <cell r="J356">
            <v>114500</v>
          </cell>
        </row>
        <row r="357">
          <cell r="I357" t="str">
            <v>NF0080X</v>
          </cell>
          <cell r="J357">
            <v>128100</v>
          </cell>
        </row>
        <row r="358">
          <cell r="I358" t="str">
            <v>NF0100X</v>
          </cell>
          <cell r="J358">
            <v>138600</v>
          </cell>
        </row>
        <row r="359">
          <cell r="I359" t="str">
            <v>NF0120X</v>
          </cell>
          <cell r="J359">
            <v>150200</v>
          </cell>
        </row>
        <row r="360">
          <cell r="I360" t="str">
            <v>NA0001</v>
          </cell>
          <cell r="J360">
            <v>1600</v>
          </cell>
        </row>
        <row r="361">
          <cell r="I361" t="str">
            <v>NA0006</v>
          </cell>
          <cell r="J361">
            <v>11300</v>
          </cell>
        </row>
        <row r="362">
          <cell r="I362" t="str">
            <v>NA0008</v>
          </cell>
          <cell r="J362">
            <v>14500</v>
          </cell>
        </row>
        <row r="363">
          <cell r="I363" t="str">
            <v>NA0010</v>
          </cell>
          <cell r="J363">
            <v>17700</v>
          </cell>
        </row>
        <row r="364">
          <cell r="I364" t="str">
            <v>NA0012</v>
          </cell>
          <cell r="J364">
            <v>21000</v>
          </cell>
        </row>
        <row r="365">
          <cell r="I365" t="str">
            <v>NA0014</v>
          </cell>
          <cell r="J365">
            <v>24300</v>
          </cell>
        </row>
        <row r="366">
          <cell r="I366" t="str">
            <v>NA0016</v>
          </cell>
          <cell r="J366">
            <v>27500</v>
          </cell>
        </row>
        <row r="367">
          <cell r="I367" t="str">
            <v>NA0101</v>
          </cell>
          <cell r="J367">
            <v>14500</v>
          </cell>
        </row>
        <row r="368">
          <cell r="I368" t="str">
            <v>NA0102</v>
          </cell>
          <cell r="J368">
            <v>27500</v>
          </cell>
        </row>
        <row r="369">
          <cell r="I369" t="str">
            <v>NA0103</v>
          </cell>
          <cell r="J369">
            <v>16200</v>
          </cell>
        </row>
        <row r="370">
          <cell r="I370" t="str">
            <v>NA0104</v>
          </cell>
          <cell r="J370">
            <v>50100</v>
          </cell>
        </row>
        <row r="371">
          <cell r="I371" t="str">
            <v>NA0105</v>
          </cell>
          <cell r="J371">
            <v>14500</v>
          </cell>
        </row>
        <row r="372">
          <cell r="I372" t="str">
            <v>NA0106</v>
          </cell>
          <cell r="J372">
            <v>11300</v>
          </cell>
        </row>
        <row r="373">
          <cell r="I373" t="str">
            <v>NA0107</v>
          </cell>
          <cell r="J373">
            <v>11300</v>
          </cell>
        </row>
        <row r="374">
          <cell r="I374" t="str">
            <v>NF8001</v>
          </cell>
          <cell r="J374">
            <v>25700</v>
          </cell>
        </row>
        <row r="375">
          <cell r="I375" t="str">
            <v>NF8002</v>
          </cell>
          <cell r="J375">
            <v>3300</v>
          </cell>
        </row>
        <row r="376">
          <cell r="I376" t="str">
            <v>NF5109</v>
          </cell>
          <cell r="J376">
            <v>14700</v>
          </cell>
        </row>
        <row r="377">
          <cell r="I377" t="str">
            <v>NF5110</v>
          </cell>
          <cell r="J377">
            <v>16300</v>
          </cell>
        </row>
        <row r="378">
          <cell r="I378" t="str">
            <v>NF5112</v>
          </cell>
          <cell r="J378">
            <v>16300</v>
          </cell>
        </row>
        <row r="379">
          <cell r="I379" t="str">
            <v>NF5115</v>
          </cell>
          <cell r="J379">
            <v>21000</v>
          </cell>
        </row>
        <row r="380">
          <cell r="I380" t="str">
            <v>NF5118</v>
          </cell>
          <cell r="J380">
            <v>24200</v>
          </cell>
        </row>
        <row r="381">
          <cell r="I381" t="str">
            <v>NF5209</v>
          </cell>
          <cell r="J381">
            <v>17900</v>
          </cell>
        </row>
        <row r="382">
          <cell r="I382" t="str">
            <v>NF5210</v>
          </cell>
          <cell r="J382">
            <v>21000</v>
          </cell>
        </row>
        <row r="383">
          <cell r="I383" t="str">
            <v>NF5212</v>
          </cell>
          <cell r="J383">
            <v>21000</v>
          </cell>
        </row>
        <row r="384">
          <cell r="I384" t="str">
            <v>NF5215</v>
          </cell>
          <cell r="J384">
            <v>24200</v>
          </cell>
        </row>
        <row r="385">
          <cell r="I385" t="str">
            <v>NF5218</v>
          </cell>
          <cell r="J385">
            <v>27300</v>
          </cell>
        </row>
        <row r="386">
          <cell r="I386" t="str">
            <v>NF5309</v>
          </cell>
          <cell r="J386">
            <v>14700</v>
          </cell>
        </row>
        <row r="387">
          <cell r="I387" t="str">
            <v>NF5310</v>
          </cell>
          <cell r="J387">
            <v>16300</v>
          </cell>
        </row>
        <row r="388">
          <cell r="I388" t="str">
            <v>NF5312</v>
          </cell>
          <cell r="J388">
            <v>16300</v>
          </cell>
        </row>
        <row r="389">
          <cell r="I389" t="str">
            <v>NF5315</v>
          </cell>
          <cell r="J389">
            <v>21000</v>
          </cell>
        </row>
        <row r="390">
          <cell r="I390" t="str">
            <v>NF5318</v>
          </cell>
          <cell r="J390">
            <v>24200</v>
          </cell>
        </row>
        <row r="391">
          <cell r="I391" t="str">
            <v>NF5409</v>
          </cell>
          <cell r="J391">
            <v>14700</v>
          </cell>
        </row>
        <row r="392">
          <cell r="I392" t="str">
            <v>NF5410</v>
          </cell>
          <cell r="J392">
            <v>16300</v>
          </cell>
        </row>
        <row r="393">
          <cell r="I393" t="str">
            <v>NF5412</v>
          </cell>
          <cell r="J393">
            <v>16300</v>
          </cell>
        </row>
        <row r="394">
          <cell r="I394" t="str">
            <v>NF5415</v>
          </cell>
          <cell r="J394">
            <v>21000</v>
          </cell>
        </row>
        <row r="395">
          <cell r="I395" t="str">
            <v>NF5418</v>
          </cell>
          <cell r="J395">
            <v>24200</v>
          </cell>
        </row>
        <row r="396">
          <cell r="I396" t="str">
            <v>NF5500</v>
          </cell>
          <cell r="J396">
            <v>11600</v>
          </cell>
        </row>
        <row r="397">
          <cell r="I397" t="str">
            <v>NF5600</v>
          </cell>
          <cell r="J397">
            <v>11600</v>
          </cell>
        </row>
        <row r="398">
          <cell r="I398" t="str">
            <v>NF6009</v>
          </cell>
          <cell r="J398">
            <v>3200</v>
          </cell>
        </row>
        <row r="399">
          <cell r="I399" t="str">
            <v>NF6010</v>
          </cell>
          <cell r="J399">
            <v>3200</v>
          </cell>
        </row>
        <row r="400">
          <cell r="I400" t="str">
            <v>NF6012</v>
          </cell>
          <cell r="J400">
            <v>3200</v>
          </cell>
        </row>
        <row r="401">
          <cell r="I401" t="str">
            <v>NF6015</v>
          </cell>
          <cell r="J401">
            <v>4700</v>
          </cell>
        </row>
        <row r="402">
          <cell r="I402" t="str">
            <v>NF6018</v>
          </cell>
          <cell r="J402">
            <v>4700</v>
          </cell>
        </row>
        <row r="403">
          <cell r="I403" t="str">
            <v>NF6103</v>
          </cell>
          <cell r="J403">
            <v>1600</v>
          </cell>
        </row>
        <row r="404">
          <cell r="I404" t="str">
            <v>NF6106</v>
          </cell>
          <cell r="J404">
            <v>1600</v>
          </cell>
        </row>
        <row r="405">
          <cell r="I405" t="str">
            <v>NF6109</v>
          </cell>
          <cell r="J405">
            <v>3200</v>
          </cell>
        </row>
        <row r="406">
          <cell r="I406" t="str">
            <v>NF6303</v>
          </cell>
          <cell r="J406">
            <v>9500</v>
          </cell>
        </row>
        <row r="407">
          <cell r="I407" t="str">
            <v>NF6306</v>
          </cell>
          <cell r="J407">
            <v>11600</v>
          </cell>
        </row>
        <row r="408">
          <cell r="I408" t="str">
            <v>NF6309</v>
          </cell>
          <cell r="J408">
            <v>13100</v>
          </cell>
        </row>
        <row r="409">
          <cell r="I409" t="str">
            <v>NF6403</v>
          </cell>
          <cell r="J409">
            <v>9500</v>
          </cell>
        </row>
        <row r="410">
          <cell r="I410" t="str">
            <v>NF6406</v>
          </cell>
          <cell r="J410">
            <v>11600</v>
          </cell>
        </row>
        <row r="411">
          <cell r="I411" t="str">
            <v>NF6409</v>
          </cell>
          <cell r="J411">
            <v>12600</v>
          </cell>
        </row>
        <row r="412">
          <cell r="I412" t="str">
            <v>NT8001</v>
          </cell>
          <cell r="J412">
            <v>17900</v>
          </cell>
        </row>
        <row r="413">
          <cell r="I413" t="str">
            <v>NT0006</v>
          </cell>
          <cell r="J413">
            <v>66200</v>
          </cell>
        </row>
        <row r="414">
          <cell r="I414" t="str">
            <v>NT0008</v>
          </cell>
          <cell r="J414">
            <v>74600</v>
          </cell>
        </row>
        <row r="415">
          <cell r="I415" t="str">
            <v>NT0010</v>
          </cell>
          <cell r="J415">
            <v>87200</v>
          </cell>
        </row>
        <row r="416">
          <cell r="I416" t="str">
            <v>NT0012</v>
          </cell>
          <cell r="J416">
            <v>92400</v>
          </cell>
        </row>
        <row r="417">
          <cell r="I417" t="str">
            <v>NT0016</v>
          </cell>
          <cell r="J417">
            <v>123900</v>
          </cell>
        </row>
        <row r="418">
          <cell r="I418" t="str">
            <v>NT0018</v>
          </cell>
          <cell r="J418">
            <v>140700</v>
          </cell>
        </row>
        <row r="419">
          <cell r="I419" t="str">
            <v>NT0106</v>
          </cell>
          <cell r="J419">
            <v>54600</v>
          </cell>
        </row>
        <row r="420">
          <cell r="I420" t="str">
            <v>NT0108</v>
          </cell>
          <cell r="J420">
            <v>63000</v>
          </cell>
        </row>
        <row r="421">
          <cell r="I421" t="str">
            <v>NT0110</v>
          </cell>
          <cell r="J421">
            <v>72500</v>
          </cell>
        </row>
        <row r="422">
          <cell r="I422" t="str">
            <v>NT0112</v>
          </cell>
          <cell r="J422">
            <v>75600</v>
          </cell>
        </row>
        <row r="423">
          <cell r="I423" t="str">
            <v>NT0116</v>
          </cell>
          <cell r="J423">
            <v>102900</v>
          </cell>
        </row>
        <row r="424">
          <cell r="I424" t="str">
            <v>NT0118</v>
          </cell>
          <cell r="J424">
            <v>116600</v>
          </cell>
        </row>
        <row r="425">
          <cell r="I425" t="str">
            <v>NT0100</v>
          </cell>
          <cell r="J425">
            <v>63000</v>
          </cell>
        </row>
        <row r="426">
          <cell r="I426" t="str">
            <v>NT0000</v>
          </cell>
          <cell r="J426">
            <v>72500</v>
          </cell>
        </row>
        <row r="427">
          <cell r="I427" t="str">
            <v>NT2004</v>
          </cell>
          <cell r="J427">
            <v>39900</v>
          </cell>
        </row>
        <row r="428">
          <cell r="I428" t="str">
            <v>NT2006</v>
          </cell>
          <cell r="J428">
            <v>45200</v>
          </cell>
        </row>
        <row r="429">
          <cell r="I429" t="str">
            <v>NT2008</v>
          </cell>
          <cell r="J429">
            <v>53600</v>
          </cell>
        </row>
        <row r="430">
          <cell r="I430" t="str">
            <v>NT2010</v>
          </cell>
          <cell r="J430">
            <v>63000</v>
          </cell>
        </row>
        <row r="431">
          <cell r="I431" t="str">
            <v>NT2012</v>
          </cell>
          <cell r="J431">
            <v>66200</v>
          </cell>
        </row>
        <row r="432">
          <cell r="I432" t="str">
            <v>NT2014</v>
          </cell>
          <cell r="J432">
            <v>81900</v>
          </cell>
        </row>
        <row r="433">
          <cell r="I433" t="str">
            <v>NT2016</v>
          </cell>
          <cell r="J433">
            <v>92400</v>
          </cell>
        </row>
        <row r="434">
          <cell r="I434" t="str">
            <v>NT2018</v>
          </cell>
          <cell r="J434">
            <v>95600</v>
          </cell>
        </row>
        <row r="435">
          <cell r="I435" t="str">
            <v>NT2122</v>
          </cell>
          <cell r="J435">
            <v>26300</v>
          </cell>
        </row>
        <row r="436">
          <cell r="I436" t="str">
            <v>NT2206</v>
          </cell>
          <cell r="J436">
            <v>53600</v>
          </cell>
        </row>
        <row r="437">
          <cell r="I437" t="str">
            <v>NT2208</v>
          </cell>
          <cell r="J437">
            <v>59900</v>
          </cell>
        </row>
        <row r="438">
          <cell r="I438" t="str">
            <v>NT2210</v>
          </cell>
          <cell r="J438">
            <v>66200</v>
          </cell>
        </row>
        <row r="439">
          <cell r="I439" t="str">
            <v>NT2212</v>
          </cell>
          <cell r="J439">
            <v>75600</v>
          </cell>
        </row>
        <row r="440">
          <cell r="I440" t="str">
            <v>NT2308</v>
          </cell>
          <cell r="J440">
            <v>45200</v>
          </cell>
        </row>
        <row r="441">
          <cell r="I441" t="str">
            <v>NT912</v>
          </cell>
          <cell r="J441">
            <v>84000</v>
          </cell>
        </row>
        <row r="442">
          <cell r="I442" t="str">
            <v>NT916</v>
          </cell>
          <cell r="J442">
            <v>129200</v>
          </cell>
        </row>
        <row r="443">
          <cell r="I443" t="str">
            <v>NT918</v>
          </cell>
          <cell r="J443">
            <v>153300</v>
          </cell>
        </row>
        <row r="444">
          <cell r="I444" t="str">
            <v>NT966</v>
          </cell>
          <cell r="J444">
            <v>112400</v>
          </cell>
        </row>
        <row r="445">
          <cell r="I445" t="str">
            <v>NT988</v>
          </cell>
          <cell r="J445">
            <v>143900</v>
          </cell>
        </row>
        <row r="446">
          <cell r="I446" t="str">
            <v>NT5566</v>
          </cell>
          <cell r="J446">
            <v>119700</v>
          </cell>
        </row>
        <row r="447">
          <cell r="I447" t="str">
            <v>NT5586R</v>
          </cell>
          <cell r="J447">
            <v>137600</v>
          </cell>
        </row>
        <row r="448">
          <cell r="I448" t="str">
            <v>NT5586L</v>
          </cell>
          <cell r="J448">
            <v>137600</v>
          </cell>
        </row>
        <row r="449">
          <cell r="I449" t="str">
            <v>NT5588</v>
          </cell>
          <cell r="J449">
            <v>144900</v>
          </cell>
        </row>
        <row r="450">
          <cell r="I450" t="str">
            <v>NT5806R</v>
          </cell>
          <cell r="J450">
            <v>80900</v>
          </cell>
        </row>
        <row r="451">
          <cell r="I451" t="str">
            <v>NT5806L</v>
          </cell>
          <cell r="J451">
            <v>80900</v>
          </cell>
        </row>
        <row r="452">
          <cell r="I452" t="str">
            <v>NT5266</v>
          </cell>
          <cell r="J452">
            <v>150200</v>
          </cell>
        </row>
        <row r="453">
          <cell r="I453" t="str">
            <v>NT5288</v>
          </cell>
          <cell r="J453">
            <v>155400</v>
          </cell>
        </row>
        <row r="454">
          <cell r="I454" t="str">
            <v>NT3006</v>
          </cell>
          <cell r="J454">
            <v>30500</v>
          </cell>
        </row>
        <row r="455">
          <cell r="I455" t="str">
            <v>NT3008</v>
          </cell>
          <cell r="J455">
            <v>35700</v>
          </cell>
        </row>
        <row r="456">
          <cell r="I456" t="str">
            <v>NT3010</v>
          </cell>
          <cell r="J456">
            <v>39900</v>
          </cell>
        </row>
        <row r="457">
          <cell r="I457" t="str">
            <v>NT3012</v>
          </cell>
          <cell r="J457">
            <v>45200</v>
          </cell>
        </row>
        <row r="458">
          <cell r="I458" t="str">
            <v>NT3306</v>
          </cell>
          <cell r="J458">
            <v>90300</v>
          </cell>
        </row>
        <row r="459">
          <cell r="I459" t="str">
            <v>NT3308</v>
          </cell>
          <cell r="J459">
            <v>99800</v>
          </cell>
        </row>
        <row r="460">
          <cell r="I460" t="str">
            <v>NT3310</v>
          </cell>
          <cell r="J460">
            <v>119700</v>
          </cell>
        </row>
        <row r="461">
          <cell r="I461" t="str">
            <v>NT3312</v>
          </cell>
          <cell r="J461">
            <v>161700</v>
          </cell>
        </row>
        <row r="462">
          <cell r="I462" t="str">
            <v>NA0206</v>
          </cell>
          <cell r="J462">
            <v>6500</v>
          </cell>
        </row>
        <row r="463">
          <cell r="I463" t="str">
            <v>NA0208</v>
          </cell>
          <cell r="J463">
            <v>6500</v>
          </cell>
        </row>
        <row r="464">
          <cell r="I464" t="str">
            <v>NA0210</v>
          </cell>
          <cell r="J464">
            <v>8100</v>
          </cell>
        </row>
        <row r="465">
          <cell r="I465" t="str">
            <v>NA0212</v>
          </cell>
          <cell r="J465">
            <v>8100</v>
          </cell>
        </row>
        <row r="466">
          <cell r="I466" t="str">
            <v>NA0300</v>
          </cell>
          <cell r="J466">
            <v>4800</v>
          </cell>
        </row>
        <row r="467">
          <cell r="I467" t="str">
            <v>NA0400</v>
          </cell>
          <cell r="J467">
            <v>1300</v>
          </cell>
        </row>
        <row r="468">
          <cell r="I468" t="str">
            <v>CH0001</v>
          </cell>
          <cell r="J468">
            <v>39900</v>
          </cell>
        </row>
        <row r="469">
          <cell r="I469" t="str">
            <v>CH0002</v>
          </cell>
          <cell r="J469">
            <v>75600</v>
          </cell>
        </row>
        <row r="470">
          <cell r="I470" t="str">
            <v>CH0003</v>
          </cell>
          <cell r="J470">
            <v>65100</v>
          </cell>
        </row>
        <row r="471">
          <cell r="I471" t="str">
            <v>CH0004</v>
          </cell>
          <cell r="J471">
            <v>80900</v>
          </cell>
        </row>
        <row r="472">
          <cell r="I472" t="str">
            <v>CH0005</v>
          </cell>
          <cell r="J472">
            <v>158600</v>
          </cell>
        </row>
        <row r="473">
          <cell r="I473" t="str">
            <v>CH0005R</v>
          </cell>
          <cell r="J473">
            <v>13700</v>
          </cell>
        </row>
        <row r="474">
          <cell r="I474" t="str">
            <v>CH0005T</v>
          </cell>
          <cell r="J474">
            <v>34700</v>
          </cell>
        </row>
        <row r="475">
          <cell r="I475" t="str">
            <v>CH0007</v>
          </cell>
          <cell r="J475">
            <v>94500</v>
          </cell>
        </row>
        <row r="476">
          <cell r="I476" t="str">
            <v>CH0007천</v>
          </cell>
          <cell r="J476">
            <v>113400</v>
          </cell>
        </row>
        <row r="477">
          <cell r="I477" t="str">
            <v>CH0007B</v>
          </cell>
          <cell r="J477">
            <v>55700</v>
          </cell>
        </row>
        <row r="478">
          <cell r="I478" t="str">
            <v>CH0007B천</v>
          </cell>
          <cell r="J478">
            <v>75600</v>
          </cell>
        </row>
        <row r="479">
          <cell r="I479" t="str">
            <v>CH0007T</v>
          </cell>
          <cell r="J479">
            <v>27300</v>
          </cell>
        </row>
        <row r="480">
          <cell r="I480" t="str">
            <v>CH0007A</v>
          </cell>
          <cell r="J480">
            <v>10700</v>
          </cell>
        </row>
        <row r="481">
          <cell r="I481" t="str">
            <v>CH0007S</v>
          </cell>
          <cell r="J481">
            <v>27300</v>
          </cell>
        </row>
        <row r="482">
          <cell r="I482" t="str">
            <v>CH0007C</v>
          </cell>
          <cell r="J482">
            <v>26800</v>
          </cell>
        </row>
        <row r="483">
          <cell r="I483" t="str">
            <v>CH0007N</v>
          </cell>
          <cell r="J483">
            <v>500</v>
          </cell>
        </row>
        <row r="484">
          <cell r="I484" t="str">
            <v>CH0100</v>
          </cell>
          <cell r="J484">
            <v>602700</v>
          </cell>
        </row>
        <row r="485">
          <cell r="I485" t="str">
            <v>CH0101</v>
          </cell>
          <cell r="J485">
            <v>383300</v>
          </cell>
        </row>
        <row r="486">
          <cell r="I486" t="str">
            <v>CH0111</v>
          </cell>
          <cell r="J486">
            <v>254100</v>
          </cell>
        </row>
        <row r="487">
          <cell r="I487" t="str">
            <v>CH0200</v>
          </cell>
          <cell r="J487">
            <v>326600</v>
          </cell>
        </row>
        <row r="488">
          <cell r="I488" t="str">
            <v>CH0201</v>
          </cell>
          <cell r="J488">
            <v>302400</v>
          </cell>
        </row>
        <row r="489">
          <cell r="I489" t="str">
            <v>CH0211</v>
          </cell>
          <cell r="J489">
            <v>246800</v>
          </cell>
        </row>
        <row r="490">
          <cell r="I490" t="str">
            <v>CH0300</v>
          </cell>
          <cell r="J490">
            <v>153300</v>
          </cell>
        </row>
        <row r="491">
          <cell r="I491" t="str">
            <v>CH0303</v>
          </cell>
          <cell r="J491">
            <v>152300</v>
          </cell>
        </row>
        <row r="492">
          <cell r="I492" t="str">
            <v>CH0301</v>
          </cell>
          <cell r="J492">
            <v>135500</v>
          </cell>
        </row>
        <row r="493">
          <cell r="I493" t="str">
            <v>CH0302</v>
          </cell>
          <cell r="J493">
            <v>117600</v>
          </cell>
        </row>
        <row r="494">
          <cell r="I494" t="str">
            <v>CH0311</v>
          </cell>
          <cell r="J494">
            <v>98700</v>
          </cell>
        </row>
        <row r="495">
          <cell r="I495" t="str">
            <v>CH0300B</v>
          </cell>
          <cell r="J495">
            <v>170100</v>
          </cell>
        </row>
        <row r="496">
          <cell r="I496" t="str">
            <v>CH0301B</v>
          </cell>
          <cell r="J496">
            <v>143900</v>
          </cell>
        </row>
        <row r="497">
          <cell r="I497" t="str">
            <v>CH0311B</v>
          </cell>
          <cell r="J497">
            <v>119700</v>
          </cell>
        </row>
        <row r="498">
          <cell r="I498" t="str">
            <v>CH0332</v>
          </cell>
          <cell r="J498">
            <v>185900</v>
          </cell>
        </row>
        <row r="499">
          <cell r="I499" t="str">
            <v>CH0333</v>
          </cell>
          <cell r="J499">
            <v>257300</v>
          </cell>
        </row>
        <row r="500">
          <cell r="I500" t="str">
            <v>CH0332S</v>
          </cell>
          <cell r="J500">
            <v>210000</v>
          </cell>
        </row>
        <row r="501">
          <cell r="I501" t="str">
            <v>CH0032</v>
          </cell>
          <cell r="J501">
            <v>98100</v>
          </cell>
        </row>
        <row r="502">
          <cell r="I502" t="str">
            <v>CH0033</v>
          </cell>
          <cell r="J502">
            <v>126000</v>
          </cell>
        </row>
        <row r="503">
          <cell r="I503" t="str">
            <v>CH0032S</v>
          </cell>
          <cell r="J503">
            <v>120800</v>
          </cell>
        </row>
        <row r="504">
          <cell r="I504" t="str">
            <v>CH0342</v>
          </cell>
          <cell r="J504">
            <v>120800</v>
          </cell>
        </row>
        <row r="505">
          <cell r="I505" t="str">
            <v>CH0342S</v>
          </cell>
          <cell r="J505">
            <v>147000</v>
          </cell>
        </row>
        <row r="506">
          <cell r="I506" t="str">
            <v>CH0343</v>
          </cell>
          <cell r="J506">
            <v>159600</v>
          </cell>
        </row>
        <row r="507">
          <cell r="I507" t="str">
            <v>CH0401</v>
          </cell>
          <cell r="J507">
            <v>219500</v>
          </cell>
        </row>
        <row r="508">
          <cell r="I508" t="str">
            <v>CH0402</v>
          </cell>
          <cell r="J508">
            <v>189000</v>
          </cell>
        </row>
        <row r="509">
          <cell r="I509" t="str">
            <v>CH0411</v>
          </cell>
          <cell r="J509">
            <v>135500</v>
          </cell>
        </row>
        <row r="510">
          <cell r="I510" t="str">
            <v>CH0491</v>
          </cell>
          <cell r="J510">
            <v>23100</v>
          </cell>
        </row>
        <row r="511">
          <cell r="I511" t="str">
            <v>CH0500</v>
          </cell>
          <cell r="J511">
            <v>170100</v>
          </cell>
        </row>
        <row r="512">
          <cell r="I512" t="str">
            <v>CH0501</v>
          </cell>
          <cell r="J512">
            <v>159600</v>
          </cell>
        </row>
        <row r="513">
          <cell r="I513" t="str">
            <v>CH0502</v>
          </cell>
          <cell r="J513">
            <v>150200</v>
          </cell>
        </row>
        <row r="514">
          <cell r="I514" t="str">
            <v>CH0511</v>
          </cell>
          <cell r="J514">
            <v>107100</v>
          </cell>
        </row>
        <row r="515">
          <cell r="I515" t="str">
            <v>CH0600</v>
          </cell>
          <cell r="J515">
            <v>221600</v>
          </cell>
        </row>
        <row r="516">
          <cell r="I516" t="str">
            <v>CH0601</v>
          </cell>
          <cell r="J516">
            <v>201600</v>
          </cell>
        </row>
        <row r="517">
          <cell r="I517" t="str">
            <v>CH0602</v>
          </cell>
          <cell r="J517">
            <v>177500</v>
          </cell>
        </row>
        <row r="518">
          <cell r="I518" t="str">
            <v>CH0611</v>
          </cell>
          <cell r="J518">
            <v>159600</v>
          </cell>
        </row>
        <row r="519">
          <cell r="I519" t="str">
            <v>CH0701</v>
          </cell>
          <cell r="J519">
            <v>120800</v>
          </cell>
        </row>
        <row r="520">
          <cell r="I520" t="str">
            <v>CH0702</v>
          </cell>
          <cell r="J520">
            <v>102900</v>
          </cell>
        </row>
        <row r="521">
          <cell r="I521" t="str">
            <v>CH0712</v>
          </cell>
          <cell r="J521">
            <v>78800</v>
          </cell>
        </row>
        <row r="522">
          <cell r="I522" t="str">
            <v>CH0801</v>
          </cell>
          <cell r="J522">
            <v>108200</v>
          </cell>
        </row>
        <row r="523">
          <cell r="I523" t="str">
            <v>CH0802</v>
          </cell>
          <cell r="J523">
            <v>90300</v>
          </cell>
        </row>
        <row r="524">
          <cell r="I524" t="str">
            <v>CH0812</v>
          </cell>
          <cell r="J524">
            <v>66200</v>
          </cell>
        </row>
        <row r="525">
          <cell r="I525" t="str">
            <v>CH0900</v>
          </cell>
          <cell r="J525">
            <v>798000</v>
          </cell>
        </row>
        <row r="526">
          <cell r="I526" t="str">
            <v>CH0901</v>
          </cell>
          <cell r="J526">
            <v>707700</v>
          </cell>
        </row>
        <row r="527">
          <cell r="I527" t="str">
            <v>CH0911</v>
          </cell>
          <cell r="J527">
            <v>614300</v>
          </cell>
        </row>
        <row r="528">
          <cell r="I528" t="str">
            <v>CH1000</v>
          </cell>
          <cell r="J528">
            <v>882000</v>
          </cell>
        </row>
        <row r="529">
          <cell r="I529" t="str">
            <v>CH1001</v>
          </cell>
          <cell r="J529">
            <v>764400</v>
          </cell>
        </row>
        <row r="530">
          <cell r="I530" t="str">
            <v>CH9000</v>
          </cell>
          <cell r="J530">
            <v>3011400</v>
          </cell>
        </row>
        <row r="531">
          <cell r="I531" t="str">
            <v>CH9901</v>
          </cell>
          <cell r="J531">
            <v>45200</v>
          </cell>
        </row>
        <row r="532">
          <cell r="I532" t="str">
            <v>CH9903</v>
          </cell>
          <cell r="J532">
            <v>45200</v>
          </cell>
        </row>
        <row r="533">
          <cell r="I533" t="str">
            <v>CH9905</v>
          </cell>
          <cell r="J533">
            <v>66200</v>
          </cell>
        </row>
        <row r="534">
          <cell r="I534" t="str">
            <v>CH0907</v>
          </cell>
          <cell r="J534">
            <v>102900</v>
          </cell>
        </row>
        <row r="535">
          <cell r="I535" t="str">
            <v>CH9917</v>
          </cell>
          <cell r="J535">
            <v>210000</v>
          </cell>
        </row>
        <row r="536">
          <cell r="I536" t="str">
            <v>CS0101</v>
          </cell>
          <cell r="J536">
            <v>219500</v>
          </cell>
        </row>
        <row r="537">
          <cell r="I537" t="str">
            <v>CS0103</v>
          </cell>
          <cell r="J537">
            <v>392700</v>
          </cell>
        </row>
        <row r="538">
          <cell r="I538" t="str">
            <v>CS0301</v>
          </cell>
          <cell r="J538">
            <v>258300</v>
          </cell>
        </row>
        <row r="539">
          <cell r="I539" t="str">
            <v>CS0303</v>
          </cell>
          <cell r="J539">
            <v>449400</v>
          </cell>
        </row>
        <row r="540">
          <cell r="I540" t="str">
            <v>CS401천연</v>
          </cell>
          <cell r="J540">
            <v>407400</v>
          </cell>
        </row>
        <row r="541">
          <cell r="I541" t="str">
            <v>CS401인조</v>
          </cell>
          <cell r="J541">
            <v>300300</v>
          </cell>
        </row>
        <row r="542">
          <cell r="I542" t="str">
            <v>CS0501</v>
          </cell>
          <cell r="J542">
            <v>197400</v>
          </cell>
        </row>
        <row r="543">
          <cell r="I543" t="str">
            <v>CS0503</v>
          </cell>
          <cell r="J543">
            <v>329700</v>
          </cell>
        </row>
        <row r="544">
          <cell r="I544" t="str">
            <v>CS0601</v>
          </cell>
          <cell r="J544">
            <v>246800</v>
          </cell>
        </row>
        <row r="545">
          <cell r="I545" t="str">
            <v>CS0603</v>
          </cell>
          <cell r="J545">
            <v>411600</v>
          </cell>
        </row>
        <row r="546">
          <cell r="I546" t="str">
            <v>CS0701</v>
          </cell>
          <cell r="J546">
            <v>305600</v>
          </cell>
        </row>
        <row r="547">
          <cell r="I547" t="str">
            <v>CS0703</v>
          </cell>
          <cell r="J547">
            <v>483000</v>
          </cell>
        </row>
        <row r="548">
          <cell r="I548" t="str">
            <v>CS0801천연</v>
          </cell>
          <cell r="J548">
            <v>909300</v>
          </cell>
        </row>
        <row r="549">
          <cell r="I549" t="str">
            <v>CS0803천연</v>
          </cell>
          <cell r="J549">
            <v>357000</v>
          </cell>
        </row>
        <row r="550">
          <cell r="I550" t="str">
            <v>CS0801인조</v>
          </cell>
          <cell r="J550">
            <v>1494200</v>
          </cell>
        </row>
        <row r="551">
          <cell r="I551" t="str">
            <v>CS0803인조</v>
          </cell>
          <cell r="J551">
            <v>576500</v>
          </cell>
        </row>
        <row r="552">
          <cell r="I552" t="str">
            <v>CS0901</v>
          </cell>
          <cell r="J552">
            <v>906200</v>
          </cell>
        </row>
        <row r="553">
          <cell r="I553" t="str">
            <v>CS0902</v>
          </cell>
          <cell r="J553">
            <v>1107800</v>
          </cell>
        </row>
        <row r="554">
          <cell r="I554" t="str">
            <v>CS0903</v>
          </cell>
          <cell r="J554">
            <v>1434300</v>
          </cell>
        </row>
        <row r="555">
          <cell r="I555" t="str">
            <v>CS1001</v>
          </cell>
          <cell r="J555">
            <v>945000</v>
          </cell>
        </row>
        <row r="556">
          <cell r="I556" t="str">
            <v>CS1002</v>
          </cell>
          <cell r="J556">
            <v>1211700</v>
          </cell>
        </row>
        <row r="557">
          <cell r="I557" t="str">
            <v>CS1003</v>
          </cell>
          <cell r="J557">
            <v>1530900</v>
          </cell>
        </row>
        <row r="558">
          <cell r="I558" t="str">
            <v>EL0104</v>
          </cell>
          <cell r="J558">
            <v>68300</v>
          </cell>
        </row>
        <row r="559">
          <cell r="I559" t="str">
            <v>EL0112</v>
          </cell>
          <cell r="J559">
            <v>98700</v>
          </cell>
        </row>
        <row r="560">
          <cell r="I560" t="str">
            <v>CL0204</v>
          </cell>
          <cell r="J560">
            <v>90300</v>
          </cell>
        </row>
        <row r="561">
          <cell r="I561" t="str">
            <v>CL0207</v>
          </cell>
          <cell r="J561">
            <v>86100</v>
          </cell>
        </row>
        <row r="562">
          <cell r="I562" t="str">
            <v>CL0212</v>
          </cell>
          <cell r="J562">
            <v>107100</v>
          </cell>
        </row>
        <row r="563">
          <cell r="I563" t="str">
            <v>CL034</v>
          </cell>
          <cell r="J563">
            <v>153300</v>
          </cell>
        </row>
        <row r="564">
          <cell r="I564" t="str">
            <v>CL031</v>
          </cell>
          <cell r="J564">
            <v>183800</v>
          </cell>
        </row>
        <row r="565">
          <cell r="I565" t="str">
            <v>CL046</v>
          </cell>
          <cell r="J565">
            <v>174300</v>
          </cell>
        </row>
        <row r="566">
          <cell r="I566" t="str">
            <v>CL044</v>
          </cell>
          <cell r="J566">
            <v>185900</v>
          </cell>
        </row>
        <row r="567">
          <cell r="I567" t="str">
            <v>CL041</v>
          </cell>
          <cell r="J567">
            <v>243600</v>
          </cell>
        </row>
        <row r="568">
          <cell r="I568" t="str">
            <v>CL056</v>
          </cell>
          <cell r="J568">
            <v>117600</v>
          </cell>
        </row>
        <row r="569">
          <cell r="I569" t="str">
            <v>CL054</v>
          </cell>
          <cell r="J569">
            <v>129200</v>
          </cell>
        </row>
        <row r="570">
          <cell r="I570" t="str">
            <v>CL051</v>
          </cell>
          <cell r="J570">
            <v>185900</v>
          </cell>
        </row>
        <row r="571">
          <cell r="I571" t="str">
            <v>PL0904</v>
          </cell>
          <cell r="J571">
            <v>245700</v>
          </cell>
        </row>
        <row r="572">
          <cell r="I572" t="str">
            <v>PL0908</v>
          </cell>
          <cell r="J572">
            <v>227900</v>
          </cell>
        </row>
        <row r="573">
          <cell r="I573" t="str">
            <v>PL0912</v>
          </cell>
          <cell r="J573">
            <v>261500</v>
          </cell>
        </row>
        <row r="574">
          <cell r="I574" t="str">
            <v>PL0914</v>
          </cell>
          <cell r="J574">
            <v>297200</v>
          </cell>
        </row>
        <row r="575">
          <cell r="I575" t="str">
            <v>AT0106</v>
          </cell>
          <cell r="J575">
            <v>54600</v>
          </cell>
        </row>
        <row r="576">
          <cell r="I576" t="str">
            <v>AT0108</v>
          </cell>
          <cell r="J576">
            <v>63000</v>
          </cell>
        </row>
        <row r="577">
          <cell r="I577" t="str">
            <v>AT0110</v>
          </cell>
          <cell r="J577">
            <v>72500</v>
          </cell>
        </row>
        <row r="578">
          <cell r="I578" t="str">
            <v>AT0112</v>
          </cell>
          <cell r="J578">
            <v>75600</v>
          </cell>
        </row>
        <row r="579">
          <cell r="I579" t="str">
            <v>AT0114</v>
          </cell>
          <cell r="J579">
            <v>87200</v>
          </cell>
        </row>
        <row r="580">
          <cell r="I580" t="str">
            <v>AT0116</v>
          </cell>
          <cell r="J580">
            <v>102900</v>
          </cell>
        </row>
        <row r="581">
          <cell r="I581" t="str">
            <v>AT0118</v>
          </cell>
          <cell r="J581">
            <v>116600</v>
          </cell>
        </row>
        <row r="582">
          <cell r="I582" t="str">
            <v>AT0006</v>
          </cell>
          <cell r="J582">
            <v>66200</v>
          </cell>
        </row>
        <row r="583">
          <cell r="I583" t="str">
            <v>AT0008</v>
          </cell>
          <cell r="J583">
            <v>74600</v>
          </cell>
        </row>
        <row r="584">
          <cell r="I584" t="str">
            <v>AT0010</v>
          </cell>
          <cell r="J584">
            <v>87200</v>
          </cell>
        </row>
        <row r="585">
          <cell r="I585" t="str">
            <v>AT0012</v>
          </cell>
          <cell r="J585">
            <v>92400</v>
          </cell>
        </row>
        <row r="586">
          <cell r="I586" t="str">
            <v>AT0014</v>
          </cell>
          <cell r="J586">
            <v>110300</v>
          </cell>
        </row>
        <row r="587">
          <cell r="I587" t="str">
            <v>AT0016</v>
          </cell>
          <cell r="J587">
            <v>123900</v>
          </cell>
        </row>
        <row r="588">
          <cell r="I588" t="str">
            <v>AT0018</v>
          </cell>
          <cell r="J588">
            <v>140700</v>
          </cell>
        </row>
        <row r="589">
          <cell r="I589" t="str">
            <v>AT0000R</v>
          </cell>
          <cell r="J589">
            <v>56700</v>
          </cell>
        </row>
        <row r="590">
          <cell r="I590" t="str">
            <v>AT0000L</v>
          </cell>
          <cell r="J590">
            <v>56700</v>
          </cell>
        </row>
        <row r="591">
          <cell r="I591" t="str">
            <v>AT0100R</v>
          </cell>
          <cell r="J591">
            <v>45200</v>
          </cell>
        </row>
        <row r="592">
          <cell r="I592" t="str">
            <v>AT0100L</v>
          </cell>
          <cell r="J592">
            <v>45200</v>
          </cell>
        </row>
        <row r="593">
          <cell r="I593" t="str">
            <v>AT5066</v>
          </cell>
          <cell r="J593">
            <v>128100</v>
          </cell>
        </row>
        <row r="594">
          <cell r="I594" t="str">
            <v>AT5086R</v>
          </cell>
          <cell r="J594">
            <v>144900</v>
          </cell>
        </row>
        <row r="595">
          <cell r="I595" t="str">
            <v>AT5086L</v>
          </cell>
          <cell r="J595">
            <v>144900</v>
          </cell>
        </row>
        <row r="596">
          <cell r="I596" t="str">
            <v>AT5088</v>
          </cell>
          <cell r="J596">
            <v>155400</v>
          </cell>
        </row>
        <row r="597">
          <cell r="I597" t="str">
            <v>AT5806R</v>
          </cell>
          <cell r="J597">
            <v>90300</v>
          </cell>
        </row>
        <row r="598">
          <cell r="I598" t="str">
            <v>AT5806L</v>
          </cell>
          <cell r="J598">
            <v>90300</v>
          </cell>
        </row>
        <row r="599">
          <cell r="I599" t="str">
            <v>AT5166</v>
          </cell>
          <cell r="J599">
            <v>110300</v>
          </cell>
        </row>
        <row r="600">
          <cell r="I600" t="str">
            <v>AT5186R</v>
          </cell>
          <cell r="J600">
            <v>128100</v>
          </cell>
        </row>
        <row r="601">
          <cell r="I601" t="str">
            <v>AT5186L</v>
          </cell>
          <cell r="J601">
            <v>128100</v>
          </cell>
        </row>
        <row r="602">
          <cell r="I602" t="str">
            <v>AT5188</v>
          </cell>
          <cell r="J602">
            <v>137600</v>
          </cell>
        </row>
        <row r="603">
          <cell r="I603" t="str">
            <v>AT5266</v>
          </cell>
          <cell r="J603">
            <v>161700</v>
          </cell>
        </row>
        <row r="604">
          <cell r="I604" t="str">
            <v>AT5288</v>
          </cell>
          <cell r="J604">
            <v>164900</v>
          </cell>
        </row>
        <row r="605">
          <cell r="I605" t="str">
            <v>AT912</v>
          </cell>
          <cell r="J605">
            <v>122900</v>
          </cell>
        </row>
        <row r="606">
          <cell r="I606" t="str">
            <v>AT914</v>
          </cell>
          <cell r="J606">
            <v>156500</v>
          </cell>
        </row>
        <row r="607">
          <cell r="I607" t="str">
            <v>AT916</v>
          </cell>
          <cell r="J607">
            <v>162800</v>
          </cell>
        </row>
        <row r="608">
          <cell r="I608" t="str">
            <v>AT918</v>
          </cell>
          <cell r="J608">
            <v>185900</v>
          </cell>
        </row>
        <row r="609">
          <cell r="I609" t="str">
            <v>AT988A</v>
          </cell>
          <cell r="J609">
            <v>176400</v>
          </cell>
        </row>
        <row r="610">
          <cell r="I610" t="str">
            <v>AT966A</v>
          </cell>
          <cell r="J610">
            <v>144900</v>
          </cell>
        </row>
        <row r="611">
          <cell r="I611" t="str">
            <v>AT988B</v>
          </cell>
          <cell r="J611">
            <v>198500</v>
          </cell>
        </row>
        <row r="612">
          <cell r="I612" t="str">
            <v>AT966B</v>
          </cell>
          <cell r="J612">
            <v>186900</v>
          </cell>
        </row>
        <row r="613">
          <cell r="I613" t="str">
            <v>AT914CR</v>
          </cell>
          <cell r="J613">
            <v>183800</v>
          </cell>
        </row>
        <row r="614">
          <cell r="I614" t="str">
            <v>AT914CL</v>
          </cell>
          <cell r="J614">
            <v>183800</v>
          </cell>
        </row>
        <row r="615">
          <cell r="I615" t="str">
            <v>AT916CR</v>
          </cell>
          <cell r="J615">
            <v>195300</v>
          </cell>
        </row>
        <row r="616">
          <cell r="I616" t="str">
            <v>AT916CL</v>
          </cell>
          <cell r="J616">
            <v>195300</v>
          </cell>
        </row>
        <row r="617">
          <cell r="I617" t="str">
            <v>AT966D</v>
          </cell>
          <cell r="J617">
            <v>203700</v>
          </cell>
        </row>
        <row r="618">
          <cell r="I618" t="str">
            <v>AT2004</v>
          </cell>
          <cell r="J618">
            <v>39900</v>
          </cell>
        </row>
        <row r="619">
          <cell r="I619" t="str">
            <v>AT2006</v>
          </cell>
          <cell r="J619">
            <v>45200</v>
          </cell>
        </row>
        <row r="620">
          <cell r="I620" t="str">
            <v>AT2008</v>
          </cell>
          <cell r="J620">
            <v>53600</v>
          </cell>
        </row>
        <row r="621">
          <cell r="I621" t="str">
            <v>AT2010</v>
          </cell>
          <cell r="J621">
            <v>63000</v>
          </cell>
        </row>
        <row r="622">
          <cell r="I622" t="str">
            <v>AT2012</v>
          </cell>
          <cell r="J622">
            <v>66200</v>
          </cell>
        </row>
        <row r="623">
          <cell r="I623" t="str">
            <v>AT2014</v>
          </cell>
          <cell r="J623">
            <v>81900</v>
          </cell>
        </row>
        <row r="624">
          <cell r="I624" t="str">
            <v>AT2016</v>
          </cell>
          <cell r="J624">
            <v>92400</v>
          </cell>
        </row>
        <row r="625">
          <cell r="I625" t="str">
            <v>AT2018</v>
          </cell>
          <cell r="J625">
            <v>95600</v>
          </cell>
        </row>
        <row r="626">
          <cell r="I626" t="str">
            <v>AT2122</v>
          </cell>
          <cell r="J626">
            <v>26300</v>
          </cell>
        </row>
        <row r="627">
          <cell r="I627" t="str">
            <v>AT2206</v>
          </cell>
          <cell r="J627">
            <v>53600</v>
          </cell>
        </row>
        <row r="628">
          <cell r="I628" t="str">
            <v>AT2208</v>
          </cell>
          <cell r="J628">
            <v>59900</v>
          </cell>
        </row>
        <row r="629">
          <cell r="I629" t="str">
            <v>AT2210</v>
          </cell>
          <cell r="J629">
            <v>66200</v>
          </cell>
        </row>
        <row r="630">
          <cell r="I630" t="str">
            <v>AT2212</v>
          </cell>
          <cell r="J630">
            <v>75600</v>
          </cell>
        </row>
        <row r="631">
          <cell r="I631" t="str">
            <v>AT2308</v>
          </cell>
          <cell r="J631">
            <v>45200</v>
          </cell>
        </row>
        <row r="632">
          <cell r="I632" t="str">
            <v>AA0006</v>
          </cell>
          <cell r="J632">
            <v>12600</v>
          </cell>
        </row>
        <row r="633">
          <cell r="I633" t="str">
            <v>AA0007</v>
          </cell>
          <cell r="J633">
            <v>14700</v>
          </cell>
        </row>
        <row r="634">
          <cell r="I634" t="str">
            <v>AA0008</v>
          </cell>
          <cell r="J634">
            <v>16200</v>
          </cell>
        </row>
        <row r="635">
          <cell r="I635" t="str">
            <v>AA0010</v>
          </cell>
          <cell r="J635">
            <v>20000</v>
          </cell>
        </row>
        <row r="636">
          <cell r="I636" t="str">
            <v>AA0012</v>
          </cell>
          <cell r="J636">
            <v>23400</v>
          </cell>
        </row>
        <row r="637">
          <cell r="I637" t="str">
            <v>AA0101</v>
          </cell>
          <cell r="J637">
            <v>5400</v>
          </cell>
        </row>
        <row r="638">
          <cell r="I638" t="str">
            <v>AA0102</v>
          </cell>
          <cell r="J638">
            <v>7600</v>
          </cell>
        </row>
        <row r="639">
          <cell r="I639" t="str">
            <v>AA0103</v>
          </cell>
          <cell r="J639">
            <v>9500</v>
          </cell>
        </row>
        <row r="640">
          <cell r="I640" t="str">
            <v>AA0104</v>
          </cell>
          <cell r="J640">
            <v>4200</v>
          </cell>
        </row>
        <row r="641">
          <cell r="I641" t="str">
            <v>AA0105</v>
          </cell>
          <cell r="J641">
            <v>6600</v>
          </cell>
        </row>
        <row r="642">
          <cell r="I642" t="str">
            <v>AA0106</v>
          </cell>
          <cell r="J642">
            <v>3400</v>
          </cell>
        </row>
        <row r="643">
          <cell r="I643" t="str">
            <v>AA1006</v>
          </cell>
          <cell r="J643">
            <v>9700</v>
          </cell>
        </row>
        <row r="644">
          <cell r="I644" t="str">
            <v>AA1007</v>
          </cell>
          <cell r="J644">
            <v>10800</v>
          </cell>
        </row>
        <row r="645">
          <cell r="I645" t="str">
            <v>AA1008</v>
          </cell>
          <cell r="J645">
            <v>12000</v>
          </cell>
        </row>
        <row r="646">
          <cell r="I646" t="str">
            <v>AA1010</v>
          </cell>
          <cell r="J646">
            <v>14400</v>
          </cell>
        </row>
        <row r="647">
          <cell r="I647" t="str">
            <v>AA1012</v>
          </cell>
          <cell r="J647">
            <v>16800</v>
          </cell>
        </row>
        <row r="648">
          <cell r="I648" t="str">
            <v>AA0901B</v>
          </cell>
          <cell r="J648">
            <v>82200</v>
          </cell>
        </row>
        <row r="649">
          <cell r="I649" t="str">
            <v>AA9901</v>
          </cell>
          <cell r="J649">
            <v>6000</v>
          </cell>
        </row>
        <row r="650">
          <cell r="I650" t="str">
            <v>AA0200</v>
          </cell>
          <cell r="J650">
            <v>1300</v>
          </cell>
        </row>
        <row r="651">
          <cell r="I651" t="str">
            <v>AF060</v>
          </cell>
          <cell r="J651">
            <v>143900</v>
          </cell>
        </row>
        <row r="652">
          <cell r="I652" t="str">
            <v>AF070</v>
          </cell>
          <cell r="J652">
            <v>157500</v>
          </cell>
        </row>
        <row r="653">
          <cell r="I653" t="str">
            <v>AF080</v>
          </cell>
          <cell r="J653">
            <v>167000</v>
          </cell>
        </row>
        <row r="654">
          <cell r="I654" t="str">
            <v>AF100</v>
          </cell>
          <cell r="J654">
            <v>184800</v>
          </cell>
        </row>
        <row r="655">
          <cell r="I655" t="str">
            <v>AF120</v>
          </cell>
          <cell r="J655">
            <v>204800</v>
          </cell>
        </row>
        <row r="656">
          <cell r="I656" t="str">
            <v>AF062</v>
          </cell>
          <cell r="J656">
            <v>170100</v>
          </cell>
        </row>
        <row r="657">
          <cell r="I657" t="str">
            <v>AF072</v>
          </cell>
          <cell r="J657">
            <v>184800</v>
          </cell>
        </row>
        <row r="658">
          <cell r="I658" t="str">
            <v>AF082</v>
          </cell>
          <cell r="J658">
            <v>198500</v>
          </cell>
        </row>
        <row r="659">
          <cell r="I659" t="str">
            <v>AF102</v>
          </cell>
          <cell r="J659">
            <v>220500</v>
          </cell>
        </row>
        <row r="660">
          <cell r="I660" t="str">
            <v>AF122</v>
          </cell>
          <cell r="J660">
            <v>244700</v>
          </cell>
        </row>
        <row r="661">
          <cell r="I661" t="str">
            <v>AF064</v>
          </cell>
          <cell r="J661">
            <v>195300</v>
          </cell>
        </row>
        <row r="662">
          <cell r="I662" t="str">
            <v>AF074</v>
          </cell>
          <cell r="J662">
            <v>214200</v>
          </cell>
        </row>
        <row r="663">
          <cell r="I663" t="str">
            <v>AF084</v>
          </cell>
          <cell r="J663">
            <v>228900</v>
          </cell>
        </row>
        <row r="664">
          <cell r="I664" t="str">
            <v>AF104</v>
          </cell>
          <cell r="J664">
            <v>256200</v>
          </cell>
        </row>
        <row r="665">
          <cell r="I665" t="str">
            <v>AF124</v>
          </cell>
          <cell r="J665">
            <v>285600</v>
          </cell>
        </row>
        <row r="666">
          <cell r="I666" t="str">
            <v>AF066</v>
          </cell>
          <cell r="J666">
            <v>221600</v>
          </cell>
        </row>
        <row r="667">
          <cell r="I667" t="str">
            <v>AF076</v>
          </cell>
          <cell r="J667">
            <v>241500</v>
          </cell>
        </row>
        <row r="668">
          <cell r="I668" t="str">
            <v>AF086</v>
          </cell>
          <cell r="J668">
            <v>260400</v>
          </cell>
        </row>
        <row r="669">
          <cell r="I669" t="str">
            <v>AF106</v>
          </cell>
          <cell r="J669">
            <v>291900</v>
          </cell>
        </row>
        <row r="670">
          <cell r="I670" t="str">
            <v>AF126</v>
          </cell>
          <cell r="J670">
            <v>325500</v>
          </cell>
        </row>
        <row r="671">
          <cell r="I671" t="str">
            <v>AF068</v>
          </cell>
          <cell r="J671">
            <v>246800</v>
          </cell>
        </row>
        <row r="672">
          <cell r="I672" t="str">
            <v>AF078</v>
          </cell>
          <cell r="J672">
            <v>270900</v>
          </cell>
        </row>
        <row r="673">
          <cell r="I673" t="str">
            <v>AF088</v>
          </cell>
          <cell r="J673">
            <v>290900</v>
          </cell>
        </row>
        <row r="674">
          <cell r="I674" t="str">
            <v>AF108</v>
          </cell>
          <cell r="J674">
            <v>327600</v>
          </cell>
        </row>
        <row r="675">
          <cell r="I675" t="str">
            <v>AF128</v>
          </cell>
          <cell r="J675">
            <v>366500</v>
          </cell>
        </row>
        <row r="676">
          <cell r="I676" t="str">
            <v>AF062H</v>
          </cell>
          <cell r="J676">
            <v>179600</v>
          </cell>
        </row>
        <row r="677">
          <cell r="I677" t="str">
            <v>AF072H</v>
          </cell>
          <cell r="J677">
            <v>196400</v>
          </cell>
        </row>
        <row r="678">
          <cell r="I678" t="str">
            <v>AF082H</v>
          </cell>
          <cell r="J678">
            <v>211100</v>
          </cell>
        </row>
        <row r="679">
          <cell r="I679" t="str">
            <v>AF102H</v>
          </cell>
          <cell r="J679">
            <v>236300</v>
          </cell>
        </row>
        <row r="680">
          <cell r="I680" t="str">
            <v>AF122H</v>
          </cell>
          <cell r="J680">
            <v>263600</v>
          </cell>
        </row>
        <row r="681">
          <cell r="I681" t="str">
            <v>AF064H</v>
          </cell>
          <cell r="J681">
            <v>211100</v>
          </cell>
        </row>
        <row r="682">
          <cell r="I682" t="str">
            <v>AF074H</v>
          </cell>
          <cell r="J682">
            <v>232100</v>
          </cell>
        </row>
        <row r="683">
          <cell r="I683" t="str">
            <v>AF084H</v>
          </cell>
          <cell r="J683">
            <v>248900</v>
          </cell>
        </row>
        <row r="684">
          <cell r="I684" t="str">
            <v>AF104H</v>
          </cell>
          <cell r="J684">
            <v>279300</v>
          </cell>
        </row>
        <row r="685">
          <cell r="I685" t="str">
            <v>AF124H</v>
          </cell>
          <cell r="J685">
            <v>315000</v>
          </cell>
        </row>
        <row r="686">
          <cell r="I686" t="str">
            <v>AF066H</v>
          </cell>
          <cell r="J686">
            <v>237300</v>
          </cell>
        </row>
        <row r="687">
          <cell r="I687" t="str">
            <v>AF076H</v>
          </cell>
          <cell r="J687">
            <v>259400</v>
          </cell>
        </row>
        <row r="688">
          <cell r="I688" t="str">
            <v>AF086H</v>
          </cell>
          <cell r="J688">
            <v>280400</v>
          </cell>
        </row>
        <row r="689">
          <cell r="I689" t="str">
            <v>AF106H</v>
          </cell>
          <cell r="J689">
            <v>315000</v>
          </cell>
        </row>
        <row r="690">
          <cell r="I690" t="str">
            <v>AF126H</v>
          </cell>
          <cell r="J690">
            <v>354900</v>
          </cell>
        </row>
        <row r="691">
          <cell r="I691" t="str">
            <v>AF068H</v>
          </cell>
          <cell r="J691">
            <v>262500</v>
          </cell>
        </row>
        <row r="692">
          <cell r="I692" t="str">
            <v>AF078H</v>
          </cell>
          <cell r="J692">
            <v>288800</v>
          </cell>
        </row>
        <row r="693">
          <cell r="I693" t="str">
            <v>AF088H</v>
          </cell>
          <cell r="J693">
            <v>310800</v>
          </cell>
        </row>
        <row r="694">
          <cell r="I694" t="str">
            <v>AF108H</v>
          </cell>
          <cell r="J694">
            <v>350700</v>
          </cell>
        </row>
        <row r="695">
          <cell r="I695" t="str">
            <v>AF128H</v>
          </cell>
          <cell r="J695">
            <v>395900</v>
          </cell>
        </row>
        <row r="696">
          <cell r="I696" t="str">
            <v>AF060G</v>
          </cell>
          <cell r="J696">
            <v>170100</v>
          </cell>
        </row>
        <row r="697">
          <cell r="I697" t="str">
            <v>AF070G</v>
          </cell>
          <cell r="J697">
            <v>183800</v>
          </cell>
        </row>
        <row r="698">
          <cell r="I698" t="str">
            <v>AF080G</v>
          </cell>
          <cell r="J698">
            <v>193200</v>
          </cell>
        </row>
        <row r="699">
          <cell r="I699" t="str">
            <v>AF100G</v>
          </cell>
          <cell r="J699">
            <v>214200</v>
          </cell>
        </row>
        <row r="700">
          <cell r="I700" t="str">
            <v>AF120G</v>
          </cell>
          <cell r="J700">
            <v>237300</v>
          </cell>
        </row>
        <row r="701">
          <cell r="I701" t="str">
            <v>AF062G</v>
          </cell>
          <cell r="J701">
            <v>205800</v>
          </cell>
        </row>
        <row r="702">
          <cell r="I702" t="str">
            <v>AF072G</v>
          </cell>
          <cell r="J702">
            <v>222600</v>
          </cell>
        </row>
        <row r="703">
          <cell r="I703" t="str">
            <v>AF082G</v>
          </cell>
          <cell r="J703">
            <v>237300</v>
          </cell>
        </row>
        <row r="704">
          <cell r="I704" t="str">
            <v>AF102G</v>
          </cell>
          <cell r="J704">
            <v>265700</v>
          </cell>
        </row>
        <row r="705">
          <cell r="I705" t="str">
            <v>AF122G</v>
          </cell>
          <cell r="J705">
            <v>296100</v>
          </cell>
        </row>
        <row r="706">
          <cell r="I706" t="str">
            <v>AF064G</v>
          </cell>
          <cell r="J706">
            <v>237300</v>
          </cell>
        </row>
        <row r="707">
          <cell r="I707" t="str">
            <v>AF074G</v>
          </cell>
          <cell r="J707">
            <v>258300</v>
          </cell>
        </row>
        <row r="708">
          <cell r="I708" t="str">
            <v>AF084G</v>
          </cell>
          <cell r="J708">
            <v>275100</v>
          </cell>
        </row>
        <row r="709">
          <cell r="I709" t="str">
            <v>AF104G</v>
          </cell>
          <cell r="J709">
            <v>308700</v>
          </cell>
        </row>
        <row r="710">
          <cell r="I710" t="str">
            <v>AF124G</v>
          </cell>
          <cell r="J710">
            <v>347600</v>
          </cell>
        </row>
        <row r="711">
          <cell r="I711" t="str">
            <v>AF066G</v>
          </cell>
          <cell r="J711">
            <v>273000</v>
          </cell>
        </row>
        <row r="712">
          <cell r="I712" t="str">
            <v>AF076G</v>
          </cell>
          <cell r="J712">
            <v>297200</v>
          </cell>
        </row>
        <row r="713">
          <cell r="I713" t="str">
            <v>AF086G</v>
          </cell>
          <cell r="J713">
            <v>319200</v>
          </cell>
        </row>
        <row r="714">
          <cell r="I714" t="str">
            <v>AF106G</v>
          </cell>
          <cell r="J714">
            <v>360200</v>
          </cell>
        </row>
        <row r="715">
          <cell r="I715" t="str">
            <v>AF126G</v>
          </cell>
          <cell r="J715">
            <v>406400</v>
          </cell>
        </row>
        <row r="716">
          <cell r="I716" t="str">
            <v>AF068G</v>
          </cell>
          <cell r="J716">
            <v>304500</v>
          </cell>
        </row>
        <row r="717">
          <cell r="I717" t="str">
            <v>AF078G</v>
          </cell>
          <cell r="J717">
            <v>332900</v>
          </cell>
        </row>
        <row r="718">
          <cell r="I718" t="str">
            <v>AF088G</v>
          </cell>
          <cell r="J718">
            <v>357000</v>
          </cell>
        </row>
        <row r="719">
          <cell r="I719" t="str">
            <v>AF108G</v>
          </cell>
          <cell r="J719">
            <v>403200</v>
          </cell>
        </row>
        <row r="720">
          <cell r="I720" t="str">
            <v>AF128G</v>
          </cell>
          <cell r="J720">
            <v>457800</v>
          </cell>
        </row>
        <row r="721">
          <cell r="I721" t="str">
            <v>AF0060</v>
          </cell>
          <cell r="J721">
            <v>74600</v>
          </cell>
        </row>
        <row r="722">
          <cell r="I722" t="str">
            <v>AF0070</v>
          </cell>
          <cell r="J722">
            <v>77700</v>
          </cell>
        </row>
        <row r="723">
          <cell r="I723" t="str">
            <v>AF0080</v>
          </cell>
          <cell r="J723">
            <v>78800</v>
          </cell>
        </row>
        <row r="724">
          <cell r="I724" t="str">
            <v>AF0100</v>
          </cell>
          <cell r="J724">
            <v>84000</v>
          </cell>
        </row>
        <row r="725">
          <cell r="I725" t="str">
            <v>AF0120</v>
          </cell>
          <cell r="J725">
            <v>89300</v>
          </cell>
        </row>
        <row r="726">
          <cell r="I726" t="str">
            <v>AF0062</v>
          </cell>
          <cell r="J726">
            <v>77700</v>
          </cell>
        </row>
        <row r="727">
          <cell r="I727" t="str">
            <v>AF0072</v>
          </cell>
          <cell r="J727">
            <v>80900</v>
          </cell>
        </row>
        <row r="728">
          <cell r="I728" t="str">
            <v>AF0082</v>
          </cell>
          <cell r="J728">
            <v>84000</v>
          </cell>
        </row>
        <row r="729">
          <cell r="I729" t="str">
            <v>AF0102</v>
          </cell>
          <cell r="J729">
            <v>90300</v>
          </cell>
        </row>
        <row r="730">
          <cell r="I730" t="str">
            <v>AF0122</v>
          </cell>
          <cell r="J730">
            <v>96600</v>
          </cell>
        </row>
        <row r="731">
          <cell r="I731" t="str">
            <v>AF0064S</v>
          </cell>
          <cell r="J731">
            <v>18900</v>
          </cell>
        </row>
        <row r="732">
          <cell r="I732" t="str">
            <v>AF0074S</v>
          </cell>
          <cell r="J732">
            <v>21000</v>
          </cell>
        </row>
        <row r="733">
          <cell r="I733" t="str">
            <v>AF0084S</v>
          </cell>
          <cell r="J733">
            <v>23100</v>
          </cell>
        </row>
        <row r="734">
          <cell r="I734" t="str">
            <v>AF0104S</v>
          </cell>
          <cell r="J734">
            <v>26300</v>
          </cell>
        </row>
        <row r="735">
          <cell r="I735" t="str">
            <v>AF0124S</v>
          </cell>
          <cell r="J735">
            <v>29400</v>
          </cell>
        </row>
        <row r="736">
          <cell r="I736" t="str">
            <v>AF5110</v>
          </cell>
          <cell r="J736">
            <v>25800</v>
          </cell>
        </row>
        <row r="737">
          <cell r="I737" t="str">
            <v>AF5112</v>
          </cell>
          <cell r="J737">
            <v>29100</v>
          </cell>
        </row>
        <row r="738">
          <cell r="I738" t="str">
            <v>AF5114</v>
          </cell>
          <cell r="J738">
            <v>32300</v>
          </cell>
        </row>
        <row r="739">
          <cell r="I739" t="str">
            <v>AF5116</v>
          </cell>
          <cell r="J739">
            <v>35500</v>
          </cell>
        </row>
        <row r="740">
          <cell r="I740" t="str">
            <v>AF5118</v>
          </cell>
          <cell r="J740">
            <v>38700</v>
          </cell>
        </row>
        <row r="741">
          <cell r="I741" t="str">
            <v>AF5120</v>
          </cell>
          <cell r="J741">
            <v>42000</v>
          </cell>
        </row>
        <row r="742">
          <cell r="I742" t="str">
            <v>AF5210</v>
          </cell>
          <cell r="J742">
            <v>30700</v>
          </cell>
        </row>
        <row r="743">
          <cell r="I743" t="str">
            <v>AF5212</v>
          </cell>
          <cell r="J743">
            <v>35500</v>
          </cell>
        </row>
        <row r="744">
          <cell r="I744" t="str">
            <v>AF5214</v>
          </cell>
          <cell r="J744">
            <v>40400</v>
          </cell>
        </row>
        <row r="745">
          <cell r="I745" t="str">
            <v>AF5216</v>
          </cell>
          <cell r="J745">
            <v>45300</v>
          </cell>
        </row>
        <row r="746">
          <cell r="I746" t="str">
            <v>AF5218</v>
          </cell>
          <cell r="J746">
            <v>50100</v>
          </cell>
        </row>
        <row r="747">
          <cell r="I747" t="str">
            <v>AF5220</v>
          </cell>
          <cell r="J747">
            <v>54900</v>
          </cell>
        </row>
        <row r="748">
          <cell r="I748" t="str">
            <v>AF5510</v>
          </cell>
          <cell r="J748">
            <v>29100</v>
          </cell>
        </row>
        <row r="749">
          <cell r="I749" t="str">
            <v>AF5512</v>
          </cell>
          <cell r="J749">
            <v>33900</v>
          </cell>
        </row>
        <row r="750">
          <cell r="I750" t="str">
            <v>AF5514</v>
          </cell>
          <cell r="J750">
            <v>38700</v>
          </cell>
        </row>
        <row r="751">
          <cell r="I751" t="str">
            <v>AF5516</v>
          </cell>
          <cell r="J751">
            <v>43600</v>
          </cell>
        </row>
        <row r="752">
          <cell r="I752" t="str">
            <v>AF5518</v>
          </cell>
          <cell r="J752">
            <v>48500</v>
          </cell>
        </row>
        <row r="753">
          <cell r="I753" t="str">
            <v>AF5520</v>
          </cell>
          <cell r="J753">
            <v>53300</v>
          </cell>
        </row>
        <row r="754">
          <cell r="I754" t="str">
            <v>AF5310</v>
          </cell>
          <cell r="J754">
            <v>24300</v>
          </cell>
        </row>
        <row r="755">
          <cell r="I755" t="str">
            <v>AF5312</v>
          </cell>
          <cell r="J755">
            <v>27500</v>
          </cell>
        </row>
        <row r="756">
          <cell r="I756" t="str">
            <v>AF5314</v>
          </cell>
          <cell r="J756">
            <v>30700</v>
          </cell>
        </row>
        <row r="757">
          <cell r="I757" t="str">
            <v>AF5316</v>
          </cell>
          <cell r="J757">
            <v>33900</v>
          </cell>
        </row>
        <row r="758">
          <cell r="I758" t="str">
            <v>AF5318</v>
          </cell>
          <cell r="J758">
            <v>37200</v>
          </cell>
        </row>
        <row r="759">
          <cell r="I759" t="str">
            <v>AF5320</v>
          </cell>
          <cell r="J759">
            <v>40400</v>
          </cell>
        </row>
        <row r="760">
          <cell r="I760" t="str">
            <v>AF5610</v>
          </cell>
          <cell r="J760">
            <v>22600</v>
          </cell>
        </row>
        <row r="761">
          <cell r="I761" t="str">
            <v>AF5612</v>
          </cell>
          <cell r="J761">
            <v>25800</v>
          </cell>
        </row>
        <row r="762">
          <cell r="I762" t="str">
            <v>AF5614</v>
          </cell>
          <cell r="J762">
            <v>29100</v>
          </cell>
        </row>
        <row r="763">
          <cell r="I763" t="str">
            <v>AF5616</v>
          </cell>
          <cell r="J763">
            <v>32300</v>
          </cell>
        </row>
        <row r="764">
          <cell r="I764" t="str">
            <v>AF5618</v>
          </cell>
          <cell r="J764">
            <v>35500</v>
          </cell>
        </row>
        <row r="765">
          <cell r="I765" t="str">
            <v>AF5620</v>
          </cell>
          <cell r="J765">
            <v>38700</v>
          </cell>
        </row>
        <row r="766">
          <cell r="I766" t="str">
            <v>AF6010</v>
          </cell>
          <cell r="J766">
            <v>9700</v>
          </cell>
        </row>
        <row r="767">
          <cell r="I767" t="str">
            <v>AF6012</v>
          </cell>
          <cell r="J767">
            <v>11300</v>
          </cell>
        </row>
        <row r="768">
          <cell r="I768" t="str">
            <v>AF6014</v>
          </cell>
          <cell r="J768">
            <v>12900</v>
          </cell>
        </row>
        <row r="769">
          <cell r="I769" t="str">
            <v>AF6016</v>
          </cell>
          <cell r="J769">
            <v>14500</v>
          </cell>
        </row>
        <row r="770">
          <cell r="I770" t="str">
            <v>AF6018</v>
          </cell>
          <cell r="J770">
            <v>16200</v>
          </cell>
        </row>
        <row r="771">
          <cell r="I771" t="str">
            <v>AF6020</v>
          </cell>
          <cell r="J771">
            <v>17700</v>
          </cell>
        </row>
        <row r="772">
          <cell r="I772" t="str">
            <v>AF6102</v>
          </cell>
          <cell r="J772">
            <v>3300</v>
          </cell>
        </row>
        <row r="773">
          <cell r="I773" t="str">
            <v>AF6104</v>
          </cell>
          <cell r="J773">
            <v>4800</v>
          </cell>
        </row>
        <row r="774">
          <cell r="I774" t="str">
            <v>AF6106</v>
          </cell>
          <cell r="J774">
            <v>6500</v>
          </cell>
        </row>
        <row r="775">
          <cell r="I775" t="str">
            <v>AF6108</v>
          </cell>
          <cell r="J775">
            <v>8100</v>
          </cell>
        </row>
        <row r="776">
          <cell r="I776" t="str">
            <v>AF6102T</v>
          </cell>
          <cell r="J776">
            <v>3300</v>
          </cell>
        </row>
        <row r="777">
          <cell r="I777" t="str">
            <v>AF6104T</v>
          </cell>
          <cell r="J777">
            <v>4800</v>
          </cell>
        </row>
        <row r="778">
          <cell r="I778" t="str">
            <v>AF6106T</v>
          </cell>
          <cell r="J778">
            <v>6500</v>
          </cell>
        </row>
        <row r="779">
          <cell r="I779" t="str">
            <v>AF6108T</v>
          </cell>
          <cell r="J779">
            <v>8100</v>
          </cell>
        </row>
        <row r="780">
          <cell r="I780" t="str">
            <v>AF6202</v>
          </cell>
          <cell r="J780">
            <v>1600</v>
          </cell>
        </row>
        <row r="781">
          <cell r="I781" t="str">
            <v>AF6204</v>
          </cell>
          <cell r="J781">
            <v>3300</v>
          </cell>
        </row>
        <row r="782">
          <cell r="I782" t="str">
            <v>AF6206</v>
          </cell>
          <cell r="J782">
            <v>4800</v>
          </cell>
        </row>
        <row r="783">
          <cell r="I783" t="str">
            <v>AF6208</v>
          </cell>
          <cell r="J783">
            <v>6500</v>
          </cell>
        </row>
        <row r="784">
          <cell r="I784" t="str">
            <v>AF8001</v>
          </cell>
          <cell r="J784">
            <v>38900</v>
          </cell>
        </row>
        <row r="785">
          <cell r="I785" t="str">
            <v>AT8001</v>
          </cell>
          <cell r="J785">
            <v>6300</v>
          </cell>
        </row>
        <row r="786">
          <cell r="I786" t="str">
            <v>AT8002</v>
          </cell>
          <cell r="J786">
            <v>6300</v>
          </cell>
        </row>
        <row r="787">
          <cell r="I787" t="str">
            <v>AT8003</v>
          </cell>
          <cell r="J787">
            <v>3200</v>
          </cell>
        </row>
        <row r="788">
          <cell r="I788" t="str">
            <v>CX0011</v>
          </cell>
          <cell r="J788">
            <v>24200</v>
          </cell>
        </row>
        <row r="789">
          <cell r="I789" t="str">
            <v>CX0012</v>
          </cell>
          <cell r="J789">
            <v>24200</v>
          </cell>
        </row>
        <row r="790">
          <cell r="I790" t="str">
            <v>AT8006</v>
          </cell>
          <cell r="J790">
            <v>8400</v>
          </cell>
        </row>
        <row r="791">
          <cell r="I791" t="str">
            <v>AT8007</v>
          </cell>
          <cell r="J791">
            <v>8400</v>
          </cell>
        </row>
        <row r="792">
          <cell r="I792" t="str">
            <v>AT8008</v>
          </cell>
          <cell r="J792">
            <v>8400</v>
          </cell>
        </row>
        <row r="793">
          <cell r="I793" t="str">
            <v>AT8010</v>
          </cell>
          <cell r="J793">
            <v>10500</v>
          </cell>
        </row>
        <row r="794">
          <cell r="I794" t="str">
            <v>AT8012</v>
          </cell>
          <cell r="J794">
            <v>10500</v>
          </cell>
        </row>
        <row r="795">
          <cell r="I795" t="str">
            <v>AF1062</v>
          </cell>
          <cell r="J795">
            <v>11600</v>
          </cell>
        </row>
        <row r="796">
          <cell r="I796" t="str">
            <v>AF1064</v>
          </cell>
          <cell r="J796">
            <v>16300</v>
          </cell>
        </row>
        <row r="797">
          <cell r="I797" t="str">
            <v>AF1066</v>
          </cell>
          <cell r="J797">
            <v>19400</v>
          </cell>
        </row>
        <row r="798">
          <cell r="I798" t="str">
            <v>AF1072</v>
          </cell>
          <cell r="J798">
            <v>12100</v>
          </cell>
        </row>
        <row r="799">
          <cell r="I799" t="str">
            <v>AF1074</v>
          </cell>
          <cell r="J799">
            <v>17900</v>
          </cell>
        </row>
        <row r="800">
          <cell r="I800" t="str">
            <v>AF1076</v>
          </cell>
          <cell r="J800">
            <v>22600</v>
          </cell>
        </row>
        <row r="801">
          <cell r="I801" t="str">
            <v>AF1082</v>
          </cell>
          <cell r="J801">
            <v>13100</v>
          </cell>
        </row>
        <row r="802">
          <cell r="I802" t="str">
            <v>AF1084</v>
          </cell>
          <cell r="J802">
            <v>19400</v>
          </cell>
        </row>
        <row r="803">
          <cell r="I803" t="str">
            <v>AF1086</v>
          </cell>
          <cell r="J803">
            <v>25700</v>
          </cell>
        </row>
        <row r="804">
          <cell r="I804" t="str">
            <v>AF1102</v>
          </cell>
          <cell r="J804">
            <v>14700</v>
          </cell>
        </row>
        <row r="805">
          <cell r="I805" t="str">
            <v>AF1104</v>
          </cell>
          <cell r="J805">
            <v>22600</v>
          </cell>
        </row>
        <row r="806">
          <cell r="I806" t="str">
            <v>AF1106</v>
          </cell>
          <cell r="J806">
            <v>30500</v>
          </cell>
        </row>
        <row r="807">
          <cell r="I807" t="str">
            <v>AF1122</v>
          </cell>
          <cell r="J807">
            <v>16300</v>
          </cell>
        </row>
        <row r="808">
          <cell r="I808" t="str">
            <v>AF1124</v>
          </cell>
          <cell r="J808">
            <v>25700</v>
          </cell>
        </row>
        <row r="809">
          <cell r="I809" t="str">
            <v>AF1126</v>
          </cell>
          <cell r="J809">
            <v>35700</v>
          </cell>
        </row>
        <row r="810">
          <cell r="I810" t="str">
            <v>AF1062G</v>
          </cell>
          <cell r="J810">
            <v>16300</v>
          </cell>
        </row>
        <row r="811">
          <cell r="I811" t="str">
            <v>AF1064G</v>
          </cell>
          <cell r="J811">
            <v>24200</v>
          </cell>
        </row>
        <row r="812">
          <cell r="I812" t="str">
            <v>AF1066G</v>
          </cell>
          <cell r="J812">
            <v>32600</v>
          </cell>
        </row>
        <row r="813">
          <cell r="I813" t="str">
            <v>AF1072G</v>
          </cell>
          <cell r="J813">
            <v>17900</v>
          </cell>
        </row>
        <row r="814">
          <cell r="I814" t="str">
            <v>AF1074G</v>
          </cell>
          <cell r="J814">
            <v>26800</v>
          </cell>
        </row>
        <row r="815">
          <cell r="I815" t="str">
            <v>AF1076G</v>
          </cell>
          <cell r="J815">
            <v>35700</v>
          </cell>
        </row>
        <row r="816">
          <cell r="I816" t="str">
            <v>AF1082G</v>
          </cell>
          <cell r="J816">
            <v>19400</v>
          </cell>
        </row>
        <row r="817">
          <cell r="I817" t="str">
            <v>AF1084G</v>
          </cell>
          <cell r="J817">
            <v>29400</v>
          </cell>
        </row>
        <row r="818">
          <cell r="I818" t="str">
            <v>AF1086G</v>
          </cell>
          <cell r="J818">
            <v>38900</v>
          </cell>
        </row>
        <row r="819">
          <cell r="I819" t="str">
            <v>AF1102G</v>
          </cell>
          <cell r="J819">
            <v>22600</v>
          </cell>
        </row>
        <row r="820">
          <cell r="I820" t="str">
            <v>AF1104G</v>
          </cell>
          <cell r="J820">
            <v>34100</v>
          </cell>
        </row>
        <row r="821">
          <cell r="I821" t="str">
            <v>AF1106G</v>
          </cell>
          <cell r="J821">
            <v>45200</v>
          </cell>
        </row>
        <row r="822">
          <cell r="I822" t="str">
            <v>AF1122G</v>
          </cell>
          <cell r="J822">
            <v>25700</v>
          </cell>
        </row>
        <row r="823">
          <cell r="I823" t="str">
            <v>AF1124G</v>
          </cell>
          <cell r="J823">
            <v>40400</v>
          </cell>
        </row>
        <row r="824">
          <cell r="I824" t="str">
            <v>AF1126G</v>
          </cell>
          <cell r="J824">
            <v>52000</v>
          </cell>
        </row>
        <row r="825">
          <cell r="I825" t="str">
            <v>AF2062</v>
          </cell>
          <cell r="J825">
            <v>12100</v>
          </cell>
        </row>
        <row r="826">
          <cell r="I826" t="str">
            <v>AF2072</v>
          </cell>
          <cell r="J826">
            <v>13100</v>
          </cell>
        </row>
        <row r="827">
          <cell r="I827" t="str">
            <v>AF2082</v>
          </cell>
          <cell r="J827">
            <v>14200</v>
          </cell>
        </row>
        <row r="828">
          <cell r="I828" t="str">
            <v>AF2102</v>
          </cell>
          <cell r="J828">
            <v>15200</v>
          </cell>
        </row>
        <row r="829">
          <cell r="I829" t="str">
            <v>AF2122</v>
          </cell>
          <cell r="J829">
            <v>16300</v>
          </cell>
        </row>
        <row r="830">
          <cell r="I830" t="str">
            <v>AF3061</v>
          </cell>
          <cell r="J830">
            <v>3200</v>
          </cell>
        </row>
        <row r="831">
          <cell r="I831" t="str">
            <v>AF3071</v>
          </cell>
          <cell r="J831">
            <v>4200</v>
          </cell>
        </row>
        <row r="832">
          <cell r="I832" t="str">
            <v>AF3081</v>
          </cell>
          <cell r="J832">
            <v>4200</v>
          </cell>
        </row>
        <row r="833">
          <cell r="I833" t="str">
            <v>AF3101</v>
          </cell>
          <cell r="J833">
            <v>4700</v>
          </cell>
        </row>
        <row r="834">
          <cell r="I834" t="str">
            <v>AF3121</v>
          </cell>
          <cell r="J834">
            <v>5800</v>
          </cell>
        </row>
        <row r="835">
          <cell r="I835" t="str">
            <v>AF1062A</v>
          </cell>
          <cell r="J835">
            <v>17900</v>
          </cell>
        </row>
        <row r="836">
          <cell r="I836" t="str">
            <v>AF1064A</v>
          </cell>
          <cell r="J836">
            <v>32600</v>
          </cell>
        </row>
        <row r="837">
          <cell r="I837" t="str">
            <v>AF1072A</v>
          </cell>
          <cell r="J837">
            <v>19400</v>
          </cell>
        </row>
        <row r="838">
          <cell r="I838" t="str">
            <v>AF1074A</v>
          </cell>
          <cell r="J838">
            <v>35700</v>
          </cell>
        </row>
        <row r="839">
          <cell r="I839" t="str">
            <v>AF1082A</v>
          </cell>
          <cell r="J839">
            <v>21000</v>
          </cell>
        </row>
        <row r="840">
          <cell r="I840" t="str">
            <v>AF1084A</v>
          </cell>
          <cell r="J840">
            <v>38900</v>
          </cell>
        </row>
        <row r="841">
          <cell r="I841" t="str">
            <v>AF1102A</v>
          </cell>
          <cell r="J841">
            <v>24200</v>
          </cell>
        </row>
        <row r="842">
          <cell r="I842" t="str">
            <v>AF1104A</v>
          </cell>
          <cell r="J842">
            <v>45200</v>
          </cell>
        </row>
        <row r="843">
          <cell r="I843" t="str">
            <v>AF1122A</v>
          </cell>
          <cell r="J843">
            <v>27300</v>
          </cell>
        </row>
        <row r="844">
          <cell r="I844" t="str">
            <v>AF1124A</v>
          </cell>
          <cell r="J844">
            <v>51500</v>
          </cell>
        </row>
        <row r="845">
          <cell r="I845" t="str">
            <v>AF1064B</v>
          </cell>
          <cell r="J845">
            <v>30500</v>
          </cell>
        </row>
        <row r="846">
          <cell r="I846" t="str">
            <v>AF1074B</v>
          </cell>
          <cell r="J846">
            <v>34700</v>
          </cell>
        </row>
        <row r="847">
          <cell r="I847" t="str">
            <v>AF1084B</v>
          </cell>
          <cell r="J847">
            <v>38900</v>
          </cell>
        </row>
        <row r="848">
          <cell r="I848" t="str">
            <v>AF1104B</v>
          </cell>
          <cell r="J848">
            <v>54600</v>
          </cell>
        </row>
        <row r="849">
          <cell r="I849" t="str">
            <v>AF1124B</v>
          </cell>
          <cell r="J849">
            <v>59900</v>
          </cell>
        </row>
        <row r="850">
          <cell r="I850" t="str">
            <v>AT3006</v>
          </cell>
          <cell r="J850">
            <v>66200</v>
          </cell>
        </row>
        <row r="851">
          <cell r="I851" t="str">
            <v>AT3007</v>
          </cell>
          <cell r="J851">
            <v>69300</v>
          </cell>
        </row>
        <row r="852">
          <cell r="I852" t="str">
            <v>AT3008</v>
          </cell>
          <cell r="J852">
            <v>71400</v>
          </cell>
        </row>
        <row r="853">
          <cell r="I853" t="str">
            <v>AT3010</v>
          </cell>
          <cell r="J853">
            <v>77700</v>
          </cell>
        </row>
        <row r="854">
          <cell r="I854" t="str">
            <v>AT3012</v>
          </cell>
          <cell r="J854">
            <v>81900</v>
          </cell>
        </row>
        <row r="855">
          <cell r="I855" t="str">
            <v>AT3406</v>
          </cell>
          <cell r="J855">
            <v>78800</v>
          </cell>
        </row>
        <row r="856">
          <cell r="I856" t="str">
            <v>AT3407</v>
          </cell>
          <cell r="J856">
            <v>81900</v>
          </cell>
        </row>
        <row r="857">
          <cell r="I857" t="str">
            <v>AT3408</v>
          </cell>
          <cell r="J857">
            <v>84000</v>
          </cell>
        </row>
        <row r="858">
          <cell r="I858" t="str">
            <v>AT3410</v>
          </cell>
          <cell r="J858">
            <v>89300</v>
          </cell>
        </row>
        <row r="859">
          <cell r="I859" t="str">
            <v>AT3412</v>
          </cell>
          <cell r="J859">
            <v>93500</v>
          </cell>
        </row>
        <row r="860">
          <cell r="I860" t="str">
            <v>AT3306</v>
          </cell>
          <cell r="J860">
            <v>168000</v>
          </cell>
        </row>
        <row r="861">
          <cell r="I861" t="str">
            <v>AT3307</v>
          </cell>
          <cell r="J861">
            <v>173300</v>
          </cell>
        </row>
        <row r="862">
          <cell r="I862" t="str">
            <v>AT3308</v>
          </cell>
          <cell r="J862">
            <v>177500</v>
          </cell>
        </row>
        <row r="863">
          <cell r="I863" t="str">
            <v>AT3310</v>
          </cell>
          <cell r="J863">
            <v>189000</v>
          </cell>
        </row>
        <row r="864">
          <cell r="I864" t="str">
            <v>AT3312</v>
          </cell>
          <cell r="J864">
            <v>198500</v>
          </cell>
        </row>
        <row r="865">
          <cell r="I865" t="str">
            <v>AF066HB</v>
          </cell>
          <cell r="J865">
            <v>246800</v>
          </cell>
        </row>
        <row r="866">
          <cell r="I866" t="str">
            <v>AF076HB</v>
          </cell>
          <cell r="J866">
            <v>270900</v>
          </cell>
        </row>
        <row r="867">
          <cell r="I867" t="str">
            <v>AF086HB</v>
          </cell>
          <cell r="J867">
            <v>293000</v>
          </cell>
        </row>
        <row r="868">
          <cell r="I868" t="str">
            <v>AF106HB</v>
          </cell>
          <cell r="J868">
            <v>330800</v>
          </cell>
        </row>
        <row r="869">
          <cell r="I869" t="str">
            <v>AF126HB</v>
          </cell>
          <cell r="J869">
            <v>373800</v>
          </cell>
        </row>
        <row r="870">
          <cell r="I870" t="str">
            <v>AF068HB</v>
          </cell>
          <cell r="J870">
            <v>278300</v>
          </cell>
        </row>
        <row r="871">
          <cell r="I871" t="str">
            <v>AF078HB</v>
          </cell>
          <cell r="J871">
            <v>306600</v>
          </cell>
        </row>
        <row r="872">
          <cell r="I872" t="str">
            <v>AF088HB</v>
          </cell>
          <cell r="J872">
            <v>330800</v>
          </cell>
        </row>
        <row r="873">
          <cell r="I873" t="str">
            <v>AF108HB</v>
          </cell>
          <cell r="J873">
            <v>373800</v>
          </cell>
        </row>
        <row r="874">
          <cell r="I874" t="str">
            <v>AF128HB</v>
          </cell>
          <cell r="J874">
            <v>425300</v>
          </cell>
        </row>
        <row r="875">
          <cell r="I875" t="str">
            <v>AF062C</v>
          </cell>
          <cell r="J875">
            <v>176400</v>
          </cell>
        </row>
        <row r="876">
          <cell r="I876" t="str">
            <v>AF072C</v>
          </cell>
          <cell r="J876">
            <v>192200</v>
          </cell>
        </row>
        <row r="877">
          <cell r="I877" t="str">
            <v>AF082C</v>
          </cell>
          <cell r="J877">
            <v>206300</v>
          </cell>
        </row>
        <row r="878">
          <cell r="I878" t="str">
            <v>AF102C</v>
          </cell>
          <cell r="J878">
            <v>230000</v>
          </cell>
        </row>
        <row r="879">
          <cell r="I879" t="str">
            <v>AF122C</v>
          </cell>
          <cell r="J879">
            <v>255700</v>
          </cell>
        </row>
        <row r="880">
          <cell r="I880" t="str">
            <v>AF064S</v>
          </cell>
          <cell r="J880">
            <v>51500</v>
          </cell>
        </row>
        <row r="881">
          <cell r="I881" t="str">
            <v>AF074S</v>
          </cell>
          <cell r="J881">
            <v>56700</v>
          </cell>
        </row>
        <row r="882">
          <cell r="I882" t="str">
            <v>AF084S</v>
          </cell>
          <cell r="J882">
            <v>62000</v>
          </cell>
        </row>
        <row r="883">
          <cell r="I883" t="str">
            <v>AF104S</v>
          </cell>
          <cell r="J883">
            <v>71400</v>
          </cell>
        </row>
        <row r="884">
          <cell r="I884" t="str">
            <v>AF124S</v>
          </cell>
          <cell r="J884">
            <v>80900</v>
          </cell>
        </row>
        <row r="885">
          <cell r="I885" t="str">
            <v>AF064SG</v>
          </cell>
          <cell r="J885">
            <v>67200</v>
          </cell>
        </row>
        <row r="886">
          <cell r="I886" t="str">
            <v>AF074SG</v>
          </cell>
          <cell r="J886">
            <v>74600</v>
          </cell>
        </row>
        <row r="887">
          <cell r="I887" t="str">
            <v>AF084SG</v>
          </cell>
          <cell r="J887">
            <v>81900</v>
          </cell>
        </row>
        <row r="888">
          <cell r="I888" t="str">
            <v>AF104SG</v>
          </cell>
          <cell r="J888">
            <v>94500</v>
          </cell>
        </row>
        <row r="889">
          <cell r="I889" t="str">
            <v>AF124SG</v>
          </cell>
          <cell r="J889">
            <v>110300</v>
          </cell>
        </row>
        <row r="890">
          <cell r="I890" t="str">
            <v>AF064SB</v>
          </cell>
          <cell r="J890">
            <v>79800</v>
          </cell>
        </row>
        <row r="891">
          <cell r="I891" t="str">
            <v>AF074SB</v>
          </cell>
          <cell r="J891">
            <v>90300</v>
          </cell>
        </row>
        <row r="892">
          <cell r="I892" t="str">
            <v>AF084SB</v>
          </cell>
          <cell r="J892">
            <v>100800</v>
          </cell>
        </row>
        <row r="893">
          <cell r="I893" t="str">
            <v>AF104SB</v>
          </cell>
          <cell r="J893">
            <v>135500</v>
          </cell>
        </row>
        <row r="894">
          <cell r="I894" t="str">
            <v>AF124SB</v>
          </cell>
          <cell r="J894">
            <v>149100</v>
          </cell>
        </row>
        <row r="895">
          <cell r="I895" t="str">
            <v>AF064SA</v>
          </cell>
          <cell r="J895">
            <v>84000</v>
          </cell>
        </row>
        <row r="896">
          <cell r="I896" t="str">
            <v>AF074SA</v>
          </cell>
          <cell r="J896">
            <v>92400</v>
          </cell>
        </row>
        <row r="897">
          <cell r="I897" t="str">
            <v>AF084SA</v>
          </cell>
          <cell r="J897">
            <v>100800</v>
          </cell>
        </row>
        <row r="898">
          <cell r="I898" t="str">
            <v>AF104SA</v>
          </cell>
          <cell r="J898">
            <v>116600</v>
          </cell>
        </row>
        <row r="899">
          <cell r="I899" t="str">
            <v>AF124SA</v>
          </cell>
          <cell r="J899">
            <v>132300</v>
          </cell>
        </row>
        <row r="900">
          <cell r="I900" t="str">
            <v>AF064SD</v>
          </cell>
          <cell r="J900">
            <v>65600</v>
          </cell>
        </row>
        <row r="901">
          <cell r="I901" t="str">
            <v>AF074SD</v>
          </cell>
          <cell r="J901">
            <v>73500</v>
          </cell>
        </row>
        <row r="902">
          <cell r="I902" t="str">
            <v>AF084SD</v>
          </cell>
          <cell r="J902">
            <v>81400</v>
          </cell>
        </row>
        <row r="903">
          <cell r="I903" t="str">
            <v>AF104SD</v>
          </cell>
          <cell r="J903">
            <v>103400</v>
          </cell>
        </row>
        <row r="904">
          <cell r="I904" t="str">
            <v>AF124SD</v>
          </cell>
          <cell r="J904">
            <v>115000</v>
          </cell>
        </row>
        <row r="905">
          <cell r="I905" t="str">
            <v>AF064SC</v>
          </cell>
          <cell r="J905">
            <v>67700</v>
          </cell>
        </row>
        <row r="906">
          <cell r="I906" t="str">
            <v>AF074SC</v>
          </cell>
          <cell r="J906">
            <v>74600</v>
          </cell>
        </row>
        <row r="907">
          <cell r="I907" t="str">
            <v>AF084SC</v>
          </cell>
          <cell r="J907">
            <v>81400</v>
          </cell>
        </row>
        <row r="908">
          <cell r="I908" t="str">
            <v>AF104SC</v>
          </cell>
          <cell r="J908">
            <v>94000</v>
          </cell>
        </row>
        <row r="909">
          <cell r="I909" t="str">
            <v>AF124SC</v>
          </cell>
          <cell r="J909">
            <v>106600</v>
          </cell>
        </row>
        <row r="910">
          <cell r="I910" t="str">
            <v>AF064SM</v>
          </cell>
          <cell r="J910">
            <v>81900</v>
          </cell>
        </row>
        <row r="911">
          <cell r="I911" t="str">
            <v>AF074SM</v>
          </cell>
          <cell r="J911">
            <v>91400</v>
          </cell>
        </row>
        <row r="912">
          <cell r="I912" t="str">
            <v>AF084SM</v>
          </cell>
          <cell r="J912">
            <v>100800</v>
          </cell>
        </row>
        <row r="913">
          <cell r="I913" t="str">
            <v>AF104SM</v>
          </cell>
          <cell r="J913">
            <v>126000</v>
          </cell>
        </row>
        <row r="914">
          <cell r="I914" t="str">
            <v>AF124SM</v>
          </cell>
          <cell r="J914">
            <v>140700</v>
          </cell>
        </row>
        <row r="915">
          <cell r="I915" t="str">
            <v>AF062A</v>
          </cell>
          <cell r="J915">
            <v>182700</v>
          </cell>
        </row>
        <row r="916">
          <cell r="I916" t="str">
            <v>AF072A</v>
          </cell>
          <cell r="J916">
            <v>199500</v>
          </cell>
        </row>
        <row r="917">
          <cell r="I917" t="str">
            <v>AF082A</v>
          </cell>
          <cell r="J917">
            <v>214200</v>
          </cell>
        </row>
        <row r="918">
          <cell r="I918" t="str">
            <v>AF102A</v>
          </cell>
          <cell r="J918">
            <v>239400</v>
          </cell>
        </row>
        <row r="919">
          <cell r="I919" t="str">
            <v>AF122A</v>
          </cell>
          <cell r="J919">
            <v>266700</v>
          </cell>
        </row>
        <row r="920">
          <cell r="I920" t="str">
            <v>SD008L</v>
          </cell>
          <cell r="J920">
            <v>177500</v>
          </cell>
        </row>
        <row r="921">
          <cell r="I921" t="str">
            <v>SD008R</v>
          </cell>
          <cell r="J921">
            <v>177500</v>
          </cell>
        </row>
        <row r="922">
          <cell r="I922" t="str">
            <v>SD008</v>
          </cell>
          <cell r="J922">
            <v>177500</v>
          </cell>
        </row>
        <row r="923">
          <cell r="I923" t="str">
            <v>SD012L</v>
          </cell>
          <cell r="J923">
            <v>210000</v>
          </cell>
        </row>
        <row r="924">
          <cell r="I924" t="str">
            <v>SD012R</v>
          </cell>
          <cell r="J924">
            <v>210000</v>
          </cell>
        </row>
        <row r="925">
          <cell r="I925" t="str">
            <v>SD012</v>
          </cell>
          <cell r="J925">
            <v>210000</v>
          </cell>
        </row>
        <row r="926">
          <cell r="I926" t="str">
            <v>SD014L</v>
          </cell>
          <cell r="J926">
            <v>236300</v>
          </cell>
        </row>
        <row r="927">
          <cell r="I927" t="str">
            <v>SD014R</v>
          </cell>
          <cell r="J927">
            <v>236300</v>
          </cell>
        </row>
        <row r="928">
          <cell r="I928" t="str">
            <v>SD014</v>
          </cell>
          <cell r="J928">
            <v>236300</v>
          </cell>
        </row>
        <row r="929">
          <cell r="I929" t="str">
            <v>SD016L</v>
          </cell>
          <cell r="J929">
            <v>254100</v>
          </cell>
        </row>
        <row r="930">
          <cell r="I930" t="str">
            <v>SD016R</v>
          </cell>
          <cell r="J930">
            <v>254100</v>
          </cell>
        </row>
        <row r="931">
          <cell r="I931" t="str">
            <v>SD016</v>
          </cell>
          <cell r="J931">
            <v>254100</v>
          </cell>
        </row>
        <row r="932">
          <cell r="I932" t="str">
            <v>SD316L</v>
          </cell>
          <cell r="J932">
            <v>339200</v>
          </cell>
        </row>
        <row r="933">
          <cell r="I933" t="str">
            <v>SD316R</v>
          </cell>
          <cell r="J933">
            <v>339200</v>
          </cell>
        </row>
        <row r="934">
          <cell r="I934" t="str">
            <v>SD318R</v>
          </cell>
          <cell r="J934">
            <v>356000</v>
          </cell>
        </row>
        <row r="935">
          <cell r="I935" t="str">
            <v>SD318L</v>
          </cell>
          <cell r="J935">
            <v>356000</v>
          </cell>
        </row>
        <row r="936">
          <cell r="I936" t="str">
            <v>SP0202</v>
          </cell>
          <cell r="J936">
            <v>146000</v>
          </cell>
        </row>
        <row r="937">
          <cell r="I937" t="str">
            <v>SP0203</v>
          </cell>
          <cell r="J937">
            <v>161700</v>
          </cell>
        </row>
        <row r="938">
          <cell r="I938" t="str">
            <v>SP0302</v>
          </cell>
          <cell r="J938">
            <v>170100</v>
          </cell>
        </row>
        <row r="939">
          <cell r="I939" t="str">
            <v>SP0303</v>
          </cell>
          <cell r="J939">
            <v>185900</v>
          </cell>
        </row>
        <row r="940">
          <cell r="I940" t="str">
            <v>SP0300</v>
          </cell>
          <cell r="J940">
            <v>53600</v>
          </cell>
        </row>
        <row r="941">
          <cell r="I941" t="str">
            <v>SD507</v>
          </cell>
          <cell r="J941">
            <v>174300</v>
          </cell>
        </row>
        <row r="942">
          <cell r="I942" t="str">
            <v>SD507F</v>
          </cell>
          <cell r="J942">
            <v>298200</v>
          </cell>
        </row>
        <row r="943">
          <cell r="I943" t="str">
            <v>SD517</v>
          </cell>
          <cell r="J943">
            <v>92400</v>
          </cell>
        </row>
        <row r="944">
          <cell r="I944" t="str">
            <v>SD517F</v>
          </cell>
          <cell r="J944">
            <v>217400</v>
          </cell>
        </row>
        <row r="945">
          <cell r="I945" t="str">
            <v>SD547</v>
          </cell>
          <cell r="J945">
            <v>60900</v>
          </cell>
        </row>
        <row r="946">
          <cell r="I946" t="str">
            <v>SD597</v>
          </cell>
          <cell r="J946">
            <v>77700</v>
          </cell>
        </row>
        <row r="947">
          <cell r="I947" t="str">
            <v>SD406L</v>
          </cell>
          <cell r="J947">
            <v>84000</v>
          </cell>
        </row>
        <row r="948">
          <cell r="I948" t="str">
            <v>SD406R</v>
          </cell>
          <cell r="J948">
            <v>84000</v>
          </cell>
        </row>
        <row r="949">
          <cell r="I949" t="str">
            <v>SD912</v>
          </cell>
          <cell r="J949">
            <v>162800</v>
          </cell>
        </row>
        <row r="950">
          <cell r="I950" t="str">
            <v>SD912F</v>
          </cell>
          <cell r="J950">
            <v>199500</v>
          </cell>
        </row>
        <row r="951">
          <cell r="I951" t="str">
            <v>SD955</v>
          </cell>
          <cell r="J951">
            <v>99800</v>
          </cell>
        </row>
        <row r="952">
          <cell r="I952" t="str">
            <v>SD977</v>
          </cell>
          <cell r="J952">
            <v>189000</v>
          </cell>
        </row>
        <row r="953">
          <cell r="I953" t="str">
            <v>SD927L</v>
          </cell>
          <cell r="J953">
            <v>165900</v>
          </cell>
        </row>
        <row r="954">
          <cell r="I954" t="str">
            <v>SD927R</v>
          </cell>
          <cell r="J954">
            <v>165900</v>
          </cell>
        </row>
        <row r="955">
          <cell r="I955" t="str">
            <v>SD990</v>
          </cell>
          <cell r="J955">
            <v>153300</v>
          </cell>
        </row>
        <row r="956">
          <cell r="I956" t="str">
            <v>SF008</v>
          </cell>
          <cell r="J956">
            <v>75600</v>
          </cell>
        </row>
        <row r="957">
          <cell r="I957" t="str">
            <v>SF008BE</v>
          </cell>
          <cell r="J957">
            <v>67200</v>
          </cell>
        </row>
        <row r="958">
          <cell r="I958" t="str">
            <v>SF012</v>
          </cell>
          <cell r="J958">
            <v>94500</v>
          </cell>
        </row>
        <row r="959">
          <cell r="I959" t="str">
            <v>SF012BE</v>
          </cell>
          <cell r="J959">
            <v>84000</v>
          </cell>
        </row>
        <row r="960">
          <cell r="I960" t="str">
            <v>SF014</v>
          </cell>
          <cell r="J960">
            <v>105000</v>
          </cell>
        </row>
        <row r="961">
          <cell r="I961" t="str">
            <v>SF014BE</v>
          </cell>
          <cell r="J961">
            <v>93500</v>
          </cell>
        </row>
        <row r="962">
          <cell r="I962" t="str">
            <v>SF016</v>
          </cell>
          <cell r="J962">
            <v>114500</v>
          </cell>
        </row>
        <row r="963">
          <cell r="I963" t="str">
            <v>SF016BE</v>
          </cell>
          <cell r="J963">
            <v>101900</v>
          </cell>
        </row>
        <row r="964">
          <cell r="I964" t="str">
            <v>SF300</v>
          </cell>
          <cell r="J964">
            <v>34700</v>
          </cell>
        </row>
        <row r="965">
          <cell r="I965" t="str">
            <v>SF300BE</v>
          </cell>
          <cell r="J965">
            <v>29400</v>
          </cell>
        </row>
        <row r="966">
          <cell r="I966" t="str">
            <v>SF912</v>
          </cell>
          <cell r="J966">
            <v>49400</v>
          </cell>
        </row>
        <row r="967">
          <cell r="I967" t="str">
            <v>SF912BE</v>
          </cell>
          <cell r="J967">
            <v>42000</v>
          </cell>
        </row>
        <row r="968">
          <cell r="I968" t="str">
            <v>SF507</v>
          </cell>
          <cell r="J968">
            <v>173300</v>
          </cell>
        </row>
        <row r="969">
          <cell r="I969" t="str">
            <v>SF507BE</v>
          </cell>
          <cell r="J969">
            <v>152300</v>
          </cell>
        </row>
        <row r="970">
          <cell r="I970" t="str">
            <v>SF517</v>
          </cell>
          <cell r="J970">
            <v>135500</v>
          </cell>
        </row>
        <row r="971">
          <cell r="I971" t="str">
            <v>SF517BE</v>
          </cell>
          <cell r="J971">
            <v>118700</v>
          </cell>
        </row>
        <row r="972">
          <cell r="I972" t="str">
            <v>SF316</v>
          </cell>
          <cell r="J972">
            <v>193200</v>
          </cell>
        </row>
        <row r="973">
          <cell r="I973" t="str">
            <v>SF316BE</v>
          </cell>
          <cell r="J973">
            <v>170100</v>
          </cell>
        </row>
        <row r="974">
          <cell r="I974" t="str">
            <v>SF507T</v>
          </cell>
          <cell r="J974">
            <v>260400</v>
          </cell>
        </row>
        <row r="975">
          <cell r="I975" t="str">
            <v>SF507TBE</v>
          </cell>
          <cell r="J975">
            <v>228900</v>
          </cell>
        </row>
        <row r="976">
          <cell r="I976" t="str">
            <v>SC182</v>
          </cell>
          <cell r="J976">
            <v>116600</v>
          </cell>
        </row>
        <row r="977">
          <cell r="I977" t="str">
            <v>SC183</v>
          </cell>
          <cell r="J977">
            <v>149100</v>
          </cell>
        </row>
        <row r="978">
          <cell r="I978" t="str">
            <v>SC1082</v>
          </cell>
          <cell r="J978">
            <v>80900</v>
          </cell>
        </row>
        <row r="979">
          <cell r="I979" t="str">
            <v>SC1083</v>
          </cell>
          <cell r="J979">
            <v>113400</v>
          </cell>
        </row>
        <row r="980">
          <cell r="I980" t="str">
            <v>SC0084</v>
          </cell>
          <cell r="J980">
            <v>144900</v>
          </cell>
        </row>
        <row r="981">
          <cell r="I981" t="str">
            <v>SC0085S</v>
          </cell>
          <cell r="J981">
            <v>153300</v>
          </cell>
        </row>
        <row r="982">
          <cell r="I982" t="str">
            <v>SC0086</v>
          </cell>
          <cell r="J982">
            <v>202700</v>
          </cell>
        </row>
        <row r="983">
          <cell r="I983" t="str">
            <v>SC0054</v>
          </cell>
          <cell r="J983">
            <v>110300</v>
          </cell>
        </row>
        <row r="984">
          <cell r="I984" t="str">
            <v>SC0055S</v>
          </cell>
          <cell r="J984">
            <v>122900</v>
          </cell>
        </row>
        <row r="985">
          <cell r="I985" t="str">
            <v>SC0056</v>
          </cell>
          <cell r="J985">
            <v>170100</v>
          </cell>
        </row>
        <row r="986">
          <cell r="I986" t="str">
            <v>SC5054</v>
          </cell>
          <cell r="J986">
            <v>110300</v>
          </cell>
        </row>
        <row r="987">
          <cell r="I987" t="str">
            <v>SC5055S</v>
          </cell>
          <cell r="J987">
            <v>122900</v>
          </cell>
        </row>
        <row r="988">
          <cell r="I988" t="str">
            <v>SC9108</v>
          </cell>
          <cell r="J988">
            <v>35700</v>
          </cell>
        </row>
        <row r="989">
          <cell r="I989" t="str">
            <v>SC9105</v>
          </cell>
          <cell r="J989">
            <v>26300</v>
          </cell>
        </row>
        <row r="990">
          <cell r="I990" t="str">
            <v>SB1082</v>
          </cell>
          <cell r="J990">
            <v>65100</v>
          </cell>
        </row>
        <row r="991">
          <cell r="I991" t="str">
            <v>SB1083</v>
          </cell>
          <cell r="J991">
            <v>81900</v>
          </cell>
        </row>
        <row r="992">
          <cell r="I992" t="str">
            <v>SB0082</v>
          </cell>
          <cell r="J992">
            <v>65100</v>
          </cell>
        </row>
        <row r="993">
          <cell r="I993" t="str">
            <v>SB0084</v>
          </cell>
          <cell r="J993">
            <v>108200</v>
          </cell>
        </row>
        <row r="994">
          <cell r="I994" t="str">
            <v>SB0085S</v>
          </cell>
          <cell r="J994">
            <v>120800</v>
          </cell>
        </row>
        <row r="995">
          <cell r="I995" t="str">
            <v>SB0086</v>
          </cell>
          <cell r="J995">
            <v>143900</v>
          </cell>
        </row>
        <row r="996">
          <cell r="I996" t="str">
            <v>SB0083SG</v>
          </cell>
          <cell r="J996">
            <v>85100</v>
          </cell>
        </row>
        <row r="997">
          <cell r="I997" t="str">
            <v>SB052L</v>
          </cell>
          <cell r="J997">
            <v>45200</v>
          </cell>
        </row>
        <row r="998">
          <cell r="I998" t="str">
            <v>SB052R</v>
          </cell>
          <cell r="J998">
            <v>45200</v>
          </cell>
        </row>
        <row r="999">
          <cell r="I999" t="str">
            <v>SB054L</v>
          </cell>
          <cell r="J999">
            <v>74600</v>
          </cell>
        </row>
        <row r="1000">
          <cell r="I1000" t="str">
            <v>SB054R</v>
          </cell>
          <cell r="J1000">
            <v>74600</v>
          </cell>
        </row>
        <row r="1001">
          <cell r="I1001" t="str">
            <v>SB055SL</v>
          </cell>
          <cell r="J1001">
            <v>80900</v>
          </cell>
        </row>
        <row r="1002">
          <cell r="I1002" t="str">
            <v>SB055SR</v>
          </cell>
          <cell r="J1002">
            <v>80900</v>
          </cell>
        </row>
        <row r="1003">
          <cell r="I1003" t="str">
            <v>SB056L</v>
          </cell>
          <cell r="J1003">
            <v>107100</v>
          </cell>
        </row>
        <row r="1004">
          <cell r="I1004" t="str">
            <v>SB056R</v>
          </cell>
          <cell r="J1004">
            <v>107100</v>
          </cell>
        </row>
        <row r="1005">
          <cell r="I1005" t="str">
            <v>SB9082</v>
          </cell>
          <cell r="J1005">
            <v>39900</v>
          </cell>
        </row>
        <row r="1006">
          <cell r="I1006" t="str">
            <v>SB9082BE</v>
          </cell>
          <cell r="J1006">
            <v>25800</v>
          </cell>
        </row>
        <row r="1007">
          <cell r="I1007" t="str">
            <v>SB9083</v>
          </cell>
          <cell r="J1007">
            <v>59900</v>
          </cell>
        </row>
        <row r="1008">
          <cell r="I1008" t="str">
            <v>SB9083BE</v>
          </cell>
          <cell r="J1008">
            <v>38900</v>
          </cell>
        </row>
        <row r="1009">
          <cell r="I1009" t="str">
            <v>SB9084</v>
          </cell>
          <cell r="J1009">
            <v>80900</v>
          </cell>
        </row>
        <row r="1010">
          <cell r="I1010" t="str">
            <v>SB9084BE</v>
          </cell>
          <cell r="J1010">
            <v>53600</v>
          </cell>
        </row>
        <row r="1011">
          <cell r="I1011" t="str">
            <v>SB9085S</v>
          </cell>
          <cell r="J1011">
            <v>93500</v>
          </cell>
        </row>
        <row r="1012">
          <cell r="I1012" t="str">
            <v>SB9055SBE</v>
          </cell>
          <cell r="J1012">
            <v>63000</v>
          </cell>
        </row>
        <row r="1013">
          <cell r="I1013" t="str">
            <v>SB9054</v>
          </cell>
          <cell r="J1013">
            <v>45200</v>
          </cell>
        </row>
        <row r="1014">
          <cell r="I1014" t="str">
            <v>SB9054BE</v>
          </cell>
          <cell r="J1014">
            <v>32600</v>
          </cell>
        </row>
        <row r="1015">
          <cell r="I1015" t="str">
            <v>SB9055S</v>
          </cell>
          <cell r="J1015">
            <v>57800</v>
          </cell>
        </row>
        <row r="1016">
          <cell r="I1016" t="str">
            <v>SB9055SBE</v>
          </cell>
          <cell r="J1016">
            <v>38900</v>
          </cell>
        </row>
        <row r="1017">
          <cell r="I1017" t="str">
            <v>SC981F</v>
          </cell>
          <cell r="J1017">
            <v>93000</v>
          </cell>
        </row>
        <row r="1018">
          <cell r="I1018" t="str">
            <v>SC981C</v>
          </cell>
          <cell r="J1018">
            <v>73000</v>
          </cell>
        </row>
        <row r="1019">
          <cell r="I1019" t="str">
            <v>SC982F</v>
          </cell>
          <cell r="J1019">
            <v>137000</v>
          </cell>
        </row>
        <row r="1020">
          <cell r="I1020" t="str">
            <v>SC982C</v>
          </cell>
          <cell r="J1020">
            <v>108000</v>
          </cell>
        </row>
        <row r="1021">
          <cell r="I1021" t="str">
            <v>SC951F</v>
          </cell>
          <cell r="J1021">
            <v>77000</v>
          </cell>
        </row>
        <row r="1022">
          <cell r="I1022" t="str">
            <v>SC951C</v>
          </cell>
          <cell r="J1022">
            <v>57000</v>
          </cell>
        </row>
        <row r="1023">
          <cell r="I1023" t="str">
            <v>SC952F</v>
          </cell>
          <cell r="J1023">
            <v>113000</v>
          </cell>
        </row>
        <row r="1024">
          <cell r="I1024" t="str">
            <v>SC952C</v>
          </cell>
          <cell r="J1024">
            <v>84000</v>
          </cell>
        </row>
        <row r="1025">
          <cell r="I1025" t="str">
            <v>SC9350</v>
          </cell>
          <cell r="J1025">
            <v>18000</v>
          </cell>
        </row>
        <row r="1026">
          <cell r="I1026" t="str">
            <v>SC9380</v>
          </cell>
          <cell r="J1026">
            <v>26000</v>
          </cell>
        </row>
        <row r="1027">
          <cell r="I1027" t="str">
            <v>SF517T</v>
          </cell>
          <cell r="J1027">
            <v>203700</v>
          </cell>
        </row>
        <row r="1028">
          <cell r="I1028" t="str">
            <v>SF517TBE</v>
          </cell>
          <cell r="J1028">
            <v>178500</v>
          </cell>
        </row>
        <row r="1029">
          <cell r="I1029" t="str">
            <v>SF316TA</v>
          </cell>
          <cell r="J1029">
            <v>300300</v>
          </cell>
        </row>
        <row r="1030">
          <cell r="I1030" t="str">
            <v>SF316TABE</v>
          </cell>
          <cell r="J1030">
            <v>264600</v>
          </cell>
        </row>
        <row r="1031">
          <cell r="I1031" t="str">
            <v>SF316TB</v>
          </cell>
          <cell r="J1031">
            <v>280400</v>
          </cell>
        </row>
        <row r="1032">
          <cell r="I1032" t="str">
            <v>SF316TBBE</v>
          </cell>
          <cell r="J1032">
            <v>246800</v>
          </cell>
        </row>
        <row r="1033">
          <cell r="I1033" t="str">
            <v>SC282</v>
          </cell>
          <cell r="J1033">
            <v>362300</v>
          </cell>
        </row>
        <row r="1034">
          <cell r="I1034" t="str">
            <v>SC283</v>
          </cell>
          <cell r="J1034">
            <v>485100</v>
          </cell>
        </row>
        <row r="1035">
          <cell r="I1035" t="str">
            <v>SC2082</v>
          </cell>
          <cell r="J1035">
            <v>326600</v>
          </cell>
        </row>
        <row r="1036">
          <cell r="I1036" t="str">
            <v>SC2083</v>
          </cell>
          <cell r="J1036">
            <v>449400</v>
          </cell>
        </row>
        <row r="1037">
          <cell r="I1037" t="str">
            <v>SC162</v>
          </cell>
          <cell r="J1037">
            <v>114500</v>
          </cell>
        </row>
        <row r="1038">
          <cell r="I1038" t="str">
            <v>SC662L</v>
          </cell>
          <cell r="J1038">
            <v>236300</v>
          </cell>
        </row>
        <row r="1039">
          <cell r="I1039" t="str">
            <v>SC662R</v>
          </cell>
          <cell r="J1039">
            <v>236300</v>
          </cell>
        </row>
        <row r="1040">
          <cell r="I1040" t="str">
            <v>SC764</v>
          </cell>
          <cell r="J1040">
            <v>239400</v>
          </cell>
        </row>
        <row r="1041">
          <cell r="I1041" t="str">
            <v>SA0101</v>
          </cell>
          <cell r="J1041">
            <v>4800</v>
          </cell>
        </row>
        <row r="1042">
          <cell r="I1042" t="str">
            <v>SA0102</v>
          </cell>
          <cell r="J1042">
            <v>4800</v>
          </cell>
        </row>
        <row r="1043">
          <cell r="I1043" t="str">
            <v>SA0103</v>
          </cell>
          <cell r="J1043">
            <v>4800</v>
          </cell>
        </row>
        <row r="1044">
          <cell r="I1044" t="str">
            <v>SA0104</v>
          </cell>
          <cell r="J1044">
            <v>9700</v>
          </cell>
        </row>
        <row r="1045">
          <cell r="I1045" t="str">
            <v>SA1012</v>
          </cell>
          <cell r="J1045">
            <v>60900</v>
          </cell>
        </row>
        <row r="1046">
          <cell r="I1046" t="str">
            <v>SA1014</v>
          </cell>
          <cell r="J1046">
            <v>68300</v>
          </cell>
        </row>
        <row r="1047">
          <cell r="I1047" t="str">
            <v>SA0201</v>
          </cell>
          <cell r="J1047">
            <v>57800</v>
          </cell>
        </row>
        <row r="1048">
          <cell r="I1048" t="str">
            <v>SA0301</v>
          </cell>
          <cell r="J1048">
            <v>14700</v>
          </cell>
        </row>
        <row r="1049">
          <cell r="I1049" t="str">
            <v>SA0401</v>
          </cell>
          <cell r="J1049">
            <v>14700</v>
          </cell>
        </row>
        <row r="1050">
          <cell r="I1050" t="str">
            <v>SA9900</v>
          </cell>
          <cell r="J1050">
            <v>8900</v>
          </cell>
        </row>
        <row r="1051">
          <cell r="I1051" t="str">
            <v>IF0060</v>
          </cell>
          <cell r="J1051">
            <v>33600</v>
          </cell>
        </row>
        <row r="1052">
          <cell r="I1052" t="str">
            <v>IF0070</v>
          </cell>
          <cell r="J1052">
            <v>36800</v>
          </cell>
        </row>
        <row r="1053">
          <cell r="I1053" t="str">
            <v>IF0080</v>
          </cell>
          <cell r="J1053">
            <v>39900</v>
          </cell>
        </row>
        <row r="1054">
          <cell r="I1054" t="str">
            <v>IF0100</v>
          </cell>
          <cell r="J1054">
            <v>45200</v>
          </cell>
        </row>
        <row r="1055">
          <cell r="I1055" t="str">
            <v>IF0120</v>
          </cell>
          <cell r="J1055">
            <v>50400</v>
          </cell>
        </row>
        <row r="1056">
          <cell r="I1056" t="str">
            <v>IF0062</v>
          </cell>
          <cell r="J1056">
            <v>36800</v>
          </cell>
        </row>
        <row r="1057">
          <cell r="I1057" t="str">
            <v>IF0072</v>
          </cell>
          <cell r="J1057">
            <v>39900</v>
          </cell>
        </row>
        <row r="1058">
          <cell r="I1058" t="str">
            <v>IF0082</v>
          </cell>
          <cell r="J1058">
            <v>43100</v>
          </cell>
        </row>
        <row r="1059">
          <cell r="I1059" t="str">
            <v>IF0102</v>
          </cell>
          <cell r="J1059">
            <v>48300</v>
          </cell>
        </row>
        <row r="1060">
          <cell r="I1060" t="str">
            <v>IF0122</v>
          </cell>
          <cell r="J1060">
            <v>53600</v>
          </cell>
        </row>
        <row r="1061">
          <cell r="I1061" t="str">
            <v>IF0064</v>
          </cell>
          <cell r="J1061">
            <v>42000</v>
          </cell>
        </row>
        <row r="1062">
          <cell r="I1062" t="str">
            <v>IF0074</v>
          </cell>
          <cell r="J1062">
            <v>45200</v>
          </cell>
        </row>
        <row r="1063">
          <cell r="I1063" t="str">
            <v>IF0084</v>
          </cell>
          <cell r="J1063">
            <v>48300</v>
          </cell>
        </row>
        <row r="1064">
          <cell r="I1064" t="str">
            <v>IF0104</v>
          </cell>
          <cell r="J1064">
            <v>53600</v>
          </cell>
        </row>
        <row r="1065">
          <cell r="I1065" t="str">
            <v>IF0124</v>
          </cell>
          <cell r="J1065">
            <v>58800</v>
          </cell>
        </row>
        <row r="1066">
          <cell r="I1066" t="str">
            <v>IF0066</v>
          </cell>
          <cell r="J1066">
            <v>47300</v>
          </cell>
        </row>
        <row r="1067">
          <cell r="I1067" t="str">
            <v>IF0076</v>
          </cell>
          <cell r="J1067">
            <v>50400</v>
          </cell>
        </row>
        <row r="1068">
          <cell r="I1068" t="str">
            <v>IF0086</v>
          </cell>
          <cell r="J1068">
            <v>53600</v>
          </cell>
        </row>
        <row r="1069">
          <cell r="I1069" t="str">
            <v>IF0106</v>
          </cell>
          <cell r="J1069">
            <v>58800</v>
          </cell>
        </row>
        <row r="1070">
          <cell r="I1070" t="str">
            <v>IF0126</v>
          </cell>
          <cell r="J1070">
            <v>64100</v>
          </cell>
        </row>
        <row r="1071">
          <cell r="I1071" t="str">
            <v>IF0068</v>
          </cell>
          <cell r="J1071">
            <v>51500</v>
          </cell>
        </row>
        <row r="1072">
          <cell r="I1072" t="str">
            <v>IF0078</v>
          </cell>
          <cell r="J1072">
            <v>54600</v>
          </cell>
        </row>
        <row r="1073">
          <cell r="I1073" t="str">
            <v>IF0088</v>
          </cell>
          <cell r="J1073">
            <v>57800</v>
          </cell>
        </row>
        <row r="1074">
          <cell r="I1074" t="str">
            <v>IF0108</v>
          </cell>
          <cell r="J1074">
            <v>63000</v>
          </cell>
        </row>
        <row r="1075">
          <cell r="I1075" t="str">
            <v>IF0128</v>
          </cell>
          <cell r="J1075">
            <v>68300</v>
          </cell>
        </row>
        <row r="1076">
          <cell r="I1076" t="str">
            <v>IF3061</v>
          </cell>
          <cell r="J1076">
            <v>10000</v>
          </cell>
        </row>
        <row r="1077">
          <cell r="I1077" t="str">
            <v>IF3071</v>
          </cell>
          <cell r="J1077">
            <v>11000</v>
          </cell>
        </row>
        <row r="1078">
          <cell r="I1078" t="str">
            <v>IF3081</v>
          </cell>
          <cell r="J1078">
            <v>12600</v>
          </cell>
        </row>
        <row r="1079">
          <cell r="I1079" t="str">
            <v>IF3101</v>
          </cell>
          <cell r="J1079">
            <v>14700</v>
          </cell>
        </row>
        <row r="1080">
          <cell r="I1080" t="str">
            <v>IF3121</v>
          </cell>
          <cell r="J1080">
            <v>16800</v>
          </cell>
        </row>
        <row r="1081">
          <cell r="I1081" t="str">
            <v>IF1062</v>
          </cell>
          <cell r="J1081">
            <v>8400</v>
          </cell>
        </row>
        <row r="1082">
          <cell r="I1082" t="str">
            <v>IF1072</v>
          </cell>
          <cell r="J1082">
            <v>10000</v>
          </cell>
        </row>
        <row r="1083">
          <cell r="I1083" t="str">
            <v>IF1082</v>
          </cell>
          <cell r="J1083">
            <v>11600</v>
          </cell>
        </row>
        <row r="1084">
          <cell r="I1084" t="str">
            <v>IF1102</v>
          </cell>
          <cell r="J1084">
            <v>13100</v>
          </cell>
        </row>
        <row r="1085">
          <cell r="I1085" t="str">
            <v>IF1122</v>
          </cell>
          <cell r="J1085">
            <v>14700</v>
          </cell>
        </row>
        <row r="1086">
          <cell r="I1086" t="str">
            <v>IF1064</v>
          </cell>
          <cell r="J1086">
            <v>14700</v>
          </cell>
        </row>
        <row r="1087">
          <cell r="I1087" t="str">
            <v>IF1074</v>
          </cell>
          <cell r="J1087">
            <v>16300</v>
          </cell>
        </row>
        <row r="1088">
          <cell r="I1088" t="str">
            <v>IF1084</v>
          </cell>
          <cell r="J1088">
            <v>17900</v>
          </cell>
        </row>
        <row r="1089">
          <cell r="I1089" t="str">
            <v>IF1104</v>
          </cell>
          <cell r="J1089">
            <v>21000</v>
          </cell>
        </row>
        <row r="1090">
          <cell r="I1090" t="str">
            <v>IF1124</v>
          </cell>
          <cell r="J1090">
            <v>24200</v>
          </cell>
        </row>
        <row r="1091">
          <cell r="I1091" t="str">
            <v>IF1066</v>
          </cell>
          <cell r="J1091">
            <v>21000</v>
          </cell>
        </row>
        <row r="1092">
          <cell r="I1092" t="str">
            <v>IF1076</v>
          </cell>
          <cell r="J1092">
            <v>22600</v>
          </cell>
        </row>
        <row r="1093">
          <cell r="I1093" t="str">
            <v>IF1086</v>
          </cell>
          <cell r="J1093">
            <v>24200</v>
          </cell>
        </row>
        <row r="1094">
          <cell r="I1094" t="str">
            <v>IF1106</v>
          </cell>
          <cell r="J1094">
            <v>27300</v>
          </cell>
        </row>
        <row r="1095">
          <cell r="I1095" t="str">
            <v>IF1126</v>
          </cell>
          <cell r="J1095">
            <v>30500</v>
          </cell>
        </row>
        <row r="1096">
          <cell r="I1096" t="str">
            <v>IF1066MM</v>
          </cell>
          <cell r="J1096">
            <v>17900</v>
          </cell>
        </row>
        <row r="1097">
          <cell r="I1097" t="str">
            <v>IF1066BE</v>
          </cell>
          <cell r="J1097">
            <v>17900</v>
          </cell>
        </row>
        <row r="1098">
          <cell r="I1098" t="str">
            <v>IF1076MM</v>
          </cell>
          <cell r="J1098">
            <v>19400</v>
          </cell>
        </row>
        <row r="1099">
          <cell r="I1099" t="str">
            <v>IF1076BE</v>
          </cell>
          <cell r="J1099">
            <v>19400</v>
          </cell>
        </row>
        <row r="1100">
          <cell r="I1100" t="str">
            <v>IF1086MM</v>
          </cell>
          <cell r="J1100">
            <v>21000</v>
          </cell>
        </row>
        <row r="1101">
          <cell r="I1101" t="str">
            <v>IF1086BE</v>
          </cell>
          <cell r="J1101">
            <v>21000</v>
          </cell>
        </row>
        <row r="1102">
          <cell r="I1102" t="str">
            <v>IF1106MM</v>
          </cell>
          <cell r="J1102">
            <v>23100</v>
          </cell>
        </row>
        <row r="1103">
          <cell r="I1103" t="str">
            <v>IF1106BE</v>
          </cell>
          <cell r="J1103">
            <v>23100</v>
          </cell>
        </row>
        <row r="1104">
          <cell r="I1104" t="str">
            <v>IF1126MM</v>
          </cell>
          <cell r="J1104">
            <v>26300</v>
          </cell>
        </row>
        <row r="1105">
          <cell r="I1105" t="str">
            <v>IF1126BE</v>
          </cell>
          <cell r="J1105">
            <v>26300</v>
          </cell>
        </row>
        <row r="1106">
          <cell r="I1106" t="str">
            <v>IF1064G</v>
          </cell>
          <cell r="J1106">
            <v>13100</v>
          </cell>
        </row>
        <row r="1107">
          <cell r="I1107" t="str">
            <v>IF1074G</v>
          </cell>
          <cell r="J1107">
            <v>15800</v>
          </cell>
        </row>
        <row r="1108">
          <cell r="I1108" t="str">
            <v>IF1084G</v>
          </cell>
          <cell r="J1108">
            <v>18900</v>
          </cell>
        </row>
        <row r="1109">
          <cell r="I1109" t="str">
            <v>IF1104G</v>
          </cell>
          <cell r="J1109">
            <v>24200</v>
          </cell>
        </row>
        <row r="1110">
          <cell r="I1110" t="str">
            <v>IF1124G</v>
          </cell>
          <cell r="J1110">
            <v>29400</v>
          </cell>
        </row>
        <row r="1111">
          <cell r="I1111" t="str">
            <v>IF1066G</v>
          </cell>
          <cell r="J1111">
            <v>21500</v>
          </cell>
        </row>
        <row r="1112">
          <cell r="I1112" t="str">
            <v>IF1076G</v>
          </cell>
          <cell r="J1112">
            <v>24200</v>
          </cell>
        </row>
        <row r="1113">
          <cell r="I1113" t="str">
            <v>IF1086G</v>
          </cell>
          <cell r="J1113">
            <v>27300</v>
          </cell>
        </row>
        <row r="1114">
          <cell r="I1114" t="str">
            <v>IF1106G</v>
          </cell>
          <cell r="J1114">
            <v>32600</v>
          </cell>
        </row>
        <row r="1115">
          <cell r="I1115" t="str">
            <v>IF1126G</v>
          </cell>
          <cell r="J1115">
            <v>37800</v>
          </cell>
        </row>
        <row r="1116">
          <cell r="I1116" t="str">
            <v>IF1064K</v>
          </cell>
          <cell r="J1116">
            <v>15800</v>
          </cell>
        </row>
        <row r="1117">
          <cell r="I1117" t="str">
            <v>IF1074K</v>
          </cell>
          <cell r="J1117">
            <v>18900</v>
          </cell>
        </row>
        <row r="1118">
          <cell r="I1118" t="str">
            <v>IF1084K</v>
          </cell>
          <cell r="J1118">
            <v>23100</v>
          </cell>
        </row>
        <row r="1119">
          <cell r="I1119" t="str">
            <v>IF1104K</v>
          </cell>
          <cell r="J1119">
            <v>27300</v>
          </cell>
        </row>
        <row r="1120">
          <cell r="I1120" t="str">
            <v>IF1124K</v>
          </cell>
          <cell r="J1120">
            <v>32600</v>
          </cell>
        </row>
        <row r="1121">
          <cell r="I1121" t="str">
            <v>IF1066K</v>
          </cell>
          <cell r="J1121">
            <v>26300</v>
          </cell>
        </row>
        <row r="1122">
          <cell r="I1122" t="str">
            <v>IF1076K</v>
          </cell>
          <cell r="J1122">
            <v>29400</v>
          </cell>
        </row>
        <row r="1123">
          <cell r="I1123" t="str">
            <v>IF1086K</v>
          </cell>
          <cell r="J1123">
            <v>32600</v>
          </cell>
        </row>
        <row r="1124">
          <cell r="I1124" t="str">
            <v>IF1106K</v>
          </cell>
          <cell r="J1124">
            <v>36800</v>
          </cell>
        </row>
        <row r="1125">
          <cell r="I1125" t="str">
            <v>IF1126K</v>
          </cell>
          <cell r="J1125">
            <v>42000</v>
          </cell>
        </row>
        <row r="1126">
          <cell r="I1126" t="str">
            <v>IF1064B</v>
          </cell>
          <cell r="J1126">
            <v>20000</v>
          </cell>
        </row>
        <row r="1127">
          <cell r="I1127" t="str">
            <v>IF1074B</v>
          </cell>
          <cell r="J1127">
            <v>22100</v>
          </cell>
        </row>
        <row r="1128">
          <cell r="I1128" t="str">
            <v>IF1084B</v>
          </cell>
          <cell r="J1128">
            <v>24200</v>
          </cell>
        </row>
        <row r="1129">
          <cell r="I1129" t="str">
            <v>IF1104B</v>
          </cell>
          <cell r="J1129">
            <v>35700</v>
          </cell>
        </row>
        <row r="1130">
          <cell r="I1130" t="str">
            <v>IF1124B</v>
          </cell>
          <cell r="J1130">
            <v>38900</v>
          </cell>
        </row>
        <row r="1131">
          <cell r="I1131" t="str">
            <v>IF1066B</v>
          </cell>
          <cell r="J1131">
            <v>27300</v>
          </cell>
        </row>
        <row r="1132">
          <cell r="I1132" t="str">
            <v>IF1076B</v>
          </cell>
          <cell r="J1132">
            <v>30500</v>
          </cell>
        </row>
        <row r="1133">
          <cell r="I1133" t="str">
            <v>IF1086B</v>
          </cell>
          <cell r="J1133">
            <v>33600</v>
          </cell>
        </row>
        <row r="1134">
          <cell r="I1134" t="str">
            <v>IF1106B</v>
          </cell>
          <cell r="J1134">
            <v>42000</v>
          </cell>
        </row>
        <row r="1135">
          <cell r="I1135" t="str">
            <v>IF1126B</v>
          </cell>
          <cell r="J1135">
            <v>46200</v>
          </cell>
        </row>
        <row r="1136">
          <cell r="I1136" t="str">
            <v>IF5110</v>
          </cell>
          <cell r="J1136">
            <v>17900</v>
          </cell>
        </row>
        <row r="1137">
          <cell r="I1137" t="str">
            <v>IF5112</v>
          </cell>
          <cell r="J1137">
            <v>19400</v>
          </cell>
        </row>
        <row r="1138">
          <cell r="I1138" t="str">
            <v>IF5114</v>
          </cell>
          <cell r="J1138">
            <v>21000</v>
          </cell>
        </row>
        <row r="1139">
          <cell r="I1139" t="str">
            <v>IF5116</v>
          </cell>
          <cell r="J1139">
            <v>24200</v>
          </cell>
        </row>
        <row r="1140">
          <cell r="I1140" t="str">
            <v>IF5118</v>
          </cell>
          <cell r="J1140">
            <v>28400</v>
          </cell>
        </row>
        <row r="1141">
          <cell r="I1141" t="str">
            <v>IF5210</v>
          </cell>
          <cell r="J1141">
            <v>21000</v>
          </cell>
        </row>
        <row r="1142">
          <cell r="I1142" t="str">
            <v>IF5212</v>
          </cell>
          <cell r="J1142">
            <v>22600</v>
          </cell>
        </row>
        <row r="1143">
          <cell r="I1143" t="str">
            <v>IF5214</v>
          </cell>
          <cell r="J1143">
            <v>24200</v>
          </cell>
        </row>
        <row r="1144">
          <cell r="I1144" t="str">
            <v>IF5216</v>
          </cell>
          <cell r="J1144">
            <v>27300</v>
          </cell>
        </row>
        <row r="1145">
          <cell r="I1145" t="str">
            <v>IF5218</v>
          </cell>
          <cell r="J1145">
            <v>31500</v>
          </cell>
        </row>
        <row r="1146">
          <cell r="I1146" t="str">
            <v>IF5510</v>
          </cell>
          <cell r="J1146">
            <v>24200</v>
          </cell>
        </row>
        <row r="1147">
          <cell r="I1147" t="str">
            <v>IF5512</v>
          </cell>
          <cell r="J1147">
            <v>25700</v>
          </cell>
        </row>
        <row r="1148">
          <cell r="I1148" t="str">
            <v>IF5514</v>
          </cell>
          <cell r="J1148">
            <v>27300</v>
          </cell>
        </row>
        <row r="1149">
          <cell r="I1149" t="str">
            <v>IF5516</v>
          </cell>
          <cell r="J1149">
            <v>30500</v>
          </cell>
        </row>
        <row r="1150">
          <cell r="I1150" t="str">
            <v>IF5518</v>
          </cell>
          <cell r="J1150">
            <v>34700</v>
          </cell>
        </row>
        <row r="1151">
          <cell r="I1151" t="str">
            <v>IF6010</v>
          </cell>
          <cell r="J1151">
            <v>6300</v>
          </cell>
        </row>
        <row r="1152">
          <cell r="I1152" t="str">
            <v>IF6012</v>
          </cell>
          <cell r="J1152">
            <v>7900</v>
          </cell>
        </row>
        <row r="1153">
          <cell r="I1153" t="str">
            <v>IF6014</v>
          </cell>
          <cell r="J1153">
            <v>9500</v>
          </cell>
        </row>
        <row r="1154">
          <cell r="I1154" t="str">
            <v>IF6016</v>
          </cell>
          <cell r="J1154">
            <v>11600</v>
          </cell>
        </row>
        <row r="1155">
          <cell r="I1155" t="str">
            <v>IF6018</v>
          </cell>
          <cell r="J1155">
            <v>13700</v>
          </cell>
        </row>
        <row r="1156">
          <cell r="I1156" t="str">
            <v>IF6102</v>
          </cell>
          <cell r="J1156">
            <v>3200</v>
          </cell>
        </row>
        <row r="1157">
          <cell r="I1157" t="str">
            <v>IF6104</v>
          </cell>
          <cell r="J1157">
            <v>4200</v>
          </cell>
        </row>
        <row r="1158">
          <cell r="I1158" t="str">
            <v>IF6106</v>
          </cell>
          <cell r="J1158">
            <v>4700</v>
          </cell>
        </row>
        <row r="1159">
          <cell r="I1159" t="str">
            <v>IF6108</v>
          </cell>
          <cell r="J1159">
            <v>5800</v>
          </cell>
        </row>
        <row r="1160">
          <cell r="I1160" t="str">
            <v>IF6102T</v>
          </cell>
          <cell r="J1160">
            <v>3200</v>
          </cell>
        </row>
        <row r="1161">
          <cell r="I1161" t="str">
            <v>IF6104T</v>
          </cell>
          <cell r="J1161">
            <v>4200</v>
          </cell>
        </row>
        <row r="1162">
          <cell r="I1162" t="str">
            <v>IF6106T</v>
          </cell>
          <cell r="J1162">
            <v>4700</v>
          </cell>
        </row>
        <row r="1163">
          <cell r="I1163" t="str">
            <v>IF6108T</v>
          </cell>
          <cell r="J1163">
            <v>5800</v>
          </cell>
        </row>
        <row r="1164">
          <cell r="I1164" t="str">
            <v>IF8001</v>
          </cell>
          <cell r="J1164">
            <v>23100</v>
          </cell>
        </row>
        <row r="1165">
          <cell r="I1165" t="str">
            <v>IF8002</v>
          </cell>
          <cell r="J1165">
            <v>3200</v>
          </cell>
        </row>
        <row r="1166">
          <cell r="I1166" t="str">
            <v>IT8001</v>
          </cell>
          <cell r="J1166">
            <v>5300</v>
          </cell>
        </row>
        <row r="1167">
          <cell r="I1167" t="str">
            <v>IT8002</v>
          </cell>
          <cell r="J1167">
            <v>5300</v>
          </cell>
        </row>
        <row r="1168">
          <cell r="I1168" t="str">
            <v>IT8003</v>
          </cell>
          <cell r="J1168">
            <v>2600</v>
          </cell>
        </row>
        <row r="1169">
          <cell r="I1169" t="str">
            <v>IT0008L</v>
          </cell>
          <cell r="J1169">
            <v>57800</v>
          </cell>
        </row>
        <row r="1170">
          <cell r="I1170" t="str">
            <v>IT0008R</v>
          </cell>
          <cell r="J1170">
            <v>57800</v>
          </cell>
        </row>
        <row r="1171">
          <cell r="I1171" t="str">
            <v>IT0008</v>
          </cell>
          <cell r="J1171">
            <v>57800</v>
          </cell>
        </row>
        <row r="1172">
          <cell r="I1172" t="str">
            <v>IT0010L</v>
          </cell>
          <cell r="J1172">
            <v>71400</v>
          </cell>
        </row>
        <row r="1173">
          <cell r="I1173" t="str">
            <v>IT0010R</v>
          </cell>
          <cell r="J1173">
            <v>71400</v>
          </cell>
        </row>
        <row r="1174">
          <cell r="I1174" t="str">
            <v>IT0100</v>
          </cell>
          <cell r="J1174">
            <v>71400</v>
          </cell>
        </row>
        <row r="1175">
          <cell r="I1175" t="str">
            <v>IT0012L</v>
          </cell>
          <cell r="J1175">
            <v>80900</v>
          </cell>
        </row>
        <row r="1176">
          <cell r="I1176" t="str">
            <v>IT0012R</v>
          </cell>
          <cell r="J1176">
            <v>80900</v>
          </cell>
        </row>
        <row r="1177">
          <cell r="I1177" t="str">
            <v>IT0012</v>
          </cell>
          <cell r="J1177">
            <v>80900</v>
          </cell>
        </row>
        <row r="1178">
          <cell r="I1178" t="str">
            <v>IT0116</v>
          </cell>
          <cell r="J1178">
            <v>92400</v>
          </cell>
        </row>
        <row r="1179">
          <cell r="I1179" t="str">
            <v>IT0118</v>
          </cell>
          <cell r="J1179">
            <v>101900</v>
          </cell>
        </row>
        <row r="1180">
          <cell r="I1180" t="str">
            <v>IT0100L</v>
          </cell>
          <cell r="J1180">
            <v>36800</v>
          </cell>
        </row>
        <row r="1181">
          <cell r="I1181" t="str">
            <v>IT0100R</v>
          </cell>
          <cell r="J1181">
            <v>36800</v>
          </cell>
        </row>
        <row r="1182">
          <cell r="I1182" t="str">
            <v>IT5066</v>
          </cell>
          <cell r="J1182">
            <v>110300</v>
          </cell>
        </row>
        <row r="1183">
          <cell r="I1183" t="str">
            <v>IT5077</v>
          </cell>
          <cell r="J1183">
            <v>135500</v>
          </cell>
        </row>
        <row r="1184">
          <cell r="I1184" t="str">
            <v>IT912</v>
          </cell>
          <cell r="J1184">
            <v>108200</v>
          </cell>
        </row>
        <row r="1185">
          <cell r="I1185" t="str">
            <v>IT916</v>
          </cell>
          <cell r="J1185">
            <v>160700</v>
          </cell>
        </row>
        <row r="1186">
          <cell r="I1186" t="str">
            <v>IT966</v>
          </cell>
          <cell r="J1186">
            <v>161700</v>
          </cell>
        </row>
        <row r="1187">
          <cell r="I1187" t="str">
            <v>IT977</v>
          </cell>
          <cell r="J1187">
            <v>172200</v>
          </cell>
        </row>
        <row r="1188">
          <cell r="I1188" t="str">
            <v>IT926L</v>
          </cell>
          <cell r="J1188">
            <v>138600</v>
          </cell>
        </row>
        <row r="1189">
          <cell r="I1189" t="str">
            <v>IT926R</v>
          </cell>
          <cell r="J1189">
            <v>138600</v>
          </cell>
        </row>
        <row r="1190">
          <cell r="I1190" t="str">
            <v>IT927L</v>
          </cell>
          <cell r="J1190">
            <v>141800</v>
          </cell>
        </row>
        <row r="1191">
          <cell r="I1191" t="str">
            <v>IT927R</v>
          </cell>
          <cell r="J1191">
            <v>141800</v>
          </cell>
        </row>
        <row r="1192">
          <cell r="I1192" t="str">
            <v>IT912CL</v>
          </cell>
          <cell r="J1192">
            <v>126000</v>
          </cell>
        </row>
        <row r="1193">
          <cell r="I1193" t="str">
            <v>IT912CR</v>
          </cell>
          <cell r="J1193">
            <v>126000</v>
          </cell>
        </row>
        <row r="1194">
          <cell r="I1194" t="str">
            <v>IT918CL</v>
          </cell>
          <cell r="J1194">
            <v>176400</v>
          </cell>
        </row>
        <row r="1195">
          <cell r="I1195" t="str">
            <v>IT918CR</v>
          </cell>
          <cell r="J1195">
            <v>176400</v>
          </cell>
        </row>
        <row r="1196">
          <cell r="I1196" t="str">
            <v>IT912DL</v>
          </cell>
          <cell r="J1196">
            <v>126000</v>
          </cell>
        </row>
        <row r="1197">
          <cell r="I1197" t="str">
            <v>IT912DR</v>
          </cell>
          <cell r="J1197">
            <v>126000</v>
          </cell>
        </row>
        <row r="1198">
          <cell r="I1198" t="str">
            <v>IT918DR</v>
          </cell>
          <cell r="J1198">
            <v>176400</v>
          </cell>
        </row>
        <row r="1199">
          <cell r="I1199" t="str">
            <v>IT918DL</v>
          </cell>
          <cell r="J1199">
            <v>176400</v>
          </cell>
        </row>
        <row r="1200">
          <cell r="I1200" t="str">
            <v>IT2004</v>
          </cell>
          <cell r="J1200">
            <v>21000</v>
          </cell>
        </row>
        <row r="1201">
          <cell r="I1201" t="str">
            <v>IT2005</v>
          </cell>
          <cell r="J1201">
            <v>24200</v>
          </cell>
        </row>
        <row r="1202">
          <cell r="I1202" t="str">
            <v>IT2006</v>
          </cell>
          <cell r="J1202">
            <v>27300</v>
          </cell>
        </row>
        <row r="1203">
          <cell r="I1203" t="str">
            <v>IT2007</v>
          </cell>
          <cell r="J1203">
            <v>30500</v>
          </cell>
        </row>
        <row r="1204">
          <cell r="I1204" t="str">
            <v>IT2008</v>
          </cell>
          <cell r="J1204">
            <v>33600</v>
          </cell>
        </row>
        <row r="1205">
          <cell r="I1205" t="str">
            <v>IT2010</v>
          </cell>
          <cell r="J1205">
            <v>39900</v>
          </cell>
        </row>
        <row r="1206">
          <cell r="I1206" t="str">
            <v>IT2012</v>
          </cell>
          <cell r="J1206">
            <v>47300</v>
          </cell>
        </row>
        <row r="1207">
          <cell r="I1207" t="str">
            <v>IT2014</v>
          </cell>
          <cell r="J1207">
            <v>54600</v>
          </cell>
        </row>
        <row r="1208">
          <cell r="I1208" t="str">
            <v>IT2016</v>
          </cell>
          <cell r="J1208">
            <v>60900</v>
          </cell>
        </row>
        <row r="1209">
          <cell r="I1209" t="str">
            <v>IT2122</v>
          </cell>
          <cell r="J1209">
            <v>21000</v>
          </cell>
        </row>
        <row r="1210">
          <cell r="I1210" t="str">
            <v>IT2204</v>
          </cell>
          <cell r="J1210">
            <v>24200</v>
          </cell>
        </row>
        <row r="1211">
          <cell r="I1211" t="str">
            <v>IT2205</v>
          </cell>
          <cell r="J1211">
            <v>27300</v>
          </cell>
        </row>
        <row r="1212">
          <cell r="I1212" t="str">
            <v>IT2206</v>
          </cell>
          <cell r="J1212">
            <v>30500</v>
          </cell>
        </row>
        <row r="1213">
          <cell r="I1213" t="str">
            <v>IT2207</v>
          </cell>
          <cell r="J1213">
            <v>33600</v>
          </cell>
        </row>
        <row r="1214">
          <cell r="I1214" t="str">
            <v>IT2208</v>
          </cell>
          <cell r="J1214">
            <v>36800</v>
          </cell>
        </row>
        <row r="1215">
          <cell r="I1215" t="str">
            <v>IT2210</v>
          </cell>
          <cell r="J1215">
            <v>44100</v>
          </cell>
        </row>
        <row r="1216">
          <cell r="I1216" t="str">
            <v>IT2212</v>
          </cell>
          <cell r="J1216">
            <v>51500</v>
          </cell>
        </row>
        <row r="1217">
          <cell r="I1217" t="str">
            <v>IT3006</v>
          </cell>
          <cell r="J1217">
            <v>44100</v>
          </cell>
        </row>
        <row r="1218">
          <cell r="I1218" t="str">
            <v>IT3007</v>
          </cell>
          <cell r="J1218">
            <v>47300</v>
          </cell>
        </row>
        <row r="1219">
          <cell r="I1219" t="str">
            <v>IT3008</v>
          </cell>
          <cell r="J1219">
            <v>51500</v>
          </cell>
        </row>
        <row r="1220">
          <cell r="I1220" t="str">
            <v>IT3010</v>
          </cell>
          <cell r="J1220">
            <v>57800</v>
          </cell>
        </row>
        <row r="1221">
          <cell r="I1221" t="str">
            <v>IT3012</v>
          </cell>
          <cell r="J1221">
            <v>65100</v>
          </cell>
        </row>
        <row r="1222">
          <cell r="I1222" t="str">
            <v>IT3406</v>
          </cell>
          <cell r="J1222">
            <v>53600</v>
          </cell>
        </row>
        <row r="1223">
          <cell r="I1223" t="str">
            <v>IT3407</v>
          </cell>
          <cell r="J1223">
            <v>56700</v>
          </cell>
        </row>
        <row r="1224">
          <cell r="I1224" t="str">
            <v>IT3408</v>
          </cell>
          <cell r="J1224">
            <v>59900</v>
          </cell>
        </row>
        <row r="1225">
          <cell r="I1225" t="str">
            <v>IT3410</v>
          </cell>
          <cell r="J1225">
            <v>66200</v>
          </cell>
        </row>
        <row r="1226">
          <cell r="I1226" t="str">
            <v>IT3412</v>
          </cell>
          <cell r="J1226">
            <v>72500</v>
          </cell>
        </row>
        <row r="1227">
          <cell r="I1227" t="str">
            <v>IT3106</v>
          </cell>
          <cell r="J1227">
            <v>44100</v>
          </cell>
        </row>
        <row r="1228">
          <cell r="I1228" t="str">
            <v>IT3107</v>
          </cell>
          <cell r="J1228">
            <v>47300</v>
          </cell>
        </row>
        <row r="1229">
          <cell r="I1229" t="str">
            <v>IT3108</v>
          </cell>
          <cell r="J1229">
            <v>51500</v>
          </cell>
        </row>
        <row r="1230">
          <cell r="I1230" t="str">
            <v>IT3110</v>
          </cell>
          <cell r="J1230">
            <v>57800</v>
          </cell>
        </row>
        <row r="1231">
          <cell r="I1231" t="str">
            <v>IT3112</v>
          </cell>
          <cell r="J1231">
            <v>65100</v>
          </cell>
        </row>
        <row r="1232">
          <cell r="I1232" t="str">
            <v>IT3306</v>
          </cell>
          <cell r="J1232">
            <v>162800</v>
          </cell>
        </row>
        <row r="1233">
          <cell r="I1233" t="str">
            <v>IT3307</v>
          </cell>
          <cell r="J1233">
            <v>170100</v>
          </cell>
        </row>
        <row r="1234">
          <cell r="I1234" t="str">
            <v>IT3308</v>
          </cell>
          <cell r="J1234">
            <v>174300</v>
          </cell>
        </row>
        <row r="1235">
          <cell r="I1235" t="str">
            <v>IT3310</v>
          </cell>
          <cell r="J1235">
            <v>183800</v>
          </cell>
        </row>
        <row r="1236">
          <cell r="I1236" t="str">
            <v>IT3312</v>
          </cell>
          <cell r="J1236">
            <v>195300</v>
          </cell>
        </row>
        <row r="1237">
          <cell r="I1237" t="str">
            <v>IA0006</v>
          </cell>
          <cell r="J1237">
            <v>12600</v>
          </cell>
        </row>
        <row r="1238">
          <cell r="I1238" t="str">
            <v>IA0007</v>
          </cell>
          <cell r="J1238">
            <v>14200</v>
          </cell>
        </row>
        <row r="1239">
          <cell r="I1239" t="str">
            <v>IA0008</v>
          </cell>
          <cell r="J1239">
            <v>15800</v>
          </cell>
        </row>
        <row r="1240">
          <cell r="I1240" t="str">
            <v>IA0010</v>
          </cell>
          <cell r="J1240">
            <v>18900</v>
          </cell>
        </row>
        <row r="1241">
          <cell r="I1241" t="str">
            <v>IA0012</v>
          </cell>
          <cell r="J1241">
            <v>21000</v>
          </cell>
        </row>
        <row r="1242">
          <cell r="I1242" t="str">
            <v>IA9901</v>
          </cell>
          <cell r="J1242">
            <v>5800</v>
          </cell>
        </row>
        <row r="1243">
          <cell r="I1243" t="str">
            <v>IF060</v>
          </cell>
          <cell r="J1243">
            <v>102400</v>
          </cell>
        </row>
        <row r="1244">
          <cell r="I1244" t="str">
            <v>IF070</v>
          </cell>
          <cell r="J1244">
            <v>112900</v>
          </cell>
        </row>
        <row r="1245">
          <cell r="I1245" t="str">
            <v>IF080</v>
          </cell>
          <cell r="J1245">
            <v>123900</v>
          </cell>
        </row>
        <row r="1246">
          <cell r="I1246" t="str">
            <v>IF100</v>
          </cell>
          <cell r="J1246">
            <v>140700</v>
          </cell>
        </row>
        <row r="1247">
          <cell r="I1247" t="str">
            <v>IF120</v>
          </cell>
          <cell r="J1247">
            <v>157500</v>
          </cell>
        </row>
        <row r="1248">
          <cell r="I1248" t="str">
            <v>IF062</v>
          </cell>
          <cell r="J1248">
            <v>118100</v>
          </cell>
        </row>
        <row r="1249">
          <cell r="I1249" t="str">
            <v>IF072</v>
          </cell>
          <cell r="J1249">
            <v>128600</v>
          </cell>
        </row>
        <row r="1250">
          <cell r="I1250" t="str">
            <v>IF082</v>
          </cell>
          <cell r="J1250">
            <v>139700</v>
          </cell>
        </row>
        <row r="1251">
          <cell r="I1251" t="str">
            <v>IF102</v>
          </cell>
          <cell r="J1251">
            <v>159600</v>
          </cell>
        </row>
        <row r="1252">
          <cell r="I1252" t="str">
            <v>IF122</v>
          </cell>
          <cell r="J1252">
            <v>179600</v>
          </cell>
        </row>
        <row r="1253">
          <cell r="I1253" t="str">
            <v>IF064</v>
          </cell>
          <cell r="J1253">
            <v>136000</v>
          </cell>
        </row>
        <row r="1254">
          <cell r="I1254" t="str">
            <v>IF074</v>
          </cell>
          <cell r="J1254">
            <v>146500</v>
          </cell>
        </row>
        <row r="1255">
          <cell r="I1255" t="str">
            <v>IF084</v>
          </cell>
          <cell r="J1255">
            <v>157500</v>
          </cell>
        </row>
        <row r="1256">
          <cell r="I1256" t="str">
            <v>IF104</v>
          </cell>
          <cell r="J1256">
            <v>177500</v>
          </cell>
        </row>
        <row r="1257">
          <cell r="I1257" t="str">
            <v>IF124</v>
          </cell>
          <cell r="J1257">
            <v>197400</v>
          </cell>
        </row>
        <row r="1258">
          <cell r="I1258" t="str">
            <v>IF066</v>
          </cell>
          <cell r="J1258">
            <v>158000</v>
          </cell>
        </row>
        <row r="1259">
          <cell r="I1259" t="str">
            <v>IF076</v>
          </cell>
          <cell r="J1259">
            <v>171700</v>
          </cell>
        </row>
        <row r="1260">
          <cell r="I1260" t="str">
            <v>IF086</v>
          </cell>
          <cell r="J1260">
            <v>185900</v>
          </cell>
        </row>
        <row r="1261">
          <cell r="I1261" t="str">
            <v>IF106</v>
          </cell>
          <cell r="J1261">
            <v>212100</v>
          </cell>
        </row>
        <row r="1262">
          <cell r="I1262" t="str">
            <v>IF126</v>
          </cell>
          <cell r="J1262">
            <v>238400</v>
          </cell>
        </row>
        <row r="1263">
          <cell r="I1263" t="str">
            <v>IF068</v>
          </cell>
          <cell r="J1263">
            <v>174800</v>
          </cell>
        </row>
        <row r="1264">
          <cell r="I1264" t="str">
            <v>IF078</v>
          </cell>
          <cell r="J1264">
            <v>188500</v>
          </cell>
        </row>
        <row r="1265">
          <cell r="I1265" t="str">
            <v>IF088</v>
          </cell>
          <cell r="J1265">
            <v>202700</v>
          </cell>
        </row>
        <row r="1266">
          <cell r="I1266" t="str">
            <v>IF108</v>
          </cell>
          <cell r="J1266">
            <v>228900</v>
          </cell>
        </row>
        <row r="1267">
          <cell r="I1267" t="str">
            <v>IF128</v>
          </cell>
          <cell r="J1267">
            <v>255200</v>
          </cell>
        </row>
        <row r="1268">
          <cell r="I1268" t="str">
            <v>IF060T</v>
          </cell>
          <cell r="J1268">
            <v>96100</v>
          </cell>
        </row>
        <row r="1269">
          <cell r="I1269" t="str">
            <v>IF070T</v>
          </cell>
          <cell r="J1269">
            <v>106600</v>
          </cell>
        </row>
        <row r="1270">
          <cell r="I1270" t="str">
            <v>IF080T</v>
          </cell>
          <cell r="J1270">
            <v>117600</v>
          </cell>
        </row>
        <row r="1271">
          <cell r="I1271" t="str">
            <v>IF100T</v>
          </cell>
          <cell r="J1271">
            <v>132300</v>
          </cell>
        </row>
        <row r="1272">
          <cell r="I1272" t="str">
            <v>IF120T</v>
          </cell>
          <cell r="J1272">
            <v>149100</v>
          </cell>
        </row>
        <row r="1273">
          <cell r="I1273" t="str">
            <v>IF062T</v>
          </cell>
          <cell r="J1273">
            <v>111800</v>
          </cell>
        </row>
        <row r="1274">
          <cell r="I1274" t="str">
            <v>IF072T</v>
          </cell>
          <cell r="J1274">
            <v>122300</v>
          </cell>
        </row>
        <row r="1275">
          <cell r="I1275" t="str">
            <v>IF082T</v>
          </cell>
          <cell r="J1275">
            <v>133400</v>
          </cell>
        </row>
        <row r="1276">
          <cell r="I1276" t="str">
            <v>IF102T</v>
          </cell>
          <cell r="J1276">
            <v>151200</v>
          </cell>
        </row>
        <row r="1277">
          <cell r="I1277" t="str">
            <v>IF122T</v>
          </cell>
          <cell r="J1277">
            <v>171200</v>
          </cell>
        </row>
        <row r="1278">
          <cell r="I1278" t="str">
            <v>IF064T</v>
          </cell>
          <cell r="J1278">
            <v>129700</v>
          </cell>
        </row>
        <row r="1279">
          <cell r="I1279" t="str">
            <v>IF074T</v>
          </cell>
          <cell r="J1279">
            <v>140200</v>
          </cell>
        </row>
        <row r="1280">
          <cell r="I1280" t="str">
            <v>IF084T</v>
          </cell>
          <cell r="J1280">
            <v>151200</v>
          </cell>
        </row>
        <row r="1281">
          <cell r="I1281" t="str">
            <v>IF104T</v>
          </cell>
          <cell r="J1281">
            <v>169100</v>
          </cell>
        </row>
        <row r="1282">
          <cell r="I1282" t="str">
            <v>IF124T</v>
          </cell>
          <cell r="J1282">
            <v>189000</v>
          </cell>
        </row>
        <row r="1283">
          <cell r="I1283" t="str">
            <v>IF066T</v>
          </cell>
          <cell r="J1283">
            <v>151700</v>
          </cell>
        </row>
        <row r="1284">
          <cell r="I1284" t="str">
            <v>IF076T</v>
          </cell>
          <cell r="J1284">
            <v>165400</v>
          </cell>
        </row>
        <row r="1285">
          <cell r="I1285" t="str">
            <v>IF086T</v>
          </cell>
          <cell r="J1285">
            <v>179600</v>
          </cell>
        </row>
        <row r="1286">
          <cell r="I1286" t="str">
            <v>IF106T</v>
          </cell>
          <cell r="J1286">
            <v>302700</v>
          </cell>
        </row>
        <row r="1287">
          <cell r="I1287" t="str">
            <v>IF126T</v>
          </cell>
          <cell r="J1287">
            <v>230000</v>
          </cell>
        </row>
        <row r="1288">
          <cell r="I1288" t="str">
            <v>IF068T</v>
          </cell>
          <cell r="J1288">
            <v>168500</v>
          </cell>
        </row>
        <row r="1289">
          <cell r="I1289" t="str">
            <v>IF078T</v>
          </cell>
          <cell r="J1289">
            <v>182200</v>
          </cell>
        </row>
        <row r="1290">
          <cell r="I1290" t="str">
            <v>IF088T</v>
          </cell>
          <cell r="J1290">
            <v>196400</v>
          </cell>
        </row>
        <row r="1291">
          <cell r="I1291" t="str">
            <v>IF108T</v>
          </cell>
          <cell r="J1291">
            <v>220500</v>
          </cell>
        </row>
        <row r="1292">
          <cell r="I1292" t="str">
            <v>IF128T</v>
          </cell>
          <cell r="J1292">
            <v>246800</v>
          </cell>
        </row>
        <row r="1293">
          <cell r="I1293" t="str">
            <v>IF060W</v>
          </cell>
          <cell r="J1293">
            <v>99200</v>
          </cell>
        </row>
        <row r="1294">
          <cell r="I1294" t="str">
            <v>IF070W</v>
          </cell>
          <cell r="J1294">
            <v>109700</v>
          </cell>
        </row>
        <row r="1295">
          <cell r="I1295" t="str">
            <v>IF080W</v>
          </cell>
          <cell r="J1295">
            <v>120800</v>
          </cell>
        </row>
        <row r="1296">
          <cell r="I1296" t="str">
            <v>IF100W</v>
          </cell>
          <cell r="J1296">
            <v>136500</v>
          </cell>
        </row>
        <row r="1297">
          <cell r="I1297" t="str">
            <v>IF120W</v>
          </cell>
          <cell r="J1297">
            <v>153300</v>
          </cell>
        </row>
        <row r="1298">
          <cell r="I1298" t="str">
            <v>IF062W</v>
          </cell>
          <cell r="J1298">
            <v>115000</v>
          </cell>
        </row>
        <row r="1299">
          <cell r="I1299" t="str">
            <v>IF072W</v>
          </cell>
          <cell r="J1299">
            <v>125500</v>
          </cell>
        </row>
        <row r="1300">
          <cell r="I1300" t="str">
            <v>IF082W</v>
          </cell>
          <cell r="J1300">
            <v>136500</v>
          </cell>
        </row>
        <row r="1301">
          <cell r="I1301" t="str">
            <v>IF102W</v>
          </cell>
          <cell r="J1301">
            <v>155400</v>
          </cell>
        </row>
        <row r="1302">
          <cell r="I1302" t="str">
            <v>IF122W</v>
          </cell>
          <cell r="J1302">
            <v>175400</v>
          </cell>
        </row>
        <row r="1303">
          <cell r="I1303" t="str">
            <v>IF064W</v>
          </cell>
          <cell r="J1303">
            <v>132800</v>
          </cell>
        </row>
        <row r="1304">
          <cell r="I1304" t="str">
            <v>IF074W</v>
          </cell>
          <cell r="J1304">
            <v>143300</v>
          </cell>
        </row>
        <row r="1305">
          <cell r="I1305" t="str">
            <v>IF084W</v>
          </cell>
          <cell r="J1305">
            <v>154400</v>
          </cell>
        </row>
        <row r="1306">
          <cell r="I1306" t="str">
            <v>IF104W</v>
          </cell>
          <cell r="J1306">
            <v>173300</v>
          </cell>
        </row>
        <row r="1307">
          <cell r="I1307" t="str">
            <v>IF124W</v>
          </cell>
          <cell r="J1307">
            <v>193200</v>
          </cell>
        </row>
        <row r="1308">
          <cell r="I1308" t="str">
            <v>IF066W</v>
          </cell>
          <cell r="J1308">
            <v>154900</v>
          </cell>
        </row>
        <row r="1309">
          <cell r="I1309" t="str">
            <v>IF076W</v>
          </cell>
          <cell r="J1309">
            <v>168500</v>
          </cell>
        </row>
        <row r="1310">
          <cell r="I1310" t="str">
            <v>IF086W</v>
          </cell>
          <cell r="J1310">
            <v>182700</v>
          </cell>
        </row>
        <row r="1311">
          <cell r="I1311" t="str">
            <v>IF106W</v>
          </cell>
          <cell r="J1311">
            <v>207900</v>
          </cell>
        </row>
        <row r="1312">
          <cell r="I1312" t="str">
            <v>IF126W</v>
          </cell>
          <cell r="J1312">
            <v>234200</v>
          </cell>
        </row>
        <row r="1313">
          <cell r="I1313" t="str">
            <v>IF068W</v>
          </cell>
          <cell r="J1313">
            <v>171700</v>
          </cell>
        </row>
        <row r="1314">
          <cell r="I1314" t="str">
            <v>IF078W</v>
          </cell>
          <cell r="J1314">
            <v>185300</v>
          </cell>
        </row>
        <row r="1315">
          <cell r="I1315" t="str">
            <v>IF088W</v>
          </cell>
          <cell r="J1315">
            <v>199500</v>
          </cell>
        </row>
        <row r="1316">
          <cell r="I1316" t="str">
            <v>IF108W</v>
          </cell>
          <cell r="J1316">
            <v>224700</v>
          </cell>
        </row>
        <row r="1317">
          <cell r="I1317" t="str">
            <v>IF128W</v>
          </cell>
          <cell r="J1317">
            <v>251000</v>
          </cell>
        </row>
        <row r="1318">
          <cell r="I1318" t="str">
            <v>IF062G</v>
          </cell>
          <cell r="J1318">
            <v>116000</v>
          </cell>
        </row>
        <row r="1319">
          <cell r="I1319" t="str">
            <v>IF072G</v>
          </cell>
          <cell r="J1319">
            <v>130700</v>
          </cell>
        </row>
        <row r="1320">
          <cell r="I1320" t="str">
            <v>IF082G</v>
          </cell>
          <cell r="J1320">
            <v>148100</v>
          </cell>
        </row>
        <row r="1321">
          <cell r="I1321" t="str">
            <v>IF102G</v>
          </cell>
          <cell r="J1321">
            <v>176400</v>
          </cell>
        </row>
        <row r="1322">
          <cell r="I1322" t="str">
            <v>IF122G</v>
          </cell>
          <cell r="J1322">
            <v>204800</v>
          </cell>
        </row>
        <row r="1323">
          <cell r="I1323" t="str">
            <v>IF064G</v>
          </cell>
          <cell r="J1323">
            <v>138100</v>
          </cell>
        </row>
        <row r="1324">
          <cell r="I1324" t="str">
            <v>IF074G</v>
          </cell>
          <cell r="J1324">
            <v>152800</v>
          </cell>
        </row>
        <row r="1325">
          <cell r="I1325" t="str">
            <v>IF084G</v>
          </cell>
          <cell r="J1325">
            <v>170100</v>
          </cell>
        </row>
        <row r="1326">
          <cell r="I1326" t="str">
            <v>IF104G</v>
          </cell>
          <cell r="J1326">
            <v>198500</v>
          </cell>
        </row>
        <row r="1327">
          <cell r="I1327" t="str">
            <v>IF124G</v>
          </cell>
          <cell r="J1327">
            <v>226800</v>
          </cell>
        </row>
        <row r="1328">
          <cell r="I1328" t="str">
            <v>IF066G</v>
          </cell>
          <cell r="J1328">
            <v>152800</v>
          </cell>
        </row>
        <row r="1329">
          <cell r="I1329" t="str">
            <v>IF076G</v>
          </cell>
          <cell r="J1329">
            <v>172700</v>
          </cell>
        </row>
        <row r="1330">
          <cell r="I1330" t="str">
            <v>IF086G</v>
          </cell>
          <cell r="J1330">
            <v>196400</v>
          </cell>
        </row>
        <row r="1331">
          <cell r="I1331" t="str">
            <v>IF106G</v>
          </cell>
          <cell r="J1331">
            <v>235200</v>
          </cell>
        </row>
        <row r="1332">
          <cell r="I1332" t="str">
            <v>IF126G</v>
          </cell>
          <cell r="J1332">
            <v>274100</v>
          </cell>
        </row>
        <row r="1333">
          <cell r="I1333" t="str">
            <v>IF068G</v>
          </cell>
          <cell r="J1333">
            <v>173800</v>
          </cell>
        </row>
        <row r="1334">
          <cell r="I1334" t="str">
            <v>IF078G</v>
          </cell>
          <cell r="J1334">
            <v>193700</v>
          </cell>
        </row>
        <row r="1335">
          <cell r="I1335" t="str">
            <v>IF088G</v>
          </cell>
          <cell r="J1335">
            <v>217400</v>
          </cell>
        </row>
        <row r="1336">
          <cell r="I1336" t="str">
            <v>IF108G</v>
          </cell>
          <cell r="J1336">
            <v>256200</v>
          </cell>
        </row>
        <row r="1337">
          <cell r="I1337" t="str">
            <v>IF128G</v>
          </cell>
          <cell r="J1337">
            <v>295100</v>
          </cell>
        </row>
        <row r="1338">
          <cell r="I1338" t="str">
            <v>IF062H</v>
          </cell>
          <cell r="J1338">
            <v>115000</v>
          </cell>
        </row>
        <row r="1339">
          <cell r="I1339" t="str">
            <v>IF072H</v>
          </cell>
          <cell r="J1339">
            <v>127600</v>
          </cell>
        </row>
        <row r="1340">
          <cell r="I1340" t="str">
            <v>IF082H</v>
          </cell>
          <cell r="J1340">
            <v>141800</v>
          </cell>
        </row>
        <row r="1341">
          <cell r="I1341" t="str">
            <v>IF102H</v>
          </cell>
          <cell r="J1341">
            <v>165900</v>
          </cell>
        </row>
        <row r="1342">
          <cell r="I1342" t="str">
            <v>IF122H</v>
          </cell>
          <cell r="J1342">
            <v>190100</v>
          </cell>
        </row>
        <row r="1343">
          <cell r="I1343" t="str">
            <v>IF064H</v>
          </cell>
          <cell r="J1343">
            <v>137000</v>
          </cell>
        </row>
        <row r="1344">
          <cell r="I1344" t="str">
            <v>IF074H</v>
          </cell>
          <cell r="J1344">
            <v>149600</v>
          </cell>
        </row>
        <row r="1345">
          <cell r="I1345" t="str">
            <v>IF084H</v>
          </cell>
          <cell r="J1345">
            <v>163800</v>
          </cell>
        </row>
        <row r="1346">
          <cell r="I1346" t="str">
            <v>IF104H</v>
          </cell>
          <cell r="J1346">
            <v>188000</v>
          </cell>
        </row>
        <row r="1347">
          <cell r="I1347" t="str">
            <v>IF124H</v>
          </cell>
          <cell r="J1347">
            <v>212100</v>
          </cell>
        </row>
        <row r="1348">
          <cell r="I1348" t="str">
            <v>IF066H</v>
          </cell>
          <cell r="J1348">
            <v>154900</v>
          </cell>
        </row>
        <row r="1349">
          <cell r="I1349" t="str">
            <v>IF076H</v>
          </cell>
          <cell r="J1349">
            <v>170600</v>
          </cell>
        </row>
        <row r="1350">
          <cell r="I1350" t="str">
            <v>IF086H</v>
          </cell>
          <cell r="J1350">
            <v>188000</v>
          </cell>
        </row>
        <row r="1351">
          <cell r="I1351" t="str">
            <v>IF106H</v>
          </cell>
          <cell r="J1351">
            <v>218400</v>
          </cell>
        </row>
        <row r="1352">
          <cell r="I1352" t="str">
            <v>IF126H</v>
          </cell>
          <cell r="J1352">
            <v>248900</v>
          </cell>
        </row>
        <row r="1353">
          <cell r="I1353" t="str">
            <v>IF068H</v>
          </cell>
          <cell r="J1353">
            <v>175900</v>
          </cell>
        </row>
        <row r="1354">
          <cell r="I1354" t="str">
            <v>IF078H</v>
          </cell>
          <cell r="J1354">
            <v>191600</v>
          </cell>
        </row>
        <row r="1355">
          <cell r="I1355" t="str">
            <v>IF088H</v>
          </cell>
          <cell r="J1355">
            <v>209000</v>
          </cell>
        </row>
        <row r="1356">
          <cell r="I1356" t="str">
            <v>IF108H</v>
          </cell>
          <cell r="J1356">
            <v>239400</v>
          </cell>
        </row>
        <row r="1357">
          <cell r="I1357" t="str">
            <v>IF128H</v>
          </cell>
          <cell r="J1357">
            <v>269900</v>
          </cell>
        </row>
        <row r="1358">
          <cell r="I1358" t="str">
            <v>IF062B</v>
          </cell>
          <cell r="J1358">
            <v>128600</v>
          </cell>
        </row>
        <row r="1359">
          <cell r="I1359" t="str">
            <v>IF072B</v>
          </cell>
          <cell r="J1359">
            <v>140200</v>
          </cell>
        </row>
        <row r="1360">
          <cell r="I1360" t="str">
            <v>IF082B</v>
          </cell>
          <cell r="J1360">
            <v>152300</v>
          </cell>
        </row>
        <row r="1361">
          <cell r="I1361" t="str">
            <v>IF102B</v>
          </cell>
          <cell r="J1361">
            <v>176400</v>
          </cell>
        </row>
        <row r="1362">
          <cell r="I1362" t="str">
            <v>IF122B</v>
          </cell>
          <cell r="J1362">
            <v>200600</v>
          </cell>
        </row>
        <row r="1363">
          <cell r="I1363" t="str">
            <v>IF064B</v>
          </cell>
          <cell r="J1363">
            <v>148600</v>
          </cell>
        </row>
        <row r="1364">
          <cell r="I1364" t="str">
            <v>IF074B</v>
          </cell>
          <cell r="J1364">
            <v>162200</v>
          </cell>
        </row>
        <row r="1365">
          <cell r="I1365" t="str">
            <v>IF084B</v>
          </cell>
          <cell r="J1365">
            <v>176400</v>
          </cell>
        </row>
        <row r="1366">
          <cell r="I1366" t="str">
            <v>IF104B</v>
          </cell>
          <cell r="J1366">
            <v>202700</v>
          </cell>
        </row>
        <row r="1367">
          <cell r="I1367" t="str">
            <v>IF124B</v>
          </cell>
          <cell r="J1367">
            <v>228900</v>
          </cell>
        </row>
        <row r="1368">
          <cell r="I1368" t="str">
            <v>IF066B</v>
          </cell>
          <cell r="J1368">
            <v>168500</v>
          </cell>
        </row>
        <row r="1369">
          <cell r="I1369" t="str">
            <v>IF076B</v>
          </cell>
          <cell r="J1369">
            <v>183200</v>
          </cell>
        </row>
        <row r="1370">
          <cell r="I1370" t="str">
            <v>IF086B</v>
          </cell>
          <cell r="J1370">
            <v>198500</v>
          </cell>
        </row>
        <row r="1371">
          <cell r="I1371" t="str">
            <v>IF106B</v>
          </cell>
          <cell r="J1371">
            <v>228900</v>
          </cell>
        </row>
        <row r="1372">
          <cell r="I1372" t="str">
            <v>IF126B</v>
          </cell>
          <cell r="J1372">
            <v>259400</v>
          </cell>
        </row>
        <row r="1373">
          <cell r="I1373" t="str">
            <v>IF068B</v>
          </cell>
          <cell r="J1373">
            <v>187400</v>
          </cell>
        </row>
        <row r="1374">
          <cell r="I1374" t="str">
            <v>IF078B</v>
          </cell>
          <cell r="J1374">
            <v>204200</v>
          </cell>
        </row>
        <row r="1375">
          <cell r="I1375" t="str">
            <v>IF088B</v>
          </cell>
          <cell r="J1375">
            <v>221600</v>
          </cell>
        </row>
        <row r="1376">
          <cell r="I1376" t="str">
            <v>IF108B</v>
          </cell>
          <cell r="J1376">
            <v>254100</v>
          </cell>
        </row>
        <row r="1377">
          <cell r="I1377" t="str">
            <v>IF128B</v>
          </cell>
          <cell r="J1377">
            <v>286700</v>
          </cell>
        </row>
        <row r="1378">
          <cell r="I1378" t="str">
            <v>IF066HB</v>
          </cell>
          <cell r="J1378">
            <v>151700</v>
          </cell>
        </row>
        <row r="1379">
          <cell r="I1379" t="str">
            <v>IF076HB</v>
          </cell>
          <cell r="J1379">
            <v>169600</v>
          </cell>
        </row>
        <row r="1380">
          <cell r="I1380" t="str">
            <v>IF086HB</v>
          </cell>
          <cell r="J1380">
            <v>190100</v>
          </cell>
        </row>
        <row r="1381">
          <cell r="I1381" t="str">
            <v>IF106HB</v>
          </cell>
          <cell r="J1381">
            <v>224700</v>
          </cell>
        </row>
        <row r="1382">
          <cell r="I1382" t="str">
            <v>IF126HB</v>
          </cell>
          <cell r="J1382">
            <v>259400</v>
          </cell>
        </row>
        <row r="1383">
          <cell r="I1383" t="str">
            <v>IF068HB</v>
          </cell>
          <cell r="J1383">
            <v>172700</v>
          </cell>
        </row>
        <row r="1384">
          <cell r="I1384" t="str">
            <v>IF078HB</v>
          </cell>
          <cell r="J1384">
            <v>190600</v>
          </cell>
        </row>
        <row r="1385">
          <cell r="I1385" t="str">
            <v>IF088HB</v>
          </cell>
          <cell r="J1385">
            <v>211100</v>
          </cell>
        </row>
        <row r="1386">
          <cell r="I1386" t="str">
            <v>IF108HB</v>
          </cell>
          <cell r="J1386">
            <v>245700</v>
          </cell>
        </row>
        <row r="1387">
          <cell r="I1387" t="str">
            <v>IF128HB</v>
          </cell>
          <cell r="J1387">
            <v>280400</v>
          </cell>
        </row>
        <row r="1388">
          <cell r="I1388" t="str">
            <v>IF062D</v>
          </cell>
          <cell r="J1388">
            <v>123400</v>
          </cell>
        </row>
        <row r="1389">
          <cell r="I1389" t="str">
            <v>IF072D</v>
          </cell>
          <cell r="J1389">
            <v>134400</v>
          </cell>
        </row>
        <row r="1390">
          <cell r="I1390" t="str">
            <v>IF082D</v>
          </cell>
          <cell r="J1390">
            <v>146000</v>
          </cell>
        </row>
        <row r="1391">
          <cell r="I1391" t="str">
            <v>IF102D</v>
          </cell>
          <cell r="J1391">
            <v>168000</v>
          </cell>
        </row>
        <row r="1392">
          <cell r="I1392" t="str">
            <v>IF122D</v>
          </cell>
          <cell r="J1392">
            <v>190100</v>
          </cell>
        </row>
        <row r="1393">
          <cell r="I1393" t="str">
            <v>IF064D</v>
          </cell>
          <cell r="J1393">
            <v>142300</v>
          </cell>
        </row>
        <row r="1394">
          <cell r="I1394" t="str">
            <v>IF074D</v>
          </cell>
          <cell r="J1394">
            <v>154400</v>
          </cell>
        </row>
        <row r="1395">
          <cell r="I1395" t="str">
            <v>IF084D</v>
          </cell>
          <cell r="J1395">
            <v>167000</v>
          </cell>
        </row>
        <row r="1396">
          <cell r="I1396" t="str">
            <v>IF104D</v>
          </cell>
          <cell r="J1396">
            <v>190100</v>
          </cell>
        </row>
        <row r="1397">
          <cell r="I1397" t="str">
            <v>IF124D</v>
          </cell>
          <cell r="J1397">
            <v>213200</v>
          </cell>
        </row>
        <row r="1398">
          <cell r="I1398" t="str">
            <v>IF066D</v>
          </cell>
          <cell r="J1398">
            <v>163300</v>
          </cell>
        </row>
        <row r="1399">
          <cell r="I1399" t="str">
            <v>IF076D</v>
          </cell>
          <cell r="J1399">
            <v>177500</v>
          </cell>
        </row>
        <row r="1400">
          <cell r="I1400" t="str">
            <v>IF086D</v>
          </cell>
          <cell r="J1400">
            <v>192200</v>
          </cell>
        </row>
        <row r="1401">
          <cell r="I1401" t="str">
            <v>IF106D</v>
          </cell>
          <cell r="J1401">
            <v>220500</v>
          </cell>
        </row>
        <row r="1402">
          <cell r="I1402" t="str">
            <v>IF126D</v>
          </cell>
          <cell r="J1402">
            <v>248900</v>
          </cell>
        </row>
        <row r="1403">
          <cell r="I1403" t="str">
            <v>IF068D</v>
          </cell>
          <cell r="J1403">
            <v>181100</v>
          </cell>
        </row>
        <row r="1404">
          <cell r="I1404" t="str">
            <v>IF078D</v>
          </cell>
          <cell r="J1404">
            <v>196400</v>
          </cell>
        </row>
        <row r="1405">
          <cell r="I1405" t="str">
            <v>IF088D</v>
          </cell>
          <cell r="J1405">
            <v>212100</v>
          </cell>
        </row>
        <row r="1406">
          <cell r="I1406" t="str">
            <v>IF108D</v>
          </cell>
          <cell r="J1406">
            <v>241500</v>
          </cell>
        </row>
        <row r="1407">
          <cell r="I1407" t="str">
            <v>IF128D</v>
          </cell>
          <cell r="J1407">
            <v>270900</v>
          </cell>
        </row>
        <row r="1408">
          <cell r="I1408" t="str">
            <v>유리ED008</v>
          </cell>
          <cell r="J1408">
            <v>28000</v>
          </cell>
        </row>
        <row r="1409">
          <cell r="I1409" t="str">
            <v>유리ED012</v>
          </cell>
          <cell r="J1409">
            <v>32000</v>
          </cell>
        </row>
        <row r="1410">
          <cell r="I1410" t="str">
            <v>유리ED014</v>
          </cell>
          <cell r="J1410">
            <v>37000</v>
          </cell>
        </row>
        <row r="1411">
          <cell r="I1411" t="str">
            <v>유리ED016</v>
          </cell>
          <cell r="J1411">
            <v>43000</v>
          </cell>
        </row>
        <row r="1412">
          <cell r="I1412" t="str">
            <v>유리ED018</v>
          </cell>
          <cell r="J1412">
            <v>48000</v>
          </cell>
        </row>
        <row r="1413">
          <cell r="I1413" t="str">
            <v>유리ED018X</v>
          </cell>
          <cell r="J1413">
            <v>50000</v>
          </cell>
        </row>
        <row r="1414">
          <cell r="I1414" t="str">
            <v>유리ED0108</v>
          </cell>
          <cell r="J1414">
            <v>22000</v>
          </cell>
        </row>
        <row r="1415">
          <cell r="I1415" t="str">
            <v>유리ED0112</v>
          </cell>
          <cell r="J1415">
            <v>26000</v>
          </cell>
        </row>
        <row r="1416">
          <cell r="I1416" t="str">
            <v>유리ED0114</v>
          </cell>
          <cell r="J1416">
            <v>28000</v>
          </cell>
        </row>
        <row r="1417">
          <cell r="I1417" t="str">
            <v>유리ED0116</v>
          </cell>
          <cell r="J1417">
            <v>32000</v>
          </cell>
        </row>
        <row r="1418">
          <cell r="I1418" t="str">
            <v>유리ED401</v>
          </cell>
          <cell r="J1418">
            <v>20000</v>
          </cell>
        </row>
        <row r="1419">
          <cell r="I1419" t="str">
            <v>유리ED410</v>
          </cell>
          <cell r="J1419">
            <v>20000</v>
          </cell>
        </row>
        <row r="1420">
          <cell r="I1420" t="str">
            <v>유리ED412</v>
          </cell>
          <cell r="J1420">
            <v>22000</v>
          </cell>
        </row>
        <row r="1421">
          <cell r="I1421" t="str">
            <v>유리ED0706</v>
          </cell>
          <cell r="J1421">
            <v>22000</v>
          </cell>
        </row>
        <row r="1422">
          <cell r="I1422" t="str">
            <v>유리ED0708</v>
          </cell>
          <cell r="J1422">
            <v>27000</v>
          </cell>
        </row>
        <row r="1423">
          <cell r="I1423" t="str">
            <v>유리ED0806</v>
          </cell>
          <cell r="J1423">
            <v>15000</v>
          </cell>
        </row>
        <row r="1424">
          <cell r="I1424" t="str">
            <v>유리ED0808</v>
          </cell>
          <cell r="J1424">
            <v>18000</v>
          </cell>
        </row>
        <row r="1425">
          <cell r="I1425" t="str">
            <v>유리ED5466</v>
          </cell>
          <cell r="J1425">
            <v>22000</v>
          </cell>
        </row>
        <row r="1426">
          <cell r="I1426" t="str">
            <v>유리ED5488</v>
          </cell>
          <cell r="J1426">
            <v>25000</v>
          </cell>
        </row>
        <row r="1427">
          <cell r="I1427" t="str">
            <v>유리ED5966</v>
          </cell>
          <cell r="J1427">
            <v>22000</v>
          </cell>
        </row>
        <row r="1428">
          <cell r="I1428" t="str">
            <v>유리ED5988</v>
          </cell>
          <cell r="J1428">
            <v>25000</v>
          </cell>
        </row>
        <row r="1429">
          <cell r="I1429" t="str">
            <v>유리ED950</v>
          </cell>
          <cell r="J1429">
            <v>40000</v>
          </cell>
        </row>
        <row r="1430">
          <cell r="I1430" t="str">
            <v>유리ED912</v>
          </cell>
          <cell r="J1430">
            <v>28000</v>
          </cell>
        </row>
        <row r="1431">
          <cell r="I1431" t="str">
            <v>유리ED916</v>
          </cell>
          <cell r="J1431">
            <v>43000</v>
          </cell>
        </row>
        <row r="1432">
          <cell r="I1432" t="str">
            <v>유리EZ016</v>
          </cell>
          <cell r="J1432">
            <v>30000</v>
          </cell>
        </row>
        <row r="1433">
          <cell r="I1433" t="str">
            <v>유리TD008</v>
          </cell>
          <cell r="J1433">
            <v>30000</v>
          </cell>
        </row>
        <row r="1434">
          <cell r="I1434" t="str">
            <v>유리TD010</v>
          </cell>
          <cell r="J1434">
            <v>35000</v>
          </cell>
        </row>
        <row r="1435">
          <cell r="I1435" t="str">
            <v>유리TD012</v>
          </cell>
          <cell r="J1435">
            <v>37000</v>
          </cell>
        </row>
        <row r="1436">
          <cell r="I1436" t="str">
            <v>유리TD014</v>
          </cell>
          <cell r="J1436">
            <v>42000</v>
          </cell>
        </row>
        <row r="1437">
          <cell r="I1437" t="str">
            <v>유리TD016</v>
          </cell>
          <cell r="J1437">
            <v>47000</v>
          </cell>
        </row>
        <row r="1438">
          <cell r="I1438" t="str">
            <v>유리TD018</v>
          </cell>
          <cell r="J1438">
            <v>52000</v>
          </cell>
        </row>
        <row r="1439">
          <cell r="I1439" t="str">
            <v>유리TD108</v>
          </cell>
          <cell r="J1439">
            <v>23000</v>
          </cell>
        </row>
        <row r="1440">
          <cell r="I1440" t="str">
            <v>유리TD110</v>
          </cell>
          <cell r="J1440">
            <v>28000</v>
          </cell>
        </row>
        <row r="1441">
          <cell r="I1441" t="str">
            <v>유리TD112</v>
          </cell>
          <cell r="J1441">
            <v>30000</v>
          </cell>
        </row>
        <row r="1442">
          <cell r="I1442" t="str">
            <v>유리TD114</v>
          </cell>
          <cell r="J1442">
            <v>35000</v>
          </cell>
        </row>
        <row r="1443">
          <cell r="I1443" t="str">
            <v>유리TD116</v>
          </cell>
          <cell r="J1443">
            <v>40000</v>
          </cell>
        </row>
        <row r="1444">
          <cell r="I1444" t="str">
            <v>유리TD118</v>
          </cell>
          <cell r="J1444">
            <v>43000</v>
          </cell>
        </row>
        <row r="1445">
          <cell r="I1445" t="str">
            <v>유리TD912</v>
          </cell>
          <cell r="J1445">
            <v>27000</v>
          </cell>
        </row>
        <row r="1446">
          <cell r="I1446" t="str">
            <v>유리TD916</v>
          </cell>
          <cell r="J1446">
            <v>40000</v>
          </cell>
        </row>
        <row r="1447">
          <cell r="I1447" t="str">
            <v>유리TD990</v>
          </cell>
          <cell r="J1447">
            <v>42000</v>
          </cell>
        </row>
        <row r="1448">
          <cell r="I1448" t="str">
            <v>유리TD966</v>
          </cell>
          <cell r="J1448">
            <v>32000</v>
          </cell>
        </row>
        <row r="1449">
          <cell r="I1449" t="str">
            <v>유리TD988</v>
          </cell>
          <cell r="J1449">
            <v>43000</v>
          </cell>
        </row>
        <row r="1450">
          <cell r="I1450" t="str">
            <v>유리TD412</v>
          </cell>
          <cell r="J1450">
            <v>20000</v>
          </cell>
        </row>
        <row r="1451">
          <cell r="I1451" t="str">
            <v>유리TD508</v>
          </cell>
          <cell r="J1451">
            <v>46000</v>
          </cell>
        </row>
        <row r="1452">
          <cell r="I1452" t="str">
            <v>유리TD507</v>
          </cell>
          <cell r="J1452">
            <v>46000</v>
          </cell>
        </row>
        <row r="1453">
          <cell r="I1453" t="str">
            <v>유리TD518</v>
          </cell>
          <cell r="J1453">
            <v>35000</v>
          </cell>
        </row>
        <row r="1454">
          <cell r="I1454" t="str">
            <v>유리TD516</v>
          </cell>
          <cell r="J1454">
            <v>30000</v>
          </cell>
        </row>
        <row r="1455">
          <cell r="I1455" t="str">
            <v>유리NT0006</v>
          </cell>
          <cell r="J1455">
            <v>18000</v>
          </cell>
        </row>
        <row r="1456">
          <cell r="I1456" t="str">
            <v>유리NT0008</v>
          </cell>
          <cell r="J1456">
            <v>23000</v>
          </cell>
        </row>
        <row r="1457">
          <cell r="I1457" t="str">
            <v>유리NT0010</v>
          </cell>
          <cell r="J1457">
            <v>28000</v>
          </cell>
        </row>
        <row r="1458">
          <cell r="I1458" t="str">
            <v>유리NT0012</v>
          </cell>
          <cell r="J1458">
            <v>32000</v>
          </cell>
        </row>
        <row r="1459">
          <cell r="I1459" t="str">
            <v>유리NT0016</v>
          </cell>
          <cell r="J1459">
            <v>43000</v>
          </cell>
        </row>
        <row r="1460">
          <cell r="I1460" t="str">
            <v>유리NT0018</v>
          </cell>
          <cell r="J1460">
            <v>45000</v>
          </cell>
        </row>
        <row r="1461">
          <cell r="I1461" t="str">
            <v>유리NT0106</v>
          </cell>
          <cell r="J1461">
            <v>18000</v>
          </cell>
        </row>
        <row r="1462">
          <cell r="I1462" t="str">
            <v>유리NT0108</v>
          </cell>
          <cell r="J1462">
            <v>22000</v>
          </cell>
        </row>
        <row r="1463">
          <cell r="I1463" t="str">
            <v>유리NT0110</v>
          </cell>
          <cell r="J1463">
            <v>23000</v>
          </cell>
        </row>
        <row r="1464">
          <cell r="I1464" t="str">
            <v>유리NT0112</v>
          </cell>
          <cell r="J1464">
            <v>25000</v>
          </cell>
        </row>
        <row r="1465">
          <cell r="I1465" t="str">
            <v>유리NT0114</v>
          </cell>
          <cell r="J1465">
            <v>30000</v>
          </cell>
        </row>
        <row r="1466">
          <cell r="I1466" t="str">
            <v>유리NT0116</v>
          </cell>
          <cell r="J1466">
            <v>34000</v>
          </cell>
        </row>
        <row r="1467">
          <cell r="I1467" t="str">
            <v>유리NT0118</v>
          </cell>
          <cell r="J1467">
            <v>38000</v>
          </cell>
        </row>
        <row r="1468">
          <cell r="I1468" t="str">
            <v>유리NT966</v>
          </cell>
          <cell r="J1468">
            <v>40000</v>
          </cell>
        </row>
        <row r="1469">
          <cell r="I1469" t="str">
            <v>유리NT5566</v>
          </cell>
          <cell r="J1469">
            <v>47000</v>
          </cell>
        </row>
        <row r="1470">
          <cell r="I1470" t="str">
            <v>유리NT988</v>
          </cell>
          <cell r="J1470">
            <v>45000</v>
          </cell>
        </row>
        <row r="1471">
          <cell r="I1471" t="str">
            <v>유리NT912</v>
          </cell>
          <cell r="J1471">
            <v>28000</v>
          </cell>
        </row>
        <row r="1472">
          <cell r="I1472" t="str">
            <v>유리NT916</v>
          </cell>
          <cell r="J1472">
            <v>38000</v>
          </cell>
        </row>
        <row r="1473">
          <cell r="I1473" t="str">
            <v>유리NT918</v>
          </cell>
          <cell r="J1473">
            <v>45000</v>
          </cell>
        </row>
        <row r="1474">
          <cell r="I1474" t="str">
            <v>유리NT5586</v>
          </cell>
          <cell r="J1474">
            <v>50000</v>
          </cell>
        </row>
        <row r="1475">
          <cell r="I1475" t="str">
            <v>유리NT5588</v>
          </cell>
          <cell r="J1475">
            <v>52000</v>
          </cell>
        </row>
        <row r="1476">
          <cell r="I1476" t="str">
            <v>유리YD018</v>
          </cell>
          <cell r="J1476">
            <v>60000</v>
          </cell>
        </row>
        <row r="1477">
          <cell r="I1477" t="str">
            <v>유리YD412</v>
          </cell>
          <cell r="J1477">
            <v>25000</v>
          </cell>
        </row>
        <row r="1478">
          <cell r="I1478" t="str">
            <v>유리YD990</v>
          </cell>
          <cell r="J1478">
            <v>40000</v>
          </cell>
        </row>
        <row r="1479">
          <cell r="I1479" t="str">
            <v>유리CR009</v>
          </cell>
          <cell r="J1479">
            <v>27000</v>
          </cell>
        </row>
        <row r="1480">
          <cell r="I1480" t="str">
            <v>유리CR012</v>
          </cell>
          <cell r="J1480">
            <v>40000</v>
          </cell>
        </row>
        <row r="1481">
          <cell r="I1481" t="str">
            <v>유리CR018</v>
          </cell>
          <cell r="J1481">
            <v>48000</v>
          </cell>
        </row>
        <row r="1482">
          <cell r="I1482" t="str">
            <v>유리CR024</v>
          </cell>
          <cell r="J1482">
            <v>75000</v>
          </cell>
        </row>
        <row r="1483">
          <cell r="I1483" t="str">
            <v>유리SR009</v>
          </cell>
          <cell r="J1483">
            <v>25000</v>
          </cell>
        </row>
        <row r="1484">
          <cell r="I1484" t="str">
            <v>유리SR012</v>
          </cell>
          <cell r="J1484">
            <v>40000</v>
          </cell>
        </row>
        <row r="1485">
          <cell r="I1485" t="str">
            <v>유리SR018</v>
          </cell>
          <cell r="J1485">
            <v>46000</v>
          </cell>
        </row>
        <row r="1486">
          <cell r="I1486" t="str">
            <v>유리SR024S</v>
          </cell>
          <cell r="J1486">
            <v>62000</v>
          </cell>
        </row>
        <row r="1487">
          <cell r="I1487" t="str">
            <v>유리SR024</v>
          </cell>
          <cell r="J1487">
            <v>70000</v>
          </cell>
        </row>
        <row r="1488">
          <cell r="I1488" t="str">
            <v>유리SR032</v>
          </cell>
          <cell r="J1488">
            <v>85000</v>
          </cell>
        </row>
        <row r="1489">
          <cell r="I1489" t="str">
            <v>유리PD018</v>
          </cell>
          <cell r="J1489">
            <v>56000</v>
          </cell>
        </row>
        <row r="1490">
          <cell r="I1490" t="str">
            <v>유리PD021</v>
          </cell>
          <cell r="J1490">
            <v>72000</v>
          </cell>
        </row>
        <row r="1491">
          <cell r="I1491" t="str">
            <v>유리PD414</v>
          </cell>
          <cell r="J1491">
            <v>28000</v>
          </cell>
        </row>
        <row r="1492">
          <cell r="I1492" t="str">
            <v>유리EL0112</v>
          </cell>
          <cell r="J1492">
            <v>25000</v>
          </cell>
        </row>
        <row r="1493">
          <cell r="I1493" t="str">
            <v>유리EL0104</v>
          </cell>
          <cell r="J1493">
            <v>15000</v>
          </cell>
        </row>
        <row r="1494">
          <cell r="I1494" t="str">
            <v>유리CL0207</v>
          </cell>
          <cell r="J1494">
            <v>26000</v>
          </cell>
        </row>
        <row r="1495">
          <cell r="I1495" t="str">
            <v>유리CL0212</v>
          </cell>
          <cell r="J1495">
            <v>25000</v>
          </cell>
        </row>
        <row r="1496">
          <cell r="I1496" t="str">
            <v>유리CL0204</v>
          </cell>
          <cell r="J1496">
            <v>18000</v>
          </cell>
        </row>
        <row r="1497">
          <cell r="I1497" t="str">
            <v>유리LD021</v>
          </cell>
          <cell r="J1497">
            <v>70000</v>
          </cell>
        </row>
        <row r="1498">
          <cell r="I1498" t="str">
            <v>유리LD018</v>
          </cell>
          <cell r="J1498">
            <v>45000</v>
          </cell>
        </row>
        <row r="1499">
          <cell r="I1499" t="str">
            <v>유리LZ01</v>
          </cell>
          <cell r="J1499">
            <v>40000</v>
          </cell>
        </row>
        <row r="1500">
          <cell r="I1500" t="str">
            <v>유리LZ11</v>
          </cell>
          <cell r="J1500">
            <v>30000</v>
          </cell>
        </row>
        <row r="1501">
          <cell r="I1501" t="str">
            <v>유리LL016</v>
          </cell>
          <cell r="J1501">
            <v>45000</v>
          </cell>
        </row>
        <row r="1502">
          <cell r="I1502" t="str">
            <v>유리LL008</v>
          </cell>
          <cell r="J1502">
            <v>25000</v>
          </cell>
        </row>
        <row r="1503">
          <cell r="I1503" t="str">
            <v>유리LL0007</v>
          </cell>
          <cell r="J1503">
            <v>18000</v>
          </cell>
        </row>
        <row r="1504">
          <cell r="I1504" t="str">
            <v>유리CR1107</v>
          </cell>
          <cell r="J1504">
            <v>18000</v>
          </cell>
        </row>
        <row r="1505">
          <cell r="I1505" t="str">
            <v>유리CR1115</v>
          </cell>
          <cell r="J1505">
            <v>25000</v>
          </cell>
        </row>
        <row r="1506">
          <cell r="I1506" t="str">
            <v>유리CR1166</v>
          </cell>
          <cell r="J1506">
            <v>25000</v>
          </cell>
        </row>
        <row r="1507">
          <cell r="I1507" t="str">
            <v>유리CR1007</v>
          </cell>
          <cell r="J1507">
            <v>20000</v>
          </cell>
        </row>
        <row r="1508">
          <cell r="I1508" t="str">
            <v>유리CR1015</v>
          </cell>
          <cell r="J1508">
            <v>40000</v>
          </cell>
        </row>
        <row r="1509">
          <cell r="I1509" t="str">
            <v>유리CR1066</v>
          </cell>
          <cell r="J1509">
            <v>45000</v>
          </cell>
        </row>
        <row r="1510">
          <cell r="I1510" t="str">
            <v>유리CR3118</v>
          </cell>
          <cell r="J1510">
            <v>30000</v>
          </cell>
        </row>
        <row r="1511">
          <cell r="I1511" t="str">
            <v>유리SD008</v>
          </cell>
          <cell r="J1511">
            <v>23000</v>
          </cell>
        </row>
        <row r="1512">
          <cell r="I1512" t="str">
            <v>유리SD008L</v>
          </cell>
          <cell r="J1512">
            <v>23000</v>
          </cell>
        </row>
        <row r="1513">
          <cell r="I1513" t="str">
            <v>유리SD008R</v>
          </cell>
          <cell r="J1513">
            <v>23000</v>
          </cell>
        </row>
        <row r="1514">
          <cell r="I1514" t="str">
            <v>유리SD012</v>
          </cell>
          <cell r="J1514">
            <v>30000</v>
          </cell>
        </row>
        <row r="1515">
          <cell r="I1515" t="str">
            <v>유리SD012L</v>
          </cell>
          <cell r="J1515">
            <v>30000</v>
          </cell>
        </row>
        <row r="1516">
          <cell r="I1516" t="str">
            <v>유리SD012R</v>
          </cell>
          <cell r="J1516">
            <v>30000</v>
          </cell>
        </row>
        <row r="1517">
          <cell r="I1517" t="str">
            <v>유리SD014</v>
          </cell>
          <cell r="J1517">
            <v>40000</v>
          </cell>
        </row>
        <row r="1518">
          <cell r="I1518" t="str">
            <v>유리SD014L</v>
          </cell>
          <cell r="J1518">
            <v>40000</v>
          </cell>
        </row>
        <row r="1519">
          <cell r="I1519" t="str">
            <v>유리SD014R</v>
          </cell>
          <cell r="J1519">
            <v>40000</v>
          </cell>
        </row>
        <row r="1520">
          <cell r="I1520" t="str">
            <v>유리SD016</v>
          </cell>
          <cell r="J1520">
            <v>50000</v>
          </cell>
        </row>
        <row r="1521">
          <cell r="I1521" t="str">
            <v>유리SD016R</v>
          </cell>
          <cell r="J1521">
            <v>50000</v>
          </cell>
        </row>
        <row r="1522">
          <cell r="I1522" t="str">
            <v>유리SD016L</v>
          </cell>
          <cell r="J1522">
            <v>50000</v>
          </cell>
        </row>
        <row r="1523">
          <cell r="I1523" t="str">
            <v>유리SD316R</v>
          </cell>
          <cell r="J1523">
            <v>60000</v>
          </cell>
        </row>
        <row r="1524">
          <cell r="I1524" t="str">
            <v>유리SD316L</v>
          </cell>
          <cell r="J1524">
            <v>60000</v>
          </cell>
        </row>
        <row r="1525">
          <cell r="I1525" t="str">
            <v>유리SD507</v>
          </cell>
          <cell r="J1525">
            <v>40000</v>
          </cell>
        </row>
        <row r="1526">
          <cell r="I1526" t="str">
            <v>유리SD517</v>
          </cell>
          <cell r="J1526">
            <v>30000</v>
          </cell>
        </row>
        <row r="1527">
          <cell r="I1527" t="str">
            <v>유리SD547</v>
          </cell>
          <cell r="J1527">
            <v>18000</v>
          </cell>
        </row>
        <row r="1528">
          <cell r="I1528" t="str">
            <v>유리SD597</v>
          </cell>
          <cell r="J1528">
            <v>23000</v>
          </cell>
        </row>
        <row r="1529">
          <cell r="I1529" t="str">
            <v>유리SD406L</v>
          </cell>
          <cell r="J1529">
            <v>15000</v>
          </cell>
        </row>
        <row r="1530">
          <cell r="I1530" t="str">
            <v>유리SD406R</v>
          </cell>
          <cell r="J1530">
            <v>15000</v>
          </cell>
        </row>
        <row r="1531">
          <cell r="I1531" t="str">
            <v>유리SD912</v>
          </cell>
          <cell r="J1531">
            <v>23000</v>
          </cell>
        </row>
        <row r="1532">
          <cell r="I1532" t="str">
            <v>유리SD955</v>
          </cell>
          <cell r="J1532">
            <v>20000</v>
          </cell>
        </row>
        <row r="1533">
          <cell r="I1533" t="str">
            <v>유리SD977</v>
          </cell>
          <cell r="J1533">
            <v>34000</v>
          </cell>
        </row>
        <row r="1534">
          <cell r="I1534" t="str">
            <v>유리SD927L</v>
          </cell>
          <cell r="J1534">
            <v>40000</v>
          </cell>
        </row>
        <row r="1535">
          <cell r="I1535" t="str">
            <v>유리SD927R</v>
          </cell>
          <cell r="J1535">
            <v>40000</v>
          </cell>
        </row>
        <row r="1536">
          <cell r="I1536" t="str">
            <v>유리SD990</v>
          </cell>
          <cell r="J1536">
            <v>42000</v>
          </cell>
        </row>
        <row r="1537">
          <cell r="I1537" t="str">
            <v>유리SD0300</v>
          </cell>
          <cell r="J1537">
            <v>15000</v>
          </cell>
        </row>
        <row r="1538">
          <cell r="I1538" t="str">
            <v>유리SD662</v>
          </cell>
          <cell r="J1538">
            <v>18000</v>
          </cell>
        </row>
        <row r="1539">
          <cell r="I1539" t="str">
            <v>유리IT0008</v>
          </cell>
          <cell r="J1539">
            <v>24000</v>
          </cell>
        </row>
        <row r="1540">
          <cell r="I1540" t="str">
            <v>유리IT0008L</v>
          </cell>
          <cell r="J1540">
            <v>24000</v>
          </cell>
        </row>
        <row r="1541">
          <cell r="I1541" t="str">
            <v>유리IT0008R</v>
          </cell>
          <cell r="J1541">
            <v>24000</v>
          </cell>
        </row>
        <row r="1542">
          <cell r="I1542" t="str">
            <v>유리IT0010</v>
          </cell>
          <cell r="J1542">
            <v>30000</v>
          </cell>
        </row>
        <row r="1543">
          <cell r="I1543" t="str">
            <v>유리IT0010L</v>
          </cell>
          <cell r="J1543">
            <v>30000</v>
          </cell>
        </row>
        <row r="1544">
          <cell r="I1544" t="str">
            <v>유리IT0010R</v>
          </cell>
          <cell r="J1544">
            <v>30000</v>
          </cell>
        </row>
        <row r="1545">
          <cell r="I1545" t="str">
            <v>유리IT0012</v>
          </cell>
          <cell r="J1545">
            <v>32000</v>
          </cell>
        </row>
        <row r="1546">
          <cell r="I1546" t="str">
            <v>유리IT0012L</v>
          </cell>
          <cell r="J1546">
            <v>32000</v>
          </cell>
        </row>
        <row r="1547">
          <cell r="I1547" t="str">
            <v>유리IT0012R</v>
          </cell>
          <cell r="J1547">
            <v>32000</v>
          </cell>
        </row>
        <row r="1548">
          <cell r="I1548" t="str">
            <v>유리IT0116</v>
          </cell>
          <cell r="J1548">
            <v>38000</v>
          </cell>
        </row>
        <row r="1549">
          <cell r="I1549" t="str">
            <v>유리IT0118</v>
          </cell>
          <cell r="J1549">
            <v>40000</v>
          </cell>
        </row>
        <row r="1550">
          <cell r="I1550" t="str">
            <v>유리IT5066</v>
          </cell>
          <cell r="J1550">
            <v>42000</v>
          </cell>
        </row>
        <row r="1551">
          <cell r="I1551" t="str">
            <v>유리IT5077</v>
          </cell>
          <cell r="J1551">
            <v>45000</v>
          </cell>
        </row>
        <row r="1552">
          <cell r="I1552" t="str">
            <v>유리IT912</v>
          </cell>
          <cell r="J1552">
            <v>27000</v>
          </cell>
        </row>
        <row r="1553">
          <cell r="I1553" t="str">
            <v>유리IT916</v>
          </cell>
          <cell r="J1553">
            <v>43000</v>
          </cell>
        </row>
        <row r="1554">
          <cell r="I1554" t="str">
            <v>유리IT966</v>
          </cell>
          <cell r="J1554">
            <v>28000</v>
          </cell>
        </row>
        <row r="1555">
          <cell r="I1555" t="str">
            <v>유리IT977</v>
          </cell>
          <cell r="J1555">
            <v>43000</v>
          </cell>
        </row>
        <row r="1556">
          <cell r="I1556" t="str">
            <v>유리IT926L</v>
          </cell>
          <cell r="J1556">
            <v>43000</v>
          </cell>
        </row>
        <row r="1557">
          <cell r="I1557" t="str">
            <v>유리IT926R</v>
          </cell>
          <cell r="J1557">
            <v>43000</v>
          </cell>
        </row>
        <row r="1558">
          <cell r="I1558" t="str">
            <v>유리IT927L</v>
          </cell>
          <cell r="J1558">
            <v>43000</v>
          </cell>
        </row>
        <row r="1559">
          <cell r="I1559" t="str">
            <v>유리IT927R</v>
          </cell>
          <cell r="J1559">
            <v>43000</v>
          </cell>
        </row>
        <row r="1560">
          <cell r="I1560" t="str">
            <v>유리IT912DL</v>
          </cell>
          <cell r="J1560">
            <v>38000</v>
          </cell>
        </row>
        <row r="1561">
          <cell r="I1561" t="str">
            <v>유리IT912DR</v>
          </cell>
          <cell r="J1561">
            <v>38000</v>
          </cell>
        </row>
        <row r="1562">
          <cell r="I1562" t="str">
            <v>유리IT918DL</v>
          </cell>
          <cell r="J1562">
            <v>43000</v>
          </cell>
        </row>
        <row r="1563">
          <cell r="I1563" t="str">
            <v>유리IT918DR</v>
          </cell>
          <cell r="J1563">
            <v>43000</v>
          </cell>
        </row>
        <row r="1564">
          <cell r="I1564" t="str">
            <v>유리IT912CL</v>
          </cell>
          <cell r="J1564">
            <v>38000</v>
          </cell>
        </row>
        <row r="1565">
          <cell r="I1565" t="str">
            <v>유리IT912CR</v>
          </cell>
          <cell r="J1565">
            <v>38000</v>
          </cell>
        </row>
        <row r="1566">
          <cell r="I1566" t="str">
            <v>유리IT918CL</v>
          </cell>
          <cell r="J1566">
            <v>43000</v>
          </cell>
        </row>
        <row r="1567">
          <cell r="I1567" t="str">
            <v>유리IT918CR</v>
          </cell>
          <cell r="J1567">
            <v>43000</v>
          </cell>
        </row>
        <row r="1568">
          <cell r="I1568" t="str">
            <v>유리IT2004</v>
          </cell>
          <cell r="J1568">
            <v>15000</v>
          </cell>
        </row>
        <row r="1569">
          <cell r="I1569" t="str">
            <v>유리IT2005</v>
          </cell>
          <cell r="J1569">
            <v>15000</v>
          </cell>
        </row>
        <row r="1570">
          <cell r="I1570" t="str">
            <v>유리IT2006</v>
          </cell>
          <cell r="J1570">
            <v>15000</v>
          </cell>
        </row>
        <row r="1571">
          <cell r="I1571" t="str">
            <v>유리IT2007</v>
          </cell>
          <cell r="J1571">
            <v>17000</v>
          </cell>
        </row>
        <row r="1572">
          <cell r="I1572" t="str">
            <v>유리IT2008</v>
          </cell>
          <cell r="J1572">
            <v>20000</v>
          </cell>
        </row>
        <row r="1573">
          <cell r="I1573" t="str">
            <v>유리IT2010</v>
          </cell>
          <cell r="J1573">
            <v>20000</v>
          </cell>
        </row>
        <row r="1574">
          <cell r="I1574" t="str">
            <v>유리IT2012</v>
          </cell>
          <cell r="J1574">
            <v>22000</v>
          </cell>
        </row>
        <row r="1575">
          <cell r="I1575" t="str">
            <v>유리IT2014</v>
          </cell>
          <cell r="J1575">
            <v>25000</v>
          </cell>
        </row>
        <row r="1576">
          <cell r="I1576" t="str">
            <v>유리IT2016</v>
          </cell>
          <cell r="J1576">
            <v>28000</v>
          </cell>
        </row>
        <row r="1577">
          <cell r="I1577" t="str">
            <v>유리IT2122</v>
          </cell>
          <cell r="J1577">
            <v>15000</v>
          </cell>
        </row>
        <row r="1578">
          <cell r="I1578" t="str">
            <v>유리IT2204</v>
          </cell>
          <cell r="J1578">
            <v>15000</v>
          </cell>
        </row>
        <row r="1579">
          <cell r="I1579" t="str">
            <v>유리IT2205</v>
          </cell>
          <cell r="J1579">
            <v>15000</v>
          </cell>
        </row>
        <row r="1580">
          <cell r="I1580" t="str">
            <v>유리IT2206</v>
          </cell>
          <cell r="J1580">
            <v>18000</v>
          </cell>
        </row>
        <row r="1581">
          <cell r="I1581" t="str">
            <v>유리IT2207</v>
          </cell>
          <cell r="J1581">
            <v>20000</v>
          </cell>
        </row>
        <row r="1582">
          <cell r="I1582" t="str">
            <v>유리IT2208</v>
          </cell>
          <cell r="J1582">
            <v>22000</v>
          </cell>
        </row>
        <row r="1583">
          <cell r="I1583" t="str">
            <v>유리IT2210</v>
          </cell>
          <cell r="J1583">
            <v>22000</v>
          </cell>
        </row>
        <row r="1584">
          <cell r="I1584" t="str">
            <v>유리IT2212</v>
          </cell>
          <cell r="J1584">
            <v>25000</v>
          </cell>
        </row>
        <row r="1585">
          <cell r="I1585" t="str">
            <v>유리PL0904</v>
          </cell>
          <cell r="J1585">
            <v>18000</v>
          </cell>
        </row>
        <row r="1586">
          <cell r="I1586" t="str">
            <v>유리PL0908</v>
          </cell>
          <cell r="J1586">
            <v>28000</v>
          </cell>
        </row>
        <row r="1587">
          <cell r="I1587" t="str">
            <v>유리PL0912</v>
          </cell>
          <cell r="J1587">
            <v>30000</v>
          </cell>
        </row>
        <row r="1588">
          <cell r="I1588" t="str">
            <v>유리PL0914</v>
          </cell>
          <cell r="J1588">
            <v>34000</v>
          </cell>
        </row>
        <row r="1589">
          <cell r="I1589" t="str">
            <v>유리CR2008</v>
          </cell>
          <cell r="J1589">
            <v>28000</v>
          </cell>
        </row>
        <row r="1590">
          <cell r="I1590" t="str">
            <v>유리CR2590</v>
          </cell>
          <cell r="J1590">
            <v>28000</v>
          </cell>
        </row>
        <row r="1591">
          <cell r="I1591" t="str">
            <v>유리CR2016</v>
          </cell>
          <cell r="J1591">
            <v>42000</v>
          </cell>
        </row>
        <row r="1592">
          <cell r="I1592" t="str">
            <v>유리CC1083</v>
          </cell>
          <cell r="J1592">
            <v>18000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찰안"/>
      <sheetName val="부대입찰"/>
      <sheetName val="부대공"/>
      <sheetName val="적격점수"/>
      <sheetName val="자재인력"/>
      <sheetName val="입찰조건"/>
      <sheetName val="조건표"/>
      <sheetName val="차액보증"/>
      <sheetName val="VXXXXX"/>
      <sheetName val="하도급대비"/>
      <sheetName val="하도급기성"/>
      <sheetName val="하도급단가산출"/>
      <sheetName val="토공집계표"/>
      <sheetName val="유토계획및집계"/>
      <sheetName val="유용토모식도"/>
      <sheetName val="토량산출(다짐)"/>
      <sheetName val="토공총괄"/>
      <sheetName val="직영단가"/>
      <sheetName val="하도급기성 (2)"/>
      <sheetName val="하도급단가산출 (2)"/>
      <sheetName val="RAHMEN"/>
      <sheetName val="BID"/>
      <sheetName val="기초공"/>
      <sheetName val="기둥(원형)"/>
      <sheetName val="내역서"/>
      <sheetName val="입출재고현황 (2)"/>
      <sheetName val="TEL"/>
      <sheetName val="공사개요"/>
      <sheetName val="대비"/>
      <sheetName val="견적서"/>
      <sheetName val="공사비집계"/>
      <sheetName val="Sheet2"/>
      <sheetName val="현장"/>
      <sheetName val="일위대가"/>
      <sheetName val="DATA"/>
      <sheetName val="8공구투찰내역서"/>
      <sheetName val="98지급계획"/>
      <sheetName val="DATE"/>
      <sheetName val="ABUT수량-A1"/>
      <sheetName val="I.설계조건"/>
      <sheetName val="인사자료총집계"/>
      <sheetName val="부대대비"/>
      <sheetName val="냉연집계"/>
      <sheetName val="경비2내역"/>
      <sheetName val="CAPVC"/>
      <sheetName val="노원열병합  건축공사기성내역서"/>
      <sheetName val="세부내역"/>
      <sheetName val="설 계"/>
      <sheetName val="단가조건"/>
      <sheetName val="hvac내역서(제어동)"/>
      <sheetName val="조명시설"/>
      <sheetName val="터파기및재료"/>
      <sheetName val="전기일위대가"/>
      <sheetName val="말뚝지지력산정"/>
      <sheetName val="계약내역서"/>
      <sheetName val="코드표"/>
      <sheetName val="출력표"/>
      <sheetName val="공사내역"/>
      <sheetName val="단면가정"/>
      <sheetName val="설계조건"/>
      <sheetName val="접속 SLAB,BRACKET 설계"/>
      <sheetName val="구미4단2"/>
      <sheetName val="노임단가"/>
      <sheetName val="1련박스"/>
      <sheetName val="일위대가목차"/>
      <sheetName val="데이타"/>
      <sheetName val="type-F"/>
      <sheetName val="design criteria"/>
      <sheetName val="working load at the btm ft."/>
      <sheetName val="plan&amp;section of foundation"/>
      <sheetName val="member design"/>
      <sheetName val="전체"/>
      <sheetName val="옹벽"/>
      <sheetName val="내역"/>
      <sheetName val="1.설계조건"/>
      <sheetName val="6.OUTPUT"/>
      <sheetName val="#REF"/>
      <sheetName val="지급자재"/>
      <sheetName val="Macro1"/>
      <sheetName val="Proposal"/>
      <sheetName val="2000년1차"/>
      <sheetName val="영업.일"/>
      <sheetName val="단면검토"/>
      <sheetName val="Total"/>
      <sheetName val="수량산출"/>
      <sheetName val="Customer Databas"/>
      <sheetName val="예산M12A"/>
      <sheetName val="BSD (2)"/>
      <sheetName val="가로등기초"/>
      <sheetName val="설계명세서"/>
      <sheetName val="1단계"/>
      <sheetName val="총괄"/>
      <sheetName val="EKOG10건축"/>
      <sheetName val="단위중기"/>
      <sheetName val="산출기준(파견전산실)"/>
      <sheetName val="본부소개"/>
      <sheetName val="M1"/>
      <sheetName val="2.대외공문"/>
      <sheetName val="예산변경사항"/>
      <sheetName val="청천내"/>
      <sheetName val="내역서(총)"/>
      <sheetName val="EACT10"/>
      <sheetName val="실행철강하도"/>
      <sheetName val="2000.05"/>
      <sheetName val="물가"/>
      <sheetName val="BOQ건축"/>
      <sheetName val="BSD _2_"/>
      <sheetName val="soil bearing check"/>
      <sheetName val="Sheet3"/>
      <sheetName val="토목주소"/>
      <sheetName val="프랜트면허"/>
      <sheetName val="Sheet1"/>
      <sheetName val="품종별-이름"/>
      <sheetName val="기계내역"/>
      <sheetName val="Budget 2004(DW)"/>
      <sheetName val="첨"/>
      <sheetName val="9-1차이내역"/>
      <sheetName val="표지"/>
      <sheetName val="보도경계블럭"/>
      <sheetName val="공사비예산서(토목분)"/>
      <sheetName val="1.우편집중내역서"/>
      <sheetName val="부대내역"/>
      <sheetName val="수량산출서"/>
      <sheetName val="내역(입찰)"/>
      <sheetName val="danga"/>
      <sheetName val="ilch"/>
      <sheetName val="Y-WORK"/>
      <sheetName val="을"/>
      <sheetName val="날개벽(좌,우=45도,75도)"/>
      <sheetName val="정부노임단가"/>
      <sheetName val="가격조사서"/>
      <sheetName val="첨부파일"/>
      <sheetName val="토공계산서(부체도로)"/>
      <sheetName val="1호맨홀토공"/>
      <sheetName val="말뚝물량"/>
      <sheetName val="협조전"/>
      <sheetName val="정보매체A동"/>
      <sheetName val="ITB COST"/>
      <sheetName val="시멘트"/>
      <sheetName val="조명율표"/>
      <sheetName val="가정급수관"/>
      <sheetName val="11"/>
      <sheetName val="음료실행"/>
      <sheetName val="결과조달"/>
      <sheetName val="토공(완충)"/>
      <sheetName val="연결임시"/>
      <sheetName val="날개벽"/>
      <sheetName val="TB-내역서"/>
      <sheetName val="교각1"/>
      <sheetName val="포장공"/>
      <sheetName val="토공"/>
      <sheetName val="기계"/>
      <sheetName val="UNIT"/>
      <sheetName val="PUMP"/>
      <sheetName val="집계표"/>
      <sheetName val="MOTOR"/>
      <sheetName val="일위목록"/>
      <sheetName val="공통가설"/>
      <sheetName val="산출근거"/>
      <sheetName val="대대터널 설계서"/>
      <sheetName val="내역표지"/>
      <sheetName val="일위대가표"/>
      <sheetName val="INPUT"/>
      <sheetName val="전기"/>
      <sheetName val="자재단가비교표"/>
      <sheetName val="보온자재단가표"/>
      <sheetName val="조경"/>
      <sheetName val="Front"/>
      <sheetName val="wall"/>
      <sheetName val="DESCRIPTION"/>
      <sheetName val="6호기"/>
      <sheetName val="2002상반기노임기준"/>
      <sheetName val="견적조건"/>
      <sheetName val="공사개요설명서"/>
      <sheetName val="예산M5A"/>
      <sheetName val="VENDOR LIST"/>
      <sheetName val="공통비"/>
      <sheetName val="Piping(Methanol)"/>
      <sheetName val="견적가 검토"/>
      <sheetName val="FUND"/>
      <sheetName val="FRT_O"/>
      <sheetName val="FAB_I"/>
      <sheetName val="토목내역"/>
      <sheetName val="안정검토"/>
      <sheetName val="6PILE  (돌출)"/>
      <sheetName val="중기사용료"/>
      <sheetName val="건축공사"/>
      <sheetName val="사용성검토"/>
      <sheetName val="CODE"/>
      <sheetName val="토공(우물통,기타) "/>
      <sheetName val="45,46"/>
      <sheetName val="공틀공사"/>
      <sheetName val="공통(20-91)"/>
      <sheetName val="건축내역"/>
      <sheetName val="노임이"/>
      <sheetName val=" 견적서"/>
      <sheetName val="소비자가"/>
      <sheetName val="기성내역서표지"/>
      <sheetName val="깨기"/>
      <sheetName val="골조시행"/>
      <sheetName val="COVER"/>
      <sheetName val="기초일위"/>
      <sheetName val="시설일위"/>
      <sheetName val="조명일위"/>
      <sheetName val="F4-F7"/>
      <sheetName val="직노"/>
      <sheetName val="공내역"/>
      <sheetName val="WORK"/>
      <sheetName val="토사(PE)"/>
      <sheetName val="건축원가계산서"/>
      <sheetName val="부재예실"/>
      <sheetName val="SUMMARY(S)"/>
      <sheetName val="담장산출"/>
      <sheetName val="퇴비산출근거"/>
      <sheetName val="99노임기준"/>
      <sheetName val="분석"/>
      <sheetName val="첨부1"/>
      <sheetName val="설비내역서"/>
      <sheetName val="건축내역서"/>
      <sheetName val="전기내역서"/>
      <sheetName val="PROJECT BRIEF(EX.NEW)"/>
      <sheetName val="Sheet4"/>
      <sheetName val="재무가정"/>
      <sheetName val="hvac(제어동)"/>
      <sheetName val="보일러"/>
      <sheetName val="배수통관(좌)"/>
      <sheetName val="포장복구집계"/>
      <sheetName val="적용환율"/>
      <sheetName val="관리비"/>
      <sheetName val="갑지"/>
      <sheetName val="현금"/>
      <sheetName val="실행"/>
      <sheetName val="하도급기성_(2)"/>
      <sheetName val="하도급단가산출_(2)"/>
      <sheetName val="입출재고현황_(2)"/>
      <sheetName val="design_criteria"/>
      <sheetName val="working_load_at_the_btm_ft_"/>
      <sheetName val="plan&amp;section_of_foundation"/>
      <sheetName val="member_design"/>
      <sheetName val="1_설계조건"/>
      <sheetName val="6_OUTPUT"/>
      <sheetName val="설_계"/>
      <sheetName val="영업_일"/>
      <sheetName val="1_우편집중내역서"/>
      <sheetName val="BSD_(2)"/>
      <sheetName val="ITB_COST"/>
      <sheetName val="Customer_Databas"/>
      <sheetName val="2000_05"/>
      <sheetName val="2_대외공문"/>
      <sheetName val="BSD__2_"/>
      <sheetName val="대로근거"/>
      <sheetName val="중로근거"/>
      <sheetName val="간접경상비"/>
      <sheetName val="갑지(추정)"/>
      <sheetName val="설계예산"/>
      <sheetName val="건축"/>
      <sheetName val="공문"/>
      <sheetName val="CAL"/>
      <sheetName val="1. 설계조건 2.단면가정 3. 하중계산"/>
      <sheetName val="DATA 입력란"/>
      <sheetName val="단면 (2)"/>
      <sheetName val="combi(wall)"/>
      <sheetName val="J"/>
      <sheetName val="진행 DATA (2)"/>
      <sheetName val="MAT_N048"/>
      <sheetName val="소업1교"/>
      <sheetName val="단가조사"/>
      <sheetName val="6-2차"/>
      <sheetName val="도"/>
      <sheetName val="재집"/>
      <sheetName val="직재"/>
      <sheetName val="BREAKDOWN(철거설치)"/>
      <sheetName val="분류작업"/>
      <sheetName val="1.설계기준"/>
      <sheetName val="설계"/>
      <sheetName val="교량전기"/>
      <sheetName val="FB25JN"/>
      <sheetName val="한강운반비"/>
      <sheetName val="eq_data"/>
      <sheetName val="5사남"/>
      <sheetName val="1-1"/>
      <sheetName val="전체도급"/>
      <sheetName val="AP1"/>
      <sheetName val="96수출"/>
      <sheetName val="FAB별"/>
      <sheetName val="경비_원본"/>
      <sheetName val="3차토목내역"/>
      <sheetName val="인건비"/>
      <sheetName val="갑지1"/>
      <sheetName val="맨홀수량산출"/>
      <sheetName val="가감수량"/>
      <sheetName val="재1"/>
      <sheetName val="소운반"/>
      <sheetName val="설비원가"/>
      <sheetName val="전신환매도율"/>
      <sheetName val="바닥판"/>
      <sheetName val="입력DATA"/>
      <sheetName val="변경내역대비표(2)"/>
      <sheetName val="설계서"/>
      <sheetName val="96까지"/>
      <sheetName val="97년"/>
      <sheetName val="98이후"/>
      <sheetName val="1"/>
      <sheetName val="부대공자재집계표"/>
      <sheetName val="unitpric"/>
      <sheetName val="날개벽수량표"/>
      <sheetName val="Discount Group"/>
      <sheetName val="토적1"/>
      <sheetName val="12용지"/>
      <sheetName val="Main"/>
      <sheetName val="토적"/>
      <sheetName val="공종별 집계"/>
      <sheetName val="TEST1"/>
      <sheetName val="SIL98"/>
      <sheetName val="일위_파일"/>
      <sheetName val="여과지동"/>
      <sheetName val="기초자료"/>
      <sheetName val="일집"/>
      <sheetName val="일위"/>
      <sheetName val="바.한일양산"/>
      <sheetName val="단면치수"/>
      <sheetName val="계약내력"/>
      <sheetName val="Sheet1 (2)"/>
      <sheetName val="삼성전기"/>
      <sheetName val="토목"/>
      <sheetName val="내역서 "/>
      <sheetName val="설계내역서"/>
      <sheetName val="주식"/>
      <sheetName val="노임"/>
      <sheetName val="정렬"/>
      <sheetName val="투찰금액"/>
      <sheetName val="요율"/>
      <sheetName val="소방"/>
      <sheetName val="산출"/>
      <sheetName val="안정계산"/>
      <sheetName val="8.PILE  (돌출)"/>
      <sheetName val="입력값"/>
      <sheetName val="간선계산"/>
      <sheetName val="인건비 "/>
      <sheetName val="Budget 2005(DW)"/>
      <sheetName val="숙소"/>
      <sheetName val="마산월령동골조물량변경"/>
      <sheetName val="근고 블록 유형별 수량"/>
      <sheetName val="당진생산팀"/>
      <sheetName val="대차대조표"/>
      <sheetName val="역T형"/>
      <sheetName val="CTEMCOST"/>
      <sheetName val="영업소실적"/>
      <sheetName val="건축(충일분)"/>
      <sheetName val="가시설단위수량"/>
      <sheetName val="통계연보"/>
      <sheetName val="업무분장"/>
      <sheetName val="대전21토목내역서"/>
      <sheetName val="개요"/>
      <sheetName val="자재단가"/>
      <sheetName val="진주방향"/>
      <sheetName val="2000전체분"/>
      <sheetName val="crude.SLAB RE-bar"/>
      <sheetName val="예산내역서"/>
      <sheetName val="설계예산서"/>
      <sheetName val="총계"/>
      <sheetName val="수문일1"/>
      <sheetName val="COPING"/>
      <sheetName val="하중계산"/>
      <sheetName val="J直材4"/>
      <sheetName val="자단"/>
      <sheetName val="인공산출"/>
      <sheetName val="가로등내역서"/>
      <sheetName val="woo(mac)"/>
      <sheetName val="보고서"/>
      <sheetName val="주관사업"/>
      <sheetName val="000000"/>
      <sheetName val="20관리비율"/>
      <sheetName val="도대하도변경최종정산조경"/>
      <sheetName val="원가계산서구조조정"/>
      <sheetName val="서울산업대(토)"/>
      <sheetName val="DATA1"/>
      <sheetName val="SLAB&quot;1&quot;"/>
      <sheetName val="단가조사서"/>
      <sheetName val="유출부"/>
      <sheetName val="A"/>
      <sheetName val="단가표"/>
      <sheetName val="노무비단가"/>
      <sheetName val="1.관로"/>
      <sheetName val="모델링"/>
      <sheetName val="INPUT(덕도방향-시점)"/>
      <sheetName val="통합"/>
      <sheetName val="전기공사"/>
      <sheetName val="건축공사 집계표"/>
      <sheetName val="골조"/>
      <sheetName val="Sheet5"/>
      <sheetName val="기본"/>
      <sheetName val="물가자료"/>
      <sheetName val="123"/>
      <sheetName val="ERECTION"/>
      <sheetName val="POL설치공정"/>
      <sheetName val="공정양식"/>
      <sheetName val="간접재료비산출표-27-30"/>
      <sheetName val="UR2-Calculation"/>
      <sheetName val="3본사"/>
      <sheetName val="조도계산서 (도서)"/>
      <sheetName val="산출내역서집계표"/>
      <sheetName val="방송(체육관)"/>
      <sheetName val="신우"/>
      <sheetName val="설계개요"/>
      <sheetName val="배수공 시멘트 및 골재량 산출"/>
      <sheetName val="금액내역서"/>
      <sheetName val="횡날개수집"/>
      <sheetName val="Material Specification"/>
      <sheetName val="#34 CIVL_Original"/>
      <sheetName val="TOEC"/>
      <sheetName val="INDIRECT"/>
      <sheetName val="calculation-1"/>
      <sheetName val="MCC제원"/>
      <sheetName val="c_balju"/>
      <sheetName val="내역(전체)"/>
      <sheetName val="토공정보"/>
      <sheetName val="기성내역서"/>
      <sheetName val="수량 산출서(당초)"/>
      <sheetName val="물량표"/>
      <sheetName val="원형1호맨홀토공수량"/>
      <sheetName val="예가표"/>
      <sheetName val="부표총괄"/>
      <sheetName val="빈"/>
      <sheetName val="기초목"/>
      <sheetName val="비용"/>
      <sheetName val="CAT_5"/>
      <sheetName val="1월"/>
      <sheetName val="VXXXXXXX"/>
      <sheetName val="#3E1_GCR"/>
      <sheetName val="품종코드"/>
      <sheetName val="견적집계표"/>
      <sheetName val="손익(10월)"/>
      <sheetName val="항목"/>
      <sheetName val="간접비"/>
      <sheetName val="노무단가"/>
      <sheetName val="상가지급현황"/>
      <sheetName val="유림골조"/>
      <sheetName val="4)유동표"/>
      <sheetName val="총괄표"/>
      <sheetName val="3BL공동구 수량"/>
      <sheetName val="시설물"/>
      <sheetName val="설산1.나"/>
      <sheetName val="본사S"/>
      <sheetName val="계산근거"/>
      <sheetName val="직접기초설계"/>
      <sheetName val="방식총괄"/>
      <sheetName val="일위대가(계측기설치)"/>
      <sheetName val="Ⅴ-2.공종별내역"/>
      <sheetName val="기본DATA"/>
      <sheetName val="ITEM"/>
      <sheetName val="SG"/>
      <sheetName val="전기BOX내역서"/>
      <sheetName val="일위(설)"/>
      <sheetName val="기기리스트"/>
      <sheetName val="Macro(전선)"/>
      <sheetName val="dtxl"/>
      <sheetName val="예정공정표(도급)"/>
      <sheetName val="가공비"/>
      <sheetName val="준검 내역서"/>
      <sheetName val="OD"/>
      <sheetName val="수량산출서 갑지"/>
      <sheetName val="A-4"/>
      <sheetName val="오억미만"/>
      <sheetName val="증감대비"/>
      <sheetName val="기본입력표"/>
      <sheetName val="건축집계표"/>
      <sheetName val="일위대가표(DEEP)"/>
      <sheetName val="sheets"/>
      <sheetName val="환률"/>
      <sheetName val="9811"/>
      <sheetName val="9509"/>
      <sheetName val="품셈1-17"/>
      <sheetName val="SLAB근거-1"/>
      <sheetName val="추가예산"/>
      <sheetName val="3차준공"/>
      <sheetName val="토 적 표"/>
      <sheetName val="투찰"/>
      <sheetName val="참조"/>
      <sheetName val="P&amp;L01-02GR"/>
      <sheetName val="수목데이타 "/>
      <sheetName val="Ext. Stone-P"/>
      <sheetName val="전 기"/>
      <sheetName val="수로교총재료집계"/>
      <sheetName val="중기(목록)"/>
      <sheetName val="일위대가(목록)"/>
      <sheetName val="산근(목록)"/>
      <sheetName val="노무비"/>
      <sheetName val="재료비"/>
      <sheetName val="경비"/>
      <sheetName val="차수"/>
      <sheetName val="내역서2안"/>
      <sheetName val="별표집계"/>
      <sheetName val="과거교육훈련비"/>
      <sheetName val="총 원가계산"/>
      <sheetName val="케이블및전선관규격표"/>
      <sheetName val="좌측"/>
      <sheetName val="2.하자처리현황(CS)"/>
      <sheetName val="본장"/>
      <sheetName val="GAEYO"/>
      <sheetName val="실행견적"/>
      <sheetName val="6공구(당초)"/>
      <sheetName val="APT내역"/>
      <sheetName val="입력"/>
      <sheetName val="약품설비"/>
      <sheetName val="변화치수"/>
      <sheetName val="수목표준대가"/>
      <sheetName val="정읍농소"/>
      <sheetName val="지주목시비량산출서"/>
      <sheetName val="자재표"/>
      <sheetName val="설계예시"/>
      <sheetName val="TABLE"/>
      <sheetName val="Sheet15"/>
      <sheetName val="교통시설 표지판"/>
      <sheetName val="Sheet14"/>
      <sheetName val="Sheet13"/>
      <sheetName val="T13(P68~72,78)"/>
      <sheetName val="투자양식"/>
      <sheetName val="실행내역"/>
      <sheetName val="3.하중산정4.지지력"/>
      <sheetName val="PO-BOQ"/>
      <sheetName val="TYPE-A"/>
      <sheetName val="예산서"/>
      <sheetName val="AABS내역"/>
      <sheetName val="일위대가목록"/>
      <sheetName val="손익분석"/>
      <sheetName val="soil_bearing_check"/>
      <sheetName val="노원열병합__건축공사기성내역서"/>
      <sheetName val="깨기집계"/>
      <sheetName val="3련 BOX"/>
      <sheetName val="총집계표"/>
      <sheetName val="보통예금"/>
      <sheetName val="FOB발"/>
      <sheetName val="단가비교"/>
      <sheetName val="h-013211-2"/>
      <sheetName val="TYPE별집계"/>
      <sheetName val="국내총괄"/>
      <sheetName val="목차"/>
      <sheetName val="배수내역 (2)"/>
      <sheetName val="LinerWt"/>
      <sheetName val="대림경상68억"/>
      <sheetName val="일위대가(1)"/>
      <sheetName val="9GNG운반"/>
      <sheetName val="일위대가표 (2)"/>
      <sheetName val="냉천부속동"/>
      <sheetName val="98수문일위"/>
      <sheetName val="회사기본자료"/>
      <sheetName val="2000년 임금추정"/>
      <sheetName val="REINF."/>
      <sheetName val="LOADS"/>
      <sheetName val="o현장경비"/>
      <sheetName val="대전(세창동)"/>
      <sheetName val="하도급기성_(2)1"/>
      <sheetName val="하도급단가산출_(2)1"/>
      <sheetName val="입출재고현황_(2)1"/>
      <sheetName val="설_계1"/>
      <sheetName val="design_criteria1"/>
      <sheetName val="working_load_at_the_btm_ft_1"/>
      <sheetName val="plan&amp;section_of_foundation1"/>
      <sheetName val="member_design1"/>
      <sheetName val="6PILE__(돌출)"/>
      <sheetName val="Budget_2004(DW)"/>
      <sheetName val="I_설계조건"/>
      <sheetName val="단면_(2)"/>
      <sheetName val="대대터널_설계서"/>
      <sheetName val="VENDOR_LIST"/>
      <sheetName val="견적가_검토"/>
      <sheetName val="PROJECT_BRIEF(EX_NEW)"/>
      <sheetName val="접속_SLAB,BRACKET_설계"/>
      <sheetName val="_견적서"/>
      <sheetName val="갑지(비계타입)"/>
      <sheetName val="기성2"/>
      <sheetName val="2F 회의실견적(5_14 일대)"/>
      <sheetName val="페이징 배관배선"/>
      <sheetName val="KMT물량"/>
      <sheetName val="NS"/>
      <sheetName val="1근거"/>
      <sheetName val="수량명세서"/>
      <sheetName val="실정보고내역서"/>
      <sheetName val="자판실행"/>
      <sheetName val="저판(버림100)"/>
      <sheetName val="신규일위대가"/>
      <sheetName val="교각계산"/>
      <sheetName val="자료"/>
      <sheetName val="작성"/>
      <sheetName val="수원공공사비"/>
      <sheetName val="F-Assump"/>
      <sheetName val="산출근거1"/>
      <sheetName val="2.단면가정"/>
      <sheetName val="4.말뚝설계"/>
      <sheetName val="N賃率-職"/>
      <sheetName val="내역서(당초변경)"/>
      <sheetName val="직접비"/>
      <sheetName val="하조서"/>
      <sheetName val="원형맨홀수량"/>
      <sheetName val="준공조서갑지"/>
      <sheetName val="변경비교-을"/>
      <sheetName val="Breakdown"/>
      <sheetName val="3.공통공사대비"/>
      <sheetName val="견적내역서"/>
      <sheetName val="흄관기초"/>
      <sheetName val="플랜트 설치"/>
      <sheetName val="물량표S"/>
      <sheetName val="CHECK1"/>
      <sheetName val="계수시트"/>
      <sheetName val="원가계산서"/>
      <sheetName val="TAIHAN"/>
      <sheetName val="AILC004"/>
      <sheetName val="금액집계"/>
      <sheetName val="36+45-113-18+19+20I"/>
      <sheetName val="ins"/>
      <sheetName val="초기화면"/>
      <sheetName val="이름정의"/>
      <sheetName val="원가계산서(건축)"/>
      <sheetName val="당진1,2호기전선관설치및접지4차공사내역서-을지"/>
      <sheetName val="터널조도"/>
      <sheetName val="실행내역서 "/>
      <sheetName val="guard(mac)"/>
      <sheetName val="기초설계"/>
      <sheetName val="라멘"/>
      <sheetName val="라멘수량"/>
      <sheetName val="구분자"/>
      <sheetName val="공조기휀"/>
      <sheetName val="측구터파기공수량집계"/>
      <sheetName val="구조물터파기수량집계"/>
      <sheetName val="unit 4"/>
      <sheetName val="CAUDIT"/>
      <sheetName val="품의"/>
      <sheetName val="전체현황"/>
      <sheetName val="2003.4.1."/>
      <sheetName val="토적계산"/>
      <sheetName val="신규품셈목차"/>
      <sheetName val="시중노임단가"/>
      <sheetName val="JUCKEYK"/>
      <sheetName val="적용기준"/>
      <sheetName val="물량"/>
      <sheetName val="MM"/>
      <sheetName val="재료집계"/>
      <sheetName val="내역을"/>
      <sheetName val="960318-1"/>
      <sheetName val="산출내역서"/>
      <sheetName val="평가데이터"/>
      <sheetName val="구성비"/>
      <sheetName val="VOR"/>
      <sheetName val="노임,재료비"/>
      <sheetName val="외주비"/>
      <sheetName val="설비"/>
      <sheetName val="견적3"/>
      <sheetName val="내역(2000년)"/>
      <sheetName val="단가"/>
      <sheetName val="토공사"/>
      <sheetName val="6.일위대가"/>
      <sheetName val="토량1-1"/>
      <sheetName val="도급정산"/>
      <sheetName val="경산"/>
      <sheetName val="외자배분"/>
      <sheetName val="횡배수관토공수량"/>
      <sheetName val="Galaxy 소비자가격표"/>
      <sheetName val="_산근2_"/>
      <sheetName val="_산근4_"/>
      <sheetName val="_산근5_"/>
      <sheetName val="DI1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Sheet10"/>
      <sheetName val="견적대비표"/>
      <sheetName val="과천MAIN"/>
      <sheetName val="주소(한문)"/>
      <sheetName val="NEYOK"/>
      <sheetName val="설비2차"/>
      <sheetName val="중동공구"/>
      <sheetName val="2-3.V.D일위"/>
      <sheetName val="1차 내역서"/>
      <sheetName val="CLAUSE"/>
      <sheetName val="직접재료비"/>
      <sheetName val="옹벽1"/>
      <sheetName val="CRUDE RE-bar"/>
      <sheetName val="날개벽(TYPE3)"/>
      <sheetName val="SLAB"/>
      <sheetName val="약품공급2"/>
      <sheetName val="가시설(TYPE-A)"/>
      <sheetName val="1호맨홀가감수량"/>
      <sheetName val="1-1평균터파기고(1)"/>
      <sheetName val="1호맨홀수량산출"/>
      <sheetName val="간지"/>
      <sheetName val="기안"/>
      <sheetName val="11.자재단가"/>
      <sheetName val="표  지"/>
      <sheetName val="날개벽(시점좌측)"/>
      <sheetName val="유화"/>
      <sheetName val="토공집계"/>
      <sheetName val="기둥(하중)"/>
      <sheetName val="서울대규장각(가시설흙막이)"/>
      <sheetName val="간접"/>
      <sheetName val="총괄내역서"/>
      <sheetName val="매크로"/>
      <sheetName val="외주가공"/>
      <sheetName val="취수탑"/>
      <sheetName val="Pengalaman Per"/>
      <sheetName val="FIRE FIGHTING"/>
      <sheetName val="단중표"/>
      <sheetName val="BEND LOSS"/>
      <sheetName val="기계내역서"/>
      <sheetName val="1.설계설명서"/>
      <sheetName val="Load Total"/>
      <sheetName val="시행후면적"/>
      <sheetName val="중간부"/>
      <sheetName val="개소별수량산출"/>
      <sheetName val="가도공"/>
      <sheetName val="static.cal"/>
      <sheetName val="Sheet9"/>
      <sheetName val="교통대책내역"/>
      <sheetName val="장외반출및폐기물 "/>
      <sheetName val="준공평가"/>
      <sheetName val="crude_SLAB_RE-bar"/>
      <sheetName val="설직재-1"/>
      <sheetName val="제-노임"/>
      <sheetName val="I一般比"/>
      <sheetName val="운반"/>
      <sheetName val="품셈TABLE"/>
      <sheetName val="부하계산서"/>
      <sheetName val="집수정수량총집계"/>
      <sheetName val="단면 Ȩ_x0000_栀"/>
      <sheetName val="base"/>
      <sheetName val="빙설"/>
      <sheetName val="Basic Input"/>
      <sheetName val="Notes "/>
      <sheetName val="Bank charge"/>
      <sheetName val="Notes_"/>
      <sheetName val="Bank_charge"/>
      <sheetName val="콤보박스와 리스트박스의 연결"/>
      <sheetName val="SKETCH"/>
      <sheetName val="견적총괄표"/>
      <sheetName val="PROCESS"/>
      <sheetName val="사통"/>
      <sheetName val="설계내역(2001)"/>
      <sheetName val="내역서(기성청구)"/>
      <sheetName val="3.현장배치"/>
      <sheetName val="현장배치"/>
      <sheetName val="역T형교대-2수량"/>
      <sheetName val="이토변실(A3-LINE)"/>
      <sheetName val="품셈"/>
      <sheetName val="현황산출서"/>
      <sheetName val="반중력식옹벽3.5"/>
      <sheetName val="금_x0000__x0000__x0005_"/>
      <sheetName val="70%"/>
      <sheetName val="골재산출"/>
      <sheetName val="COVER-P"/>
      <sheetName val="AHU집계"/>
      <sheetName val="공조기"/>
      <sheetName val="PIPE"/>
      <sheetName val="견적대비"/>
      <sheetName val="gvl"/>
      <sheetName val="우수"/>
      <sheetName val="성남여성복지내역"/>
      <sheetName val="단위중량"/>
      <sheetName val="식재인부"/>
      <sheetName val="교대(A1)"/>
      <sheetName val="정산입력"/>
      <sheetName val="기별수량산출서"/>
      <sheetName val="설계서(7)"/>
      <sheetName val="견적의뢰"/>
      <sheetName val="inter"/>
      <sheetName val="EQUIP-H"/>
      <sheetName val="건축-물가변동"/>
      <sheetName val="기계설비-물가변동"/>
      <sheetName val="토공총괄표"/>
      <sheetName val="인천제철"/>
      <sheetName val="FAX"/>
      <sheetName val="연습"/>
      <sheetName val="보험료"/>
      <sheetName val="부전지"/>
      <sheetName val="규격"/>
      <sheetName val="기초코드"/>
      <sheetName val="대운산출"/>
      <sheetName val="Regenerator  Concrete Structure"/>
      <sheetName val="예산M2"/>
      <sheetName val="기초대가"/>
      <sheetName val="예산"/>
      <sheetName val="평택고렴산업단지(토목견적).xlsx"/>
      <sheetName val="10월"/>
      <sheetName val="2공구산출내역"/>
      <sheetName val="HP1AMLIST"/>
      <sheetName val="분양가"/>
      <sheetName val="대가단최종"/>
      <sheetName val="분양금할인"/>
      <sheetName val="공사비산출내역"/>
      <sheetName val="ML"/>
      <sheetName val="SUMMARY"/>
      <sheetName val="PAINT"/>
      <sheetName val="실행대비"/>
      <sheetName val="강북라우터"/>
      <sheetName val="일위대가(가설)"/>
      <sheetName val="cost9702"/>
      <sheetName val="업체별기성내역"/>
      <sheetName val="단면"/>
      <sheetName val="국영"/>
      <sheetName val="품의서"/>
      <sheetName val="A3.공사비 검토"/>
      <sheetName val="C3.토목_옹벽"/>
      <sheetName val="3.건축(현장안)"/>
      <sheetName val="2.냉난방설비공사"/>
      <sheetName val="배수내역"/>
      <sheetName val="패널"/>
      <sheetName val="BOX규격및 설계조건입력"/>
      <sheetName val="서식"/>
      <sheetName val="장비비"/>
      <sheetName val="화전내"/>
      <sheetName val="고창방향"/>
      <sheetName val="관급자재"/>
      <sheetName val="내역(토목2)11-7"/>
      <sheetName val="16-1"/>
      <sheetName val="목표세부명세"/>
      <sheetName val="마산방향"/>
      <sheetName val="마산방향철근집계"/>
      <sheetName val="기초"/>
      <sheetName val="램머"/>
      <sheetName val="기계경비(시간당)"/>
      <sheetName val="구조물공1"/>
      <sheetName val="배수및구조물공1"/>
      <sheetName val="영업.일1"/>
      <sheetName val="본부장"/>
      <sheetName val="콘크리트타설집계표"/>
      <sheetName val="적용건축"/>
      <sheetName val="P.M 별"/>
      <sheetName val="COST"/>
      <sheetName val="대목"/>
      <sheetName val="의왕내역"/>
      <sheetName val="단"/>
      <sheetName val="수정시산표"/>
      <sheetName val="매출채권 및 담보비율 변동"/>
      <sheetName val="기초단가"/>
      <sheetName val="견적"/>
      <sheetName val="시설물기초"/>
      <sheetName val="해외(원화)"/>
      <sheetName val="을지"/>
      <sheetName val="CON'C"/>
      <sheetName val="공통가설공사"/>
      <sheetName val="BOX전기내역"/>
      <sheetName val="수량산출내역1115"/>
      <sheetName val="일반공사"/>
      <sheetName val="소일위대가코드표"/>
      <sheetName val="단가비교표"/>
      <sheetName val="도급FORM"/>
      <sheetName val="코드"/>
      <sheetName val="일위대가(건축)"/>
      <sheetName val="부재리스트"/>
      <sheetName val="철거산출근거"/>
      <sheetName val="적정심사"/>
      <sheetName val="2.건축"/>
      <sheetName val="전기변내역"/>
      <sheetName val="자료입력"/>
      <sheetName val="기자재비"/>
      <sheetName val="별표 "/>
      <sheetName val="단가조정"/>
      <sheetName val="돈암사업"/>
      <sheetName val="일위대가(출입)"/>
      <sheetName val="단가산출서"/>
      <sheetName val="장비사양"/>
      <sheetName val="식재일위대가"/>
      <sheetName val="비교1"/>
      <sheetName val="완성차 미수금"/>
      <sheetName val="Mc1"/>
      <sheetName val="외주"/>
      <sheetName val="개산공사비"/>
      <sheetName val="PSCbeam설계"/>
      <sheetName val="배수장토목공사비"/>
      <sheetName val="APT"/>
      <sheetName val="인건-측정"/>
      <sheetName val="부분별수량산출(조합기초)"/>
      <sheetName val="CR CODE"/>
      <sheetName val="부서CODE"/>
      <sheetName val="THEME CODE"/>
      <sheetName val="설계예산2"/>
      <sheetName val="구리토평1전기"/>
      <sheetName val="신대방33(적용)"/>
      <sheetName val="구의33고"/>
      <sheetName val="구조물공"/>
      <sheetName val="배수공"/>
      <sheetName val="목차 및 표지"/>
      <sheetName val="SILICATE"/>
      <sheetName val="기종별"/>
      <sheetName val="외형규모"/>
      <sheetName val="과거실적"/>
      <sheetName val="보고계획"/>
      <sheetName val="보고실적"/>
      <sheetName val="손익"/>
      <sheetName val="Sheet7"/>
      <sheetName val="Sheet8"/>
      <sheetName val="Sheet11"/>
      <sheetName val="Sheet12"/>
      <sheetName val="Sheet16"/>
      <sheetName val="단가일람표"/>
      <sheetName val="물량내역서"/>
      <sheetName val="PI"/>
      <sheetName val="현장관리비"/>
      <sheetName val="database"/>
      <sheetName val="현장경비"/>
      <sheetName val="단가목록"/>
      <sheetName val="조도"/>
      <sheetName val="옥내아파트(전기)"/>
      <sheetName val="견적시담(송포2공구)"/>
      <sheetName val=" 자재물류센터 증축공사 중 철근콘크리트 공사.xlsx"/>
      <sheetName val="부서별(배부후)_계획"/>
      <sheetName val="정산내역서"/>
      <sheetName val="소요자재"/>
      <sheetName val="Setting"/>
      <sheetName val="시행예산"/>
      <sheetName val="접속슬래브"/>
      <sheetName val="찍기"/>
      <sheetName val="SANBAISU"/>
      <sheetName val="FD"/>
      <sheetName val="LD"/>
      <sheetName val="감가상각"/>
      <sheetName val="EE-PROP"/>
      <sheetName val="CON포장수량"/>
      <sheetName val="ACUNIT"/>
      <sheetName val="CONUNIT"/>
      <sheetName val="변수2"/>
      <sheetName val="저항"/>
      <sheetName val="1기성검사원"/>
      <sheetName val="기성검사원"/>
      <sheetName val="2기성산출범위요약서"/>
      <sheetName val="단가표 (2)"/>
      <sheetName val="물가시세"/>
      <sheetName val="설계변경총괄표(계산식)"/>
      <sheetName val="실행간접비용"/>
      <sheetName val="갑지(요약)"/>
      <sheetName val="식재가격"/>
      <sheetName val="식재총괄"/>
      <sheetName val="수량집계"/>
      <sheetName val="99총공사내역서"/>
      <sheetName val="전담운영PM"/>
      <sheetName val="단  가  대  비  표"/>
      <sheetName val="일  위  대  가  목  록"/>
      <sheetName val="도급원가"/>
      <sheetName val="물가대비표"/>
      <sheetName val="용산1(해보)"/>
      <sheetName val="집계"/>
      <sheetName val="제품별단가"/>
      <sheetName val="제품별절단길이-0628"/>
      <sheetName val="토목공종세부"/>
      <sheetName val="200"/>
      <sheetName val="ELECTRIC"/>
      <sheetName val="투찰목록"/>
      <sheetName val="96보완계획7.12"/>
      <sheetName val="전력"/>
      <sheetName val="단가산출"/>
      <sheetName val="96노임기준"/>
      <sheetName val="내역서(기계)"/>
      <sheetName val="7.자동제어공사"/>
      <sheetName val="안전시설내역서"/>
      <sheetName val="단가대비표"/>
      <sheetName val="공정코드"/>
      <sheetName val="DATA 입력부"/>
      <sheetName val="기초일위대가"/>
      <sheetName val="부지현황"/>
      <sheetName val="목록"/>
      <sheetName val="파스콘"/>
      <sheetName val="목창호재견적"/>
      <sheetName val="바닥재"/>
      <sheetName val="도면CHECK"/>
      <sheetName val="사진첩"/>
      <sheetName val="출장정리"/>
      <sheetName val="골조-101"/>
      <sheetName val="골조-102"/>
      <sheetName val="골조-103"/>
      <sheetName val="골조-105"/>
      <sheetName val="바닥면정리"/>
      <sheetName val="창호-101"/>
      <sheetName val="창호-102&amp;104"/>
      <sheetName val="창호-103"/>
      <sheetName val="창호-105"/>
      <sheetName val="창호-TOT"/>
      <sheetName val="창호-부속동"/>
      <sheetName val="파일길이"/>
      <sheetName val="xxxxxx"/>
      <sheetName val="가실행정리"/>
      <sheetName val="시운전연료비"/>
      <sheetName val="1차설계변경내역"/>
      <sheetName val="지질조사"/>
      <sheetName val="설계기준"/>
      <sheetName val="내역1"/>
      <sheetName val="역T형교대(말뚝기초)"/>
      <sheetName val="정공공사"/>
      <sheetName val="중기조종사 단위단가"/>
      <sheetName val="인제내역"/>
      <sheetName val="장비"/>
      <sheetName val="산근1"/>
      <sheetName val="노무"/>
      <sheetName val="자재"/>
      <sheetName val="BOM-Form A.1.III"/>
      <sheetName val="CB"/>
      <sheetName val="결재갑지"/>
      <sheetName val="연돌일위집계"/>
      <sheetName val="두정2차"/>
      <sheetName val="투찰추정"/>
      <sheetName val="등록업체(031124)"/>
      <sheetName val="내역서(전기)"/>
      <sheetName val="시추주상도"/>
      <sheetName val="경비내역(을)-1"/>
      <sheetName val="통장출금액"/>
      <sheetName val="누계12"/>
      <sheetName val="예산명세서"/>
      <sheetName val="변압기 및 발전기 용량"/>
      <sheetName val="실행,원가 최종예상"/>
      <sheetName val="단가기준"/>
      <sheetName val="기본계획"/>
      <sheetName val="간지(전기공사)"/>
      <sheetName val="동해title"/>
      <sheetName val="동수"/>
      <sheetName val="인원계획-미화"/>
      <sheetName val="공통단가"/>
      <sheetName val="운반비"/>
      <sheetName val="2000양배"/>
      <sheetName val="설변물량"/>
      <sheetName val="보할공정"/>
      <sheetName val="남양주댠가표"/>
      <sheetName val="굴화내역"/>
      <sheetName val="전선 및 전선관"/>
      <sheetName val="기계설비"/>
      <sheetName val="공용정보"/>
      <sheetName val="예산대비표(현장작성)"/>
      <sheetName val="자탐수량산출서"/>
      <sheetName val="산근목록"/>
      <sheetName val="가설공사"/>
      <sheetName val="TCA"/>
      <sheetName val="시설물일위"/>
      <sheetName val="목표"/>
      <sheetName val="영업-1"/>
      <sheetName val="LEGEND"/>
      <sheetName val="수입"/>
      <sheetName val="손익계산서"/>
      <sheetName val="용역원가명세서"/>
      <sheetName val="현금흐름표"/>
      <sheetName val="1-1-1-1"/>
      <sheetName val="외화금융(97-03)"/>
      <sheetName val="Convert"/>
      <sheetName val="본사감가상각대장(비품)"/>
      <sheetName val="상여 (2)"/>
      <sheetName val="KA011205"/>
      <sheetName val="당기추가완료"/>
      <sheetName val="선급비용"/>
      <sheetName val="대차"/>
      <sheetName val="자산가치"/>
      <sheetName val="POL6차-PIPING"/>
      <sheetName val="생산매출 (4)"/>
      <sheetName val="1_설계조건1"/>
      <sheetName val="6_OUTPUT1"/>
      <sheetName val="Customer_Databas1"/>
      <sheetName val="영업_일1"/>
      <sheetName val="2000_051"/>
      <sheetName val="2_대외공문1"/>
      <sheetName val="BSD_(2)1"/>
      <sheetName val="BSD__2_1"/>
      <sheetName val="1_우편집중내역서1"/>
      <sheetName val="ITB_COST1"/>
      <sheetName val="2-3_V_D일위"/>
      <sheetName val="1차_내역서"/>
      <sheetName val="Ⅴ-2_공종별내역"/>
      <sheetName val="Budget_2005(DW)"/>
      <sheetName val="근고_블록_유형별_수량"/>
      <sheetName val="공종별_집계"/>
      <sheetName val="1_설계기준"/>
      <sheetName val="인건비_"/>
      <sheetName val="1__설계조건_2_단면가정_3__하중계산"/>
      <sheetName val="DATA_입력란"/>
      <sheetName val="Ext__Stone-P"/>
      <sheetName val="수목데이타_"/>
      <sheetName val="Material_Specification"/>
      <sheetName val="Sheet1_(2)"/>
      <sheetName val="8_PILE__(돌출)"/>
      <sheetName val="내역서_"/>
      <sheetName val="진행_DATA_(2)"/>
      <sheetName val="건축공사_집계표"/>
      <sheetName val="2_하자처리현황(CS)"/>
      <sheetName val="총_원가계산"/>
      <sheetName val="Discount_Group"/>
      <sheetName val="바_한일양산"/>
      <sheetName val="수지예산"/>
      <sheetName val="UNSTEADY"/>
      <sheetName val="2.고용보험료산출근거"/>
      <sheetName val="단위세대"/>
      <sheetName val="원가"/>
      <sheetName val="인원현황"/>
      <sheetName val="PRO_A"/>
      <sheetName val="PRO"/>
      <sheetName val="잡재료비"/>
      <sheetName val="수량집계표"/>
      <sheetName val="사급분 설계내역서"/>
      <sheetName val="단관비계수량"/>
      <sheetName val="수로BOX(시점부)"/>
      <sheetName val="7.PILE  (돌출)"/>
      <sheetName val="사방수량"/>
      <sheetName val="원가서"/>
      <sheetName val="증감내역서"/>
      <sheetName val="DATE2001"/>
      <sheetName val="공사비내역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/>
      <sheetData sheetId="527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 refreshError="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/>
      <sheetData sheetId="775"/>
      <sheetData sheetId="776"/>
      <sheetData sheetId="777" refreshError="1"/>
      <sheetData sheetId="778"/>
      <sheetData sheetId="779" refreshError="1"/>
      <sheetData sheetId="780"/>
      <sheetData sheetId="781"/>
      <sheetData sheetId="782" refreshError="1"/>
      <sheetData sheetId="783" refreshError="1"/>
      <sheetData sheetId="784"/>
      <sheetData sheetId="785"/>
      <sheetData sheetId="786"/>
      <sheetData sheetId="787"/>
      <sheetData sheetId="788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/>
      <sheetData sheetId="796"/>
      <sheetData sheetId="797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/>
      <sheetData sheetId="914"/>
      <sheetData sheetId="915"/>
      <sheetData sheetId="916"/>
      <sheetData sheetId="917"/>
      <sheetData sheetId="918"/>
      <sheetData sheetId="919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/>
      <sheetData sheetId="993"/>
      <sheetData sheetId="994"/>
      <sheetData sheetId="995"/>
      <sheetData sheetId="996"/>
      <sheetData sheetId="997" refreshError="1"/>
      <sheetData sheetId="998"/>
      <sheetData sheetId="999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ABLE"/>
      <sheetName val="MCC순서"/>
      <sheetName val="기계 부하표"/>
      <sheetName val="부하표LIST"/>
      <sheetName val="TR용량"/>
      <sheetName val="CABLE SIZE CALCULATION SHEET"/>
      <sheetName val="CABLECALC"/>
      <sheetName val="IMPEADENCE MAP "/>
      <sheetName val="IMPEADENCE "/>
      <sheetName val="MCCCALC"/>
      <sheetName val="LOPCALC"/>
      <sheetName val="Macro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F 회의실견적(5_14 일대)"/>
      <sheetName val="정부노임단가"/>
      <sheetName val="예산서"/>
      <sheetName val="아산의전"/>
      <sheetName val="변화치수"/>
      <sheetName val="설계명세서"/>
      <sheetName val="직노"/>
      <sheetName val="민속촌메뉴"/>
      <sheetName val="20관리비율"/>
      <sheetName val="일위대가목차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danga"/>
      <sheetName val="ilch"/>
      <sheetName val="단면가정"/>
      <sheetName val="공통가설"/>
      <sheetName val="Y-WORK"/>
      <sheetName val="일위대가목차"/>
      <sheetName val="맨홀수량집계"/>
      <sheetName val="2F 회의실견적(5_14 일대)"/>
      <sheetName val="교각계산"/>
      <sheetName val="정부노임단가"/>
      <sheetName val="을"/>
      <sheetName val="토목내역"/>
      <sheetName val="3BL공동구 수량"/>
      <sheetName val="JUCKEYK"/>
      <sheetName val="일위대가"/>
      <sheetName val="LEGEND"/>
      <sheetName val="직공비"/>
      <sheetName val="내역서"/>
      <sheetName val="평가데이터"/>
      <sheetName val="DATA"/>
      <sheetName val="기본단가표"/>
      <sheetName val="직노"/>
      <sheetName val="계화배수"/>
      <sheetName val="I一般比"/>
      <sheetName val="일위대가표"/>
      <sheetName val="INPUT(덕도방향-시점)"/>
      <sheetName val="기둥(원형)"/>
      <sheetName val="토공"/>
      <sheetName val="code"/>
      <sheetName val="VXXXXXXX"/>
      <sheetName val="SLAB&quot;1&quot;"/>
      <sheetName val="품셈"/>
      <sheetName val="내역"/>
      <sheetName val="일반물자(한국통신)"/>
      <sheetName val="모니터"/>
      <sheetName val="포장절단"/>
      <sheetName val="1월"/>
      <sheetName val="조작대(1연)"/>
      <sheetName val="우배수"/>
      <sheetName val="조건표"/>
      <sheetName val="DATA-1"/>
      <sheetName val="20관리비율"/>
      <sheetName val="날개벽(시점좌측)"/>
      <sheetName val="정보매체A동"/>
      <sheetName val="COPING"/>
      <sheetName val="3.하중산정4.지지력"/>
      <sheetName val="TABLE"/>
      <sheetName val="전기"/>
      <sheetName val="연령현황"/>
      <sheetName val="토공(완충)"/>
      <sheetName val="input"/>
      <sheetName val="1-1"/>
      <sheetName val="Sheet5"/>
      <sheetName val="현장"/>
      <sheetName val=" 견적서"/>
      <sheetName val="총괄-1"/>
      <sheetName val="SORCE1"/>
      <sheetName val="가시설단위수량"/>
      <sheetName val="원형맨홀수량"/>
      <sheetName val="수량3"/>
      <sheetName val="차액보증"/>
      <sheetName val="투찰"/>
      <sheetName val="교각1"/>
      <sheetName val="96수출"/>
      <sheetName val="공사비명세서"/>
      <sheetName val="단위수량"/>
      <sheetName val="집계표"/>
      <sheetName val="열린교실"/>
      <sheetName val="TB-내역서"/>
      <sheetName val="설산1.나"/>
      <sheetName val="본사S"/>
      <sheetName val="증감분석"/>
      <sheetName val="변화치수"/>
      <sheetName val="가설건물"/>
      <sheetName val="공사비예산서(토목분)"/>
      <sheetName val="공통부대비"/>
      <sheetName val="부대내역"/>
      <sheetName val="표지"/>
      <sheetName val="대비"/>
      <sheetName val="설계조건"/>
      <sheetName val="안정계산"/>
      <sheetName val="대치판정"/>
      <sheetName val="목록"/>
      <sheetName val="데이타"/>
      <sheetName val="기성내역"/>
      <sheetName val="설계변경원가계산총괄표"/>
      <sheetName val="BID"/>
      <sheetName val="Sheet4"/>
      <sheetName val="Total"/>
      <sheetName val="부하(성남)"/>
      <sheetName val="쌍송교"/>
      <sheetName val="일반맨홀수량집계(A-7 LINE)"/>
      <sheetName val="일반맨홀수량집계"/>
      <sheetName val="LOPCALC"/>
      <sheetName val="가공비"/>
      <sheetName val="작성"/>
      <sheetName val="산출내역"/>
      <sheetName val="ABUT수량-A1"/>
      <sheetName val="노임단가"/>
      <sheetName val="품목"/>
      <sheetName val="N賃率-職"/>
      <sheetName val="물량산출근거"/>
      <sheetName val="공사개요"/>
      <sheetName val="예산서"/>
      <sheetName val="b_gunmul"/>
      <sheetName val="b_balju (2)"/>
      <sheetName val="J直材4"/>
      <sheetName val="연부97-1"/>
      <sheetName val="갑지1"/>
      <sheetName val="공정집계_국별"/>
      <sheetName val="적용률"/>
      <sheetName val="#REF"/>
      <sheetName val="기본일위"/>
      <sheetName val="총괄"/>
      <sheetName val="토목품셈"/>
      <sheetName val="기초공"/>
      <sheetName val="2.가정단면"/>
      <sheetName val="설계"/>
      <sheetName val="RING WALL"/>
      <sheetName val="DATA1"/>
      <sheetName val="Sheet1"/>
      <sheetName val="TYPE-A"/>
      <sheetName val="설계명세서"/>
      <sheetName val="하중계산"/>
      <sheetName val="우각부보강"/>
      <sheetName val="부재력정리"/>
      <sheetName val="제원.설계조건"/>
      <sheetName val="마산방향철근집계"/>
      <sheetName val="진주방향"/>
      <sheetName val="마산방향"/>
      <sheetName val="단가"/>
      <sheetName val="2F_회의실견적(5_14_일대)"/>
      <sheetName val="3BL공동구_수량"/>
      <sheetName val="D-3503"/>
      <sheetName val="전기품산출"/>
      <sheetName val="깨기"/>
      <sheetName val="주경기-오배수"/>
      <sheetName val="간노_콘"/>
      <sheetName val="자재단가비교표"/>
      <sheetName val="woo(mac)"/>
      <sheetName val="입찰안"/>
      <sheetName val="기계내역"/>
      <sheetName val="CIVIL"/>
      <sheetName val="단면검토"/>
      <sheetName val="전압강하계산"/>
      <sheetName val="노단"/>
      <sheetName val="경산"/>
      <sheetName val="공사비"/>
      <sheetName val="6.수량산출서(설치공사)"/>
      <sheetName val="기별(종합)"/>
      <sheetName val="Sheet2"/>
      <sheetName val="기계경비"/>
      <sheetName val="인건비(환율)"/>
      <sheetName val="간선계산"/>
      <sheetName val="내역1"/>
      <sheetName val="건축내역"/>
      <sheetName val="CAT_5"/>
      <sheetName val="방송노임"/>
      <sheetName val="단가산출2"/>
      <sheetName val="단가표 "/>
      <sheetName val="TEL"/>
      <sheetName val="수량산출"/>
      <sheetName val="공구원가계산"/>
      <sheetName val="부속동"/>
      <sheetName val="방송일위대가"/>
      <sheetName val="SILICATE"/>
      <sheetName val="guard(mac)"/>
      <sheetName val="06-BATCH "/>
      <sheetName val="백암비스타내역"/>
      <sheetName val="내역서2안"/>
      <sheetName val="월선수금"/>
      <sheetName val="Tables"/>
      <sheetName val="금액내역서"/>
      <sheetName val="영업.일1"/>
      <sheetName val="광혁기성"/>
      <sheetName val="DATA(BAC)"/>
      <sheetName val="FRT_O"/>
      <sheetName val="FAB_I"/>
      <sheetName val="국별인원"/>
      <sheetName val="전기일위대가"/>
      <sheetName val="단가표"/>
      <sheetName val="단가조사"/>
      <sheetName val="세부내역"/>
      <sheetName val="일위대가목록"/>
      <sheetName val="정렬"/>
      <sheetName val="DATE"/>
      <sheetName val="제품"/>
      <sheetName val="식재품셈"/>
      <sheetName val="지장물C"/>
      <sheetName val="원가계산서"/>
      <sheetName val="type-F"/>
      <sheetName val="일위"/>
      <sheetName val="P.M 별"/>
      <sheetName val="Customer Databas"/>
      <sheetName val="b_balju"/>
      <sheetName val="와동25-3(변경)"/>
      <sheetName val="SLAB"/>
      <sheetName val="금액집계"/>
      <sheetName val="공주-교대(A1)"/>
      <sheetName val="ITB COST"/>
      <sheetName val="공통가설공사"/>
      <sheetName val="BEND LOSS"/>
      <sheetName val="집1"/>
      <sheetName val="남양시작동자105노65기1.3화1.2"/>
      <sheetName val="CPM챠트"/>
      <sheetName val="단가조사서"/>
      <sheetName val="1.우편집중내역서"/>
      <sheetName val="내역서(갑)"/>
      <sheetName val="기초자료"/>
      <sheetName val="견적집계표"/>
      <sheetName val="L형옹벽(key)"/>
      <sheetName val="허용전류-IEC"/>
      <sheetName val="허용전류-IEC DATA"/>
      <sheetName val="상호참고자료"/>
      <sheetName val="11.우각부 보강"/>
      <sheetName val="플랜트 설치"/>
      <sheetName val="옹벽"/>
      <sheetName val="기흥하도용"/>
      <sheetName val="단면(RW1)"/>
      <sheetName val="BSD (2)"/>
      <sheetName val="WORK"/>
      <sheetName val="A"/>
      <sheetName val="경비2내역"/>
      <sheetName val="배수장공사비명세서"/>
      <sheetName val="1단계"/>
      <sheetName val="소비자가"/>
      <sheetName val="입찰보고"/>
      <sheetName val="A-4"/>
      <sheetName val="관람석제출"/>
      <sheetName val="현장관리비내역서"/>
      <sheetName val="cross beam"/>
      <sheetName val="산출근거"/>
      <sheetName val="안정검토"/>
      <sheetName val="슬래브"/>
      <sheetName val="SANTOGO"/>
      <sheetName val="SANBAISU"/>
      <sheetName val="현장관리비집계표"/>
      <sheetName val="중기사용료산출근거"/>
      <sheetName val="단가 및 재료비"/>
      <sheetName val="기계경비일람"/>
      <sheetName val="비교표"/>
      <sheetName val="배수관공"/>
      <sheetName val="실행내역"/>
      <sheetName val="KMT물량"/>
      <sheetName val="목표세부명세"/>
      <sheetName val="공문"/>
      <sheetName val="전장품(관리용)"/>
      <sheetName val="97년추정손익계산서"/>
      <sheetName val="케이블"/>
      <sheetName val="기둥"/>
      <sheetName val="저판(버림100)"/>
      <sheetName val="내역서-CCTV"/>
      <sheetName val="인테리어세부내역"/>
      <sheetName val="피엘"/>
      <sheetName val="공종집계"/>
      <sheetName val="ETC"/>
      <sheetName val="2공구산출내역"/>
      <sheetName val="Macro1"/>
      <sheetName val="설직재-1"/>
      <sheetName val="제직재"/>
      <sheetName val="제-노임"/>
      <sheetName val="부하"/>
      <sheetName val="960318-1"/>
      <sheetName val="단중표"/>
      <sheetName val="날개벽"/>
      <sheetName val="CONCRETE"/>
      <sheetName val="EACT10"/>
      <sheetName val="자재"/>
      <sheetName val="삼성전기"/>
      <sheetName val="Sheet1 (2)"/>
      <sheetName val="2.냉난방설비공사"/>
      <sheetName val="민속촌메뉴"/>
      <sheetName val="C-직노1"/>
      <sheetName val="보차도경계석"/>
      <sheetName val="설계명세서(선로)"/>
      <sheetName val="보도경계블럭"/>
      <sheetName val="특2호하천산근"/>
      <sheetName val="특2호부관하천산근"/>
      <sheetName val="산근(PE,300)"/>
      <sheetName val="기초1"/>
      <sheetName val="토사(PE)"/>
      <sheetName val="공사요율"/>
      <sheetName val="적용기준"/>
      <sheetName val="물가자료"/>
      <sheetName val="11.자재단가"/>
      <sheetName val="_산근2_"/>
      <sheetName val="_산근4_"/>
      <sheetName val="_산근5_"/>
      <sheetName val="XL4Poppy"/>
      <sheetName val="원형1호맨홀토공수량"/>
      <sheetName val="조명시설"/>
      <sheetName val="B부대공"/>
      <sheetName val="배수공"/>
      <sheetName val="원가"/>
      <sheetName val="실행"/>
      <sheetName val="대전21토목내역서"/>
      <sheetName val="조명율표"/>
      <sheetName val="말뚝지지력산정"/>
      <sheetName val="치수표"/>
      <sheetName val="FAB별"/>
      <sheetName val="도장수량(하1)"/>
      <sheetName val="주형"/>
      <sheetName val="대전월평내역"/>
      <sheetName val="을지"/>
      <sheetName val="심사내역서(선감길외).xlsx"/>
      <sheetName val="일위_파일"/>
      <sheetName val="연결임시"/>
      <sheetName val="산출금액내역"/>
      <sheetName val="내역서1999.8최종"/>
      <sheetName val="신우"/>
      <sheetName val="운임"/>
      <sheetName val="충주"/>
      <sheetName val="과천MAIN"/>
      <sheetName val="ITEM"/>
      <sheetName val="일 위 대 가 표"/>
      <sheetName val="6PILE  (돌출)"/>
      <sheetName val="4.2유효폭의 계산"/>
      <sheetName val="총계"/>
      <sheetName val="단면 (2)"/>
      <sheetName val="계산근거"/>
      <sheetName val="단가견적조사표"/>
      <sheetName val="수량산출서"/>
      <sheetName val="방음벽기초-수량"/>
      <sheetName val="COPING-1"/>
      <sheetName val="역T형교대-2수량"/>
      <sheetName val="토공(우물통,기타) "/>
      <sheetName val="1.설계조건"/>
      <sheetName val="갑지(추정)"/>
      <sheetName val="실행내역 "/>
      <sheetName val="출력X"/>
      <sheetName val="도급"/>
      <sheetName val="폐토수익화 "/>
      <sheetName val="종합일지"/>
      <sheetName val="금액"/>
      <sheetName val="1을"/>
      <sheetName val="copy"/>
      <sheetName val="서식"/>
      <sheetName val="FACTOR"/>
      <sheetName val="공사비 내역 (가)"/>
      <sheetName val="공사비내역서"/>
      <sheetName val="마감물량3"/>
      <sheetName val="빙장비사양"/>
      <sheetName val="장비사양"/>
      <sheetName val="월별수입"/>
      <sheetName val="샘플표지"/>
      <sheetName val="감시제어"/>
      <sheetName val="목차임시"/>
      <sheetName val="견적대비"/>
      <sheetName val="시설물일위"/>
      <sheetName val="계수시트"/>
      <sheetName val="단가대비표"/>
      <sheetName val="CABdata"/>
      <sheetName val="일반수량집계표"/>
      <sheetName val="횡분배정리(DB)"/>
      <sheetName val="직재"/>
      <sheetName val="ASP"/>
      <sheetName val="BLOCK(1)"/>
      <sheetName val="대,유,램"/>
      <sheetName val="단가산출1"/>
      <sheetName val="Sheet3"/>
      <sheetName val="3_하중산정4_지지력"/>
      <sheetName val="_견적서"/>
      <sheetName val="설산1_나"/>
      <sheetName val="일반맨홀수량집계(A-7_LINE)"/>
      <sheetName val="b_balju_(2)"/>
      <sheetName val="2F_회의실견적(5_14_일대)1"/>
      <sheetName val="3_하중산정4_지지력1"/>
      <sheetName val="3BL공동구_수량1"/>
      <sheetName val="_견적서1"/>
      <sheetName val="설산1_나1"/>
      <sheetName val="일반맨홀수량집계(A-7_LINE)1"/>
      <sheetName val="b_balju_(2)1"/>
      <sheetName val="단가표_"/>
      <sheetName val="영업_일1"/>
      <sheetName val="BSD_(2)"/>
      <sheetName val="BEND_LOSS"/>
      <sheetName val="1_우편집중내역서"/>
      <sheetName val="06-BATCH_"/>
      <sheetName val="RING_WALL"/>
      <sheetName val="허용전류-IEC_DATA"/>
      <sheetName val="ITB_COST"/>
      <sheetName val="P_M_별"/>
      <sheetName val="남양시작동자105노65기1_3화1_2"/>
      <sheetName val="Sheet1_(2)"/>
      <sheetName val="2_냉난방설비공사"/>
      <sheetName val="별표"/>
      <sheetName val="wall"/>
      <sheetName val="내역(입찰)"/>
      <sheetName val="별표집계"/>
      <sheetName val="식재인부"/>
      <sheetName val="견적대비표"/>
      <sheetName val="말뚝물량"/>
      <sheetName val="부표총괄"/>
      <sheetName val="품셈1-17"/>
      <sheetName val="사급자재"/>
      <sheetName val="특별교실"/>
      <sheetName val="Mc1"/>
      <sheetName val="Facility Information"/>
      <sheetName val="General"/>
      <sheetName val="Instructions"/>
      <sheetName val="People"/>
      <sheetName val="Quality"/>
      <sheetName val="Risk"/>
      <sheetName val="Training"/>
      <sheetName val="부대비율"/>
      <sheetName val="단"/>
      <sheetName val="단가일람"/>
      <sheetName val="송라터널총괄"/>
      <sheetName val="PRE"/>
      <sheetName val="PLCAL"/>
      <sheetName val="경비_원본"/>
      <sheetName val="설비내역서"/>
      <sheetName val="건축내역서"/>
      <sheetName val="전기내역서"/>
      <sheetName val="전체"/>
      <sheetName val="근고 블록 유형별 수량"/>
      <sheetName val="2000.05"/>
      <sheetName val="내역서form"/>
      <sheetName val="항목별"/>
      <sheetName val="합천내역"/>
      <sheetName val="내외국인총괄"/>
      <sheetName val="주관사업"/>
      <sheetName val="Sheet6"/>
      <sheetName val="지중자재단가"/>
      <sheetName val="UserData"/>
      <sheetName val="11.단가비교표_"/>
      <sheetName val="16.기계경비산출내역_"/>
      <sheetName val="리터팬내장형"/>
      <sheetName val="0"/>
      <sheetName val="가압장(토목)"/>
      <sheetName val="단면치수"/>
      <sheetName val="기본"/>
      <sheetName val="CABLE SIZE-3"/>
      <sheetName val="06 일위대가목록"/>
      <sheetName val="토공대가"/>
      <sheetName val="구조대가"/>
      <sheetName val="포설대가1"/>
      <sheetName val="부대대가"/>
      <sheetName val="공통자료"/>
      <sheetName val="참조"/>
      <sheetName val="모래운반"/>
      <sheetName val="타공종이기"/>
      <sheetName val="대전-교대(A1-A2)"/>
      <sheetName val="수량산출내역1115"/>
      <sheetName val="공사비증감"/>
      <sheetName val="입출재고현황 (2)"/>
      <sheetName val="토공연장"/>
      <sheetName val="배"/>
      <sheetName val="5지구단위"/>
      <sheetName val="각종양식"/>
      <sheetName val="터파기및재료"/>
      <sheetName val="골재산출"/>
      <sheetName val="자재대"/>
      <sheetName val="설비"/>
      <sheetName val="협조전"/>
      <sheetName val="세부내역(직접인건비)"/>
      <sheetName val="F-Assump"/>
      <sheetName val="흄관기초"/>
      <sheetName val="점수계산1-2"/>
      <sheetName val="재집"/>
      <sheetName val="dg"/>
      <sheetName val="IMPEADENCE MAP 취수장"/>
      <sheetName val="PAINT"/>
      <sheetName val="손익분석"/>
      <sheetName val="인건-측정"/>
      <sheetName val="차수"/>
      <sheetName val="인건비"/>
      <sheetName val="자재단가"/>
      <sheetName val="기타 정보통신공사"/>
      <sheetName val="원가입력"/>
      <sheetName val="CAL."/>
      <sheetName val="건설노임"/>
      <sheetName val="집수정"/>
      <sheetName val="토공총괄표"/>
      <sheetName val="교각1(좌)"/>
      <sheetName val="소모"/>
      <sheetName val="재료집계"/>
      <sheetName val="2F È¸ÀÇ½Ç°ßÀû(5_14 ÀÏ´ë)"/>
      <sheetName val="À»"/>
      <sheetName val="ÀÏÀ§´ë°¡"/>
      <sheetName val="´Ü¸é°¡Á¤"/>
      <sheetName val="Á÷°øºñ"/>
      <sheetName val="³»¿ª¼­"/>
      <sheetName val="Á÷³ë"/>
      <sheetName val="°èÈ­¹è¼ö"/>
      <sheetName val="IìéÚõÝï"/>
      <sheetName val="1¿ù"/>
      <sheetName val="Á¤º¸¸ÅÃ¼Aµ¿"/>
      <sheetName val="±âº»´Ü°¡Ç¥"/>
      <sheetName val="20°ü¸®ºñÀ²"/>
      <sheetName val="Æò°¡µ¥ÀÌÅÍ"/>
      <sheetName val="³¯°³º®(½ÃÁ¡ÁÂÃø)"/>
      <sheetName val="Á¤ºÎ³ëÀÓ´Ü°¡"/>
      <sheetName val="°øÅë°¡¼³"/>
      <sheetName val="ÀÏÀ§´ë°¡¸ñÂ÷"/>
      <sheetName val="¸ÇÈ¦¼ö·®Áý°è"/>
      <sheetName val="¹°·®»êÃâ±Ù°Å"/>
      <sheetName val="°ø»ç°³¿ä"/>
      <sheetName val="TB-³»¿ª¼­"/>
      <sheetName val="INPUT(´öµµ¹æÇâ-½ÃÁ¡)"/>
      <sheetName val="³»¿ª"/>
      <sheetName val="Åä¸ñ³»¿ª"/>
      <sheetName val="3BL°øµ¿±¸ ¼ö·®"/>
      <sheetName val="ÀÏÀ§´ë°¡Ç¥"/>
      <sheetName val="±³°¢°è»ê"/>
      <sheetName val="±âµÕ(¿øÇü)"/>
      <sheetName val="Åä°ø"/>
      <sheetName val="Áý°èÇ¥"/>
      <sheetName val="ÀÏ¹Ý¹°ÀÚ(ÇÑ±¹Åë½Å)"/>
      <sheetName val="3.ÇÏÁß»êÁ¤4.ÁöÁö·Â"/>
      <sheetName val="°ø»çºñ¸í¼¼¼­"/>
      <sheetName val="Æ÷ÀåÀý´Ü"/>
      <sheetName val="Àü±â"/>
      <sheetName val="¿¬·ÉÇöÈ²"/>
      <sheetName val="¿­¸°±³½Ç"/>
      <sheetName val="버스운행안내"/>
      <sheetName val="예방접종계획"/>
      <sheetName val="근태계획서"/>
      <sheetName val="계단수량집계"/>
      <sheetName val="Macro(전선)"/>
      <sheetName val="기둥(하중)"/>
      <sheetName val="간접재료비산출표-27-30"/>
      <sheetName val="약품공급2"/>
      <sheetName val="개요"/>
      <sheetName val="심사계산"/>
      <sheetName val="심사물량"/>
      <sheetName val="갑지"/>
      <sheetName val="재1"/>
      <sheetName val="MATRLDATA"/>
      <sheetName val="견적"/>
      <sheetName val="Baby일위대가"/>
      <sheetName val="공종별 집계"/>
      <sheetName val="석축단"/>
      <sheetName val="법면수집"/>
      <sheetName val="석축설면"/>
      <sheetName val="법면단"/>
      <sheetName val="LABTOTAL"/>
      <sheetName val="견"/>
      <sheetName val="DESIGN"/>
      <sheetName val="파일의이용"/>
      <sheetName val="1공구 건정토건 토공"/>
      <sheetName val="예산M12A"/>
      <sheetName val="준검 내역서"/>
      <sheetName val="매장-시행견적"/>
      <sheetName val="조직"/>
      <sheetName val="수리결과"/>
      <sheetName val="BS Prior"/>
      <sheetName val="Threshold Table"/>
      <sheetName val="sum"/>
      <sheetName val="재료-CODE"/>
      <sheetName val="내역_FILE"/>
      <sheetName val="9.2단가산출서"/>
      <sheetName val="손료"/>
      <sheetName val="archi(본사)"/>
      <sheetName val="이토변실제원"/>
      <sheetName val="가정단면"/>
      <sheetName val="관리비"/>
      <sheetName val="Parts"/>
      <sheetName val="Menu A"/>
      <sheetName val="98수문일위"/>
      <sheetName val="Proposal"/>
      <sheetName val="plan&amp;section of foundation"/>
      <sheetName val="전신환매도율"/>
    </sheetNames>
    <sheetDataSet>
      <sheetData sheetId="0">
        <row r="3">
          <cell r="A3" t="str">
            <v>t0001</v>
          </cell>
        </row>
      </sheetData>
      <sheetData sheetId="1" refreshError="1"/>
      <sheetData sheetId="2" refreshError="1">
        <row r="3">
          <cell r="A3" t="str">
            <v>t0001</v>
          </cell>
          <cell r="B3">
            <v>1</v>
          </cell>
          <cell r="C3" t="str">
            <v>전선관 지지행거</v>
          </cell>
          <cell r="D3" t="str">
            <v>W:200</v>
          </cell>
          <cell r="E3" t="str">
            <v>개소</v>
          </cell>
          <cell r="F3">
            <v>1</v>
          </cell>
          <cell r="G3">
            <v>1693</v>
          </cell>
          <cell r="H3">
            <v>1693</v>
          </cell>
          <cell r="I3">
            <v>11024</v>
          </cell>
          <cell r="J3">
            <v>11024</v>
          </cell>
        </row>
        <row r="4">
          <cell r="A4" t="str">
            <v>t0002</v>
          </cell>
          <cell r="B4">
            <v>2</v>
          </cell>
          <cell r="C4" t="str">
            <v>전선관 지지행거</v>
          </cell>
          <cell r="D4" t="str">
            <v>W:300</v>
          </cell>
          <cell r="E4" t="str">
            <v>개소</v>
          </cell>
          <cell r="F4">
            <v>1</v>
          </cell>
          <cell r="G4">
            <v>1733</v>
          </cell>
          <cell r="H4">
            <v>1733</v>
          </cell>
          <cell r="I4">
            <v>11024</v>
          </cell>
          <cell r="J4">
            <v>11024</v>
          </cell>
        </row>
        <row r="5">
          <cell r="A5" t="str">
            <v>t0003</v>
          </cell>
          <cell r="B5">
            <v>3</v>
          </cell>
          <cell r="C5" t="str">
            <v>전선관 지지행거</v>
          </cell>
          <cell r="D5" t="str">
            <v>16C</v>
          </cell>
          <cell r="E5" t="str">
            <v>개소</v>
          </cell>
          <cell r="F5">
            <v>1</v>
          </cell>
          <cell r="G5">
            <v>1755</v>
          </cell>
          <cell r="H5">
            <v>1755</v>
          </cell>
          <cell r="I5">
            <v>1101</v>
          </cell>
          <cell r="J5">
            <v>1101</v>
          </cell>
        </row>
        <row r="6">
          <cell r="A6" t="str">
            <v>t0004</v>
          </cell>
          <cell r="B6">
            <v>4</v>
          </cell>
          <cell r="C6" t="str">
            <v>전선관 지지행거</v>
          </cell>
          <cell r="D6" t="str">
            <v>22C</v>
          </cell>
          <cell r="E6" t="str">
            <v>개소</v>
          </cell>
          <cell r="F6">
            <v>1</v>
          </cell>
          <cell r="G6">
            <v>1775</v>
          </cell>
          <cell r="H6">
            <v>1775</v>
          </cell>
          <cell r="I6">
            <v>1101</v>
          </cell>
          <cell r="J6">
            <v>1101</v>
          </cell>
        </row>
        <row r="7">
          <cell r="A7" t="str">
            <v>t0005</v>
          </cell>
          <cell r="B7">
            <v>5</v>
          </cell>
          <cell r="C7" t="str">
            <v>전선관 지지행거</v>
          </cell>
          <cell r="D7" t="str">
            <v>28C</v>
          </cell>
          <cell r="E7" t="str">
            <v>개소</v>
          </cell>
          <cell r="F7">
            <v>1</v>
          </cell>
          <cell r="G7">
            <v>1799</v>
          </cell>
          <cell r="H7">
            <v>1799</v>
          </cell>
          <cell r="I7">
            <v>1101</v>
          </cell>
          <cell r="J7">
            <v>1101</v>
          </cell>
        </row>
        <row r="8">
          <cell r="A8" t="str">
            <v>t0006</v>
          </cell>
          <cell r="B8">
            <v>6</v>
          </cell>
          <cell r="C8" t="str">
            <v>전선관 지지행거</v>
          </cell>
          <cell r="D8" t="str">
            <v>36C</v>
          </cell>
          <cell r="E8" t="str">
            <v>개소</v>
          </cell>
          <cell r="F8">
            <v>1</v>
          </cell>
          <cell r="G8">
            <v>2075</v>
          </cell>
          <cell r="H8">
            <v>2075</v>
          </cell>
          <cell r="I8">
            <v>1101</v>
          </cell>
          <cell r="J8">
            <v>1101</v>
          </cell>
        </row>
        <row r="9">
          <cell r="A9" t="str">
            <v>t0007</v>
          </cell>
          <cell r="B9">
            <v>7</v>
          </cell>
          <cell r="C9" t="str">
            <v>전선관 지지행거</v>
          </cell>
          <cell r="D9" t="str">
            <v>42C</v>
          </cell>
          <cell r="E9" t="str">
            <v>개소</v>
          </cell>
          <cell r="F9">
            <v>1</v>
          </cell>
          <cell r="G9">
            <v>2201</v>
          </cell>
          <cell r="H9">
            <v>2201</v>
          </cell>
          <cell r="I9">
            <v>1101</v>
          </cell>
          <cell r="J9">
            <v>1101</v>
          </cell>
        </row>
        <row r="10">
          <cell r="A10" t="str">
            <v>t0008</v>
          </cell>
          <cell r="B10">
            <v>8</v>
          </cell>
          <cell r="C10" t="str">
            <v>전선관 지지행거</v>
          </cell>
          <cell r="D10" t="str">
            <v>54C</v>
          </cell>
          <cell r="E10" t="str">
            <v>개소</v>
          </cell>
          <cell r="F10">
            <v>1</v>
          </cell>
          <cell r="G10">
            <v>2457</v>
          </cell>
          <cell r="H10">
            <v>2457</v>
          </cell>
          <cell r="I10">
            <v>1101</v>
          </cell>
          <cell r="J10">
            <v>1101</v>
          </cell>
        </row>
        <row r="11">
          <cell r="A11" t="str">
            <v>t0009</v>
          </cell>
          <cell r="B11">
            <v>9</v>
          </cell>
          <cell r="C11" t="str">
            <v xml:space="preserve">녹막이 페이트 </v>
          </cell>
          <cell r="D11" t="str">
            <v>2회</v>
          </cell>
          <cell r="E11" t="str">
            <v>식</v>
          </cell>
          <cell r="F11">
            <v>1</v>
          </cell>
          <cell r="G11">
            <v>591.86800000000005</v>
          </cell>
          <cell r="H11">
            <v>591.86800000000005</v>
          </cell>
          <cell r="I11">
            <v>1787</v>
          </cell>
          <cell r="J11">
            <v>1787</v>
          </cell>
        </row>
        <row r="12">
          <cell r="A12" t="str">
            <v>t0010</v>
          </cell>
          <cell r="B12">
            <v>10</v>
          </cell>
          <cell r="C12" t="str">
            <v>은분도장</v>
          </cell>
          <cell r="D12" t="str">
            <v>2회</v>
          </cell>
          <cell r="E12" t="str">
            <v>식</v>
          </cell>
          <cell r="F12">
            <v>1</v>
          </cell>
          <cell r="G12">
            <v>236.34500000000003</v>
          </cell>
          <cell r="H12">
            <v>236.34500000000003</v>
          </cell>
          <cell r="I12">
            <v>3216</v>
          </cell>
          <cell r="J12">
            <v>3216</v>
          </cell>
        </row>
        <row r="13">
          <cell r="A13" t="str">
            <v>t0011</v>
          </cell>
          <cell r="B13">
            <v>11</v>
          </cell>
          <cell r="C13" t="str">
            <v>철재류 가공 및 조립</v>
          </cell>
          <cell r="D13" t="str">
            <v>현장제작</v>
          </cell>
          <cell r="E13" t="str">
            <v>식</v>
          </cell>
          <cell r="F13">
            <v>1</v>
          </cell>
          <cell r="G13">
            <v>27913</v>
          </cell>
          <cell r="H13">
            <v>27913</v>
          </cell>
          <cell r="I13">
            <v>2176675</v>
          </cell>
          <cell r="J13">
            <v>2176675</v>
          </cell>
        </row>
        <row r="14">
          <cell r="A14" t="str">
            <v>t0012</v>
          </cell>
          <cell r="B14">
            <v>12</v>
          </cell>
          <cell r="C14" t="str">
            <v>콘크리트 기초</v>
          </cell>
          <cell r="D14" t="str">
            <v>무근</v>
          </cell>
          <cell r="E14" t="str">
            <v>식</v>
          </cell>
          <cell r="F14">
            <v>1</v>
          </cell>
          <cell r="G14">
            <v>54876</v>
          </cell>
          <cell r="H14">
            <v>54876</v>
          </cell>
          <cell r="I14">
            <v>196800</v>
          </cell>
          <cell r="J14">
            <v>196800</v>
          </cell>
        </row>
        <row r="15">
          <cell r="A15" t="str">
            <v>t0013</v>
          </cell>
          <cell r="B15">
            <v>13</v>
          </cell>
          <cell r="C15" t="str">
            <v>터파기 데메우기</v>
          </cell>
          <cell r="D15" t="str">
            <v>1M 이하</v>
          </cell>
          <cell r="E15" t="str">
            <v>㎥</v>
          </cell>
          <cell r="F15">
            <v>1</v>
          </cell>
          <cell r="G15">
            <v>0</v>
          </cell>
          <cell r="H15">
            <v>0</v>
          </cell>
          <cell r="I15">
            <v>10483</v>
          </cell>
          <cell r="J15">
            <v>10483</v>
          </cell>
        </row>
        <row r="16">
          <cell r="A16" t="str">
            <v>t0014</v>
          </cell>
          <cell r="B16">
            <v>14</v>
          </cell>
          <cell r="C16" t="str">
            <v>동력배관 지지가대</v>
          </cell>
          <cell r="D16" t="str">
            <v>ㄷ앵글</v>
          </cell>
          <cell r="E16" t="str">
            <v>㎥</v>
          </cell>
          <cell r="F16">
            <v>1</v>
          </cell>
          <cell r="G16">
            <v>7188.4515000000001</v>
          </cell>
          <cell r="H16">
            <v>7188.4515000000001</v>
          </cell>
          <cell r="I16">
            <v>166035.663</v>
          </cell>
          <cell r="J16">
            <v>166035.663</v>
          </cell>
        </row>
        <row r="17">
          <cell r="A17" t="str">
            <v>t0015</v>
          </cell>
          <cell r="B17">
            <v>15</v>
          </cell>
          <cell r="C17" t="str">
            <v>전등 전열 분전반</v>
          </cell>
          <cell r="D17" t="str">
            <v>L-1</v>
          </cell>
          <cell r="E17" t="str">
            <v>식</v>
          </cell>
          <cell r="F17">
            <v>1</v>
          </cell>
          <cell r="G17">
            <v>167121</v>
          </cell>
          <cell r="H17">
            <v>167121</v>
          </cell>
          <cell r="I17">
            <v>244058</v>
          </cell>
          <cell r="J17">
            <v>244058</v>
          </cell>
        </row>
        <row r="18">
          <cell r="A18" t="str">
            <v>t0016</v>
          </cell>
          <cell r="B18">
            <v>16</v>
          </cell>
          <cell r="C18" t="str">
            <v>전등 전열 분전반</v>
          </cell>
          <cell r="D18" t="str">
            <v>L-2</v>
          </cell>
          <cell r="E18" t="str">
            <v>식</v>
          </cell>
          <cell r="F18">
            <v>1</v>
          </cell>
          <cell r="G18">
            <v>209376</v>
          </cell>
          <cell r="H18">
            <v>209376</v>
          </cell>
          <cell r="I18">
            <v>213125</v>
          </cell>
          <cell r="J18">
            <v>213125</v>
          </cell>
        </row>
        <row r="19">
          <cell r="A19" t="str">
            <v>t0017</v>
          </cell>
          <cell r="B19">
            <v>17</v>
          </cell>
          <cell r="C19" t="str">
            <v>보안용 접지공사</v>
          </cell>
          <cell r="D19" t="str">
            <v>100Ω이하</v>
          </cell>
          <cell r="E19" t="str">
            <v>식</v>
          </cell>
          <cell r="F19">
            <v>1</v>
          </cell>
          <cell r="G19">
            <v>773105</v>
          </cell>
          <cell r="H19">
            <v>773105</v>
          </cell>
          <cell r="I19">
            <v>130426.31999999999</v>
          </cell>
          <cell r="J19">
            <v>130426.31999999999</v>
          </cell>
        </row>
        <row r="20">
          <cell r="A20" t="str">
            <v>t0018</v>
          </cell>
          <cell r="B20">
            <v>18</v>
          </cell>
          <cell r="C20" t="str">
            <v>덕트 지지행거</v>
          </cell>
          <cell r="D20" t="str">
            <v>W : 200</v>
          </cell>
          <cell r="E20" t="str">
            <v>개소</v>
          </cell>
          <cell r="F20">
            <v>1</v>
          </cell>
          <cell r="G20">
            <v>3296</v>
          </cell>
          <cell r="H20">
            <v>3296</v>
          </cell>
          <cell r="I20">
            <v>8508</v>
          </cell>
          <cell r="J20">
            <v>8508</v>
          </cell>
        </row>
        <row r="21">
          <cell r="A21" t="str">
            <v>t0019</v>
          </cell>
          <cell r="B21">
            <v>19</v>
          </cell>
          <cell r="C21" t="str">
            <v>덕트 지지행거</v>
          </cell>
          <cell r="D21" t="str">
            <v>W : 300</v>
          </cell>
          <cell r="E21" t="str">
            <v>개소</v>
          </cell>
          <cell r="F21">
            <v>1</v>
          </cell>
          <cell r="G21">
            <v>3566</v>
          </cell>
          <cell r="H21">
            <v>3566</v>
          </cell>
          <cell r="I21">
            <v>8508</v>
          </cell>
          <cell r="J21">
            <v>8508</v>
          </cell>
        </row>
        <row r="22">
          <cell r="A22" t="str">
            <v>t0020</v>
          </cell>
          <cell r="B22">
            <v>20</v>
          </cell>
          <cell r="C22" t="str">
            <v>냉방기 분전반</v>
          </cell>
          <cell r="D22" t="str">
            <v>M - 50A(노출)</v>
          </cell>
          <cell r="E22" t="str">
            <v>면</v>
          </cell>
          <cell r="F22">
            <v>1</v>
          </cell>
          <cell r="G22">
            <v>55680</v>
          </cell>
          <cell r="H22">
            <v>55680</v>
          </cell>
          <cell r="I22">
            <v>13827</v>
          </cell>
          <cell r="J22">
            <v>13827</v>
          </cell>
        </row>
        <row r="23">
          <cell r="A23" t="str">
            <v>t0021</v>
          </cell>
          <cell r="B23">
            <v>21</v>
          </cell>
          <cell r="C23" t="str">
            <v>동력 분전반</v>
          </cell>
          <cell r="D23" t="str">
            <v>P - 1</v>
          </cell>
          <cell r="E23" t="str">
            <v>면</v>
          </cell>
          <cell r="F23">
            <v>1</v>
          </cell>
          <cell r="G23">
            <v>524487</v>
          </cell>
          <cell r="H23">
            <v>524487</v>
          </cell>
          <cell r="I23">
            <v>881611</v>
          </cell>
          <cell r="J23">
            <v>881611</v>
          </cell>
        </row>
        <row r="24">
          <cell r="A24" t="str">
            <v>t0022</v>
          </cell>
          <cell r="B24">
            <v>22</v>
          </cell>
          <cell r="C24" t="str">
            <v>노 무 비</v>
          </cell>
          <cell r="D24" t="str">
            <v>통신기사 1급</v>
          </cell>
          <cell r="E24" t="str">
            <v>인</v>
          </cell>
          <cell r="F24">
            <v>89527</v>
          </cell>
        </row>
        <row r="25">
          <cell r="A25" t="str">
            <v>t0023</v>
          </cell>
          <cell r="B25">
            <v>25</v>
          </cell>
          <cell r="C25" t="str">
            <v>노 무 비</v>
          </cell>
          <cell r="D25" t="str">
            <v>통신기사 2급</v>
          </cell>
          <cell r="E25" t="str">
            <v>인</v>
          </cell>
          <cell r="F25">
            <v>78395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/>
      <sheetData sheetId="42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/>
      <sheetData sheetId="525"/>
      <sheetData sheetId="526"/>
      <sheetData sheetId="527" refreshError="1"/>
      <sheetData sheetId="528" refreshError="1"/>
      <sheetData sheetId="529" refreshError="1"/>
      <sheetData sheetId="530" refreshError="1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-RMIL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노임단가"/>
      <sheetName val="공사표지"/>
      <sheetName val="품산출서"/>
      <sheetName val="물가비교표"/>
      <sheetName val="설계명세서"/>
      <sheetName val="터파기량집계"/>
      <sheetName val="터파기(차도)"/>
      <sheetName val="핸드홀맨홀부표"/>
      <sheetName val="작업부산물"/>
      <sheetName val="공사비예산서"/>
      <sheetName val="공사설명서"/>
      <sheetName val="공사계획서"/>
      <sheetName val="수량산출서"/>
      <sheetName val="Sheet11"/>
      <sheetName val="Sheet12"/>
      <sheetName val="Sheet14"/>
      <sheetName val="Sheet15"/>
      <sheetName val="Sheet16"/>
      <sheetName val="Module4"/>
      <sheetName val="Module5"/>
      <sheetName val="실행철강하도"/>
      <sheetName val="data"/>
      <sheetName val="남부산SS"/>
      <sheetName val="Sheet1"/>
      <sheetName val="부하계산서"/>
      <sheetName val="조도계산서 (도서)"/>
      <sheetName val="일위대가"/>
      <sheetName val="단가비교표"/>
    </sheetNames>
    <definedNames>
      <definedName name="KYNGSADO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사표지"/>
      <sheetName val="미금OPGW"/>
      <sheetName val="MOTOR"/>
      <sheetName val="ITEM"/>
      <sheetName val="일위대가-1"/>
      <sheetName val="데이타"/>
      <sheetName val="DATA"/>
    </sheetNames>
    <definedNames>
      <definedName name="KYNGSAYL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입력(0126)"/>
      <sheetName val="LOAD(금회)"/>
      <sheetName val="전선관"/>
      <sheetName val="원본"/>
      <sheetName val="케이블"/>
      <sheetName val="원본간선"/>
      <sheetName val="2동력수량(할증40CD삭제)"/>
      <sheetName val="1동력수량"/>
      <sheetName val="Sheet2"/>
      <sheetName val="sdata"/>
      <sheetName val="Sheet1"/>
      <sheetName val="DATA"/>
      <sheetName val="DATA1"/>
      <sheetName val="Conduit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>
        <row r="2">
          <cell r="A2">
            <v>101</v>
          </cell>
          <cell r="B2" t="str">
            <v>4sq</v>
          </cell>
        </row>
        <row r="3">
          <cell r="A3">
            <v>102</v>
          </cell>
          <cell r="B3" t="str">
            <v>6sq</v>
          </cell>
        </row>
        <row r="4">
          <cell r="A4">
            <v>103</v>
          </cell>
          <cell r="B4" t="str">
            <v>10sq</v>
          </cell>
        </row>
        <row r="5">
          <cell r="A5">
            <v>104</v>
          </cell>
          <cell r="B5" t="str">
            <v>16sq</v>
          </cell>
        </row>
        <row r="6">
          <cell r="A6">
            <v>105</v>
          </cell>
          <cell r="B6" t="str">
            <v>25sq</v>
          </cell>
        </row>
        <row r="7">
          <cell r="A7">
            <v>106</v>
          </cell>
          <cell r="B7" t="str">
            <v>35sq</v>
          </cell>
        </row>
        <row r="8">
          <cell r="A8">
            <v>4</v>
          </cell>
          <cell r="B8" t="str">
            <v>0.6/1kV FCV 4sq-3C</v>
          </cell>
        </row>
        <row r="9">
          <cell r="A9">
            <v>5</v>
          </cell>
          <cell r="B9" t="str">
            <v>0.6/1kV FCV 6sq-3C</v>
          </cell>
        </row>
        <row r="10">
          <cell r="A10">
            <v>6</v>
          </cell>
          <cell r="B10" t="str">
            <v>0.6/1kV FCV 10sq-3C</v>
          </cell>
        </row>
        <row r="11">
          <cell r="A11">
            <v>7</v>
          </cell>
          <cell r="B11" t="str">
            <v>0.6/1kV FCV 16sq-3C</v>
          </cell>
        </row>
        <row r="12">
          <cell r="A12">
            <v>8</v>
          </cell>
          <cell r="B12" t="str">
            <v>0.6/1kV FCV 35sq-3C</v>
          </cell>
        </row>
        <row r="13">
          <cell r="A13">
            <v>9</v>
          </cell>
          <cell r="B13" t="str">
            <v>0.6/1kV FCV 6sq-4C</v>
          </cell>
        </row>
        <row r="14">
          <cell r="A14">
            <v>10</v>
          </cell>
          <cell r="B14" t="str">
            <v>0.6/1kV FCV 16sq-4C</v>
          </cell>
        </row>
        <row r="15">
          <cell r="A15">
            <v>11</v>
          </cell>
          <cell r="B15" t="str">
            <v>0.6/1kV FCV 25sq-4C</v>
          </cell>
        </row>
        <row r="16">
          <cell r="A16">
            <v>12</v>
          </cell>
          <cell r="B16" t="str">
            <v>0.6/1kV FCV 35sq-4C</v>
          </cell>
        </row>
        <row r="17">
          <cell r="A17">
            <v>13</v>
          </cell>
          <cell r="B17" t="str">
            <v>0.6/1kV FCV 35sq-3C</v>
          </cell>
        </row>
        <row r="18">
          <cell r="A18">
            <v>14</v>
          </cell>
          <cell r="B18" t="str">
            <v>0.6/1kV FCV 4sq-4C</v>
          </cell>
        </row>
        <row r="19">
          <cell r="A19">
            <v>15</v>
          </cell>
          <cell r="B19" t="str">
            <v>0.6/1kV FCV 14sq-3C</v>
          </cell>
        </row>
        <row r="20">
          <cell r="A20">
            <v>16</v>
          </cell>
          <cell r="B20" t="str">
            <v>0.6/1kV FCV 50sq-4C</v>
          </cell>
        </row>
        <row r="21">
          <cell r="A21">
            <v>17</v>
          </cell>
          <cell r="B21" t="str">
            <v>0.6/1kV FCV 22sq-3C</v>
          </cell>
        </row>
        <row r="22">
          <cell r="A22">
            <v>18</v>
          </cell>
          <cell r="B22" t="str">
            <v>0.6/1kV FCV 22sq-4C</v>
          </cell>
        </row>
        <row r="23">
          <cell r="A23">
            <v>19</v>
          </cell>
          <cell r="B23" t="str">
            <v>0.6/1kV FCV 38sq-3Cx2</v>
          </cell>
        </row>
        <row r="24">
          <cell r="A24">
            <v>20</v>
          </cell>
          <cell r="B24" t="str">
            <v>0.6/1kV FCV 38sq-4C</v>
          </cell>
        </row>
        <row r="25">
          <cell r="A25">
            <v>21</v>
          </cell>
          <cell r="B25" t="str">
            <v>6/10kV FCV 35sq-3C</v>
          </cell>
        </row>
        <row r="26">
          <cell r="A26">
            <v>22</v>
          </cell>
          <cell r="B26" t="str">
            <v>6/10kV FCV 300sq-1CX3</v>
          </cell>
        </row>
        <row r="27">
          <cell r="A27">
            <v>23</v>
          </cell>
          <cell r="B27" t="str">
            <v>FR8 4sq-4C</v>
          </cell>
        </row>
        <row r="28">
          <cell r="A28">
            <v>24</v>
          </cell>
          <cell r="B28" t="str">
            <v>FCVV 1.5sq-5C</v>
          </cell>
        </row>
        <row r="29">
          <cell r="A29">
            <v>25</v>
          </cell>
          <cell r="B29" t="str">
            <v>FCVV 1.5sq-24C</v>
          </cell>
        </row>
        <row r="30">
          <cell r="A30">
            <v>26</v>
          </cell>
          <cell r="B30" t="str">
            <v>FCVV 2.0sq-19C</v>
          </cell>
        </row>
        <row r="31">
          <cell r="A31">
            <v>27</v>
          </cell>
          <cell r="B31" t="str">
            <v>FCVV 2.0sq-24C</v>
          </cell>
        </row>
        <row r="32">
          <cell r="A32">
            <v>28</v>
          </cell>
          <cell r="B32" t="str">
            <v>FCVV 2.0sq-30C</v>
          </cell>
        </row>
        <row r="33">
          <cell r="A33">
            <v>41</v>
          </cell>
          <cell r="B33" t="str">
            <v>30D</v>
          </cell>
        </row>
        <row r="34">
          <cell r="A34">
            <v>42</v>
          </cell>
          <cell r="B34" t="str">
            <v>40D</v>
          </cell>
        </row>
        <row r="35">
          <cell r="A35">
            <v>43</v>
          </cell>
          <cell r="B35" t="str">
            <v>50D</v>
          </cell>
        </row>
        <row r="36">
          <cell r="A36">
            <v>44</v>
          </cell>
          <cell r="B36" t="str">
            <v>65D</v>
          </cell>
        </row>
        <row r="37">
          <cell r="A37">
            <v>45</v>
          </cell>
          <cell r="B37" t="str">
            <v>80D</v>
          </cell>
        </row>
        <row r="38">
          <cell r="A38">
            <v>46</v>
          </cell>
          <cell r="B38" t="str">
            <v>100D</v>
          </cell>
        </row>
        <row r="39">
          <cell r="A39">
            <v>47</v>
          </cell>
          <cell r="B39" t="str">
            <v>150D</v>
          </cell>
        </row>
        <row r="40">
          <cell r="A40">
            <v>48</v>
          </cell>
          <cell r="B40" t="str">
            <v>200D</v>
          </cell>
        </row>
        <row r="41">
          <cell r="A41">
            <v>29</v>
          </cell>
          <cell r="B41" t="str">
            <v>22C</v>
          </cell>
        </row>
        <row r="42">
          <cell r="A42">
            <v>30</v>
          </cell>
          <cell r="B42" t="str">
            <v>28C</v>
          </cell>
        </row>
        <row r="43">
          <cell r="A43">
            <v>31</v>
          </cell>
          <cell r="B43" t="str">
            <v>36C</v>
          </cell>
        </row>
        <row r="44">
          <cell r="A44">
            <v>32</v>
          </cell>
          <cell r="B44" t="str">
            <v>42C</v>
          </cell>
        </row>
        <row r="45">
          <cell r="A45">
            <v>33</v>
          </cell>
          <cell r="B45" t="str">
            <v>54C</v>
          </cell>
        </row>
        <row r="46">
          <cell r="A46">
            <v>34</v>
          </cell>
          <cell r="B46" t="str">
            <v>70C</v>
          </cell>
        </row>
        <row r="47">
          <cell r="A47">
            <v>35</v>
          </cell>
          <cell r="B47" t="str">
            <v>82C</v>
          </cell>
        </row>
        <row r="48">
          <cell r="A48">
            <v>36</v>
          </cell>
          <cell r="B48" t="str">
            <v>104C</v>
          </cell>
        </row>
      </sheetData>
      <sheetData sheetId="9"/>
      <sheetData sheetId="10" refreshError="1"/>
      <sheetData sheetId="11"/>
      <sheetData sheetId="12"/>
      <sheetData sheetId="13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표지"/>
      <sheetName val="설계설명서"/>
      <sheetName val="공정예정표"/>
      <sheetName val="산출내역서"/>
      <sheetName val="제조원가계산서"/>
      <sheetName val="공사원가계산서"/>
      <sheetName val="순공사비내역서"/>
      <sheetName val="일위대가집계표"/>
      <sheetName val="일위대가표(제조)"/>
      <sheetName val="일위대가표"/>
      <sheetName val="수량계산서"/>
      <sheetName val="노임단가"/>
      <sheetName val="물가대비표"/>
      <sheetName val="지시계설치도면"/>
      <sheetName val="도면"/>
      <sheetName val="견적서"/>
      <sheetName val="설계설명서 (2)"/>
      <sheetName val="공사개요"/>
      <sheetName val="내역서-2005.11.16"/>
      <sheetName val="일위대가(원본)"/>
      <sheetName val="과천MA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예정공정표"/>
      <sheetName val="총괄집계표"/>
      <sheetName val="산출내역서"/>
      <sheetName val="제조구매설치 산출내역서"/>
      <sheetName val="제조구매설치 원가계산서"/>
      <sheetName val="공사원가계산서"/>
      <sheetName val="순공사비내역서"/>
      <sheetName val="일위대가집계표"/>
      <sheetName val="일위대가표"/>
      <sheetName val="제조구매단가산출서"/>
      <sheetName val="단가대비표"/>
      <sheetName val="수량계산서(공사부분)"/>
      <sheetName val="수량계산서(제조부분)"/>
      <sheetName val="직영비산출"/>
      <sheetName val="서산가압장 제조구매(최종)"/>
      <sheetName val="발신정보"/>
      <sheetName val="Macro(전선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7"/>
      <sheetName val="LOPCALC"/>
      <sheetName val="MCC순서"/>
      <sheetName val="기계 부하표"/>
      <sheetName val="부하표LIST"/>
      <sheetName val="TR용량"/>
      <sheetName val="TR용량 (1)"/>
      <sheetName val="TR용량 (2)"/>
      <sheetName val="CABLE SIZE CALCULATION SHEET"/>
      <sheetName val="CABLECALC"/>
      <sheetName val="IMPEADENCE MAP "/>
      <sheetName val="IMPEADENCE "/>
      <sheetName val="MCCCALC"/>
      <sheetName val="TR용량 (3)"/>
      <sheetName val="------LOPCALC-----"/>
      <sheetName val="Macro2"/>
      <sheetName val="TABLE"/>
      <sheetName val="IO-LIST"/>
      <sheetName val="IO-TOT"/>
      <sheetName val="DATA"/>
      <sheetName val="DATA1"/>
      <sheetName val="CABLE"/>
      <sheetName val="MOTOR"/>
      <sheetName val="계측기기 LIST"/>
      <sheetName val="Sheet1 (2)"/>
      <sheetName val="Sheet8"/>
      <sheetName val="Sheet9"/>
      <sheetName val="Sheet10"/>
      <sheetName val="Macro1"/>
    </sheetNames>
    <sheetDataSet>
      <sheetData sheetId="0"/>
      <sheetData sheetId="1">
        <row r="5">
          <cell r="B5" t="str">
            <v>LOP</v>
          </cell>
          <cell r="C5" t="str">
            <v>수량</v>
          </cell>
          <cell r="D5" t="str">
            <v>TYPE</v>
          </cell>
          <cell r="E5" t="str">
            <v>DIMENSION</v>
          </cell>
          <cell r="F5" t="str">
            <v>TAG</v>
          </cell>
          <cell r="G5" t="str">
            <v>설 비 명</v>
          </cell>
          <cell r="H5" t="str">
            <v>단위</v>
          </cell>
          <cell r="I5" t="str">
            <v>수량</v>
          </cell>
        </row>
        <row r="6">
          <cell r="B6" t="str">
            <v>NO.</v>
          </cell>
          <cell r="E6" t="str">
            <v>W x H x D x L</v>
          </cell>
          <cell r="F6" t="str">
            <v>NO.</v>
          </cell>
          <cell r="H6" t="str">
            <v>용량</v>
          </cell>
          <cell r="I6" t="str">
            <v>NL.</v>
          </cell>
          <cell r="J6" t="str">
            <v>SB.</v>
          </cell>
        </row>
        <row r="7">
          <cell r="B7" t="e">
            <v>#REF!</v>
          </cell>
        </row>
        <row r="8">
          <cell r="B8" t="str">
            <v>취수설비</v>
          </cell>
        </row>
      </sheetData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NIT-QT"/>
    </sheetNames>
    <definedNames>
      <definedName name="Macro1"/>
      <definedName name="Macro11"/>
      <definedName name="Macro3"/>
      <definedName name="Macro4"/>
    </definedNames>
    <sheetDataSet>
      <sheetData sheetId="0">
        <row r="4">
          <cell r="A4" t="str">
            <v>A</v>
          </cell>
          <cell r="B4">
            <v>3000</v>
          </cell>
          <cell r="C4">
            <v>1500</v>
          </cell>
          <cell r="D4">
            <v>1800</v>
          </cell>
          <cell r="E4">
            <v>634.54</v>
          </cell>
          <cell r="F4">
            <v>141</v>
          </cell>
          <cell r="G4">
            <v>20.8</v>
          </cell>
        </row>
        <row r="5">
          <cell r="A5" t="str">
            <v>B</v>
          </cell>
          <cell r="B5">
            <v>3000</v>
          </cell>
          <cell r="C5">
            <v>2400</v>
          </cell>
          <cell r="D5">
            <v>1800</v>
          </cell>
          <cell r="E5">
            <v>705.14</v>
          </cell>
          <cell r="F5">
            <v>274.27999999999997</v>
          </cell>
          <cell r="G5">
            <v>102.24</v>
          </cell>
        </row>
      </sheetData>
      <sheetData sheetId="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YES"/>
    </sheetNames>
    <definedNames>
      <definedName name="Macro10"/>
      <definedName name="Macro12"/>
      <definedName name="Macro13"/>
      <definedName name="Macro14"/>
      <definedName name="Macro2"/>
      <definedName name="Macro5"/>
      <definedName name="Macro6"/>
      <definedName name="Macro7"/>
      <definedName name="Macro8"/>
      <definedName name="Macro9"/>
    </defined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2"/>
      <sheetName val="터널조도"/>
      <sheetName val="전압강하-상행"/>
      <sheetName val="전압강하-하행"/>
      <sheetName val="&quot;u&quot; TYPE 구간 조명"/>
      <sheetName val="&quot;U&quot;TYPE 전압강하"/>
      <sheetName val="TR용량"/>
      <sheetName val="TR용량 (2)"/>
      <sheetName val="GEN"/>
      <sheetName val="UPS"/>
      <sheetName val="간선굵기 설명"/>
      <sheetName val="간선굵기"/>
      <sheetName val="접지"/>
      <sheetName val="IMPEADENCE"/>
      <sheetName val="직류전원"/>
      <sheetName val="Sheet5"/>
      <sheetName val="불평형 계산식"/>
      <sheetName val="계산1"/>
      <sheetName val="계산2"/>
      <sheetName val="laroux"/>
    </sheetNames>
    <sheetDataSet>
      <sheetData sheetId="0" refreshError="1"/>
      <sheetData sheetId="1" refreshError="1">
        <row r="19">
          <cell r="AR19">
            <v>70</v>
          </cell>
          <cell r="AS19">
            <v>4600</v>
          </cell>
        </row>
        <row r="20">
          <cell r="AR20">
            <v>100</v>
          </cell>
          <cell r="AS20">
            <v>9000</v>
          </cell>
        </row>
        <row r="21">
          <cell r="AR21">
            <v>150</v>
          </cell>
          <cell r="AS21">
            <v>14000</v>
          </cell>
        </row>
        <row r="22">
          <cell r="AR22">
            <v>200</v>
          </cell>
          <cell r="AS22">
            <v>20000</v>
          </cell>
        </row>
        <row r="23">
          <cell r="AR23">
            <v>250</v>
          </cell>
          <cell r="AS23">
            <v>25000</v>
          </cell>
        </row>
        <row r="24">
          <cell r="AR24">
            <v>400</v>
          </cell>
          <cell r="AS24">
            <v>46000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MAIN"/>
      <sheetName val="총공사비"/>
      <sheetName val="원가계산서"/>
      <sheetName val="T1"/>
      <sheetName val="san"/>
      <sheetName val="LIST"/>
      <sheetName val="FORM1-P "/>
      <sheetName val="sw1"/>
      <sheetName val="sw2"/>
      <sheetName val="sw3"/>
      <sheetName val="sw4"/>
      <sheetName val="sw5"/>
      <sheetName val="sw6"/>
      <sheetName val="sw7"/>
      <sheetName val="NOMUB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/>
      <sheetData sheetId="15" refreshError="1">
        <row r="3">
          <cell r="B3" t="str">
            <v>계장공</v>
          </cell>
          <cell r="E3" t="str">
            <v>인</v>
          </cell>
          <cell r="H3">
            <v>61657</v>
          </cell>
        </row>
        <row r="4">
          <cell r="B4" t="str">
            <v>고압케이블공</v>
          </cell>
          <cell r="E4" t="str">
            <v>인</v>
          </cell>
          <cell r="H4">
            <v>72597</v>
          </cell>
        </row>
        <row r="5">
          <cell r="B5" t="str">
            <v>기계설치공</v>
          </cell>
          <cell r="E5" t="str">
            <v>인</v>
          </cell>
          <cell r="H5">
            <v>58636</v>
          </cell>
        </row>
        <row r="6">
          <cell r="B6" t="str">
            <v>기계운전사</v>
          </cell>
          <cell r="E6" t="str">
            <v>인</v>
          </cell>
          <cell r="H6">
            <v>48780</v>
          </cell>
        </row>
        <row r="7">
          <cell r="B7" t="str">
            <v>내선전공</v>
          </cell>
          <cell r="E7" t="str">
            <v>인</v>
          </cell>
          <cell r="H7">
            <v>50851</v>
          </cell>
        </row>
        <row r="8">
          <cell r="B8" t="str">
            <v>도장공</v>
          </cell>
          <cell r="E8" t="str">
            <v>인</v>
          </cell>
          <cell r="H8">
            <v>60159</v>
          </cell>
        </row>
        <row r="9">
          <cell r="B9" t="str">
            <v>목도공</v>
          </cell>
          <cell r="E9" t="str">
            <v>인</v>
          </cell>
          <cell r="H9">
            <v>57859</v>
          </cell>
        </row>
        <row r="10">
          <cell r="B10" t="str">
            <v>무선설비기사1급</v>
          </cell>
          <cell r="E10" t="str">
            <v>인</v>
          </cell>
          <cell r="H10">
            <v>92125</v>
          </cell>
        </row>
        <row r="11">
          <cell r="B11" t="str">
            <v>무선안테나공</v>
          </cell>
          <cell r="E11" t="str">
            <v>인</v>
          </cell>
          <cell r="H11">
            <v>104700</v>
          </cell>
        </row>
        <row r="12">
          <cell r="B12" t="str">
            <v>배관공</v>
          </cell>
          <cell r="E12" t="str">
            <v>인</v>
          </cell>
          <cell r="H12">
            <v>51160</v>
          </cell>
        </row>
        <row r="13">
          <cell r="B13" t="str">
            <v>배전전공</v>
          </cell>
          <cell r="E13" t="str">
            <v>인</v>
          </cell>
          <cell r="H13">
            <v>152246</v>
          </cell>
        </row>
        <row r="14">
          <cell r="B14" t="str">
            <v>보통인부</v>
          </cell>
          <cell r="E14" t="str">
            <v>인</v>
          </cell>
          <cell r="H14">
            <v>34005</v>
          </cell>
        </row>
        <row r="15">
          <cell r="B15" t="str">
            <v>비계공</v>
          </cell>
          <cell r="E15" t="str">
            <v>인</v>
          </cell>
          <cell r="H15">
            <v>74682</v>
          </cell>
        </row>
        <row r="16">
          <cell r="B16" t="str">
            <v>용접공</v>
          </cell>
          <cell r="E16" t="str">
            <v>인</v>
          </cell>
          <cell r="H16">
            <v>60956</v>
          </cell>
        </row>
        <row r="17">
          <cell r="B17" t="str">
            <v>저압케이블공</v>
          </cell>
          <cell r="E17" t="str">
            <v>인</v>
          </cell>
          <cell r="H17">
            <v>61271</v>
          </cell>
        </row>
        <row r="18">
          <cell r="B18" t="str">
            <v>전기공사기사1급</v>
          </cell>
          <cell r="E18" t="str">
            <v>인</v>
          </cell>
          <cell r="H18">
            <v>58218</v>
          </cell>
        </row>
        <row r="19">
          <cell r="B19" t="str">
            <v>전기공사기사2급</v>
          </cell>
          <cell r="E19" t="str">
            <v>인</v>
          </cell>
          <cell r="H19">
            <v>57405</v>
          </cell>
        </row>
        <row r="20">
          <cell r="B20" t="str">
            <v>중기운전기사</v>
          </cell>
          <cell r="E20" t="str">
            <v>인</v>
          </cell>
          <cell r="H20">
            <v>52815</v>
          </cell>
        </row>
        <row r="21">
          <cell r="B21" t="str">
            <v>중기운전조수</v>
          </cell>
          <cell r="E21" t="str">
            <v>인</v>
          </cell>
          <cell r="H21">
            <v>44504</v>
          </cell>
        </row>
        <row r="22">
          <cell r="B22" t="str">
            <v>중기조장</v>
          </cell>
          <cell r="E22" t="str">
            <v>인</v>
          </cell>
          <cell r="H22">
            <v>59043</v>
          </cell>
        </row>
        <row r="23">
          <cell r="B23" t="str">
            <v>차량운전사</v>
          </cell>
          <cell r="E23" t="str">
            <v>인</v>
          </cell>
          <cell r="H23">
            <v>47888</v>
          </cell>
        </row>
        <row r="24">
          <cell r="B24" t="str">
            <v>철공</v>
          </cell>
          <cell r="E24" t="str">
            <v>인</v>
          </cell>
          <cell r="H24">
            <v>66194</v>
          </cell>
        </row>
        <row r="25">
          <cell r="B25" t="str">
            <v>철근공</v>
          </cell>
          <cell r="E25" t="str">
            <v>인</v>
          </cell>
          <cell r="H25">
            <v>69452</v>
          </cell>
        </row>
        <row r="26">
          <cell r="B26" t="str">
            <v>측량사</v>
          </cell>
          <cell r="E26" t="str">
            <v>인</v>
          </cell>
          <cell r="H26">
            <v>56005</v>
          </cell>
        </row>
        <row r="27">
          <cell r="B27" t="str">
            <v>측량조수</v>
          </cell>
          <cell r="E27" t="str">
            <v>인</v>
          </cell>
          <cell r="H27">
            <v>35962</v>
          </cell>
        </row>
        <row r="28">
          <cell r="B28" t="str">
            <v>콘크리트공</v>
          </cell>
          <cell r="E28" t="str">
            <v>인</v>
          </cell>
          <cell r="H28">
            <v>61538</v>
          </cell>
        </row>
        <row r="29">
          <cell r="B29" t="str">
            <v>통신기사1급</v>
          </cell>
          <cell r="E29" t="str">
            <v>인</v>
          </cell>
          <cell r="H29">
            <v>92125</v>
          </cell>
        </row>
        <row r="30">
          <cell r="B30" t="str">
            <v>통신기사2급</v>
          </cell>
          <cell r="E30" t="str">
            <v>인</v>
          </cell>
          <cell r="H30">
            <v>79144</v>
          </cell>
        </row>
        <row r="31">
          <cell r="B31" t="str">
            <v>통신내선공</v>
          </cell>
          <cell r="E31" t="str">
            <v>인</v>
          </cell>
          <cell r="H31">
            <v>63196</v>
          </cell>
        </row>
        <row r="32">
          <cell r="B32" t="str">
            <v>통신설비공</v>
          </cell>
          <cell r="E32" t="str">
            <v>인</v>
          </cell>
          <cell r="H32">
            <v>66382</v>
          </cell>
        </row>
        <row r="33">
          <cell r="B33" t="str">
            <v>통신외선공</v>
          </cell>
          <cell r="E33" t="str">
            <v>인</v>
          </cell>
          <cell r="H33">
            <v>76579</v>
          </cell>
        </row>
        <row r="34">
          <cell r="B34" t="str">
            <v>통신케이블공</v>
          </cell>
          <cell r="E34" t="str">
            <v>인</v>
          </cell>
          <cell r="H34">
            <v>78241</v>
          </cell>
        </row>
        <row r="35">
          <cell r="B35" t="str">
            <v>특고케이블공</v>
          </cell>
          <cell r="E35" t="str">
            <v>인</v>
          </cell>
          <cell r="H35">
            <v>74036</v>
          </cell>
        </row>
        <row r="36">
          <cell r="B36" t="str">
            <v>특별인부</v>
          </cell>
          <cell r="E36" t="str">
            <v>인</v>
          </cell>
          <cell r="H36">
            <v>53828</v>
          </cell>
        </row>
        <row r="37">
          <cell r="B37" t="str">
            <v>프랜트전공</v>
          </cell>
          <cell r="E37" t="str">
            <v>인</v>
          </cell>
          <cell r="H37">
            <v>60807</v>
          </cell>
        </row>
        <row r="38">
          <cell r="B38" t="str">
            <v>형틀목공</v>
          </cell>
          <cell r="E38" t="str">
            <v>인</v>
          </cell>
          <cell r="H38">
            <v>65580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DATA"/>
      <sheetName val="Sheet3"/>
    </sheetNames>
    <sheetDataSet>
      <sheetData sheetId="0"/>
      <sheetData sheetId="1">
        <row r="4">
          <cell r="D4" t="str">
            <v>HOUSE SIDE</v>
          </cell>
          <cell r="E4" t="str">
            <v>STREET SIDE</v>
          </cell>
        </row>
        <row r="5">
          <cell r="B5">
            <v>9.9999999999999995E-7</v>
          </cell>
          <cell r="C5">
            <v>0.1</v>
          </cell>
          <cell r="D5">
            <v>0.01</v>
          </cell>
          <cell r="E5">
            <v>3.5000000000000003E-2</v>
          </cell>
        </row>
        <row r="6">
          <cell r="B6">
            <v>0.110001</v>
          </cell>
          <cell r="C6">
            <v>0.11</v>
          </cell>
          <cell r="D6">
            <v>1.14E-2</v>
          </cell>
          <cell r="E6">
            <v>3.7500000000000006E-2</v>
          </cell>
        </row>
        <row r="7">
          <cell r="B7">
            <v>0.120001</v>
          </cell>
          <cell r="C7">
            <v>0.12</v>
          </cell>
          <cell r="D7">
            <v>1.2800000000000001E-2</v>
          </cell>
          <cell r="E7">
            <v>0.04</v>
          </cell>
        </row>
        <row r="8">
          <cell r="B8">
            <v>0.13000100000000001</v>
          </cell>
          <cell r="C8">
            <v>0.13</v>
          </cell>
          <cell r="D8">
            <v>1.4200000000000001E-2</v>
          </cell>
          <cell r="E8">
            <v>4.2500000000000003E-2</v>
          </cell>
        </row>
        <row r="9">
          <cell r="B9">
            <v>0.14000100000000001</v>
          </cell>
          <cell r="C9">
            <v>0.14000000000000001</v>
          </cell>
          <cell r="D9">
            <v>1.5599999999999999E-2</v>
          </cell>
          <cell r="E9">
            <v>4.4999999999999998E-2</v>
          </cell>
        </row>
        <row r="10">
          <cell r="B10">
            <v>0.15000100000000002</v>
          </cell>
          <cell r="C10">
            <v>0.15000000000000002</v>
          </cell>
          <cell r="D10">
            <v>1.7000000000000001E-2</v>
          </cell>
          <cell r="E10">
            <v>4.7500000000000001E-2</v>
          </cell>
        </row>
        <row r="11">
          <cell r="B11">
            <v>0.16000100000000003</v>
          </cell>
          <cell r="C11">
            <v>0.16000000000000003</v>
          </cell>
          <cell r="D11">
            <v>1.84E-2</v>
          </cell>
          <cell r="E11">
            <v>0.05</v>
          </cell>
        </row>
        <row r="12">
          <cell r="B12">
            <v>0.17000100000000004</v>
          </cell>
          <cell r="C12">
            <v>0.17000000000000004</v>
          </cell>
          <cell r="D12">
            <v>1.9799999999999998E-2</v>
          </cell>
          <cell r="E12">
            <v>5.2500000000000005E-2</v>
          </cell>
        </row>
        <row r="13">
          <cell r="B13">
            <v>0.18000100000000005</v>
          </cell>
          <cell r="C13">
            <v>0.18000000000000005</v>
          </cell>
          <cell r="D13">
            <v>2.12E-2</v>
          </cell>
          <cell r="E13">
            <v>5.5E-2</v>
          </cell>
        </row>
        <row r="14">
          <cell r="B14">
            <v>0.19000100000000006</v>
          </cell>
          <cell r="C14">
            <v>0.19000000000000006</v>
          </cell>
          <cell r="D14">
            <v>2.2600000000000002E-2</v>
          </cell>
          <cell r="E14">
            <v>5.7499999999999996E-2</v>
          </cell>
        </row>
        <row r="15">
          <cell r="B15">
            <v>0.20000100000000007</v>
          </cell>
          <cell r="C15">
            <v>0.20000000000000007</v>
          </cell>
          <cell r="D15">
            <v>2.4E-2</v>
          </cell>
          <cell r="E15">
            <v>0.06</v>
          </cell>
        </row>
        <row r="16">
          <cell r="B16">
            <v>0.21000100000000008</v>
          </cell>
          <cell r="C16">
            <v>0.21000000000000008</v>
          </cell>
          <cell r="D16">
            <v>2.46E-2</v>
          </cell>
          <cell r="E16">
            <v>6.3E-2</v>
          </cell>
        </row>
        <row r="17">
          <cell r="B17">
            <v>0.22000100000000009</v>
          </cell>
          <cell r="C17">
            <v>0.22000000000000008</v>
          </cell>
          <cell r="D17">
            <v>2.52E-2</v>
          </cell>
          <cell r="E17">
            <v>6.6000000000000003E-2</v>
          </cell>
        </row>
        <row r="18">
          <cell r="B18">
            <v>0.23000100000000009</v>
          </cell>
          <cell r="C18">
            <v>0.23000000000000009</v>
          </cell>
          <cell r="D18">
            <v>2.58E-2</v>
          </cell>
          <cell r="E18">
            <v>6.9000000000000006E-2</v>
          </cell>
        </row>
        <row r="19">
          <cell r="B19">
            <v>0.2400010000000001</v>
          </cell>
          <cell r="C19">
            <v>0.2400000000000001</v>
          </cell>
          <cell r="D19">
            <v>2.64E-2</v>
          </cell>
          <cell r="E19">
            <v>7.1999999999999995E-2</v>
          </cell>
        </row>
        <row r="20">
          <cell r="B20">
            <v>0.25000100000000008</v>
          </cell>
          <cell r="C20">
            <v>0.25000000000000011</v>
          </cell>
          <cell r="D20">
            <v>2.7E-2</v>
          </cell>
          <cell r="E20">
            <v>7.4999999999999997E-2</v>
          </cell>
        </row>
        <row r="21">
          <cell r="B21">
            <v>0.26000100000000009</v>
          </cell>
          <cell r="C21">
            <v>0.26000000000000012</v>
          </cell>
          <cell r="D21">
            <v>2.76E-2</v>
          </cell>
          <cell r="E21">
            <v>7.8E-2</v>
          </cell>
        </row>
        <row r="22">
          <cell r="B22">
            <v>0.2700010000000001</v>
          </cell>
          <cell r="C22">
            <v>0.27000000000000013</v>
          </cell>
          <cell r="D22">
            <v>2.8199999999999999E-2</v>
          </cell>
          <cell r="E22">
            <v>8.1000000000000003E-2</v>
          </cell>
        </row>
        <row r="23">
          <cell r="B23">
            <v>0.28000100000000011</v>
          </cell>
          <cell r="C23">
            <v>0.28000000000000014</v>
          </cell>
          <cell r="D23">
            <v>2.8799999999999999E-2</v>
          </cell>
          <cell r="E23">
            <v>8.3999999999999991E-2</v>
          </cell>
        </row>
        <row r="24">
          <cell r="B24">
            <v>0.29000100000000012</v>
          </cell>
          <cell r="C24">
            <v>0.29000000000000015</v>
          </cell>
          <cell r="D24">
            <v>2.9399999999999999E-2</v>
          </cell>
          <cell r="E24">
            <v>8.6999999999999994E-2</v>
          </cell>
        </row>
        <row r="25">
          <cell r="B25">
            <v>0.30000100000000013</v>
          </cell>
          <cell r="C25">
            <v>0.30000000000000016</v>
          </cell>
          <cell r="D25">
            <v>0.03</v>
          </cell>
          <cell r="E25">
            <v>0.09</v>
          </cell>
        </row>
        <row r="26">
          <cell r="B26">
            <v>0.31000100000000014</v>
          </cell>
          <cell r="C26">
            <v>0.31000000000000016</v>
          </cell>
          <cell r="D26">
            <v>3.1E-2</v>
          </cell>
          <cell r="E26">
            <v>9.2999999999999999E-2</v>
          </cell>
        </row>
        <row r="27">
          <cell r="B27">
            <v>0.32000100000000015</v>
          </cell>
          <cell r="C27">
            <v>0.32000000000000017</v>
          </cell>
          <cell r="D27">
            <v>3.2000000000000001E-2</v>
          </cell>
          <cell r="E27">
            <v>9.6000000000000002E-2</v>
          </cell>
        </row>
        <row r="28">
          <cell r="B28">
            <v>0.33000100000000016</v>
          </cell>
          <cell r="C28">
            <v>0.33000000000000018</v>
          </cell>
          <cell r="D28">
            <v>3.3000000000000002E-2</v>
          </cell>
          <cell r="E28">
            <v>9.9000000000000005E-2</v>
          </cell>
        </row>
        <row r="29">
          <cell r="B29">
            <v>0.34000100000000016</v>
          </cell>
          <cell r="C29">
            <v>0.34000000000000019</v>
          </cell>
          <cell r="D29">
            <v>3.4000000000000002E-2</v>
          </cell>
          <cell r="E29">
            <v>0.10199999999999999</v>
          </cell>
        </row>
        <row r="30">
          <cell r="B30">
            <v>0.35000100000000017</v>
          </cell>
          <cell r="C30">
            <v>0.3500000000000002</v>
          </cell>
          <cell r="D30">
            <v>3.5000000000000003E-2</v>
          </cell>
          <cell r="E30">
            <v>0.105</v>
          </cell>
        </row>
        <row r="31">
          <cell r="B31">
            <v>0.36000100000000018</v>
          </cell>
          <cell r="C31">
            <v>0.36000000000000021</v>
          </cell>
          <cell r="D31">
            <v>3.6000000000000004E-2</v>
          </cell>
          <cell r="E31">
            <v>0.108</v>
          </cell>
        </row>
        <row r="32">
          <cell r="B32">
            <v>0.37000100000000019</v>
          </cell>
          <cell r="C32">
            <v>0.37000000000000022</v>
          </cell>
          <cell r="D32">
            <v>3.6999999999999998E-2</v>
          </cell>
          <cell r="E32">
            <v>0.111</v>
          </cell>
        </row>
        <row r="33">
          <cell r="B33">
            <v>0.3800010000000002</v>
          </cell>
          <cell r="C33">
            <v>0.38000000000000023</v>
          </cell>
          <cell r="D33">
            <v>3.7999999999999999E-2</v>
          </cell>
          <cell r="E33">
            <v>0.11399999999999999</v>
          </cell>
        </row>
        <row r="34">
          <cell r="B34">
            <v>0.39000100000000021</v>
          </cell>
          <cell r="C34">
            <v>0.39000000000000024</v>
          </cell>
          <cell r="D34">
            <v>3.9E-2</v>
          </cell>
          <cell r="E34">
            <v>0.11699999999999999</v>
          </cell>
        </row>
        <row r="35">
          <cell r="B35">
            <v>0.40000100000000022</v>
          </cell>
          <cell r="C35">
            <v>0.40000000000000024</v>
          </cell>
          <cell r="D35">
            <v>0.04</v>
          </cell>
          <cell r="E35">
            <v>0.12</v>
          </cell>
        </row>
        <row r="36">
          <cell r="B36">
            <v>0.41000100000000023</v>
          </cell>
          <cell r="C36">
            <v>0.41000000000000025</v>
          </cell>
          <cell r="D36">
            <v>4.1000000000000002E-2</v>
          </cell>
          <cell r="E36">
            <v>0.123</v>
          </cell>
        </row>
        <row r="37">
          <cell r="B37">
            <v>0.42000100000000024</v>
          </cell>
          <cell r="C37">
            <v>0.42000000000000026</v>
          </cell>
          <cell r="D37">
            <v>4.2000000000000003E-2</v>
          </cell>
          <cell r="E37">
            <v>0.126</v>
          </cell>
        </row>
        <row r="38">
          <cell r="B38">
            <v>0.43000100000000024</v>
          </cell>
          <cell r="C38">
            <v>0.43000000000000027</v>
          </cell>
          <cell r="D38">
            <v>4.3000000000000003E-2</v>
          </cell>
          <cell r="E38">
            <v>0.129</v>
          </cell>
        </row>
        <row r="39">
          <cell r="B39">
            <v>0.44000100000000025</v>
          </cell>
          <cell r="C39">
            <v>0.44000000000000028</v>
          </cell>
          <cell r="D39">
            <v>4.4000000000000004E-2</v>
          </cell>
          <cell r="E39">
            <v>0.13200000000000001</v>
          </cell>
        </row>
        <row r="40">
          <cell r="B40">
            <v>0.45000100000000026</v>
          </cell>
          <cell r="C40">
            <v>0.45000000000000029</v>
          </cell>
          <cell r="D40">
            <v>4.4999999999999998E-2</v>
          </cell>
          <cell r="E40">
            <v>0.13500000000000001</v>
          </cell>
        </row>
        <row r="41">
          <cell r="B41">
            <v>0.46000100000000027</v>
          </cell>
          <cell r="C41">
            <v>0.4600000000000003</v>
          </cell>
          <cell r="D41">
            <v>4.5999999999999999E-2</v>
          </cell>
          <cell r="E41">
            <v>0.13800000000000001</v>
          </cell>
        </row>
        <row r="42">
          <cell r="B42">
            <v>0.47000100000000028</v>
          </cell>
          <cell r="C42">
            <v>0.47000000000000031</v>
          </cell>
          <cell r="D42">
            <v>4.7E-2</v>
          </cell>
          <cell r="E42">
            <v>0.14099999999999999</v>
          </cell>
        </row>
        <row r="43">
          <cell r="B43">
            <v>0.48000100000000029</v>
          </cell>
          <cell r="C43">
            <v>0.48000000000000032</v>
          </cell>
          <cell r="D43">
            <v>4.8000000000000001E-2</v>
          </cell>
          <cell r="E43">
            <v>0.14399999999999999</v>
          </cell>
        </row>
        <row r="44">
          <cell r="B44">
            <v>0.4900010000000003</v>
          </cell>
          <cell r="C44">
            <v>0.49000000000000032</v>
          </cell>
          <cell r="D44">
            <v>4.9000000000000002E-2</v>
          </cell>
          <cell r="E44">
            <v>0.14699999999999999</v>
          </cell>
        </row>
        <row r="45">
          <cell r="B45">
            <v>0.50000100000000036</v>
          </cell>
          <cell r="C45">
            <v>0.50000000000000033</v>
          </cell>
          <cell r="D45">
            <v>0.05</v>
          </cell>
          <cell r="E45">
            <v>0.15</v>
          </cell>
        </row>
        <row r="46">
          <cell r="B46">
            <v>0.51000100000000037</v>
          </cell>
          <cell r="C46">
            <v>0.51000000000000034</v>
          </cell>
          <cell r="D46">
            <v>5.0700000000000002E-2</v>
          </cell>
          <cell r="E46">
            <v>0.153</v>
          </cell>
        </row>
        <row r="47">
          <cell r="B47">
            <v>0.52000100000000038</v>
          </cell>
          <cell r="C47">
            <v>0.52000000000000035</v>
          </cell>
          <cell r="D47">
            <v>5.1400000000000001E-2</v>
          </cell>
          <cell r="E47">
            <v>0.156</v>
          </cell>
        </row>
        <row r="48">
          <cell r="B48">
            <v>0.53000100000000039</v>
          </cell>
          <cell r="C48">
            <v>0.53000000000000036</v>
          </cell>
          <cell r="D48">
            <v>5.21E-2</v>
          </cell>
          <cell r="E48">
            <v>0.159</v>
          </cell>
        </row>
        <row r="49">
          <cell r="B49">
            <v>0.5400010000000004</v>
          </cell>
          <cell r="C49">
            <v>0.54000000000000037</v>
          </cell>
          <cell r="D49">
            <v>5.28E-2</v>
          </cell>
          <cell r="E49">
            <v>0.16200000000000001</v>
          </cell>
        </row>
        <row r="50">
          <cell r="B50">
            <v>0.55000100000000041</v>
          </cell>
          <cell r="C50">
            <v>0.55000000000000038</v>
          </cell>
          <cell r="D50">
            <v>5.3500000000000006E-2</v>
          </cell>
          <cell r="E50">
            <v>0.16499999999999998</v>
          </cell>
        </row>
        <row r="51">
          <cell r="B51">
            <v>0.56000100000000042</v>
          </cell>
          <cell r="C51">
            <v>0.56000000000000039</v>
          </cell>
          <cell r="D51">
            <v>5.4199999999999998E-2</v>
          </cell>
          <cell r="E51">
            <v>0.16799999999999998</v>
          </cell>
        </row>
        <row r="52">
          <cell r="B52">
            <v>0.57000100000000042</v>
          </cell>
          <cell r="C52">
            <v>0.5700000000000004</v>
          </cell>
          <cell r="D52">
            <v>5.4900000000000004E-2</v>
          </cell>
          <cell r="E52">
            <v>0.17099999999999999</v>
          </cell>
        </row>
        <row r="53">
          <cell r="B53">
            <v>0.58000100000000043</v>
          </cell>
          <cell r="C53">
            <v>0.5800000000000004</v>
          </cell>
          <cell r="D53">
            <v>5.5600000000000004E-2</v>
          </cell>
          <cell r="E53">
            <v>0.17399999999999999</v>
          </cell>
        </row>
        <row r="54">
          <cell r="B54">
            <v>0.59000100000000044</v>
          </cell>
          <cell r="C54">
            <v>0.59000000000000041</v>
          </cell>
          <cell r="D54">
            <v>5.6300000000000003E-2</v>
          </cell>
          <cell r="E54">
            <v>0.17699999999999999</v>
          </cell>
        </row>
        <row r="55">
          <cell r="B55">
            <v>0.60000100000000045</v>
          </cell>
          <cell r="C55">
            <v>0.60000000000000042</v>
          </cell>
          <cell r="D55">
            <v>5.7000000000000002E-2</v>
          </cell>
          <cell r="E55">
            <v>0.18</v>
          </cell>
        </row>
        <row r="56">
          <cell r="B56">
            <v>0.61000100000000046</v>
          </cell>
          <cell r="C56">
            <v>0.61000000000000043</v>
          </cell>
          <cell r="D56">
            <v>5.7599999999999998E-2</v>
          </cell>
          <cell r="E56">
            <v>0.183</v>
          </cell>
        </row>
        <row r="57">
          <cell r="B57">
            <v>0.62000100000000047</v>
          </cell>
          <cell r="C57">
            <v>0.62000000000000044</v>
          </cell>
          <cell r="D57">
            <v>5.8200000000000002E-2</v>
          </cell>
          <cell r="E57">
            <v>0.186</v>
          </cell>
        </row>
        <row r="58">
          <cell r="B58">
            <v>0.63000100000000048</v>
          </cell>
          <cell r="C58">
            <v>0.63000000000000045</v>
          </cell>
          <cell r="D58">
            <v>5.8800000000000005E-2</v>
          </cell>
          <cell r="E58">
            <v>0.189</v>
          </cell>
        </row>
        <row r="59">
          <cell r="B59">
            <v>0.64000100000000049</v>
          </cell>
          <cell r="C59">
            <v>0.64000000000000046</v>
          </cell>
          <cell r="D59">
            <v>5.9400000000000001E-2</v>
          </cell>
          <cell r="E59">
            <v>0.192</v>
          </cell>
        </row>
        <row r="60">
          <cell r="B60">
            <v>0.6500010000000005</v>
          </cell>
          <cell r="C60">
            <v>0.65000000000000047</v>
          </cell>
          <cell r="D60">
            <v>0.06</v>
          </cell>
          <cell r="E60">
            <v>0.19500000000000001</v>
          </cell>
        </row>
        <row r="61">
          <cell r="B61">
            <v>0.6600010000000005</v>
          </cell>
          <cell r="C61">
            <v>0.66000000000000048</v>
          </cell>
          <cell r="D61">
            <v>6.0600000000000001E-2</v>
          </cell>
          <cell r="E61">
            <v>0.19800000000000001</v>
          </cell>
        </row>
        <row r="62">
          <cell r="B62">
            <v>0.67000100000000051</v>
          </cell>
          <cell r="C62">
            <v>0.67000000000000048</v>
          </cell>
          <cell r="D62">
            <v>6.1200000000000004E-2</v>
          </cell>
          <cell r="E62">
            <v>0.20099999999999998</v>
          </cell>
        </row>
        <row r="63">
          <cell r="B63">
            <v>0.68000100000000052</v>
          </cell>
          <cell r="C63">
            <v>0.68000000000000049</v>
          </cell>
          <cell r="D63">
            <v>6.1800000000000001E-2</v>
          </cell>
          <cell r="E63">
            <v>0.20399999999999999</v>
          </cell>
        </row>
        <row r="64">
          <cell r="B64">
            <v>0.69000100000000053</v>
          </cell>
          <cell r="C64">
            <v>0.6900000000000005</v>
          </cell>
          <cell r="D64">
            <v>6.2399999999999997E-2</v>
          </cell>
          <cell r="E64">
            <v>0.20699999999999999</v>
          </cell>
        </row>
        <row r="65">
          <cell r="B65">
            <v>0.70000100000000054</v>
          </cell>
          <cell r="C65">
            <v>0.70000000000000051</v>
          </cell>
          <cell r="D65">
            <v>6.3E-2</v>
          </cell>
          <cell r="E65">
            <v>0.21</v>
          </cell>
        </row>
        <row r="66">
          <cell r="B66">
            <v>0.71000100000000055</v>
          </cell>
          <cell r="C66">
            <v>0.71000000000000052</v>
          </cell>
          <cell r="D66">
            <v>6.3700000000000007E-2</v>
          </cell>
          <cell r="E66">
            <v>0.21299999999999999</v>
          </cell>
        </row>
        <row r="67">
          <cell r="B67">
            <v>0.72000100000000056</v>
          </cell>
          <cell r="C67">
            <v>0.72000000000000053</v>
          </cell>
          <cell r="D67">
            <v>6.4399999999999999E-2</v>
          </cell>
          <cell r="E67">
            <v>0.216</v>
          </cell>
        </row>
        <row r="68">
          <cell r="B68">
            <v>0.73000100000000057</v>
          </cell>
          <cell r="C68">
            <v>0.73000000000000054</v>
          </cell>
          <cell r="D68">
            <v>6.5100000000000005E-2</v>
          </cell>
          <cell r="E68">
            <v>0.219</v>
          </cell>
        </row>
        <row r="69">
          <cell r="B69">
            <v>0.74000100000000057</v>
          </cell>
          <cell r="C69">
            <v>0.74000000000000055</v>
          </cell>
          <cell r="D69">
            <v>6.5799999999999997E-2</v>
          </cell>
          <cell r="E69">
            <v>0.222</v>
          </cell>
        </row>
        <row r="70">
          <cell r="B70">
            <v>0.75000100000000058</v>
          </cell>
          <cell r="C70">
            <v>0.75000000000000056</v>
          </cell>
          <cell r="D70">
            <v>6.6500000000000004E-2</v>
          </cell>
          <cell r="E70">
            <v>0.22499999999999998</v>
          </cell>
        </row>
        <row r="71">
          <cell r="B71">
            <v>0.76000100000000059</v>
          </cell>
          <cell r="C71">
            <v>0.76000000000000056</v>
          </cell>
          <cell r="D71">
            <v>6.720000000000001E-2</v>
          </cell>
          <cell r="E71">
            <v>0.22799999999999998</v>
          </cell>
        </row>
        <row r="72">
          <cell r="B72">
            <v>0.7700010000000006</v>
          </cell>
          <cell r="C72">
            <v>0.77000000000000057</v>
          </cell>
          <cell r="D72">
            <v>6.7900000000000002E-2</v>
          </cell>
          <cell r="E72">
            <v>0.23099999999999998</v>
          </cell>
        </row>
        <row r="73">
          <cell r="B73">
            <v>0.78000100000000061</v>
          </cell>
          <cell r="C73">
            <v>0.78000000000000058</v>
          </cell>
          <cell r="D73">
            <v>6.8600000000000008E-2</v>
          </cell>
          <cell r="E73">
            <v>0.23399999999999999</v>
          </cell>
        </row>
        <row r="74">
          <cell r="B74">
            <v>0.79000100000000062</v>
          </cell>
          <cell r="C74">
            <v>0.79000000000000059</v>
          </cell>
          <cell r="D74">
            <v>6.93E-2</v>
          </cell>
          <cell r="E74">
            <v>0.23699999999999999</v>
          </cell>
        </row>
        <row r="75">
          <cell r="B75">
            <v>0.80000100000000063</v>
          </cell>
          <cell r="C75">
            <v>0.8000000000000006</v>
          </cell>
          <cell r="D75">
            <v>7.0000000000000007E-2</v>
          </cell>
          <cell r="E75">
            <v>0.24</v>
          </cell>
        </row>
        <row r="76">
          <cell r="B76">
            <v>0.81000100000000064</v>
          </cell>
          <cell r="C76">
            <v>0.81000000000000061</v>
          </cell>
          <cell r="D76">
            <v>7.060000000000001E-2</v>
          </cell>
          <cell r="E76">
            <v>0.24299999999999999</v>
          </cell>
        </row>
        <row r="77">
          <cell r="B77">
            <v>0.82000100000000065</v>
          </cell>
          <cell r="C77">
            <v>0.82000000000000062</v>
          </cell>
          <cell r="D77">
            <v>7.1199999999999999E-2</v>
          </cell>
          <cell r="E77">
            <v>0.246</v>
          </cell>
        </row>
        <row r="78">
          <cell r="B78">
            <v>0.83000100000000065</v>
          </cell>
          <cell r="C78">
            <v>0.83000000000000063</v>
          </cell>
          <cell r="D78">
            <v>7.1800000000000003E-2</v>
          </cell>
          <cell r="E78">
            <v>0.249</v>
          </cell>
        </row>
        <row r="79">
          <cell r="B79">
            <v>0.84000100000000066</v>
          </cell>
          <cell r="C79">
            <v>0.84000000000000064</v>
          </cell>
          <cell r="D79">
            <v>7.2400000000000006E-2</v>
          </cell>
          <cell r="E79">
            <v>0.252</v>
          </cell>
        </row>
        <row r="80">
          <cell r="B80">
            <v>0.85000100000000067</v>
          </cell>
          <cell r="C80">
            <v>0.85000000000000064</v>
          </cell>
          <cell r="D80">
            <v>7.3000000000000009E-2</v>
          </cell>
          <cell r="E80">
            <v>0.255</v>
          </cell>
        </row>
        <row r="81">
          <cell r="B81">
            <v>0.86000100000000068</v>
          </cell>
          <cell r="C81">
            <v>0.86000000000000065</v>
          </cell>
          <cell r="D81">
            <v>7.3599999999999999E-2</v>
          </cell>
          <cell r="E81">
            <v>0.25800000000000001</v>
          </cell>
        </row>
        <row r="82">
          <cell r="B82">
            <v>0.87000100000000069</v>
          </cell>
          <cell r="C82">
            <v>0.87000000000000066</v>
          </cell>
          <cell r="D82">
            <v>7.4200000000000002E-2</v>
          </cell>
          <cell r="E82">
            <v>0.26100000000000001</v>
          </cell>
        </row>
        <row r="83">
          <cell r="B83">
            <v>0.8800010000000007</v>
          </cell>
          <cell r="C83">
            <v>0.88000000000000067</v>
          </cell>
          <cell r="D83">
            <v>7.4800000000000005E-2</v>
          </cell>
          <cell r="E83">
            <v>0.26400000000000001</v>
          </cell>
        </row>
        <row r="84">
          <cell r="B84">
            <v>0.89000100000000071</v>
          </cell>
          <cell r="C84">
            <v>0.89000000000000068</v>
          </cell>
          <cell r="D84">
            <v>7.5399999999999995E-2</v>
          </cell>
          <cell r="E84">
            <v>0.26700000000000002</v>
          </cell>
        </row>
        <row r="85">
          <cell r="B85">
            <v>0.90000100000000072</v>
          </cell>
          <cell r="C85">
            <v>0.90000000000000069</v>
          </cell>
          <cell r="D85">
            <v>7.5999999999999998E-2</v>
          </cell>
          <cell r="E85">
            <v>0.27</v>
          </cell>
        </row>
        <row r="86">
          <cell r="B86">
            <v>0.91000100000000073</v>
          </cell>
          <cell r="C86">
            <v>0.9100000000000007</v>
          </cell>
          <cell r="D86">
            <v>7.6399999999999996E-2</v>
          </cell>
          <cell r="E86">
            <v>0.27200000000000002</v>
          </cell>
        </row>
        <row r="87">
          <cell r="B87">
            <v>0.92000100000000073</v>
          </cell>
          <cell r="C87">
            <v>0.92000000000000071</v>
          </cell>
          <cell r="D87">
            <v>7.6799999999999993E-2</v>
          </cell>
          <cell r="E87">
            <v>0.27400000000000002</v>
          </cell>
        </row>
        <row r="88">
          <cell r="B88">
            <v>0.93000100000000074</v>
          </cell>
          <cell r="C88">
            <v>0.93000000000000071</v>
          </cell>
          <cell r="D88">
            <v>7.7200000000000005E-2</v>
          </cell>
          <cell r="E88">
            <v>0.27600000000000002</v>
          </cell>
        </row>
        <row r="89">
          <cell r="B89">
            <v>0.94000100000000075</v>
          </cell>
          <cell r="C89">
            <v>0.94000000000000072</v>
          </cell>
          <cell r="D89">
            <v>7.7600000000000002E-2</v>
          </cell>
          <cell r="E89">
            <v>0.27800000000000002</v>
          </cell>
        </row>
        <row r="90">
          <cell r="B90">
            <v>0.95000100000000076</v>
          </cell>
          <cell r="C90">
            <v>0.95000000000000073</v>
          </cell>
          <cell r="D90">
            <v>7.8E-2</v>
          </cell>
          <cell r="E90">
            <v>0.28000000000000003</v>
          </cell>
        </row>
        <row r="91">
          <cell r="B91">
            <v>0.96000100000000077</v>
          </cell>
          <cell r="C91">
            <v>0.96000000000000074</v>
          </cell>
          <cell r="D91">
            <v>7.8399999999999997E-2</v>
          </cell>
          <cell r="E91">
            <v>0.28199999999999997</v>
          </cell>
        </row>
        <row r="92">
          <cell r="B92">
            <v>0.97000100000000078</v>
          </cell>
          <cell r="C92">
            <v>0.97000000000000075</v>
          </cell>
          <cell r="D92">
            <v>7.8799999999999995E-2</v>
          </cell>
          <cell r="E92">
            <v>0.28399999999999997</v>
          </cell>
        </row>
        <row r="93">
          <cell r="B93">
            <v>0.98000100000000079</v>
          </cell>
          <cell r="C93">
            <v>0.98000000000000076</v>
          </cell>
          <cell r="D93">
            <v>7.9200000000000007E-2</v>
          </cell>
          <cell r="E93">
            <v>0.28599999999999998</v>
          </cell>
        </row>
        <row r="94">
          <cell r="B94">
            <v>0.9900010000000008</v>
          </cell>
          <cell r="C94">
            <v>0.99000000000000077</v>
          </cell>
          <cell r="D94">
            <v>7.9600000000000004E-2</v>
          </cell>
          <cell r="E94">
            <v>0.28799999999999998</v>
          </cell>
        </row>
        <row r="95">
          <cell r="B95">
            <v>1.0000010000000006</v>
          </cell>
          <cell r="C95">
            <v>1.0000000000000007</v>
          </cell>
          <cell r="D95">
            <v>0.08</v>
          </cell>
          <cell r="E95">
            <v>0.28999999999999998</v>
          </cell>
        </row>
        <row r="96">
          <cell r="B96">
            <v>1.0100010000000006</v>
          </cell>
          <cell r="C96">
            <v>1.0100000000000007</v>
          </cell>
          <cell r="D96">
            <v>8.0500000000000002E-2</v>
          </cell>
          <cell r="E96">
            <v>0.29269999999999996</v>
          </cell>
        </row>
        <row r="97">
          <cell r="B97">
            <v>1.0200010000000006</v>
          </cell>
          <cell r="C97">
            <v>1.0200000000000007</v>
          </cell>
          <cell r="D97">
            <v>8.1000000000000003E-2</v>
          </cell>
          <cell r="E97">
            <v>0.2954</v>
          </cell>
        </row>
        <row r="98">
          <cell r="B98">
            <v>1.0300010000000006</v>
          </cell>
          <cell r="C98">
            <v>1.0300000000000007</v>
          </cell>
          <cell r="D98">
            <v>8.1500000000000003E-2</v>
          </cell>
          <cell r="E98">
            <v>0.29809999999999998</v>
          </cell>
        </row>
        <row r="99">
          <cell r="B99">
            <v>1.0400010000000006</v>
          </cell>
          <cell r="C99">
            <v>1.0400000000000007</v>
          </cell>
          <cell r="D99">
            <v>8.2000000000000003E-2</v>
          </cell>
          <cell r="E99">
            <v>0.30080000000000001</v>
          </cell>
        </row>
        <row r="100">
          <cell r="B100">
            <v>1.0500010000000006</v>
          </cell>
          <cell r="C100">
            <v>1.0500000000000007</v>
          </cell>
          <cell r="D100">
            <v>8.2500000000000004E-2</v>
          </cell>
          <cell r="E100">
            <v>0.30349999999999999</v>
          </cell>
        </row>
        <row r="101">
          <cell r="B101">
            <v>1.0600010000000006</v>
          </cell>
          <cell r="C101">
            <v>1.0600000000000007</v>
          </cell>
          <cell r="D101">
            <v>8.3000000000000004E-2</v>
          </cell>
          <cell r="E101">
            <v>0.30619999999999997</v>
          </cell>
        </row>
        <row r="102">
          <cell r="B102">
            <v>1.0700010000000006</v>
          </cell>
          <cell r="C102">
            <v>1.0700000000000007</v>
          </cell>
          <cell r="D102">
            <v>8.3500000000000005E-2</v>
          </cell>
          <cell r="E102">
            <v>0.30890000000000001</v>
          </cell>
        </row>
        <row r="103">
          <cell r="B103">
            <v>1.0800010000000007</v>
          </cell>
          <cell r="C103">
            <v>1.0800000000000007</v>
          </cell>
          <cell r="D103">
            <v>8.4000000000000005E-2</v>
          </cell>
          <cell r="E103">
            <v>0.31159999999999999</v>
          </cell>
        </row>
        <row r="104">
          <cell r="B104">
            <v>1.0900010000000007</v>
          </cell>
          <cell r="C104">
            <v>1.0900000000000007</v>
          </cell>
          <cell r="D104">
            <v>8.4500000000000006E-2</v>
          </cell>
          <cell r="E104">
            <v>0.31430000000000002</v>
          </cell>
        </row>
        <row r="105">
          <cell r="B105">
            <v>1.1000010000000007</v>
          </cell>
          <cell r="C105">
            <v>1.1000000000000008</v>
          </cell>
          <cell r="D105">
            <v>8.5000000000000006E-2</v>
          </cell>
          <cell r="E105">
            <v>0.317</v>
          </cell>
        </row>
        <row r="106">
          <cell r="B106">
            <v>1.1100010000000007</v>
          </cell>
          <cell r="C106">
            <v>1.1100000000000008</v>
          </cell>
          <cell r="D106">
            <v>8.5500000000000007E-2</v>
          </cell>
          <cell r="E106">
            <v>0.31930000000000003</v>
          </cell>
        </row>
        <row r="107">
          <cell r="B107">
            <v>1.1200010000000007</v>
          </cell>
          <cell r="C107">
            <v>1.1200000000000008</v>
          </cell>
          <cell r="D107">
            <v>8.6000000000000007E-2</v>
          </cell>
          <cell r="E107">
            <v>0.3216</v>
          </cell>
        </row>
        <row r="108">
          <cell r="B108">
            <v>1.1300010000000007</v>
          </cell>
          <cell r="C108">
            <v>1.1300000000000008</v>
          </cell>
          <cell r="D108">
            <v>8.6500000000000007E-2</v>
          </cell>
          <cell r="E108">
            <v>0.32390000000000002</v>
          </cell>
        </row>
        <row r="109">
          <cell r="B109">
            <v>1.1400010000000007</v>
          </cell>
          <cell r="C109">
            <v>1.1400000000000008</v>
          </cell>
          <cell r="D109">
            <v>8.7000000000000008E-2</v>
          </cell>
          <cell r="E109">
            <v>0.32619999999999999</v>
          </cell>
        </row>
        <row r="110">
          <cell r="B110">
            <v>1.1500010000000007</v>
          </cell>
          <cell r="C110">
            <v>1.1500000000000008</v>
          </cell>
          <cell r="D110">
            <v>8.7499999999999994E-2</v>
          </cell>
          <cell r="E110">
            <v>0.32850000000000001</v>
          </cell>
        </row>
        <row r="111">
          <cell r="B111">
            <v>1.1600010000000007</v>
          </cell>
          <cell r="C111">
            <v>1.1600000000000008</v>
          </cell>
          <cell r="D111">
            <v>8.7999999999999995E-2</v>
          </cell>
          <cell r="E111">
            <v>0.33080000000000004</v>
          </cell>
        </row>
        <row r="112">
          <cell r="B112">
            <v>1.1700010000000007</v>
          </cell>
          <cell r="C112">
            <v>1.1700000000000008</v>
          </cell>
          <cell r="D112">
            <v>8.8499999999999995E-2</v>
          </cell>
          <cell r="E112">
            <v>0.33310000000000001</v>
          </cell>
        </row>
        <row r="113">
          <cell r="B113">
            <v>1.1800010000000007</v>
          </cell>
          <cell r="C113">
            <v>1.1800000000000008</v>
          </cell>
          <cell r="D113">
            <v>8.8999999999999996E-2</v>
          </cell>
          <cell r="E113">
            <v>0.33540000000000003</v>
          </cell>
        </row>
        <row r="114">
          <cell r="B114">
            <v>1.1900010000000008</v>
          </cell>
          <cell r="C114">
            <v>1.1900000000000008</v>
          </cell>
          <cell r="D114">
            <v>8.9499999999999996E-2</v>
          </cell>
          <cell r="E114">
            <v>0.3377</v>
          </cell>
        </row>
        <row r="115">
          <cell r="B115">
            <v>1.2000010000000008</v>
          </cell>
          <cell r="C115">
            <v>1.2000000000000008</v>
          </cell>
          <cell r="D115">
            <v>0.09</v>
          </cell>
          <cell r="E115">
            <v>0.34</v>
          </cell>
        </row>
        <row r="116">
          <cell r="B116">
            <v>1.2100010000000008</v>
          </cell>
          <cell r="C116">
            <v>1.2100000000000009</v>
          </cell>
          <cell r="D116">
            <v>9.0200000000000002E-2</v>
          </cell>
          <cell r="E116">
            <v>0.34160000000000001</v>
          </cell>
        </row>
        <row r="117">
          <cell r="B117">
            <v>1.2200010000000008</v>
          </cell>
          <cell r="C117">
            <v>1.2200000000000009</v>
          </cell>
          <cell r="D117">
            <v>9.0399999999999994E-2</v>
          </cell>
          <cell r="E117">
            <v>0.34320000000000001</v>
          </cell>
        </row>
        <row r="118">
          <cell r="B118">
            <v>1.2300010000000008</v>
          </cell>
          <cell r="C118">
            <v>1.2300000000000009</v>
          </cell>
          <cell r="D118">
            <v>9.06E-2</v>
          </cell>
          <cell r="E118">
            <v>0.3448</v>
          </cell>
        </row>
        <row r="119">
          <cell r="B119">
            <v>1.2400010000000008</v>
          </cell>
          <cell r="C119">
            <v>1.2400000000000009</v>
          </cell>
          <cell r="D119">
            <v>9.0799999999999992E-2</v>
          </cell>
          <cell r="E119">
            <v>0.34639999999999999</v>
          </cell>
        </row>
        <row r="120">
          <cell r="B120">
            <v>1.2500010000000008</v>
          </cell>
          <cell r="C120">
            <v>1.2500000000000009</v>
          </cell>
          <cell r="D120">
            <v>9.0999999999999998E-2</v>
          </cell>
          <cell r="E120">
            <v>0.34799999999999998</v>
          </cell>
        </row>
        <row r="121">
          <cell r="B121">
            <v>1.2600010000000008</v>
          </cell>
          <cell r="C121">
            <v>1.2600000000000009</v>
          </cell>
          <cell r="D121">
            <v>9.1200000000000003E-2</v>
          </cell>
          <cell r="E121">
            <v>0.34960000000000002</v>
          </cell>
        </row>
        <row r="122">
          <cell r="B122">
            <v>1.2700010000000008</v>
          </cell>
          <cell r="C122">
            <v>1.2700000000000009</v>
          </cell>
          <cell r="D122">
            <v>9.1399999999999995E-2</v>
          </cell>
          <cell r="E122">
            <v>0.35120000000000001</v>
          </cell>
        </row>
        <row r="123">
          <cell r="B123">
            <v>1.2800010000000008</v>
          </cell>
          <cell r="C123">
            <v>1.2800000000000009</v>
          </cell>
          <cell r="D123">
            <v>9.1600000000000001E-2</v>
          </cell>
          <cell r="E123">
            <v>0.3528</v>
          </cell>
        </row>
        <row r="124">
          <cell r="B124">
            <v>1.2900010000000008</v>
          </cell>
          <cell r="C124">
            <v>1.2900000000000009</v>
          </cell>
          <cell r="D124">
            <v>9.1799999999999993E-2</v>
          </cell>
          <cell r="E124">
            <v>0.35439999999999999</v>
          </cell>
        </row>
        <row r="125">
          <cell r="B125">
            <v>1.3000010000000009</v>
          </cell>
          <cell r="C125">
            <v>1.3000000000000009</v>
          </cell>
          <cell r="D125">
            <v>9.1999999999999998E-2</v>
          </cell>
          <cell r="E125">
            <v>0.35599999999999998</v>
          </cell>
        </row>
        <row r="126">
          <cell r="B126">
            <v>1.3100010000000009</v>
          </cell>
          <cell r="C126">
            <v>1.3100000000000009</v>
          </cell>
          <cell r="D126">
            <v>9.2399999999999996E-2</v>
          </cell>
          <cell r="E126">
            <v>0.3574</v>
          </cell>
        </row>
        <row r="127">
          <cell r="B127">
            <v>1.3200010000000009</v>
          </cell>
          <cell r="C127">
            <v>1.320000000000001</v>
          </cell>
          <cell r="D127">
            <v>9.2799999999999994E-2</v>
          </cell>
          <cell r="E127">
            <v>0.35880000000000001</v>
          </cell>
        </row>
        <row r="128">
          <cell r="B128">
            <v>1.3300010000000009</v>
          </cell>
          <cell r="C128">
            <v>1.330000000000001</v>
          </cell>
          <cell r="D128">
            <v>9.3200000000000005E-2</v>
          </cell>
          <cell r="E128">
            <v>0.36019999999999996</v>
          </cell>
        </row>
        <row r="129">
          <cell r="B129">
            <v>1.3400010000000009</v>
          </cell>
          <cell r="C129">
            <v>1.340000000000001</v>
          </cell>
          <cell r="D129">
            <v>9.3600000000000003E-2</v>
          </cell>
          <cell r="E129">
            <v>0.36159999999999998</v>
          </cell>
        </row>
        <row r="130">
          <cell r="B130">
            <v>1.3500010000000009</v>
          </cell>
          <cell r="C130">
            <v>1.350000000000001</v>
          </cell>
          <cell r="D130">
            <v>9.4E-2</v>
          </cell>
          <cell r="E130">
            <v>0.36299999999999999</v>
          </cell>
        </row>
        <row r="131">
          <cell r="B131">
            <v>1.3600010000000009</v>
          </cell>
          <cell r="C131">
            <v>1.360000000000001</v>
          </cell>
          <cell r="D131">
            <v>9.4399999999999998E-2</v>
          </cell>
          <cell r="E131">
            <v>0.3644</v>
          </cell>
        </row>
        <row r="132">
          <cell r="B132">
            <v>1.3700010000000009</v>
          </cell>
          <cell r="C132">
            <v>1.370000000000001</v>
          </cell>
          <cell r="D132">
            <v>9.4799999999999995E-2</v>
          </cell>
          <cell r="E132">
            <v>0.36580000000000001</v>
          </cell>
        </row>
        <row r="133">
          <cell r="B133">
            <v>1.3800010000000009</v>
          </cell>
          <cell r="C133">
            <v>1.380000000000001</v>
          </cell>
          <cell r="D133">
            <v>9.5200000000000007E-2</v>
          </cell>
          <cell r="E133">
            <v>0.36719999999999997</v>
          </cell>
        </row>
        <row r="134">
          <cell r="B134">
            <v>1.3900010000000009</v>
          </cell>
          <cell r="C134">
            <v>1.390000000000001</v>
          </cell>
          <cell r="D134">
            <v>9.5600000000000004E-2</v>
          </cell>
          <cell r="E134">
            <v>0.36859999999999998</v>
          </cell>
        </row>
        <row r="135">
          <cell r="B135">
            <v>1.4000010000000009</v>
          </cell>
          <cell r="C135">
            <v>1.400000000000001</v>
          </cell>
          <cell r="D135">
            <v>9.6000000000000002E-2</v>
          </cell>
          <cell r="E135">
            <v>0.37</v>
          </cell>
        </row>
        <row r="136">
          <cell r="B136">
            <v>1.4100010000000009</v>
          </cell>
          <cell r="C136">
            <v>1.410000000000001</v>
          </cell>
          <cell r="D136">
            <v>9.6299999999999997E-2</v>
          </cell>
          <cell r="E136">
            <v>0.3715</v>
          </cell>
        </row>
        <row r="137">
          <cell r="B137">
            <v>1.420001000000001</v>
          </cell>
          <cell r="C137">
            <v>1.420000000000001</v>
          </cell>
          <cell r="D137">
            <v>9.6600000000000005E-2</v>
          </cell>
          <cell r="E137">
            <v>0.373</v>
          </cell>
        </row>
        <row r="138">
          <cell r="B138">
            <v>1.430001000000001</v>
          </cell>
          <cell r="C138">
            <v>1.430000000000001</v>
          </cell>
          <cell r="D138">
            <v>9.69E-2</v>
          </cell>
          <cell r="E138">
            <v>0.3745</v>
          </cell>
        </row>
        <row r="139">
          <cell r="B139">
            <v>1.440001000000001</v>
          </cell>
          <cell r="C139">
            <v>1.4400000000000011</v>
          </cell>
          <cell r="D139">
            <v>9.7200000000000009E-2</v>
          </cell>
          <cell r="E139">
            <v>0.376</v>
          </cell>
        </row>
        <row r="140">
          <cell r="B140">
            <v>1.450001000000001</v>
          </cell>
          <cell r="C140">
            <v>1.4500000000000011</v>
          </cell>
          <cell r="D140">
            <v>9.7500000000000003E-2</v>
          </cell>
          <cell r="E140">
            <v>0.3775</v>
          </cell>
        </row>
        <row r="141">
          <cell r="B141">
            <v>1.460001000000001</v>
          </cell>
          <cell r="C141">
            <v>1.4600000000000011</v>
          </cell>
          <cell r="D141">
            <v>9.7799999999999998E-2</v>
          </cell>
          <cell r="E141">
            <v>0.379</v>
          </cell>
        </row>
        <row r="142">
          <cell r="B142">
            <v>1.470001000000001</v>
          </cell>
          <cell r="C142">
            <v>1.4700000000000011</v>
          </cell>
          <cell r="D142">
            <v>9.8100000000000007E-2</v>
          </cell>
          <cell r="E142">
            <v>0.3805</v>
          </cell>
        </row>
        <row r="143">
          <cell r="B143">
            <v>1.480001000000001</v>
          </cell>
          <cell r="C143">
            <v>1.4800000000000011</v>
          </cell>
          <cell r="D143">
            <v>9.8400000000000001E-2</v>
          </cell>
          <cell r="E143">
            <v>0.38200000000000001</v>
          </cell>
        </row>
        <row r="144">
          <cell r="B144">
            <v>1.490001000000001</v>
          </cell>
          <cell r="C144">
            <v>1.4900000000000011</v>
          </cell>
          <cell r="D144">
            <v>9.870000000000001E-2</v>
          </cell>
          <cell r="E144">
            <v>0.38350000000000001</v>
          </cell>
        </row>
        <row r="145">
          <cell r="B145">
            <v>1.500001000000001</v>
          </cell>
          <cell r="C145">
            <v>1.5000000000000011</v>
          </cell>
          <cell r="D145">
            <v>9.9000000000000005E-2</v>
          </cell>
          <cell r="E145">
            <v>0.38500000000000001</v>
          </cell>
        </row>
        <row r="146">
          <cell r="B146">
            <v>1.510001000000001</v>
          </cell>
          <cell r="C146">
            <v>1.5100000000000011</v>
          </cell>
          <cell r="D146">
            <v>9.9100000000000008E-2</v>
          </cell>
          <cell r="E146">
            <v>0.38650000000000001</v>
          </cell>
        </row>
        <row r="147">
          <cell r="B147">
            <v>1.520001000000001</v>
          </cell>
          <cell r="C147">
            <v>1.5200000000000011</v>
          </cell>
          <cell r="D147">
            <v>9.920000000000001E-2</v>
          </cell>
          <cell r="E147">
            <v>0.38800000000000001</v>
          </cell>
        </row>
        <row r="148">
          <cell r="B148">
            <v>1.5300010000000011</v>
          </cell>
          <cell r="C148">
            <v>1.5300000000000011</v>
          </cell>
          <cell r="D148">
            <v>9.9299999999999999E-2</v>
          </cell>
          <cell r="E148">
            <v>0.38950000000000001</v>
          </cell>
        </row>
        <row r="149">
          <cell r="B149">
            <v>1.5400010000000011</v>
          </cell>
          <cell r="C149">
            <v>1.5400000000000011</v>
          </cell>
          <cell r="D149">
            <v>9.9400000000000002E-2</v>
          </cell>
          <cell r="E149">
            <v>0.39100000000000001</v>
          </cell>
        </row>
        <row r="150">
          <cell r="B150">
            <v>1.5500010000000011</v>
          </cell>
          <cell r="C150">
            <v>1.5500000000000012</v>
          </cell>
          <cell r="D150">
            <v>9.9500000000000005E-2</v>
          </cell>
          <cell r="E150">
            <v>0.39250000000000002</v>
          </cell>
        </row>
        <row r="151">
          <cell r="B151">
            <v>1.5600010000000011</v>
          </cell>
          <cell r="C151">
            <v>1.5600000000000012</v>
          </cell>
          <cell r="D151">
            <v>9.9600000000000008E-2</v>
          </cell>
          <cell r="E151">
            <v>0.39400000000000002</v>
          </cell>
        </row>
        <row r="152">
          <cell r="B152">
            <v>1.5700010000000011</v>
          </cell>
          <cell r="C152">
            <v>1.5700000000000012</v>
          </cell>
          <cell r="D152">
            <v>9.9700000000000011E-2</v>
          </cell>
          <cell r="E152">
            <v>0.39550000000000002</v>
          </cell>
        </row>
        <row r="153">
          <cell r="B153">
            <v>1.5800010000000011</v>
          </cell>
          <cell r="C153">
            <v>1.5800000000000012</v>
          </cell>
          <cell r="D153">
            <v>9.98E-2</v>
          </cell>
          <cell r="E153">
            <v>0.39700000000000002</v>
          </cell>
        </row>
        <row r="154">
          <cell r="B154">
            <v>1.5900010000000011</v>
          </cell>
          <cell r="C154">
            <v>1.5900000000000012</v>
          </cell>
          <cell r="D154">
            <v>9.9900000000000003E-2</v>
          </cell>
          <cell r="E154">
            <v>0.39850000000000002</v>
          </cell>
        </row>
        <row r="155">
          <cell r="B155">
            <v>1.6000010000000011</v>
          </cell>
          <cell r="C155">
            <v>1.6000000000000012</v>
          </cell>
          <cell r="D155">
            <v>0.1</v>
          </cell>
          <cell r="E155">
            <v>0.4</v>
          </cell>
        </row>
        <row r="156">
          <cell r="B156">
            <v>1.6100010000000011</v>
          </cell>
          <cell r="C156">
            <v>1.6100000000000012</v>
          </cell>
          <cell r="D156">
            <v>0.1003</v>
          </cell>
          <cell r="E156">
            <v>0.40100000000000002</v>
          </cell>
        </row>
        <row r="157">
          <cell r="B157">
            <v>1.6200010000000011</v>
          </cell>
          <cell r="C157">
            <v>1.6200000000000012</v>
          </cell>
          <cell r="D157">
            <v>0.10060000000000001</v>
          </cell>
          <cell r="E157">
            <v>0.40200000000000002</v>
          </cell>
        </row>
        <row r="158">
          <cell r="B158">
            <v>1.6300010000000011</v>
          </cell>
          <cell r="C158">
            <v>1.6300000000000012</v>
          </cell>
          <cell r="D158">
            <v>0.1009</v>
          </cell>
          <cell r="E158">
            <v>0.40300000000000002</v>
          </cell>
        </row>
        <row r="159">
          <cell r="B159">
            <v>1.6400010000000012</v>
          </cell>
          <cell r="C159">
            <v>1.6400000000000012</v>
          </cell>
          <cell r="D159">
            <v>0.1012</v>
          </cell>
          <cell r="E159">
            <v>0.40400000000000003</v>
          </cell>
        </row>
        <row r="160">
          <cell r="B160">
            <v>1.6500010000000012</v>
          </cell>
          <cell r="C160">
            <v>1.6500000000000012</v>
          </cell>
          <cell r="D160">
            <v>0.10150000000000001</v>
          </cell>
          <cell r="E160">
            <v>0.40500000000000003</v>
          </cell>
        </row>
        <row r="161">
          <cell r="B161">
            <v>1.6600010000000012</v>
          </cell>
          <cell r="C161">
            <v>1.6600000000000013</v>
          </cell>
          <cell r="D161">
            <v>0.1018</v>
          </cell>
          <cell r="E161">
            <v>0.40599999999999997</v>
          </cell>
        </row>
        <row r="162">
          <cell r="B162">
            <v>1.6700010000000012</v>
          </cell>
          <cell r="C162">
            <v>1.6700000000000013</v>
          </cell>
          <cell r="D162">
            <v>0.1021</v>
          </cell>
          <cell r="E162">
            <v>0.40699999999999997</v>
          </cell>
        </row>
        <row r="163">
          <cell r="B163">
            <v>1.6800010000000012</v>
          </cell>
          <cell r="C163">
            <v>1.6800000000000013</v>
          </cell>
          <cell r="D163">
            <v>0.10239999999999999</v>
          </cell>
          <cell r="E163">
            <v>0.40799999999999997</v>
          </cell>
        </row>
        <row r="164">
          <cell r="B164">
            <v>1.6900010000000012</v>
          </cell>
          <cell r="C164">
            <v>1.6900000000000013</v>
          </cell>
          <cell r="D164">
            <v>0.1027</v>
          </cell>
          <cell r="E164">
            <v>0.40899999999999997</v>
          </cell>
        </row>
        <row r="165">
          <cell r="B165">
            <v>1.7000010000000012</v>
          </cell>
          <cell r="C165">
            <v>1.7000000000000013</v>
          </cell>
          <cell r="D165">
            <v>0.10299999999999999</v>
          </cell>
          <cell r="E165">
            <v>0.41</v>
          </cell>
        </row>
        <row r="166">
          <cell r="B166">
            <v>1.7100010000000012</v>
          </cell>
          <cell r="C166">
            <v>1.7100000000000013</v>
          </cell>
          <cell r="D166">
            <v>0.10329999999999999</v>
          </cell>
          <cell r="E166">
            <v>0.4113</v>
          </cell>
        </row>
        <row r="167">
          <cell r="B167">
            <v>1.7200010000000012</v>
          </cell>
          <cell r="C167">
            <v>1.7200000000000013</v>
          </cell>
          <cell r="D167">
            <v>0.1036</v>
          </cell>
          <cell r="E167">
            <v>0.41259999999999997</v>
          </cell>
        </row>
        <row r="168">
          <cell r="B168">
            <v>1.7300010000000012</v>
          </cell>
          <cell r="C168">
            <v>1.7300000000000013</v>
          </cell>
          <cell r="D168">
            <v>0.10389999999999999</v>
          </cell>
          <cell r="E168">
            <v>0.41389999999999999</v>
          </cell>
        </row>
        <row r="169">
          <cell r="B169">
            <v>1.7400010000000012</v>
          </cell>
          <cell r="C169">
            <v>1.7400000000000013</v>
          </cell>
          <cell r="D169">
            <v>0.1042</v>
          </cell>
          <cell r="E169">
            <v>0.41519999999999996</v>
          </cell>
        </row>
        <row r="170">
          <cell r="B170">
            <v>1.7500010000000013</v>
          </cell>
          <cell r="C170">
            <v>1.7500000000000013</v>
          </cell>
          <cell r="D170">
            <v>0.1045</v>
          </cell>
          <cell r="E170">
            <v>0.41649999999999998</v>
          </cell>
        </row>
        <row r="171">
          <cell r="B171">
            <v>1.7600010000000013</v>
          </cell>
          <cell r="C171">
            <v>1.7600000000000013</v>
          </cell>
          <cell r="D171">
            <v>0.10479999999999999</v>
          </cell>
          <cell r="E171">
            <v>0.4178</v>
          </cell>
        </row>
        <row r="172">
          <cell r="B172">
            <v>1.7700010000000013</v>
          </cell>
          <cell r="C172">
            <v>1.7700000000000014</v>
          </cell>
          <cell r="D172">
            <v>0.1051</v>
          </cell>
          <cell r="E172">
            <v>0.41909999999999997</v>
          </cell>
        </row>
        <row r="173">
          <cell r="B173">
            <v>1.7800010000000013</v>
          </cell>
          <cell r="C173">
            <v>1.7800000000000014</v>
          </cell>
          <cell r="D173">
            <v>0.10539999999999999</v>
          </cell>
          <cell r="E173">
            <v>0.4204</v>
          </cell>
        </row>
        <row r="174">
          <cell r="B174">
            <v>1.7900010000000013</v>
          </cell>
          <cell r="C174">
            <v>1.7900000000000014</v>
          </cell>
          <cell r="D174">
            <v>0.1057</v>
          </cell>
          <cell r="E174">
            <v>0.42169999999999996</v>
          </cell>
        </row>
        <row r="175">
          <cell r="B175">
            <v>1.8000010000000013</v>
          </cell>
          <cell r="C175">
            <v>1.8000000000000014</v>
          </cell>
          <cell r="D175">
            <v>0.106</v>
          </cell>
          <cell r="E175">
            <v>0.42299999999999999</v>
          </cell>
        </row>
        <row r="176">
          <cell r="B176">
            <v>1.8100010000000013</v>
          </cell>
          <cell r="C176">
            <v>1.8100000000000014</v>
          </cell>
          <cell r="D176">
            <v>0.10639999999999999</v>
          </cell>
          <cell r="E176">
            <v>0.42369999999999997</v>
          </cell>
        </row>
        <row r="177">
          <cell r="B177">
            <v>1.8200010000000013</v>
          </cell>
          <cell r="C177">
            <v>1.8200000000000014</v>
          </cell>
          <cell r="D177">
            <v>0.10679999999999999</v>
          </cell>
          <cell r="E177">
            <v>0.4244</v>
          </cell>
        </row>
        <row r="178">
          <cell r="B178">
            <v>1.8300010000000013</v>
          </cell>
          <cell r="C178">
            <v>1.8300000000000014</v>
          </cell>
          <cell r="D178">
            <v>0.1072</v>
          </cell>
          <cell r="E178">
            <v>0.42509999999999998</v>
          </cell>
        </row>
        <row r="179">
          <cell r="B179">
            <v>1.8400010000000013</v>
          </cell>
          <cell r="C179">
            <v>1.8400000000000014</v>
          </cell>
          <cell r="D179">
            <v>0.1076</v>
          </cell>
          <cell r="E179">
            <v>0.42580000000000001</v>
          </cell>
        </row>
        <row r="180">
          <cell r="B180">
            <v>1.8500010000000013</v>
          </cell>
          <cell r="C180">
            <v>1.8500000000000014</v>
          </cell>
          <cell r="D180">
            <v>0.108</v>
          </cell>
          <cell r="E180">
            <v>0.42649999999999999</v>
          </cell>
        </row>
        <row r="181">
          <cell r="B181">
            <v>1.8600010000000013</v>
          </cell>
          <cell r="C181">
            <v>1.8600000000000014</v>
          </cell>
          <cell r="D181">
            <v>0.1084</v>
          </cell>
          <cell r="E181">
            <v>0.42719999999999997</v>
          </cell>
        </row>
        <row r="182">
          <cell r="B182">
            <v>1.8700010000000014</v>
          </cell>
          <cell r="C182">
            <v>1.8700000000000014</v>
          </cell>
          <cell r="D182">
            <v>0.10879999999999999</v>
          </cell>
          <cell r="E182">
            <v>0.4279</v>
          </cell>
        </row>
        <row r="183">
          <cell r="B183">
            <v>1.8800010000000014</v>
          </cell>
          <cell r="C183">
            <v>1.8800000000000014</v>
          </cell>
          <cell r="D183">
            <v>0.10920000000000001</v>
          </cell>
          <cell r="E183">
            <v>0.42859999999999998</v>
          </cell>
        </row>
        <row r="184">
          <cell r="B184">
            <v>1.8900010000000014</v>
          </cell>
          <cell r="C184">
            <v>1.8900000000000015</v>
          </cell>
          <cell r="D184">
            <v>0.1096</v>
          </cell>
          <cell r="E184">
            <v>0.42930000000000001</v>
          </cell>
        </row>
        <row r="185">
          <cell r="B185">
            <v>1.9000010000000014</v>
          </cell>
          <cell r="C185">
            <v>1.9000000000000015</v>
          </cell>
          <cell r="D185">
            <v>0.11</v>
          </cell>
          <cell r="E185">
            <v>0.43</v>
          </cell>
        </row>
        <row r="186">
          <cell r="B186">
            <v>1.9100010000000014</v>
          </cell>
          <cell r="C186">
            <v>1.9100000000000015</v>
          </cell>
          <cell r="D186">
            <v>0.1101</v>
          </cell>
          <cell r="E186">
            <v>0.43080000000000002</v>
          </cell>
        </row>
        <row r="187">
          <cell r="B187">
            <v>1.9200010000000014</v>
          </cell>
          <cell r="C187">
            <v>1.9200000000000015</v>
          </cell>
          <cell r="D187">
            <v>0.11020000000000001</v>
          </cell>
          <cell r="E187">
            <v>0.43159999999999998</v>
          </cell>
        </row>
        <row r="188">
          <cell r="B188">
            <v>1.9300010000000014</v>
          </cell>
          <cell r="C188">
            <v>1.9300000000000015</v>
          </cell>
          <cell r="D188">
            <v>0.1103</v>
          </cell>
          <cell r="E188">
            <v>0.43240000000000001</v>
          </cell>
        </row>
        <row r="189">
          <cell r="B189">
            <v>1.9400010000000014</v>
          </cell>
          <cell r="C189">
            <v>1.9400000000000015</v>
          </cell>
          <cell r="D189">
            <v>0.1104</v>
          </cell>
          <cell r="E189">
            <v>0.43319999999999997</v>
          </cell>
        </row>
        <row r="190">
          <cell r="B190">
            <v>1.9500010000000014</v>
          </cell>
          <cell r="C190">
            <v>1.9500000000000015</v>
          </cell>
          <cell r="D190">
            <v>0.1105</v>
          </cell>
          <cell r="E190">
            <v>0.434</v>
          </cell>
        </row>
        <row r="191">
          <cell r="B191">
            <v>1.9600010000000014</v>
          </cell>
          <cell r="C191">
            <v>1.9600000000000015</v>
          </cell>
          <cell r="D191">
            <v>0.1106</v>
          </cell>
          <cell r="E191">
            <v>0.43480000000000002</v>
          </cell>
        </row>
        <row r="192">
          <cell r="B192">
            <v>1.9700010000000014</v>
          </cell>
          <cell r="C192">
            <v>1.9700000000000015</v>
          </cell>
          <cell r="D192">
            <v>0.11070000000000001</v>
          </cell>
          <cell r="E192">
            <v>0.43559999999999999</v>
          </cell>
        </row>
        <row r="193">
          <cell r="B193">
            <v>1.9800010000000015</v>
          </cell>
          <cell r="C193">
            <v>1.9800000000000015</v>
          </cell>
          <cell r="D193">
            <v>0.1108</v>
          </cell>
          <cell r="E193">
            <v>0.43640000000000001</v>
          </cell>
        </row>
        <row r="194">
          <cell r="B194">
            <v>1.9900010000000015</v>
          </cell>
          <cell r="C194">
            <v>1.9900000000000015</v>
          </cell>
          <cell r="D194">
            <v>0.1109</v>
          </cell>
          <cell r="E194">
            <v>0.43719999999999998</v>
          </cell>
        </row>
        <row r="195">
          <cell r="B195">
            <v>2.0000010000000015</v>
          </cell>
          <cell r="C195">
            <v>2.0000000000000013</v>
          </cell>
          <cell r="D195">
            <v>0.111</v>
          </cell>
          <cell r="E195">
            <v>0.438</v>
          </cell>
        </row>
        <row r="196">
          <cell r="B196">
            <v>2.0100010000000013</v>
          </cell>
          <cell r="C196">
            <v>2.0100000000000011</v>
          </cell>
          <cell r="D196">
            <v>0.1111</v>
          </cell>
          <cell r="E196">
            <v>0.43880000000000002</v>
          </cell>
        </row>
        <row r="197">
          <cell r="B197">
            <v>2.020001000000001</v>
          </cell>
          <cell r="C197">
            <v>2.0200000000000009</v>
          </cell>
          <cell r="D197">
            <v>0.11120000000000001</v>
          </cell>
          <cell r="E197">
            <v>0.43959999999999999</v>
          </cell>
        </row>
        <row r="198">
          <cell r="B198">
            <v>2.0300010000000008</v>
          </cell>
          <cell r="C198">
            <v>2.0300000000000007</v>
          </cell>
          <cell r="D198">
            <v>0.1113</v>
          </cell>
          <cell r="E198">
            <v>0.44040000000000001</v>
          </cell>
        </row>
        <row r="199">
          <cell r="B199">
            <v>2.0400010000000006</v>
          </cell>
          <cell r="C199">
            <v>2.0400000000000005</v>
          </cell>
          <cell r="D199">
            <v>0.1114</v>
          </cell>
          <cell r="E199">
            <v>0.44119999999999998</v>
          </cell>
        </row>
        <row r="200">
          <cell r="B200">
            <v>2.0500010000000004</v>
          </cell>
          <cell r="C200">
            <v>2.0500000000000003</v>
          </cell>
          <cell r="D200">
            <v>0.1115</v>
          </cell>
          <cell r="E200">
            <v>0.442</v>
          </cell>
        </row>
        <row r="201">
          <cell r="B201">
            <v>2.0600010000000002</v>
          </cell>
          <cell r="C201">
            <v>2.06</v>
          </cell>
          <cell r="D201">
            <v>0.1116</v>
          </cell>
          <cell r="E201">
            <v>0.44280000000000003</v>
          </cell>
        </row>
        <row r="202">
          <cell r="B202">
            <v>2.070001</v>
          </cell>
          <cell r="C202">
            <v>2.0699999999999998</v>
          </cell>
          <cell r="D202">
            <v>0.11170000000000001</v>
          </cell>
          <cell r="E202">
            <v>0.44359999999999999</v>
          </cell>
        </row>
        <row r="203">
          <cell r="B203">
            <v>2.0800009999999998</v>
          </cell>
          <cell r="C203">
            <v>2.0799999999999996</v>
          </cell>
          <cell r="D203">
            <v>0.1118</v>
          </cell>
          <cell r="E203">
            <v>0.44440000000000002</v>
          </cell>
        </row>
        <row r="204">
          <cell r="B204">
            <v>2.0900009999999996</v>
          </cell>
          <cell r="C204">
            <v>2.0899999999999994</v>
          </cell>
          <cell r="D204">
            <v>0.1119</v>
          </cell>
          <cell r="E204">
            <v>0.44519999999999998</v>
          </cell>
        </row>
        <row r="205">
          <cell r="B205">
            <v>2.1000009999999993</v>
          </cell>
          <cell r="C205">
            <v>2.0999999999999992</v>
          </cell>
          <cell r="D205">
            <v>0.112</v>
          </cell>
          <cell r="E205">
            <v>0.44600000000000001</v>
          </cell>
        </row>
        <row r="206">
          <cell r="B206">
            <v>2.1100009999999991</v>
          </cell>
          <cell r="C206">
            <v>2.109999999999999</v>
          </cell>
          <cell r="D206">
            <v>0.11210000000000001</v>
          </cell>
          <cell r="E206">
            <v>0.44669999999999999</v>
          </cell>
        </row>
        <row r="207">
          <cell r="B207">
            <v>2.1200009999999989</v>
          </cell>
          <cell r="C207">
            <v>2.1199999999999988</v>
          </cell>
          <cell r="D207">
            <v>0.11220000000000001</v>
          </cell>
          <cell r="E207">
            <v>0.44740000000000002</v>
          </cell>
        </row>
        <row r="208">
          <cell r="B208">
            <v>2.1300009999999987</v>
          </cell>
          <cell r="C208">
            <v>2.1299999999999986</v>
          </cell>
          <cell r="D208">
            <v>0.1123</v>
          </cell>
          <cell r="E208">
            <v>0.4481</v>
          </cell>
        </row>
        <row r="209">
          <cell r="B209">
            <v>2.1400009999999985</v>
          </cell>
          <cell r="C209">
            <v>2.1399999999999983</v>
          </cell>
          <cell r="D209">
            <v>0.1124</v>
          </cell>
          <cell r="E209">
            <v>0.44880000000000003</v>
          </cell>
        </row>
        <row r="210">
          <cell r="B210">
            <v>2.1500009999999983</v>
          </cell>
          <cell r="C210">
            <v>2.1499999999999981</v>
          </cell>
          <cell r="D210">
            <v>0.1125</v>
          </cell>
          <cell r="E210">
            <v>0.44950000000000001</v>
          </cell>
        </row>
        <row r="211">
          <cell r="B211">
            <v>2.1600009999999981</v>
          </cell>
          <cell r="C211">
            <v>2.1599999999999979</v>
          </cell>
          <cell r="D211">
            <v>0.11260000000000001</v>
          </cell>
          <cell r="E211">
            <v>0.45019999999999999</v>
          </cell>
        </row>
        <row r="212">
          <cell r="B212">
            <v>2.1700009999999978</v>
          </cell>
          <cell r="C212">
            <v>2.1699999999999977</v>
          </cell>
          <cell r="D212">
            <v>0.11270000000000001</v>
          </cell>
          <cell r="E212">
            <v>0.45090000000000002</v>
          </cell>
        </row>
        <row r="213">
          <cell r="B213">
            <v>2.1800009999999976</v>
          </cell>
          <cell r="C213">
            <v>2.1799999999999975</v>
          </cell>
          <cell r="D213">
            <v>0.1128</v>
          </cell>
          <cell r="E213">
            <v>0.4516</v>
          </cell>
        </row>
        <row r="214">
          <cell r="B214">
            <v>2.1900009999999974</v>
          </cell>
          <cell r="C214">
            <v>2.1899999999999973</v>
          </cell>
          <cell r="D214">
            <v>0.1129</v>
          </cell>
          <cell r="E214">
            <v>0.45230000000000004</v>
          </cell>
        </row>
        <row r="215">
          <cell r="B215">
            <v>2.2000009999999972</v>
          </cell>
          <cell r="C215">
            <v>2.1999999999999971</v>
          </cell>
          <cell r="D215">
            <v>0.113</v>
          </cell>
          <cell r="E215">
            <v>0.45300000000000001</v>
          </cell>
        </row>
        <row r="216">
          <cell r="B216">
            <v>2.210000999999997</v>
          </cell>
          <cell r="C216">
            <v>2.2099999999999969</v>
          </cell>
          <cell r="D216">
            <v>0.11310000000000001</v>
          </cell>
          <cell r="E216">
            <v>0.45369999999999999</v>
          </cell>
        </row>
        <row r="217">
          <cell r="B217">
            <v>2.2200009999999968</v>
          </cell>
          <cell r="C217">
            <v>2.2199999999999966</v>
          </cell>
          <cell r="D217">
            <v>0.11320000000000001</v>
          </cell>
          <cell r="E217">
            <v>0.45440000000000003</v>
          </cell>
        </row>
        <row r="218">
          <cell r="B218">
            <v>2.2300009999999966</v>
          </cell>
          <cell r="C218">
            <v>2.2299999999999964</v>
          </cell>
          <cell r="D218">
            <v>0.1133</v>
          </cell>
          <cell r="E218">
            <v>0.4551</v>
          </cell>
        </row>
        <row r="219">
          <cell r="B219">
            <v>2.2400009999999964</v>
          </cell>
          <cell r="C219">
            <v>2.2399999999999962</v>
          </cell>
          <cell r="D219">
            <v>0.1134</v>
          </cell>
          <cell r="E219">
            <v>0.45580000000000004</v>
          </cell>
        </row>
        <row r="220">
          <cell r="B220">
            <v>2.2500009999999961</v>
          </cell>
          <cell r="C220">
            <v>2.249999999999996</v>
          </cell>
          <cell r="D220">
            <v>0.1135</v>
          </cell>
          <cell r="E220">
            <v>0.45650000000000002</v>
          </cell>
        </row>
        <row r="221">
          <cell r="B221">
            <v>2.2600009999999959</v>
          </cell>
          <cell r="C221">
            <v>2.2599999999999958</v>
          </cell>
          <cell r="D221">
            <v>0.11360000000000001</v>
          </cell>
          <cell r="E221">
            <v>0.4572</v>
          </cell>
        </row>
        <row r="222">
          <cell r="B222">
            <v>2.2700009999999957</v>
          </cell>
          <cell r="C222">
            <v>2.2699999999999956</v>
          </cell>
          <cell r="D222">
            <v>0.11370000000000001</v>
          </cell>
          <cell r="E222">
            <v>0.45790000000000003</v>
          </cell>
        </row>
        <row r="223">
          <cell r="B223">
            <v>2.2800009999999955</v>
          </cell>
          <cell r="C223">
            <v>2.2799999999999954</v>
          </cell>
          <cell r="D223">
            <v>0.1138</v>
          </cell>
          <cell r="E223">
            <v>0.45860000000000001</v>
          </cell>
        </row>
        <row r="224">
          <cell r="B224">
            <v>2.2900009999999953</v>
          </cell>
          <cell r="C224">
            <v>2.2899999999999952</v>
          </cell>
          <cell r="D224">
            <v>0.1139</v>
          </cell>
          <cell r="E224">
            <v>0.45930000000000004</v>
          </cell>
        </row>
        <row r="225">
          <cell r="B225">
            <v>2.3000009999999951</v>
          </cell>
          <cell r="C225">
            <v>2.2999999999999949</v>
          </cell>
          <cell r="D225">
            <v>0.114</v>
          </cell>
          <cell r="E225">
            <v>0.46</v>
          </cell>
        </row>
        <row r="226">
          <cell r="B226">
            <v>2.3100009999999949</v>
          </cell>
          <cell r="C226">
            <v>2.3099999999999947</v>
          </cell>
          <cell r="D226">
            <v>0.11410000000000001</v>
          </cell>
          <cell r="E226">
            <v>0.46030000000000004</v>
          </cell>
        </row>
        <row r="227">
          <cell r="B227">
            <v>2.3200009999999947</v>
          </cell>
          <cell r="C227">
            <v>2.3199999999999945</v>
          </cell>
          <cell r="D227">
            <v>0.11420000000000001</v>
          </cell>
          <cell r="E227">
            <v>0.46060000000000001</v>
          </cell>
        </row>
        <row r="228">
          <cell r="B228">
            <v>2.3300009999999944</v>
          </cell>
          <cell r="C228">
            <v>2.3299999999999943</v>
          </cell>
          <cell r="D228">
            <v>0.1143</v>
          </cell>
          <cell r="E228">
            <v>0.46090000000000003</v>
          </cell>
        </row>
        <row r="229">
          <cell r="B229">
            <v>2.3400009999999942</v>
          </cell>
          <cell r="C229">
            <v>2.3399999999999941</v>
          </cell>
          <cell r="D229">
            <v>0.1144</v>
          </cell>
          <cell r="E229">
            <v>0.4612</v>
          </cell>
        </row>
        <row r="230">
          <cell r="B230">
            <v>2.350000999999994</v>
          </cell>
          <cell r="C230">
            <v>2.3499999999999939</v>
          </cell>
          <cell r="D230">
            <v>0.1145</v>
          </cell>
          <cell r="E230">
            <v>0.46150000000000002</v>
          </cell>
        </row>
        <row r="231">
          <cell r="B231">
            <v>2.3600009999999938</v>
          </cell>
          <cell r="C231">
            <v>2.3599999999999937</v>
          </cell>
          <cell r="D231">
            <v>0.11460000000000001</v>
          </cell>
          <cell r="E231">
            <v>0.46180000000000004</v>
          </cell>
        </row>
        <row r="232">
          <cell r="B232">
            <v>2.3700009999999936</v>
          </cell>
          <cell r="C232">
            <v>2.3699999999999934</v>
          </cell>
          <cell r="D232">
            <v>0.11470000000000001</v>
          </cell>
          <cell r="E232">
            <v>0.46210000000000001</v>
          </cell>
        </row>
        <row r="233">
          <cell r="B233">
            <v>2.3800009999999934</v>
          </cell>
          <cell r="C233">
            <v>2.3799999999999932</v>
          </cell>
          <cell r="D233">
            <v>0.1148</v>
          </cell>
          <cell r="E233">
            <v>0.46240000000000003</v>
          </cell>
        </row>
        <row r="234">
          <cell r="B234">
            <v>2.3900009999999932</v>
          </cell>
          <cell r="C234">
            <v>2.389999999999993</v>
          </cell>
          <cell r="D234">
            <v>0.1149</v>
          </cell>
          <cell r="E234">
            <v>0.4627</v>
          </cell>
        </row>
        <row r="235">
          <cell r="B235">
            <v>2.4000009999999929</v>
          </cell>
          <cell r="C235">
            <v>2.3999999999999928</v>
          </cell>
          <cell r="D235">
            <v>0.115</v>
          </cell>
          <cell r="E235">
            <v>0.46300000000000002</v>
          </cell>
        </row>
        <row r="236">
          <cell r="B236">
            <v>2.4100009999999927</v>
          </cell>
          <cell r="C236">
            <v>2.4099999999999926</v>
          </cell>
          <cell r="D236">
            <v>0.11510000000000001</v>
          </cell>
          <cell r="E236">
            <v>0.46360000000000001</v>
          </cell>
        </row>
        <row r="237">
          <cell r="B237">
            <v>2.4200009999999925</v>
          </cell>
          <cell r="C237">
            <v>2.4199999999999924</v>
          </cell>
          <cell r="D237">
            <v>0.11520000000000001</v>
          </cell>
          <cell r="E237">
            <v>0.4642</v>
          </cell>
        </row>
        <row r="238">
          <cell r="B238">
            <v>2.4300009999999923</v>
          </cell>
          <cell r="C238">
            <v>2.4299999999999922</v>
          </cell>
          <cell r="D238">
            <v>0.1153</v>
          </cell>
          <cell r="E238">
            <v>0.46479999999999999</v>
          </cell>
        </row>
        <row r="239">
          <cell r="B239">
            <v>2.4400009999999921</v>
          </cell>
          <cell r="C239">
            <v>2.439999999999992</v>
          </cell>
          <cell r="D239">
            <v>0.1154</v>
          </cell>
          <cell r="E239">
            <v>0.46539999999999998</v>
          </cell>
        </row>
        <row r="240">
          <cell r="B240">
            <v>2.4500009999999919</v>
          </cell>
          <cell r="C240">
            <v>2.4499999999999917</v>
          </cell>
          <cell r="D240">
            <v>0.11550000000000001</v>
          </cell>
          <cell r="E240">
            <v>0.46599999999999997</v>
          </cell>
        </row>
        <row r="241">
          <cell r="B241">
            <v>2.4600009999999917</v>
          </cell>
          <cell r="C241">
            <v>2.4599999999999915</v>
          </cell>
          <cell r="D241">
            <v>0.11560000000000001</v>
          </cell>
          <cell r="E241">
            <v>0.46660000000000001</v>
          </cell>
        </row>
        <row r="242">
          <cell r="B242">
            <v>2.4700009999999915</v>
          </cell>
          <cell r="C242">
            <v>2.4699999999999913</v>
          </cell>
          <cell r="D242">
            <v>0.11570000000000001</v>
          </cell>
          <cell r="E242">
            <v>0.4672</v>
          </cell>
        </row>
        <row r="243">
          <cell r="B243">
            <v>2.4800009999999912</v>
          </cell>
          <cell r="C243">
            <v>2.4799999999999911</v>
          </cell>
          <cell r="D243">
            <v>0.1158</v>
          </cell>
          <cell r="E243">
            <v>0.46779999999999999</v>
          </cell>
        </row>
        <row r="244">
          <cell r="B244">
            <v>2.490000999999991</v>
          </cell>
          <cell r="C244">
            <v>2.4899999999999909</v>
          </cell>
          <cell r="D244">
            <v>0.1159</v>
          </cell>
          <cell r="E244">
            <v>0.46839999999999998</v>
          </cell>
        </row>
        <row r="245">
          <cell r="B245">
            <v>2.5000009999999908</v>
          </cell>
          <cell r="C245">
            <v>2.4999999999999907</v>
          </cell>
          <cell r="D245">
            <v>0.11600000000000001</v>
          </cell>
          <cell r="E245">
            <v>0.46899999999999997</v>
          </cell>
        </row>
        <row r="246">
          <cell r="B246">
            <v>2.5100009999999906</v>
          </cell>
          <cell r="C246">
            <v>2.5099999999999905</v>
          </cell>
          <cell r="D246">
            <v>0.11610000000000001</v>
          </cell>
          <cell r="E246">
            <v>0.46929999999999999</v>
          </cell>
        </row>
        <row r="247">
          <cell r="B247">
            <v>2.5200009999999904</v>
          </cell>
          <cell r="C247">
            <v>2.5199999999999902</v>
          </cell>
          <cell r="D247">
            <v>0.11620000000000001</v>
          </cell>
          <cell r="E247">
            <v>0.46959999999999996</v>
          </cell>
        </row>
        <row r="248">
          <cell r="B248">
            <v>2.5300009999999902</v>
          </cell>
          <cell r="C248">
            <v>2.52999999999999</v>
          </cell>
          <cell r="D248">
            <v>0.1163</v>
          </cell>
          <cell r="E248">
            <v>0.46989999999999998</v>
          </cell>
        </row>
        <row r="249">
          <cell r="B249">
            <v>2.54000099999999</v>
          </cell>
          <cell r="C249">
            <v>2.5399999999999898</v>
          </cell>
          <cell r="D249">
            <v>0.1164</v>
          </cell>
          <cell r="E249">
            <v>0.47019999999999995</v>
          </cell>
        </row>
        <row r="250">
          <cell r="B250">
            <v>2.5500009999999897</v>
          </cell>
          <cell r="C250">
            <v>2.5499999999999896</v>
          </cell>
          <cell r="D250">
            <v>0.11650000000000001</v>
          </cell>
          <cell r="E250">
            <v>0.47049999999999997</v>
          </cell>
        </row>
        <row r="251">
          <cell r="B251">
            <v>2.5600009999999895</v>
          </cell>
          <cell r="C251">
            <v>2.5599999999999894</v>
          </cell>
          <cell r="D251">
            <v>0.11660000000000001</v>
          </cell>
          <cell r="E251">
            <v>0.4708</v>
          </cell>
        </row>
        <row r="252">
          <cell r="B252">
            <v>2.5700009999999893</v>
          </cell>
          <cell r="C252">
            <v>2.5699999999999892</v>
          </cell>
          <cell r="D252">
            <v>0.11670000000000001</v>
          </cell>
          <cell r="E252">
            <v>0.47109999999999996</v>
          </cell>
        </row>
        <row r="253">
          <cell r="B253">
            <v>2.5800009999999891</v>
          </cell>
          <cell r="C253">
            <v>2.579999999999989</v>
          </cell>
          <cell r="D253">
            <v>0.1168</v>
          </cell>
          <cell r="E253">
            <v>0.47139999999999999</v>
          </cell>
        </row>
        <row r="254">
          <cell r="B254">
            <v>2.5900009999999889</v>
          </cell>
          <cell r="C254">
            <v>2.5899999999999888</v>
          </cell>
          <cell r="D254">
            <v>0.1169</v>
          </cell>
          <cell r="E254">
            <v>0.47169999999999995</v>
          </cell>
        </row>
        <row r="255">
          <cell r="B255">
            <v>2.6000009999999887</v>
          </cell>
          <cell r="C255">
            <v>2.5999999999999885</v>
          </cell>
          <cell r="D255">
            <v>0.11700000000000001</v>
          </cell>
          <cell r="E255">
            <v>0.47199999999999998</v>
          </cell>
        </row>
        <row r="256">
          <cell r="B256">
            <v>2.6100009999999885</v>
          </cell>
          <cell r="C256">
            <v>2.6099999999999883</v>
          </cell>
          <cell r="D256">
            <v>0.11710000000000001</v>
          </cell>
          <cell r="E256">
            <v>0.47239999999999999</v>
          </cell>
        </row>
        <row r="257">
          <cell r="B257">
            <v>2.6200009999999883</v>
          </cell>
          <cell r="C257">
            <v>2.6199999999999881</v>
          </cell>
          <cell r="D257">
            <v>0.1172</v>
          </cell>
          <cell r="E257">
            <v>0.4728</v>
          </cell>
        </row>
        <row r="258">
          <cell r="B258">
            <v>2.630000999999988</v>
          </cell>
          <cell r="C258">
            <v>2.6299999999999879</v>
          </cell>
          <cell r="D258">
            <v>0.1173</v>
          </cell>
          <cell r="E258">
            <v>0.47319999999999995</v>
          </cell>
        </row>
        <row r="259">
          <cell r="B259">
            <v>2.6400009999999878</v>
          </cell>
          <cell r="C259">
            <v>2.6399999999999877</v>
          </cell>
          <cell r="D259">
            <v>0.1174</v>
          </cell>
          <cell r="E259">
            <v>0.47359999999999997</v>
          </cell>
        </row>
        <row r="260">
          <cell r="B260">
            <v>2.6500009999999876</v>
          </cell>
          <cell r="C260">
            <v>2.6499999999999875</v>
          </cell>
          <cell r="D260">
            <v>0.11749999999999999</v>
          </cell>
          <cell r="E260">
            <v>0.47399999999999998</v>
          </cell>
        </row>
        <row r="261">
          <cell r="B261">
            <v>2.6600009999999874</v>
          </cell>
          <cell r="C261">
            <v>2.6599999999999873</v>
          </cell>
          <cell r="D261">
            <v>0.1176</v>
          </cell>
          <cell r="E261">
            <v>0.47439999999999999</v>
          </cell>
        </row>
        <row r="262">
          <cell r="B262">
            <v>2.6700009999999872</v>
          </cell>
          <cell r="C262">
            <v>2.6699999999999871</v>
          </cell>
          <cell r="D262">
            <v>0.1177</v>
          </cell>
          <cell r="E262">
            <v>0.4748</v>
          </cell>
        </row>
        <row r="263">
          <cell r="B263">
            <v>2.680000999999987</v>
          </cell>
          <cell r="C263">
            <v>2.6799999999999868</v>
          </cell>
          <cell r="D263">
            <v>0.1178</v>
          </cell>
          <cell r="E263">
            <v>0.47519999999999996</v>
          </cell>
        </row>
        <row r="264">
          <cell r="B264">
            <v>2.6900009999999868</v>
          </cell>
          <cell r="C264">
            <v>2.6899999999999866</v>
          </cell>
          <cell r="D264">
            <v>0.11789999999999999</v>
          </cell>
          <cell r="E264">
            <v>0.47559999999999997</v>
          </cell>
        </row>
        <row r="265">
          <cell r="B265">
            <v>2.7000009999999866</v>
          </cell>
          <cell r="C265">
            <v>2.6999999999999864</v>
          </cell>
          <cell r="D265">
            <v>0.11799999999999999</v>
          </cell>
          <cell r="E265">
            <v>0.47599999999999998</v>
          </cell>
        </row>
        <row r="266">
          <cell r="B266">
            <v>2.7100009999999863</v>
          </cell>
          <cell r="C266">
            <v>2.7099999999999862</v>
          </cell>
          <cell r="D266">
            <v>0.1181</v>
          </cell>
          <cell r="E266">
            <v>0.47639999999999999</v>
          </cell>
        </row>
        <row r="267">
          <cell r="B267">
            <v>2.7200009999999861</v>
          </cell>
          <cell r="C267">
            <v>2.719999999999986</v>
          </cell>
          <cell r="D267">
            <v>0.1182</v>
          </cell>
          <cell r="E267">
            <v>0.4768</v>
          </cell>
        </row>
        <row r="268">
          <cell r="B268">
            <v>2.7300009999999859</v>
          </cell>
          <cell r="C268">
            <v>2.7299999999999858</v>
          </cell>
          <cell r="D268">
            <v>0.11829999999999999</v>
          </cell>
          <cell r="E268">
            <v>0.47719999999999996</v>
          </cell>
        </row>
        <row r="269">
          <cell r="B269">
            <v>2.7400009999999857</v>
          </cell>
          <cell r="C269">
            <v>2.7399999999999856</v>
          </cell>
          <cell r="D269">
            <v>0.11839999999999999</v>
          </cell>
          <cell r="E269">
            <v>0.47759999999999997</v>
          </cell>
        </row>
        <row r="270">
          <cell r="B270">
            <v>2.7500009999999855</v>
          </cell>
          <cell r="C270">
            <v>2.7499999999999853</v>
          </cell>
          <cell r="D270">
            <v>0.11849999999999999</v>
          </cell>
          <cell r="E270">
            <v>0.47799999999999998</v>
          </cell>
        </row>
        <row r="271">
          <cell r="B271">
            <v>2.7600009999999853</v>
          </cell>
          <cell r="C271">
            <v>2.7599999999999851</v>
          </cell>
          <cell r="D271">
            <v>0.1186</v>
          </cell>
          <cell r="E271">
            <v>0.47839999999999999</v>
          </cell>
        </row>
        <row r="272">
          <cell r="B272">
            <v>2.7700009999999851</v>
          </cell>
          <cell r="C272">
            <v>2.7699999999999849</v>
          </cell>
          <cell r="D272">
            <v>0.1187</v>
          </cell>
          <cell r="E272">
            <v>0.4788</v>
          </cell>
        </row>
        <row r="273">
          <cell r="B273">
            <v>2.7800009999999848</v>
          </cell>
          <cell r="C273">
            <v>2.7799999999999847</v>
          </cell>
          <cell r="D273">
            <v>0.11879999999999999</v>
          </cell>
          <cell r="E273">
            <v>0.47919999999999996</v>
          </cell>
        </row>
        <row r="274">
          <cell r="B274">
            <v>2.7900009999999846</v>
          </cell>
          <cell r="C274">
            <v>2.7899999999999845</v>
          </cell>
          <cell r="D274">
            <v>0.11889999999999999</v>
          </cell>
          <cell r="E274">
            <v>0.47959999999999997</v>
          </cell>
        </row>
        <row r="275">
          <cell r="B275">
            <v>2.8000009999999844</v>
          </cell>
          <cell r="C275">
            <v>2.7999999999999843</v>
          </cell>
          <cell r="D275">
            <v>0.11899999999999999</v>
          </cell>
          <cell r="E275">
            <v>0.48</v>
          </cell>
        </row>
        <row r="276">
          <cell r="B276">
            <v>2.8100009999999842</v>
          </cell>
          <cell r="C276">
            <v>2.8099999999999841</v>
          </cell>
          <cell r="D276">
            <v>0.1191</v>
          </cell>
          <cell r="E276">
            <v>0.48019999999999996</v>
          </cell>
        </row>
        <row r="277">
          <cell r="B277">
            <v>2.820000999999984</v>
          </cell>
          <cell r="C277">
            <v>2.8199999999999839</v>
          </cell>
          <cell r="D277">
            <v>0.1192</v>
          </cell>
          <cell r="E277">
            <v>0.48039999999999999</v>
          </cell>
        </row>
        <row r="278">
          <cell r="B278">
            <v>2.8300009999999838</v>
          </cell>
          <cell r="C278">
            <v>2.8299999999999836</v>
          </cell>
          <cell r="D278">
            <v>0.11929999999999999</v>
          </cell>
          <cell r="E278">
            <v>0.48059999999999997</v>
          </cell>
        </row>
        <row r="279">
          <cell r="B279">
            <v>2.8400009999999836</v>
          </cell>
          <cell r="C279">
            <v>2.8399999999999834</v>
          </cell>
          <cell r="D279">
            <v>0.11939999999999999</v>
          </cell>
          <cell r="E279">
            <v>0.48080000000000001</v>
          </cell>
        </row>
        <row r="280">
          <cell r="B280">
            <v>2.8500009999999834</v>
          </cell>
          <cell r="C280">
            <v>2.8499999999999832</v>
          </cell>
          <cell r="D280">
            <v>0.1195</v>
          </cell>
          <cell r="E280">
            <v>0.48099999999999998</v>
          </cell>
        </row>
        <row r="281">
          <cell r="B281">
            <v>2.8600009999999831</v>
          </cell>
          <cell r="C281">
            <v>2.859999999999983</v>
          </cell>
          <cell r="D281">
            <v>0.1196</v>
          </cell>
          <cell r="E281">
            <v>0.48119999999999996</v>
          </cell>
        </row>
        <row r="282">
          <cell r="B282">
            <v>2.8700009999999829</v>
          </cell>
          <cell r="C282">
            <v>2.8699999999999828</v>
          </cell>
          <cell r="D282">
            <v>0.1197</v>
          </cell>
          <cell r="E282">
            <v>0.48139999999999999</v>
          </cell>
        </row>
        <row r="283">
          <cell r="B283">
            <v>2.8800009999999827</v>
          </cell>
          <cell r="C283">
            <v>2.8799999999999826</v>
          </cell>
          <cell r="D283">
            <v>0.11979999999999999</v>
          </cell>
          <cell r="E283">
            <v>0.48159999999999997</v>
          </cell>
        </row>
        <row r="284">
          <cell r="B284">
            <v>2.8900009999999825</v>
          </cell>
          <cell r="C284">
            <v>2.8899999999999824</v>
          </cell>
          <cell r="D284">
            <v>0.11989999999999999</v>
          </cell>
          <cell r="E284">
            <v>0.48180000000000001</v>
          </cell>
        </row>
        <row r="285">
          <cell r="B285">
            <v>2.9000009999999823</v>
          </cell>
          <cell r="C285">
            <v>2.8999999999999821</v>
          </cell>
          <cell r="D285">
            <v>0.12</v>
          </cell>
          <cell r="E285">
            <v>0.48199999999999998</v>
          </cell>
        </row>
        <row r="286">
          <cell r="B286">
            <v>2.9100009999999821</v>
          </cell>
          <cell r="C286">
            <v>2.9099999999999819</v>
          </cell>
          <cell r="D286">
            <v>0.1201</v>
          </cell>
          <cell r="E286">
            <v>0.48219999999999996</v>
          </cell>
        </row>
        <row r="287">
          <cell r="B287">
            <v>2.9200009999999819</v>
          </cell>
          <cell r="C287">
            <v>2.9199999999999817</v>
          </cell>
          <cell r="D287">
            <v>0.1202</v>
          </cell>
          <cell r="E287">
            <v>0.4824</v>
          </cell>
        </row>
        <row r="288">
          <cell r="B288">
            <v>2.9300009999999816</v>
          </cell>
          <cell r="C288">
            <v>2.9299999999999815</v>
          </cell>
          <cell r="D288">
            <v>0.12029999999999999</v>
          </cell>
          <cell r="E288">
            <v>0.48259999999999997</v>
          </cell>
        </row>
        <row r="289">
          <cell r="B289">
            <v>2.9400009999999814</v>
          </cell>
          <cell r="C289">
            <v>2.9399999999999813</v>
          </cell>
          <cell r="D289">
            <v>0.12039999999999999</v>
          </cell>
          <cell r="E289">
            <v>0.48280000000000001</v>
          </cell>
        </row>
        <row r="290">
          <cell r="B290">
            <v>2.9500009999999812</v>
          </cell>
          <cell r="C290">
            <v>2.9499999999999811</v>
          </cell>
          <cell r="D290">
            <v>0.1205</v>
          </cell>
          <cell r="E290">
            <v>0.48299999999999998</v>
          </cell>
        </row>
        <row r="291">
          <cell r="B291">
            <v>2.960000999999981</v>
          </cell>
          <cell r="C291">
            <v>2.9599999999999809</v>
          </cell>
          <cell r="D291">
            <v>0.1206</v>
          </cell>
          <cell r="E291">
            <v>0.48319999999999996</v>
          </cell>
        </row>
        <row r="292">
          <cell r="B292">
            <v>2.9700009999999808</v>
          </cell>
          <cell r="C292">
            <v>2.9699999999999807</v>
          </cell>
          <cell r="D292">
            <v>0.1207</v>
          </cell>
          <cell r="E292">
            <v>0.4834</v>
          </cell>
        </row>
        <row r="293">
          <cell r="B293">
            <v>2.9800009999999806</v>
          </cell>
          <cell r="C293">
            <v>2.9799999999999804</v>
          </cell>
          <cell r="D293">
            <v>0.12079999999999999</v>
          </cell>
          <cell r="E293">
            <v>0.48359999999999997</v>
          </cell>
        </row>
        <row r="294">
          <cell r="B294">
            <v>2.9900009999999804</v>
          </cell>
          <cell r="C294">
            <v>2.9899999999999802</v>
          </cell>
          <cell r="D294">
            <v>0.12089999999999999</v>
          </cell>
          <cell r="E294">
            <v>0.48380000000000001</v>
          </cell>
        </row>
        <row r="295">
          <cell r="B295">
            <v>3.0000009999999802</v>
          </cell>
          <cell r="C295">
            <v>2.99999999999998</v>
          </cell>
          <cell r="D295">
            <v>0.121</v>
          </cell>
          <cell r="E295">
            <v>0.48399999999999999</v>
          </cell>
        </row>
        <row r="296">
          <cell r="B296">
            <v>3.0100009999999799</v>
          </cell>
          <cell r="C296">
            <v>3.0099999999999798</v>
          </cell>
          <cell r="D296">
            <v>0.12111999999999999</v>
          </cell>
          <cell r="E296">
            <v>0.48430000000000001</v>
          </cell>
        </row>
        <row r="297">
          <cell r="B297">
            <v>3.0200009999999797</v>
          </cell>
          <cell r="C297">
            <v>3.0199999999999796</v>
          </cell>
          <cell r="D297">
            <v>0.12124</v>
          </cell>
          <cell r="E297">
            <v>0.48459999999999998</v>
          </cell>
        </row>
        <row r="298">
          <cell r="B298">
            <v>3.0300009999999795</v>
          </cell>
          <cell r="C298">
            <v>3.0299999999999794</v>
          </cell>
          <cell r="D298">
            <v>0.12136</v>
          </cell>
          <cell r="E298">
            <v>0.4849</v>
          </cell>
        </row>
        <row r="299">
          <cell r="B299">
            <v>3.0400009999999793</v>
          </cell>
          <cell r="C299">
            <v>3.0399999999999792</v>
          </cell>
          <cell r="D299">
            <v>0.12148</v>
          </cell>
          <cell r="E299">
            <v>0.48519999999999996</v>
          </cell>
        </row>
        <row r="300">
          <cell r="B300">
            <v>3.0500009999999791</v>
          </cell>
          <cell r="C300">
            <v>3.049999999999979</v>
          </cell>
          <cell r="D300">
            <v>0.1216</v>
          </cell>
          <cell r="E300">
            <v>0.48549999999999999</v>
          </cell>
        </row>
        <row r="301">
          <cell r="B301">
            <v>3.0600009999999789</v>
          </cell>
          <cell r="C301">
            <v>3.0599999999999787</v>
          </cell>
          <cell r="D301">
            <v>0.12171999999999999</v>
          </cell>
          <cell r="E301">
            <v>0.48580000000000001</v>
          </cell>
        </row>
        <row r="302">
          <cell r="B302">
            <v>3.0700009999999787</v>
          </cell>
          <cell r="C302">
            <v>3.0699999999999785</v>
          </cell>
          <cell r="D302">
            <v>0.12184</v>
          </cell>
          <cell r="E302">
            <v>0.48609999999999998</v>
          </cell>
        </row>
        <row r="303">
          <cell r="B303">
            <v>3.0800009999999785</v>
          </cell>
          <cell r="C303">
            <v>3.0799999999999783</v>
          </cell>
          <cell r="D303">
            <v>0.12196</v>
          </cell>
          <cell r="E303">
            <v>0.4864</v>
          </cell>
        </row>
        <row r="304">
          <cell r="B304">
            <v>3.0900009999999782</v>
          </cell>
          <cell r="C304">
            <v>3.0899999999999781</v>
          </cell>
          <cell r="D304">
            <v>0.12208000000000001</v>
          </cell>
          <cell r="E304">
            <v>0.48669999999999997</v>
          </cell>
        </row>
        <row r="305">
          <cell r="B305">
            <v>3.100000999999978</v>
          </cell>
          <cell r="C305">
            <v>3.0999999999999779</v>
          </cell>
          <cell r="D305">
            <v>0.1222</v>
          </cell>
          <cell r="E305">
            <v>0.48699999999999999</v>
          </cell>
        </row>
        <row r="306">
          <cell r="B306">
            <v>3.1100009999999778</v>
          </cell>
          <cell r="C306">
            <v>3.1099999999999777</v>
          </cell>
          <cell r="D306">
            <v>0.12218</v>
          </cell>
          <cell r="E306">
            <v>0.48730000000000001</v>
          </cell>
        </row>
        <row r="307">
          <cell r="B307">
            <v>3.1200009999999776</v>
          </cell>
          <cell r="C307">
            <v>3.1199999999999775</v>
          </cell>
          <cell r="D307">
            <v>0.12216</v>
          </cell>
          <cell r="E307">
            <v>0.48759999999999998</v>
          </cell>
        </row>
        <row r="308">
          <cell r="B308">
            <v>3.1300009999999774</v>
          </cell>
          <cell r="C308">
            <v>3.1299999999999772</v>
          </cell>
          <cell r="D308">
            <v>0.12214</v>
          </cell>
          <cell r="E308">
            <v>0.4879</v>
          </cell>
        </row>
        <row r="309">
          <cell r="B309">
            <v>3.1400009999999772</v>
          </cell>
          <cell r="C309">
            <v>3.139999999999977</v>
          </cell>
          <cell r="D309">
            <v>0.12212000000000001</v>
          </cell>
          <cell r="E309">
            <v>0.48819999999999997</v>
          </cell>
        </row>
        <row r="310">
          <cell r="B310">
            <v>3.150000999999977</v>
          </cell>
          <cell r="C310">
            <v>3.1499999999999768</v>
          </cell>
          <cell r="D310">
            <v>0.1221</v>
          </cell>
          <cell r="E310">
            <v>0.48849999999999999</v>
          </cell>
        </row>
        <row r="311">
          <cell r="B311">
            <v>3.1600009999999767</v>
          </cell>
          <cell r="C311">
            <v>3.1599999999999766</v>
          </cell>
          <cell r="D311">
            <v>0.12207999999999999</v>
          </cell>
          <cell r="E311">
            <v>0.48880000000000001</v>
          </cell>
        </row>
        <row r="312">
          <cell r="B312">
            <v>3.1700009999999765</v>
          </cell>
          <cell r="C312">
            <v>3.1699999999999764</v>
          </cell>
          <cell r="D312">
            <v>0.12206</v>
          </cell>
          <cell r="E312">
            <v>0.48909999999999998</v>
          </cell>
        </row>
        <row r="313">
          <cell r="B313">
            <v>3.1800009999999763</v>
          </cell>
          <cell r="C313">
            <v>3.1799999999999762</v>
          </cell>
          <cell r="D313">
            <v>0.12204</v>
          </cell>
          <cell r="E313">
            <v>0.4894</v>
          </cell>
        </row>
        <row r="314">
          <cell r="B314">
            <v>3.1900009999999761</v>
          </cell>
          <cell r="C314">
            <v>3.189999999999976</v>
          </cell>
          <cell r="D314">
            <v>0.12202</v>
          </cell>
          <cell r="E314">
            <v>0.48969999999999997</v>
          </cell>
        </row>
        <row r="315">
          <cell r="B315">
            <v>3.2000009999999759</v>
          </cell>
          <cell r="C315">
            <v>3.1999999999999758</v>
          </cell>
          <cell r="D315">
            <v>0.122</v>
          </cell>
          <cell r="E315">
            <v>0.49</v>
          </cell>
        </row>
        <row r="316">
          <cell r="B316">
            <v>3.2100009999999757</v>
          </cell>
          <cell r="C316">
            <v>3.2099999999999755</v>
          </cell>
          <cell r="D316">
            <v>0.1221</v>
          </cell>
          <cell r="E316">
            <v>0.49019999999999997</v>
          </cell>
        </row>
        <row r="317">
          <cell r="B317">
            <v>3.2200009999999755</v>
          </cell>
          <cell r="C317">
            <v>3.2199999999999753</v>
          </cell>
          <cell r="D317">
            <v>0.1222</v>
          </cell>
          <cell r="E317">
            <v>0.4904</v>
          </cell>
        </row>
        <row r="318">
          <cell r="B318">
            <v>3.2300009999999753</v>
          </cell>
          <cell r="C318">
            <v>3.2299999999999751</v>
          </cell>
          <cell r="D318">
            <v>0.12229999999999999</v>
          </cell>
          <cell r="E318">
            <v>0.49059999999999998</v>
          </cell>
        </row>
        <row r="319">
          <cell r="B319">
            <v>3.240000999999975</v>
          </cell>
          <cell r="C319">
            <v>3.2399999999999749</v>
          </cell>
          <cell r="D319">
            <v>0.12239999999999999</v>
          </cell>
          <cell r="E319">
            <v>0.49080000000000001</v>
          </cell>
        </row>
        <row r="320">
          <cell r="B320">
            <v>3.2500009999999748</v>
          </cell>
          <cell r="C320">
            <v>3.2499999999999747</v>
          </cell>
          <cell r="D320">
            <v>0.1225</v>
          </cell>
          <cell r="E320">
            <v>0.49099999999999999</v>
          </cell>
        </row>
        <row r="321">
          <cell r="B321">
            <v>3.2600009999999746</v>
          </cell>
          <cell r="C321">
            <v>3.2599999999999745</v>
          </cell>
          <cell r="D321">
            <v>0.1226</v>
          </cell>
          <cell r="E321">
            <v>0.49119999999999997</v>
          </cell>
        </row>
        <row r="322">
          <cell r="B322">
            <v>3.2700009999999744</v>
          </cell>
          <cell r="C322">
            <v>3.2699999999999743</v>
          </cell>
          <cell r="D322">
            <v>0.1227</v>
          </cell>
          <cell r="E322">
            <v>0.4914</v>
          </cell>
        </row>
        <row r="323">
          <cell r="B323">
            <v>3.2800009999999742</v>
          </cell>
          <cell r="C323">
            <v>3.279999999999974</v>
          </cell>
          <cell r="D323">
            <v>0.12279999999999999</v>
          </cell>
          <cell r="E323">
            <v>0.49159999999999998</v>
          </cell>
        </row>
        <row r="324">
          <cell r="B324">
            <v>3.290000999999974</v>
          </cell>
          <cell r="C324">
            <v>3.2899999999999738</v>
          </cell>
          <cell r="D324">
            <v>0.1229</v>
          </cell>
          <cell r="E324">
            <v>0.49180000000000001</v>
          </cell>
        </row>
        <row r="325">
          <cell r="B325">
            <v>3.3000009999999738</v>
          </cell>
          <cell r="C325">
            <v>3.2999999999999736</v>
          </cell>
          <cell r="D325">
            <v>0.123</v>
          </cell>
          <cell r="E325">
            <v>0.49199999999999999</v>
          </cell>
        </row>
        <row r="326">
          <cell r="B326">
            <v>3.3100009999999735</v>
          </cell>
          <cell r="C326">
            <v>3.3099999999999734</v>
          </cell>
          <cell r="D326">
            <v>0.123</v>
          </cell>
          <cell r="E326">
            <v>0.49230000000000002</v>
          </cell>
        </row>
        <row r="327">
          <cell r="B327">
            <v>3.3200009999999733</v>
          </cell>
          <cell r="C327">
            <v>3.3199999999999732</v>
          </cell>
          <cell r="D327">
            <v>0.123</v>
          </cell>
          <cell r="E327">
            <v>0.49259999999999998</v>
          </cell>
        </row>
        <row r="328">
          <cell r="B328">
            <v>3.3300009999999731</v>
          </cell>
          <cell r="C328">
            <v>3.329999999999973</v>
          </cell>
          <cell r="D328">
            <v>0.123</v>
          </cell>
          <cell r="E328">
            <v>0.4929</v>
          </cell>
        </row>
        <row r="329">
          <cell r="B329">
            <v>3.3400009999999729</v>
          </cell>
          <cell r="C329">
            <v>3.3399999999999728</v>
          </cell>
          <cell r="D329">
            <v>0.123</v>
          </cell>
          <cell r="E329">
            <v>0.49319999999999997</v>
          </cell>
        </row>
        <row r="330">
          <cell r="B330">
            <v>3.3500009999999727</v>
          </cell>
          <cell r="C330">
            <v>3.3499999999999726</v>
          </cell>
          <cell r="D330">
            <v>0.123</v>
          </cell>
          <cell r="E330">
            <v>0.49349999999999999</v>
          </cell>
        </row>
        <row r="331">
          <cell r="B331">
            <v>3.3600009999999725</v>
          </cell>
          <cell r="C331">
            <v>3.3599999999999723</v>
          </cell>
          <cell r="D331">
            <v>0.123</v>
          </cell>
          <cell r="E331">
            <v>0.49380000000000002</v>
          </cell>
        </row>
        <row r="332">
          <cell r="B332">
            <v>3.3700009999999723</v>
          </cell>
          <cell r="C332">
            <v>3.3699999999999721</v>
          </cell>
          <cell r="D332">
            <v>0.123</v>
          </cell>
          <cell r="E332">
            <v>0.49409999999999998</v>
          </cell>
        </row>
        <row r="333">
          <cell r="B333">
            <v>3.3800009999999721</v>
          </cell>
          <cell r="C333">
            <v>3.3799999999999719</v>
          </cell>
          <cell r="D333">
            <v>0.123</v>
          </cell>
          <cell r="E333">
            <v>0.49440000000000001</v>
          </cell>
        </row>
        <row r="334">
          <cell r="B334">
            <v>3.3900009999999718</v>
          </cell>
          <cell r="C334">
            <v>3.3899999999999717</v>
          </cell>
          <cell r="D334">
            <v>0.123</v>
          </cell>
          <cell r="E334">
            <v>0.49469999999999997</v>
          </cell>
        </row>
        <row r="335">
          <cell r="B335">
            <v>3.4000009999999716</v>
          </cell>
          <cell r="C335">
            <v>3.3999999999999715</v>
          </cell>
          <cell r="D335">
            <v>0.123</v>
          </cell>
          <cell r="E335">
            <v>0.495</v>
          </cell>
        </row>
        <row r="336">
          <cell r="B336">
            <v>3.4100009999999714</v>
          </cell>
          <cell r="C336">
            <v>3.4099999999999713</v>
          </cell>
          <cell r="D336">
            <v>0.1231</v>
          </cell>
          <cell r="E336">
            <v>0.49519999999999997</v>
          </cell>
        </row>
        <row r="337">
          <cell r="B337">
            <v>3.4200009999999712</v>
          </cell>
          <cell r="C337">
            <v>3.4199999999999711</v>
          </cell>
          <cell r="D337">
            <v>0.1232</v>
          </cell>
          <cell r="E337">
            <v>0.49540000000000001</v>
          </cell>
        </row>
        <row r="338">
          <cell r="B338">
            <v>3.430000999999971</v>
          </cell>
          <cell r="C338">
            <v>3.4299999999999708</v>
          </cell>
          <cell r="D338">
            <v>0.12329999999999999</v>
          </cell>
          <cell r="E338">
            <v>0.49559999999999998</v>
          </cell>
        </row>
        <row r="339">
          <cell r="B339">
            <v>3.4400009999999708</v>
          </cell>
          <cell r="C339">
            <v>3.4399999999999706</v>
          </cell>
          <cell r="D339">
            <v>0.1234</v>
          </cell>
          <cell r="E339">
            <v>0.49580000000000002</v>
          </cell>
        </row>
        <row r="340">
          <cell r="B340">
            <v>3.4500009999999706</v>
          </cell>
          <cell r="C340">
            <v>3.4499999999999704</v>
          </cell>
          <cell r="D340">
            <v>0.1235</v>
          </cell>
          <cell r="E340">
            <v>0.496</v>
          </cell>
        </row>
        <row r="341">
          <cell r="B341">
            <v>3.4600009999999704</v>
          </cell>
          <cell r="C341">
            <v>3.4599999999999702</v>
          </cell>
          <cell r="D341">
            <v>0.1236</v>
          </cell>
          <cell r="E341">
            <v>0.49619999999999997</v>
          </cell>
        </row>
        <row r="342">
          <cell r="B342">
            <v>3.4700009999999701</v>
          </cell>
          <cell r="C342">
            <v>3.46999999999997</v>
          </cell>
          <cell r="D342">
            <v>0.1237</v>
          </cell>
          <cell r="E342">
            <v>0.49640000000000001</v>
          </cell>
        </row>
        <row r="343">
          <cell r="B343">
            <v>3.4800009999999699</v>
          </cell>
          <cell r="C343">
            <v>3.4799999999999698</v>
          </cell>
          <cell r="D343">
            <v>0.12379999999999999</v>
          </cell>
          <cell r="E343">
            <v>0.49659999999999999</v>
          </cell>
        </row>
        <row r="344">
          <cell r="B344">
            <v>3.4900009999999697</v>
          </cell>
          <cell r="C344">
            <v>3.4899999999999696</v>
          </cell>
          <cell r="D344">
            <v>0.1239</v>
          </cell>
          <cell r="E344">
            <v>0.49680000000000002</v>
          </cell>
        </row>
        <row r="345">
          <cell r="B345">
            <v>3.5000009999999695</v>
          </cell>
          <cell r="C345">
            <v>3.4999999999999694</v>
          </cell>
          <cell r="D345">
            <v>0.124</v>
          </cell>
          <cell r="E345">
            <v>0.497</v>
          </cell>
        </row>
        <row r="346">
          <cell r="B346">
            <v>3.5100009999999693</v>
          </cell>
          <cell r="C346">
            <v>3.5099999999999691</v>
          </cell>
          <cell r="D346">
            <v>0.124</v>
          </cell>
          <cell r="E346">
            <v>0.49709999999999999</v>
          </cell>
        </row>
        <row r="347">
          <cell r="B347">
            <v>3.5200009999999691</v>
          </cell>
          <cell r="C347">
            <v>3.5199999999999689</v>
          </cell>
          <cell r="D347">
            <v>0.124</v>
          </cell>
          <cell r="E347">
            <v>0.49719999999999998</v>
          </cell>
        </row>
        <row r="348">
          <cell r="B348">
            <v>3.5300009999999689</v>
          </cell>
          <cell r="C348">
            <v>3.5299999999999687</v>
          </cell>
          <cell r="D348">
            <v>0.124</v>
          </cell>
          <cell r="E348">
            <v>0.49730000000000002</v>
          </cell>
        </row>
        <row r="349">
          <cell r="B349">
            <v>3.5400009999999686</v>
          </cell>
          <cell r="C349">
            <v>3.5399999999999685</v>
          </cell>
          <cell r="D349">
            <v>0.124</v>
          </cell>
          <cell r="E349">
            <v>0.49740000000000001</v>
          </cell>
        </row>
        <row r="350">
          <cell r="B350">
            <v>3.5500009999999684</v>
          </cell>
          <cell r="C350">
            <v>3.5499999999999683</v>
          </cell>
          <cell r="D350">
            <v>0.124</v>
          </cell>
          <cell r="E350">
            <v>0.4975</v>
          </cell>
        </row>
        <row r="351">
          <cell r="B351">
            <v>3.5600009999999682</v>
          </cell>
          <cell r="C351">
            <v>3.5599999999999681</v>
          </cell>
          <cell r="D351">
            <v>0.124</v>
          </cell>
          <cell r="E351">
            <v>0.49759999999999999</v>
          </cell>
        </row>
        <row r="352">
          <cell r="B352">
            <v>3.570000999999968</v>
          </cell>
          <cell r="C352">
            <v>3.5699999999999679</v>
          </cell>
          <cell r="D352">
            <v>0.124</v>
          </cell>
          <cell r="E352">
            <v>0.49769999999999998</v>
          </cell>
        </row>
        <row r="353">
          <cell r="B353">
            <v>3.5800009999999678</v>
          </cell>
          <cell r="C353">
            <v>3.5799999999999677</v>
          </cell>
          <cell r="D353">
            <v>0.124</v>
          </cell>
          <cell r="E353">
            <v>0.49780000000000002</v>
          </cell>
        </row>
        <row r="354">
          <cell r="B354">
            <v>3.5900009999999676</v>
          </cell>
          <cell r="C354">
            <v>3.5899999999999674</v>
          </cell>
          <cell r="D354">
            <v>0.124</v>
          </cell>
          <cell r="E354">
            <v>0.49790000000000001</v>
          </cell>
        </row>
        <row r="355">
          <cell r="B355">
            <v>3.6000009999999674</v>
          </cell>
          <cell r="C355">
            <v>3.5999999999999672</v>
          </cell>
          <cell r="D355">
            <v>0.124</v>
          </cell>
          <cell r="E355">
            <v>0.498</v>
          </cell>
        </row>
        <row r="356">
          <cell r="B356">
            <v>3.6100009999999672</v>
          </cell>
          <cell r="C356">
            <v>3.609999999999967</v>
          </cell>
          <cell r="D356">
            <v>0.1241</v>
          </cell>
          <cell r="E356">
            <v>0.49809999999999999</v>
          </cell>
        </row>
        <row r="357">
          <cell r="B357">
            <v>3.6200009999999669</v>
          </cell>
          <cell r="C357">
            <v>3.6199999999999668</v>
          </cell>
          <cell r="D357">
            <v>0.1242</v>
          </cell>
          <cell r="E357">
            <v>0.49819999999999998</v>
          </cell>
        </row>
        <row r="358">
          <cell r="B358">
            <v>3.6300009999999667</v>
          </cell>
          <cell r="C358">
            <v>3.6299999999999666</v>
          </cell>
          <cell r="D358">
            <v>0.12429999999999999</v>
          </cell>
          <cell r="E358">
            <v>0.49830000000000002</v>
          </cell>
        </row>
        <row r="359">
          <cell r="B359">
            <v>3.6400009999999665</v>
          </cell>
          <cell r="C359">
            <v>3.6399999999999664</v>
          </cell>
          <cell r="D359">
            <v>0.1244</v>
          </cell>
          <cell r="E359">
            <v>0.49840000000000001</v>
          </cell>
        </row>
        <row r="360">
          <cell r="B360">
            <v>3.6500009999999663</v>
          </cell>
          <cell r="C360">
            <v>3.6499999999999662</v>
          </cell>
          <cell r="D360">
            <v>0.1245</v>
          </cell>
          <cell r="E360">
            <v>0.4985</v>
          </cell>
        </row>
        <row r="361">
          <cell r="B361">
            <v>3.6600009999999661</v>
          </cell>
          <cell r="C361">
            <v>3.6599999999999659</v>
          </cell>
          <cell r="D361">
            <v>0.1246</v>
          </cell>
          <cell r="E361">
            <v>0.49859999999999999</v>
          </cell>
        </row>
        <row r="362">
          <cell r="B362">
            <v>3.6700009999999659</v>
          </cell>
          <cell r="C362">
            <v>3.6699999999999657</v>
          </cell>
          <cell r="D362">
            <v>0.12470000000000001</v>
          </cell>
          <cell r="E362">
            <v>0.49869999999999998</v>
          </cell>
        </row>
        <row r="363">
          <cell r="B363">
            <v>3.6800009999999657</v>
          </cell>
          <cell r="C363">
            <v>3.6799999999999655</v>
          </cell>
          <cell r="D363">
            <v>0.12479999999999999</v>
          </cell>
          <cell r="E363">
            <v>0.49880000000000002</v>
          </cell>
        </row>
        <row r="364">
          <cell r="B364">
            <v>3.6900009999999654</v>
          </cell>
          <cell r="C364">
            <v>3.6899999999999653</v>
          </cell>
          <cell r="D364">
            <v>0.1249</v>
          </cell>
          <cell r="E364">
            <v>0.49890000000000001</v>
          </cell>
        </row>
        <row r="365">
          <cell r="B365">
            <v>3.7000009999999652</v>
          </cell>
          <cell r="C365">
            <v>3.6999999999999651</v>
          </cell>
          <cell r="D365">
            <v>0.125</v>
          </cell>
          <cell r="E365">
            <v>0.499</v>
          </cell>
        </row>
        <row r="366">
          <cell r="B366">
            <v>3.710000999999965</v>
          </cell>
          <cell r="C366">
            <v>3.7099999999999649</v>
          </cell>
          <cell r="D366">
            <v>0.125</v>
          </cell>
          <cell r="E366">
            <v>0.49909999999999999</v>
          </cell>
        </row>
        <row r="367">
          <cell r="B367">
            <v>3.7200009999999648</v>
          </cell>
          <cell r="C367">
            <v>3.7199999999999647</v>
          </cell>
          <cell r="D367">
            <v>0.125</v>
          </cell>
          <cell r="E367">
            <v>0.49919999999999998</v>
          </cell>
        </row>
        <row r="368">
          <cell r="B368">
            <v>3.7300009999999646</v>
          </cell>
          <cell r="C368">
            <v>3.7299999999999645</v>
          </cell>
          <cell r="D368">
            <v>0.125</v>
          </cell>
          <cell r="E368">
            <v>0.49930000000000002</v>
          </cell>
        </row>
        <row r="369">
          <cell r="B369">
            <v>3.7400009999999644</v>
          </cell>
          <cell r="C369">
            <v>3.7399999999999642</v>
          </cell>
          <cell r="D369">
            <v>0.125</v>
          </cell>
          <cell r="E369">
            <v>0.49940000000000001</v>
          </cell>
        </row>
        <row r="370">
          <cell r="B370">
            <v>3.7500009999999642</v>
          </cell>
          <cell r="C370">
            <v>3.749999999999964</v>
          </cell>
          <cell r="D370">
            <v>0.125</v>
          </cell>
          <cell r="E370">
            <v>0.4995</v>
          </cell>
        </row>
        <row r="371">
          <cell r="B371">
            <v>3.760000999999964</v>
          </cell>
          <cell r="C371">
            <v>3.7599999999999638</v>
          </cell>
          <cell r="D371">
            <v>0.125</v>
          </cell>
          <cell r="E371">
            <v>0.49959999999999999</v>
          </cell>
        </row>
        <row r="372">
          <cell r="B372">
            <v>3.7700009999999637</v>
          </cell>
          <cell r="C372">
            <v>3.7699999999999636</v>
          </cell>
          <cell r="D372">
            <v>0.125</v>
          </cell>
          <cell r="E372">
            <v>0.49969999999999998</v>
          </cell>
        </row>
        <row r="373">
          <cell r="B373">
            <v>3.7800009999999635</v>
          </cell>
          <cell r="C373">
            <v>3.7799999999999634</v>
          </cell>
          <cell r="D373">
            <v>0.125</v>
          </cell>
          <cell r="E373">
            <v>0.49980000000000002</v>
          </cell>
        </row>
        <row r="374">
          <cell r="B374">
            <v>3.7900009999999633</v>
          </cell>
          <cell r="C374">
            <v>3.7899999999999632</v>
          </cell>
          <cell r="D374">
            <v>0.125</v>
          </cell>
          <cell r="E374">
            <v>0.49990000000000001</v>
          </cell>
        </row>
        <row r="375">
          <cell r="B375">
            <v>3.8000009999999631</v>
          </cell>
          <cell r="C375">
            <v>3.799999999999963</v>
          </cell>
          <cell r="D375">
            <v>0.125</v>
          </cell>
          <cell r="E375">
            <v>0.5</v>
          </cell>
        </row>
        <row r="376">
          <cell r="B376">
            <v>3.8100009999999629</v>
          </cell>
          <cell r="C376">
            <v>3.8099999999999627</v>
          </cell>
          <cell r="D376">
            <v>0.12509999999999999</v>
          </cell>
          <cell r="E376">
            <v>0.50009999999999999</v>
          </cell>
        </row>
        <row r="377">
          <cell r="B377">
            <v>3.8200009999999627</v>
          </cell>
          <cell r="C377">
            <v>3.8199999999999625</v>
          </cell>
          <cell r="D377">
            <v>0.12520000000000001</v>
          </cell>
          <cell r="E377">
            <v>0.50019999999999998</v>
          </cell>
        </row>
        <row r="378">
          <cell r="B378">
            <v>3.8300009999999625</v>
          </cell>
          <cell r="C378">
            <v>3.8299999999999623</v>
          </cell>
          <cell r="D378">
            <v>0.12529999999999999</v>
          </cell>
          <cell r="E378">
            <v>0.50029999999999997</v>
          </cell>
        </row>
        <row r="379">
          <cell r="B379">
            <v>3.8400009999999623</v>
          </cell>
          <cell r="C379">
            <v>3.8399999999999621</v>
          </cell>
          <cell r="D379">
            <v>0.12540000000000001</v>
          </cell>
          <cell r="E379">
            <v>0.50039999999999996</v>
          </cell>
        </row>
        <row r="380">
          <cell r="B380">
            <v>3.850000999999962</v>
          </cell>
          <cell r="C380">
            <v>3.8499999999999619</v>
          </cell>
          <cell r="D380">
            <v>0.1255</v>
          </cell>
          <cell r="E380">
            <v>0.50049999999999994</v>
          </cell>
        </row>
        <row r="381">
          <cell r="B381">
            <v>3.8600009999999618</v>
          </cell>
          <cell r="C381">
            <v>3.8599999999999617</v>
          </cell>
          <cell r="D381">
            <v>0.12559999999999999</v>
          </cell>
          <cell r="E381">
            <v>0.50060000000000004</v>
          </cell>
        </row>
        <row r="382">
          <cell r="B382">
            <v>3.8700009999999616</v>
          </cell>
          <cell r="C382">
            <v>3.8699999999999615</v>
          </cell>
          <cell r="D382">
            <v>0.12570000000000001</v>
          </cell>
          <cell r="E382">
            <v>0.50070000000000003</v>
          </cell>
        </row>
        <row r="383">
          <cell r="B383">
            <v>3.8800009999999614</v>
          </cell>
          <cell r="C383">
            <v>3.8799999999999613</v>
          </cell>
          <cell r="D383">
            <v>0.1258</v>
          </cell>
          <cell r="E383">
            <v>0.50080000000000002</v>
          </cell>
        </row>
        <row r="384">
          <cell r="B384">
            <v>3.8900009999999612</v>
          </cell>
          <cell r="C384">
            <v>3.889999999999961</v>
          </cell>
          <cell r="D384">
            <v>0.12590000000000001</v>
          </cell>
          <cell r="E384">
            <v>0.50090000000000001</v>
          </cell>
        </row>
        <row r="385">
          <cell r="B385">
            <v>3.900000999999961</v>
          </cell>
          <cell r="C385">
            <v>3.8999999999999608</v>
          </cell>
          <cell r="D385">
            <v>0.126</v>
          </cell>
          <cell r="E385">
            <v>0.501</v>
          </cell>
        </row>
        <row r="386">
          <cell r="B386">
            <v>3.9100009999999608</v>
          </cell>
          <cell r="C386">
            <v>3.9099999999999606</v>
          </cell>
          <cell r="D386">
            <v>0.126</v>
          </cell>
          <cell r="E386">
            <v>0.50109999999999999</v>
          </cell>
        </row>
        <row r="387">
          <cell r="B387">
            <v>3.9200009999999605</v>
          </cell>
          <cell r="C387">
            <v>3.9199999999999604</v>
          </cell>
          <cell r="D387">
            <v>0.126</v>
          </cell>
          <cell r="E387">
            <v>0.50119999999999998</v>
          </cell>
        </row>
        <row r="388">
          <cell r="B388">
            <v>3.9300009999999603</v>
          </cell>
          <cell r="C388">
            <v>3.9299999999999602</v>
          </cell>
          <cell r="D388">
            <v>0.126</v>
          </cell>
          <cell r="E388">
            <v>0.50129999999999997</v>
          </cell>
        </row>
        <row r="389">
          <cell r="B389">
            <v>3.9400009999999601</v>
          </cell>
          <cell r="C389">
            <v>3.93999999999996</v>
          </cell>
          <cell r="D389">
            <v>0.126</v>
          </cell>
          <cell r="E389">
            <v>0.50139999999999996</v>
          </cell>
        </row>
        <row r="390">
          <cell r="B390">
            <v>3.9500009999999599</v>
          </cell>
          <cell r="C390">
            <v>3.9499999999999598</v>
          </cell>
          <cell r="D390">
            <v>0.126</v>
          </cell>
          <cell r="E390">
            <v>0.50150000000000006</v>
          </cell>
        </row>
        <row r="391">
          <cell r="B391">
            <v>3.9600009999999597</v>
          </cell>
          <cell r="C391">
            <v>3.9599999999999596</v>
          </cell>
          <cell r="D391">
            <v>0.126</v>
          </cell>
          <cell r="E391">
            <v>0.50160000000000005</v>
          </cell>
        </row>
        <row r="392">
          <cell r="B392">
            <v>3.9700009999999595</v>
          </cell>
          <cell r="C392">
            <v>3.9699999999999593</v>
          </cell>
          <cell r="D392">
            <v>0.126</v>
          </cell>
          <cell r="E392">
            <v>0.50170000000000003</v>
          </cell>
        </row>
        <row r="393">
          <cell r="B393">
            <v>3.9800009999999593</v>
          </cell>
          <cell r="C393">
            <v>3.9799999999999591</v>
          </cell>
          <cell r="D393">
            <v>0.126</v>
          </cell>
          <cell r="E393">
            <v>0.50180000000000002</v>
          </cell>
        </row>
        <row r="394">
          <cell r="B394">
            <v>3.9900009999999591</v>
          </cell>
          <cell r="C394">
            <v>3.9899999999999589</v>
          </cell>
          <cell r="D394">
            <v>0.126</v>
          </cell>
          <cell r="E394">
            <v>0.50190000000000001</v>
          </cell>
        </row>
        <row r="395">
          <cell r="B395">
            <v>4.0000009999999584</v>
          </cell>
          <cell r="C395">
            <v>3.9999999999999587</v>
          </cell>
          <cell r="D395">
            <v>0.126</v>
          </cell>
          <cell r="E395">
            <v>0.502</v>
          </cell>
        </row>
        <row r="396">
          <cell r="B396">
            <v>4.0100009999999591</v>
          </cell>
          <cell r="C396">
            <v>4.0099999999999589</v>
          </cell>
          <cell r="D396">
            <v>0.12609999999999999</v>
          </cell>
          <cell r="E396">
            <v>0.502</v>
          </cell>
        </row>
        <row r="397">
          <cell r="B397">
            <v>4.0200009999999589</v>
          </cell>
          <cell r="C397">
            <v>4.0199999999999587</v>
          </cell>
          <cell r="D397">
            <v>0.12620000000000001</v>
          </cell>
          <cell r="E397">
            <v>0.502</v>
          </cell>
        </row>
        <row r="398">
          <cell r="B398">
            <v>4.0300009999999586</v>
          </cell>
          <cell r="C398">
            <v>4.0299999999999585</v>
          </cell>
          <cell r="D398">
            <v>0.1263</v>
          </cell>
          <cell r="E398">
            <v>0.502</v>
          </cell>
        </row>
        <row r="399">
          <cell r="B399">
            <v>4.0400009999999584</v>
          </cell>
          <cell r="C399">
            <v>4.0399999999999583</v>
          </cell>
          <cell r="D399">
            <v>0.12640000000000001</v>
          </cell>
          <cell r="E399">
            <v>0.502</v>
          </cell>
        </row>
        <row r="400">
          <cell r="B400">
            <v>4.0500009999999582</v>
          </cell>
          <cell r="C400">
            <v>4.0499999999999581</v>
          </cell>
          <cell r="D400">
            <v>0.1265</v>
          </cell>
          <cell r="E400">
            <v>0.502</v>
          </cell>
        </row>
        <row r="401">
          <cell r="B401">
            <v>4.060000999999958</v>
          </cell>
          <cell r="C401">
            <v>4.0599999999999579</v>
          </cell>
          <cell r="D401">
            <v>0.12659999999999999</v>
          </cell>
          <cell r="E401">
            <v>0.502</v>
          </cell>
        </row>
        <row r="402">
          <cell r="B402">
            <v>4.0700009999999578</v>
          </cell>
          <cell r="C402">
            <v>4.0699999999999577</v>
          </cell>
          <cell r="D402">
            <v>0.12670000000000001</v>
          </cell>
          <cell r="E402">
            <v>0.502</v>
          </cell>
        </row>
        <row r="403">
          <cell r="B403">
            <v>4.0800009999999576</v>
          </cell>
          <cell r="C403">
            <v>4.0799999999999574</v>
          </cell>
          <cell r="D403">
            <v>0.1268</v>
          </cell>
          <cell r="E403">
            <v>0.502</v>
          </cell>
        </row>
        <row r="404">
          <cell r="B404">
            <v>4.0900009999999574</v>
          </cell>
          <cell r="C404">
            <v>4.0899999999999572</v>
          </cell>
          <cell r="D404">
            <v>0.12690000000000001</v>
          </cell>
          <cell r="E404">
            <v>0.502</v>
          </cell>
        </row>
        <row r="405">
          <cell r="B405">
            <v>4.1000009999999572</v>
          </cell>
          <cell r="C405">
            <v>4.099999999999957</v>
          </cell>
          <cell r="D405">
            <v>0.127</v>
          </cell>
          <cell r="E405">
            <v>0.502</v>
          </cell>
        </row>
        <row r="406">
          <cell r="B406">
            <v>4.1100009999999569</v>
          </cell>
          <cell r="C406">
            <v>4.1099999999999568</v>
          </cell>
          <cell r="D406">
            <v>0.127</v>
          </cell>
          <cell r="E406">
            <v>0.50209999999999999</v>
          </cell>
        </row>
        <row r="407">
          <cell r="B407">
            <v>4.1200009999999567</v>
          </cell>
          <cell r="C407">
            <v>4.1199999999999566</v>
          </cell>
          <cell r="D407">
            <v>0.127</v>
          </cell>
          <cell r="E407">
            <v>0.50219999999999998</v>
          </cell>
        </row>
        <row r="408">
          <cell r="B408">
            <v>4.1300009999999565</v>
          </cell>
          <cell r="C408">
            <v>4.1299999999999564</v>
          </cell>
          <cell r="D408">
            <v>0.127</v>
          </cell>
          <cell r="E408">
            <v>0.50229999999999997</v>
          </cell>
        </row>
        <row r="409">
          <cell r="B409">
            <v>4.1400009999999563</v>
          </cell>
          <cell r="C409">
            <v>4.1399999999999562</v>
          </cell>
          <cell r="D409">
            <v>0.127</v>
          </cell>
          <cell r="E409">
            <v>0.50239999999999996</v>
          </cell>
        </row>
        <row r="410">
          <cell r="B410">
            <v>4.1500009999999561</v>
          </cell>
          <cell r="C410">
            <v>4.1499999999999559</v>
          </cell>
          <cell r="D410">
            <v>0.127</v>
          </cell>
          <cell r="E410">
            <v>0.50249999999999995</v>
          </cell>
        </row>
        <row r="411">
          <cell r="B411">
            <v>4.1600009999999559</v>
          </cell>
          <cell r="C411">
            <v>4.1599999999999557</v>
          </cell>
          <cell r="D411">
            <v>0.127</v>
          </cell>
          <cell r="E411">
            <v>0.50260000000000005</v>
          </cell>
        </row>
        <row r="412">
          <cell r="B412">
            <v>4.1700009999999557</v>
          </cell>
          <cell r="C412">
            <v>4.1699999999999555</v>
          </cell>
          <cell r="D412">
            <v>0.127</v>
          </cell>
          <cell r="E412">
            <v>0.50270000000000004</v>
          </cell>
        </row>
        <row r="413">
          <cell r="B413">
            <v>4.1800009999999554</v>
          </cell>
          <cell r="C413">
            <v>4.1799999999999553</v>
          </cell>
          <cell r="D413">
            <v>0.127</v>
          </cell>
          <cell r="E413">
            <v>0.50280000000000002</v>
          </cell>
        </row>
        <row r="414">
          <cell r="B414">
            <v>4.1900009999999552</v>
          </cell>
          <cell r="C414">
            <v>4.1899999999999551</v>
          </cell>
          <cell r="D414">
            <v>0.127</v>
          </cell>
          <cell r="E414">
            <v>0.50290000000000001</v>
          </cell>
        </row>
        <row r="415">
          <cell r="B415">
            <v>4.200000999999955</v>
          </cell>
          <cell r="C415">
            <v>4.1999999999999549</v>
          </cell>
          <cell r="D415">
            <v>0.127</v>
          </cell>
          <cell r="E415">
            <v>0.503</v>
          </cell>
        </row>
        <row r="416">
          <cell r="B416">
            <v>4.2100009999999548</v>
          </cell>
          <cell r="C416">
            <v>4.2099999999999547</v>
          </cell>
          <cell r="D416">
            <v>0.12709999999999999</v>
          </cell>
          <cell r="E416">
            <v>0.503</v>
          </cell>
        </row>
        <row r="417">
          <cell r="B417">
            <v>4.2200009999999546</v>
          </cell>
          <cell r="C417">
            <v>4.2199999999999545</v>
          </cell>
          <cell r="D417">
            <v>0.12720000000000001</v>
          </cell>
          <cell r="E417">
            <v>0.503</v>
          </cell>
        </row>
        <row r="418">
          <cell r="B418">
            <v>4.2300009999999544</v>
          </cell>
          <cell r="C418">
            <v>4.2299999999999542</v>
          </cell>
          <cell r="D418">
            <v>0.1273</v>
          </cell>
          <cell r="E418">
            <v>0.503</v>
          </cell>
        </row>
        <row r="419">
          <cell r="B419">
            <v>4.2400009999999542</v>
          </cell>
          <cell r="C419">
            <v>4.239999999999954</v>
          </cell>
          <cell r="D419">
            <v>0.12740000000000001</v>
          </cell>
          <cell r="E419">
            <v>0.503</v>
          </cell>
        </row>
        <row r="420">
          <cell r="B420">
            <v>4.250000999999954</v>
          </cell>
          <cell r="C420">
            <v>4.2499999999999538</v>
          </cell>
          <cell r="D420">
            <v>0.1275</v>
          </cell>
          <cell r="E420">
            <v>0.503</v>
          </cell>
        </row>
        <row r="421">
          <cell r="B421">
            <v>4.2600009999999537</v>
          </cell>
          <cell r="C421">
            <v>4.2599999999999536</v>
          </cell>
          <cell r="D421">
            <v>0.12759999999999999</v>
          </cell>
          <cell r="E421">
            <v>0.503</v>
          </cell>
        </row>
        <row r="422">
          <cell r="B422">
            <v>4.2700009999999535</v>
          </cell>
          <cell r="C422">
            <v>4.2699999999999534</v>
          </cell>
          <cell r="D422">
            <v>0.12770000000000001</v>
          </cell>
          <cell r="E422">
            <v>0.503</v>
          </cell>
        </row>
        <row r="423">
          <cell r="B423">
            <v>4.2800009999999533</v>
          </cell>
          <cell r="C423">
            <v>4.2799999999999532</v>
          </cell>
          <cell r="D423">
            <v>0.1278</v>
          </cell>
          <cell r="E423">
            <v>0.503</v>
          </cell>
        </row>
        <row r="424">
          <cell r="B424">
            <v>4.2900009999999531</v>
          </cell>
          <cell r="C424">
            <v>4.289999999999953</v>
          </cell>
          <cell r="D424">
            <v>0.12790000000000001</v>
          </cell>
          <cell r="E424">
            <v>0.503</v>
          </cell>
        </row>
        <row r="425">
          <cell r="B425">
            <v>4.3000009999999529</v>
          </cell>
          <cell r="C425">
            <v>4.2999999999999527</v>
          </cell>
          <cell r="D425">
            <v>0.128</v>
          </cell>
          <cell r="E425">
            <v>0.503</v>
          </cell>
        </row>
        <row r="426">
          <cell r="B426">
            <v>4.3100009999999527</v>
          </cell>
          <cell r="C426">
            <v>4.3099999999999525</v>
          </cell>
          <cell r="D426">
            <v>0.128</v>
          </cell>
          <cell r="E426">
            <v>0.50309999999999999</v>
          </cell>
        </row>
        <row r="427">
          <cell r="B427">
            <v>4.3200009999999525</v>
          </cell>
          <cell r="C427">
            <v>4.3199999999999523</v>
          </cell>
          <cell r="D427">
            <v>0.128</v>
          </cell>
          <cell r="E427">
            <v>0.50319999999999998</v>
          </cell>
        </row>
        <row r="428">
          <cell r="B428">
            <v>4.3300009999999522</v>
          </cell>
          <cell r="C428">
            <v>4.3299999999999521</v>
          </cell>
          <cell r="D428">
            <v>0.128</v>
          </cell>
          <cell r="E428">
            <v>0.50329999999999997</v>
          </cell>
        </row>
        <row r="429">
          <cell r="B429">
            <v>4.340000999999952</v>
          </cell>
          <cell r="C429">
            <v>4.3399999999999519</v>
          </cell>
          <cell r="D429">
            <v>0.128</v>
          </cell>
          <cell r="E429">
            <v>0.50339999999999996</v>
          </cell>
        </row>
        <row r="430">
          <cell r="B430">
            <v>4.3500009999999518</v>
          </cell>
          <cell r="C430">
            <v>4.3499999999999517</v>
          </cell>
          <cell r="D430">
            <v>0.128</v>
          </cell>
          <cell r="E430">
            <v>0.50350000000000006</v>
          </cell>
        </row>
        <row r="431">
          <cell r="B431">
            <v>4.3600009999999516</v>
          </cell>
          <cell r="C431">
            <v>4.3599999999999515</v>
          </cell>
          <cell r="D431">
            <v>0.128</v>
          </cell>
          <cell r="E431">
            <v>0.50360000000000005</v>
          </cell>
        </row>
        <row r="432">
          <cell r="B432">
            <v>4.3700009999999514</v>
          </cell>
          <cell r="C432">
            <v>4.3699999999999513</v>
          </cell>
          <cell r="D432">
            <v>0.128</v>
          </cell>
          <cell r="E432">
            <v>0.50370000000000004</v>
          </cell>
        </row>
        <row r="433">
          <cell r="B433">
            <v>4.3800009999999512</v>
          </cell>
          <cell r="C433">
            <v>4.379999999999951</v>
          </cell>
          <cell r="D433">
            <v>0.128</v>
          </cell>
          <cell r="E433">
            <v>0.50380000000000003</v>
          </cell>
        </row>
        <row r="434">
          <cell r="B434">
            <v>4.390000999999951</v>
          </cell>
          <cell r="C434">
            <v>4.3899999999999508</v>
          </cell>
          <cell r="D434">
            <v>0.128</v>
          </cell>
          <cell r="E434">
            <v>0.50390000000000001</v>
          </cell>
        </row>
        <row r="435">
          <cell r="B435">
            <v>4.4000009999999508</v>
          </cell>
          <cell r="C435">
            <v>4.3999999999999506</v>
          </cell>
          <cell r="D435">
            <v>0.128</v>
          </cell>
          <cell r="E435">
            <v>0.504</v>
          </cell>
        </row>
        <row r="436">
          <cell r="B436">
            <v>4.4100009999999505</v>
          </cell>
          <cell r="C436">
            <v>4.4099999999999504</v>
          </cell>
          <cell r="D436">
            <v>0.12809999999999999</v>
          </cell>
          <cell r="E436">
            <v>0.50409999999999999</v>
          </cell>
        </row>
        <row r="437">
          <cell r="B437">
            <v>4.4200009999999503</v>
          </cell>
          <cell r="C437">
            <v>4.4199999999999502</v>
          </cell>
          <cell r="D437">
            <v>0.12820000000000001</v>
          </cell>
          <cell r="E437">
            <v>0.50419999999999998</v>
          </cell>
        </row>
        <row r="438">
          <cell r="B438">
            <v>4.4300009999999501</v>
          </cell>
          <cell r="C438">
            <v>4.42999999999995</v>
          </cell>
          <cell r="D438">
            <v>0.1283</v>
          </cell>
          <cell r="E438">
            <v>0.50429999999999997</v>
          </cell>
        </row>
        <row r="439">
          <cell r="B439">
            <v>4.4400009999999499</v>
          </cell>
          <cell r="C439">
            <v>4.4399999999999498</v>
          </cell>
          <cell r="D439">
            <v>0.12840000000000001</v>
          </cell>
          <cell r="E439">
            <v>0.50439999999999996</v>
          </cell>
        </row>
        <row r="440">
          <cell r="B440">
            <v>4.4500009999999497</v>
          </cell>
          <cell r="C440">
            <v>4.4499999999999496</v>
          </cell>
          <cell r="D440">
            <v>0.1285</v>
          </cell>
          <cell r="E440">
            <v>0.50449999999999995</v>
          </cell>
        </row>
        <row r="441">
          <cell r="B441">
            <v>4.4600009999999495</v>
          </cell>
          <cell r="C441">
            <v>4.4599999999999493</v>
          </cell>
          <cell r="D441">
            <v>0.12859999999999999</v>
          </cell>
          <cell r="E441">
            <v>0.50460000000000005</v>
          </cell>
        </row>
        <row r="442">
          <cell r="B442">
            <v>4.4700009999999493</v>
          </cell>
          <cell r="C442">
            <v>4.4699999999999491</v>
          </cell>
          <cell r="D442">
            <v>0.12870000000000001</v>
          </cell>
          <cell r="E442">
            <v>0.50470000000000004</v>
          </cell>
        </row>
        <row r="443">
          <cell r="B443">
            <v>4.4800009999999491</v>
          </cell>
          <cell r="C443">
            <v>4.4799999999999489</v>
          </cell>
          <cell r="D443">
            <v>0.1288</v>
          </cell>
          <cell r="E443">
            <v>0.50480000000000003</v>
          </cell>
        </row>
        <row r="444">
          <cell r="B444">
            <v>4.4900009999999488</v>
          </cell>
          <cell r="C444">
            <v>4.4899999999999487</v>
          </cell>
          <cell r="D444">
            <v>0.12890000000000001</v>
          </cell>
          <cell r="E444">
            <v>0.50490000000000002</v>
          </cell>
        </row>
        <row r="445">
          <cell r="B445">
            <v>4.5000009999999486</v>
          </cell>
          <cell r="C445">
            <v>4.4999999999999485</v>
          </cell>
          <cell r="D445">
            <v>0.129</v>
          </cell>
          <cell r="E445">
            <v>0.505</v>
          </cell>
        </row>
        <row r="446">
          <cell r="B446">
            <v>4.5100009999999484</v>
          </cell>
          <cell r="C446">
            <v>4.5099999999999483</v>
          </cell>
          <cell r="D446">
            <v>0.129</v>
          </cell>
          <cell r="E446">
            <v>0.50509999999999999</v>
          </cell>
        </row>
        <row r="447">
          <cell r="B447">
            <v>4.5200009999999482</v>
          </cell>
          <cell r="C447">
            <v>4.5199999999999481</v>
          </cell>
          <cell r="D447">
            <v>0.129</v>
          </cell>
          <cell r="E447">
            <v>0.50519999999999998</v>
          </cell>
        </row>
        <row r="448">
          <cell r="B448">
            <v>4.530000999999948</v>
          </cell>
          <cell r="C448">
            <v>4.5299999999999478</v>
          </cell>
          <cell r="D448">
            <v>0.129</v>
          </cell>
          <cell r="E448">
            <v>0.50529999999999997</v>
          </cell>
        </row>
        <row r="449">
          <cell r="B449">
            <v>4.5400009999999478</v>
          </cell>
          <cell r="C449">
            <v>4.5399999999999476</v>
          </cell>
          <cell r="D449">
            <v>0.129</v>
          </cell>
          <cell r="E449">
            <v>0.50539999999999996</v>
          </cell>
        </row>
        <row r="450">
          <cell r="B450">
            <v>4.5500009999999476</v>
          </cell>
          <cell r="C450">
            <v>4.5499999999999474</v>
          </cell>
          <cell r="D450">
            <v>0.129</v>
          </cell>
          <cell r="E450">
            <v>0.50550000000000006</v>
          </cell>
        </row>
        <row r="451">
          <cell r="B451">
            <v>4.5600009999999473</v>
          </cell>
          <cell r="C451">
            <v>4.5599999999999472</v>
          </cell>
          <cell r="D451">
            <v>0.129</v>
          </cell>
          <cell r="E451">
            <v>0.50560000000000005</v>
          </cell>
        </row>
        <row r="452">
          <cell r="B452">
            <v>4.5700009999999471</v>
          </cell>
          <cell r="C452">
            <v>4.569999999999947</v>
          </cell>
          <cell r="D452">
            <v>0.129</v>
          </cell>
          <cell r="E452">
            <v>0.50570000000000004</v>
          </cell>
        </row>
        <row r="453">
          <cell r="B453">
            <v>4.5800009999999469</v>
          </cell>
          <cell r="C453">
            <v>4.5799999999999468</v>
          </cell>
          <cell r="D453">
            <v>0.129</v>
          </cell>
          <cell r="E453">
            <v>0.50580000000000003</v>
          </cell>
        </row>
        <row r="454">
          <cell r="B454">
            <v>4.5900009999999467</v>
          </cell>
          <cell r="C454">
            <v>4.5899999999999466</v>
          </cell>
          <cell r="D454">
            <v>0.129</v>
          </cell>
          <cell r="E454">
            <v>0.50590000000000002</v>
          </cell>
        </row>
        <row r="455">
          <cell r="B455">
            <v>4.6000009999999465</v>
          </cell>
          <cell r="C455">
            <v>4.5999999999999464</v>
          </cell>
          <cell r="D455">
            <v>0.129</v>
          </cell>
          <cell r="E455">
            <v>0.50600000000000001</v>
          </cell>
        </row>
        <row r="456">
          <cell r="B456">
            <v>4.6100009999999463</v>
          </cell>
          <cell r="C456">
            <v>4.6099999999999461</v>
          </cell>
          <cell r="D456">
            <v>0.12909999999999999</v>
          </cell>
          <cell r="E456">
            <v>0.50609999999999999</v>
          </cell>
        </row>
        <row r="457">
          <cell r="B457">
            <v>4.6200009999999461</v>
          </cell>
          <cell r="C457">
            <v>4.6199999999999459</v>
          </cell>
          <cell r="D457">
            <v>0.12920000000000001</v>
          </cell>
          <cell r="E457">
            <v>0.50619999999999998</v>
          </cell>
        </row>
        <row r="458">
          <cell r="B458">
            <v>4.6300009999999459</v>
          </cell>
          <cell r="C458">
            <v>4.6299999999999457</v>
          </cell>
          <cell r="D458">
            <v>0.1293</v>
          </cell>
          <cell r="E458">
            <v>0.50629999999999997</v>
          </cell>
        </row>
        <row r="459">
          <cell r="B459">
            <v>4.6400009999999456</v>
          </cell>
          <cell r="C459">
            <v>4.6399999999999455</v>
          </cell>
          <cell r="D459">
            <v>0.12940000000000002</v>
          </cell>
          <cell r="E459">
            <v>0.50639999999999996</v>
          </cell>
        </row>
        <row r="460">
          <cell r="B460">
            <v>4.6500009999999454</v>
          </cell>
          <cell r="C460">
            <v>4.6499999999999453</v>
          </cell>
          <cell r="D460">
            <v>0.1295</v>
          </cell>
          <cell r="E460">
            <v>0.50649999999999995</v>
          </cell>
        </row>
        <row r="461">
          <cell r="B461">
            <v>4.6600009999999452</v>
          </cell>
          <cell r="C461">
            <v>4.6599999999999451</v>
          </cell>
          <cell r="D461">
            <v>0.12959999999999999</v>
          </cell>
          <cell r="E461">
            <v>0.50660000000000005</v>
          </cell>
        </row>
        <row r="462">
          <cell r="B462">
            <v>4.670000999999945</v>
          </cell>
          <cell r="C462">
            <v>4.6699999999999449</v>
          </cell>
          <cell r="D462">
            <v>0.12970000000000001</v>
          </cell>
          <cell r="E462">
            <v>0.50670000000000004</v>
          </cell>
        </row>
        <row r="463">
          <cell r="B463">
            <v>4.6800009999999448</v>
          </cell>
          <cell r="C463">
            <v>4.6799999999999446</v>
          </cell>
          <cell r="D463">
            <v>0.1298</v>
          </cell>
          <cell r="E463">
            <v>0.50680000000000003</v>
          </cell>
        </row>
        <row r="464">
          <cell r="B464">
            <v>4.6900009999999446</v>
          </cell>
          <cell r="C464">
            <v>4.6899999999999444</v>
          </cell>
          <cell r="D464">
            <v>0.12990000000000002</v>
          </cell>
          <cell r="E464">
            <v>0.50690000000000002</v>
          </cell>
        </row>
        <row r="465">
          <cell r="B465">
            <v>4.7000009999999444</v>
          </cell>
          <cell r="C465">
            <v>4.6999999999999442</v>
          </cell>
          <cell r="D465">
            <v>0.13</v>
          </cell>
          <cell r="E465">
            <v>0.50700000000000001</v>
          </cell>
        </row>
        <row r="466">
          <cell r="B466">
            <v>4.7100009999999441</v>
          </cell>
          <cell r="C466">
            <v>4.709999999999944</v>
          </cell>
          <cell r="D466">
            <v>0.13</v>
          </cell>
          <cell r="E466">
            <v>0.5071</v>
          </cell>
        </row>
        <row r="467">
          <cell r="B467">
            <v>4.7200009999999439</v>
          </cell>
          <cell r="C467">
            <v>4.7199999999999438</v>
          </cell>
          <cell r="D467">
            <v>0.13</v>
          </cell>
          <cell r="E467">
            <v>0.50719999999999998</v>
          </cell>
        </row>
        <row r="468">
          <cell r="B468">
            <v>4.7300009999999437</v>
          </cell>
          <cell r="C468">
            <v>4.7299999999999436</v>
          </cell>
          <cell r="D468">
            <v>0.13</v>
          </cell>
          <cell r="E468">
            <v>0.50729999999999997</v>
          </cell>
        </row>
        <row r="469">
          <cell r="B469">
            <v>4.7400009999999435</v>
          </cell>
          <cell r="C469">
            <v>4.7399999999999434</v>
          </cell>
          <cell r="D469">
            <v>0.13</v>
          </cell>
          <cell r="E469">
            <v>0.50739999999999996</v>
          </cell>
        </row>
        <row r="470">
          <cell r="B470">
            <v>4.7500009999999433</v>
          </cell>
          <cell r="C470">
            <v>4.7499999999999432</v>
          </cell>
          <cell r="D470">
            <v>0.13</v>
          </cell>
          <cell r="E470">
            <v>0.50750000000000006</v>
          </cell>
        </row>
        <row r="471">
          <cell r="B471">
            <v>4.7600009999999431</v>
          </cell>
          <cell r="C471">
            <v>4.7599999999999429</v>
          </cell>
          <cell r="D471">
            <v>0.13</v>
          </cell>
          <cell r="E471">
            <v>0.50760000000000005</v>
          </cell>
        </row>
        <row r="472">
          <cell r="B472">
            <v>4.7700009999999429</v>
          </cell>
          <cell r="C472">
            <v>4.7699999999999427</v>
          </cell>
          <cell r="D472">
            <v>0.13</v>
          </cell>
          <cell r="E472">
            <v>0.50770000000000004</v>
          </cell>
        </row>
        <row r="473">
          <cell r="B473">
            <v>4.7800009999999427</v>
          </cell>
          <cell r="C473">
            <v>4.7799999999999425</v>
          </cell>
          <cell r="D473">
            <v>0.13</v>
          </cell>
          <cell r="E473">
            <v>0.50780000000000003</v>
          </cell>
        </row>
        <row r="474">
          <cell r="B474">
            <v>4.7900009999999424</v>
          </cell>
          <cell r="C474">
            <v>4.7899999999999423</v>
          </cell>
          <cell r="D474">
            <v>0.13</v>
          </cell>
          <cell r="E474">
            <v>0.50790000000000002</v>
          </cell>
        </row>
        <row r="475">
          <cell r="B475">
            <v>4.8000009999999422</v>
          </cell>
          <cell r="C475">
            <v>4.7999999999999421</v>
          </cell>
          <cell r="D475">
            <v>0.13</v>
          </cell>
          <cell r="E475">
            <v>0.50800000000000001</v>
          </cell>
        </row>
        <row r="476">
          <cell r="B476">
            <v>4.810000999999942</v>
          </cell>
          <cell r="C476">
            <v>4.8099999999999419</v>
          </cell>
          <cell r="D476">
            <v>0.13009999999999999</v>
          </cell>
          <cell r="E476">
            <v>0.5081</v>
          </cell>
        </row>
        <row r="477">
          <cell r="B477">
            <v>4.8200009999999418</v>
          </cell>
          <cell r="C477">
            <v>4.8199999999999417</v>
          </cell>
          <cell r="D477">
            <v>0.13020000000000001</v>
          </cell>
          <cell r="E477">
            <v>0.50819999999999999</v>
          </cell>
        </row>
        <row r="478">
          <cell r="B478">
            <v>4.8300009999999416</v>
          </cell>
          <cell r="C478">
            <v>4.8299999999999415</v>
          </cell>
          <cell r="D478">
            <v>0.1303</v>
          </cell>
          <cell r="E478">
            <v>0.50829999999999997</v>
          </cell>
        </row>
        <row r="479">
          <cell r="B479">
            <v>4.8400009999999414</v>
          </cell>
          <cell r="C479">
            <v>4.8399999999999412</v>
          </cell>
          <cell r="D479">
            <v>0.13040000000000002</v>
          </cell>
          <cell r="E479">
            <v>0.50839999999999996</v>
          </cell>
        </row>
        <row r="480">
          <cell r="B480">
            <v>4.8500009999999412</v>
          </cell>
          <cell r="C480">
            <v>4.849999999999941</v>
          </cell>
          <cell r="D480">
            <v>0.1305</v>
          </cell>
          <cell r="E480">
            <v>0.50849999999999995</v>
          </cell>
        </row>
        <row r="481">
          <cell r="B481">
            <v>4.860000999999941</v>
          </cell>
          <cell r="C481">
            <v>4.8599999999999408</v>
          </cell>
          <cell r="D481">
            <v>0.13059999999999999</v>
          </cell>
          <cell r="E481">
            <v>0.50860000000000005</v>
          </cell>
        </row>
        <row r="482">
          <cell r="B482">
            <v>4.8700009999999407</v>
          </cell>
          <cell r="C482">
            <v>4.8699999999999406</v>
          </cell>
          <cell r="D482">
            <v>0.13070000000000001</v>
          </cell>
          <cell r="E482">
            <v>0.50870000000000004</v>
          </cell>
        </row>
        <row r="483">
          <cell r="B483">
            <v>4.8800009999999405</v>
          </cell>
          <cell r="C483">
            <v>4.8799999999999404</v>
          </cell>
          <cell r="D483">
            <v>0.1308</v>
          </cell>
          <cell r="E483">
            <v>0.50880000000000003</v>
          </cell>
        </row>
        <row r="484">
          <cell r="B484">
            <v>4.8900009999999403</v>
          </cell>
          <cell r="C484">
            <v>4.8899999999999402</v>
          </cell>
          <cell r="D484">
            <v>0.13090000000000002</v>
          </cell>
          <cell r="E484">
            <v>0.50890000000000002</v>
          </cell>
        </row>
        <row r="485">
          <cell r="B485">
            <v>4.9000009999999401</v>
          </cell>
          <cell r="C485">
            <v>4.89999999999994</v>
          </cell>
          <cell r="D485">
            <v>0.13100000000000001</v>
          </cell>
          <cell r="E485">
            <v>0.50900000000000001</v>
          </cell>
        </row>
        <row r="486">
          <cell r="B486">
            <v>4.9100009999999399</v>
          </cell>
          <cell r="C486">
            <v>4.9099999999999397</v>
          </cell>
          <cell r="D486">
            <v>0.13100000000000001</v>
          </cell>
          <cell r="E486">
            <v>0.5091</v>
          </cell>
        </row>
        <row r="487">
          <cell r="B487">
            <v>4.9200009999999397</v>
          </cell>
          <cell r="C487">
            <v>4.9199999999999395</v>
          </cell>
          <cell r="D487">
            <v>0.13100000000000001</v>
          </cell>
          <cell r="E487">
            <v>0.50919999999999999</v>
          </cell>
        </row>
        <row r="488">
          <cell r="B488">
            <v>4.9300009999999395</v>
          </cell>
          <cell r="C488">
            <v>4.9299999999999393</v>
          </cell>
          <cell r="D488">
            <v>0.13100000000000001</v>
          </cell>
          <cell r="E488">
            <v>0.50929999999999997</v>
          </cell>
        </row>
        <row r="489">
          <cell r="B489">
            <v>4.9400009999999392</v>
          </cell>
          <cell r="C489">
            <v>4.9399999999999391</v>
          </cell>
          <cell r="D489">
            <v>0.13100000000000001</v>
          </cell>
          <cell r="E489">
            <v>0.50939999999999996</v>
          </cell>
        </row>
        <row r="490">
          <cell r="B490">
            <v>4.950000999999939</v>
          </cell>
          <cell r="C490">
            <v>4.9499999999999389</v>
          </cell>
          <cell r="D490">
            <v>0.13100000000000001</v>
          </cell>
          <cell r="E490">
            <v>0.50950000000000006</v>
          </cell>
        </row>
        <row r="491">
          <cell r="B491">
            <v>4.9600009999999388</v>
          </cell>
          <cell r="C491">
            <v>4.9599999999999387</v>
          </cell>
          <cell r="D491">
            <v>0.13100000000000001</v>
          </cell>
          <cell r="E491">
            <v>0.50960000000000005</v>
          </cell>
        </row>
        <row r="492">
          <cell r="B492">
            <v>4.9700009999999386</v>
          </cell>
          <cell r="C492">
            <v>4.9699999999999385</v>
          </cell>
          <cell r="D492">
            <v>0.13100000000000001</v>
          </cell>
          <cell r="E492">
            <v>0.50970000000000004</v>
          </cell>
        </row>
        <row r="493">
          <cell r="B493">
            <v>4.9800009999999384</v>
          </cell>
          <cell r="C493">
            <v>4.9799999999999383</v>
          </cell>
          <cell r="D493">
            <v>0.13100000000000001</v>
          </cell>
          <cell r="E493">
            <v>0.50980000000000003</v>
          </cell>
        </row>
        <row r="494">
          <cell r="B494">
            <v>4.9900009999999382</v>
          </cell>
          <cell r="C494">
            <v>4.989999999999938</v>
          </cell>
          <cell r="D494">
            <v>0.13100000000000001</v>
          </cell>
          <cell r="E494">
            <v>0.50990000000000002</v>
          </cell>
        </row>
        <row r="495">
          <cell r="B495">
            <v>5.000000999999938</v>
          </cell>
          <cell r="C495">
            <v>4.9999999999999378</v>
          </cell>
          <cell r="D495">
            <v>0.13100000000000001</v>
          </cell>
          <cell r="E495">
            <v>0.51</v>
          </cell>
        </row>
      </sheetData>
      <sheetData sheetId="2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1.동력공사"/>
      <sheetName val="3.제어공사"/>
      <sheetName val="Sheet1"/>
    </sheetNames>
    <sheetDataSet>
      <sheetData sheetId="0">
        <row r="1">
          <cell r="A1" t="str">
            <v>1.동력공사</v>
          </cell>
        </row>
        <row r="2">
          <cell r="A2" t="str">
            <v>품명및규격</v>
          </cell>
          <cell r="B2" t="str">
            <v>수량산출근거</v>
          </cell>
          <cell r="C2" t="str">
            <v>전선관(아연도)</v>
          </cell>
          <cell r="G2" t="str">
            <v>ELP전선관</v>
          </cell>
          <cell r="J2" t="str">
            <v>KOFLEX전선관</v>
          </cell>
          <cell r="N2" t="str">
            <v>노말밴드(아연도)</v>
          </cell>
          <cell r="Q2" t="str">
            <v xml:space="preserve">600V CV-CABLE </v>
          </cell>
          <cell r="AD2" t="str">
            <v>전선(GV)</v>
          </cell>
          <cell r="AH2" t="str">
            <v>PULL BOX</v>
          </cell>
          <cell r="AJ2" t="str">
            <v>CABLE TRAY</v>
          </cell>
          <cell r="AM2" t="str">
            <v>HOR.TEE</v>
          </cell>
          <cell r="AO2" t="str">
            <v>HOR.ELBOW</v>
          </cell>
          <cell r="AQ2" t="str">
            <v>COVER</v>
          </cell>
          <cell r="AR2" t="str">
            <v>브라켓</v>
          </cell>
          <cell r="AT2" t="str">
            <v>본딩</v>
          </cell>
          <cell r="AU2" t="str">
            <v>C-찬넬</v>
          </cell>
          <cell r="AV2" t="str">
            <v>접지공사</v>
          </cell>
          <cell r="AY2" t="str">
            <v>접지단자함</v>
          </cell>
          <cell r="AZ2" t="str">
            <v>맨홀</v>
          </cell>
          <cell r="BA2" t="str">
            <v>핸드홀</v>
          </cell>
          <cell r="BB2" t="str">
            <v>터파기</v>
          </cell>
          <cell r="BC2" t="str">
            <v>되메우기</v>
          </cell>
        </row>
        <row r="3">
          <cell r="C3" t="str">
            <v>22C</v>
          </cell>
          <cell r="D3" t="str">
            <v>28C</v>
          </cell>
          <cell r="E3" t="str">
            <v>36C</v>
          </cell>
          <cell r="F3" t="str">
            <v>42C</v>
          </cell>
          <cell r="G3" t="str">
            <v>40C</v>
          </cell>
          <cell r="H3" t="str">
            <v>65C</v>
          </cell>
          <cell r="I3" t="str">
            <v>100C</v>
          </cell>
          <cell r="J3" t="str">
            <v>22C</v>
          </cell>
          <cell r="K3" t="str">
            <v>28C</v>
          </cell>
          <cell r="L3" t="str">
            <v>36C</v>
          </cell>
          <cell r="M3" t="str">
            <v>42C</v>
          </cell>
          <cell r="N3" t="str">
            <v>28C</v>
          </cell>
          <cell r="O3" t="str">
            <v>36C</v>
          </cell>
          <cell r="P3" t="str">
            <v>42C</v>
          </cell>
          <cell r="Q3" t="str">
            <v>100/1C</v>
          </cell>
          <cell r="R3" t="str">
            <v>22/1C</v>
          </cell>
          <cell r="S3" t="str">
            <v>5.5/2C</v>
          </cell>
          <cell r="T3" t="str">
            <v>3.5/3C</v>
          </cell>
          <cell r="U3" t="str">
            <v>5.5/3C</v>
          </cell>
          <cell r="V3" t="str">
            <v>8/3C</v>
          </cell>
          <cell r="W3" t="str">
            <v>14/3C</v>
          </cell>
          <cell r="X3" t="str">
            <v>22/3C</v>
          </cell>
          <cell r="Y3" t="str">
            <v>3.5/4C</v>
          </cell>
          <cell r="Z3" t="str">
            <v>5.5/4C</v>
          </cell>
          <cell r="AA3" t="str">
            <v>8/4C</v>
          </cell>
          <cell r="AB3" t="str">
            <v>14/4C</v>
          </cell>
          <cell r="AC3" t="str">
            <v>22/4C</v>
          </cell>
          <cell r="AD3">
            <v>2</v>
          </cell>
          <cell r="AE3">
            <v>3.5</v>
          </cell>
          <cell r="AF3">
            <v>5.5</v>
          </cell>
          <cell r="AG3">
            <v>38</v>
          </cell>
          <cell r="AH3" t="str">
            <v>150x150</v>
          </cell>
          <cell r="AI3" t="str">
            <v>200x200</v>
          </cell>
          <cell r="AJ3">
            <v>200</v>
          </cell>
          <cell r="AK3">
            <v>300</v>
          </cell>
          <cell r="AL3">
            <v>450</v>
          </cell>
          <cell r="AM3">
            <v>300</v>
          </cell>
          <cell r="AN3">
            <v>450</v>
          </cell>
          <cell r="AO3">
            <v>300</v>
          </cell>
          <cell r="AP3">
            <v>450</v>
          </cell>
          <cell r="AQ3">
            <v>450</v>
          </cell>
          <cell r="AR3">
            <v>300</v>
          </cell>
          <cell r="AS3">
            <v>450</v>
          </cell>
          <cell r="AT3" t="str">
            <v>점퍼</v>
          </cell>
          <cell r="AU3" t="str">
            <v>41*25*2.6t</v>
          </cell>
          <cell r="AV3" t="str">
            <v>3종</v>
          </cell>
          <cell r="AW3" t="str">
            <v>특3종</v>
          </cell>
          <cell r="AX3" t="str">
            <v>TEST</v>
          </cell>
          <cell r="AY3" t="str">
            <v>3P</v>
          </cell>
          <cell r="AZ3" t="str">
            <v>1500x1500</v>
          </cell>
          <cell r="BA3" t="str">
            <v>600x900</v>
          </cell>
        </row>
      </sheetData>
      <sheetData sheetId="1"/>
      <sheetData sheetId="2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경비집계"/>
      <sheetName val="경비계산"/>
      <sheetName val="경비배부율"/>
      <sheetName val="경비조정"/>
      <sheetName val="가구부문경비집계"/>
      <sheetName val="가구부문부서별배부액"/>
      <sheetName val="경비배부액집계"/>
      <sheetName val="공통비배부액"/>
      <sheetName val="배부율산출"/>
      <sheetName val="월별경비집계"/>
      <sheetName val="월별경비내역"/>
      <sheetName val="작업시간명세표(한양)"/>
      <sheetName val="일반관리비비율산출표"/>
      <sheetName val="일반관리및이윤율"/>
      <sheetName val="손익계산서(한양)"/>
      <sheetName val="제조원가명세서(한양)"/>
      <sheetName val="일위대가"/>
      <sheetName val="단가비교표"/>
      <sheetName val="노임단가"/>
      <sheetName val="일반문틀 설치"/>
      <sheetName val="샌딩 에폭시 도장"/>
      <sheetName val="스텐문틀설치"/>
      <sheetName val="일위대가표"/>
      <sheetName val="공사원가계산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XXXXXX"/>
      <sheetName val="설계서"/>
      <sheetName val="원가"/>
      <sheetName val="도급내역서"/>
      <sheetName val="일위대가"/>
      <sheetName val="적용단가"/>
      <sheetName val="인건비 "/>
      <sheetName val="산출집계표"/>
      <sheetName val="1.수변전간선산출"/>
      <sheetName val="2.동력간선산출"/>
      <sheetName val="3.전등산출"/>
      <sheetName val="4.전열산출"/>
      <sheetName val="5.소방산출"/>
      <sheetName val="한전외선공사비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>
        <row r="5">
          <cell r="B5">
            <v>99870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표지(전기)"/>
      <sheetName val="Ⅰ.설계설명"/>
      <sheetName val="Ⅲ.예정공정(전기)"/>
      <sheetName val="1.전문"/>
      <sheetName val="2.총괄집계표(전기)"/>
      <sheetName val="3.산출내역서(전기)"/>
      <sheetName val="5.원가계산서(전기)"/>
      <sheetName val="원가내역서합계금액"/>
      <sheetName val="4.원가기자재내역서(전기)"/>
      <sheetName val="6.일위대가 집계표(전기)"/>
      <sheetName val="6.일위대가표(전기)"/>
      <sheetName val="6.별지"/>
      <sheetName val="7.전기요금(전기)"/>
      <sheetName val="7.한전수탁(전기)"/>
      <sheetName val="7.사용전검사수수료(전기)"/>
      <sheetName val="8.단가조사서(전기)"/>
      <sheetName val="Ⅴ.댐 가설-전기"/>
      <sheetName val="Ⅵ.댐 영구-전기"/>
      <sheetName val="Ⅶ.댐 물문화관영구-전기"/>
      <sheetName val="Ⅷ.경관조명"/>
      <sheetName val="Ⅸ. 댐체조명"/>
      <sheetName val="노무비(전기)뽑지마세요"/>
      <sheetName val="유지관리비"/>
      <sheetName val="한전수탁비"/>
      <sheetName val="사용전검사비"/>
      <sheetName val="안전관리대행비"/>
      <sheetName val="전기통신요금계산"/>
      <sheetName val="한전수탁비(설비동)"/>
      <sheetName val="한전수탁비(공원 및 경관조명)"/>
      <sheetName val="한전수탁비(원격지)"/>
      <sheetName val="--여기까지출력--"/>
      <sheetName val="산출근거(공사용가시설)"/>
      <sheetName val="전력요금표(2009년6월)"/>
      <sheetName val="계약전력산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D1" t="str">
            <v>일   위   대   가   (별   지)</v>
          </cell>
        </row>
        <row r="2">
          <cell r="C2">
            <v>1</v>
          </cell>
          <cell r="D2" t="str">
            <v>별지</v>
          </cell>
          <cell r="E2" t="str">
            <v>:</v>
          </cell>
          <cell r="F2" t="str">
            <v>제</v>
          </cell>
          <cell r="G2">
            <v>1</v>
          </cell>
          <cell r="H2" t="str">
            <v>호표</v>
          </cell>
        </row>
        <row r="3">
          <cell r="B3">
            <v>1</v>
          </cell>
          <cell r="C3" t="str">
            <v>11-2, 11-3</v>
          </cell>
          <cell r="D3" t="str">
            <v>공종</v>
          </cell>
          <cell r="E3" t="str">
            <v>:</v>
          </cell>
          <cell r="F3" t="str">
            <v>굴삭기</v>
          </cell>
          <cell r="K3" t="str">
            <v>유압식백호우</v>
          </cell>
          <cell r="P3" t="str">
            <v>노무비</v>
          </cell>
          <cell r="Q3" t="str">
            <v>재료비</v>
          </cell>
          <cell r="R3" t="str">
            <v>경비</v>
          </cell>
          <cell r="T3" t="str">
            <v>합계</v>
          </cell>
        </row>
        <row r="4">
          <cell r="B4" t="str">
            <v>별지1호표</v>
          </cell>
          <cell r="D4" t="str">
            <v>단위</v>
          </cell>
          <cell r="E4" t="str">
            <v>:</v>
          </cell>
          <cell r="F4" t="str">
            <v>HR당</v>
          </cell>
          <cell r="K4" t="str">
            <v>설치</v>
          </cell>
          <cell r="O4" t="str">
            <v>설치</v>
          </cell>
          <cell r="P4">
            <v>43498</v>
          </cell>
          <cell r="Q4">
            <v>26594</v>
          </cell>
          <cell r="R4">
            <v>128880</v>
          </cell>
          <cell r="T4">
            <v>198972</v>
          </cell>
          <cell r="V4" t="str">
            <v>/Q</v>
          </cell>
        </row>
        <row r="5">
          <cell r="D5" t="str">
            <v>공종코드</v>
          </cell>
          <cell r="E5" t="str">
            <v>:</v>
          </cell>
          <cell r="F5" t="str">
            <v>-</v>
          </cell>
        </row>
        <row r="6">
          <cell r="B6" t="str">
            <v/>
          </cell>
          <cell r="C6">
            <v>1</v>
          </cell>
          <cell r="D6" t="str">
            <v>(토목품셈</v>
          </cell>
          <cell r="G6" t="str">
            <v>11-2, 11-3항 적용)</v>
          </cell>
        </row>
        <row r="7">
          <cell r="D7" t="str">
            <v>품  명</v>
          </cell>
          <cell r="K7" t="str">
            <v>규  격</v>
          </cell>
          <cell r="M7" t="str">
            <v>수량</v>
          </cell>
          <cell r="N7" t="str">
            <v>단위</v>
          </cell>
          <cell r="O7" t="str">
            <v>노  무  비</v>
          </cell>
          <cell r="Q7" t="str">
            <v>재  료  비</v>
          </cell>
          <cell r="S7" t="str">
            <v>경  비</v>
          </cell>
          <cell r="U7" t="str">
            <v>비  고</v>
          </cell>
        </row>
        <row r="8">
          <cell r="O8" t="str">
            <v>단가</v>
          </cell>
          <cell r="P8" t="str">
            <v>금액</v>
          </cell>
          <cell r="Q8" t="str">
            <v>단가</v>
          </cell>
          <cell r="R8" t="str">
            <v>금액</v>
          </cell>
          <cell r="S8" t="str">
            <v>단가</v>
          </cell>
          <cell r="T8" t="str">
            <v>금액</v>
          </cell>
        </row>
        <row r="9">
          <cell r="D9" t="str">
            <v>가</v>
          </cell>
          <cell r="E9" t="str">
            <v>재료비(설치)</v>
          </cell>
          <cell r="N9" t="str">
            <v>HR</v>
          </cell>
        </row>
        <row r="10">
          <cell r="E10" t="str">
            <v>주연료</v>
          </cell>
          <cell r="K10" t="str">
            <v>저유황</v>
          </cell>
          <cell r="M10">
            <v>17.7</v>
          </cell>
          <cell r="N10" t="str">
            <v>ℓ</v>
          </cell>
          <cell r="Q10">
            <v>1202</v>
          </cell>
          <cell r="R10">
            <v>21275</v>
          </cell>
          <cell r="U10" t="str">
            <v>-</v>
          </cell>
        </row>
        <row r="11">
          <cell r="E11" t="str">
            <v>잡품</v>
          </cell>
          <cell r="K11" t="str">
            <v>주연료의 25%</v>
          </cell>
          <cell r="M11">
            <v>1</v>
          </cell>
          <cell r="N11" t="str">
            <v>식</v>
          </cell>
          <cell r="Q11">
            <v>5319</v>
          </cell>
          <cell r="R11">
            <v>5319</v>
          </cell>
        </row>
        <row r="13">
          <cell r="D13" t="str">
            <v>나</v>
          </cell>
          <cell r="E13" t="str">
            <v>노무비(설치)</v>
          </cell>
        </row>
        <row r="14">
          <cell r="E14" t="str">
            <v>중기운전기사</v>
          </cell>
          <cell r="M14">
            <v>0.20833333333333331</v>
          </cell>
          <cell r="N14" t="str">
            <v>인</v>
          </cell>
          <cell r="O14">
            <v>77606</v>
          </cell>
          <cell r="P14">
            <v>16167</v>
          </cell>
        </row>
        <row r="15">
          <cell r="E15" t="str">
            <v>중기운전조수</v>
          </cell>
          <cell r="M15">
            <v>0.20833333333333331</v>
          </cell>
          <cell r="N15" t="str">
            <v>인</v>
          </cell>
          <cell r="O15">
            <v>51211</v>
          </cell>
          <cell r="P15">
            <v>10668</v>
          </cell>
        </row>
        <row r="16">
          <cell r="E16" t="str">
            <v>중기조장</v>
          </cell>
          <cell r="M16">
            <v>0.20833333333333331</v>
          </cell>
          <cell r="N16" t="str">
            <v>인</v>
          </cell>
          <cell r="O16">
            <v>79984</v>
          </cell>
          <cell r="P16">
            <v>16663</v>
          </cell>
        </row>
        <row r="18">
          <cell r="D18" t="str">
            <v>다</v>
          </cell>
          <cell r="E18" t="str">
            <v>경비(설치)</v>
          </cell>
        </row>
        <row r="19">
          <cell r="E19" t="str">
            <v>굴삭기(유압식백우호)</v>
          </cell>
          <cell r="M19">
            <v>0.21479999999999999</v>
          </cell>
          <cell r="N19" t="str">
            <v>천원</v>
          </cell>
          <cell r="S19">
            <v>600000</v>
          </cell>
          <cell r="T19">
            <v>128880</v>
          </cell>
        </row>
        <row r="20">
          <cell r="E20" t="str">
            <v>* 중기운전기사</v>
          </cell>
          <cell r="K20" t="str">
            <v>(인/일*인/일*인일)*노임</v>
          </cell>
        </row>
        <row r="21">
          <cell r="K21" t="str">
            <v>(1/8*16/12*25/20)*77,606=16,168</v>
          </cell>
        </row>
        <row r="22">
          <cell r="E22" t="str">
            <v>* 중기운전조수</v>
          </cell>
          <cell r="K22" t="str">
            <v>(인/일*인/일*인일)*노임</v>
          </cell>
        </row>
        <row r="23">
          <cell r="K23" t="str">
            <v>(1/8*16/12*25/20)*50,268=10,472</v>
          </cell>
        </row>
        <row r="24">
          <cell r="E24" t="str">
            <v>* 중기조장</v>
          </cell>
          <cell r="K24" t="str">
            <v>(인/일*인/일*인일)*노임</v>
          </cell>
        </row>
        <row r="25">
          <cell r="K25" t="str">
            <v>(1/8*16/12*25/20)*82,890=17,268</v>
          </cell>
        </row>
        <row r="30">
          <cell r="D30" t="str">
            <v>계</v>
          </cell>
          <cell r="P30">
            <v>43498</v>
          </cell>
          <cell r="R30">
            <v>26594</v>
          </cell>
          <cell r="T30">
            <v>128880</v>
          </cell>
        </row>
        <row r="31">
          <cell r="D31" t="str">
            <v>일   위   대   가   (별   지)</v>
          </cell>
        </row>
        <row r="32">
          <cell r="C32">
            <v>2</v>
          </cell>
          <cell r="D32" t="str">
            <v>호표</v>
          </cell>
          <cell r="E32" t="str">
            <v>:</v>
          </cell>
          <cell r="F32" t="str">
            <v>제</v>
          </cell>
          <cell r="G32">
            <v>2</v>
          </cell>
          <cell r="H32" t="str">
            <v>호표</v>
          </cell>
        </row>
        <row r="33">
          <cell r="B33">
            <v>2</v>
          </cell>
          <cell r="C33" t="str">
            <v>11-2, 11-3</v>
          </cell>
          <cell r="D33" t="str">
            <v>공종</v>
          </cell>
          <cell r="E33" t="str">
            <v>:</v>
          </cell>
          <cell r="F33" t="str">
            <v>불도우저</v>
          </cell>
          <cell r="K33" t="str">
            <v>유압식백호우</v>
          </cell>
          <cell r="P33" t="str">
            <v>노무비</v>
          </cell>
          <cell r="Q33" t="str">
            <v>재료비</v>
          </cell>
          <cell r="R33" t="str">
            <v>경비</v>
          </cell>
          <cell r="T33" t="str">
            <v>합계</v>
          </cell>
        </row>
        <row r="34">
          <cell r="B34" t="str">
            <v>별지2호표</v>
          </cell>
          <cell r="D34" t="str">
            <v>단위</v>
          </cell>
          <cell r="E34" t="str">
            <v>:</v>
          </cell>
          <cell r="F34" t="str">
            <v>HR당</v>
          </cell>
          <cell r="K34" t="str">
            <v>설치</v>
          </cell>
          <cell r="O34" t="str">
            <v>설치</v>
          </cell>
          <cell r="P34">
            <v>43498</v>
          </cell>
          <cell r="Q34">
            <v>36331</v>
          </cell>
          <cell r="R34">
            <v>54988</v>
          </cell>
          <cell r="T34">
            <v>134817</v>
          </cell>
          <cell r="V34" t="str">
            <v>/Q</v>
          </cell>
        </row>
        <row r="35">
          <cell r="D35" t="str">
            <v>공종코드</v>
          </cell>
          <cell r="E35" t="str">
            <v>:</v>
          </cell>
          <cell r="F35" t="str">
            <v>-</v>
          </cell>
        </row>
        <row r="36">
          <cell r="B36" t="str">
            <v/>
          </cell>
          <cell r="C36">
            <v>1</v>
          </cell>
          <cell r="D36" t="str">
            <v>(토목품셈</v>
          </cell>
          <cell r="G36" t="str">
            <v>11-2, 11-3항 적용)</v>
          </cell>
        </row>
        <row r="37">
          <cell r="D37" t="str">
            <v>품  명</v>
          </cell>
          <cell r="K37" t="str">
            <v>규  격</v>
          </cell>
          <cell r="M37" t="str">
            <v>수량</v>
          </cell>
          <cell r="N37" t="str">
            <v>단위</v>
          </cell>
          <cell r="O37" t="str">
            <v>노  무  비</v>
          </cell>
          <cell r="Q37" t="str">
            <v>재  료  비</v>
          </cell>
          <cell r="S37" t="str">
            <v>경  비</v>
          </cell>
          <cell r="U37" t="str">
            <v>비  고</v>
          </cell>
        </row>
        <row r="38">
          <cell r="O38" t="str">
            <v>단가</v>
          </cell>
          <cell r="P38" t="str">
            <v>금액</v>
          </cell>
          <cell r="Q38" t="str">
            <v>단가</v>
          </cell>
          <cell r="R38" t="str">
            <v>금액</v>
          </cell>
          <cell r="S38" t="str">
            <v>단가</v>
          </cell>
          <cell r="T38" t="str">
            <v>금액</v>
          </cell>
        </row>
        <row r="39">
          <cell r="D39" t="str">
            <v>가</v>
          </cell>
          <cell r="E39" t="str">
            <v>재료비(설치)</v>
          </cell>
          <cell r="N39" t="str">
            <v>HR</v>
          </cell>
        </row>
        <row r="40">
          <cell r="E40" t="str">
            <v>주연료</v>
          </cell>
          <cell r="K40" t="str">
            <v>저유황</v>
          </cell>
          <cell r="M40">
            <v>23.8</v>
          </cell>
          <cell r="N40" t="str">
            <v>ℓ</v>
          </cell>
          <cell r="Q40">
            <v>1202</v>
          </cell>
          <cell r="R40">
            <v>28607</v>
          </cell>
          <cell r="U40" t="str">
            <v>-</v>
          </cell>
        </row>
        <row r="41">
          <cell r="E41" t="str">
            <v>잡품</v>
          </cell>
          <cell r="K41" t="str">
            <v>주연료의 27%</v>
          </cell>
          <cell r="M41">
            <v>1</v>
          </cell>
          <cell r="N41" t="str">
            <v>식</v>
          </cell>
          <cell r="Q41">
            <v>7724</v>
          </cell>
          <cell r="R41">
            <v>7724</v>
          </cell>
        </row>
        <row r="43">
          <cell r="D43" t="str">
            <v>나</v>
          </cell>
          <cell r="E43" t="str">
            <v>노무비(설치)</v>
          </cell>
        </row>
        <row r="44">
          <cell r="E44" t="str">
            <v>중기운전기사</v>
          </cell>
          <cell r="M44">
            <v>0.20833333333333331</v>
          </cell>
          <cell r="N44" t="str">
            <v>인</v>
          </cell>
          <cell r="O44">
            <v>77606</v>
          </cell>
          <cell r="P44">
            <v>16167</v>
          </cell>
        </row>
        <row r="45">
          <cell r="E45" t="str">
            <v>중기운전조수</v>
          </cell>
          <cell r="M45">
            <v>0.20833333333333331</v>
          </cell>
          <cell r="N45" t="str">
            <v>인</v>
          </cell>
          <cell r="O45">
            <v>51211</v>
          </cell>
          <cell r="P45">
            <v>10668</v>
          </cell>
        </row>
        <row r="46">
          <cell r="E46" t="str">
            <v>중기조장</v>
          </cell>
          <cell r="M46">
            <v>0.20833333333333331</v>
          </cell>
          <cell r="N46" t="str">
            <v>인</v>
          </cell>
          <cell r="O46">
            <v>79984</v>
          </cell>
          <cell r="P46">
            <v>16663</v>
          </cell>
        </row>
        <row r="48">
          <cell r="D48" t="str">
            <v>다</v>
          </cell>
          <cell r="E48" t="str">
            <v>경비(설치)</v>
          </cell>
        </row>
        <row r="49">
          <cell r="E49" t="str">
            <v>불도우저 19TON</v>
          </cell>
          <cell r="M49">
            <v>0.21479999999999999</v>
          </cell>
          <cell r="N49" t="str">
            <v>천원</v>
          </cell>
          <cell r="S49">
            <v>256000</v>
          </cell>
          <cell r="T49">
            <v>54988</v>
          </cell>
        </row>
        <row r="50">
          <cell r="E50" t="str">
            <v>* 중기운전기사</v>
          </cell>
          <cell r="K50" t="str">
            <v>(인/일*인/일*인일)*노임</v>
          </cell>
        </row>
        <row r="51">
          <cell r="K51" t="str">
            <v>(1/8*16/12*25/20)*77,604=16,167</v>
          </cell>
        </row>
        <row r="52">
          <cell r="E52" t="str">
            <v>* 중기운전조수</v>
          </cell>
          <cell r="K52" t="str">
            <v>(인/일*인/일*인일)*노임</v>
          </cell>
        </row>
        <row r="53">
          <cell r="K53" t="str">
            <v>(1/8*16/12*25/20)*50,268=10,472</v>
          </cell>
        </row>
        <row r="54">
          <cell r="E54" t="str">
            <v>* 중기조장</v>
          </cell>
          <cell r="K54" t="str">
            <v>(인/일*인/일*인일)*노임</v>
          </cell>
        </row>
        <row r="55">
          <cell r="K55" t="str">
            <v>(1/8*16/12*25/20)*82,890=17,268</v>
          </cell>
        </row>
        <row r="60">
          <cell r="D60" t="str">
            <v>계</v>
          </cell>
          <cell r="P60">
            <v>43498</v>
          </cell>
          <cell r="R60">
            <v>36331</v>
          </cell>
          <cell r="T60">
            <v>54988</v>
          </cell>
        </row>
        <row r="61">
          <cell r="B61">
            <v>1</v>
          </cell>
          <cell r="D61" t="str">
            <v>일   위   대   가   (별   지)</v>
          </cell>
        </row>
        <row r="62">
          <cell r="C62">
            <v>3</v>
          </cell>
          <cell r="D62" t="str">
            <v>호표</v>
          </cell>
          <cell r="E62" t="str">
            <v>:</v>
          </cell>
          <cell r="F62" t="str">
            <v>제</v>
          </cell>
          <cell r="G62">
            <v>3</v>
          </cell>
          <cell r="H62" t="str">
            <v>호표</v>
          </cell>
        </row>
        <row r="63">
          <cell r="B63">
            <v>3</v>
          </cell>
          <cell r="C63" t="str">
            <v>11-2, 11-3</v>
          </cell>
          <cell r="D63" t="str">
            <v>공종</v>
          </cell>
          <cell r="E63" t="str">
            <v>:</v>
          </cell>
          <cell r="F63" t="str">
            <v>오가크레인 2.9TON</v>
          </cell>
          <cell r="P63" t="str">
            <v>노무비</v>
          </cell>
          <cell r="Q63" t="str">
            <v>재료비</v>
          </cell>
          <cell r="R63" t="str">
            <v>경비</v>
          </cell>
          <cell r="T63" t="str">
            <v>합계</v>
          </cell>
        </row>
        <row r="64">
          <cell r="B64" t="str">
            <v>별지3호표</v>
          </cell>
          <cell r="D64" t="str">
            <v>단위</v>
          </cell>
          <cell r="E64" t="str">
            <v>:</v>
          </cell>
          <cell r="F64" t="str">
            <v>HR당</v>
          </cell>
          <cell r="K64" t="str">
            <v>설치</v>
          </cell>
          <cell r="O64" t="str">
            <v>설치</v>
          </cell>
          <cell r="P64">
            <v>26835</v>
          </cell>
          <cell r="Q64">
            <v>10118</v>
          </cell>
          <cell r="R64">
            <v>26506</v>
          </cell>
          <cell r="T64">
            <v>63459</v>
          </cell>
          <cell r="V64" t="str">
            <v>/Q</v>
          </cell>
        </row>
        <row r="65">
          <cell r="D65" t="str">
            <v>공종코드</v>
          </cell>
          <cell r="E65" t="str">
            <v>:</v>
          </cell>
          <cell r="F65" t="str">
            <v>-</v>
          </cell>
        </row>
        <row r="66">
          <cell r="B66" t="str">
            <v/>
          </cell>
          <cell r="C66">
            <v>1</v>
          </cell>
          <cell r="D66" t="str">
            <v>(토목품셈</v>
          </cell>
          <cell r="G66" t="str">
            <v>11-2, 11-3항 적용)</v>
          </cell>
        </row>
        <row r="67">
          <cell r="D67" t="str">
            <v>품  명</v>
          </cell>
          <cell r="K67" t="str">
            <v>규  격</v>
          </cell>
          <cell r="M67" t="str">
            <v>수량</v>
          </cell>
          <cell r="N67" t="str">
            <v>단위</v>
          </cell>
          <cell r="O67" t="str">
            <v>노  무  비</v>
          </cell>
          <cell r="Q67" t="str">
            <v>재  료  비</v>
          </cell>
          <cell r="S67" t="str">
            <v>경  비</v>
          </cell>
          <cell r="U67" t="str">
            <v>비  고</v>
          </cell>
        </row>
        <row r="68">
          <cell r="O68" t="str">
            <v>단가</v>
          </cell>
          <cell r="P68" t="str">
            <v>금액</v>
          </cell>
          <cell r="Q68" t="str">
            <v>단가</v>
          </cell>
          <cell r="R68" t="str">
            <v>금액</v>
          </cell>
          <cell r="S68" t="str">
            <v>단가</v>
          </cell>
          <cell r="T68" t="str">
            <v>금액</v>
          </cell>
        </row>
        <row r="69">
          <cell r="D69" t="str">
            <v>가</v>
          </cell>
          <cell r="E69" t="str">
            <v>재료비(설치)</v>
          </cell>
          <cell r="N69" t="str">
            <v>HR</v>
          </cell>
        </row>
        <row r="70">
          <cell r="E70" t="str">
            <v>주연료</v>
          </cell>
          <cell r="K70" t="str">
            <v>저유황</v>
          </cell>
          <cell r="M70">
            <v>6.1</v>
          </cell>
          <cell r="N70" t="str">
            <v>ℓ</v>
          </cell>
          <cell r="Q70">
            <v>1202</v>
          </cell>
          <cell r="R70">
            <v>7332</v>
          </cell>
          <cell r="U70" t="str">
            <v>-</v>
          </cell>
        </row>
        <row r="71">
          <cell r="E71" t="str">
            <v>잡품</v>
          </cell>
          <cell r="K71" t="str">
            <v>주연료의 38%</v>
          </cell>
          <cell r="M71">
            <v>1</v>
          </cell>
          <cell r="N71" t="str">
            <v>식</v>
          </cell>
          <cell r="Q71">
            <v>2786</v>
          </cell>
          <cell r="R71">
            <v>2786</v>
          </cell>
        </row>
        <row r="73">
          <cell r="D73" t="str">
            <v>나</v>
          </cell>
          <cell r="E73" t="str">
            <v>노무비(설치)</v>
          </cell>
        </row>
        <row r="74">
          <cell r="E74" t="str">
            <v>중기운전기사</v>
          </cell>
          <cell r="M74">
            <v>0.20833333333333331</v>
          </cell>
          <cell r="N74" t="str">
            <v>인</v>
          </cell>
          <cell r="O74">
            <v>77606</v>
          </cell>
          <cell r="P74">
            <v>16167</v>
          </cell>
        </row>
        <row r="75">
          <cell r="E75" t="str">
            <v>중기운전조수</v>
          </cell>
          <cell r="M75">
            <v>0.20833333333333331</v>
          </cell>
          <cell r="N75" t="str">
            <v>인</v>
          </cell>
          <cell r="O75">
            <v>51211</v>
          </cell>
          <cell r="P75">
            <v>10668</v>
          </cell>
        </row>
        <row r="76">
          <cell r="E76" t="str">
            <v>중기조장</v>
          </cell>
          <cell r="N76" t="str">
            <v>인</v>
          </cell>
          <cell r="O76">
            <v>79984</v>
          </cell>
          <cell r="P76">
            <v>0</v>
          </cell>
        </row>
        <row r="78">
          <cell r="D78" t="str">
            <v>다</v>
          </cell>
          <cell r="E78" t="str">
            <v>경비(설치)</v>
          </cell>
        </row>
        <row r="79">
          <cell r="E79" t="str">
            <v>오가크레인 2.9TON</v>
          </cell>
          <cell r="M79">
            <v>0.43099999999999999</v>
          </cell>
          <cell r="N79" t="str">
            <v>천원</v>
          </cell>
          <cell r="S79">
            <v>61500</v>
          </cell>
          <cell r="T79">
            <v>26506</v>
          </cell>
        </row>
        <row r="80">
          <cell r="E80" t="str">
            <v>* 중기운전기사</v>
          </cell>
          <cell r="K80" t="str">
            <v>(인/일*인/일*인일)*노임</v>
          </cell>
        </row>
        <row r="81">
          <cell r="K81" t="str">
            <v>(1/8*16/12*25/20)*77,604=16,167</v>
          </cell>
        </row>
        <row r="82">
          <cell r="E82" t="str">
            <v>* 중기운전조수</v>
          </cell>
          <cell r="K82" t="str">
            <v>(인/일*인/일*인일)*노임</v>
          </cell>
        </row>
        <row r="83">
          <cell r="K83" t="str">
            <v>(1/8*16/12*25/20)*50,268=10,472</v>
          </cell>
        </row>
        <row r="90">
          <cell r="D90" t="str">
            <v>계</v>
          </cell>
          <cell r="P90">
            <v>26835</v>
          </cell>
          <cell r="R90">
            <v>10118</v>
          </cell>
          <cell r="T90">
            <v>26506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1">
          <cell r="B1" t="str">
            <v>직종명</v>
          </cell>
        </row>
        <row r="47">
          <cell r="C47">
            <v>0.15</v>
          </cell>
        </row>
        <row r="48">
          <cell r="C48">
            <v>0.02</v>
          </cell>
        </row>
        <row r="49">
          <cell r="C49">
            <v>0.03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기계경비(시간당)"/>
      <sheetName val="램머"/>
      <sheetName val="기계경비_시간당_"/>
    </sheetNames>
    <sheetDataSet>
      <sheetData sheetId="0">
        <row r="1">
          <cell r="C1" t="str">
            <v xml:space="preserve"> </v>
          </cell>
          <cell r="D1" t="str">
            <v>기본단가</v>
          </cell>
        </row>
        <row r="2">
          <cell r="C2" t="str">
            <v>보통인부</v>
          </cell>
          <cell r="D2">
            <v>34900</v>
          </cell>
        </row>
        <row r="3">
          <cell r="C3" t="str">
            <v>운전사(기계)</v>
          </cell>
          <cell r="D3">
            <v>48000</v>
          </cell>
        </row>
        <row r="4">
          <cell r="C4" t="str">
            <v>중기운전기사</v>
          </cell>
          <cell r="D4">
            <v>52100</v>
          </cell>
        </row>
        <row r="5">
          <cell r="C5" t="str">
            <v>중기운전조수</v>
          </cell>
          <cell r="D5">
            <v>44100</v>
          </cell>
        </row>
        <row r="6">
          <cell r="C6" t="str">
            <v>중기조장</v>
          </cell>
          <cell r="D6">
            <v>57400</v>
          </cell>
        </row>
        <row r="7">
          <cell r="C7" t="str">
            <v>운전사(운반)</v>
          </cell>
          <cell r="D7">
            <v>44700</v>
          </cell>
        </row>
        <row r="8">
          <cell r="C8" t="str">
            <v>작업반장</v>
          </cell>
          <cell r="D8">
            <v>59200</v>
          </cell>
        </row>
        <row r="9">
          <cell r="C9" t="str">
            <v>특별인부</v>
          </cell>
          <cell r="D9">
            <v>55000</v>
          </cell>
        </row>
        <row r="10">
          <cell r="C10" t="str">
            <v>포장공</v>
          </cell>
          <cell r="D10">
            <v>68200</v>
          </cell>
        </row>
        <row r="11">
          <cell r="C11" t="str">
            <v>포설공</v>
          </cell>
          <cell r="D11">
            <v>66300</v>
          </cell>
        </row>
        <row r="12">
          <cell r="C12" t="str">
            <v>착암공</v>
          </cell>
          <cell r="D12">
            <v>52600</v>
          </cell>
        </row>
        <row r="13">
          <cell r="C13" t="str">
            <v>용접공</v>
          </cell>
          <cell r="D13">
            <v>65500</v>
          </cell>
        </row>
        <row r="16">
          <cell r="C16" t="str">
            <v>용접봉(115x3)</v>
          </cell>
          <cell r="D16">
            <v>870</v>
          </cell>
        </row>
        <row r="17">
          <cell r="C17" t="str">
            <v>산소(99%)</v>
          </cell>
          <cell r="D17">
            <v>0.28999999999999998</v>
          </cell>
        </row>
        <row r="18">
          <cell r="C18" t="str">
            <v>아세틸렌(99%)</v>
          </cell>
          <cell r="D18">
            <v>5500</v>
          </cell>
        </row>
        <row r="19">
          <cell r="C19" t="str">
            <v>휘발유</v>
          </cell>
          <cell r="D19">
            <v>756</v>
          </cell>
        </row>
        <row r="20">
          <cell r="C20" t="str">
            <v>경유</v>
          </cell>
          <cell r="D20">
            <v>331</v>
          </cell>
        </row>
        <row r="21">
          <cell r="C21" t="str">
            <v>환율</v>
          </cell>
          <cell r="D21">
            <v>847.9</v>
          </cell>
        </row>
        <row r="22">
          <cell r="C22" t="str">
            <v>치즐07</v>
          </cell>
          <cell r="D22">
            <v>200000</v>
          </cell>
        </row>
        <row r="23">
          <cell r="C23" t="str">
            <v>치즐04</v>
          </cell>
          <cell r="D23">
            <v>50000</v>
          </cell>
        </row>
        <row r="24">
          <cell r="C24" t="str">
            <v>치즐02</v>
          </cell>
          <cell r="D24">
            <v>50000</v>
          </cell>
        </row>
        <row r="25">
          <cell r="C25" t="str">
            <v>티스07</v>
          </cell>
          <cell r="D25">
            <v>42000</v>
          </cell>
        </row>
        <row r="26">
          <cell r="C26" t="str">
            <v>티스04</v>
          </cell>
          <cell r="D26">
            <v>25000</v>
          </cell>
        </row>
        <row r="27">
          <cell r="C27" t="str">
            <v>티스02</v>
          </cell>
          <cell r="D27">
            <v>12600</v>
          </cell>
        </row>
        <row r="28">
          <cell r="C28" t="str">
            <v>브레이드(300-400)</v>
          </cell>
          <cell r="D28">
            <v>178000</v>
          </cell>
        </row>
        <row r="29">
          <cell r="C29" t="str">
            <v>에어호스25mm</v>
          </cell>
          <cell r="D29">
            <v>62300</v>
          </cell>
        </row>
        <row r="30">
          <cell r="C30" t="str">
            <v>에어호스19mm</v>
          </cell>
          <cell r="D30">
            <v>77000</v>
          </cell>
        </row>
        <row r="31">
          <cell r="C31" t="str">
            <v>8톤트럭</v>
          </cell>
          <cell r="D31">
            <v>18208000</v>
          </cell>
        </row>
        <row r="32">
          <cell r="C32" t="str">
            <v>10.5톤트럭</v>
          </cell>
          <cell r="D32">
            <v>25725000</v>
          </cell>
        </row>
        <row r="33">
          <cell r="C33" t="str">
            <v>브레이카07</v>
          </cell>
          <cell r="D33">
            <v>14635</v>
          </cell>
          <cell r="E33" t="str">
            <v>환율</v>
          </cell>
        </row>
        <row r="34">
          <cell r="C34" t="str">
            <v>브레이카04</v>
          </cell>
          <cell r="D34">
            <v>6500000</v>
          </cell>
        </row>
        <row r="35">
          <cell r="C35" t="str">
            <v>브레이카02</v>
          </cell>
          <cell r="D35">
            <v>3500000</v>
          </cell>
        </row>
        <row r="36">
          <cell r="C36" t="str">
            <v>RSC-4</v>
          </cell>
          <cell r="D36">
            <v>185</v>
          </cell>
        </row>
        <row r="37">
          <cell r="C37" t="str">
            <v>MC-1</v>
          </cell>
          <cell r="D37">
            <v>190</v>
          </cell>
        </row>
        <row r="38">
          <cell r="C38" t="str">
            <v>백호우07</v>
          </cell>
          <cell r="D38">
            <v>60600000</v>
          </cell>
        </row>
        <row r="39">
          <cell r="C39" t="str">
            <v>백호우04</v>
          </cell>
          <cell r="D39">
            <v>39800000</v>
          </cell>
        </row>
        <row r="40">
          <cell r="C40" t="str">
            <v>백호우02</v>
          </cell>
          <cell r="D40">
            <v>18000000</v>
          </cell>
        </row>
        <row r="41">
          <cell r="C41" t="str">
            <v>램머(80Kg)</v>
          </cell>
          <cell r="D41">
            <v>900000</v>
          </cell>
        </row>
        <row r="42">
          <cell r="C42" t="str">
            <v>윈치부라인트럭(4.5톤)</v>
          </cell>
          <cell r="D42">
            <v>15120000</v>
          </cell>
        </row>
        <row r="43">
          <cell r="C43" t="str">
            <v>수동위치(1TON,15HP)</v>
          </cell>
          <cell r="D43">
            <v>900000</v>
          </cell>
        </row>
        <row r="44">
          <cell r="C44" t="str">
            <v>양수기펌프</v>
          </cell>
          <cell r="D44">
            <v>200000</v>
          </cell>
        </row>
        <row r="45">
          <cell r="C45" t="str">
            <v>엔진(디젤)</v>
          </cell>
          <cell r="D45">
            <v>264000</v>
          </cell>
        </row>
        <row r="46">
          <cell r="C46" t="str">
            <v>AS스프레이어(300)</v>
          </cell>
          <cell r="D46">
            <v>1400</v>
          </cell>
          <cell r="E46" t="str">
            <v>환율</v>
          </cell>
        </row>
        <row r="47">
          <cell r="C47" t="str">
            <v>머캐덤롤러(8-10)</v>
          </cell>
          <cell r="D47">
            <v>31223</v>
          </cell>
          <cell r="E47" t="str">
            <v>환율</v>
          </cell>
        </row>
        <row r="48">
          <cell r="C48" t="str">
            <v>물탱크</v>
          </cell>
          <cell r="D48">
            <v>13097</v>
          </cell>
          <cell r="E48" t="str">
            <v>환율</v>
          </cell>
        </row>
        <row r="49">
          <cell r="C49" t="str">
            <v>진동롤러(2.5)</v>
          </cell>
          <cell r="D49">
            <v>4500000</v>
          </cell>
        </row>
        <row r="50">
          <cell r="C50" t="str">
            <v>경운기(1000Kg)</v>
          </cell>
          <cell r="D50">
            <v>1301000</v>
          </cell>
        </row>
        <row r="51">
          <cell r="C51" t="str">
            <v>소형브레이카(25Kg)</v>
          </cell>
          <cell r="D51">
            <v>1130</v>
          </cell>
          <cell r="E51" t="str">
            <v>환율</v>
          </cell>
        </row>
        <row r="52">
          <cell r="C52" t="str">
            <v>에어호스(25mm)</v>
          </cell>
          <cell r="D52">
            <v>77000</v>
          </cell>
        </row>
        <row r="53">
          <cell r="C53" t="str">
            <v>공기압축기(3.5㎥/분)</v>
          </cell>
          <cell r="D53">
            <v>7624</v>
          </cell>
          <cell r="E53" t="str">
            <v>환율</v>
          </cell>
        </row>
        <row r="54">
          <cell r="C54" t="str">
            <v>공기압축기(7.1㎥/분)</v>
          </cell>
          <cell r="D54">
            <v>13496</v>
          </cell>
          <cell r="E54" t="str">
            <v>환율</v>
          </cell>
        </row>
        <row r="55">
          <cell r="C55" t="str">
            <v>15톤트럭</v>
          </cell>
          <cell r="D55">
            <v>42084000</v>
          </cell>
        </row>
        <row r="56">
          <cell r="C56" t="str">
            <v>수중모터펌프(150mm)</v>
          </cell>
          <cell r="D56">
            <v>1130000</v>
          </cell>
        </row>
        <row r="57">
          <cell r="C57" t="str">
            <v>발전기(25Kw)</v>
          </cell>
          <cell r="D57">
            <v>8300</v>
          </cell>
          <cell r="E57" t="str">
            <v>환율</v>
          </cell>
        </row>
        <row r="87">
          <cell r="H87">
            <v>118</v>
          </cell>
        </row>
        <row r="88">
          <cell r="H88">
            <v>9360</v>
          </cell>
        </row>
        <row r="92">
          <cell r="H92">
            <v>5080</v>
          </cell>
        </row>
        <row r="102">
          <cell r="H102">
            <v>4753</v>
          </cell>
        </row>
        <row r="103">
          <cell r="H103">
            <v>6805</v>
          </cell>
        </row>
        <row r="104">
          <cell r="H104">
            <v>9527</v>
          </cell>
        </row>
        <row r="105">
          <cell r="H105">
            <v>400</v>
          </cell>
        </row>
        <row r="109">
          <cell r="H109">
            <v>2559</v>
          </cell>
        </row>
        <row r="110">
          <cell r="H110">
            <v>6805</v>
          </cell>
        </row>
        <row r="111">
          <cell r="H111">
            <v>9527</v>
          </cell>
        </row>
        <row r="112">
          <cell r="H112">
            <v>400</v>
          </cell>
        </row>
        <row r="117">
          <cell r="H117">
            <v>13016</v>
          </cell>
        </row>
        <row r="121">
          <cell r="H121">
            <v>16683</v>
          </cell>
        </row>
        <row r="129">
          <cell r="H129">
            <v>4394</v>
          </cell>
        </row>
        <row r="133">
          <cell r="H133">
            <v>8549</v>
          </cell>
        </row>
        <row r="137">
          <cell r="H137">
            <v>16683</v>
          </cell>
        </row>
        <row r="141">
          <cell r="H141">
            <v>23356</v>
          </cell>
        </row>
        <row r="145">
          <cell r="H145">
            <v>3773</v>
          </cell>
        </row>
        <row r="146">
          <cell r="H146">
            <v>3723</v>
          </cell>
        </row>
        <row r="149">
          <cell r="H149">
            <v>3866</v>
          </cell>
        </row>
        <row r="153">
          <cell r="H153">
            <v>16683</v>
          </cell>
        </row>
        <row r="157">
          <cell r="H157">
            <v>23356</v>
          </cell>
        </row>
        <row r="161">
          <cell r="H161">
            <v>1597</v>
          </cell>
        </row>
        <row r="162">
          <cell r="H162">
            <v>1571</v>
          </cell>
        </row>
        <row r="165">
          <cell r="H165">
            <v>386</v>
          </cell>
        </row>
        <row r="166">
          <cell r="H166">
            <v>9360</v>
          </cell>
        </row>
        <row r="167">
          <cell r="H167">
            <v>13104</v>
          </cell>
        </row>
        <row r="170">
          <cell r="H170">
            <v>582</v>
          </cell>
        </row>
        <row r="240">
          <cell r="H240">
            <v>314</v>
          </cell>
        </row>
        <row r="243">
          <cell r="H243">
            <v>1310.3</v>
          </cell>
        </row>
        <row r="244">
          <cell r="H244">
            <v>10159</v>
          </cell>
        </row>
        <row r="245">
          <cell r="H245">
            <v>14223</v>
          </cell>
        </row>
        <row r="248">
          <cell r="H248">
            <v>2422</v>
          </cell>
        </row>
        <row r="251">
          <cell r="H251">
            <v>2319.5</v>
          </cell>
        </row>
        <row r="252">
          <cell r="H252">
            <v>10159</v>
          </cell>
        </row>
        <row r="253">
          <cell r="H253">
            <v>14223</v>
          </cell>
        </row>
        <row r="256">
          <cell r="H256">
            <v>3892</v>
          </cell>
        </row>
      </sheetData>
      <sheetData sheetId="1">
        <row r="20">
          <cell r="D20">
            <v>174</v>
          </cell>
          <cell r="F20">
            <v>291</v>
          </cell>
          <cell r="J20">
            <v>291</v>
          </cell>
        </row>
        <row r="21">
          <cell r="D21">
            <v>2810</v>
          </cell>
          <cell r="F21">
            <v>4680</v>
          </cell>
          <cell r="J21">
            <v>6552</v>
          </cell>
        </row>
        <row r="22">
          <cell r="D22">
            <v>115</v>
          </cell>
          <cell r="F22">
            <v>193</v>
          </cell>
          <cell r="J22">
            <v>193</v>
          </cell>
        </row>
      </sheetData>
      <sheetData sheetId="2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단가산정"/>
      <sheetName val="구형거"/>
      <sheetName val="포장구간"/>
      <sheetName val="관두께"/>
      <sheetName val="직접(흄관)기초 (1)"/>
      <sheetName val="직접(흄관) 공사비"/>
      <sheetName val="직접(PC관)기초(2)"/>
      <sheetName val="직접(PC관)공사비"/>
      <sheetName val="직접(강관)기초(3)"/>
      <sheetName val="직접(강관)공사비"/>
      <sheetName val="모래(PE관)기초(4)"/>
      <sheetName val="모래(PE관)공사비"/>
      <sheetName val=" CON'C(흄관)기초 (1)"/>
      <sheetName val="CON'C(흄관)공사비 "/>
      <sheetName val="CON'C(PC관)기초(2)"/>
      <sheetName val="CON'(PC관)공사비"/>
      <sheetName val="CON'C(강관)기초(3)"/>
      <sheetName val="CON'C(강관)공사비"/>
      <sheetName val="관접합및부설"/>
      <sheetName val="단가"/>
      <sheetName val="맨홀공"/>
      <sheetName val="토류벽단가(PE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79">
          <cell r="C79">
            <v>1094</v>
          </cell>
        </row>
        <row r="80">
          <cell r="C80">
            <v>8126</v>
          </cell>
        </row>
        <row r="81">
          <cell r="C81">
            <v>20643</v>
          </cell>
        </row>
        <row r="82">
          <cell r="C82">
            <v>4658.03</v>
          </cell>
        </row>
        <row r="83">
          <cell r="C83">
            <v>7599.49</v>
          </cell>
        </row>
        <row r="84">
          <cell r="C84">
            <v>301.7</v>
          </cell>
        </row>
        <row r="85">
          <cell r="C85">
            <v>186.1</v>
          </cell>
        </row>
        <row r="86">
          <cell r="C86">
            <v>8126</v>
          </cell>
        </row>
      </sheetData>
      <sheetData sheetId="20"/>
      <sheetData sheetId="2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집계표"/>
      <sheetName val="기자재"/>
      <sheetName val="기계설치"/>
      <sheetName val="배관공사"/>
      <sheetName val="시운전"/>
      <sheetName val="기계단가"/>
      <sheetName val="배관단가"/>
      <sheetName val="일위"/>
    </sheetNames>
    <sheetDataSet>
      <sheetData sheetId="0">
        <row r="1">
          <cell r="A1" t="str">
            <v>명     칭</v>
          </cell>
          <cell r="B1" t="str">
            <v>규   격</v>
          </cell>
          <cell r="C1" t="str">
            <v>수량</v>
          </cell>
          <cell r="D1" t="str">
            <v>단위</v>
          </cell>
          <cell r="E1" t="str">
            <v>총</v>
          </cell>
          <cell r="F1" t="str">
            <v>액</v>
          </cell>
          <cell r="G1" t="str">
            <v>재</v>
          </cell>
          <cell r="H1" t="str">
            <v>료           비</v>
          </cell>
          <cell r="I1" t="str">
            <v>노</v>
          </cell>
          <cell r="J1" t="str">
            <v>무          비</v>
          </cell>
          <cell r="K1" t="str">
            <v xml:space="preserve">경 </v>
          </cell>
          <cell r="L1" t="str">
            <v>비</v>
          </cell>
          <cell r="M1" t="str">
            <v>비 고</v>
          </cell>
        </row>
        <row r="2">
          <cell r="E2" t="str">
            <v>단  가</v>
          </cell>
          <cell r="F2" t="str">
            <v>금  액</v>
          </cell>
          <cell r="G2" t="str">
            <v>단  가</v>
          </cell>
          <cell r="H2" t="str">
            <v>금  액</v>
          </cell>
          <cell r="I2" t="str">
            <v>단  가</v>
          </cell>
          <cell r="J2" t="str">
            <v>금  액</v>
          </cell>
          <cell r="K2" t="str">
            <v>단  가</v>
          </cell>
          <cell r="L2" t="str">
            <v>금  액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1"/>
      <sheetName val="NOMUBI"/>
      <sheetName val="sheet1"/>
      <sheetName val="2공구산출내역"/>
      <sheetName val="일위대가"/>
      <sheetName val="단가"/>
      <sheetName val="1,2공구원가계산서"/>
      <sheetName val="일위대가(1)"/>
      <sheetName val="1공구산출내역서"/>
      <sheetName val="2차기성"/>
      <sheetName val="제직재"/>
      <sheetName val="설직재-1"/>
      <sheetName val="WORK"/>
      <sheetName val="조명율표"/>
      <sheetName val="1단계"/>
      <sheetName val="터파기및재료"/>
      <sheetName val="관급"/>
      <sheetName val="#REF"/>
      <sheetName val="산수배수"/>
      <sheetName val="자재단가"/>
      <sheetName val="단가조사서"/>
      <sheetName val="약품공급2"/>
      <sheetName val="화재 탐지 설비"/>
      <sheetName val="원가계산서"/>
      <sheetName val="(당평)자재"/>
      <sheetName val="당초명세(평)"/>
      <sheetName val="도장"/>
      <sheetName val="투자효율분석"/>
      <sheetName val="내역서 "/>
      <sheetName val="약품설비"/>
      <sheetName val="밸브설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MAIN"/>
      <sheetName val="총공사비"/>
      <sheetName val="원가계산서"/>
      <sheetName val="T1"/>
      <sheetName val="san"/>
      <sheetName val="LIST"/>
      <sheetName val="FORM1-P "/>
      <sheetName val="sw1"/>
      <sheetName val="sw2"/>
      <sheetName val="sw3"/>
      <sheetName val="sw4"/>
      <sheetName val="sw5"/>
      <sheetName val="sw6"/>
      <sheetName val="sw7"/>
      <sheetName val="NOMUBI"/>
      <sheetName val="WORK"/>
      <sheetName val="노임단가"/>
      <sheetName val="관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배관내역"/>
    </sheetNames>
    <sheetDataSet>
      <sheetData sheetId="0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예산서"/>
      <sheetName val="노임단가"/>
      <sheetName val="일위대가(가설)"/>
      <sheetName val="Baby일위대가"/>
      <sheetName val="일위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차액보증"/>
      <sheetName val="입찰안"/>
      <sheetName val="부대입찰"/>
      <sheetName val="부대공"/>
      <sheetName val="적격점수"/>
      <sheetName val="자재인력"/>
      <sheetName val="입찰조건"/>
      <sheetName val="조건표"/>
      <sheetName val="VXXXXX"/>
      <sheetName val="하도급대비"/>
      <sheetName val="하도급기성"/>
      <sheetName val="하도급단가산출"/>
      <sheetName val="토공집계표"/>
      <sheetName val="유토계획및집계"/>
      <sheetName val="유용토모식도"/>
      <sheetName val="토량산출(다짐)"/>
      <sheetName val="토공총괄"/>
      <sheetName val="직영단가"/>
      <sheetName val="하도급기성 (2)"/>
      <sheetName val="하도급단가산출 (2)"/>
      <sheetName val="INPU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계명세서"/>
      <sheetName val="공사표지"/>
      <sheetName val="노임단가"/>
      <sheetName val="품산출서"/>
      <sheetName val="지입자재단가"/>
      <sheetName val="9809-9909노임"/>
      <sheetName val="9909노임"/>
      <sheetName val="9901노임"/>
      <sheetName val="노임단가표"/>
      <sheetName val="xxxxxx"/>
      <sheetName val="설명서"/>
      <sheetName val="공종"/>
      <sheetName val="회선설계서"/>
      <sheetName val="울연기별"/>
      <sheetName val="본사자재"/>
      <sheetName val="OPG일위"/>
      <sheetName val="운반비집계"/>
      <sheetName val="공사계획서"/>
      <sheetName val="드럼조장"/>
      <sheetName val="발받침"/>
      <sheetName val="발받침 (2)"/>
      <sheetName val="정산"/>
      <sheetName val="준공검사"/>
      <sheetName val="세부공정"/>
      <sheetName val="공정표"/>
      <sheetName val="목차"/>
      <sheetName val="설계"/>
      <sheetName val="예산서"/>
      <sheetName val="공사비총괄표"/>
      <sheetName val="자재집결소"/>
      <sheetName val="측정기"/>
      <sheetName val="운반거리집계"/>
      <sheetName val="운반비"/>
      <sheetName val="가선장비"/>
      <sheetName val="발전기"/>
      <sheetName val="기타내역"/>
      <sheetName val="제경비 산출"/>
      <sheetName val="산출적용근거"/>
      <sheetName val="Sheet1"/>
      <sheetName val="개략도"/>
      <sheetName val="하조서"/>
      <sheetName val="단가"/>
      <sheetName val="OPGW기별"/>
      <sheetName val="고신북"/>
      <sheetName val="일위대가(가설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aroux"/>
      <sheetName val="설계표지"/>
      <sheetName val="산출내역"/>
      <sheetName val="산출내역 (2)"/>
      <sheetName val="원가계산"/>
      <sheetName val="일반시방"/>
      <sheetName val="기술시방"/>
      <sheetName val="운반중량"/>
      <sheetName val="반입자재"/>
      <sheetName val="동원인원"/>
      <sheetName val="예정공정"/>
      <sheetName val="일위집계"/>
      <sheetName val="일위대가1"/>
      <sheetName val="수량계산서"/>
      <sheetName val="물가대비표"/>
      <sheetName val="노임단가"/>
      <sheetName val="결정의견서"/>
      <sheetName val="공사개요"/>
      <sheetName val="재료비"/>
      <sheetName val="일위목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賃率-職"/>
      <sheetName val="품셈TABLE"/>
      <sheetName val="원가 (2)"/>
      <sheetName val="원가"/>
      <sheetName val="재집"/>
      <sheetName val="직재"/>
      <sheetName val="소요량"/>
      <sheetName val="간재"/>
      <sheetName val="용접재료"/>
      <sheetName val="간재비율"/>
      <sheetName val="작업설"/>
      <sheetName val="단가"/>
      <sheetName val="노집"/>
      <sheetName val="노무"/>
      <sheetName val="공수"/>
      <sheetName val="간노"/>
      <sheetName val="임금"/>
      <sheetName val="임율"/>
      <sheetName val="경비"/>
      <sheetName val="배부"/>
      <sheetName val="조정액"/>
      <sheetName val="일반"/>
      <sheetName val="일반관리비"/>
      <sheetName val="이윤"/>
      <sheetName val="이윤율"/>
      <sheetName val="손익"/>
      <sheetName val="제조"/>
      <sheetName val="기업"/>
      <sheetName val="운반비"/>
      <sheetName val="삭제소요량"/>
      <sheetName val="총괄"/>
      <sheetName val="I一般比"/>
      <sheetName val="전선 및 전선관"/>
      <sheetName val="20관리비율"/>
      <sheetName val="일위대가"/>
      <sheetName val="노무비단가"/>
      <sheetName val="내역1"/>
      <sheetName val="중기사용료"/>
      <sheetName val="시설물일위"/>
      <sheetName val="내역서"/>
      <sheetName val="옥외 전력간선공사"/>
      <sheetName val="경율산정.XLS"/>
      <sheetName val="#REF"/>
      <sheetName val="공조기휀"/>
      <sheetName val="N賃率_職"/>
      <sheetName val="노임단가"/>
      <sheetName val="노무비"/>
      <sheetName val="노임"/>
      <sheetName val="동원(3)"/>
      <sheetName val="화해(함평)"/>
      <sheetName val="화해(장성)"/>
      <sheetName val="제작비추산총괄표"/>
      <sheetName val="b_balju_cho"/>
      <sheetName val="수량산출1"/>
      <sheetName val="자재단가표"/>
      <sheetName val="일위대가(가설)"/>
      <sheetName val="내역"/>
      <sheetName val="C-직노1"/>
      <sheetName val="집계"/>
      <sheetName val="Baby일위대가"/>
      <sheetName val="중기일위대가"/>
      <sheetName val="토공"/>
      <sheetName val="인부임"/>
      <sheetName val="산경"/>
      <sheetName val="순공사비"/>
      <sheetName val="단가조사"/>
      <sheetName val="단"/>
      <sheetName val="전기공사일위대가"/>
      <sheetName val="KCS-CA"/>
      <sheetName val="새공통"/>
      <sheetName val="공사원가계산서"/>
      <sheetName val="직노"/>
      <sheetName val="을-ATYPE"/>
      <sheetName val="다곡2교"/>
      <sheetName val="DATE"/>
      <sheetName val="조건표"/>
      <sheetName val="날개벽수량표"/>
      <sheetName val="원형맨홀수량"/>
      <sheetName val="이토변실"/>
      <sheetName val="문산"/>
      <sheetName val="을지"/>
      <sheetName val="Sheet1"/>
      <sheetName val="제36-40호표"/>
      <sheetName val="J直材4"/>
      <sheetName val="총괄집계표"/>
      <sheetName val="CT "/>
      <sheetName val="재료"/>
      <sheetName val="설치자재"/>
      <sheetName val="기본사항"/>
      <sheetName val="환산"/>
      <sheetName val="일위"/>
      <sheetName val="총괄표"/>
      <sheetName val="Data"/>
      <sheetName val="지급자재"/>
      <sheetName val="공통가설"/>
      <sheetName val="샌딩 에폭시 도장"/>
      <sheetName val="일반문틀 설치"/>
      <sheetName val="총괄내역서"/>
      <sheetName val="수량산출"/>
      <sheetName val="일위대가목록"/>
      <sheetName val="교각1"/>
      <sheetName val="유림골조"/>
      <sheetName val="기본일위"/>
      <sheetName val="재정비직인"/>
      <sheetName val="재정비내역"/>
      <sheetName val="지적고시내역"/>
      <sheetName val="원가_(2)"/>
      <sheetName val="전선_및_전선관"/>
      <sheetName val="옥외_전력간선공사"/>
      <sheetName val="경율산정_XLS"/>
      <sheetName val="품셈"/>
      <sheetName val="96노임기준"/>
      <sheetName val="CTEMCOST"/>
      <sheetName val="차액보증"/>
      <sheetName val="인사자료총집계"/>
      <sheetName val="WATER"/>
      <sheetName val="차도부연장현황"/>
      <sheetName val="2.수량조서(발주용)"/>
      <sheetName val="Galaxy 소비자가격표"/>
      <sheetName val="6PILE  (돌출)"/>
      <sheetName val="목록"/>
      <sheetName val="공종별수량집계"/>
      <sheetName val="담장산출"/>
      <sheetName val="70%"/>
      <sheetName val="단위수량"/>
      <sheetName val="견적"/>
      <sheetName val="P&amp;L(Ahn)"/>
      <sheetName val="포장공"/>
      <sheetName val="배수공"/>
      <sheetName val="약전설비"/>
      <sheetName val="업체명"/>
      <sheetName val="관리"/>
      <sheetName val="절감효과"/>
      <sheetName val="설계예시"/>
      <sheetName val="간접비총괄 (2)"/>
      <sheetName val="구조물공"/>
      <sheetName val="부대공"/>
      <sheetName val="적현로"/>
      <sheetName val="아파트"/>
      <sheetName val="EQT-ESTN"/>
      <sheetName val="중기사용료산출근거"/>
      <sheetName val="단가 및 재료비"/>
      <sheetName val="소비자가"/>
      <sheetName val="설직재-1"/>
      <sheetName val="B1(반포1차)"/>
      <sheetName val="기술부 VENDOR LIST"/>
      <sheetName val="D-경비1"/>
      <sheetName val="건축내역"/>
      <sheetName val="원가계산서"/>
      <sheetName val="일위목록"/>
      <sheetName val="1차설계변경내역"/>
      <sheetName val="8.수량산출서"/>
      <sheetName val="9.단가조사서"/>
      <sheetName val="6.일위목록"/>
      <sheetName val="증감대비"/>
      <sheetName val="단위단가"/>
      <sheetName val="전기"/>
      <sheetName val="요율"/>
      <sheetName val="하도관리"/>
      <sheetName val="확약서"/>
      <sheetName val="000000"/>
      <sheetName val="Sheet9"/>
      <sheetName val="건축-물가변동"/>
      <sheetName val="퇴직영수증"/>
      <sheetName val="COST"/>
      <sheetName val="Sheet4"/>
      <sheetName val="을_ATYPE"/>
      <sheetName val="견적서"/>
      <sheetName val="합천내역"/>
      <sheetName val="guard(mac)"/>
      <sheetName val="조명시설"/>
      <sheetName val="인건비"/>
      <sheetName val="아파트_9"/>
      <sheetName val="대목"/>
      <sheetName val="정부노임단가"/>
      <sheetName val="4. 자재단가비교표"/>
      <sheetName val="4. 일위대가"/>
      <sheetName val="일위대가표(유단가)"/>
      <sheetName val="노임단가(일반)"/>
      <sheetName val="전기일위대가"/>
      <sheetName val="시설물기초"/>
      <sheetName val="단1"/>
      <sheetName val="내역서(실)"/>
      <sheetName val="단가산출"/>
      <sheetName val="경산"/>
      <sheetName val="변압기 및 발전기 용량"/>
      <sheetName val="5사남"/>
      <sheetName val="dt0301"/>
      <sheetName val="dtt0301"/>
      <sheetName val="지수"/>
      <sheetName val="갑지(추정)"/>
      <sheetName val="Sheet5"/>
      <sheetName val="FACTOR"/>
      <sheetName val="소화설비"/>
      <sheetName val="가설대가"/>
      <sheetName val="토공대가"/>
      <sheetName val="구조대가"/>
      <sheetName val="포설대가1"/>
      <sheetName val="부대대가"/>
      <sheetName val="공정집계_국별"/>
      <sheetName val="MOKDONG(1)"/>
      <sheetName val="준검 내역서"/>
      <sheetName val="설계명세서"/>
      <sheetName val="Sheet3"/>
      <sheetName val="대구-교대(A1)"/>
      <sheetName val="기존단가 (2)"/>
      <sheetName val="자료입력"/>
      <sheetName val="예산명세서"/>
      <sheetName val="시행후면적"/>
      <sheetName val="일위대가표"/>
      <sheetName val="工관리비율"/>
      <sheetName val="工완성공사율"/>
      <sheetName val="1차 내역서"/>
      <sheetName val="구리토평1전기"/>
      <sheetName val="적용단위길이"/>
      <sheetName val="피벗테이블데이터분석"/>
      <sheetName val="특수기호강도거푸집"/>
      <sheetName val="종배수관면벽신"/>
      <sheetName val="종배수관(신)"/>
      <sheetName val="해창정"/>
      <sheetName val="기본단가표"/>
      <sheetName val="기계설비"/>
      <sheetName val="(변경계약)총괄내역"/>
      <sheetName val="설계내역서"/>
      <sheetName val="공사개요"/>
      <sheetName val="대전-교대(A1-A2)"/>
      <sheetName val="Total"/>
      <sheetName val="48평단가"/>
      <sheetName val="57단가"/>
      <sheetName val="54평단가"/>
      <sheetName val="66평단가"/>
      <sheetName val="61단가"/>
      <sheetName val="89평단가"/>
      <sheetName val="84평단가"/>
      <sheetName val="설계내역2"/>
      <sheetName val="기초단가"/>
      <sheetName val="설계내역(2001)"/>
      <sheetName val="원가_(2)1"/>
      <sheetName val="전선_및_전선관1"/>
      <sheetName val="아스콘포장 (5t)"/>
      <sheetName val="사용성검토"/>
      <sheetName val="4)유동표"/>
      <sheetName val="ABUT수량-A1"/>
      <sheetName val="POL6차-PIPING"/>
      <sheetName val="시공변경 설명서"/>
      <sheetName val="공사비증감내역"/>
      <sheetName val="변경조서"/>
      <sheetName val="362품셈"/>
      <sheetName val="Sheet2"/>
      <sheetName val="수량산출서"/>
      <sheetName val="1호철근량"/>
      <sheetName val="1. 설계조건 2.단면가정 3. 하중계산"/>
      <sheetName val="DATA 입력란"/>
      <sheetName val="수공기"/>
      <sheetName val="중기"/>
      <sheetName val="CAUDIT"/>
      <sheetName val="토적계산"/>
      <sheetName val="목차"/>
      <sheetName val="수지예산"/>
      <sheetName val="전선"/>
      <sheetName val="CABLE"/>
      <sheetName val="마포토정"/>
      <sheetName val="10월"/>
      <sheetName val="신천3호용수로"/>
      <sheetName val="2공구산출내역"/>
      <sheetName val="식재일위대가"/>
      <sheetName val="실행대비"/>
      <sheetName val="패널"/>
      <sheetName val="광양방향"/>
      <sheetName val="BOX전기내역"/>
      <sheetName val="물가자료"/>
      <sheetName val="기자재비"/>
      <sheetName val="노임이"/>
      <sheetName val="공예을"/>
      <sheetName val="골조시행"/>
      <sheetName val="45,46"/>
      <sheetName val="사업성분석"/>
      <sheetName val="실행내역"/>
      <sheetName val="백호우계수"/>
      <sheetName val="총괄갑 "/>
      <sheetName val="99년신청"/>
      <sheetName val="표준내역"/>
      <sheetName val="대운산출"/>
      <sheetName val="SANTOGO"/>
      <sheetName val="SANBAISU"/>
      <sheetName val="날개벽"/>
      <sheetName val="계림(함평)"/>
      <sheetName val="계림(장성)"/>
      <sheetName val="상부수량집계표"/>
      <sheetName val="비탈면보호공수량산출"/>
      <sheetName val="수목표준대가"/>
      <sheetName val="(A)내역서"/>
      <sheetName val="내역단위"/>
      <sheetName val="woo(mac)"/>
      <sheetName val="갑지"/>
      <sheetName val="집계표"/>
      <sheetName val="포승(S+H)"/>
      <sheetName val="포승(SHEET)"/>
      <sheetName val="기성내역서"/>
      <sheetName val="변경내역서"/>
      <sheetName val="인건-측정"/>
      <sheetName val="횡배수관집현황(2공구)"/>
      <sheetName val="환율"/>
      <sheetName val="내역서1999.8최종"/>
      <sheetName val="b_balju-단가단가단가"/>
      <sheetName val="6호기"/>
      <sheetName val="방식총괄"/>
      <sheetName val="단가목록"/>
      <sheetName val="내역을"/>
      <sheetName val="건축"/>
      <sheetName val="을"/>
      <sheetName val="금융비용"/>
      <sheetName val="ERL_TBL"/>
      <sheetName val="펀칭"/>
      <sheetName val="EXPENSE"/>
      <sheetName val="물량"/>
      <sheetName val="COVER"/>
      <sheetName val="내역서2안"/>
      <sheetName val="건축공사실행"/>
      <sheetName val="건축원가"/>
      <sheetName val="7.수지"/>
      <sheetName val="estimate(TOTAL) (2)"/>
      <sheetName val="estimate"/>
      <sheetName val="기계실"/>
      <sheetName val="b_sul"/>
      <sheetName val="전체"/>
      <sheetName val="기기리스트"/>
      <sheetName val="8.PILE  (돌출)"/>
      <sheetName val="입찰안"/>
      <sheetName val="전국현황"/>
      <sheetName val="MOTOR"/>
      <sheetName val="일위대가(출입)"/>
      <sheetName val="sw1"/>
      <sheetName val="JUCK"/>
      <sheetName val="부대내역"/>
      <sheetName val="모래기초"/>
      <sheetName val="산근"/>
      <sheetName val="도급내역(금차분)"/>
      <sheetName val="메서,변+증"/>
      <sheetName val="DATA1"/>
      <sheetName val="노임변동률"/>
      <sheetName val="OPGW기별"/>
      <sheetName val="별첨1-4"/>
      <sheetName val="이천변압기운반비"/>
      <sheetName val="지시서"/>
      <sheetName val="아파트건축"/>
      <sheetName val="Sheet13"/>
      <sheetName val="배전KT"/>
      <sheetName val="성서방향-교대(A2)"/>
      <sheetName val="부하계산서"/>
      <sheetName val="도로단위당"/>
      <sheetName val="내역서(기성청구)"/>
      <sheetName val="원형1호맨홀토공수량"/>
      <sheetName val="상행-교대(A1-A2)"/>
      <sheetName val="I.설계조건"/>
      <sheetName val="경율산정"/>
      <sheetName val="투찰가"/>
      <sheetName val="평균높이산출근거"/>
      <sheetName val="횡배수관위치조서"/>
      <sheetName val="자재집계"/>
      <sheetName val="9GNG운반"/>
      <sheetName val="3.건축(현장안)"/>
      <sheetName val="3F"/>
      <sheetName val="기별"/>
      <sheetName val="단가명령서"/>
      <sheetName val="3"/>
      <sheetName val="대창(장성)"/>
      <sheetName val="대창(함평)-창열"/>
      <sheetName val="방지책개소별명세"/>
      <sheetName val="설계서(1)"/>
      <sheetName val="실행철강하도"/>
      <sheetName val="계수원본(99.2.28)"/>
      <sheetName val="제품별구성표"/>
      <sheetName val="Sheet1 (2)"/>
      <sheetName val="Macro1"/>
      <sheetName val="Macro3"/>
      <sheetName val="Macro2"/>
      <sheetName val="암거단위"/>
      <sheetName val="역T형"/>
      <sheetName val="토사(PE)"/>
      <sheetName val="시멘트 및 골재량산출"/>
      <sheetName val="신우"/>
      <sheetName val="단가표"/>
      <sheetName val="Y-WORK"/>
      <sheetName val="청천내"/>
      <sheetName val="터파기및재료"/>
      <sheetName val="옥외_전력간선공사1"/>
      <sheetName val="경율산정_XLS1"/>
      <sheetName val="계수원본(99_2_28)"/>
      <sheetName val="CT_"/>
      <sheetName val="단가_및_재료비"/>
      <sheetName val="샌딩_에폭시_도장"/>
      <sheetName val="일반문틀_설치"/>
      <sheetName val="2_수량조서(발주용)"/>
      <sheetName val="Galaxy_소비자가격표"/>
      <sheetName val="6PILE__(돌출)"/>
      <sheetName val="간접비총괄_(2)"/>
      <sheetName val="기술부_VENDOR_LIST"/>
      <sheetName val="하수급견적대비"/>
      <sheetName val="spec1"/>
      <sheetName val="II손익관리"/>
      <sheetName val="산출근거"/>
      <sheetName val="부대시설"/>
      <sheetName val="공문"/>
      <sheetName val="원가계산 (2)"/>
      <sheetName val="마산월령동골조물량변경"/>
      <sheetName val="기계경비(시간당)"/>
      <sheetName val="램머"/>
      <sheetName val="대로근거"/>
      <sheetName val="교대(A1-A2)"/>
      <sheetName val="철거산출근거"/>
      <sheetName val="1-최종안"/>
      <sheetName val="사업분석-분양가결정"/>
      <sheetName val="토목검측서"/>
      <sheetName val="C-노임단가"/>
      <sheetName val="경제성분석"/>
      <sheetName val="급여대장출력"/>
      <sheetName val="인원계획-미화"/>
      <sheetName val="자재단가"/>
      <sheetName val="asd"/>
      <sheetName val="1차_내역서"/>
      <sheetName val="8_수량산출서"/>
      <sheetName val="9_단가조사서"/>
      <sheetName val="6_일위목록"/>
      <sheetName val="기존단가_(2)"/>
      <sheetName val="Key Data"/>
      <sheetName val="Tool"/>
      <sheetName val="제2~7호표"/>
      <sheetName val="예산내역서"/>
      <sheetName val="설계예산서"/>
      <sheetName val="PAC"/>
      <sheetName val="실행내역 "/>
      <sheetName val="재료비"/>
      <sheetName val="sst,stl창호"/>
      <sheetName val="돈암사업"/>
      <sheetName val="단면치수"/>
      <sheetName val="명단"/>
      <sheetName val="손익현황"/>
      <sheetName val="unit 4"/>
      <sheetName val="시설장비"/>
      <sheetName val="직접경비"/>
      <sheetName val="BOX-1510"/>
      <sheetName val="5Strand-장기처짐PCI"/>
      <sheetName val="도근좌표"/>
      <sheetName val="자재표"/>
      <sheetName val="BEND LOSS"/>
      <sheetName val="설계서"/>
      <sheetName val="결선list"/>
      <sheetName val="백암비스타내역"/>
      <sheetName val="danga"/>
      <sheetName val="ilch"/>
      <sheetName val="기둥(원형)"/>
      <sheetName val="암거공"/>
      <sheetName val="부대집계1"/>
      <sheetName val="가도단위"/>
      <sheetName val="3련 BOX"/>
      <sheetName val="설계조건"/>
      <sheetName val="공비대비"/>
      <sheetName val="건축토목내역"/>
      <sheetName val="A"/>
      <sheetName val="대비"/>
      <sheetName val="제출내역서"/>
      <sheetName val="내역서(실행)"/>
      <sheetName val="내역서 (원본)"/>
      <sheetName val="내역서(실행)3"/>
      <sheetName val="보증금(전신전화가입권)"/>
      <sheetName val="98년BS"/>
      <sheetName val="잉여금"/>
      <sheetName val="(10) 단가산출결과"/>
      <sheetName val="노원열병합  건축공사기성내역서"/>
      <sheetName val="BOX(상시)"/>
      <sheetName val="REINF."/>
      <sheetName val="LOADS"/>
      <sheetName val="말뚝지지력산정"/>
      <sheetName val="산출내역 (월기성)"/>
      <sheetName val="건축기성"/>
      <sheetName val="공량예산"/>
      <sheetName val="PIPE(인수본)"/>
      <sheetName val="기준표"/>
      <sheetName val="국소별수량산출"/>
      <sheetName val="BID"/>
      <sheetName val="물가기준년"/>
      <sheetName val="장비기준"/>
      <sheetName val=""/>
      <sheetName val="물가"/>
      <sheetName val="205동"/>
      <sheetName val="6공구(당초)"/>
      <sheetName val=" FURNACE현설"/>
      <sheetName val="명세서(을)"/>
      <sheetName val="환경기계공정표 (3)"/>
      <sheetName val="combi(wall)"/>
      <sheetName val="수량산출서(보강)"/>
      <sheetName val="중기솔뇨"/>
      <sheetName val="금액내역서"/>
      <sheetName val="개별직종노임단가(2002.5)"/>
      <sheetName val="깨기"/>
      <sheetName val="basic_info"/>
      <sheetName val="Macro(차단기)"/>
      <sheetName val="물량표"/>
      <sheetName val="조도계산(1)"/>
      <sheetName val="수량집계"/>
      <sheetName val="내역서 업체견적단가"/>
      <sheetName val="건축일"/>
      <sheetName val="몰운대초견적"/>
      <sheetName val="투찰"/>
      <sheetName val="설계개요"/>
      <sheetName val="DAN"/>
      <sheetName val="4__자재단가비교표"/>
      <sheetName val="4__일위대가"/>
      <sheetName val="준검_내역서"/>
      <sheetName val="변압기_및_발전기_용량"/>
      <sheetName val="업체코드"/>
      <sheetName val="토공집계"/>
      <sheetName val="1.우편집중내역서"/>
      <sheetName val="현장관리비"/>
      <sheetName val="본체"/>
      <sheetName val="보조셀"/>
      <sheetName val="품셈표"/>
      <sheetName val="BM"/>
      <sheetName val="갑지1"/>
      <sheetName val="남양시작동010313100%"/>
      <sheetName val="Option"/>
      <sheetName val="공예율"/>
      <sheetName val="98수문일위"/>
      <sheetName val="종배수관"/>
      <sheetName val="REACTION(USE평시)"/>
      <sheetName val="REACTION(USD지진시)"/>
      <sheetName val="갑1"/>
      <sheetName val="경계석수량집계"/>
      <sheetName val="1.설계조건"/>
      <sheetName val="배관배선내역"/>
      <sheetName val="J"/>
      <sheetName val="대차대조표"/>
      <sheetName val="배수관접합및부설  "/>
      <sheetName val="기계내역"/>
      <sheetName val="조직"/>
      <sheetName val="빗물받이(910-510-410)"/>
      <sheetName val="상세내역서"/>
      <sheetName val="#2-3 일위대가"/>
      <sheetName val="#2-4 단가대비표"/>
      <sheetName val="동원인원"/>
      <sheetName val="자재단가비교표"/>
      <sheetName val="9811"/>
      <sheetName val="금액"/>
      <sheetName val="전기자료"/>
      <sheetName val="Sheet14"/>
      <sheetName val="Sheet10"/>
      <sheetName val="견적990322"/>
      <sheetName val="SAMPLE"/>
      <sheetName val="O＆P"/>
      <sheetName val="원가_(2)2"/>
      <sheetName val="전선_및_전선관2"/>
      <sheetName val="옥외_전력간선공사2"/>
      <sheetName val="경율산정_XLS2"/>
      <sheetName val="2_수량조서(발주용)1"/>
      <sheetName val="CT_1"/>
      <sheetName val="간접비총괄_(2)1"/>
      <sheetName val="샌딩_에폭시_도장1"/>
      <sheetName val="일반문틀_설치1"/>
      <sheetName val="6PILE__(돌출)1"/>
      <sheetName val="Galaxy_소비자가격표1"/>
      <sheetName val="기술부_VENDOR_LIST1"/>
      <sheetName val="기존단가_(2)1"/>
      <sheetName val="1차_내역서1"/>
      <sheetName val="8_수량산출서1"/>
      <sheetName val="9_단가조사서1"/>
      <sheetName val="6_일위목록1"/>
      <sheetName val="단가_및_재료비1"/>
      <sheetName val="8_PILE__(돌출)"/>
      <sheetName val="estimate(TOTAL)_(2)"/>
      <sheetName val="7_수지"/>
      <sheetName val="시공변경_설명서"/>
      <sheetName val="아스콘포장_(5t)"/>
      <sheetName val="총괄갑_"/>
      <sheetName val="원가계산_(2)"/>
      <sheetName val="계수원본(99_2_28)1"/>
      <sheetName val="실행내역_"/>
      <sheetName val="내역서1999_8최종"/>
      <sheetName val="1__설계조건_2_단면가정_3__하중계산"/>
      <sheetName val="DATA_입력란"/>
      <sheetName val="unit_4"/>
      <sheetName val="Sheet1_(2)"/>
      <sheetName val="Key_Data"/>
      <sheetName val="단가산출1"/>
      <sheetName val="가로등기초"/>
      <sheetName val="3CHBDC"/>
      <sheetName val="CON'C"/>
      <sheetName val="1호맨홀토공"/>
      <sheetName val="가로등내역서"/>
      <sheetName val="공조기(삭제)"/>
      <sheetName val="고등학교"/>
      <sheetName val="단가조사서"/>
      <sheetName val="가도공"/>
      <sheetName val="1.설계기준"/>
      <sheetName val="도수로(총)"/>
      <sheetName val="단위량"/>
      <sheetName val="재료집계표2"/>
      <sheetName val="토적집계표"/>
      <sheetName val="제-노임"/>
      <sheetName val="제직재"/>
      <sheetName val="목표세부명세"/>
      <sheetName val="화전내"/>
      <sheetName val="SULKEA"/>
      <sheetName val="공사비산출서"/>
      <sheetName val="우각부보강"/>
      <sheetName val="포장총괄집계표"/>
      <sheetName val="삭제금지단가"/>
      <sheetName val="work"/>
      <sheetName val="단가표 (2)"/>
      <sheetName val="절탄기단관교체공량"/>
      <sheetName val="이종재질교체공량"/>
      <sheetName val="Final SH Loose Tube 교체공량"/>
      <sheetName val="사업부배부A"/>
      <sheetName val="코드"/>
      <sheetName val="정화조동내역"/>
      <sheetName val="심사"/>
      <sheetName val="설계서(8)"/>
      <sheetName val="매출처비중(2)"/>
      <sheetName val="인천제철"/>
      <sheetName val="관리,공감"/>
      <sheetName val="개산공사비"/>
      <sheetName val="간접비"/>
      <sheetName val="안정검토"/>
      <sheetName val="7.PILE  (돌출)"/>
      <sheetName val="샤워실위생"/>
      <sheetName val="2-1. 경관조명 내역총괄표"/>
      <sheetName val="간접"/>
      <sheetName val="수로교총재료집계"/>
      <sheetName val="확산동"/>
      <sheetName val="조건"/>
      <sheetName val="예산"/>
      <sheetName val="2005년6월김문환"/>
      <sheetName val="정산ISSUE(T)"/>
      <sheetName val="영동(D)"/>
      <sheetName val="토목주소"/>
      <sheetName val="배수내역"/>
      <sheetName val="대구은행"/>
      <sheetName val="C.배수관공"/>
      <sheetName val="역T형옹벽(3.0)"/>
      <sheetName val="1안"/>
      <sheetName val="교대(A1)"/>
      <sheetName val="단면가정"/>
      <sheetName val="구조물터파기수량집계"/>
      <sheetName val="배수공 시멘트 및 골재량 산출"/>
      <sheetName val="기준FACTOR"/>
      <sheetName val="H-pile(298x299)"/>
      <sheetName val="H-pile(250x250)"/>
      <sheetName val="덕전리"/>
      <sheetName val="설치조서"/>
      <sheetName val="내역5"/>
      <sheetName val="Customer Databas"/>
      <sheetName val="item"/>
      <sheetName val="B"/>
      <sheetName val="유림콘도"/>
      <sheetName val="가시설수량"/>
      <sheetName val="용산1(해보)"/>
      <sheetName val="9-1차이내역"/>
      <sheetName val="1st"/>
      <sheetName val="간지"/>
      <sheetName val="일위목록표"/>
      <sheetName val="    "/>
      <sheetName val="수량산출서_천안"/>
      <sheetName val="수량산출서_아산"/>
      <sheetName val="기계경비단가총괄표"/>
      <sheetName val="기계경비단가산출표"/>
      <sheetName val="기계경비손료 및 운전경비 산출"/>
      <sheetName val="기계경비 손료 및 운전경비 산출기준"/>
      <sheetName val="단가조사표"/>
      <sheetName val="노임단가표"/>
      <sheetName val="   "/>
      <sheetName val="계수"/>
      <sheetName val="용어"/>
      <sheetName val="연습"/>
      <sheetName val="배수공집계표"/>
      <sheetName val="예정공정표"/>
      <sheetName val="프랜트면허"/>
      <sheetName val="YM-IL1"/>
      <sheetName val="토공구역구분(출력안함)"/>
      <sheetName val="간지02)"/>
      <sheetName val="직접구매"/>
      <sheetName val="간지03 )"/>
      <sheetName val="주요자재xxxxxx"/>
      <sheetName val="1.레미콘"/>
      <sheetName val="2.관집계"/>
      <sheetName val="3.제수밸브"/>
      <sheetName val="4.각종주철제"/>
      <sheetName val="5.유량계"/>
      <sheetName val="1.골재집계"/>
      <sheetName val="2.철근집계"/>
      <sheetName val="3.관세척"/>
      <sheetName val="4.분기관"/>
      <sheetName val="간지04)"/>
      <sheetName val="총괄자재집계표"/>
      <sheetName val="간지05)"/>
      <sheetName val="상수공 토공집계표"/>
      <sheetName val="우수공자재집계표"/>
      <sheetName val="시모자"/>
      <sheetName val="당사수지비교표"/>
      <sheetName val="당사수지"/>
      <sheetName val="120대형 환기량PK-1"/>
      <sheetName val="급수 (LPM)"/>
      <sheetName val="기계공사"/>
      <sheetName val="충주"/>
      <sheetName val="공사내역서"/>
      <sheetName val="노임목록"/>
      <sheetName val="중기목록"/>
      <sheetName val="자재목록"/>
      <sheetName val="조사표"/>
      <sheetName val=" 견적서"/>
      <sheetName val="중동공구"/>
      <sheetName val="횡배수관토공수량"/>
      <sheetName val="3.하중산정4.지지력"/>
      <sheetName val="FAB별"/>
      <sheetName val="front"/>
      <sheetName val="길어깨(현황)"/>
      <sheetName val="ASP"/>
      <sheetName val="물가변동대가세부내역서"/>
      <sheetName val="원가산출근거"/>
      <sheetName val="단가입력창"/>
      <sheetName val="계약내역(갑지)"/>
      <sheetName val="남양시작동자105노65기1.3화1.2"/>
      <sheetName val="실행내역서"/>
      <sheetName val="주요기준"/>
      <sheetName val="대공종"/>
      <sheetName val="국영"/>
      <sheetName val="판가반영"/>
      <sheetName val="6F8"/>
      <sheetName val="구성비"/>
      <sheetName val="賃料等一覧"/>
      <sheetName val="S&amp;R"/>
      <sheetName val="리츠"/>
      <sheetName val="RCF CLAIMED"/>
      <sheetName val="Cost Reduction"/>
      <sheetName val="포장단가"/>
      <sheetName val="품명별원가"/>
      <sheetName val="단가산출서"/>
      <sheetName val="30신설일위대가"/>
      <sheetName val="원가_(2)3"/>
      <sheetName val="전선_및_전선관3"/>
      <sheetName val="옥외_전력간선공사3"/>
      <sheetName val="경율산정_XLS3"/>
      <sheetName val="2_수량조서(발주용)2"/>
      <sheetName val="CT_2"/>
      <sheetName val="간접비총괄_(2)2"/>
      <sheetName val="샌딩_에폭시_도장2"/>
      <sheetName val="일반문틀_설치2"/>
      <sheetName val="6PILE__(돌출)2"/>
      <sheetName val="Galaxy_소비자가격표2"/>
      <sheetName val="기술부_VENDOR_LIST2"/>
      <sheetName val="기존단가_(2)2"/>
      <sheetName val="1차_내역서2"/>
      <sheetName val="8_수량산출서2"/>
      <sheetName val="9_단가조사서2"/>
      <sheetName val="6_일위목록2"/>
      <sheetName val="단가_및_재료비2"/>
      <sheetName val="4__자재단가비교표1"/>
      <sheetName val="4__일위대가1"/>
      <sheetName val="준검_내역서1"/>
      <sheetName val="변압기_및_발전기_용량1"/>
      <sheetName val="8_PILE__(돌출)1"/>
      <sheetName val="estimate(TOTAL)_(2)1"/>
      <sheetName val="7_수지1"/>
      <sheetName val="시공변경_설명서1"/>
      <sheetName val="아스콘포장_(5t)1"/>
      <sheetName val="총괄갑_1"/>
      <sheetName val="원가계산_(2)1"/>
      <sheetName val="계수원본(99_2_28)2"/>
      <sheetName val="실행내역_1"/>
      <sheetName val="Key_Data1"/>
      <sheetName val="unit_41"/>
      <sheetName val="Sheet1_(2)1"/>
      <sheetName val="3_건축(현장안)"/>
      <sheetName val="내역서_(원본)"/>
      <sheetName val="내역서1999_8최종1"/>
      <sheetName val="노원열병합__건축공사기성내역서"/>
      <sheetName val="BEND_LOSS"/>
      <sheetName val="(10)_단가산출결과"/>
      <sheetName val="산출내역_(월기성)"/>
      <sheetName val="_FURNACE현설"/>
      <sheetName val="환경기계공정표_(3)"/>
      <sheetName val="I_설계조건"/>
      <sheetName val="1_우편집중내역서"/>
      <sheetName val="3련_BOX"/>
      <sheetName val="1__설계조건_2_단면가정_3__하중계산1"/>
      <sheetName val="DATA_입력란1"/>
      <sheetName val="#2-3_일위대가"/>
      <sheetName val="#2-4_단가대비표"/>
      <sheetName val="내역서_업체견적단가"/>
      <sheetName val="REINF_"/>
      <sheetName val="Final_SH_Loose_Tube_교체공량"/>
      <sheetName val="배수관접합및부설__"/>
      <sheetName val="개별직종노임단가(2002_5)"/>
      <sheetName val="Customer_Databas"/>
      <sheetName val="시멘트_및_골재량산출"/>
      <sheetName val="단가표_(2)"/>
      <sheetName val="1_설계조건"/>
      <sheetName val="1_설계기준"/>
      <sheetName val="____"/>
      <sheetName val="기계경비손료_및_운전경비_산출"/>
      <sheetName val="기계경비_손료_및_운전경비_산출기준"/>
      <sheetName val="___"/>
      <sheetName val="2-1__경관조명_내역총괄표"/>
      <sheetName val="RCF_CLAIMED"/>
      <sheetName val="2004일위대가"/>
      <sheetName val="연장및면적(좌측)"/>
      <sheetName val="맨홀"/>
      <sheetName val="대가목록"/>
      <sheetName val="참고"/>
      <sheetName val="표지 (2)"/>
      <sheetName val="데리네이타현황"/>
      <sheetName val="각사별공사비분개 "/>
      <sheetName val="노임,기계단가"/>
      <sheetName val="산출내역서"/>
      <sheetName val="집계표(육상)"/>
      <sheetName val="암거"/>
      <sheetName val="대여현황"/>
      <sheetName val="노임9월"/>
      <sheetName val="NYS"/>
      <sheetName val="HVAC"/>
      <sheetName val="BM_NEW2"/>
      <sheetName val="토공유동표"/>
      <sheetName val="Earthwork"/>
      <sheetName val="데이타"/>
      <sheetName val="특판제외"/>
      <sheetName val="특수선일위대가"/>
      <sheetName val="특별교실"/>
      <sheetName val="냉천부속동"/>
      <sheetName val="장비 (2)"/>
      <sheetName val="4품목조정률"/>
      <sheetName val="할증 "/>
      <sheetName val="[N賃率-職.xls]B__OFFICE____N_____3"/>
      <sheetName val="[N賃率-職.xls]B__OFFICE____N_____2"/>
      <sheetName val="물가시세"/>
      <sheetName val="Sheet15"/>
      <sheetName val="관로수량산출집계"/>
      <sheetName val="한전수탁공사비내역서"/>
      <sheetName val="pldt"/>
      <sheetName val="표지"/>
      <sheetName val="설계서표지"/>
      <sheetName val="3. SW 총괄"/>
      <sheetName val="SW신규표지"/>
      <sheetName val="기반정보연계 FP산정"/>
      <sheetName val="기반정보 연계 소프트웨어개발비산출-간이법"/>
      <sheetName val="기반정보 연계 (참조)보정계수"/>
      <sheetName val="정보연계 FP산정"/>
      <sheetName val="정보연계 소프트웨어개발비산출-간이법"/>
      <sheetName val="정보연계 (참조)보정계수"/>
      <sheetName val="심사계산"/>
      <sheetName val="심사물량"/>
      <sheetName val="각입중량산출서"/>
      <sheetName val="입찰보고"/>
      <sheetName val="효성CB 1P기초"/>
      <sheetName val="DBL LPG시험"/>
      <sheetName val="현장경상비"/>
      <sheetName val="공정량산출내역서 "/>
      <sheetName val="중기단가산출근거"/>
      <sheetName val="일용노임단가2001상"/>
      <sheetName val="Quantity"/>
      <sheetName val="계산근거"/>
      <sheetName val="조명일위"/>
      <sheetName val="주관사업"/>
      <sheetName val="가시설단위수량"/>
      <sheetName val="소업1교"/>
      <sheetName val="원가_(2)4"/>
      <sheetName val="전선_및_전선관4"/>
      <sheetName val="옥외_전력간선공사4"/>
      <sheetName val="경율산정_XLS4"/>
      <sheetName val="2_수량조서(발주용)3"/>
      <sheetName val="CT_3"/>
      <sheetName val="간접비총괄_(2)3"/>
      <sheetName val="기존단가_(2)3"/>
      <sheetName val="샌딩_에폭시_도장3"/>
      <sheetName val="일반문틀_설치3"/>
      <sheetName val="1차_내역서3"/>
      <sheetName val="6PILE__(돌출)3"/>
      <sheetName val="Galaxy_소비자가격표3"/>
      <sheetName val="기술부_VENDOR_LIST3"/>
      <sheetName val="8_수량산출서3"/>
      <sheetName val="9_단가조사서3"/>
      <sheetName val="6_일위목록3"/>
      <sheetName val="단가_및_재료비3"/>
      <sheetName val="4__자재단가비교표2"/>
      <sheetName val="4__일위대가2"/>
      <sheetName val="변압기_및_발전기_용량2"/>
      <sheetName val="준검_내역서2"/>
      <sheetName val="7_수지2"/>
      <sheetName val="8_PILE__(돌출)2"/>
      <sheetName val="원가계산_(2)2"/>
      <sheetName val="계수원본(99_2_28)3"/>
      <sheetName val="estimate(TOTAL)_(2)2"/>
      <sheetName val="시공변경_설명서2"/>
      <sheetName val="아스콘포장_(5t)2"/>
      <sheetName val="총괄갑_2"/>
      <sheetName val="실행내역_2"/>
      <sheetName val="Key_Data2"/>
      <sheetName val="내역서1999_8최종2"/>
      <sheetName val="unit_42"/>
      <sheetName val="Sheet1_(2)2"/>
      <sheetName val="3_건축(현장안)1"/>
      <sheetName val="(10)_단가산출결과1"/>
      <sheetName val="노원열병합__건축공사기성내역서1"/>
      <sheetName val="내역서_(원본)1"/>
      <sheetName val="3련_BOX1"/>
      <sheetName val="산출내역_(월기성)1"/>
      <sheetName val="BEND_LOSS1"/>
      <sheetName val="_FURNACE현설1"/>
      <sheetName val="환경기계공정표_(3)1"/>
      <sheetName val="I_설계조건1"/>
      <sheetName val="1_우편집중내역서1"/>
      <sheetName val="1__설계조건_2_단면가정_3__하중계산2"/>
      <sheetName val="DATA_입력란2"/>
      <sheetName val="#2-3_일위대가1"/>
      <sheetName val="#2-4_단가대비표1"/>
      <sheetName val="내역서_업체견적단가1"/>
      <sheetName val="REINF_1"/>
      <sheetName val="Final_SH_Loose_Tube_교체공량1"/>
      <sheetName val="배수관접합및부설__1"/>
      <sheetName val="시멘트_및_골재량산출1"/>
      <sheetName val="개별직종노임단가(2002_5)1"/>
      <sheetName val="2-1__경관조명_내역총괄표1"/>
      <sheetName val="1_설계조건1"/>
      <sheetName val="단가표_(2)1"/>
      <sheetName val="Customer_Databas1"/>
      <sheetName val="1_설계기준1"/>
      <sheetName val="____1"/>
      <sheetName val="기계경비손료_및_운전경비_산출1"/>
      <sheetName val="기계경비_손료_및_운전경비_산출기준1"/>
      <sheetName val="___1"/>
      <sheetName val="C_배수관공"/>
      <sheetName val="7_PILE__(돌출)"/>
      <sheetName val="RCF_CLAIMED1"/>
      <sheetName val="Cost_Reduction"/>
      <sheetName val="업무분장"/>
      <sheetName val="C_d"/>
      <sheetName val="차이내역"/>
      <sheetName val="우수"/>
      <sheetName val="SOURCE"/>
      <sheetName val="여과지동"/>
      <sheetName val="기초자료"/>
      <sheetName val="INPUT"/>
      <sheetName val="유림총괄"/>
      <sheetName val="공사예산하조서(O.K)"/>
      <sheetName val="연결관암거"/>
      <sheetName val="산출"/>
      <sheetName val="FRP내역서"/>
      <sheetName val="유통조직현황"/>
      <sheetName val="AHU-701(2)"/>
      <sheetName val="플랜트 설치"/>
      <sheetName val="산출서"/>
      <sheetName val="LH3 동양시스템"/>
      <sheetName val=" 냉각수펌프"/>
      <sheetName val="#2_일위대가목록"/>
      <sheetName val="계수시트"/>
      <sheetName val="중기조종사 단위단가"/>
      <sheetName val="철거공-조경"/>
      <sheetName val="전기변내역"/>
      <sheetName val="토적계산서"/>
      <sheetName val="TYPE1"/>
      <sheetName val="철근량"/>
      <sheetName val="변경내역대비표(2)"/>
      <sheetName val="상세내역,전력산출서"/>
      <sheetName val="매부산출"/>
      <sheetName val="현관"/>
      <sheetName val="저"/>
      <sheetName val="IMPEADENCE MAP 취수장"/>
      <sheetName val="SLAB"/>
    </sheetNames>
    <sheetDataSet>
      <sheetData sheetId="0" refreshError="1">
        <row r="5">
          <cell r="I5">
            <v>1</v>
          </cell>
        </row>
        <row r="6">
          <cell r="I6">
            <v>2</v>
          </cell>
        </row>
        <row r="7">
          <cell r="I7">
            <v>3</v>
          </cell>
        </row>
        <row r="8">
          <cell r="I8">
            <v>4</v>
          </cell>
        </row>
        <row r="9">
          <cell r="I9">
            <v>5</v>
          </cell>
        </row>
        <row r="10">
          <cell r="I10">
            <v>6</v>
          </cell>
        </row>
        <row r="11">
          <cell r="I11">
            <v>7</v>
          </cell>
        </row>
        <row r="12">
          <cell r="I12">
            <v>8</v>
          </cell>
        </row>
        <row r="13">
          <cell r="I13">
            <v>9</v>
          </cell>
        </row>
        <row r="14">
          <cell r="I14">
            <v>10</v>
          </cell>
        </row>
        <row r="15">
          <cell r="I15">
            <v>11</v>
          </cell>
        </row>
        <row r="16">
          <cell r="I16">
            <v>12</v>
          </cell>
        </row>
        <row r="17">
          <cell r="I17">
            <v>13</v>
          </cell>
        </row>
        <row r="18">
          <cell r="I18">
            <v>14</v>
          </cell>
        </row>
        <row r="19">
          <cell r="I19">
            <v>15</v>
          </cell>
        </row>
        <row r="20">
          <cell r="I20">
            <v>16</v>
          </cell>
        </row>
        <row r="21">
          <cell r="I21">
            <v>17</v>
          </cell>
        </row>
        <row r="22">
          <cell r="I22">
            <v>18</v>
          </cell>
        </row>
        <row r="23">
          <cell r="I23">
            <v>19</v>
          </cell>
        </row>
        <row r="24">
          <cell r="I24">
            <v>20</v>
          </cell>
        </row>
        <row r="25">
          <cell r="I25">
            <v>21</v>
          </cell>
        </row>
        <row r="26">
          <cell r="I26">
            <v>22</v>
          </cell>
        </row>
        <row r="27">
          <cell r="I27">
            <v>23</v>
          </cell>
        </row>
        <row r="28">
          <cell r="I28">
            <v>24</v>
          </cell>
        </row>
        <row r="29">
          <cell r="I29">
            <v>25</v>
          </cell>
        </row>
        <row r="30">
          <cell r="I30">
            <v>26</v>
          </cell>
        </row>
      </sheetData>
      <sheetData sheetId="1" refreshError="1"/>
      <sheetData sheetId="2">
        <row r="5">
          <cell r="I5">
            <v>1</v>
          </cell>
        </row>
      </sheetData>
      <sheetData sheetId="3">
        <row r="5">
          <cell r="I5">
            <v>1</v>
          </cell>
        </row>
      </sheetData>
      <sheetData sheetId="4">
        <row r="5">
          <cell r="I5">
            <v>1</v>
          </cell>
        </row>
      </sheetData>
      <sheetData sheetId="5">
        <row r="5">
          <cell r="I5">
            <v>1</v>
          </cell>
        </row>
      </sheetData>
      <sheetData sheetId="6">
        <row r="5">
          <cell r="I5">
            <v>1</v>
          </cell>
        </row>
      </sheetData>
      <sheetData sheetId="7">
        <row r="5">
          <cell r="I5">
            <v>1</v>
          </cell>
        </row>
      </sheetData>
      <sheetData sheetId="8">
        <row r="5">
          <cell r="I5">
            <v>1</v>
          </cell>
        </row>
      </sheetData>
      <sheetData sheetId="9">
        <row r="5">
          <cell r="I5">
            <v>1</v>
          </cell>
        </row>
      </sheetData>
      <sheetData sheetId="10">
        <row r="5">
          <cell r="I5">
            <v>1</v>
          </cell>
        </row>
      </sheetData>
      <sheetData sheetId="11">
        <row r="5">
          <cell r="I5">
            <v>1</v>
          </cell>
        </row>
      </sheetData>
      <sheetData sheetId="12">
        <row r="5">
          <cell r="I5">
            <v>1</v>
          </cell>
        </row>
      </sheetData>
      <sheetData sheetId="13">
        <row r="5">
          <cell r="I5">
            <v>1</v>
          </cell>
        </row>
      </sheetData>
      <sheetData sheetId="14">
        <row r="5">
          <cell r="I5">
            <v>1</v>
          </cell>
        </row>
      </sheetData>
      <sheetData sheetId="15">
        <row r="5">
          <cell r="I5">
            <v>1</v>
          </cell>
        </row>
      </sheetData>
      <sheetData sheetId="16">
        <row r="5">
          <cell r="I5">
            <v>1</v>
          </cell>
        </row>
      </sheetData>
      <sheetData sheetId="17">
        <row r="5">
          <cell r="I5">
            <v>1</v>
          </cell>
        </row>
      </sheetData>
      <sheetData sheetId="18">
        <row r="5">
          <cell r="I5">
            <v>1</v>
          </cell>
        </row>
      </sheetData>
      <sheetData sheetId="19">
        <row r="5">
          <cell r="I5">
            <v>1</v>
          </cell>
        </row>
      </sheetData>
      <sheetData sheetId="20">
        <row r="5">
          <cell r="I5">
            <v>1</v>
          </cell>
        </row>
      </sheetData>
      <sheetData sheetId="21">
        <row r="5">
          <cell r="I5">
            <v>1</v>
          </cell>
        </row>
      </sheetData>
      <sheetData sheetId="22">
        <row r="5">
          <cell r="I5">
            <v>1</v>
          </cell>
        </row>
      </sheetData>
      <sheetData sheetId="23">
        <row r="5">
          <cell r="I5">
            <v>1</v>
          </cell>
        </row>
      </sheetData>
      <sheetData sheetId="24">
        <row r="5">
          <cell r="I5">
            <v>1</v>
          </cell>
        </row>
      </sheetData>
      <sheetData sheetId="25">
        <row r="5">
          <cell r="I5">
            <v>1</v>
          </cell>
        </row>
      </sheetData>
      <sheetData sheetId="26">
        <row r="5">
          <cell r="I5">
            <v>1</v>
          </cell>
        </row>
      </sheetData>
      <sheetData sheetId="27">
        <row r="5">
          <cell r="I5">
            <v>1</v>
          </cell>
        </row>
      </sheetData>
      <sheetData sheetId="28">
        <row r="5">
          <cell r="I5">
            <v>1</v>
          </cell>
        </row>
      </sheetData>
      <sheetData sheetId="29">
        <row r="5">
          <cell r="I5">
            <v>1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/>
      <sheetData sheetId="511"/>
      <sheetData sheetId="512" refreshError="1"/>
      <sheetData sheetId="513" refreshError="1"/>
      <sheetData sheetId="514" refreshError="1"/>
      <sheetData sheetId="515" refreshError="1"/>
      <sheetData sheetId="516">
        <row r="7">
          <cell r="I7">
            <v>0</v>
          </cell>
        </row>
      </sheetData>
      <sheetData sheetId="517">
        <row r="7">
          <cell r="I7">
            <v>0</v>
          </cell>
        </row>
      </sheetData>
      <sheetData sheetId="518">
        <row r="7">
          <cell r="I7">
            <v>0</v>
          </cell>
        </row>
      </sheetData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>
        <row r="7">
          <cell r="I7">
            <v>0</v>
          </cell>
        </row>
      </sheetData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>
        <row r="7">
          <cell r="I7">
            <v>0</v>
          </cell>
        </row>
      </sheetData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>
        <row r="7">
          <cell r="I7" t="str">
            <v/>
          </cell>
        </row>
      </sheetData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>
        <row r="5">
          <cell r="I5">
            <v>1</v>
          </cell>
        </row>
      </sheetData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 refreshError="1"/>
      <sheetData sheetId="933" refreshError="1"/>
      <sheetData sheetId="934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갑지"/>
      <sheetName val="건설을지"/>
      <sheetName val="CCTV설치&amp;시운전"/>
      <sheetName val="공사비"/>
      <sheetName val="Sheet11"/>
      <sheetName val="Sheet12"/>
      <sheetName val="Sheet13"/>
      <sheetName val="Sheet14"/>
      <sheetName val="Sheet15"/>
      <sheetName val="Sheet16"/>
      <sheetName val="을지"/>
      <sheetName val="일위대가"/>
      <sheetName val="효성CB 1P기초"/>
      <sheetName val="소운반"/>
      <sheetName val="기본자료"/>
      <sheetName val="요율"/>
      <sheetName val="자재대"/>
      <sheetName val="평가데이터"/>
      <sheetName val="순공사비"/>
      <sheetName val="N賃率-職"/>
      <sheetName val="일위목차"/>
      <sheetName val="일위"/>
      <sheetName val="내역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표지"/>
      <sheetName val="Sheet1"/>
      <sheetName val="인건비.재료비단가표지"/>
      <sheetName val="환율노임"/>
      <sheetName val="실측단가"/>
      <sheetName val="재료비"/>
      <sheetName val="예측단가간지"/>
      <sheetName val="예측단가"/>
      <sheetName val="예측재료비"/>
      <sheetName val="실측단가간지"/>
      <sheetName val="실측재료비"/>
      <sheetName val="정거장단가간지"/>
      <sheetName val="정거장단가"/>
      <sheetName val="용지단가간지"/>
      <sheetName val="용지측량단가"/>
      <sheetName val="용미말뚝박기"/>
      <sheetName val="지반조사간지"/>
      <sheetName val="보오링"/>
      <sheetName val="자연시료"/>
      <sheetName val="실내시험"/>
      <sheetName val="기타간지"/>
      <sheetName val="공통 재료비 단가"/>
      <sheetName val="용지말뚝박기_도면작성비"/>
      <sheetName val="VXXXX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팀별8"/>
    </sheetNames>
    <definedNames>
      <definedName name="보이기"/>
      <definedName name="숨기기비고"/>
      <definedName name="숨기기총괄"/>
      <definedName name="숨기기팀별"/>
      <definedName name="인쇄용"/>
    </definedNames>
    <sheetDataSet>
      <sheetData sheetId="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양식"/>
      <sheetName val="서부-만리"/>
      <sheetName val="서부-와우산"/>
      <sheetName val="서부-노고산"/>
      <sheetName val="IO스케쥴(A4)증압 (2)"/>
      <sheetName val="IO스케쥴(A4)증압 (3)"/>
      <sheetName val="인건비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도급내역"/>
      <sheetName val="결재표지"/>
      <sheetName val="목차"/>
      <sheetName val="공사설명"/>
      <sheetName val="산정기준"/>
      <sheetName val="예산서"/>
      <sheetName val="대총괄표"/>
      <sheetName val="공사원가"/>
      <sheetName val="5백율"/>
      <sheetName val="5수가"/>
      <sheetName val="6백율"/>
      <sheetName val="6수가"/>
      <sheetName val="6수가(원본)"/>
      <sheetName val="물량산출"/>
      <sheetName val="품셈"/>
      <sheetName val="지입단가"/>
      <sheetName val="가설비"/>
      <sheetName val="기계경비"/>
      <sheetName val="운반비"/>
      <sheetName val="중량산출"/>
      <sheetName val="노무비(DB)"/>
      <sheetName val="내역서 "/>
      <sheetName val="SO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집계표"/>
      <sheetName val="기자재"/>
      <sheetName val="기계설치"/>
      <sheetName val="배관공사"/>
      <sheetName val="시운전"/>
      <sheetName val="기계단가"/>
      <sheetName val="배관단가"/>
      <sheetName val="일위"/>
      <sheetName val="수량"/>
    </sheetNames>
    <sheetDataSet>
      <sheetData sheetId="0">
        <row r="1">
          <cell r="A1" t="str">
            <v>명     칭</v>
          </cell>
          <cell r="B1" t="str">
            <v>규   격</v>
          </cell>
          <cell r="C1" t="str">
            <v>수량</v>
          </cell>
          <cell r="D1" t="str">
            <v>단위</v>
          </cell>
          <cell r="E1" t="str">
            <v>총</v>
          </cell>
          <cell r="F1" t="str">
            <v>액</v>
          </cell>
          <cell r="G1" t="str">
            <v>재</v>
          </cell>
          <cell r="H1" t="str">
            <v>료           비</v>
          </cell>
          <cell r="I1" t="str">
            <v>노</v>
          </cell>
          <cell r="J1" t="str">
            <v>무          비</v>
          </cell>
          <cell r="K1" t="str">
            <v xml:space="preserve">경 </v>
          </cell>
          <cell r="L1" t="str">
            <v>비</v>
          </cell>
          <cell r="M1" t="str">
            <v>비 고</v>
          </cell>
        </row>
        <row r="2">
          <cell r="E2" t="str">
            <v>단  가</v>
          </cell>
          <cell r="F2" t="str">
            <v>금  액</v>
          </cell>
          <cell r="G2" t="str">
            <v>단  가</v>
          </cell>
          <cell r="H2" t="str">
            <v>금  액</v>
          </cell>
          <cell r="I2" t="str">
            <v>단  가</v>
          </cell>
          <cell r="J2" t="str">
            <v>금  액</v>
          </cell>
          <cell r="K2" t="str">
            <v>단  가</v>
          </cell>
          <cell r="L2" t="str">
            <v>금  액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집계표"/>
      <sheetName val="기자재"/>
      <sheetName val="기계설치"/>
      <sheetName val="배관공사"/>
      <sheetName val="시운전"/>
      <sheetName val="기계단가"/>
      <sheetName val="배관단가"/>
      <sheetName val="일위"/>
    </sheetNames>
    <sheetDataSet>
      <sheetData sheetId="0">
        <row r="1">
          <cell r="A1" t="str">
            <v>종     별</v>
          </cell>
          <cell r="B1" t="str">
            <v>규   격</v>
          </cell>
          <cell r="C1" t="str">
            <v>수량</v>
          </cell>
          <cell r="D1" t="str">
            <v>단위</v>
          </cell>
          <cell r="E1" t="str">
            <v>총</v>
          </cell>
          <cell r="F1" t="str">
            <v>액</v>
          </cell>
          <cell r="G1" t="str">
            <v>재</v>
          </cell>
          <cell r="H1" t="str">
            <v>료           비</v>
          </cell>
          <cell r="I1" t="str">
            <v>노</v>
          </cell>
          <cell r="J1" t="str">
            <v>무          비</v>
          </cell>
          <cell r="K1" t="str">
            <v xml:space="preserve">경 </v>
          </cell>
          <cell r="L1" t="str">
            <v>비</v>
          </cell>
          <cell r="M1" t="str">
            <v>비 고</v>
          </cell>
        </row>
        <row r="2">
          <cell r="E2" t="str">
            <v>단  가</v>
          </cell>
          <cell r="F2" t="str">
            <v>금  액</v>
          </cell>
          <cell r="G2" t="str">
            <v>단  가</v>
          </cell>
          <cell r="H2" t="str">
            <v>금  액</v>
          </cell>
          <cell r="I2" t="str">
            <v>단  가</v>
          </cell>
          <cell r="J2" t="str">
            <v>금  액</v>
          </cell>
          <cell r="K2" t="str">
            <v>단  가</v>
          </cell>
          <cell r="L2" t="str">
            <v>금  액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"/>
      <sheetName val="총괄내"/>
      <sheetName val="내역서"/>
      <sheetName val="일위식재"/>
      <sheetName val="일위시설"/>
      <sheetName val="단가"/>
      <sheetName val="수량1"/>
      <sheetName val="수량2"/>
      <sheetName val="별산1"/>
      <sheetName val="별산2"/>
      <sheetName val="중기"/>
      <sheetName val="부표"/>
      <sheetName val="수량3"/>
      <sheetName val="수량4"/>
      <sheetName val="코드표"/>
      <sheetName val="Cell목록"/>
      <sheetName val="표지"/>
      <sheetName val="본선"/>
      <sheetName val="교차로개선"/>
      <sheetName val="조경"/>
      <sheetName val="전기"/>
      <sheetName val="집계표"/>
      <sheetName val="통보서"/>
      <sheetName val="청구서"/>
      <sheetName val="내역"/>
      <sheetName val="04 1"/>
      <sheetName val="DONGA3"/>
      <sheetName val="데리네이타현황"/>
      <sheetName val="단가산출"/>
      <sheetName val="노임"/>
      <sheetName val="백호우계수"/>
      <sheetName val="현황산출서"/>
      <sheetName val="단가산출서"/>
      <sheetName val="Sheet1"/>
      <sheetName val="마산방향"/>
      <sheetName val="진주방향"/>
      <sheetName val="단위수량"/>
      <sheetName val="동원(3)"/>
      <sheetName val="수량산출"/>
      <sheetName val="Sheet1 (2)"/>
      <sheetName val="확약서"/>
      <sheetName val="노무비단가"/>
      <sheetName val="총괄내역"/>
      <sheetName val="#REF"/>
      <sheetName val="총집계표"/>
      <sheetName val="DAN"/>
      <sheetName val="터파기및재료"/>
      <sheetName val="수자재단위당"/>
      <sheetName val="원가계산서"/>
      <sheetName val="시운전연료"/>
      <sheetName val="내역(중앙)"/>
      <sheetName val="인상효1"/>
      <sheetName val="노임단가"/>
      <sheetName val="수토공단위당"/>
      <sheetName val="Sheet2"/>
      <sheetName val="새공통"/>
      <sheetName val="현장관리비"/>
      <sheetName val="내부마감"/>
      <sheetName val="45,46"/>
      <sheetName val="BID"/>
      <sheetName val="간지"/>
      <sheetName val="총괄내역서"/>
      <sheetName val="일반수량총괄집계"/>
      <sheetName val="변화치수"/>
      <sheetName val="조명율표"/>
      <sheetName val="70%"/>
      <sheetName val="TYPE-A"/>
      <sheetName val="단가표"/>
      <sheetName val="PAINT"/>
      <sheetName val="식재가격"/>
      <sheetName val="식재총괄"/>
      <sheetName val="일위목록"/>
      <sheetName val="설비"/>
      <sheetName val="맨홀수량"/>
      <sheetName val="DATE"/>
      <sheetName val="단위중량"/>
      <sheetName val="본공사"/>
      <sheetName val="건축"/>
      <sheetName val="제품표준규격"/>
      <sheetName val="사용자정의"/>
      <sheetName val="토공정보"/>
      <sheetName val="여과지동"/>
      <sheetName val="기초자료"/>
      <sheetName val="표지 (2)"/>
      <sheetName val="AS포장복구 "/>
      <sheetName val="일위대가"/>
      <sheetName val="단가 및 재료비"/>
      <sheetName val="공양식"/>
      <sheetName val="기성명세서(직영분)"/>
      <sheetName val="직영공사"/>
      <sheetName val="일위대가표"/>
      <sheetName val="공사개요"/>
      <sheetName val="조직"/>
      <sheetName val="토사(PE)"/>
      <sheetName val="분전함신설"/>
      <sheetName val="접지1종"/>
      <sheetName val="갑지(추정)"/>
      <sheetName val="집계"/>
      <sheetName val="단가결정"/>
      <sheetName val="자재(원원+원대)"/>
      <sheetName val="기초코드"/>
      <sheetName val="내역표지"/>
      <sheetName val="설계조건"/>
      <sheetName val="안정계산"/>
      <sheetName val="단면검토"/>
      <sheetName val="설계산출표지"/>
      <sheetName val="을부담운반비"/>
      <sheetName val="부대공사비"/>
      <sheetName val="준검 내역서"/>
      <sheetName val="시점교대"/>
      <sheetName val="수량집계"/>
      <sheetName val="일위대가(가설)"/>
      <sheetName val="식재일위대가"/>
      <sheetName val="포장공수량집계표"/>
      <sheetName val="노무비"/>
      <sheetName val="계수시트"/>
      <sheetName val="사  업  비  수  지  예  산  서"/>
      <sheetName val="1,2공구원가계산서"/>
      <sheetName val="2공구산출내역"/>
      <sheetName val="1공구산출내역서"/>
      <sheetName val="내역서 (2)"/>
      <sheetName val="6PILE  (돌출)"/>
      <sheetName val="제잡비"/>
      <sheetName val="실행"/>
      <sheetName val="입찰"/>
      <sheetName val="현경"/>
      <sheetName val="4차원가계산서"/>
      <sheetName val="투찰추정"/>
      <sheetName val="가도공"/>
      <sheetName val="일위대가목차"/>
      <sheetName val="cp1"/>
      <sheetName val="참조"/>
      <sheetName val="산출내역서집계표"/>
      <sheetName val="공통자료"/>
      <sheetName val="설계예산서(2_소천우회토목)"/>
      <sheetName val="관거공사비"/>
      <sheetName val="플랜트 설치"/>
      <sheetName val="교통대책내역"/>
      <sheetName val="지하발전소수량집계"/>
      <sheetName val="기계경비(시간당)"/>
      <sheetName val="램머"/>
      <sheetName val="요율"/>
      <sheetName val="자재대"/>
      <sheetName val="단가조사"/>
      <sheetName val="기초단가"/>
      <sheetName val="N賃率-職"/>
      <sheetName val="설비내역"/>
      <sheetName val="설계기준"/>
      <sheetName val="내역1"/>
      <sheetName val="HVAC"/>
      <sheetName val="교대(A1-A2)"/>
      <sheetName val="장비가동"/>
      <sheetName val="3월내역"/>
      <sheetName val="진천방향"/>
      <sheetName val="경영상태"/>
      <sheetName val="하중계산"/>
      <sheetName val="내역(창신)"/>
      <sheetName val="조명시설"/>
      <sheetName val="심사물량"/>
      <sheetName val="기초공"/>
      <sheetName val="기둥(원형)"/>
      <sheetName val="산출근거"/>
      <sheetName val="배수공 내역서 적용수량"/>
      <sheetName val="자재단가"/>
      <sheetName val="품셈"/>
      <sheetName val="BOX복구단위수량"/>
      <sheetName val="빗물받이(910-510-410)"/>
      <sheetName val="보완토적"/>
      <sheetName val="소비자가"/>
      <sheetName val="일반공사"/>
      <sheetName val="C.배수관공"/>
      <sheetName val="시설수량표"/>
      <sheetName val="완도-군외"/>
      <sheetName val="Total"/>
      <sheetName val="자료"/>
      <sheetName val="배수관토공산출"/>
      <sheetName val="슬래브수량"/>
      <sheetName val="수량산출서"/>
      <sheetName val="밸브설치"/>
      <sheetName val="민감도"/>
      <sheetName val="MOKDONG(1)"/>
      <sheetName val="금액결정"/>
      <sheetName val="전차선로 물량표"/>
      <sheetName val="한강운반비"/>
      <sheetName val="자재"/>
      <sheetName val="ysn"/>
      <sheetName val="DATA"/>
      <sheetName val="b_balju_cho"/>
      <sheetName val="9GNG운반"/>
      <sheetName val="9811"/>
      <sheetName val="DANGA"/>
      <sheetName val="설계"/>
      <sheetName val="남평내역"/>
      <sheetName val="총괄"/>
      <sheetName val="TOTAL3"/>
      <sheetName val="공비대비"/>
      <sheetName val="토적표"/>
      <sheetName val="맨홀수량산출"/>
      <sheetName val="수량산출서-2"/>
      <sheetName val="대비"/>
      <sheetName val="2. 종합시운전비"/>
      <sheetName val="Y-WORK"/>
      <sheetName val="Sheet4"/>
      <sheetName val="목차임시"/>
      <sheetName val="견적대비"/>
      <sheetName val="감시제어"/>
      <sheetName val="가격조사서"/>
      <sheetName val="상하차비용(기계상차)"/>
      <sheetName val="수간보호"/>
      <sheetName val="운반비"/>
      <sheetName val="덕전리"/>
      <sheetName val="유림총괄"/>
      <sheetName val="대창(장성)"/>
      <sheetName val="관급"/>
      <sheetName val="7+160암거변경"/>
      <sheetName val="공사요율"/>
      <sheetName val="일위대가목록"/>
      <sheetName val="0"/>
      <sheetName val="실행갑지"/>
      <sheetName val="영업소실적"/>
      <sheetName val="Eq. Mobilization"/>
      <sheetName val="MYUN(MAC)"/>
      <sheetName val="제출내역 (2)"/>
      <sheetName val="파일의이용"/>
      <sheetName val="종배수관"/>
      <sheetName val="96노임기준"/>
      <sheetName val="앵커설치(590)"/>
      <sheetName val="토공수량산출"/>
      <sheetName val="토적계산서"/>
      <sheetName val="48평단가"/>
      <sheetName val="57단가"/>
      <sheetName val="54평단가"/>
      <sheetName val="66평단가"/>
      <sheetName val="61단가"/>
      <sheetName val="89평단가"/>
      <sheetName val="84평단가"/>
      <sheetName val="FAB별"/>
      <sheetName val="일위_파일"/>
      <sheetName val="교각토공"/>
      <sheetName val="총괄-1"/>
      <sheetName val="수주현황2월"/>
      <sheetName val="설계예산서"/>
      <sheetName val="시중노임"/>
      <sheetName val="관급자재"/>
      <sheetName val="ABUT수량-A1"/>
      <sheetName val="1.설계조건"/>
      <sheetName val="단면 (2)"/>
      <sheetName val="CODE"/>
      <sheetName val="위치조서"/>
      <sheetName val="상촌2교-일반수량집계"/>
      <sheetName val="공사기본내용입력"/>
      <sheetName val="04_1"/>
      <sheetName val="Sheet1_(2)"/>
      <sheetName val="Sheet6"/>
      <sheetName val="수목단가"/>
      <sheetName val="식재수량표"/>
      <sheetName val="남양주부대"/>
      <sheetName val="시장성초안camera"/>
      <sheetName val="교각1"/>
      <sheetName val="공제량"/>
      <sheetName val="대로근거"/>
      <sheetName val="중로근거"/>
      <sheetName val="XL4Poppy"/>
      <sheetName val="DB구축"/>
      <sheetName val="예측단가간지"/>
      <sheetName val="1.3.1절점좌표"/>
      <sheetName val="1.1설계기준"/>
      <sheetName val="구조물토적"/>
      <sheetName val="도로횡단-D300"/>
      <sheetName val="실행대비"/>
      <sheetName val="수흄관단위당"/>
      <sheetName val="배관단가"/>
      <sheetName val="일위집계"/>
      <sheetName val="중기손료"/>
      <sheetName val="단위단가"/>
      <sheetName val="예가표"/>
      <sheetName val="북방3터널"/>
      <sheetName val="교대시점"/>
      <sheetName val="공통비(전체)"/>
      <sheetName val="변압기 및 발전기 용량"/>
      <sheetName val="소방사항"/>
      <sheetName val="BSD (2)"/>
      <sheetName val="이토변실(A3-LINE)"/>
      <sheetName val="근로자자료입력"/>
      <sheetName val="참고자료"/>
      <sheetName val="8.수량산출 (2)"/>
      <sheetName val="12호기내역서(건축분)"/>
      <sheetName val="대창(함평)-창열"/>
      <sheetName val="시설물일위"/>
      <sheetName val="A-4"/>
      <sheetName val="가계부"/>
      <sheetName val="제품목록"/>
      <sheetName val="매입매출관리"/>
      <sheetName val="가시설흙막이"/>
      <sheetName val="입력데이타(비인쇄용)"/>
      <sheetName val="간접비계산"/>
      <sheetName val="사업성분석"/>
      <sheetName val="기초일위"/>
      <sheetName val="시설일위"/>
      <sheetName val="조명일위"/>
      <sheetName val="guard(mac)"/>
      <sheetName val="1"/>
      <sheetName val="본부장"/>
      <sheetName val="1995년 섹터별 매출"/>
      <sheetName val="설-원가"/>
      <sheetName val="설치자재"/>
      <sheetName val="단중"/>
      <sheetName val="1차3회-개소별명세서-빨간색-인쇄용(21873)"/>
      <sheetName val="수량총괄"/>
      <sheetName val="Macro(차단기)"/>
      <sheetName val="건축내역"/>
      <sheetName val="집수정"/>
      <sheetName val="노단"/>
      <sheetName val="중사"/>
      <sheetName val="분양금할인"/>
      <sheetName val="Summary Sheets"/>
      <sheetName val="비탈면보호공수량산출"/>
      <sheetName val="냉천부속동"/>
      <sheetName val="전체분2회변경"/>
      <sheetName val="BOX(1.5X1.5)"/>
      <sheetName val="GT 1050x650"/>
      <sheetName val="시멘,골재"/>
      <sheetName val="콘크집계"/>
      <sheetName val="낙차공"/>
      <sheetName val="자재집계1"/>
      <sheetName val="측구날개벽"/>
      <sheetName val="공통(20-91)"/>
      <sheetName val="입찰안"/>
      <sheetName val="woo(mac)"/>
      <sheetName val="수목표준대가"/>
      <sheetName val="을"/>
      <sheetName val="차선유도선 설치현황"/>
      <sheetName val="관로토공"/>
      <sheetName val="시멘트,모래산출표"/>
      <sheetName val="인수공"/>
      <sheetName val="평가데이터"/>
      <sheetName val="골재"/>
      <sheetName val="기계경비"/>
      <sheetName val="ⴭⴭⴭⴭⴭ"/>
      <sheetName val="포장수량집계표"/>
      <sheetName val="가감수량"/>
      <sheetName val="자재단가 "/>
      <sheetName val="기계내역"/>
      <sheetName val="INPUT"/>
      <sheetName val="진상-금이"/>
      <sheetName val="목록"/>
      <sheetName val="지급자재"/>
      <sheetName val="2.대외공문"/>
      <sheetName val="99 조정금액"/>
      <sheetName val="도급"/>
      <sheetName val="장비집계"/>
      <sheetName val="말뚝지지력산정"/>
      <sheetName val="산출내역서"/>
      <sheetName val="보도포장연장조서-표준차도부"/>
      <sheetName val="표준차도부연장조서-ASP"/>
      <sheetName val="슬라임운반단가"/>
      <sheetName val="4.2.1 마루높이 검토"/>
      <sheetName val="J直材4"/>
      <sheetName val="세부내역"/>
      <sheetName val="설비비4"/>
      <sheetName val="간접비"/>
      <sheetName val="토목주소"/>
      <sheetName val="프랜트면허"/>
      <sheetName val="주요자재집계표"/>
      <sheetName val="4)유동표"/>
      <sheetName val="01AC"/>
      <sheetName val="차액보증"/>
      <sheetName val="용수간선"/>
      <sheetName val="keyword"/>
      <sheetName val="조건"/>
      <sheetName val="투찰"/>
      <sheetName val=" "/>
      <sheetName val="SLAB"/>
      <sheetName val="전국현황"/>
      <sheetName val="실행철강하도"/>
      <sheetName val="설내역서 "/>
      <sheetName val="변경후-SHEET"/>
      <sheetName val="설계내역서"/>
      <sheetName val="식대_내역"/>
      <sheetName val="건축공사"/>
      <sheetName val="WORK"/>
      <sheetName val="L_RPTA05_목록"/>
      <sheetName val="가압장구체수량산출서"/>
      <sheetName val="Baby일위대가"/>
      <sheetName val="98NS-N"/>
      <sheetName val="4.2유효폭의 계산"/>
      <sheetName val="도근좌표"/>
      <sheetName val="일반부표"/>
      <sheetName val="중기일위대가"/>
      <sheetName val="갑지"/>
      <sheetName val="토목수량(공정)"/>
      <sheetName val="4.환경"/>
      <sheetName val="입력란"/>
      <sheetName val="배관내역"/>
      <sheetName val="재료값"/>
      <sheetName val="A4"/>
      <sheetName val="대형원계"/>
      <sheetName val="FRC"/>
      <sheetName val="인천_계획"/>
      <sheetName val="Key assumption"/>
      <sheetName val="5.1 본사"/>
      <sheetName val="A-LINE"/>
      <sheetName val="2공구자재집"/>
      <sheetName val="물집"/>
      <sheetName val="지장물원본(안뽑기)"/>
      <sheetName val="6공구(당초)"/>
      <sheetName val="암거 제원표"/>
      <sheetName val="시선유도봉,충격흡수시설물량"/>
      <sheetName val="표지병물량"/>
      <sheetName val="임대견적서"/>
    </sheetNames>
    <sheetDataSet>
      <sheetData sheetId="0">
        <row r="1">
          <cell r="A1" t="str">
            <v>*규격별 식재품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1">
          <cell r="A1" t="str">
            <v>*규격별 식재품</v>
          </cell>
        </row>
        <row r="2">
          <cell r="A2" t="str">
            <v>코드</v>
          </cell>
          <cell r="B2" t="str">
            <v>내용</v>
          </cell>
          <cell r="C2" t="str">
            <v>단위</v>
          </cell>
          <cell r="D2" t="str">
            <v>조경공</v>
          </cell>
          <cell r="E2" t="str">
            <v>보통인부</v>
          </cell>
          <cell r="F2" t="str">
            <v>단위</v>
          </cell>
        </row>
        <row r="3">
          <cell r="A3" t="str">
            <v>H010</v>
          </cell>
          <cell r="B3" t="str">
            <v>1.0이하</v>
          </cell>
          <cell r="C3" t="str">
            <v>M</v>
          </cell>
          <cell r="D3">
            <v>5.6000000000000008E-2</v>
          </cell>
          <cell r="E3">
            <v>4.8000000000000001E-2</v>
          </cell>
          <cell r="F3" t="str">
            <v>지주목무</v>
          </cell>
        </row>
        <row r="4">
          <cell r="A4" t="str">
            <v>H015</v>
          </cell>
          <cell r="B4">
            <v>1.5</v>
          </cell>
          <cell r="D4">
            <v>7.1999999999999995E-2</v>
          </cell>
          <cell r="E4">
            <v>5.6000000000000008E-2</v>
          </cell>
          <cell r="F4" t="str">
            <v>지주목무</v>
          </cell>
        </row>
        <row r="5">
          <cell r="A5" t="str">
            <v>H020</v>
          </cell>
          <cell r="B5">
            <v>2</v>
          </cell>
          <cell r="D5">
            <v>8.8000000000000009E-2</v>
          </cell>
          <cell r="E5">
            <v>7.1999999999999995E-2</v>
          </cell>
          <cell r="F5" t="str">
            <v>지주목무</v>
          </cell>
        </row>
        <row r="6">
          <cell r="A6" t="str">
            <v>H025</v>
          </cell>
          <cell r="B6">
            <v>2.5</v>
          </cell>
          <cell r="D6">
            <v>0.15</v>
          </cell>
          <cell r="E6">
            <v>0.12</v>
          </cell>
        </row>
        <row r="7">
          <cell r="A7" t="str">
            <v>H030</v>
          </cell>
          <cell r="B7">
            <v>3</v>
          </cell>
          <cell r="D7">
            <v>0.19</v>
          </cell>
          <cell r="E7">
            <v>0.14000000000000001</v>
          </cell>
        </row>
        <row r="8">
          <cell r="A8" t="str">
            <v>H035</v>
          </cell>
          <cell r="B8">
            <v>3.5</v>
          </cell>
          <cell r="D8">
            <v>0.23</v>
          </cell>
          <cell r="E8">
            <v>0.17</v>
          </cell>
        </row>
        <row r="9">
          <cell r="A9" t="str">
            <v>H040</v>
          </cell>
          <cell r="B9">
            <v>4</v>
          </cell>
          <cell r="D9">
            <v>0.28999999999999998</v>
          </cell>
          <cell r="E9">
            <v>0.2</v>
          </cell>
        </row>
        <row r="10">
          <cell r="A10" t="str">
            <v>H045</v>
          </cell>
          <cell r="B10">
            <v>4.5</v>
          </cell>
          <cell r="D10">
            <v>0.33</v>
          </cell>
          <cell r="E10">
            <v>0.23</v>
          </cell>
        </row>
        <row r="11">
          <cell r="A11" t="str">
            <v>H050</v>
          </cell>
          <cell r="B11">
            <v>5</v>
          </cell>
          <cell r="D11">
            <v>0.38</v>
          </cell>
          <cell r="E11">
            <v>0.27</v>
          </cell>
        </row>
        <row r="12">
          <cell r="A12" t="str">
            <v>H055</v>
          </cell>
          <cell r="B12">
            <v>5.5</v>
          </cell>
          <cell r="D12">
            <v>0.43</v>
          </cell>
          <cell r="E12">
            <v>0.31</v>
          </cell>
        </row>
        <row r="13">
          <cell r="A13" t="str">
            <v>H060</v>
          </cell>
          <cell r="B13">
            <v>6</v>
          </cell>
          <cell r="D13">
            <v>0.49</v>
          </cell>
          <cell r="E13">
            <v>0.36</v>
          </cell>
        </row>
        <row r="14">
          <cell r="A14" t="str">
            <v>B004</v>
          </cell>
          <cell r="B14">
            <v>4</v>
          </cell>
          <cell r="C14" t="str">
            <v>CM</v>
          </cell>
          <cell r="D14">
            <v>0.11200000000000002</v>
          </cell>
          <cell r="E14">
            <v>7.1999999999999995E-2</v>
          </cell>
          <cell r="F14" t="str">
            <v>지주목무</v>
          </cell>
        </row>
        <row r="15">
          <cell r="A15" t="str">
            <v>B005</v>
          </cell>
          <cell r="B15">
            <v>5</v>
          </cell>
          <cell r="D15">
            <v>0.23</v>
          </cell>
          <cell r="E15">
            <v>0.14000000000000001</v>
          </cell>
        </row>
        <row r="16">
          <cell r="A16" t="str">
            <v>B006</v>
          </cell>
          <cell r="B16">
            <v>6</v>
          </cell>
          <cell r="D16">
            <v>0.32</v>
          </cell>
          <cell r="E16">
            <v>0.19</v>
          </cell>
        </row>
        <row r="17">
          <cell r="A17" t="str">
            <v>B007</v>
          </cell>
          <cell r="B17">
            <v>7</v>
          </cell>
          <cell r="D17">
            <v>0.41</v>
          </cell>
          <cell r="E17">
            <v>0.24</v>
          </cell>
        </row>
        <row r="18">
          <cell r="A18" t="str">
            <v>B008</v>
          </cell>
          <cell r="B18">
            <v>8</v>
          </cell>
          <cell r="D18">
            <v>0.5</v>
          </cell>
          <cell r="E18">
            <v>0.28999999999999998</v>
          </cell>
        </row>
        <row r="19">
          <cell r="A19" t="str">
            <v>B009</v>
          </cell>
          <cell r="B19">
            <v>9</v>
          </cell>
          <cell r="D19">
            <v>0.59</v>
          </cell>
          <cell r="E19">
            <v>0.35</v>
          </cell>
        </row>
        <row r="20">
          <cell r="A20" t="str">
            <v>B010</v>
          </cell>
          <cell r="B20">
            <v>10</v>
          </cell>
          <cell r="D20">
            <v>0.68</v>
          </cell>
          <cell r="E20">
            <v>0.39</v>
          </cell>
        </row>
        <row r="21">
          <cell r="A21" t="str">
            <v>B011</v>
          </cell>
          <cell r="B21">
            <v>11</v>
          </cell>
          <cell r="D21">
            <v>0.77</v>
          </cell>
          <cell r="E21">
            <v>0.45</v>
          </cell>
        </row>
        <row r="22">
          <cell r="A22" t="str">
            <v>B012</v>
          </cell>
          <cell r="B22">
            <v>12</v>
          </cell>
          <cell r="D22">
            <v>0.86</v>
          </cell>
          <cell r="E22">
            <v>0.5</v>
          </cell>
        </row>
        <row r="23">
          <cell r="A23" t="str">
            <v>B013</v>
          </cell>
          <cell r="B23">
            <v>13</v>
          </cell>
          <cell r="D23">
            <v>0.95</v>
          </cell>
          <cell r="E23">
            <v>0.55000000000000004</v>
          </cell>
        </row>
        <row r="24">
          <cell r="A24" t="str">
            <v>B014</v>
          </cell>
          <cell r="B24">
            <v>14</v>
          </cell>
          <cell r="D24">
            <v>1.03</v>
          </cell>
          <cell r="E24">
            <v>0.61</v>
          </cell>
        </row>
        <row r="25">
          <cell r="A25" t="str">
            <v>B015</v>
          </cell>
          <cell r="B25">
            <v>15</v>
          </cell>
          <cell r="D25">
            <v>1.1200000000000001</v>
          </cell>
          <cell r="E25">
            <v>0.66</v>
          </cell>
        </row>
        <row r="26">
          <cell r="A26" t="str">
            <v>B016</v>
          </cell>
          <cell r="B26">
            <v>16</v>
          </cell>
          <cell r="D26">
            <v>1.21</v>
          </cell>
          <cell r="E26">
            <v>0.71</v>
          </cell>
        </row>
        <row r="27">
          <cell r="A27" t="str">
            <v>B017</v>
          </cell>
          <cell r="B27">
            <v>17</v>
          </cell>
          <cell r="D27">
            <v>1.3</v>
          </cell>
          <cell r="E27">
            <v>0.77</v>
          </cell>
        </row>
        <row r="28">
          <cell r="A28" t="str">
            <v>B018</v>
          </cell>
          <cell r="B28">
            <v>18</v>
          </cell>
          <cell r="D28">
            <v>1.39</v>
          </cell>
          <cell r="E28">
            <v>0.83</v>
          </cell>
        </row>
        <row r="29">
          <cell r="A29" t="str">
            <v>B019</v>
          </cell>
          <cell r="B29">
            <v>19</v>
          </cell>
          <cell r="D29">
            <v>1.48</v>
          </cell>
          <cell r="E29">
            <v>0.88</v>
          </cell>
        </row>
        <row r="30">
          <cell r="A30" t="str">
            <v>B020</v>
          </cell>
          <cell r="B30">
            <v>20</v>
          </cell>
          <cell r="D30">
            <v>1.57</v>
          </cell>
          <cell r="E30">
            <v>0.94</v>
          </cell>
        </row>
        <row r="31">
          <cell r="A31" t="str">
            <v>B021</v>
          </cell>
          <cell r="B31">
            <v>21</v>
          </cell>
          <cell r="D31">
            <v>1.66</v>
          </cell>
          <cell r="E31">
            <v>0.99</v>
          </cell>
        </row>
        <row r="32">
          <cell r="A32" t="str">
            <v>B022</v>
          </cell>
          <cell r="B32">
            <v>22</v>
          </cell>
          <cell r="D32">
            <v>1.75</v>
          </cell>
          <cell r="E32">
            <v>1.05</v>
          </cell>
        </row>
        <row r="33">
          <cell r="A33" t="str">
            <v>B023</v>
          </cell>
          <cell r="B33">
            <v>23</v>
          </cell>
          <cell r="D33">
            <v>1.84</v>
          </cell>
          <cell r="E33">
            <v>1.1000000000000001</v>
          </cell>
        </row>
        <row r="34">
          <cell r="A34" t="str">
            <v>B024</v>
          </cell>
          <cell r="B34">
            <v>24</v>
          </cell>
          <cell r="D34">
            <v>1.93</v>
          </cell>
          <cell r="E34">
            <v>1.1599999999999999</v>
          </cell>
        </row>
        <row r="35">
          <cell r="A35" t="str">
            <v>B025</v>
          </cell>
          <cell r="B35">
            <v>25</v>
          </cell>
          <cell r="D35">
            <v>2.0099999999999998</v>
          </cell>
          <cell r="E35">
            <v>1.22</v>
          </cell>
        </row>
        <row r="36">
          <cell r="A36" t="str">
            <v>B026</v>
          </cell>
          <cell r="B36">
            <v>26</v>
          </cell>
          <cell r="D36">
            <v>2.1</v>
          </cell>
          <cell r="E36">
            <v>1.28</v>
          </cell>
        </row>
        <row r="37">
          <cell r="A37" t="str">
            <v>B027</v>
          </cell>
          <cell r="B37">
            <v>27</v>
          </cell>
          <cell r="D37">
            <v>2.19</v>
          </cell>
          <cell r="E37">
            <v>1.33</v>
          </cell>
        </row>
        <row r="38">
          <cell r="A38" t="str">
            <v>B028</v>
          </cell>
          <cell r="B38">
            <v>28</v>
          </cell>
          <cell r="D38">
            <v>2.2799999999999998</v>
          </cell>
          <cell r="E38">
            <v>1.37</v>
          </cell>
        </row>
        <row r="39">
          <cell r="A39" t="str">
            <v>B029</v>
          </cell>
          <cell r="B39">
            <v>29</v>
          </cell>
          <cell r="D39">
            <v>2.34</v>
          </cell>
          <cell r="E39">
            <v>1.4</v>
          </cell>
        </row>
        <row r="40">
          <cell r="A40" t="str">
            <v>B030</v>
          </cell>
          <cell r="B40">
            <v>30</v>
          </cell>
          <cell r="D40">
            <v>2.39</v>
          </cell>
          <cell r="E40">
            <v>1.44</v>
          </cell>
        </row>
        <row r="41">
          <cell r="A41" t="str">
            <v>R004</v>
          </cell>
          <cell r="B41">
            <v>4</v>
          </cell>
          <cell r="C41" t="str">
            <v>CM</v>
          </cell>
          <cell r="D41">
            <v>8.8000000000000009E-2</v>
          </cell>
          <cell r="E41">
            <v>5.6000000000000008E-2</v>
          </cell>
          <cell r="F41" t="str">
            <v>지주목무</v>
          </cell>
        </row>
        <row r="42">
          <cell r="A42" t="str">
            <v>R005</v>
          </cell>
          <cell r="B42">
            <v>5</v>
          </cell>
          <cell r="D42">
            <v>0.13600000000000001</v>
          </cell>
          <cell r="E42">
            <v>8.0000000000000016E-2</v>
          </cell>
          <cell r="F42" t="str">
            <v>지주목무</v>
          </cell>
        </row>
        <row r="43">
          <cell r="A43" t="str">
            <v>R006</v>
          </cell>
          <cell r="B43">
            <v>6</v>
          </cell>
          <cell r="D43">
            <v>0.23</v>
          </cell>
          <cell r="E43">
            <v>0.14000000000000001</v>
          </cell>
        </row>
        <row r="44">
          <cell r="A44" t="str">
            <v>R007</v>
          </cell>
          <cell r="B44">
            <v>7</v>
          </cell>
          <cell r="D44">
            <v>0.3</v>
          </cell>
          <cell r="E44">
            <v>0.18</v>
          </cell>
        </row>
        <row r="45">
          <cell r="A45" t="str">
            <v>R008</v>
          </cell>
          <cell r="B45">
            <v>8</v>
          </cell>
          <cell r="D45">
            <v>0.37</v>
          </cell>
          <cell r="E45">
            <v>0.22</v>
          </cell>
        </row>
        <row r="46">
          <cell r="A46" t="str">
            <v>R009</v>
          </cell>
          <cell r="B46">
            <v>9</v>
          </cell>
          <cell r="D46">
            <v>0.44</v>
          </cell>
          <cell r="E46">
            <v>0.26</v>
          </cell>
        </row>
        <row r="47">
          <cell r="A47" t="str">
            <v>R010</v>
          </cell>
          <cell r="B47">
            <v>10</v>
          </cell>
          <cell r="D47">
            <v>0.51</v>
          </cell>
          <cell r="E47">
            <v>0.3</v>
          </cell>
        </row>
        <row r="48">
          <cell r="A48" t="str">
            <v>R011</v>
          </cell>
          <cell r="B48">
            <v>11</v>
          </cell>
          <cell r="D48">
            <v>0.57999999999999996</v>
          </cell>
          <cell r="E48">
            <v>0.35</v>
          </cell>
        </row>
        <row r="49">
          <cell r="A49" t="str">
            <v>R012</v>
          </cell>
          <cell r="B49">
            <v>12</v>
          </cell>
          <cell r="D49">
            <v>0.65</v>
          </cell>
          <cell r="E49">
            <v>0.39</v>
          </cell>
        </row>
        <row r="50">
          <cell r="A50" t="str">
            <v>R013</v>
          </cell>
          <cell r="B50">
            <v>13</v>
          </cell>
          <cell r="D50">
            <v>0.72</v>
          </cell>
          <cell r="E50">
            <v>0.43</v>
          </cell>
        </row>
        <row r="51">
          <cell r="A51" t="str">
            <v>R014</v>
          </cell>
          <cell r="B51">
            <v>14</v>
          </cell>
          <cell r="D51">
            <v>0.8</v>
          </cell>
          <cell r="E51">
            <v>0.48</v>
          </cell>
        </row>
        <row r="52">
          <cell r="A52" t="str">
            <v>R015</v>
          </cell>
          <cell r="B52">
            <v>15</v>
          </cell>
          <cell r="D52">
            <v>0.87</v>
          </cell>
          <cell r="E52">
            <v>0.52</v>
          </cell>
        </row>
        <row r="53">
          <cell r="A53" t="str">
            <v>R016</v>
          </cell>
          <cell r="B53">
            <v>16</v>
          </cell>
          <cell r="D53">
            <v>0.94</v>
          </cell>
          <cell r="E53">
            <v>0.56999999999999995</v>
          </cell>
        </row>
        <row r="54">
          <cell r="A54" t="str">
            <v>R017</v>
          </cell>
          <cell r="B54">
            <v>17</v>
          </cell>
          <cell r="D54">
            <v>1.02</v>
          </cell>
          <cell r="E54">
            <v>0.62</v>
          </cell>
        </row>
        <row r="55">
          <cell r="A55" t="str">
            <v>R018</v>
          </cell>
          <cell r="B55">
            <v>18</v>
          </cell>
          <cell r="D55">
            <v>1.0900000000000001</v>
          </cell>
          <cell r="E55">
            <v>0.66</v>
          </cell>
        </row>
        <row r="56">
          <cell r="A56" t="str">
            <v>R019</v>
          </cell>
          <cell r="B56">
            <v>19</v>
          </cell>
          <cell r="D56">
            <v>1.17</v>
          </cell>
          <cell r="E56">
            <v>0.71</v>
          </cell>
        </row>
        <row r="57">
          <cell r="A57" t="str">
            <v>R020</v>
          </cell>
          <cell r="B57">
            <v>20</v>
          </cell>
          <cell r="D57">
            <v>1.25</v>
          </cell>
          <cell r="E57">
            <v>0.76</v>
          </cell>
        </row>
        <row r="58">
          <cell r="A58" t="str">
            <v>R021</v>
          </cell>
          <cell r="B58">
            <v>21</v>
          </cell>
          <cell r="D58">
            <v>1.32</v>
          </cell>
          <cell r="E58">
            <v>0.8</v>
          </cell>
        </row>
        <row r="59">
          <cell r="A59" t="str">
            <v>R022</v>
          </cell>
          <cell r="B59">
            <v>22</v>
          </cell>
          <cell r="D59">
            <v>1.4</v>
          </cell>
          <cell r="E59">
            <v>0.85</v>
          </cell>
        </row>
        <row r="60">
          <cell r="A60" t="str">
            <v>R023</v>
          </cell>
          <cell r="B60">
            <v>23</v>
          </cell>
          <cell r="D60">
            <v>1.47</v>
          </cell>
          <cell r="E60">
            <v>0.89</v>
          </cell>
        </row>
        <row r="61">
          <cell r="A61" t="str">
            <v>R024</v>
          </cell>
          <cell r="B61">
            <v>24</v>
          </cell>
          <cell r="D61">
            <v>1.55</v>
          </cell>
          <cell r="E61">
            <v>0.94</v>
          </cell>
        </row>
        <row r="62">
          <cell r="A62" t="str">
            <v>R025</v>
          </cell>
          <cell r="B62">
            <v>25</v>
          </cell>
          <cell r="D62">
            <v>1.62</v>
          </cell>
          <cell r="E62">
            <v>0.99</v>
          </cell>
        </row>
        <row r="63">
          <cell r="A63" t="str">
            <v>R026</v>
          </cell>
          <cell r="B63">
            <v>26</v>
          </cell>
          <cell r="D63">
            <v>1.7</v>
          </cell>
          <cell r="E63">
            <v>1.04</v>
          </cell>
        </row>
        <row r="64">
          <cell r="A64" t="str">
            <v>R027</v>
          </cell>
          <cell r="B64">
            <v>27</v>
          </cell>
          <cell r="D64">
            <v>1.78</v>
          </cell>
          <cell r="E64">
            <v>1.07</v>
          </cell>
        </row>
        <row r="65">
          <cell r="A65" t="str">
            <v>R028</v>
          </cell>
          <cell r="B65">
            <v>28</v>
          </cell>
          <cell r="D65">
            <v>1.83</v>
          </cell>
          <cell r="E65">
            <v>1.0900000000000001</v>
          </cell>
        </row>
        <row r="66">
          <cell r="A66" t="str">
            <v>R029</v>
          </cell>
          <cell r="B66">
            <v>29</v>
          </cell>
          <cell r="D66">
            <v>1.87</v>
          </cell>
          <cell r="E66">
            <v>1.1200000000000001</v>
          </cell>
        </row>
        <row r="67">
          <cell r="A67" t="str">
            <v>R030</v>
          </cell>
          <cell r="B67">
            <v>30</v>
          </cell>
          <cell r="D67">
            <v>1.91</v>
          </cell>
          <cell r="E67">
            <v>1.1499999999999999</v>
          </cell>
        </row>
        <row r="68">
          <cell r="A68" t="str">
            <v>HH03</v>
          </cell>
          <cell r="B68">
            <v>0.3</v>
          </cell>
          <cell r="D68">
            <v>0.01</v>
          </cell>
          <cell r="E68">
            <v>0.01</v>
          </cell>
        </row>
        <row r="69">
          <cell r="A69" t="str">
            <v>HH07</v>
          </cell>
          <cell r="B69">
            <v>0.7</v>
          </cell>
          <cell r="D69">
            <v>0.03</v>
          </cell>
          <cell r="E69">
            <v>0.02</v>
          </cell>
        </row>
        <row r="70">
          <cell r="A70" t="str">
            <v>HH11</v>
          </cell>
          <cell r="B70">
            <v>1.1000000000000001</v>
          </cell>
          <cell r="D70">
            <v>0.05</v>
          </cell>
          <cell r="E70">
            <v>0.03</v>
          </cell>
        </row>
        <row r="71">
          <cell r="A71" t="str">
            <v>HH15</v>
          </cell>
          <cell r="B71">
            <v>1.5</v>
          </cell>
          <cell r="D71">
            <v>0.09</v>
          </cell>
          <cell r="E71">
            <v>0.05</v>
          </cell>
        </row>
      </sheetData>
      <sheetData sheetId="15"/>
      <sheetData sheetId="16"/>
      <sheetData sheetId="17"/>
      <sheetData sheetId="18">
        <row r="1">
          <cell r="A1" t="str">
            <v>*규격별 식재품</v>
          </cell>
        </row>
      </sheetData>
      <sheetData sheetId="19"/>
      <sheetData sheetId="20">
        <row r="1">
          <cell r="A1" t="str">
            <v>*규격별 식재품</v>
          </cell>
        </row>
      </sheetData>
      <sheetData sheetId="21" refreshError="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XXXXXX"/>
      <sheetName val="설계서"/>
      <sheetName val="원가"/>
      <sheetName val="도급내역서"/>
      <sheetName val="일위대가"/>
      <sheetName val="적용단가"/>
      <sheetName val="인건비 "/>
      <sheetName val="산출집계표"/>
      <sheetName val="1.수변전간선산출"/>
      <sheetName val="2.동력간선산출"/>
      <sheetName val="3.전등산출"/>
      <sheetName val="4.전열산출"/>
      <sheetName val="5.소방산출"/>
      <sheetName val="한전외선공사비"/>
      <sheetName val="물가대비표"/>
      <sheetName val="인건비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>
        <row r="5">
          <cell r="B5">
            <v>99870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전등수량산출"/>
      <sheetName val="소방,통신,비상방송수량산출"/>
      <sheetName val="전열및TMTC산출서"/>
      <sheetName val="배관배선 단가조사"/>
      <sheetName val="일위대가"/>
      <sheetName val="일위대가집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인쇄MACRO"/>
      <sheetName val="표지"/>
      <sheetName val="적용근거"/>
      <sheetName val="목차"/>
      <sheetName val="예측단가간지"/>
      <sheetName val="3.예측단가"/>
      <sheetName val="4.예측재료비"/>
      <sheetName val="실측단가간지"/>
      <sheetName val="5.실측단가"/>
      <sheetName val="6.실측재료비"/>
      <sheetName val="정거장단가간지"/>
      <sheetName val="7.정거장단가"/>
      <sheetName val="용지단가간지"/>
      <sheetName val="8.용지측량단가"/>
      <sheetName val="(9)용지측량기본공인"/>
      <sheetName val="10.도면작성및용지산출기준"/>
      <sheetName val="지반조사간지"/>
      <sheetName val="11.보오링(1)"/>
      <sheetName val="12.보오링 (2)"/>
      <sheetName val="(13)표준심도산정"/>
      <sheetName val="(14)표준심도산정 (2)"/>
      <sheetName val="(15)표준심도산정 (3)"/>
      <sheetName val="16.폐공되메우기"/>
      <sheetName val="17.폐공되메우기(2)"/>
      <sheetName val="18.공내수압탄성자연"/>
      <sheetName val="19.지표지질조사"/>
      <sheetName val="20.물성역학시험 "/>
      <sheetName val="21.현장시험 "/>
      <sheetName val="22.암석시험"/>
      <sheetName val="인건비.재료비단가표지"/>
      <sheetName val="1.인건비"/>
      <sheetName val="2.재료비"/>
      <sheetName val="기타간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15">
          <cell r="C15">
            <v>108185</v>
          </cell>
        </row>
        <row r="16">
          <cell r="C16">
            <v>91590</v>
          </cell>
        </row>
        <row r="17">
          <cell r="C17">
            <v>73054</v>
          </cell>
        </row>
      </sheetData>
      <sheetData sheetId="31">
        <row r="12">
          <cell r="D12">
            <v>2400</v>
          </cell>
        </row>
        <row r="13">
          <cell r="D13">
            <v>2400</v>
          </cell>
        </row>
        <row r="44">
          <cell r="D44">
            <v>180</v>
          </cell>
        </row>
      </sheetData>
      <sheetData sheetId="32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갑지가로등"/>
      <sheetName val="적용단가"/>
      <sheetName val="일위대가"/>
      <sheetName val="인건비"/>
      <sheetName val="가로등부표"/>
      <sheetName val="신호등부표"/>
      <sheetName val="기초근거"/>
      <sheetName val="일위대가서(종)"/>
      <sheetName val="노임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e_공정입력"/>
      <sheetName val="공정집계_롯드별"/>
      <sheetName val="공정집계_국별"/>
      <sheetName val="자재집계_국별"/>
      <sheetName val="자재집계"/>
      <sheetName val="사급자재"/>
      <sheetName val="집중자재"/>
      <sheetName val="피스표"/>
      <sheetName val="내역서"/>
      <sheetName val="소요노력"/>
      <sheetName val="지입자재"/>
      <sheetName val="일위대가"/>
      <sheetName val="피스표총괄"/>
      <sheetName val="공구손료"/>
      <sheetName val="품_산출근거"/>
      <sheetName val="피스표_File"/>
      <sheetName val="중량산출서"/>
      <sheetName val="회수물자"/>
      <sheetName val="지하포설"/>
      <sheetName val="가공가설"/>
      <sheetName val="전주건식"/>
      <sheetName val="강연선가설"/>
      <sheetName val="지선설치"/>
      <sheetName val="지하철거"/>
      <sheetName val="가공철거"/>
      <sheetName val="전주철거"/>
      <sheetName val="지선철거"/>
      <sheetName val="단자철거"/>
      <sheetName val="Sheet2"/>
    </sheetNames>
    <sheetDataSet>
      <sheetData sheetId="0"/>
      <sheetData sheetId="1"/>
      <sheetData sheetId="2" refreshError="1">
        <row r="3">
          <cell r="G3" t="str">
            <v>호  표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공사비비교"/>
      <sheetName val="집계"/>
      <sheetName val="순공사비"/>
      <sheetName val="수배전반"/>
      <sheetName val="감시제어"/>
      <sheetName val="계측기기"/>
      <sheetName val="집계(처리장 음식물분리)"/>
      <sheetName val="한전수탁비"/>
      <sheetName val="PRINT"/>
      <sheetName val="설치비"/>
      <sheetName val="총원가계산서"/>
      <sheetName val="일위대가"/>
      <sheetName val="노무비 근거"/>
      <sheetName val="Sheet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>
        <row r="1">
          <cell r="C1" t="str">
            <v>[일위대가]</v>
          </cell>
        </row>
        <row r="2">
          <cell r="C2" t="str">
            <v>호표</v>
          </cell>
          <cell r="D2" t="str">
            <v>품명</v>
          </cell>
          <cell r="E2" t="str">
            <v>규 격</v>
          </cell>
          <cell r="F2" t="str">
            <v>수량</v>
          </cell>
          <cell r="G2" t="str">
            <v>단위</v>
          </cell>
          <cell r="H2" t="str">
            <v>합     계</v>
          </cell>
          <cell r="J2" t="str">
            <v>노  무  비</v>
          </cell>
          <cell r="L2" t="str">
            <v>재  료  비</v>
          </cell>
          <cell r="N2" t="str">
            <v>경     비</v>
          </cell>
          <cell r="P2" t="str">
            <v>비  고</v>
          </cell>
        </row>
        <row r="3">
          <cell r="H3" t="str">
            <v>단가</v>
          </cell>
          <cell r="I3" t="str">
            <v>금  액</v>
          </cell>
          <cell r="J3" t="str">
            <v>단가</v>
          </cell>
          <cell r="K3" t="str">
            <v>금  액</v>
          </cell>
          <cell r="L3" t="str">
            <v>단가</v>
          </cell>
          <cell r="M3" t="str">
            <v>금  액</v>
          </cell>
          <cell r="N3" t="str">
            <v>단가</v>
          </cell>
          <cell r="O3" t="str">
            <v>금  액</v>
          </cell>
        </row>
        <row r="4">
          <cell r="A4">
            <v>2100</v>
          </cell>
          <cell r="B4">
            <v>3</v>
          </cell>
          <cell r="C4" t="str">
            <v>제2100호표</v>
          </cell>
          <cell r="D4" t="str">
            <v>감시제어 콘솔 설치</v>
          </cell>
          <cell r="E4">
            <v>0</v>
          </cell>
          <cell r="F4">
            <v>1</v>
          </cell>
          <cell r="G4" t="str">
            <v>SET</v>
          </cell>
          <cell r="I4" t="e">
            <v>#NAME?</v>
          </cell>
          <cell r="K4" t="e">
            <v>#NAME?</v>
          </cell>
          <cell r="M4">
            <v>0</v>
          </cell>
          <cell r="O4" t="e">
            <v>#NAME?</v>
          </cell>
          <cell r="P4" t="str">
            <v>통 7-1-7파</v>
          </cell>
        </row>
        <row r="6">
          <cell r="B6" t="str">
            <v>감시제어 콘솔 설치</v>
          </cell>
          <cell r="C6" t="str">
            <v>재료비</v>
          </cell>
          <cell r="D6" t="str">
            <v>감시제어 콘솔 설치</v>
          </cell>
          <cell r="F6">
            <v>1</v>
          </cell>
          <cell r="G6" t="str">
            <v>SET</v>
          </cell>
          <cell r="I6">
            <v>0</v>
          </cell>
          <cell r="M6">
            <v>0</v>
          </cell>
        </row>
        <row r="8">
          <cell r="C8" t="str">
            <v>노무비</v>
          </cell>
        </row>
        <row r="9">
          <cell r="C9" t="str">
            <v>조립 및 설치</v>
          </cell>
          <cell r="D9" t="str">
            <v>통신관련기사</v>
          </cell>
          <cell r="E9" t="str">
            <v>1*1.15</v>
          </cell>
          <cell r="F9" t="e">
            <v>#NAME?</v>
          </cell>
          <cell r="G9" t="str">
            <v>인</v>
          </cell>
          <cell r="I9" t="e">
            <v>#NAME?</v>
          </cell>
          <cell r="J9">
            <v>107303</v>
          </cell>
          <cell r="K9" t="e">
            <v>#NAME?</v>
          </cell>
        </row>
        <row r="10">
          <cell r="D10" t="str">
            <v>통신관련산업기사</v>
          </cell>
          <cell r="E10" t="str">
            <v>2*1.15</v>
          </cell>
          <cell r="F10" t="e">
            <v>#NAME?</v>
          </cell>
          <cell r="G10" t="str">
            <v>인</v>
          </cell>
          <cell r="I10" t="e">
            <v>#NAME?</v>
          </cell>
          <cell r="J10">
            <v>102015</v>
          </cell>
          <cell r="K10" t="e">
            <v>#NAME?</v>
          </cell>
        </row>
        <row r="11">
          <cell r="D11" t="str">
            <v>통신설비공</v>
          </cell>
          <cell r="E11" t="str">
            <v>4*1.15</v>
          </cell>
          <cell r="F11" t="e">
            <v>#NAME?</v>
          </cell>
          <cell r="G11" t="str">
            <v>인</v>
          </cell>
          <cell r="I11" t="e">
            <v>#NAME?</v>
          </cell>
          <cell r="J11">
            <v>92328</v>
          </cell>
          <cell r="K11" t="e">
            <v>#NAME?</v>
          </cell>
        </row>
        <row r="12">
          <cell r="D12" t="str">
            <v>보통인부</v>
          </cell>
          <cell r="E12" t="str">
            <v>2*1.15</v>
          </cell>
          <cell r="F12" t="e">
            <v>#NAME?</v>
          </cell>
          <cell r="G12" t="str">
            <v>인</v>
          </cell>
          <cell r="I12" t="e">
            <v>#NAME?</v>
          </cell>
          <cell r="J12">
            <v>52585</v>
          </cell>
          <cell r="K12" t="e">
            <v>#NAME?</v>
          </cell>
        </row>
        <row r="14">
          <cell r="C14" t="str">
            <v>조정</v>
          </cell>
          <cell r="D14" t="str">
            <v>통신관련기사</v>
          </cell>
          <cell r="E14" t="str">
            <v>2*1.15</v>
          </cell>
          <cell r="F14" t="e">
            <v>#NAME?</v>
          </cell>
          <cell r="G14" t="str">
            <v>인</v>
          </cell>
          <cell r="I14" t="e">
            <v>#NAME?</v>
          </cell>
          <cell r="J14">
            <v>107303</v>
          </cell>
          <cell r="K14" t="e">
            <v>#NAME?</v>
          </cell>
        </row>
        <row r="15">
          <cell r="D15" t="str">
            <v>통신관련산업기사</v>
          </cell>
          <cell r="E15" t="str">
            <v>4*1.15</v>
          </cell>
          <cell r="F15" t="e">
            <v>#NAME?</v>
          </cell>
          <cell r="G15" t="str">
            <v>인</v>
          </cell>
          <cell r="I15" t="e">
            <v>#NAME?</v>
          </cell>
          <cell r="J15">
            <v>102015</v>
          </cell>
          <cell r="K15" t="e">
            <v>#NAME?</v>
          </cell>
        </row>
        <row r="17">
          <cell r="C17" t="str">
            <v>시험 및 측정</v>
          </cell>
          <cell r="D17" t="str">
            <v>통신관련기사</v>
          </cell>
          <cell r="E17" t="str">
            <v>4*1.15</v>
          </cell>
          <cell r="F17" t="e">
            <v>#NAME?</v>
          </cell>
          <cell r="G17" t="str">
            <v>인</v>
          </cell>
          <cell r="I17" t="e">
            <v>#NAME?</v>
          </cell>
          <cell r="J17">
            <v>107303</v>
          </cell>
          <cell r="K17" t="e">
            <v>#NAME?</v>
          </cell>
        </row>
        <row r="18">
          <cell r="D18" t="str">
            <v>통신관련산업기사</v>
          </cell>
          <cell r="E18" t="str">
            <v>8*1.15</v>
          </cell>
          <cell r="F18" t="e">
            <v>#NAME?</v>
          </cell>
          <cell r="G18" t="str">
            <v>인</v>
          </cell>
          <cell r="I18" t="e">
            <v>#NAME?</v>
          </cell>
          <cell r="J18">
            <v>102015</v>
          </cell>
          <cell r="K18" t="e">
            <v>#NAME?</v>
          </cell>
        </row>
        <row r="20">
          <cell r="C20" t="str">
            <v>공구손료</v>
          </cell>
          <cell r="E20" t="str">
            <v>노무비의</v>
          </cell>
          <cell r="F20">
            <v>3</v>
          </cell>
          <cell r="G20" t="str">
            <v>%</v>
          </cell>
          <cell r="I20" t="e">
            <v>#NAME?</v>
          </cell>
          <cell r="O20" t="e">
            <v>#NAME?</v>
          </cell>
        </row>
        <row r="26">
          <cell r="A26">
            <v>2101</v>
          </cell>
          <cell r="B26">
            <v>3</v>
          </cell>
          <cell r="C26" t="str">
            <v>제2101호표</v>
          </cell>
          <cell r="D26" t="str">
            <v>Switching Hub</v>
          </cell>
          <cell r="E26">
            <v>0</v>
          </cell>
          <cell r="F26">
            <v>1</v>
          </cell>
          <cell r="G26" t="str">
            <v>대</v>
          </cell>
          <cell r="I26" t="e">
            <v>#NAME?</v>
          </cell>
          <cell r="K26" t="e">
            <v>#NAME?</v>
          </cell>
          <cell r="M26">
            <v>0</v>
          </cell>
          <cell r="O26" t="e">
            <v>#NAME?</v>
          </cell>
          <cell r="P26" t="str">
            <v>통 7-1-1라</v>
          </cell>
        </row>
        <row r="28">
          <cell r="B28" t="str">
            <v>Switching Hub</v>
          </cell>
          <cell r="C28" t="str">
            <v>재료비</v>
          </cell>
          <cell r="D28" t="str">
            <v>Switching Hub</v>
          </cell>
          <cell r="F28">
            <v>1</v>
          </cell>
          <cell r="G28" t="str">
            <v>대</v>
          </cell>
          <cell r="I28">
            <v>0</v>
          </cell>
          <cell r="M28">
            <v>0</v>
          </cell>
        </row>
        <row r="30">
          <cell r="C30" t="str">
            <v>노무비</v>
          </cell>
        </row>
        <row r="31">
          <cell r="C31" t="str">
            <v>허브 설치</v>
          </cell>
          <cell r="D31" t="str">
            <v>S/W시험사</v>
          </cell>
          <cell r="E31" t="str">
            <v>0.36*1.15</v>
          </cell>
          <cell r="F31" t="e">
            <v>#NAME?</v>
          </cell>
          <cell r="G31" t="str">
            <v>인</v>
          </cell>
          <cell r="I31" t="e">
            <v>#NAME?</v>
          </cell>
          <cell r="J31">
            <v>128300</v>
          </cell>
          <cell r="K31" t="e">
            <v>#NAME?</v>
          </cell>
        </row>
        <row r="32">
          <cell r="D32" t="str">
            <v>H/W시험사</v>
          </cell>
          <cell r="E32" t="str">
            <v>0.22*1.15</v>
          </cell>
          <cell r="F32" t="e">
            <v>#NAME?</v>
          </cell>
          <cell r="G32" t="str">
            <v>인</v>
          </cell>
          <cell r="I32" t="e">
            <v>#NAME?</v>
          </cell>
          <cell r="J32">
            <v>119159</v>
          </cell>
          <cell r="K32" t="e">
            <v>#NAME?</v>
          </cell>
        </row>
        <row r="33">
          <cell r="C33" t="str">
            <v>경보 및접불시험</v>
          </cell>
          <cell r="D33" t="str">
            <v>광통신설치사</v>
          </cell>
          <cell r="E33" t="str">
            <v>0.44*1.15</v>
          </cell>
          <cell r="F33" t="e">
            <v>#NAME?</v>
          </cell>
          <cell r="G33" t="str">
            <v>인</v>
          </cell>
          <cell r="I33" t="e">
            <v>#NAME?</v>
          </cell>
          <cell r="J33">
            <v>127223</v>
          </cell>
          <cell r="K33" t="e">
            <v>#NAME?</v>
          </cell>
          <cell r="P33" t="str">
            <v>통 5-1-2가</v>
          </cell>
        </row>
        <row r="35">
          <cell r="C35" t="str">
            <v>공구손료</v>
          </cell>
          <cell r="E35" t="str">
            <v>노무비의</v>
          </cell>
          <cell r="F35">
            <v>3</v>
          </cell>
          <cell r="G35" t="str">
            <v>%</v>
          </cell>
          <cell r="I35" t="e">
            <v>#NAME?</v>
          </cell>
          <cell r="O35" t="e">
            <v>#NAME?</v>
          </cell>
        </row>
        <row r="37">
          <cell r="A37">
            <v>2102</v>
          </cell>
          <cell r="B37">
            <v>3</v>
          </cell>
          <cell r="C37" t="str">
            <v>제2102호표</v>
          </cell>
          <cell r="D37" t="str">
            <v>UPS(무정전 전원장치)</v>
          </cell>
          <cell r="E37" t="str">
            <v>3~10kVA</v>
          </cell>
          <cell r="F37">
            <v>1</v>
          </cell>
          <cell r="G37" t="str">
            <v>대</v>
          </cell>
          <cell r="I37" t="e">
            <v>#NAME?</v>
          </cell>
          <cell r="K37" t="e">
            <v>#NAME?</v>
          </cell>
          <cell r="M37">
            <v>0</v>
          </cell>
          <cell r="O37" t="e">
            <v>#NAME?</v>
          </cell>
          <cell r="P37" t="str">
            <v>통 6-21</v>
          </cell>
        </row>
        <row r="39">
          <cell r="B39" t="str">
            <v>UPS(무정전 전원장치)3~10kVA</v>
          </cell>
          <cell r="C39" t="str">
            <v>재료비</v>
          </cell>
          <cell r="D39" t="str">
            <v>UPS(무정전 전원장치)</v>
          </cell>
          <cell r="E39" t="str">
            <v>3~10kVA</v>
          </cell>
          <cell r="F39">
            <v>1</v>
          </cell>
          <cell r="G39" t="str">
            <v>대</v>
          </cell>
          <cell r="I39">
            <v>0</v>
          </cell>
          <cell r="M39">
            <v>0</v>
          </cell>
        </row>
        <row r="41">
          <cell r="C41" t="str">
            <v>노무비</v>
          </cell>
          <cell r="D41" t="str">
            <v>통신설비공</v>
          </cell>
          <cell r="E41" t="str">
            <v>3*1.15</v>
          </cell>
          <cell r="F41" t="e">
            <v>#NAME?</v>
          </cell>
          <cell r="G41" t="str">
            <v>인</v>
          </cell>
          <cell r="I41" t="e">
            <v>#NAME?</v>
          </cell>
          <cell r="J41">
            <v>92328</v>
          </cell>
          <cell r="K41" t="e">
            <v>#NAME?</v>
          </cell>
        </row>
        <row r="43">
          <cell r="C43" t="str">
            <v>공구손료</v>
          </cell>
          <cell r="E43" t="str">
            <v>노무비의</v>
          </cell>
          <cell r="F43">
            <v>3</v>
          </cell>
          <cell r="G43" t="str">
            <v>%</v>
          </cell>
          <cell r="I43" t="e">
            <v>#NAME?</v>
          </cell>
          <cell r="O43" t="e">
            <v>#NAME?</v>
          </cell>
        </row>
        <row r="48">
          <cell r="A48">
            <v>2103</v>
          </cell>
          <cell r="B48">
            <v>3</v>
          </cell>
          <cell r="C48" t="str">
            <v>제2103호표</v>
          </cell>
          <cell r="D48" t="str">
            <v>RCS</v>
          </cell>
          <cell r="E48" t="str">
            <v>100Point 미만</v>
          </cell>
          <cell r="F48">
            <v>1</v>
          </cell>
          <cell r="G48" t="str">
            <v>SET</v>
          </cell>
          <cell r="I48" t="e">
            <v>#NAME?</v>
          </cell>
          <cell r="K48" t="e">
            <v>#NAME?</v>
          </cell>
          <cell r="M48">
            <v>0</v>
          </cell>
          <cell r="O48" t="e">
            <v>#NAME?</v>
          </cell>
          <cell r="P48" t="str">
            <v>통 5-1-23</v>
          </cell>
        </row>
        <row r="50">
          <cell r="B50" t="str">
            <v>RCS100Point 미만</v>
          </cell>
          <cell r="C50" t="str">
            <v>재료비</v>
          </cell>
          <cell r="D50" t="str">
            <v>RCS</v>
          </cell>
          <cell r="E50" t="str">
            <v>100Point 미만</v>
          </cell>
          <cell r="F50">
            <v>1</v>
          </cell>
          <cell r="G50" t="str">
            <v>SET</v>
          </cell>
          <cell r="I50">
            <v>0</v>
          </cell>
          <cell r="M50">
            <v>0</v>
          </cell>
        </row>
        <row r="52">
          <cell r="C52" t="str">
            <v>노무비</v>
          </cell>
        </row>
        <row r="53">
          <cell r="C53" t="str">
            <v>BAY건립</v>
          </cell>
          <cell r="D53" t="str">
            <v>통신설비공</v>
          </cell>
          <cell r="E53" t="str">
            <v>0.5*1.15</v>
          </cell>
          <cell r="F53" t="e">
            <v>#NAME?</v>
          </cell>
          <cell r="G53" t="str">
            <v>인</v>
          </cell>
          <cell r="I53" t="e">
            <v>#NAME?</v>
          </cell>
          <cell r="J53">
            <v>92328</v>
          </cell>
          <cell r="K53" t="e">
            <v>#NAME?</v>
          </cell>
        </row>
        <row r="54">
          <cell r="D54" t="str">
            <v>보통인부</v>
          </cell>
          <cell r="E54" t="str">
            <v>1*1.15</v>
          </cell>
          <cell r="F54" t="e">
            <v>#NAME?</v>
          </cell>
          <cell r="G54" t="str">
            <v>인</v>
          </cell>
          <cell r="I54" t="e">
            <v>#NAME?</v>
          </cell>
          <cell r="J54">
            <v>52585</v>
          </cell>
          <cell r="K54" t="e">
            <v>#NAME?</v>
          </cell>
        </row>
        <row r="56">
          <cell r="C56" t="str">
            <v>케이블결선</v>
          </cell>
          <cell r="D56" t="str">
            <v>통신케이블공</v>
          </cell>
          <cell r="E56" t="str">
            <v>0.06*(50/2)*1.15</v>
          </cell>
          <cell r="F56" t="e">
            <v>#NAME?</v>
          </cell>
          <cell r="G56" t="str">
            <v>인</v>
          </cell>
          <cell r="I56" t="e">
            <v>#NAME?</v>
          </cell>
          <cell r="J56">
            <v>122838</v>
          </cell>
          <cell r="K56" t="e">
            <v>#NAME?</v>
          </cell>
        </row>
        <row r="58">
          <cell r="C58" t="str">
            <v>국부시험 및 조정</v>
          </cell>
          <cell r="D58" t="str">
            <v>통신관련기사</v>
          </cell>
          <cell r="E58" t="str">
            <v>4*0.5*1.15</v>
          </cell>
          <cell r="F58" t="e">
            <v>#NAME?</v>
          </cell>
          <cell r="G58" t="str">
            <v>인</v>
          </cell>
          <cell r="I58" t="e">
            <v>#NAME?</v>
          </cell>
          <cell r="J58">
            <v>107303</v>
          </cell>
          <cell r="K58" t="e">
            <v>#NAME?</v>
          </cell>
        </row>
        <row r="60">
          <cell r="C60" t="str">
            <v>송수신상태 조정</v>
          </cell>
          <cell r="D60" t="str">
            <v>통신관련기사</v>
          </cell>
          <cell r="E60" t="str">
            <v>2*1.15</v>
          </cell>
          <cell r="F60" t="e">
            <v>#NAME?</v>
          </cell>
          <cell r="G60" t="str">
            <v>인</v>
          </cell>
        </row>
        <row r="62">
          <cell r="C62" t="str">
            <v>종합점검 및 시험</v>
          </cell>
          <cell r="D62" t="str">
            <v>통신관련기사</v>
          </cell>
          <cell r="E62" t="str">
            <v>16*0.5*1.15</v>
          </cell>
          <cell r="F62" t="e">
            <v>#NAME?</v>
          </cell>
          <cell r="G62" t="str">
            <v>인</v>
          </cell>
          <cell r="I62" t="e">
            <v>#NAME?</v>
          </cell>
          <cell r="J62">
            <v>107303</v>
          </cell>
          <cell r="K62" t="e">
            <v>#NAME?</v>
          </cell>
        </row>
        <row r="64">
          <cell r="C64" t="str">
            <v>공구손료</v>
          </cell>
          <cell r="E64" t="str">
            <v>노무비의</v>
          </cell>
          <cell r="F64">
            <v>3</v>
          </cell>
          <cell r="I64" t="e">
            <v>#NAME?</v>
          </cell>
          <cell r="O64" t="e">
            <v>#NAME?</v>
          </cell>
        </row>
        <row r="70">
          <cell r="A70">
            <v>2104</v>
          </cell>
          <cell r="B70">
            <v>3</v>
          </cell>
          <cell r="C70" t="str">
            <v>제2104호표</v>
          </cell>
          <cell r="D70" t="str">
            <v>LCS</v>
          </cell>
          <cell r="E70" t="str">
            <v>100Point</v>
          </cell>
          <cell r="F70">
            <v>1</v>
          </cell>
          <cell r="G70" t="str">
            <v>SET</v>
          </cell>
          <cell r="I70" t="e">
            <v>#NAME?</v>
          </cell>
          <cell r="K70" t="e">
            <v>#NAME?</v>
          </cell>
          <cell r="M70">
            <v>0</v>
          </cell>
          <cell r="O70" t="e">
            <v>#NAME?</v>
          </cell>
          <cell r="P70" t="str">
            <v>통 5-1-23</v>
          </cell>
        </row>
        <row r="72">
          <cell r="B72" t="str">
            <v>LCS100Point</v>
          </cell>
          <cell r="C72" t="str">
            <v>재료비</v>
          </cell>
          <cell r="D72" t="str">
            <v>LCS</v>
          </cell>
          <cell r="E72" t="str">
            <v>100Point</v>
          </cell>
          <cell r="F72">
            <v>1</v>
          </cell>
          <cell r="G72" t="str">
            <v>SET</v>
          </cell>
          <cell r="I72">
            <v>0</v>
          </cell>
          <cell r="M72">
            <v>0</v>
          </cell>
        </row>
        <row r="74">
          <cell r="C74" t="str">
            <v>노무비</v>
          </cell>
        </row>
        <row r="75">
          <cell r="C75" t="str">
            <v>BAY건립</v>
          </cell>
          <cell r="D75" t="str">
            <v>통신설비공</v>
          </cell>
          <cell r="E75" t="str">
            <v>0.5*1.15</v>
          </cell>
          <cell r="F75" t="e">
            <v>#NAME?</v>
          </cell>
          <cell r="G75" t="str">
            <v>인</v>
          </cell>
          <cell r="I75" t="e">
            <v>#NAME?</v>
          </cell>
          <cell r="J75">
            <v>92328</v>
          </cell>
          <cell r="K75" t="e">
            <v>#NAME?</v>
          </cell>
        </row>
        <row r="76">
          <cell r="D76" t="str">
            <v>보통인부</v>
          </cell>
          <cell r="E76" t="str">
            <v>1*1.15</v>
          </cell>
          <cell r="F76" t="e">
            <v>#NAME?</v>
          </cell>
          <cell r="G76" t="str">
            <v>인</v>
          </cell>
          <cell r="I76" t="e">
            <v>#NAME?</v>
          </cell>
          <cell r="J76">
            <v>52585</v>
          </cell>
          <cell r="K76" t="e">
            <v>#NAME?</v>
          </cell>
        </row>
        <row r="78">
          <cell r="C78" t="str">
            <v>케이블결선</v>
          </cell>
          <cell r="D78" t="str">
            <v>통신케이블공</v>
          </cell>
          <cell r="E78" t="str">
            <v>0.06*(100/2)*1.15</v>
          </cell>
          <cell r="F78" t="e">
            <v>#NAME?</v>
          </cell>
          <cell r="G78" t="str">
            <v>인</v>
          </cell>
          <cell r="I78" t="e">
            <v>#NAME?</v>
          </cell>
          <cell r="J78">
            <v>122838</v>
          </cell>
          <cell r="K78" t="e">
            <v>#NAME?</v>
          </cell>
        </row>
        <row r="80">
          <cell r="C80" t="str">
            <v>국부시험 및 조정</v>
          </cell>
          <cell r="D80" t="str">
            <v>통신관련기사</v>
          </cell>
          <cell r="E80" t="str">
            <v>4*1.15</v>
          </cell>
          <cell r="F80" t="e">
            <v>#NAME?</v>
          </cell>
          <cell r="G80" t="str">
            <v>인</v>
          </cell>
          <cell r="I80" t="e">
            <v>#NAME?</v>
          </cell>
          <cell r="J80">
            <v>107303</v>
          </cell>
          <cell r="K80" t="e">
            <v>#NAME?</v>
          </cell>
        </row>
        <row r="82">
          <cell r="C82" t="str">
            <v>송수신상태 조정</v>
          </cell>
          <cell r="D82" t="str">
            <v>통신관련기사</v>
          </cell>
          <cell r="E82" t="str">
            <v>2*1.15</v>
          </cell>
          <cell r="F82" t="e">
            <v>#NAME?</v>
          </cell>
          <cell r="G82" t="str">
            <v>인</v>
          </cell>
        </row>
        <row r="84">
          <cell r="C84" t="str">
            <v>종합점검 및 시험</v>
          </cell>
          <cell r="D84" t="str">
            <v>통신관련기사</v>
          </cell>
          <cell r="E84" t="str">
            <v>16*1.15</v>
          </cell>
          <cell r="F84" t="e">
            <v>#NAME?</v>
          </cell>
          <cell r="G84" t="str">
            <v>인</v>
          </cell>
          <cell r="I84" t="e">
            <v>#NAME?</v>
          </cell>
          <cell r="J84">
            <v>107303</v>
          </cell>
          <cell r="K84" t="e">
            <v>#NAME?</v>
          </cell>
        </row>
        <row r="86">
          <cell r="C86" t="str">
            <v>공구손료</v>
          </cell>
          <cell r="E86" t="str">
            <v>노무비의</v>
          </cell>
          <cell r="F86">
            <v>3</v>
          </cell>
          <cell r="I86" t="e">
            <v>#NAME?</v>
          </cell>
          <cell r="O86" t="e">
            <v>#NAME?</v>
          </cell>
        </row>
        <row r="92">
          <cell r="A92">
            <v>2105</v>
          </cell>
          <cell r="B92">
            <v>3</v>
          </cell>
          <cell r="C92" t="str">
            <v>제2105호표</v>
          </cell>
          <cell r="D92" t="str">
            <v>LCS</v>
          </cell>
          <cell r="E92" t="str">
            <v>500Point</v>
          </cell>
          <cell r="F92">
            <v>1</v>
          </cell>
          <cell r="G92" t="str">
            <v>SET</v>
          </cell>
          <cell r="I92" t="e">
            <v>#NAME?</v>
          </cell>
          <cell r="K92" t="e">
            <v>#NAME?</v>
          </cell>
          <cell r="M92">
            <v>0</v>
          </cell>
          <cell r="O92" t="e">
            <v>#NAME?</v>
          </cell>
          <cell r="P92" t="str">
            <v>통 5-1-23</v>
          </cell>
        </row>
        <row r="94">
          <cell r="B94" t="str">
            <v>LCS500Point</v>
          </cell>
          <cell r="C94" t="str">
            <v>재료비</v>
          </cell>
          <cell r="D94" t="str">
            <v>LCS</v>
          </cell>
          <cell r="E94" t="str">
            <v>500Point</v>
          </cell>
          <cell r="F94">
            <v>1</v>
          </cell>
          <cell r="G94" t="str">
            <v>SET</v>
          </cell>
          <cell r="I94">
            <v>0</v>
          </cell>
          <cell r="M94">
            <v>0</v>
          </cell>
        </row>
        <row r="96">
          <cell r="C96" t="str">
            <v>노무비</v>
          </cell>
        </row>
        <row r="97">
          <cell r="C97" t="str">
            <v>BAY건립</v>
          </cell>
          <cell r="D97" t="str">
            <v>통신설비공</v>
          </cell>
          <cell r="E97" t="str">
            <v>0.5*1.15</v>
          </cell>
          <cell r="F97" t="e">
            <v>#NAME?</v>
          </cell>
          <cell r="G97" t="str">
            <v>인</v>
          </cell>
          <cell r="I97" t="e">
            <v>#NAME?</v>
          </cell>
          <cell r="J97">
            <v>92328</v>
          </cell>
          <cell r="K97" t="e">
            <v>#NAME?</v>
          </cell>
        </row>
        <row r="98">
          <cell r="D98" t="str">
            <v>보통인부</v>
          </cell>
          <cell r="E98" t="str">
            <v>1*1.15</v>
          </cell>
          <cell r="F98" t="e">
            <v>#NAME?</v>
          </cell>
          <cell r="G98" t="str">
            <v>인</v>
          </cell>
          <cell r="I98" t="e">
            <v>#NAME?</v>
          </cell>
          <cell r="J98">
            <v>52585</v>
          </cell>
          <cell r="K98" t="e">
            <v>#NAME?</v>
          </cell>
        </row>
        <row r="100">
          <cell r="C100" t="str">
            <v>케이블결선</v>
          </cell>
          <cell r="D100" t="str">
            <v>통신케이블공</v>
          </cell>
          <cell r="E100" t="str">
            <v>0.06*(500/2)*1.15</v>
          </cell>
          <cell r="F100" t="e">
            <v>#NAME?</v>
          </cell>
          <cell r="G100" t="str">
            <v>인</v>
          </cell>
          <cell r="I100" t="e">
            <v>#NAME?</v>
          </cell>
          <cell r="J100">
            <v>122838</v>
          </cell>
          <cell r="K100" t="e">
            <v>#NAME?</v>
          </cell>
        </row>
        <row r="102">
          <cell r="C102" t="str">
            <v>국부시험 및 조정</v>
          </cell>
          <cell r="D102" t="str">
            <v>통신관련기사</v>
          </cell>
          <cell r="E102" t="str">
            <v>4*1.15</v>
          </cell>
          <cell r="F102" t="e">
            <v>#NAME?</v>
          </cell>
          <cell r="G102" t="str">
            <v>인</v>
          </cell>
          <cell r="I102" t="e">
            <v>#NAME?</v>
          </cell>
          <cell r="J102">
            <v>107303</v>
          </cell>
          <cell r="K102" t="e">
            <v>#NAME?</v>
          </cell>
        </row>
        <row r="104">
          <cell r="C104" t="str">
            <v>송수신상태 조정</v>
          </cell>
          <cell r="D104" t="str">
            <v>통신관련기사</v>
          </cell>
          <cell r="E104" t="str">
            <v>2*1.15</v>
          </cell>
          <cell r="F104" t="e">
            <v>#NAME?</v>
          </cell>
          <cell r="G104" t="str">
            <v>인</v>
          </cell>
        </row>
        <row r="106">
          <cell r="C106" t="str">
            <v>종합점검 및 시험</v>
          </cell>
          <cell r="D106" t="str">
            <v>통신관련기사</v>
          </cell>
          <cell r="E106" t="str">
            <v>16*1.15</v>
          </cell>
          <cell r="F106" t="e">
            <v>#NAME?</v>
          </cell>
          <cell r="G106" t="str">
            <v>인</v>
          </cell>
          <cell r="I106" t="e">
            <v>#NAME?</v>
          </cell>
          <cell r="J106">
            <v>107303</v>
          </cell>
          <cell r="K106" t="e">
            <v>#NAME?</v>
          </cell>
        </row>
        <row r="108">
          <cell r="C108" t="str">
            <v>공구손료</v>
          </cell>
          <cell r="E108" t="str">
            <v>노무비의</v>
          </cell>
          <cell r="F108">
            <v>3</v>
          </cell>
          <cell r="I108" t="e">
            <v>#NAME?</v>
          </cell>
          <cell r="O108" t="e">
            <v>#NAME?</v>
          </cell>
        </row>
        <row r="114">
          <cell r="A114">
            <v>2300</v>
          </cell>
          <cell r="B114">
            <v>3</v>
          </cell>
          <cell r="C114" t="str">
            <v>제2300호표</v>
          </cell>
          <cell r="D114" t="str">
            <v>수위계</v>
          </cell>
          <cell r="E114" t="str">
            <v>초음파식</v>
          </cell>
          <cell r="F114">
            <v>1</v>
          </cell>
          <cell r="G114" t="str">
            <v>SET</v>
          </cell>
          <cell r="I114" t="e">
            <v>#NAME?</v>
          </cell>
          <cell r="K114" t="e">
            <v>#NAME?</v>
          </cell>
          <cell r="M114">
            <v>0</v>
          </cell>
          <cell r="O114" t="e">
            <v>#NAME?</v>
          </cell>
          <cell r="P114" t="str">
            <v>전 4-2</v>
          </cell>
        </row>
        <row r="116">
          <cell r="B116" t="str">
            <v>수위계초음파식</v>
          </cell>
          <cell r="C116" t="str">
            <v>재료비</v>
          </cell>
          <cell r="D116" t="str">
            <v>수위계</v>
          </cell>
          <cell r="E116" t="str">
            <v>초음파식</v>
          </cell>
          <cell r="F116">
            <v>1</v>
          </cell>
          <cell r="G116" t="str">
            <v>SET</v>
          </cell>
          <cell r="I116">
            <v>0</v>
          </cell>
          <cell r="M116">
            <v>0</v>
          </cell>
        </row>
        <row r="118">
          <cell r="C118" t="str">
            <v>노무비</v>
          </cell>
          <cell r="D118" t="str">
            <v>계장공</v>
          </cell>
          <cell r="E118" t="str">
            <v>(0.3+0.27)*1.25</v>
          </cell>
          <cell r="F118" t="e">
            <v>#NAME?</v>
          </cell>
          <cell r="G118" t="str">
            <v>인</v>
          </cell>
          <cell r="I118" t="e">
            <v>#NAME?</v>
          </cell>
          <cell r="J118">
            <v>88927</v>
          </cell>
          <cell r="K118" t="e">
            <v>#NAME?</v>
          </cell>
        </row>
        <row r="120">
          <cell r="C120" t="str">
            <v>공구손료</v>
          </cell>
          <cell r="E120" t="str">
            <v>노무비의</v>
          </cell>
          <cell r="F120">
            <v>3</v>
          </cell>
          <cell r="G120" t="str">
            <v>%</v>
          </cell>
          <cell r="I120" t="e">
            <v>#NAME?</v>
          </cell>
          <cell r="O120" t="e">
            <v>#NAME?</v>
          </cell>
        </row>
        <row r="122">
          <cell r="B122" t="str">
            <v>현장변환기반LIP</v>
          </cell>
          <cell r="C122" t="str">
            <v>부속자재</v>
          </cell>
          <cell r="D122" t="str">
            <v>현장변환기반</v>
          </cell>
          <cell r="E122" t="str">
            <v>LIP</v>
          </cell>
          <cell r="F122">
            <v>1</v>
          </cell>
          <cell r="G122" t="str">
            <v>면</v>
          </cell>
          <cell r="I122" t="e">
            <v>#NAME?</v>
          </cell>
          <cell r="J122" t="e">
            <v>#NAME?</v>
          </cell>
          <cell r="K122" t="e">
            <v>#NAME?</v>
          </cell>
          <cell r="L122">
            <v>0</v>
          </cell>
          <cell r="M122">
            <v>0</v>
          </cell>
          <cell r="N122" t="e">
            <v>#NAME?</v>
          </cell>
          <cell r="O122" t="e">
            <v>#NAME?</v>
          </cell>
          <cell r="P122" t="str">
            <v>제2400호표</v>
          </cell>
        </row>
        <row r="125">
          <cell r="A125">
            <v>2301</v>
          </cell>
          <cell r="B125">
            <v>3</v>
          </cell>
          <cell r="C125" t="str">
            <v>제2301호표</v>
          </cell>
          <cell r="D125" t="str">
            <v>DO계</v>
          </cell>
          <cell r="E125">
            <v>0</v>
          </cell>
          <cell r="F125">
            <v>1</v>
          </cell>
          <cell r="G125" t="str">
            <v>SET</v>
          </cell>
          <cell r="I125" t="e">
            <v>#NAME?</v>
          </cell>
          <cell r="K125" t="e">
            <v>#NAME?</v>
          </cell>
          <cell r="M125">
            <v>0</v>
          </cell>
          <cell r="O125" t="e">
            <v>#NAME?</v>
          </cell>
          <cell r="P125" t="str">
            <v>전 4-2</v>
          </cell>
        </row>
        <row r="127">
          <cell r="B127" t="str">
            <v>DO계</v>
          </cell>
          <cell r="C127" t="str">
            <v>재료비</v>
          </cell>
          <cell r="D127" t="str">
            <v>DO계</v>
          </cell>
          <cell r="F127">
            <v>1</v>
          </cell>
          <cell r="G127" t="str">
            <v>SET</v>
          </cell>
          <cell r="I127">
            <v>0</v>
          </cell>
          <cell r="M127">
            <v>0</v>
          </cell>
        </row>
        <row r="129">
          <cell r="C129" t="str">
            <v>노무비</v>
          </cell>
          <cell r="D129" t="str">
            <v>계장공</v>
          </cell>
          <cell r="E129" t="str">
            <v>(0.4+0.27)*1.25</v>
          </cell>
          <cell r="F129" t="e">
            <v>#NAME?</v>
          </cell>
          <cell r="G129" t="str">
            <v>인</v>
          </cell>
          <cell r="I129" t="e">
            <v>#NAME?</v>
          </cell>
          <cell r="J129">
            <v>88927</v>
          </cell>
          <cell r="K129" t="e">
            <v>#NAME?</v>
          </cell>
        </row>
        <row r="131">
          <cell r="C131" t="str">
            <v>공구손료</v>
          </cell>
          <cell r="E131" t="str">
            <v>노무비의</v>
          </cell>
          <cell r="F131">
            <v>3</v>
          </cell>
          <cell r="G131" t="str">
            <v>%</v>
          </cell>
          <cell r="I131" t="e">
            <v>#NAME?</v>
          </cell>
          <cell r="O131" t="e">
            <v>#NAME?</v>
          </cell>
        </row>
        <row r="133">
          <cell r="B133" t="str">
            <v>현장변환기반LIP</v>
          </cell>
          <cell r="C133" t="str">
            <v>부속자재</v>
          </cell>
          <cell r="D133" t="str">
            <v>현장변환기반</v>
          </cell>
          <cell r="E133" t="str">
            <v>LIP</v>
          </cell>
          <cell r="F133">
            <v>1</v>
          </cell>
          <cell r="G133" t="str">
            <v>면</v>
          </cell>
          <cell r="I133" t="e">
            <v>#NAME?</v>
          </cell>
          <cell r="J133" t="e">
            <v>#NAME?</v>
          </cell>
          <cell r="K133" t="e">
            <v>#NAME?</v>
          </cell>
          <cell r="L133">
            <v>0</v>
          </cell>
          <cell r="M133">
            <v>0</v>
          </cell>
          <cell r="N133" t="e">
            <v>#NAME?</v>
          </cell>
          <cell r="O133" t="e">
            <v>#NAME?</v>
          </cell>
          <cell r="P133" t="str">
            <v>제2400호표</v>
          </cell>
        </row>
        <row r="136">
          <cell r="A136">
            <v>2302</v>
          </cell>
          <cell r="B136">
            <v>3</v>
          </cell>
          <cell r="C136" t="str">
            <v>제2302호표</v>
          </cell>
          <cell r="D136" t="str">
            <v>MLSS계</v>
          </cell>
          <cell r="E136">
            <v>0</v>
          </cell>
          <cell r="F136">
            <v>1</v>
          </cell>
          <cell r="G136" t="str">
            <v>SET</v>
          </cell>
          <cell r="I136" t="e">
            <v>#NAME?</v>
          </cell>
          <cell r="K136" t="e">
            <v>#NAME?</v>
          </cell>
          <cell r="M136">
            <v>0</v>
          </cell>
          <cell r="O136" t="e">
            <v>#NAME?</v>
          </cell>
          <cell r="P136" t="str">
            <v>전 4-2</v>
          </cell>
        </row>
        <row r="138">
          <cell r="B138" t="str">
            <v>MLSS계</v>
          </cell>
          <cell r="C138" t="str">
            <v>재료비</v>
          </cell>
          <cell r="D138" t="str">
            <v>MLSS계</v>
          </cell>
          <cell r="F138">
            <v>1</v>
          </cell>
          <cell r="G138" t="str">
            <v>SET</v>
          </cell>
          <cell r="I138">
            <v>0</v>
          </cell>
          <cell r="M138">
            <v>0</v>
          </cell>
        </row>
        <row r="140">
          <cell r="C140" t="str">
            <v>노무비</v>
          </cell>
          <cell r="D140" t="str">
            <v>계장공</v>
          </cell>
          <cell r="E140" t="str">
            <v>(0.4+0.27)*1.25</v>
          </cell>
          <cell r="F140" t="e">
            <v>#NAME?</v>
          </cell>
          <cell r="G140" t="str">
            <v>인</v>
          </cell>
          <cell r="I140" t="e">
            <v>#NAME?</v>
          </cell>
          <cell r="J140">
            <v>88927</v>
          </cell>
          <cell r="K140" t="e">
            <v>#NAME?</v>
          </cell>
        </row>
        <row r="142">
          <cell r="C142" t="str">
            <v>공구손료</v>
          </cell>
          <cell r="E142" t="str">
            <v>노무비의</v>
          </cell>
          <cell r="F142">
            <v>3</v>
          </cell>
          <cell r="G142" t="str">
            <v>%</v>
          </cell>
          <cell r="I142" t="e">
            <v>#NAME?</v>
          </cell>
          <cell r="O142" t="e">
            <v>#NAME?</v>
          </cell>
        </row>
        <row r="144">
          <cell r="B144" t="str">
            <v>현장변환기반LIP</v>
          </cell>
          <cell r="C144" t="str">
            <v>부속자재</v>
          </cell>
          <cell r="D144" t="str">
            <v>현장변환기반</v>
          </cell>
          <cell r="E144" t="str">
            <v>LIP</v>
          </cell>
          <cell r="F144">
            <v>1</v>
          </cell>
          <cell r="G144" t="str">
            <v>면</v>
          </cell>
          <cell r="I144" t="e">
            <v>#NAME?</v>
          </cell>
          <cell r="J144" t="e">
            <v>#NAME?</v>
          </cell>
          <cell r="K144" t="e">
            <v>#NAME?</v>
          </cell>
          <cell r="L144">
            <v>0</v>
          </cell>
          <cell r="M144">
            <v>0</v>
          </cell>
          <cell r="N144" t="e">
            <v>#NAME?</v>
          </cell>
          <cell r="O144" t="e">
            <v>#NAME?</v>
          </cell>
          <cell r="P144" t="str">
            <v>제2400호표</v>
          </cell>
        </row>
        <row r="147">
          <cell r="A147">
            <v>2303</v>
          </cell>
          <cell r="B147">
            <v>3</v>
          </cell>
          <cell r="C147" t="str">
            <v>제2303호표</v>
          </cell>
          <cell r="D147" t="str">
            <v>ORP계</v>
          </cell>
          <cell r="E147">
            <v>0</v>
          </cell>
          <cell r="F147">
            <v>1</v>
          </cell>
          <cell r="G147" t="str">
            <v>SET</v>
          </cell>
          <cell r="I147" t="e">
            <v>#NAME?</v>
          </cell>
          <cell r="K147" t="e">
            <v>#NAME?</v>
          </cell>
          <cell r="M147">
            <v>0</v>
          </cell>
          <cell r="O147" t="e">
            <v>#NAME?</v>
          </cell>
          <cell r="P147" t="str">
            <v>전 4-2</v>
          </cell>
        </row>
        <row r="149">
          <cell r="B149" t="str">
            <v>ORP계</v>
          </cell>
          <cell r="C149" t="str">
            <v>재료비</v>
          </cell>
          <cell r="D149" t="str">
            <v>ORP계</v>
          </cell>
          <cell r="F149">
            <v>1</v>
          </cell>
          <cell r="G149" t="str">
            <v>SET</v>
          </cell>
          <cell r="I149">
            <v>0</v>
          </cell>
          <cell r="M149">
            <v>0</v>
          </cell>
        </row>
        <row r="151">
          <cell r="C151" t="str">
            <v>노무비</v>
          </cell>
          <cell r="D151" t="str">
            <v>계장공</v>
          </cell>
          <cell r="E151" t="str">
            <v>(0.4+0.27)*1.25</v>
          </cell>
          <cell r="F151" t="e">
            <v>#NAME?</v>
          </cell>
          <cell r="G151" t="str">
            <v>인</v>
          </cell>
          <cell r="I151" t="e">
            <v>#NAME?</v>
          </cell>
          <cell r="J151">
            <v>88927</v>
          </cell>
          <cell r="K151" t="e">
            <v>#NAME?</v>
          </cell>
        </row>
        <row r="153">
          <cell r="C153" t="str">
            <v>공구손료</v>
          </cell>
          <cell r="E153" t="str">
            <v>노무비의</v>
          </cell>
          <cell r="F153">
            <v>3</v>
          </cell>
          <cell r="G153" t="str">
            <v>%</v>
          </cell>
          <cell r="I153" t="e">
            <v>#NAME?</v>
          </cell>
          <cell r="O153" t="e">
            <v>#NAME?</v>
          </cell>
        </row>
        <row r="155">
          <cell r="B155" t="str">
            <v>현장변환기반LIP</v>
          </cell>
          <cell r="C155" t="str">
            <v>부속자재</v>
          </cell>
          <cell r="D155" t="str">
            <v>현장변환기반</v>
          </cell>
          <cell r="E155" t="str">
            <v>LIP</v>
          </cell>
          <cell r="F155">
            <v>1</v>
          </cell>
          <cell r="G155" t="str">
            <v>면</v>
          </cell>
          <cell r="I155" t="e">
            <v>#NAME?</v>
          </cell>
          <cell r="J155" t="e">
            <v>#NAME?</v>
          </cell>
          <cell r="K155" t="e">
            <v>#NAME?</v>
          </cell>
          <cell r="L155">
            <v>0</v>
          </cell>
          <cell r="M155">
            <v>0</v>
          </cell>
          <cell r="N155" t="e">
            <v>#NAME?</v>
          </cell>
          <cell r="O155" t="e">
            <v>#NAME?</v>
          </cell>
          <cell r="P155" t="str">
            <v>제2400호표</v>
          </cell>
        </row>
        <row r="158">
          <cell r="A158">
            <v>2304</v>
          </cell>
          <cell r="B158">
            <v>3</v>
          </cell>
          <cell r="C158" t="str">
            <v>제2304호표</v>
          </cell>
          <cell r="D158" t="str">
            <v>농도계</v>
          </cell>
          <cell r="E158" t="str">
            <v>300A</v>
          </cell>
          <cell r="F158">
            <v>1</v>
          </cell>
          <cell r="G158" t="str">
            <v>SET</v>
          </cell>
          <cell r="I158" t="e">
            <v>#NAME?</v>
          </cell>
          <cell r="K158" t="e">
            <v>#NAME?</v>
          </cell>
          <cell r="M158">
            <v>0</v>
          </cell>
          <cell r="O158" t="e">
            <v>#NAME?</v>
          </cell>
        </row>
        <row r="160">
          <cell r="B160" t="str">
            <v>농도계300A</v>
          </cell>
          <cell r="C160" t="str">
            <v>재료비</v>
          </cell>
          <cell r="D160" t="str">
            <v>농도계</v>
          </cell>
          <cell r="E160" t="str">
            <v>300A</v>
          </cell>
          <cell r="F160">
            <v>1</v>
          </cell>
          <cell r="G160" t="str">
            <v>SET</v>
          </cell>
          <cell r="I160">
            <v>0</v>
          </cell>
          <cell r="M160">
            <v>0</v>
          </cell>
        </row>
        <row r="162">
          <cell r="C162" t="str">
            <v>노무비</v>
          </cell>
        </row>
        <row r="163">
          <cell r="C163" t="str">
            <v>플랜트접합 및 부설</v>
          </cell>
          <cell r="D163" t="str">
            <v>플랜트배관공</v>
          </cell>
          <cell r="E163" t="str">
            <v>(0.15+0.5)</v>
          </cell>
          <cell r="F163" t="e">
            <v>#NAME?</v>
          </cell>
          <cell r="G163" t="str">
            <v>인</v>
          </cell>
          <cell r="I163" t="e">
            <v>#NAME?</v>
          </cell>
          <cell r="J163">
            <v>94685</v>
          </cell>
          <cell r="K163" t="e">
            <v>#NAME?</v>
          </cell>
          <cell r="P163" t="str">
            <v>토 19-6</v>
          </cell>
        </row>
        <row r="164">
          <cell r="D164" t="str">
            <v>특별인부</v>
          </cell>
          <cell r="E164" t="str">
            <v>(0.15+1.2)</v>
          </cell>
          <cell r="F164" t="e">
            <v>#NAME?</v>
          </cell>
          <cell r="G164" t="str">
            <v>인</v>
          </cell>
          <cell r="I164" t="e">
            <v>#NAME?</v>
          </cell>
          <cell r="J164">
            <v>66422</v>
          </cell>
          <cell r="K164" t="e">
            <v>#NAME?</v>
          </cell>
        </row>
        <row r="166">
          <cell r="C166" t="str">
            <v>설치 및 시험</v>
          </cell>
          <cell r="D166" t="str">
            <v>계장공</v>
          </cell>
          <cell r="E166" t="str">
            <v>(0.3+0.25)*1.25</v>
          </cell>
          <cell r="F166" t="e">
            <v>#NAME?</v>
          </cell>
          <cell r="G166" t="str">
            <v>인</v>
          </cell>
          <cell r="I166" t="e">
            <v>#NAME?</v>
          </cell>
          <cell r="J166">
            <v>88927</v>
          </cell>
          <cell r="K166" t="e">
            <v>#NAME?</v>
          </cell>
          <cell r="P166" t="str">
            <v>전 4-2</v>
          </cell>
        </row>
        <row r="168">
          <cell r="C168" t="str">
            <v>공구손료</v>
          </cell>
          <cell r="E168" t="str">
            <v>노무비의</v>
          </cell>
          <cell r="F168">
            <v>3</v>
          </cell>
          <cell r="G168" t="str">
            <v>%</v>
          </cell>
          <cell r="I168" t="e">
            <v>#NAME?</v>
          </cell>
          <cell r="O168" t="e">
            <v>#NAME?</v>
          </cell>
        </row>
        <row r="170">
          <cell r="B170" t="str">
            <v>현장변환기반LIP</v>
          </cell>
          <cell r="C170" t="str">
            <v>부속자재</v>
          </cell>
          <cell r="D170" t="str">
            <v>현장변환기반</v>
          </cell>
          <cell r="E170" t="str">
            <v>LIP</v>
          </cell>
          <cell r="F170">
            <v>1</v>
          </cell>
          <cell r="G170" t="str">
            <v>면</v>
          </cell>
          <cell r="I170" t="e">
            <v>#NAME?</v>
          </cell>
          <cell r="J170" t="e">
            <v>#NAME?</v>
          </cell>
          <cell r="K170" t="e">
            <v>#NAME?</v>
          </cell>
          <cell r="L170">
            <v>0</v>
          </cell>
          <cell r="M170">
            <v>0</v>
          </cell>
          <cell r="N170" t="e">
            <v>#NAME?</v>
          </cell>
          <cell r="O170" t="e">
            <v>#NAME?</v>
          </cell>
          <cell r="P170" t="str">
            <v>제2400호표</v>
          </cell>
        </row>
        <row r="180">
          <cell r="A180">
            <v>2305</v>
          </cell>
          <cell r="B180">
            <v>3</v>
          </cell>
          <cell r="C180" t="str">
            <v>제2305호표</v>
          </cell>
          <cell r="D180" t="str">
            <v>유량계</v>
          </cell>
          <cell r="E180" t="str">
            <v>32A</v>
          </cell>
          <cell r="F180">
            <v>1</v>
          </cell>
          <cell r="G180" t="str">
            <v>SET</v>
          </cell>
          <cell r="I180" t="e">
            <v>#NAME?</v>
          </cell>
          <cell r="K180" t="e">
            <v>#NAME?</v>
          </cell>
          <cell r="M180">
            <v>0</v>
          </cell>
          <cell r="O180" t="e">
            <v>#NAME?</v>
          </cell>
        </row>
        <row r="182">
          <cell r="B182" t="str">
            <v>유량계32A</v>
          </cell>
          <cell r="C182" t="str">
            <v>재료비</v>
          </cell>
          <cell r="D182" t="str">
            <v>유량계</v>
          </cell>
          <cell r="E182" t="str">
            <v>32A</v>
          </cell>
          <cell r="F182">
            <v>1</v>
          </cell>
          <cell r="G182" t="str">
            <v>SET</v>
          </cell>
          <cell r="I182">
            <v>0</v>
          </cell>
          <cell r="M182">
            <v>0</v>
          </cell>
        </row>
        <row r="184">
          <cell r="C184" t="str">
            <v>노무비</v>
          </cell>
        </row>
        <row r="185">
          <cell r="C185" t="str">
            <v>플랜트접합 및 부설</v>
          </cell>
          <cell r="D185" t="str">
            <v>플랜트배관공</v>
          </cell>
          <cell r="E185" t="str">
            <v>(0.05+0.05)</v>
          </cell>
          <cell r="F185" t="e">
            <v>#NAME?</v>
          </cell>
          <cell r="G185" t="str">
            <v>인</v>
          </cell>
          <cell r="I185" t="e">
            <v>#NAME?</v>
          </cell>
          <cell r="J185">
            <v>94685</v>
          </cell>
          <cell r="K185" t="e">
            <v>#NAME?</v>
          </cell>
          <cell r="P185" t="str">
            <v>토 19-6</v>
          </cell>
        </row>
        <row r="187">
          <cell r="C187" t="str">
            <v>설치 및 시험</v>
          </cell>
          <cell r="D187" t="str">
            <v>계장공</v>
          </cell>
          <cell r="E187" t="str">
            <v>(0.3+0.25)*1.25</v>
          </cell>
          <cell r="F187" t="e">
            <v>#NAME?</v>
          </cell>
          <cell r="G187" t="str">
            <v>인</v>
          </cell>
          <cell r="I187" t="e">
            <v>#NAME?</v>
          </cell>
          <cell r="J187">
            <v>88927</v>
          </cell>
          <cell r="K187" t="e">
            <v>#NAME?</v>
          </cell>
          <cell r="P187" t="str">
            <v>전 4-2</v>
          </cell>
        </row>
        <row r="189">
          <cell r="C189" t="str">
            <v>공구손료</v>
          </cell>
          <cell r="E189" t="str">
            <v>노무비의</v>
          </cell>
          <cell r="F189">
            <v>3</v>
          </cell>
          <cell r="G189" t="str">
            <v>%</v>
          </cell>
          <cell r="I189" t="e">
            <v>#NAME?</v>
          </cell>
          <cell r="O189" t="e">
            <v>#NAME?</v>
          </cell>
        </row>
        <row r="191">
          <cell r="B191" t="str">
            <v>현장변환기반LIP</v>
          </cell>
          <cell r="C191" t="str">
            <v>부속자재</v>
          </cell>
          <cell r="D191" t="str">
            <v>현장변환기반</v>
          </cell>
          <cell r="E191" t="str">
            <v>LIP</v>
          </cell>
          <cell r="F191">
            <v>1</v>
          </cell>
          <cell r="G191" t="str">
            <v>면</v>
          </cell>
          <cell r="I191" t="e">
            <v>#NAME?</v>
          </cell>
          <cell r="J191" t="e">
            <v>#NAME?</v>
          </cell>
          <cell r="K191" t="e">
            <v>#NAME?</v>
          </cell>
          <cell r="L191">
            <v>0</v>
          </cell>
          <cell r="M191">
            <v>0</v>
          </cell>
          <cell r="N191" t="e">
            <v>#NAME?</v>
          </cell>
          <cell r="O191" t="e">
            <v>#NAME?</v>
          </cell>
          <cell r="P191" t="str">
            <v>제2400호표</v>
          </cell>
        </row>
        <row r="202">
          <cell r="A202">
            <v>2306</v>
          </cell>
          <cell r="B202">
            <v>3</v>
          </cell>
          <cell r="C202" t="str">
            <v>제2306호표</v>
          </cell>
          <cell r="D202" t="str">
            <v>유량계</v>
          </cell>
          <cell r="E202" t="str">
            <v>100A</v>
          </cell>
          <cell r="F202">
            <v>1</v>
          </cell>
          <cell r="G202" t="str">
            <v>SET</v>
          </cell>
          <cell r="I202" t="e">
            <v>#NAME?</v>
          </cell>
          <cell r="K202" t="e">
            <v>#NAME?</v>
          </cell>
          <cell r="M202">
            <v>0</v>
          </cell>
          <cell r="O202" t="e">
            <v>#NAME?</v>
          </cell>
        </row>
        <row r="204">
          <cell r="B204" t="str">
            <v>유량계100A</v>
          </cell>
          <cell r="C204" t="str">
            <v>재료비</v>
          </cell>
          <cell r="D204" t="str">
            <v>유량계</v>
          </cell>
          <cell r="E204" t="str">
            <v>100A</v>
          </cell>
          <cell r="F204">
            <v>1</v>
          </cell>
          <cell r="G204" t="str">
            <v>SET</v>
          </cell>
          <cell r="I204">
            <v>0</v>
          </cell>
          <cell r="M204">
            <v>0</v>
          </cell>
        </row>
        <row r="206">
          <cell r="C206" t="str">
            <v>노무비</v>
          </cell>
        </row>
        <row r="207">
          <cell r="C207" t="str">
            <v>플랜트접합 및 부설</v>
          </cell>
          <cell r="D207" t="str">
            <v>플랜트배관공</v>
          </cell>
          <cell r="E207" t="str">
            <v>(0.11+0.13)</v>
          </cell>
          <cell r="F207" t="e">
            <v>#NAME?</v>
          </cell>
          <cell r="G207" t="str">
            <v>인</v>
          </cell>
          <cell r="I207" t="e">
            <v>#NAME?</v>
          </cell>
          <cell r="J207">
            <v>94685</v>
          </cell>
          <cell r="K207" t="e">
            <v>#NAME?</v>
          </cell>
          <cell r="P207" t="str">
            <v>토 19-6</v>
          </cell>
        </row>
        <row r="208">
          <cell r="D208" t="str">
            <v>특별인부</v>
          </cell>
          <cell r="E208" t="str">
            <v>(0.11+0.5)</v>
          </cell>
          <cell r="F208" t="e">
            <v>#NAME?</v>
          </cell>
          <cell r="G208" t="str">
            <v>인</v>
          </cell>
          <cell r="I208" t="e">
            <v>#NAME?</v>
          </cell>
          <cell r="J208">
            <v>66422</v>
          </cell>
          <cell r="K208" t="e">
            <v>#NAME?</v>
          </cell>
        </row>
        <row r="210">
          <cell r="C210" t="str">
            <v>설치 및 시험</v>
          </cell>
          <cell r="D210" t="str">
            <v>계장공</v>
          </cell>
          <cell r="E210" t="str">
            <v>(0.3+0.25)*1.25</v>
          </cell>
          <cell r="F210" t="e">
            <v>#NAME?</v>
          </cell>
          <cell r="G210" t="str">
            <v>인</v>
          </cell>
          <cell r="I210" t="e">
            <v>#NAME?</v>
          </cell>
          <cell r="J210">
            <v>88927</v>
          </cell>
          <cell r="K210" t="e">
            <v>#NAME?</v>
          </cell>
          <cell r="P210" t="str">
            <v>전 4-2</v>
          </cell>
        </row>
        <row r="212">
          <cell r="C212" t="str">
            <v>공구손료</v>
          </cell>
          <cell r="E212" t="str">
            <v>노무비의</v>
          </cell>
          <cell r="F212">
            <v>3</v>
          </cell>
          <cell r="G212" t="str">
            <v>%</v>
          </cell>
          <cell r="I212" t="e">
            <v>#NAME?</v>
          </cell>
          <cell r="O212" t="e">
            <v>#NAME?</v>
          </cell>
        </row>
        <row r="214">
          <cell r="B214" t="str">
            <v>현장변환기반LIP</v>
          </cell>
          <cell r="C214" t="str">
            <v>부속자재</v>
          </cell>
          <cell r="D214" t="str">
            <v>현장변환기반</v>
          </cell>
          <cell r="E214" t="str">
            <v>LIP</v>
          </cell>
          <cell r="F214">
            <v>1</v>
          </cell>
          <cell r="G214" t="str">
            <v>면</v>
          </cell>
          <cell r="I214" t="e">
            <v>#NAME?</v>
          </cell>
          <cell r="J214" t="e">
            <v>#NAME?</v>
          </cell>
          <cell r="K214" t="e">
            <v>#NAME?</v>
          </cell>
          <cell r="L214">
            <v>0</v>
          </cell>
          <cell r="M214">
            <v>0</v>
          </cell>
          <cell r="N214" t="e">
            <v>#NAME?</v>
          </cell>
          <cell r="O214" t="e">
            <v>#NAME?</v>
          </cell>
          <cell r="P214" t="str">
            <v>제2400호표</v>
          </cell>
        </row>
        <row r="224">
          <cell r="A224">
            <v>2307</v>
          </cell>
          <cell r="B224">
            <v>3</v>
          </cell>
          <cell r="C224" t="str">
            <v>제2307호표</v>
          </cell>
          <cell r="D224" t="str">
            <v>유량계</v>
          </cell>
          <cell r="E224" t="str">
            <v>150A</v>
          </cell>
          <cell r="F224">
            <v>1</v>
          </cell>
          <cell r="G224" t="str">
            <v>SET</v>
          </cell>
          <cell r="I224" t="e">
            <v>#NAME?</v>
          </cell>
          <cell r="K224" t="e">
            <v>#NAME?</v>
          </cell>
          <cell r="M224">
            <v>0</v>
          </cell>
          <cell r="O224" t="e">
            <v>#NAME?</v>
          </cell>
        </row>
        <row r="226">
          <cell r="B226" t="str">
            <v>유량계150A</v>
          </cell>
          <cell r="C226" t="str">
            <v>재료비</v>
          </cell>
          <cell r="D226" t="str">
            <v>유량계</v>
          </cell>
          <cell r="E226" t="str">
            <v>150A</v>
          </cell>
          <cell r="F226">
            <v>1</v>
          </cell>
          <cell r="G226" t="str">
            <v>SET</v>
          </cell>
          <cell r="I226">
            <v>0</v>
          </cell>
          <cell r="M226">
            <v>0</v>
          </cell>
        </row>
        <row r="228">
          <cell r="C228" t="str">
            <v>노무비</v>
          </cell>
        </row>
        <row r="229">
          <cell r="C229" t="str">
            <v>플랜트접합 및 부설</v>
          </cell>
          <cell r="D229" t="str">
            <v>플랜트배관공</v>
          </cell>
          <cell r="E229" t="str">
            <v>(0.12+0.25)</v>
          </cell>
          <cell r="F229" t="e">
            <v>#NAME?</v>
          </cell>
          <cell r="G229" t="str">
            <v>인</v>
          </cell>
          <cell r="I229" t="e">
            <v>#NAME?</v>
          </cell>
          <cell r="J229">
            <v>94685</v>
          </cell>
          <cell r="K229" t="e">
            <v>#NAME?</v>
          </cell>
          <cell r="P229" t="str">
            <v>토 19-6</v>
          </cell>
        </row>
        <row r="230">
          <cell r="D230" t="str">
            <v>특별인부</v>
          </cell>
          <cell r="E230" t="str">
            <v>(0.12+0.65)</v>
          </cell>
          <cell r="F230" t="e">
            <v>#NAME?</v>
          </cell>
          <cell r="G230" t="str">
            <v>인</v>
          </cell>
          <cell r="I230" t="e">
            <v>#NAME?</v>
          </cell>
          <cell r="J230">
            <v>66422</v>
          </cell>
          <cell r="K230" t="e">
            <v>#NAME?</v>
          </cell>
        </row>
        <row r="232">
          <cell r="C232" t="str">
            <v>설치 및 시험</v>
          </cell>
          <cell r="D232" t="str">
            <v>계장공</v>
          </cell>
          <cell r="E232" t="str">
            <v>(0.3+0.25)*1.25</v>
          </cell>
          <cell r="F232" t="e">
            <v>#NAME?</v>
          </cell>
          <cell r="G232" t="str">
            <v>인</v>
          </cell>
          <cell r="I232" t="e">
            <v>#NAME?</v>
          </cell>
          <cell r="J232">
            <v>88927</v>
          </cell>
          <cell r="K232" t="e">
            <v>#NAME?</v>
          </cell>
          <cell r="P232" t="str">
            <v>전 4-2</v>
          </cell>
        </row>
        <row r="234">
          <cell r="C234" t="str">
            <v>공구손료</v>
          </cell>
          <cell r="E234" t="str">
            <v>노무비의</v>
          </cell>
          <cell r="F234">
            <v>3</v>
          </cell>
          <cell r="G234" t="str">
            <v>%</v>
          </cell>
          <cell r="I234" t="e">
            <v>#NAME?</v>
          </cell>
          <cell r="O234" t="e">
            <v>#NAME?</v>
          </cell>
        </row>
        <row r="236">
          <cell r="B236" t="str">
            <v>현장변환기반LIP</v>
          </cell>
          <cell r="C236" t="str">
            <v>부속자재</v>
          </cell>
          <cell r="D236" t="str">
            <v>현장변환기반</v>
          </cell>
          <cell r="E236" t="str">
            <v>LIP</v>
          </cell>
          <cell r="F236">
            <v>1</v>
          </cell>
          <cell r="G236" t="str">
            <v>면</v>
          </cell>
          <cell r="I236" t="e">
            <v>#NAME?</v>
          </cell>
          <cell r="J236" t="e">
            <v>#NAME?</v>
          </cell>
          <cell r="K236" t="e">
            <v>#NAME?</v>
          </cell>
          <cell r="L236">
            <v>0</v>
          </cell>
          <cell r="M236">
            <v>0</v>
          </cell>
          <cell r="N236" t="e">
            <v>#NAME?</v>
          </cell>
          <cell r="O236" t="e">
            <v>#NAME?</v>
          </cell>
          <cell r="P236" t="str">
            <v>제2400호표</v>
          </cell>
        </row>
        <row r="246">
          <cell r="A246">
            <v>2308</v>
          </cell>
          <cell r="B246">
            <v>3</v>
          </cell>
          <cell r="C246" t="str">
            <v>제2308호표</v>
          </cell>
          <cell r="D246" t="str">
            <v>유량계</v>
          </cell>
          <cell r="E246" t="str">
            <v>200A</v>
          </cell>
          <cell r="F246">
            <v>1</v>
          </cell>
          <cell r="G246" t="str">
            <v>SET</v>
          </cell>
          <cell r="I246" t="e">
            <v>#NAME?</v>
          </cell>
          <cell r="K246" t="e">
            <v>#NAME?</v>
          </cell>
          <cell r="M246">
            <v>0</v>
          </cell>
          <cell r="O246" t="e">
            <v>#NAME?</v>
          </cell>
        </row>
        <row r="248">
          <cell r="B248" t="str">
            <v>유량계200A</v>
          </cell>
          <cell r="C248" t="str">
            <v>재료비</v>
          </cell>
          <cell r="D248" t="str">
            <v>유량계</v>
          </cell>
          <cell r="E248" t="str">
            <v>200A</v>
          </cell>
          <cell r="F248">
            <v>1</v>
          </cell>
          <cell r="G248" t="str">
            <v>SET</v>
          </cell>
          <cell r="I248">
            <v>0</v>
          </cell>
          <cell r="M248">
            <v>0</v>
          </cell>
        </row>
        <row r="250">
          <cell r="C250" t="str">
            <v>노무비</v>
          </cell>
        </row>
        <row r="251">
          <cell r="C251" t="str">
            <v>플랜트접합 및 부설</v>
          </cell>
          <cell r="D251" t="str">
            <v>플랜트배관공</v>
          </cell>
          <cell r="E251" t="str">
            <v>(0.13+0.4)</v>
          </cell>
          <cell r="F251" t="e">
            <v>#NAME?</v>
          </cell>
          <cell r="G251" t="str">
            <v>인</v>
          </cell>
          <cell r="I251" t="e">
            <v>#NAME?</v>
          </cell>
          <cell r="J251">
            <v>94685</v>
          </cell>
          <cell r="K251" t="e">
            <v>#NAME?</v>
          </cell>
          <cell r="P251" t="str">
            <v>토 19-6</v>
          </cell>
        </row>
        <row r="252">
          <cell r="D252" t="str">
            <v>특별인부</v>
          </cell>
          <cell r="E252" t="str">
            <v>(0.13+0.75)</v>
          </cell>
          <cell r="F252" t="e">
            <v>#NAME?</v>
          </cell>
          <cell r="G252" t="str">
            <v>인</v>
          </cell>
          <cell r="I252" t="e">
            <v>#NAME?</v>
          </cell>
          <cell r="J252">
            <v>66422</v>
          </cell>
          <cell r="K252" t="e">
            <v>#NAME?</v>
          </cell>
        </row>
        <row r="254">
          <cell r="C254" t="str">
            <v>설치 및 시험</v>
          </cell>
          <cell r="D254" t="str">
            <v>계장공</v>
          </cell>
          <cell r="E254" t="str">
            <v>(0.3+0.25)*1.25</v>
          </cell>
          <cell r="F254" t="e">
            <v>#NAME?</v>
          </cell>
          <cell r="G254" t="str">
            <v>인</v>
          </cell>
          <cell r="I254" t="e">
            <v>#NAME?</v>
          </cell>
          <cell r="J254">
            <v>88927</v>
          </cell>
          <cell r="K254" t="e">
            <v>#NAME?</v>
          </cell>
          <cell r="P254" t="str">
            <v>전 4-2</v>
          </cell>
        </row>
        <row r="256">
          <cell r="C256" t="str">
            <v>공구손료</v>
          </cell>
          <cell r="E256" t="str">
            <v>노무비의</v>
          </cell>
          <cell r="F256">
            <v>3</v>
          </cell>
          <cell r="G256" t="str">
            <v>%</v>
          </cell>
          <cell r="I256" t="e">
            <v>#NAME?</v>
          </cell>
          <cell r="O256" t="e">
            <v>#NAME?</v>
          </cell>
        </row>
        <row r="258">
          <cell r="B258" t="str">
            <v>현장변환기반LIP</v>
          </cell>
          <cell r="C258" t="str">
            <v>부속자재</v>
          </cell>
          <cell r="D258" t="str">
            <v>현장변환기반</v>
          </cell>
          <cell r="E258" t="str">
            <v>LIP</v>
          </cell>
          <cell r="F258">
            <v>1</v>
          </cell>
          <cell r="G258" t="str">
            <v>면</v>
          </cell>
          <cell r="I258" t="e">
            <v>#NAME?</v>
          </cell>
          <cell r="J258" t="e">
            <v>#NAME?</v>
          </cell>
          <cell r="K258" t="e">
            <v>#NAME?</v>
          </cell>
          <cell r="L258">
            <v>0</v>
          </cell>
          <cell r="M258">
            <v>0</v>
          </cell>
          <cell r="N258" t="e">
            <v>#NAME?</v>
          </cell>
          <cell r="O258" t="e">
            <v>#NAME?</v>
          </cell>
          <cell r="P258" t="str">
            <v>제2400호표</v>
          </cell>
        </row>
        <row r="268">
          <cell r="A268">
            <v>2309</v>
          </cell>
          <cell r="B268">
            <v>3</v>
          </cell>
          <cell r="C268" t="str">
            <v>제2309호표</v>
          </cell>
          <cell r="D268" t="str">
            <v>수위스위치</v>
          </cell>
          <cell r="E268">
            <v>0</v>
          </cell>
          <cell r="F268">
            <v>1</v>
          </cell>
          <cell r="G268" t="str">
            <v>조</v>
          </cell>
          <cell r="I268" t="e">
            <v>#NAME?</v>
          </cell>
          <cell r="K268" t="e">
            <v>#NAME?</v>
          </cell>
          <cell r="M268">
            <v>0</v>
          </cell>
          <cell r="O268" t="e">
            <v>#NAME?</v>
          </cell>
          <cell r="P268" t="str">
            <v>전 4-1</v>
          </cell>
        </row>
        <row r="270">
          <cell r="B270" t="str">
            <v>수위스위치</v>
          </cell>
          <cell r="C270" t="str">
            <v>재료비</v>
          </cell>
          <cell r="D270" t="str">
            <v>수위스위치</v>
          </cell>
          <cell r="F270">
            <v>1</v>
          </cell>
          <cell r="G270" t="str">
            <v>조</v>
          </cell>
          <cell r="I270">
            <v>0</v>
          </cell>
          <cell r="M270">
            <v>0</v>
          </cell>
        </row>
        <row r="272">
          <cell r="C272" t="str">
            <v>노무비</v>
          </cell>
          <cell r="D272" t="str">
            <v>계장공</v>
          </cell>
          <cell r="E272" t="str">
            <v>0.3*1.25</v>
          </cell>
          <cell r="F272" t="e">
            <v>#NAME?</v>
          </cell>
          <cell r="G272" t="str">
            <v>인</v>
          </cell>
          <cell r="I272" t="e">
            <v>#NAME?</v>
          </cell>
          <cell r="J272">
            <v>88927</v>
          </cell>
          <cell r="K272" t="e">
            <v>#NAME?</v>
          </cell>
        </row>
        <row r="274">
          <cell r="C274" t="str">
            <v>공구손료</v>
          </cell>
          <cell r="E274" t="str">
            <v>노무비의</v>
          </cell>
          <cell r="F274">
            <v>3</v>
          </cell>
          <cell r="G274" t="str">
            <v>%</v>
          </cell>
          <cell r="I274" t="e">
            <v>#NAME?</v>
          </cell>
          <cell r="O274" t="e">
            <v>#NAME?</v>
          </cell>
        </row>
        <row r="279">
          <cell r="A279">
            <v>2400</v>
          </cell>
          <cell r="B279">
            <v>3</v>
          </cell>
          <cell r="C279" t="str">
            <v>제2400호표</v>
          </cell>
          <cell r="D279" t="str">
            <v>현장변환기반</v>
          </cell>
          <cell r="E279" t="str">
            <v>LIP</v>
          </cell>
          <cell r="F279">
            <v>1</v>
          </cell>
          <cell r="G279" t="str">
            <v>면</v>
          </cell>
          <cell r="I279" t="e">
            <v>#NAME?</v>
          </cell>
          <cell r="K279" t="e">
            <v>#NAME?</v>
          </cell>
          <cell r="M279">
            <v>0</v>
          </cell>
          <cell r="O279" t="e">
            <v>#NAME?</v>
          </cell>
          <cell r="P279" t="str">
            <v>전 4-1</v>
          </cell>
        </row>
        <row r="281">
          <cell r="B281" t="str">
            <v>현장변환기반LIP</v>
          </cell>
          <cell r="C281" t="str">
            <v>재료비</v>
          </cell>
          <cell r="D281" t="str">
            <v>현장변환기반</v>
          </cell>
          <cell r="E281" t="str">
            <v>LIP</v>
          </cell>
          <cell r="F281">
            <v>1</v>
          </cell>
          <cell r="G281" t="str">
            <v>EA</v>
          </cell>
          <cell r="I281">
            <v>0</v>
          </cell>
          <cell r="M281">
            <v>0</v>
          </cell>
        </row>
        <row r="283">
          <cell r="C283" t="str">
            <v>노무비</v>
          </cell>
          <cell r="D283" t="str">
            <v>계장공</v>
          </cell>
          <cell r="E283" t="str">
            <v>2*1.15</v>
          </cell>
          <cell r="F283" t="e">
            <v>#NAME?</v>
          </cell>
          <cell r="G283" t="str">
            <v>인</v>
          </cell>
          <cell r="I283" t="e">
            <v>#NAME?</v>
          </cell>
          <cell r="J283">
            <v>88927</v>
          </cell>
          <cell r="K283" t="e">
            <v>#NAME?</v>
          </cell>
        </row>
        <row r="284">
          <cell r="D284" t="str">
            <v>보통인부</v>
          </cell>
          <cell r="E284" t="str">
            <v>1.33*1.15</v>
          </cell>
          <cell r="F284" t="e">
            <v>#NAME?</v>
          </cell>
          <cell r="G284" t="str">
            <v>인</v>
          </cell>
          <cell r="I284" t="e">
            <v>#NAME?</v>
          </cell>
          <cell r="J284">
            <v>52585</v>
          </cell>
          <cell r="K284" t="e">
            <v>#NAME?</v>
          </cell>
        </row>
        <row r="286">
          <cell r="C286" t="str">
            <v>공구손료</v>
          </cell>
          <cell r="E286" t="str">
            <v>노무비의</v>
          </cell>
          <cell r="F286">
            <v>3</v>
          </cell>
          <cell r="G286" t="str">
            <v>%</v>
          </cell>
          <cell r="I286" t="e">
            <v>#NAME?</v>
          </cell>
          <cell r="O286" t="e">
            <v>#NAME?</v>
          </cell>
        </row>
        <row r="290">
          <cell r="A290">
            <v>2401</v>
          </cell>
          <cell r="B290">
            <v>3</v>
          </cell>
          <cell r="C290" t="str">
            <v>제2401호표</v>
          </cell>
          <cell r="D290" t="str">
            <v>피뢰기</v>
          </cell>
          <cell r="E290">
            <v>0</v>
          </cell>
          <cell r="F290">
            <v>1</v>
          </cell>
          <cell r="G290" t="str">
            <v>EA</v>
          </cell>
          <cell r="I290" t="e">
            <v>#NAME?</v>
          </cell>
          <cell r="K290" t="e">
            <v>#NAME?</v>
          </cell>
          <cell r="M290">
            <v>0</v>
          </cell>
          <cell r="O290" t="e">
            <v>#NAME?</v>
          </cell>
          <cell r="P290" t="str">
            <v>전 4-2</v>
          </cell>
        </row>
        <row r="292">
          <cell r="B292" t="str">
            <v>피뢰기</v>
          </cell>
          <cell r="C292" t="str">
            <v>재료비</v>
          </cell>
          <cell r="D292" t="str">
            <v>피뢰기</v>
          </cell>
          <cell r="F292">
            <v>1</v>
          </cell>
          <cell r="G292" t="str">
            <v>EA</v>
          </cell>
          <cell r="I292">
            <v>0</v>
          </cell>
          <cell r="M292">
            <v>0</v>
          </cell>
        </row>
        <row r="294">
          <cell r="C294" t="str">
            <v>노무비</v>
          </cell>
          <cell r="D294" t="str">
            <v>계장공</v>
          </cell>
          <cell r="E294" t="str">
            <v>0.22*1.15</v>
          </cell>
          <cell r="F294" t="e">
            <v>#NAME?</v>
          </cell>
          <cell r="G294" t="str">
            <v>인</v>
          </cell>
          <cell r="I294" t="e">
            <v>#NAME?</v>
          </cell>
          <cell r="J294">
            <v>88927</v>
          </cell>
          <cell r="K294" t="e">
            <v>#NAME?</v>
          </cell>
        </row>
        <row r="296">
          <cell r="C296" t="str">
            <v>공구손료</v>
          </cell>
          <cell r="E296" t="str">
            <v>노무비의</v>
          </cell>
          <cell r="F296">
            <v>3</v>
          </cell>
          <cell r="G296" t="str">
            <v>%</v>
          </cell>
          <cell r="I296" t="e">
            <v>#NAME?</v>
          </cell>
          <cell r="O296" t="e">
            <v>#NAME?</v>
          </cell>
        </row>
        <row r="301">
          <cell r="A301">
            <v>2800</v>
          </cell>
          <cell r="B301">
            <v>3</v>
          </cell>
          <cell r="C301" t="str">
            <v>제2800호표</v>
          </cell>
          <cell r="D301" t="str">
            <v>감시제어 콘솔 철거</v>
          </cell>
          <cell r="E301">
            <v>0</v>
          </cell>
          <cell r="F301">
            <v>1</v>
          </cell>
          <cell r="G301" t="str">
            <v>SET</v>
          </cell>
          <cell r="I301" t="e">
            <v>#NAME?</v>
          </cell>
          <cell r="K301" t="e">
            <v>#NAME?</v>
          </cell>
          <cell r="M301">
            <v>0</v>
          </cell>
          <cell r="O301" t="e">
            <v>#NAME?</v>
          </cell>
          <cell r="P301" t="str">
            <v>통 7-1-7파</v>
          </cell>
        </row>
        <row r="303">
          <cell r="B303" t="str">
            <v>감시제어 콘솔 철거</v>
          </cell>
          <cell r="C303" t="str">
            <v>재료비</v>
          </cell>
          <cell r="D303" t="str">
            <v>감시제어 콘솔 철거</v>
          </cell>
          <cell r="F303">
            <v>1</v>
          </cell>
          <cell r="G303" t="str">
            <v>SET</v>
          </cell>
          <cell r="I303">
            <v>0</v>
          </cell>
          <cell r="M303">
            <v>0</v>
          </cell>
        </row>
        <row r="305">
          <cell r="C305" t="str">
            <v>노무비</v>
          </cell>
        </row>
        <row r="306">
          <cell r="C306" t="str">
            <v>조립 및 설치</v>
          </cell>
          <cell r="D306" t="str">
            <v>통신관련기사</v>
          </cell>
          <cell r="E306" t="str">
            <v>1*0.3*1.15</v>
          </cell>
          <cell r="F306" t="e">
            <v>#NAME?</v>
          </cell>
          <cell r="G306" t="str">
            <v>인</v>
          </cell>
          <cell r="I306" t="e">
            <v>#NAME?</v>
          </cell>
          <cell r="J306">
            <v>107303</v>
          </cell>
          <cell r="K306" t="e">
            <v>#NAME?</v>
          </cell>
        </row>
        <row r="307">
          <cell r="D307" t="str">
            <v>통신관련산업기사</v>
          </cell>
          <cell r="E307" t="str">
            <v>2*0.3*1.15</v>
          </cell>
          <cell r="F307" t="e">
            <v>#NAME?</v>
          </cell>
          <cell r="G307" t="str">
            <v>인</v>
          </cell>
          <cell r="I307" t="e">
            <v>#NAME?</v>
          </cell>
          <cell r="J307">
            <v>102015</v>
          </cell>
          <cell r="K307" t="e">
            <v>#NAME?</v>
          </cell>
        </row>
        <row r="308">
          <cell r="D308" t="str">
            <v>통신설비공</v>
          </cell>
          <cell r="E308" t="str">
            <v>4*0.3*1.15</v>
          </cell>
          <cell r="F308" t="e">
            <v>#NAME?</v>
          </cell>
          <cell r="G308" t="str">
            <v>인</v>
          </cell>
          <cell r="I308" t="e">
            <v>#NAME?</v>
          </cell>
          <cell r="J308">
            <v>92328</v>
          </cell>
          <cell r="K308" t="e">
            <v>#NAME?</v>
          </cell>
        </row>
        <row r="309">
          <cell r="D309" t="str">
            <v>보통인부</v>
          </cell>
          <cell r="E309" t="str">
            <v>2*0.3*1.15</v>
          </cell>
          <cell r="F309" t="e">
            <v>#NAME?</v>
          </cell>
          <cell r="G309" t="str">
            <v>인</v>
          </cell>
          <cell r="I309" t="e">
            <v>#NAME?</v>
          </cell>
          <cell r="J309">
            <v>52585</v>
          </cell>
          <cell r="K309" t="e">
            <v>#NAME?</v>
          </cell>
        </row>
        <row r="311">
          <cell r="C311" t="str">
            <v>조정</v>
          </cell>
          <cell r="D311" t="str">
            <v>통신관련기사</v>
          </cell>
          <cell r="E311" t="str">
            <v>2*0.3*1.15</v>
          </cell>
          <cell r="F311" t="e">
            <v>#NAME?</v>
          </cell>
          <cell r="G311" t="str">
            <v>인</v>
          </cell>
          <cell r="I311" t="e">
            <v>#NAME?</v>
          </cell>
          <cell r="J311">
            <v>107303</v>
          </cell>
          <cell r="K311" t="e">
            <v>#NAME?</v>
          </cell>
        </row>
        <row r="312">
          <cell r="D312" t="str">
            <v>통신관련산업기사</v>
          </cell>
          <cell r="E312" t="str">
            <v>4*0.3*1.15</v>
          </cell>
          <cell r="F312" t="e">
            <v>#NAME?</v>
          </cell>
          <cell r="G312" t="str">
            <v>인</v>
          </cell>
          <cell r="I312" t="e">
            <v>#NAME?</v>
          </cell>
          <cell r="J312">
            <v>102015</v>
          </cell>
          <cell r="K312" t="e">
            <v>#NAME?</v>
          </cell>
        </row>
        <row r="314">
          <cell r="C314" t="str">
            <v>시험 및 측정</v>
          </cell>
          <cell r="D314" t="str">
            <v>통신관련기사</v>
          </cell>
          <cell r="E314" t="str">
            <v>4*0.3*1.15</v>
          </cell>
          <cell r="F314" t="e">
            <v>#NAME?</v>
          </cell>
          <cell r="G314" t="str">
            <v>인</v>
          </cell>
          <cell r="I314" t="e">
            <v>#NAME?</v>
          </cell>
          <cell r="J314">
            <v>107303</v>
          </cell>
          <cell r="K314" t="e">
            <v>#NAME?</v>
          </cell>
        </row>
        <row r="315">
          <cell r="D315" t="str">
            <v>통신관련산업기사</v>
          </cell>
          <cell r="E315" t="str">
            <v>8*0.3*1.15</v>
          </cell>
          <cell r="F315" t="e">
            <v>#NAME?</v>
          </cell>
          <cell r="G315" t="str">
            <v>인</v>
          </cell>
          <cell r="I315" t="e">
            <v>#NAME?</v>
          </cell>
          <cell r="J315">
            <v>102015</v>
          </cell>
          <cell r="K315" t="e">
            <v>#NAME?</v>
          </cell>
        </row>
        <row r="317">
          <cell r="C317" t="str">
            <v>공구손료</v>
          </cell>
          <cell r="E317" t="str">
            <v>노무비의</v>
          </cell>
          <cell r="F317">
            <v>3</v>
          </cell>
          <cell r="G317" t="str">
            <v>%</v>
          </cell>
          <cell r="I317" t="e">
            <v>#NAME?</v>
          </cell>
          <cell r="O317" t="e">
            <v>#NAME?</v>
          </cell>
        </row>
        <row r="323">
          <cell r="A323">
            <v>2801</v>
          </cell>
          <cell r="B323">
            <v>3</v>
          </cell>
          <cell r="C323" t="str">
            <v>제2801호표</v>
          </cell>
          <cell r="D323" t="str">
            <v>LCS 철거</v>
          </cell>
          <cell r="E323" t="str">
            <v>100Point</v>
          </cell>
          <cell r="F323">
            <v>1</v>
          </cell>
          <cell r="G323" t="str">
            <v>SET</v>
          </cell>
          <cell r="I323" t="e">
            <v>#NAME?</v>
          </cell>
          <cell r="K323" t="e">
            <v>#NAME?</v>
          </cell>
          <cell r="M323">
            <v>0</v>
          </cell>
          <cell r="O323" t="e">
            <v>#NAME?</v>
          </cell>
          <cell r="P323" t="str">
            <v>통 5-1-23</v>
          </cell>
        </row>
        <row r="325">
          <cell r="B325" t="str">
            <v>LCS 철거100Point</v>
          </cell>
          <cell r="C325" t="str">
            <v>재료비</v>
          </cell>
          <cell r="D325" t="str">
            <v>LCS 철거</v>
          </cell>
          <cell r="E325" t="str">
            <v>100Point</v>
          </cell>
          <cell r="F325">
            <v>1</v>
          </cell>
          <cell r="G325" t="str">
            <v>SET</v>
          </cell>
          <cell r="I325">
            <v>0</v>
          </cell>
          <cell r="M325">
            <v>0</v>
          </cell>
        </row>
        <row r="327">
          <cell r="C327" t="str">
            <v>노무비</v>
          </cell>
        </row>
        <row r="328">
          <cell r="C328" t="str">
            <v>BAT건립</v>
          </cell>
          <cell r="D328" t="str">
            <v>통신설비공</v>
          </cell>
          <cell r="E328" t="str">
            <v>0.5*0.3*1.15</v>
          </cell>
          <cell r="F328" t="e">
            <v>#NAME?</v>
          </cell>
          <cell r="G328" t="str">
            <v>인</v>
          </cell>
          <cell r="I328" t="e">
            <v>#NAME?</v>
          </cell>
          <cell r="J328">
            <v>92328</v>
          </cell>
          <cell r="K328" t="e">
            <v>#NAME?</v>
          </cell>
        </row>
        <row r="329">
          <cell r="D329" t="str">
            <v>보통인부</v>
          </cell>
          <cell r="E329" t="str">
            <v>1*0.3*1.15</v>
          </cell>
          <cell r="F329" t="e">
            <v>#NAME?</v>
          </cell>
          <cell r="G329" t="str">
            <v>인</v>
          </cell>
          <cell r="I329" t="e">
            <v>#NAME?</v>
          </cell>
          <cell r="J329">
            <v>52585</v>
          </cell>
          <cell r="K329" t="e">
            <v>#NAME?</v>
          </cell>
        </row>
        <row r="331">
          <cell r="C331" t="str">
            <v>케이블결선</v>
          </cell>
          <cell r="D331" t="str">
            <v>통신케이블공</v>
          </cell>
          <cell r="E331" t="str">
            <v>0.06*(100/2)*0.3*1.15</v>
          </cell>
          <cell r="F331" t="e">
            <v>#NAME?</v>
          </cell>
          <cell r="G331" t="str">
            <v>인</v>
          </cell>
          <cell r="I331" t="e">
            <v>#NAME?</v>
          </cell>
          <cell r="J331">
            <v>122838</v>
          </cell>
          <cell r="K331" t="e">
            <v>#NAME?</v>
          </cell>
        </row>
        <row r="333">
          <cell r="C333" t="str">
            <v>국부시험 및 조정</v>
          </cell>
          <cell r="D333" t="str">
            <v>통신관련기사</v>
          </cell>
          <cell r="E333" t="str">
            <v>4*0.3*1.15</v>
          </cell>
          <cell r="F333" t="e">
            <v>#NAME?</v>
          </cell>
          <cell r="G333" t="str">
            <v>인</v>
          </cell>
          <cell r="I333" t="e">
            <v>#NAME?</v>
          </cell>
          <cell r="J333">
            <v>107303</v>
          </cell>
          <cell r="K333" t="e">
            <v>#NAME?</v>
          </cell>
        </row>
        <row r="335">
          <cell r="C335" t="str">
            <v>송수신상태 조정</v>
          </cell>
          <cell r="D335" t="str">
            <v>통신관련기사</v>
          </cell>
          <cell r="E335" t="str">
            <v>2*0.3*1.15</v>
          </cell>
          <cell r="F335" t="e">
            <v>#NAME?</v>
          </cell>
          <cell r="G335" t="str">
            <v>인</v>
          </cell>
        </row>
        <row r="337">
          <cell r="C337" t="str">
            <v>종합점검 및 시험</v>
          </cell>
          <cell r="D337" t="str">
            <v>통신관련기사</v>
          </cell>
          <cell r="E337" t="str">
            <v>16*0.3*1.15</v>
          </cell>
          <cell r="F337" t="e">
            <v>#NAME?</v>
          </cell>
          <cell r="G337" t="str">
            <v>인</v>
          </cell>
          <cell r="I337" t="e">
            <v>#NAME?</v>
          </cell>
          <cell r="J337">
            <v>107303</v>
          </cell>
          <cell r="K337" t="e">
            <v>#NAME?</v>
          </cell>
        </row>
        <row r="339">
          <cell r="C339" t="str">
            <v>공구손료</v>
          </cell>
          <cell r="E339" t="str">
            <v>노무비의</v>
          </cell>
          <cell r="F339">
            <v>3</v>
          </cell>
          <cell r="I339" t="e">
            <v>#NAME?</v>
          </cell>
          <cell r="O339" t="e">
            <v>#NAME?</v>
          </cell>
        </row>
        <row r="345">
          <cell r="A345">
            <v>2802</v>
          </cell>
          <cell r="B345">
            <v>3</v>
          </cell>
          <cell r="C345" t="str">
            <v>제2802호표</v>
          </cell>
          <cell r="D345" t="str">
            <v>DO계 철거</v>
          </cell>
          <cell r="E345">
            <v>0</v>
          </cell>
          <cell r="F345">
            <v>1</v>
          </cell>
          <cell r="G345" t="str">
            <v>SET</v>
          </cell>
          <cell r="I345" t="e">
            <v>#NAME?</v>
          </cell>
          <cell r="K345" t="e">
            <v>#NAME?</v>
          </cell>
          <cell r="M345">
            <v>0</v>
          </cell>
          <cell r="O345" t="e">
            <v>#NAME?</v>
          </cell>
          <cell r="P345" t="str">
            <v>전 4-2</v>
          </cell>
        </row>
        <row r="347">
          <cell r="B347" t="str">
            <v>DO계 철거</v>
          </cell>
          <cell r="C347" t="str">
            <v>재료비</v>
          </cell>
          <cell r="D347" t="str">
            <v>DO계 철거</v>
          </cell>
          <cell r="F347">
            <v>1</v>
          </cell>
          <cell r="G347" t="str">
            <v>SET</v>
          </cell>
          <cell r="I347">
            <v>0</v>
          </cell>
          <cell r="M347">
            <v>0</v>
          </cell>
        </row>
        <row r="349">
          <cell r="C349" t="str">
            <v>노무비</v>
          </cell>
          <cell r="D349" t="str">
            <v>계장공</v>
          </cell>
          <cell r="E349" t="str">
            <v>(0.4+0.27)*0.4*1.15</v>
          </cell>
          <cell r="F349" t="e">
            <v>#NAME?</v>
          </cell>
          <cell r="G349" t="str">
            <v>인</v>
          </cell>
          <cell r="I349" t="e">
            <v>#NAME?</v>
          </cell>
          <cell r="J349">
            <v>88927</v>
          </cell>
          <cell r="K349" t="e">
            <v>#NAME?</v>
          </cell>
        </row>
        <row r="351">
          <cell r="C351" t="str">
            <v>공구손료</v>
          </cell>
          <cell r="E351" t="str">
            <v>노무비의</v>
          </cell>
          <cell r="F351">
            <v>3</v>
          </cell>
          <cell r="G351" t="str">
            <v>%</v>
          </cell>
          <cell r="I351" t="e">
            <v>#NAME?</v>
          </cell>
          <cell r="O351" t="e">
            <v>#NAME?</v>
          </cell>
        </row>
        <row r="353">
          <cell r="B353" t="str">
            <v>현장변환기반 철거LIP</v>
          </cell>
          <cell r="C353" t="str">
            <v>부속자재</v>
          </cell>
          <cell r="D353" t="str">
            <v>현장변환기반 철거</v>
          </cell>
          <cell r="E353" t="str">
            <v>LIP</v>
          </cell>
          <cell r="F353">
            <v>1</v>
          </cell>
          <cell r="G353" t="str">
            <v>EA</v>
          </cell>
          <cell r="I353" t="e">
            <v>#NAME?</v>
          </cell>
          <cell r="J353" t="e">
            <v>#NAME?</v>
          </cell>
          <cell r="K353" t="e">
            <v>#NAME?</v>
          </cell>
          <cell r="L353">
            <v>0</v>
          </cell>
          <cell r="M353">
            <v>0</v>
          </cell>
          <cell r="N353" t="e">
            <v>#NAME?</v>
          </cell>
          <cell r="O353" t="e">
            <v>#NAME?</v>
          </cell>
          <cell r="P353" t="str">
            <v>제2807호표</v>
          </cell>
        </row>
        <row r="356">
          <cell r="A356">
            <v>2803</v>
          </cell>
          <cell r="B356">
            <v>3</v>
          </cell>
          <cell r="C356" t="str">
            <v>제2803호표</v>
          </cell>
          <cell r="D356" t="str">
            <v>MLSS계 철거</v>
          </cell>
          <cell r="E356">
            <v>0</v>
          </cell>
          <cell r="F356">
            <v>1</v>
          </cell>
          <cell r="G356" t="str">
            <v>SET</v>
          </cell>
          <cell r="I356" t="e">
            <v>#NAME?</v>
          </cell>
          <cell r="K356" t="e">
            <v>#NAME?</v>
          </cell>
          <cell r="M356">
            <v>0</v>
          </cell>
          <cell r="O356" t="e">
            <v>#NAME?</v>
          </cell>
          <cell r="P356" t="str">
            <v>전 4-2</v>
          </cell>
        </row>
        <row r="358">
          <cell r="B358" t="str">
            <v>MLSS계 철거</v>
          </cell>
          <cell r="C358" t="str">
            <v>재료비</v>
          </cell>
          <cell r="D358" t="str">
            <v>MLSS계 철거</v>
          </cell>
          <cell r="F358">
            <v>1</v>
          </cell>
          <cell r="G358" t="str">
            <v>SET</v>
          </cell>
          <cell r="I358">
            <v>0</v>
          </cell>
          <cell r="M358">
            <v>0</v>
          </cell>
        </row>
        <row r="360">
          <cell r="C360" t="str">
            <v>노무비</v>
          </cell>
          <cell r="D360" t="str">
            <v>계장공</v>
          </cell>
          <cell r="E360" t="str">
            <v>(0.4+0.27)*0.4*1.15</v>
          </cell>
          <cell r="F360" t="e">
            <v>#NAME?</v>
          </cell>
          <cell r="G360" t="str">
            <v>인</v>
          </cell>
          <cell r="I360" t="e">
            <v>#NAME?</v>
          </cell>
          <cell r="J360">
            <v>88927</v>
          </cell>
          <cell r="K360" t="e">
            <v>#NAME?</v>
          </cell>
        </row>
        <row r="362">
          <cell r="C362" t="str">
            <v>공구손료</v>
          </cell>
          <cell r="E362" t="str">
            <v>노무비의</v>
          </cell>
          <cell r="F362">
            <v>3</v>
          </cell>
          <cell r="G362" t="str">
            <v>%</v>
          </cell>
          <cell r="I362" t="e">
            <v>#NAME?</v>
          </cell>
          <cell r="O362" t="e">
            <v>#NAME?</v>
          </cell>
        </row>
        <row r="364">
          <cell r="B364" t="str">
            <v>현장변환기반 철거LIP</v>
          </cell>
          <cell r="C364" t="str">
            <v>부속자재</v>
          </cell>
          <cell r="D364" t="str">
            <v>현장변환기반 철거</v>
          </cell>
          <cell r="E364" t="str">
            <v>LIP</v>
          </cell>
          <cell r="F364">
            <v>1</v>
          </cell>
          <cell r="G364" t="str">
            <v>EA</v>
          </cell>
          <cell r="I364" t="e">
            <v>#NAME?</v>
          </cell>
          <cell r="J364" t="e">
            <v>#NAME?</v>
          </cell>
          <cell r="K364" t="e">
            <v>#NAME?</v>
          </cell>
          <cell r="L364">
            <v>0</v>
          </cell>
          <cell r="M364">
            <v>0</v>
          </cell>
          <cell r="N364" t="e">
            <v>#NAME?</v>
          </cell>
          <cell r="O364" t="e">
            <v>#NAME?</v>
          </cell>
          <cell r="P364" t="str">
            <v>제2807호표</v>
          </cell>
        </row>
        <row r="367">
          <cell r="A367">
            <v>2804</v>
          </cell>
          <cell r="B367">
            <v>3</v>
          </cell>
          <cell r="C367" t="str">
            <v>제2804호표</v>
          </cell>
          <cell r="D367" t="str">
            <v>유량계 철거</v>
          </cell>
          <cell r="E367" t="str">
            <v>75A 이하</v>
          </cell>
          <cell r="F367">
            <v>1</v>
          </cell>
          <cell r="G367" t="str">
            <v>SET</v>
          </cell>
          <cell r="I367" t="e">
            <v>#NAME?</v>
          </cell>
          <cell r="K367" t="e">
            <v>#NAME?</v>
          </cell>
          <cell r="M367">
            <v>0</v>
          </cell>
          <cell r="O367" t="e">
            <v>#NAME?</v>
          </cell>
        </row>
        <row r="369">
          <cell r="B369" t="str">
            <v>유량계 철거75A 이하</v>
          </cell>
          <cell r="C369" t="str">
            <v>재료비</v>
          </cell>
          <cell r="D369" t="str">
            <v>유량계 철거</v>
          </cell>
          <cell r="E369" t="str">
            <v>75A 이하</v>
          </cell>
          <cell r="F369">
            <v>1</v>
          </cell>
          <cell r="G369" t="str">
            <v>SET</v>
          </cell>
          <cell r="I369">
            <v>0</v>
          </cell>
          <cell r="M369">
            <v>0</v>
          </cell>
        </row>
        <row r="371">
          <cell r="C371" t="str">
            <v>노무비</v>
          </cell>
        </row>
        <row r="372">
          <cell r="C372" t="str">
            <v>플랜트접합 및 부설</v>
          </cell>
          <cell r="D372" t="str">
            <v>플랜트배관공</v>
          </cell>
          <cell r="E372" t="str">
            <v>0.05*0.4*1.15</v>
          </cell>
          <cell r="F372" t="e">
            <v>#NAME?</v>
          </cell>
          <cell r="G372" t="str">
            <v>인</v>
          </cell>
          <cell r="I372" t="e">
            <v>#NAME?</v>
          </cell>
          <cell r="J372">
            <v>94685</v>
          </cell>
          <cell r="K372" t="e">
            <v>#NAME?</v>
          </cell>
          <cell r="P372" t="str">
            <v>토 19-6</v>
          </cell>
        </row>
        <row r="373">
          <cell r="D373" t="str">
            <v>보통인부</v>
          </cell>
          <cell r="E373" t="str">
            <v>0.05*0.4*1.15</v>
          </cell>
          <cell r="F373" t="e">
            <v>#NAME?</v>
          </cell>
          <cell r="G373" t="str">
            <v>인</v>
          </cell>
          <cell r="I373" t="e">
            <v>#NAME?</v>
          </cell>
          <cell r="J373">
            <v>52585</v>
          </cell>
          <cell r="K373" t="e">
            <v>#NAME?</v>
          </cell>
        </row>
        <row r="375">
          <cell r="C375" t="str">
            <v>설치 및 시험</v>
          </cell>
          <cell r="D375" t="str">
            <v>계장공</v>
          </cell>
          <cell r="E375" t="str">
            <v>(0.3+0.25)*0.4*1.15</v>
          </cell>
          <cell r="F375" t="e">
            <v>#NAME?</v>
          </cell>
          <cell r="G375" t="str">
            <v>인</v>
          </cell>
          <cell r="I375" t="e">
            <v>#NAME?</v>
          </cell>
          <cell r="J375">
            <v>88927</v>
          </cell>
          <cell r="K375" t="e">
            <v>#NAME?</v>
          </cell>
          <cell r="P375" t="str">
            <v>전 4-2</v>
          </cell>
        </row>
        <row r="377">
          <cell r="C377" t="str">
            <v>공구손료</v>
          </cell>
          <cell r="E377" t="str">
            <v>노무비의</v>
          </cell>
          <cell r="F377">
            <v>3</v>
          </cell>
          <cell r="G377" t="str">
            <v>%</v>
          </cell>
          <cell r="I377" t="e">
            <v>#NAME?</v>
          </cell>
          <cell r="O377" t="e">
            <v>#NAME?</v>
          </cell>
        </row>
        <row r="379">
          <cell r="B379" t="str">
            <v>현장변환기반 철거LIP</v>
          </cell>
          <cell r="C379" t="str">
            <v>부속자재</v>
          </cell>
          <cell r="D379" t="str">
            <v>현장변환기반 철거</v>
          </cell>
          <cell r="E379" t="str">
            <v>LIP</v>
          </cell>
          <cell r="F379">
            <v>1</v>
          </cell>
          <cell r="G379" t="str">
            <v>EA</v>
          </cell>
          <cell r="I379" t="e">
            <v>#NAME?</v>
          </cell>
          <cell r="J379" t="e">
            <v>#NAME?</v>
          </cell>
          <cell r="K379" t="e">
            <v>#NAME?</v>
          </cell>
          <cell r="L379">
            <v>0</v>
          </cell>
          <cell r="M379">
            <v>0</v>
          </cell>
          <cell r="N379" t="e">
            <v>#NAME?</v>
          </cell>
          <cell r="O379" t="e">
            <v>#NAME?</v>
          </cell>
          <cell r="P379" t="str">
            <v>제2807호표</v>
          </cell>
        </row>
        <row r="389">
          <cell r="A389">
            <v>2805</v>
          </cell>
          <cell r="B389">
            <v>3</v>
          </cell>
          <cell r="C389" t="str">
            <v>제2805호표</v>
          </cell>
          <cell r="D389" t="str">
            <v>유량계 철거</v>
          </cell>
          <cell r="E389" t="str">
            <v>300A</v>
          </cell>
          <cell r="F389">
            <v>1</v>
          </cell>
          <cell r="G389" t="str">
            <v>SET</v>
          </cell>
          <cell r="I389" t="e">
            <v>#NAME?</v>
          </cell>
          <cell r="K389" t="e">
            <v>#NAME?</v>
          </cell>
          <cell r="M389">
            <v>0</v>
          </cell>
          <cell r="O389" t="e">
            <v>#NAME?</v>
          </cell>
        </row>
        <row r="391">
          <cell r="B391" t="str">
            <v>유량계 철거300A</v>
          </cell>
          <cell r="C391" t="str">
            <v>재료비</v>
          </cell>
          <cell r="D391" t="str">
            <v>유량계 철거</v>
          </cell>
          <cell r="E391" t="str">
            <v>300A</v>
          </cell>
          <cell r="F391">
            <v>1</v>
          </cell>
          <cell r="G391" t="str">
            <v>SET</v>
          </cell>
          <cell r="I391">
            <v>0</v>
          </cell>
          <cell r="M391">
            <v>0</v>
          </cell>
        </row>
        <row r="393">
          <cell r="C393" t="str">
            <v>노무비</v>
          </cell>
        </row>
        <row r="394">
          <cell r="C394" t="str">
            <v>플랜트접합 및 부설</v>
          </cell>
          <cell r="D394" t="str">
            <v>플랜트배관공</v>
          </cell>
          <cell r="E394" t="str">
            <v>(0.15+0.5)*0.4*1.15</v>
          </cell>
          <cell r="F394" t="e">
            <v>#NAME?</v>
          </cell>
          <cell r="G394" t="str">
            <v>인</v>
          </cell>
          <cell r="I394" t="e">
            <v>#NAME?</v>
          </cell>
          <cell r="J394">
            <v>94685</v>
          </cell>
          <cell r="K394" t="e">
            <v>#NAME?</v>
          </cell>
          <cell r="P394" t="str">
            <v>토 19-6</v>
          </cell>
        </row>
        <row r="395">
          <cell r="D395" t="str">
            <v>보통인부</v>
          </cell>
          <cell r="E395" t="str">
            <v>(0.15+1.2)*0.4*1.15</v>
          </cell>
          <cell r="F395" t="e">
            <v>#NAME?</v>
          </cell>
          <cell r="G395" t="str">
            <v>인</v>
          </cell>
          <cell r="I395" t="e">
            <v>#NAME?</v>
          </cell>
          <cell r="J395">
            <v>52585</v>
          </cell>
          <cell r="K395" t="e">
            <v>#NAME?</v>
          </cell>
        </row>
        <row r="397">
          <cell r="C397" t="str">
            <v>설치 및 시험</v>
          </cell>
          <cell r="D397" t="str">
            <v>계장공</v>
          </cell>
          <cell r="E397" t="str">
            <v>(0.3+0.25)*0.4*1.15</v>
          </cell>
          <cell r="F397" t="e">
            <v>#NAME?</v>
          </cell>
          <cell r="G397" t="str">
            <v>인</v>
          </cell>
          <cell r="I397" t="e">
            <v>#NAME?</v>
          </cell>
          <cell r="J397">
            <v>88927</v>
          </cell>
          <cell r="K397" t="e">
            <v>#NAME?</v>
          </cell>
          <cell r="P397" t="str">
            <v>전 4-2</v>
          </cell>
        </row>
        <row r="399">
          <cell r="C399" t="str">
            <v>공구손료</v>
          </cell>
          <cell r="E399" t="str">
            <v>노무비의</v>
          </cell>
          <cell r="F399">
            <v>3</v>
          </cell>
          <cell r="G399" t="str">
            <v>%</v>
          </cell>
          <cell r="I399" t="e">
            <v>#NAME?</v>
          </cell>
          <cell r="O399" t="e">
            <v>#NAME?</v>
          </cell>
        </row>
        <row r="401">
          <cell r="B401" t="str">
            <v>현장변환기반 철거LIP</v>
          </cell>
          <cell r="C401" t="str">
            <v>부속자재</v>
          </cell>
          <cell r="D401" t="str">
            <v>현장변환기반 철거</v>
          </cell>
          <cell r="E401" t="str">
            <v>LIP</v>
          </cell>
          <cell r="F401">
            <v>1</v>
          </cell>
          <cell r="G401" t="str">
            <v>EA</v>
          </cell>
          <cell r="I401" t="e">
            <v>#NAME?</v>
          </cell>
          <cell r="J401" t="e">
            <v>#NAME?</v>
          </cell>
          <cell r="K401" t="e">
            <v>#NAME?</v>
          </cell>
          <cell r="L401">
            <v>0</v>
          </cell>
          <cell r="M401">
            <v>0</v>
          </cell>
          <cell r="N401" t="e">
            <v>#NAME?</v>
          </cell>
          <cell r="O401" t="e">
            <v>#NAME?</v>
          </cell>
          <cell r="P401" t="str">
            <v>제2807호표</v>
          </cell>
        </row>
        <row r="411">
          <cell r="A411">
            <v>2806</v>
          </cell>
          <cell r="B411">
            <v>3</v>
          </cell>
          <cell r="C411" t="str">
            <v>제2806호표</v>
          </cell>
          <cell r="D411" t="str">
            <v>유량계 철거</v>
          </cell>
          <cell r="E411" t="str">
            <v>600A</v>
          </cell>
          <cell r="F411">
            <v>1</v>
          </cell>
          <cell r="G411" t="str">
            <v>SET</v>
          </cell>
          <cell r="I411" t="e">
            <v>#NAME?</v>
          </cell>
          <cell r="K411" t="e">
            <v>#NAME?</v>
          </cell>
          <cell r="M411">
            <v>0</v>
          </cell>
          <cell r="O411" t="e">
            <v>#NAME?</v>
          </cell>
        </row>
        <row r="413">
          <cell r="B413" t="str">
            <v>유량계 철거600A</v>
          </cell>
          <cell r="C413" t="str">
            <v>재료비</v>
          </cell>
          <cell r="D413" t="str">
            <v>유량계 철거</v>
          </cell>
          <cell r="E413" t="str">
            <v>600A</v>
          </cell>
          <cell r="F413">
            <v>1</v>
          </cell>
          <cell r="G413" t="str">
            <v>SET</v>
          </cell>
          <cell r="I413">
            <v>0</v>
          </cell>
          <cell r="M413">
            <v>0</v>
          </cell>
        </row>
        <row r="415">
          <cell r="C415" t="str">
            <v>노무비</v>
          </cell>
        </row>
        <row r="416">
          <cell r="C416" t="str">
            <v>플랜트접합 및 부설</v>
          </cell>
          <cell r="D416" t="str">
            <v>플랜트배관공</v>
          </cell>
          <cell r="E416" t="str">
            <v>(0.23+1.7)*0.4*1.15</v>
          </cell>
          <cell r="F416" t="e">
            <v>#NAME?</v>
          </cell>
          <cell r="G416" t="str">
            <v>인</v>
          </cell>
          <cell r="I416" t="e">
            <v>#NAME?</v>
          </cell>
          <cell r="J416">
            <v>94685</v>
          </cell>
          <cell r="K416" t="e">
            <v>#NAME?</v>
          </cell>
          <cell r="P416" t="str">
            <v>토 19-6</v>
          </cell>
        </row>
        <row r="417">
          <cell r="D417" t="str">
            <v>보통인부</v>
          </cell>
          <cell r="E417" t="str">
            <v>(0.23+3.4)*0.4*1.15</v>
          </cell>
          <cell r="F417" t="e">
            <v>#NAME?</v>
          </cell>
          <cell r="G417" t="str">
            <v>인</v>
          </cell>
          <cell r="I417" t="e">
            <v>#NAME?</v>
          </cell>
          <cell r="J417">
            <v>52585</v>
          </cell>
          <cell r="K417" t="e">
            <v>#NAME?</v>
          </cell>
        </row>
        <row r="419">
          <cell r="C419" t="str">
            <v>설치 및 시험</v>
          </cell>
          <cell r="D419" t="str">
            <v>계장공</v>
          </cell>
          <cell r="E419" t="str">
            <v>(0.3+0.25)*0.4*1.15</v>
          </cell>
          <cell r="F419" t="e">
            <v>#NAME?</v>
          </cell>
          <cell r="G419" t="str">
            <v>인</v>
          </cell>
          <cell r="I419" t="e">
            <v>#NAME?</v>
          </cell>
          <cell r="J419">
            <v>88927</v>
          </cell>
          <cell r="K419" t="e">
            <v>#NAME?</v>
          </cell>
          <cell r="P419" t="str">
            <v>전 4-2</v>
          </cell>
        </row>
        <row r="421">
          <cell r="C421" t="str">
            <v>공구손료</v>
          </cell>
          <cell r="E421" t="str">
            <v>노무비의</v>
          </cell>
          <cell r="F421">
            <v>3</v>
          </cell>
          <cell r="G421" t="str">
            <v>%</v>
          </cell>
          <cell r="I421" t="e">
            <v>#NAME?</v>
          </cell>
          <cell r="O421" t="e">
            <v>#NAME?</v>
          </cell>
        </row>
        <row r="423">
          <cell r="B423" t="str">
            <v>현장변환기반 철거LIP</v>
          </cell>
          <cell r="C423" t="str">
            <v>부속자재</v>
          </cell>
          <cell r="D423" t="str">
            <v>현장변환기반 철거</v>
          </cell>
          <cell r="E423" t="str">
            <v>LIP</v>
          </cell>
          <cell r="F423">
            <v>1</v>
          </cell>
          <cell r="G423" t="str">
            <v>EA</v>
          </cell>
          <cell r="I423" t="e">
            <v>#NAME?</v>
          </cell>
          <cell r="J423" t="e">
            <v>#NAME?</v>
          </cell>
          <cell r="K423" t="e">
            <v>#NAME?</v>
          </cell>
          <cell r="L423">
            <v>0</v>
          </cell>
          <cell r="M423">
            <v>0</v>
          </cell>
          <cell r="N423" t="e">
            <v>#NAME?</v>
          </cell>
          <cell r="O423" t="e">
            <v>#NAME?</v>
          </cell>
          <cell r="P423" t="str">
            <v>제2807호표</v>
          </cell>
        </row>
        <row r="433">
          <cell r="A433">
            <v>2807</v>
          </cell>
          <cell r="B433">
            <v>3</v>
          </cell>
          <cell r="C433" t="str">
            <v>제2807호표</v>
          </cell>
          <cell r="D433" t="str">
            <v>현장변환기반 철거</v>
          </cell>
          <cell r="E433" t="str">
            <v>LIP</v>
          </cell>
          <cell r="F433">
            <v>1</v>
          </cell>
          <cell r="G433" t="str">
            <v>EA</v>
          </cell>
          <cell r="I433" t="e">
            <v>#NAME?</v>
          </cell>
          <cell r="K433" t="e">
            <v>#NAME?</v>
          </cell>
          <cell r="M433">
            <v>0</v>
          </cell>
          <cell r="O433" t="e">
            <v>#NAME?</v>
          </cell>
          <cell r="P433" t="str">
            <v>전 4-1</v>
          </cell>
        </row>
        <row r="435">
          <cell r="B435" t="str">
            <v>현장변환기반 철거LIP</v>
          </cell>
          <cell r="C435" t="str">
            <v>재료비</v>
          </cell>
          <cell r="D435" t="str">
            <v>현장변환기반 철거</v>
          </cell>
          <cell r="E435" t="str">
            <v>LIP</v>
          </cell>
          <cell r="F435">
            <v>1</v>
          </cell>
          <cell r="G435" t="str">
            <v>EA</v>
          </cell>
          <cell r="I435">
            <v>0</v>
          </cell>
          <cell r="M435">
            <v>0</v>
          </cell>
        </row>
        <row r="437">
          <cell r="C437" t="str">
            <v>노무비</v>
          </cell>
          <cell r="D437" t="str">
            <v>계장공</v>
          </cell>
          <cell r="E437" t="str">
            <v>2*0.4*1.15</v>
          </cell>
          <cell r="F437" t="e">
            <v>#NAME?</v>
          </cell>
          <cell r="G437" t="str">
            <v>인</v>
          </cell>
          <cell r="I437" t="e">
            <v>#NAME?</v>
          </cell>
          <cell r="J437">
            <v>88927</v>
          </cell>
          <cell r="K437" t="e">
            <v>#NAME?</v>
          </cell>
        </row>
        <row r="438">
          <cell r="D438" t="str">
            <v>보통인부</v>
          </cell>
          <cell r="E438" t="str">
            <v>1.33*0.4*1.15</v>
          </cell>
          <cell r="F438" t="e">
            <v>#NAME?</v>
          </cell>
          <cell r="G438" t="str">
            <v>인</v>
          </cell>
          <cell r="I438" t="e">
            <v>#NAME?</v>
          </cell>
          <cell r="J438">
            <v>52585</v>
          </cell>
          <cell r="K438" t="e">
            <v>#NAME?</v>
          </cell>
        </row>
        <row r="440">
          <cell r="C440" t="str">
            <v>공구손료</v>
          </cell>
          <cell r="E440" t="str">
            <v>노무비의</v>
          </cell>
          <cell r="F440">
            <v>3</v>
          </cell>
          <cell r="G440" t="str">
            <v>%</v>
          </cell>
          <cell r="I440" t="e">
            <v>#NAME?</v>
          </cell>
          <cell r="O440" t="e">
            <v>#NAME?</v>
          </cell>
        </row>
      </sheetData>
      <sheetData sheetId="12">
        <row r="3">
          <cell r="B3" t="str">
            <v>형틀목공</v>
          </cell>
        </row>
      </sheetData>
      <sheetData sheetId="1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가표"/>
      <sheetName val="단가표1"/>
      <sheetName val="목차"/>
      <sheetName val="간지"/>
      <sheetName val="공사설명서"/>
      <sheetName val="예정공정표"/>
      <sheetName val="동원인원"/>
      <sheetName val="총원가_총괄"/>
      <sheetName val="공사원가_총괄"/>
      <sheetName val="총원가"/>
      <sheetName val="공사원가"/>
      <sheetName val="내역서총괄"/>
      <sheetName val="내역서"/>
      <sheetName val="일위대가"/>
      <sheetName val="피스표총괄"/>
      <sheetName val="피스표"/>
      <sheetName val="자재비"/>
      <sheetName val="지입자재"/>
      <sheetName val="회수물자"/>
      <sheetName val="철거내역"/>
      <sheetName val="잔품내역"/>
      <sheetName val="품_산출근거"/>
      <sheetName val="소요노력"/>
      <sheetName val="공구손료"/>
      <sheetName val="공구_손료"/>
      <sheetName val="관급자재"/>
      <sheetName val="운반비1"/>
      <sheetName val="경비"/>
      <sheetName val="위험표시판"/>
      <sheetName val="공정집계"/>
      <sheetName val="File_관급"/>
      <sheetName val="File_Index"/>
      <sheetName val="File_제목"/>
      <sheetName val="일위대가_수정"/>
      <sheetName val="File_일위"/>
      <sheetName val="File_공정입력"/>
      <sheetName val="File_국명"/>
      <sheetName val="File_간선명"/>
      <sheetName val="File_집계"/>
      <sheetName val="File_피스표"/>
      <sheetName val="피스표_List"/>
      <sheetName val="File_인수공여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">
          <cell r="M3">
            <v>77</v>
          </cell>
        </row>
        <row r="6">
          <cell r="A6">
            <v>13</v>
          </cell>
          <cell r="M6">
            <v>3.85</v>
          </cell>
        </row>
        <row r="7">
          <cell r="A7">
            <v>15</v>
          </cell>
          <cell r="M7">
            <v>3.85</v>
          </cell>
        </row>
        <row r="8">
          <cell r="M8">
            <v>0</v>
          </cell>
        </row>
        <row r="9">
          <cell r="M9">
            <v>0</v>
          </cell>
        </row>
        <row r="10">
          <cell r="M10">
            <v>0</v>
          </cell>
        </row>
        <row r="11">
          <cell r="M11">
            <v>0</v>
          </cell>
        </row>
        <row r="12">
          <cell r="M12">
            <v>0</v>
          </cell>
        </row>
        <row r="13">
          <cell r="M13">
            <v>0</v>
          </cell>
        </row>
        <row r="14">
          <cell r="M14">
            <v>0</v>
          </cell>
        </row>
        <row r="15">
          <cell r="M15">
            <v>0</v>
          </cell>
        </row>
        <row r="16">
          <cell r="M16">
            <v>0</v>
          </cell>
        </row>
        <row r="17">
          <cell r="M17">
            <v>0</v>
          </cell>
        </row>
        <row r="18">
          <cell r="M18">
            <v>0</v>
          </cell>
        </row>
        <row r="19">
          <cell r="M19">
            <v>0</v>
          </cell>
        </row>
        <row r="20">
          <cell r="M20">
            <v>0</v>
          </cell>
        </row>
        <row r="21">
          <cell r="M21">
            <v>0</v>
          </cell>
        </row>
        <row r="22">
          <cell r="A22" t="str">
            <v>S1</v>
          </cell>
          <cell r="M22">
            <v>0</v>
          </cell>
        </row>
        <row r="25">
          <cell r="M25">
            <v>2.4</v>
          </cell>
        </row>
        <row r="28">
          <cell r="A28">
            <v>14</v>
          </cell>
          <cell r="M28">
            <v>4.68</v>
          </cell>
        </row>
        <row r="29">
          <cell r="A29">
            <v>111</v>
          </cell>
          <cell r="M29">
            <v>24</v>
          </cell>
        </row>
        <row r="30">
          <cell r="A30">
            <v>112</v>
          </cell>
          <cell r="M30">
            <v>24</v>
          </cell>
        </row>
        <row r="31">
          <cell r="M31">
            <v>0</v>
          </cell>
        </row>
        <row r="32">
          <cell r="M32">
            <v>0</v>
          </cell>
        </row>
        <row r="33">
          <cell r="M33">
            <v>0</v>
          </cell>
        </row>
        <row r="34">
          <cell r="M34">
            <v>0</v>
          </cell>
        </row>
        <row r="35">
          <cell r="M35">
            <v>0</v>
          </cell>
        </row>
        <row r="36">
          <cell r="M36">
            <v>0</v>
          </cell>
        </row>
        <row r="37">
          <cell r="M37">
            <v>0</v>
          </cell>
        </row>
        <row r="38">
          <cell r="M38">
            <v>0</v>
          </cell>
        </row>
        <row r="39">
          <cell r="M39">
            <v>0</v>
          </cell>
        </row>
        <row r="40">
          <cell r="M40">
            <v>0</v>
          </cell>
        </row>
        <row r="41">
          <cell r="M41">
            <v>0</v>
          </cell>
        </row>
        <row r="42">
          <cell r="M42">
            <v>0</v>
          </cell>
        </row>
        <row r="43">
          <cell r="M43">
            <v>0</v>
          </cell>
        </row>
        <row r="44">
          <cell r="A44" t="str">
            <v>S2</v>
          </cell>
          <cell r="M44">
            <v>0</v>
          </cell>
        </row>
        <row r="47">
          <cell r="M47">
            <v>102.8</v>
          </cell>
        </row>
        <row r="50">
          <cell r="A50">
            <v>13</v>
          </cell>
          <cell r="M50">
            <v>11.308</v>
          </cell>
        </row>
        <row r="51">
          <cell r="A51">
            <v>15</v>
          </cell>
          <cell r="M51">
            <v>1.028</v>
          </cell>
        </row>
        <row r="52">
          <cell r="A52">
            <v>66</v>
          </cell>
          <cell r="M52">
            <v>102.8</v>
          </cell>
        </row>
        <row r="53">
          <cell r="M53">
            <v>0</v>
          </cell>
        </row>
        <row r="54">
          <cell r="M54">
            <v>0</v>
          </cell>
        </row>
        <row r="55">
          <cell r="M55">
            <v>0</v>
          </cell>
        </row>
        <row r="56">
          <cell r="M56">
            <v>0</v>
          </cell>
        </row>
        <row r="57">
          <cell r="M57">
            <v>0</v>
          </cell>
        </row>
        <row r="58">
          <cell r="M58">
            <v>0</v>
          </cell>
        </row>
        <row r="59">
          <cell r="M59">
            <v>0</v>
          </cell>
        </row>
        <row r="60">
          <cell r="M60">
            <v>0</v>
          </cell>
        </row>
        <row r="61">
          <cell r="M61">
            <v>0</v>
          </cell>
        </row>
        <row r="62">
          <cell r="M62">
            <v>0</v>
          </cell>
        </row>
        <row r="63">
          <cell r="M63">
            <v>0</v>
          </cell>
        </row>
        <row r="64">
          <cell r="M64">
            <v>0</v>
          </cell>
        </row>
        <row r="65">
          <cell r="M65">
            <v>0</v>
          </cell>
        </row>
        <row r="66">
          <cell r="A66" t="str">
            <v>S3</v>
          </cell>
          <cell r="M66">
            <v>0</v>
          </cell>
        </row>
        <row r="69">
          <cell r="M69">
            <v>18</v>
          </cell>
        </row>
        <row r="72">
          <cell r="A72">
            <v>14</v>
          </cell>
          <cell r="M72">
            <v>8.2800000000000011</v>
          </cell>
        </row>
        <row r="73">
          <cell r="A73">
            <v>67</v>
          </cell>
          <cell r="M73">
            <v>18</v>
          </cell>
        </row>
        <row r="74">
          <cell r="A74">
            <v>113</v>
          </cell>
          <cell r="M74">
            <v>18</v>
          </cell>
        </row>
        <row r="75">
          <cell r="A75">
            <v>50</v>
          </cell>
          <cell r="M75">
            <v>36</v>
          </cell>
        </row>
        <row r="76">
          <cell r="M76">
            <v>0</v>
          </cell>
        </row>
        <row r="77">
          <cell r="M77">
            <v>0</v>
          </cell>
        </row>
        <row r="78">
          <cell r="M78">
            <v>0</v>
          </cell>
        </row>
        <row r="79">
          <cell r="M79">
            <v>0</v>
          </cell>
        </row>
        <row r="80">
          <cell r="M80">
            <v>0</v>
          </cell>
        </row>
        <row r="81">
          <cell r="M81">
            <v>0</v>
          </cell>
        </row>
        <row r="82">
          <cell r="M82">
            <v>0</v>
          </cell>
        </row>
        <row r="83">
          <cell r="M83">
            <v>0</v>
          </cell>
        </row>
        <row r="84">
          <cell r="M84">
            <v>0</v>
          </cell>
        </row>
        <row r="85">
          <cell r="M85">
            <v>0</v>
          </cell>
        </row>
        <row r="86">
          <cell r="M86">
            <v>0</v>
          </cell>
        </row>
        <row r="87">
          <cell r="M87">
            <v>0</v>
          </cell>
        </row>
        <row r="88">
          <cell r="A88" t="str">
            <v>S4</v>
          </cell>
          <cell r="M88">
            <v>0</v>
          </cell>
        </row>
        <row r="91">
          <cell r="M91">
            <v>11</v>
          </cell>
        </row>
        <row r="94">
          <cell r="A94">
            <v>71</v>
          </cell>
          <cell r="M94">
            <v>11</v>
          </cell>
        </row>
        <row r="95">
          <cell r="A95">
            <v>74</v>
          </cell>
          <cell r="M95">
            <v>88</v>
          </cell>
        </row>
        <row r="96">
          <cell r="M96">
            <v>0</v>
          </cell>
        </row>
        <row r="97">
          <cell r="M97">
            <v>0</v>
          </cell>
        </row>
        <row r="98">
          <cell r="M98">
            <v>0</v>
          </cell>
        </row>
        <row r="99">
          <cell r="M99">
            <v>0</v>
          </cell>
        </row>
        <row r="100">
          <cell r="M100">
            <v>0</v>
          </cell>
        </row>
        <row r="101">
          <cell r="M101">
            <v>0</v>
          </cell>
        </row>
        <row r="102">
          <cell r="M102">
            <v>0</v>
          </cell>
        </row>
        <row r="103">
          <cell r="M103">
            <v>0</v>
          </cell>
        </row>
        <row r="104">
          <cell r="M104">
            <v>0</v>
          </cell>
        </row>
        <row r="105">
          <cell r="M105">
            <v>0</v>
          </cell>
        </row>
        <row r="106">
          <cell r="M106">
            <v>0</v>
          </cell>
        </row>
        <row r="107">
          <cell r="M107">
            <v>0</v>
          </cell>
        </row>
        <row r="108">
          <cell r="M108">
            <v>0</v>
          </cell>
        </row>
        <row r="109">
          <cell r="M109">
            <v>0</v>
          </cell>
        </row>
        <row r="110">
          <cell r="A110" t="str">
            <v>S5</v>
          </cell>
          <cell r="M110">
            <v>0</v>
          </cell>
        </row>
        <row r="113">
          <cell r="M113">
            <v>23</v>
          </cell>
        </row>
        <row r="116">
          <cell r="A116">
            <v>113</v>
          </cell>
          <cell r="M116">
            <v>23</v>
          </cell>
        </row>
        <row r="117">
          <cell r="M117">
            <v>0</v>
          </cell>
        </row>
        <row r="118">
          <cell r="M118">
            <v>0</v>
          </cell>
        </row>
        <row r="119">
          <cell r="M119">
            <v>0</v>
          </cell>
        </row>
        <row r="120">
          <cell r="M120">
            <v>0</v>
          </cell>
        </row>
        <row r="121">
          <cell r="M121">
            <v>0</v>
          </cell>
        </row>
        <row r="122">
          <cell r="M122">
            <v>0</v>
          </cell>
        </row>
        <row r="123">
          <cell r="M123">
            <v>0</v>
          </cell>
        </row>
        <row r="124">
          <cell r="M124">
            <v>0</v>
          </cell>
        </row>
        <row r="125">
          <cell r="M125">
            <v>0</v>
          </cell>
        </row>
        <row r="126">
          <cell r="M126">
            <v>0</v>
          </cell>
        </row>
        <row r="127">
          <cell r="M127">
            <v>0</v>
          </cell>
        </row>
        <row r="128">
          <cell r="M128">
            <v>0</v>
          </cell>
        </row>
        <row r="129">
          <cell r="M129">
            <v>0</v>
          </cell>
        </row>
        <row r="130">
          <cell r="M130">
            <v>0</v>
          </cell>
        </row>
        <row r="131">
          <cell r="M131">
            <v>0</v>
          </cell>
        </row>
        <row r="132">
          <cell r="A132" t="str">
            <v>S6</v>
          </cell>
          <cell r="M132">
            <v>0</v>
          </cell>
        </row>
        <row r="135">
          <cell r="M135">
            <v>71</v>
          </cell>
        </row>
        <row r="138">
          <cell r="A138">
            <v>13</v>
          </cell>
          <cell r="M138">
            <v>17.04</v>
          </cell>
        </row>
        <row r="139">
          <cell r="A139">
            <v>15</v>
          </cell>
          <cell r="M139">
            <v>6.39</v>
          </cell>
        </row>
        <row r="140">
          <cell r="A140">
            <v>87</v>
          </cell>
          <cell r="M140">
            <v>71</v>
          </cell>
        </row>
        <row r="141">
          <cell r="M141">
            <v>0</v>
          </cell>
        </row>
        <row r="142">
          <cell r="M142">
            <v>0</v>
          </cell>
        </row>
        <row r="143">
          <cell r="M143">
            <v>0</v>
          </cell>
        </row>
        <row r="144">
          <cell r="M144">
            <v>0</v>
          </cell>
        </row>
        <row r="145">
          <cell r="M145">
            <v>0</v>
          </cell>
        </row>
        <row r="146">
          <cell r="M146">
            <v>0</v>
          </cell>
        </row>
        <row r="147">
          <cell r="M147">
            <v>0</v>
          </cell>
        </row>
        <row r="148">
          <cell r="M148">
            <v>0</v>
          </cell>
        </row>
        <row r="149">
          <cell r="M149">
            <v>0</v>
          </cell>
        </row>
        <row r="150">
          <cell r="M150">
            <v>0</v>
          </cell>
        </row>
        <row r="151">
          <cell r="M151">
            <v>0</v>
          </cell>
        </row>
        <row r="152">
          <cell r="M152">
            <v>0</v>
          </cell>
        </row>
        <row r="153">
          <cell r="M153">
            <v>0</v>
          </cell>
        </row>
        <row r="154">
          <cell r="A154" t="str">
            <v>S7</v>
          </cell>
          <cell r="M154">
            <v>0</v>
          </cell>
        </row>
        <row r="157">
          <cell r="M157">
            <v>5</v>
          </cell>
        </row>
        <row r="160">
          <cell r="A160">
            <v>14</v>
          </cell>
          <cell r="M160">
            <v>2.3000000000000003</v>
          </cell>
        </row>
        <row r="161">
          <cell r="A161">
            <v>92</v>
          </cell>
          <cell r="M161">
            <v>5</v>
          </cell>
        </row>
        <row r="162">
          <cell r="A162">
            <v>107</v>
          </cell>
          <cell r="M162">
            <v>10</v>
          </cell>
        </row>
        <row r="163">
          <cell r="A163">
            <v>50</v>
          </cell>
          <cell r="M163">
            <v>10</v>
          </cell>
        </row>
        <row r="164">
          <cell r="A164">
            <v>740</v>
          </cell>
          <cell r="M164">
            <v>10</v>
          </cell>
        </row>
        <row r="165">
          <cell r="A165">
            <v>71</v>
          </cell>
          <cell r="M165">
            <v>0.05</v>
          </cell>
        </row>
        <row r="166">
          <cell r="M166">
            <v>0</v>
          </cell>
        </row>
        <row r="167">
          <cell r="M167">
            <v>0</v>
          </cell>
        </row>
        <row r="168">
          <cell r="M168">
            <v>0</v>
          </cell>
        </row>
        <row r="169">
          <cell r="M169">
            <v>0</v>
          </cell>
        </row>
        <row r="170">
          <cell r="M170">
            <v>0</v>
          </cell>
        </row>
        <row r="171">
          <cell r="M171">
            <v>0</v>
          </cell>
        </row>
        <row r="172">
          <cell r="M172">
            <v>0</v>
          </cell>
        </row>
        <row r="173">
          <cell r="M173">
            <v>0</v>
          </cell>
        </row>
        <row r="174">
          <cell r="M174">
            <v>0</v>
          </cell>
        </row>
        <row r="175">
          <cell r="M175">
            <v>0</v>
          </cell>
        </row>
        <row r="176">
          <cell r="A176" t="str">
            <v>S8</v>
          </cell>
          <cell r="M176">
            <v>0</v>
          </cell>
        </row>
        <row r="179">
          <cell r="M179">
            <v>4</v>
          </cell>
        </row>
        <row r="182">
          <cell r="A182">
            <v>95</v>
          </cell>
          <cell r="M182">
            <v>8</v>
          </cell>
        </row>
        <row r="183">
          <cell r="A183">
            <v>113</v>
          </cell>
          <cell r="M183">
            <v>16</v>
          </cell>
        </row>
        <row r="184">
          <cell r="M184">
            <v>0</v>
          </cell>
        </row>
        <row r="185">
          <cell r="M185">
            <v>0</v>
          </cell>
        </row>
        <row r="186">
          <cell r="M186">
            <v>0</v>
          </cell>
        </row>
        <row r="187">
          <cell r="M187">
            <v>0</v>
          </cell>
        </row>
        <row r="188">
          <cell r="M188">
            <v>0</v>
          </cell>
        </row>
        <row r="189">
          <cell r="M189">
            <v>0</v>
          </cell>
        </row>
        <row r="190">
          <cell r="M190">
            <v>0</v>
          </cell>
        </row>
        <row r="191">
          <cell r="M191">
            <v>0</v>
          </cell>
        </row>
        <row r="192">
          <cell r="M192">
            <v>0</v>
          </cell>
        </row>
        <row r="193">
          <cell r="M193">
            <v>0</v>
          </cell>
        </row>
        <row r="194">
          <cell r="M194">
            <v>0</v>
          </cell>
        </row>
        <row r="195">
          <cell r="M195">
            <v>0</v>
          </cell>
        </row>
        <row r="196">
          <cell r="M196">
            <v>0</v>
          </cell>
        </row>
        <row r="197">
          <cell r="M197">
            <v>0</v>
          </cell>
        </row>
        <row r="198">
          <cell r="A198" t="str">
            <v>S9</v>
          </cell>
          <cell r="M198">
            <v>0</v>
          </cell>
        </row>
        <row r="201">
          <cell r="M201">
            <v>22</v>
          </cell>
        </row>
        <row r="204">
          <cell r="A204">
            <v>98</v>
          </cell>
          <cell r="M204">
            <v>44</v>
          </cell>
        </row>
        <row r="205">
          <cell r="M205">
            <v>0</v>
          </cell>
        </row>
        <row r="206">
          <cell r="M206">
            <v>0</v>
          </cell>
        </row>
        <row r="207">
          <cell r="M207">
            <v>0</v>
          </cell>
        </row>
        <row r="208">
          <cell r="M208">
            <v>0</v>
          </cell>
        </row>
        <row r="209">
          <cell r="M209">
            <v>0</v>
          </cell>
        </row>
        <row r="210">
          <cell r="M210">
            <v>0</v>
          </cell>
        </row>
        <row r="211">
          <cell r="M211">
            <v>0</v>
          </cell>
        </row>
        <row r="212">
          <cell r="M212">
            <v>0</v>
          </cell>
        </row>
        <row r="213">
          <cell r="M213">
            <v>0</v>
          </cell>
        </row>
        <row r="214">
          <cell r="M214">
            <v>0</v>
          </cell>
        </row>
        <row r="215">
          <cell r="M215">
            <v>0</v>
          </cell>
        </row>
        <row r="216">
          <cell r="M216">
            <v>0</v>
          </cell>
        </row>
        <row r="217">
          <cell r="M217">
            <v>0</v>
          </cell>
        </row>
        <row r="218">
          <cell r="M218">
            <v>0</v>
          </cell>
        </row>
        <row r="219">
          <cell r="M219">
            <v>0</v>
          </cell>
        </row>
        <row r="220">
          <cell r="A220" t="str">
            <v>S10</v>
          </cell>
          <cell r="M220">
            <v>0</v>
          </cell>
        </row>
        <row r="223">
          <cell r="M223">
            <v>2</v>
          </cell>
        </row>
        <row r="226">
          <cell r="A226">
            <v>101</v>
          </cell>
          <cell r="M226">
            <v>4</v>
          </cell>
        </row>
        <row r="227">
          <cell r="M227">
            <v>0</v>
          </cell>
        </row>
        <row r="228">
          <cell r="M228">
            <v>0</v>
          </cell>
        </row>
        <row r="229">
          <cell r="M229">
            <v>0</v>
          </cell>
        </row>
        <row r="230">
          <cell r="M230">
            <v>0</v>
          </cell>
        </row>
        <row r="231">
          <cell r="M231">
            <v>0</v>
          </cell>
        </row>
        <row r="232">
          <cell r="M232">
            <v>0</v>
          </cell>
        </row>
        <row r="233">
          <cell r="M233">
            <v>0</v>
          </cell>
        </row>
        <row r="234">
          <cell r="M234">
            <v>0</v>
          </cell>
        </row>
        <row r="235">
          <cell r="M235">
            <v>0</v>
          </cell>
        </row>
        <row r="236">
          <cell r="M236">
            <v>0</v>
          </cell>
        </row>
        <row r="237">
          <cell r="M237">
            <v>0</v>
          </cell>
        </row>
        <row r="238">
          <cell r="M238">
            <v>0</v>
          </cell>
        </row>
        <row r="239">
          <cell r="M239">
            <v>0</v>
          </cell>
        </row>
        <row r="240">
          <cell r="M240">
            <v>0</v>
          </cell>
        </row>
        <row r="241">
          <cell r="M241">
            <v>0</v>
          </cell>
        </row>
        <row r="242">
          <cell r="A242" t="str">
            <v>S11</v>
          </cell>
          <cell r="M242">
            <v>0</v>
          </cell>
        </row>
        <row r="245">
          <cell r="M245">
            <v>4</v>
          </cell>
        </row>
        <row r="248">
          <cell r="A248">
            <v>104</v>
          </cell>
          <cell r="M248">
            <v>8</v>
          </cell>
        </row>
        <row r="249">
          <cell r="A249">
            <v>113</v>
          </cell>
          <cell r="M249">
            <v>16</v>
          </cell>
        </row>
        <row r="250">
          <cell r="M250">
            <v>0</v>
          </cell>
        </row>
        <row r="251">
          <cell r="M251">
            <v>0</v>
          </cell>
        </row>
        <row r="252">
          <cell r="M252">
            <v>0</v>
          </cell>
        </row>
        <row r="253">
          <cell r="M253">
            <v>0</v>
          </cell>
        </row>
        <row r="254">
          <cell r="M254">
            <v>0</v>
          </cell>
        </row>
        <row r="255">
          <cell r="M255">
            <v>0</v>
          </cell>
        </row>
        <row r="256">
          <cell r="M256">
            <v>0</v>
          </cell>
        </row>
        <row r="257">
          <cell r="M257">
            <v>0</v>
          </cell>
        </row>
        <row r="258">
          <cell r="M258">
            <v>0</v>
          </cell>
        </row>
        <row r="259">
          <cell r="M259">
            <v>0</v>
          </cell>
        </row>
        <row r="260">
          <cell r="M260">
            <v>0</v>
          </cell>
        </row>
        <row r="261">
          <cell r="M261">
            <v>0</v>
          </cell>
        </row>
        <row r="262">
          <cell r="M262">
            <v>0</v>
          </cell>
        </row>
        <row r="263">
          <cell r="M263">
            <v>0</v>
          </cell>
        </row>
        <row r="264">
          <cell r="A264" t="str">
            <v>S12</v>
          </cell>
          <cell r="M264">
            <v>0</v>
          </cell>
        </row>
        <row r="267">
          <cell r="M267">
            <v>68.400000000000006</v>
          </cell>
        </row>
        <row r="270">
          <cell r="A270">
            <v>13</v>
          </cell>
          <cell r="M270">
            <v>3.4200000000000004</v>
          </cell>
        </row>
        <row r="271">
          <cell r="A271">
            <v>15</v>
          </cell>
          <cell r="M271">
            <v>3.4200000000000004</v>
          </cell>
        </row>
        <row r="272">
          <cell r="A272">
            <v>77</v>
          </cell>
          <cell r="M272">
            <v>68.400000000000006</v>
          </cell>
        </row>
        <row r="273">
          <cell r="M273">
            <v>0</v>
          </cell>
        </row>
        <row r="274">
          <cell r="M274">
            <v>0</v>
          </cell>
        </row>
        <row r="275">
          <cell r="M275">
            <v>0</v>
          </cell>
        </row>
        <row r="276">
          <cell r="M276">
            <v>0</v>
          </cell>
        </row>
        <row r="277">
          <cell r="M277">
            <v>0</v>
          </cell>
        </row>
        <row r="278">
          <cell r="M278">
            <v>0</v>
          </cell>
        </row>
        <row r="279">
          <cell r="M279">
            <v>0</v>
          </cell>
        </row>
        <row r="280">
          <cell r="M280">
            <v>0</v>
          </cell>
        </row>
        <row r="281">
          <cell r="M281">
            <v>0</v>
          </cell>
        </row>
        <row r="282">
          <cell r="M282">
            <v>0</v>
          </cell>
        </row>
        <row r="283">
          <cell r="M283">
            <v>0</v>
          </cell>
        </row>
        <row r="284">
          <cell r="M284">
            <v>0</v>
          </cell>
        </row>
        <row r="285">
          <cell r="M285">
            <v>0</v>
          </cell>
        </row>
        <row r="286">
          <cell r="A286" t="str">
            <v>S13</v>
          </cell>
          <cell r="M286">
            <v>0</v>
          </cell>
        </row>
        <row r="289">
          <cell r="M289">
            <v>2</v>
          </cell>
        </row>
        <row r="292">
          <cell r="A292">
            <v>74</v>
          </cell>
          <cell r="M292">
            <v>12</v>
          </cell>
        </row>
        <row r="293">
          <cell r="A293">
            <v>80</v>
          </cell>
          <cell r="M293">
            <v>2</v>
          </cell>
        </row>
        <row r="294">
          <cell r="M294">
            <v>0</v>
          </cell>
        </row>
        <row r="295">
          <cell r="M295">
            <v>0</v>
          </cell>
        </row>
        <row r="296">
          <cell r="M296">
            <v>0</v>
          </cell>
        </row>
        <row r="297">
          <cell r="M297">
            <v>0</v>
          </cell>
        </row>
        <row r="298">
          <cell r="M298">
            <v>0</v>
          </cell>
        </row>
        <row r="299">
          <cell r="M299">
            <v>0</v>
          </cell>
        </row>
        <row r="300">
          <cell r="M300">
            <v>0</v>
          </cell>
        </row>
        <row r="301">
          <cell r="M301">
            <v>0</v>
          </cell>
        </row>
        <row r="302">
          <cell r="M302">
            <v>0</v>
          </cell>
        </row>
        <row r="303">
          <cell r="M303">
            <v>0</v>
          </cell>
        </row>
        <row r="304">
          <cell r="M304">
            <v>0</v>
          </cell>
        </row>
        <row r="305">
          <cell r="M305">
            <v>0</v>
          </cell>
        </row>
        <row r="306">
          <cell r="M306">
            <v>0</v>
          </cell>
        </row>
        <row r="307">
          <cell r="M307">
            <v>0</v>
          </cell>
        </row>
        <row r="308">
          <cell r="A308" t="str">
            <v>S14</v>
          </cell>
          <cell r="M308">
            <v>0</v>
          </cell>
        </row>
        <row r="311">
          <cell r="M311">
            <v>40</v>
          </cell>
        </row>
        <row r="314">
          <cell r="A314">
            <v>116</v>
          </cell>
          <cell r="M314">
            <v>40</v>
          </cell>
        </row>
        <row r="315">
          <cell r="M315">
            <v>0</v>
          </cell>
        </row>
        <row r="316">
          <cell r="M316">
            <v>0</v>
          </cell>
        </row>
        <row r="317">
          <cell r="M317">
            <v>0</v>
          </cell>
        </row>
        <row r="318">
          <cell r="M318">
            <v>0</v>
          </cell>
        </row>
        <row r="319">
          <cell r="M319">
            <v>0</v>
          </cell>
        </row>
        <row r="320">
          <cell r="M320">
            <v>0</v>
          </cell>
        </row>
        <row r="321">
          <cell r="M321">
            <v>0</v>
          </cell>
        </row>
        <row r="322">
          <cell r="M322">
            <v>0</v>
          </cell>
        </row>
        <row r="323">
          <cell r="M323">
            <v>0</v>
          </cell>
        </row>
        <row r="324">
          <cell r="M324">
            <v>0</v>
          </cell>
        </row>
        <row r="325">
          <cell r="M325">
            <v>0</v>
          </cell>
        </row>
        <row r="326">
          <cell r="M326">
            <v>0</v>
          </cell>
        </row>
        <row r="327">
          <cell r="M327">
            <v>0</v>
          </cell>
        </row>
        <row r="328">
          <cell r="M328">
            <v>0</v>
          </cell>
        </row>
        <row r="329">
          <cell r="M329">
            <v>0</v>
          </cell>
        </row>
        <row r="330">
          <cell r="A330" t="str">
            <v>S15</v>
          </cell>
          <cell r="M330">
            <v>0</v>
          </cell>
        </row>
        <row r="333">
          <cell r="M333">
            <v>13</v>
          </cell>
        </row>
        <row r="336">
          <cell r="A336">
            <v>14</v>
          </cell>
          <cell r="M336">
            <v>0.41600000000000004</v>
          </cell>
        </row>
        <row r="337">
          <cell r="A337">
            <v>252</v>
          </cell>
          <cell r="M337">
            <v>6.5</v>
          </cell>
        </row>
        <row r="338">
          <cell r="A338">
            <v>254</v>
          </cell>
          <cell r="M338">
            <v>65</v>
          </cell>
        </row>
        <row r="339">
          <cell r="M339">
            <v>0</v>
          </cell>
        </row>
        <row r="340">
          <cell r="M340">
            <v>0</v>
          </cell>
        </row>
        <row r="341">
          <cell r="M341">
            <v>0</v>
          </cell>
        </row>
        <row r="342">
          <cell r="M342">
            <v>0</v>
          </cell>
        </row>
        <row r="343">
          <cell r="M343">
            <v>0</v>
          </cell>
        </row>
        <row r="344">
          <cell r="M344">
            <v>0</v>
          </cell>
        </row>
        <row r="345">
          <cell r="M345">
            <v>0</v>
          </cell>
        </row>
        <row r="346">
          <cell r="M346">
            <v>0</v>
          </cell>
        </row>
        <row r="347">
          <cell r="M347">
            <v>0</v>
          </cell>
        </row>
        <row r="348">
          <cell r="M348">
            <v>0</v>
          </cell>
        </row>
        <row r="349">
          <cell r="M349">
            <v>0</v>
          </cell>
        </row>
        <row r="350">
          <cell r="M350">
            <v>0</v>
          </cell>
        </row>
        <row r="351">
          <cell r="M351">
            <v>0</v>
          </cell>
        </row>
        <row r="352">
          <cell r="A352" t="str">
            <v>S16</v>
          </cell>
          <cell r="M352">
            <v>0</v>
          </cell>
        </row>
        <row r="355">
          <cell r="M355">
            <v>22</v>
          </cell>
        </row>
        <row r="358">
          <cell r="A358">
            <v>22</v>
          </cell>
          <cell r="M358">
            <v>6.71</v>
          </cell>
        </row>
        <row r="359">
          <cell r="A359">
            <v>114</v>
          </cell>
          <cell r="M359">
            <v>22</v>
          </cell>
        </row>
        <row r="360">
          <cell r="A360">
            <v>115</v>
          </cell>
          <cell r="M360">
            <v>44</v>
          </cell>
        </row>
        <row r="361">
          <cell r="A361">
            <v>117</v>
          </cell>
          <cell r="M361">
            <v>44</v>
          </cell>
        </row>
        <row r="362">
          <cell r="M362">
            <v>0</v>
          </cell>
        </row>
        <row r="363">
          <cell r="M363">
            <v>0</v>
          </cell>
        </row>
        <row r="364">
          <cell r="M364">
            <v>0</v>
          </cell>
        </row>
        <row r="365">
          <cell r="M365">
            <v>0</v>
          </cell>
        </row>
        <row r="366">
          <cell r="M366">
            <v>0</v>
          </cell>
        </row>
        <row r="367">
          <cell r="M367">
            <v>0</v>
          </cell>
        </row>
        <row r="368">
          <cell r="M368">
            <v>0</v>
          </cell>
        </row>
        <row r="369">
          <cell r="M369">
            <v>0</v>
          </cell>
        </row>
        <row r="370">
          <cell r="M370">
            <v>0</v>
          </cell>
        </row>
        <row r="371">
          <cell r="M371">
            <v>0</v>
          </cell>
        </row>
        <row r="372">
          <cell r="M372">
            <v>0</v>
          </cell>
        </row>
        <row r="373">
          <cell r="M373">
            <v>0</v>
          </cell>
        </row>
        <row r="374">
          <cell r="A374" t="str">
            <v>S17</v>
          </cell>
          <cell r="M374">
            <v>0</v>
          </cell>
        </row>
        <row r="377">
          <cell r="M377">
            <v>3</v>
          </cell>
        </row>
        <row r="380">
          <cell r="A380">
            <v>22</v>
          </cell>
          <cell r="M380">
            <v>1.44</v>
          </cell>
        </row>
        <row r="381">
          <cell r="A381">
            <v>324</v>
          </cell>
          <cell r="M381">
            <v>3</v>
          </cell>
        </row>
        <row r="382">
          <cell r="M382">
            <v>0</v>
          </cell>
        </row>
        <row r="383">
          <cell r="M383">
            <v>0</v>
          </cell>
        </row>
        <row r="384">
          <cell r="M384">
            <v>0</v>
          </cell>
        </row>
        <row r="385">
          <cell r="M385">
            <v>0</v>
          </cell>
        </row>
        <row r="386">
          <cell r="M386">
            <v>0</v>
          </cell>
        </row>
        <row r="387">
          <cell r="M387">
            <v>0</v>
          </cell>
        </row>
        <row r="388">
          <cell r="M388">
            <v>0</v>
          </cell>
        </row>
        <row r="389">
          <cell r="M389">
            <v>0</v>
          </cell>
        </row>
        <row r="390">
          <cell r="M390">
            <v>0</v>
          </cell>
        </row>
        <row r="391">
          <cell r="M391">
            <v>0</v>
          </cell>
        </row>
        <row r="392">
          <cell r="M392">
            <v>0</v>
          </cell>
        </row>
        <row r="393">
          <cell r="M393">
            <v>0</v>
          </cell>
        </row>
        <row r="394">
          <cell r="M394">
            <v>0</v>
          </cell>
        </row>
        <row r="395">
          <cell r="M395">
            <v>0</v>
          </cell>
        </row>
        <row r="396">
          <cell r="A396" t="str">
            <v>S18</v>
          </cell>
          <cell r="M396">
            <v>0</v>
          </cell>
        </row>
        <row r="399">
          <cell r="M399">
            <v>2</v>
          </cell>
        </row>
        <row r="402">
          <cell r="A402">
            <v>22</v>
          </cell>
          <cell r="M402">
            <v>0.13</v>
          </cell>
        </row>
        <row r="403">
          <cell r="A403">
            <v>119</v>
          </cell>
          <cell r="M403">
            <v>2</v>
          </cell>
        </row>
        <row r="404">
          <cell r="A404">
            <v>120</v>
          </cell>
          <cell r="M404">
            <v>2</v>
          </cell>
        </row>
        <row r="405">
          <cell r="A405">
            <v>108</v>
          </cell>
          <cell r="M405">
            <v>2</v>
          </cell>
        </row>
        <row r="406">
          <cell r="M406">
            <v>0</v>
          </cell>
        </row>
        <row r="407">
          <cell r="M407">
            <v>0</v>
          </cell>
        </row>
        <row r="408">
          <cell r="M408">
            <v>0</v>
          </cell>
        </row>
        <row r="409">
          <cell r="M409">
            <v>0</v>
          </cell>
        </row>
        <row r="410">
          <cell r="M410">
            <v>0</v>
          </cell>
        </row>
        <row r="411">
          <cell r="M411">
            <v>0</v>
          </cell>
        </row>
        <row r="412">
          <cell r="M412">
            <v>0</v>
          </cell>
        </row>
        <row r="413">
          <cell r="M413">
            <v>0</v>
          </cell>
        </row>
        <row r="414">
          <cell r="M414">
            <v>0</v>
          </cell>
        </row>
        <row r="415">
          <cell r="M415">
            <v>0</v>
          </cell>
        </row>
        <row r="416">
          <cell r="M416">
            <v>0</v>
          </cell>
        </row>
        <row r="417">
          <cell r="M417">
            <v>0</v>
          </cell>
        </row>
        <row r="418">
          <cell r="A418" t="str">
            <v>S19</v>
          </cell>
          <cell r="M418">
            <v>0</v>
          </cell>
        </row>
        <row r="421">
          <cell r="M421">
            <v>2</v>
          </cell>
        </row>
        <row r="424">
          <cell r="A424">
            <v>22</v>
          </cell>
          <cell r="M424">
            <v>0.13</v>
          </cell>
        </row>
        <row r="425">
          <cell r="A425">
            <v>118</v>
          </cell>
          <cell r="M425">
            <v>2</v>
          </cell>
        </row>
        <row r="426">
          <cell r="M426">
            <v>0</v>
          </cell>
        </row>
        <row r="427">
          <cell r="M427">
            <v>0</v>
          </cell>
        </row>
        <row r="428">
          <cell r="M428">
            <v>0</v>
          </cell>
        </row>
        <row r="429">
          <cell r="M429">
            <v>0</v>
          </cell>
        </row>
        <row r="430">
          <cell r="M430">
            <v>0</v>
          </cell>
        </row>
        <row r="431">
          <cell r="M431">
            <v>0</v>
          </cell>
        </row>
        <row r="432">
          <cell r="M432">
            <v>0</v>
          </cell>
        </row>
        <row r="433">
          <cell r="M433">
            <v>0</v>
          </cell>
        </row>
        <row r="434">
          <cell r="M434">
            <v>0</v>
          </cell>
        </row>
        <row r="435">
          <cell r="M435">
            <v>0</v>
          </cell>
        </row>
        <row r="436">
          <cell r="M436">
            <v>0</v>
          </cell>
        </row>
        <row r="437">
          <cell r="M437">
            <v>0</v>
          </cell>
        </row>
        <row r="438">
          <cell r="M438">
            <v>0</v>
          </cell>
        </row>
        <row r="439">
          <cell r="M439">
            <v>0</v>
          </cell>
        </row>
        <row r="440">
          <cell r="A440" t="str">
            <v>S20</v>
          </cell>
          <cell r="M440">
            <v>0</v>
          </cell>
        </row>
        <row r="443">
          <cell r="M443">
            <v>186</v>
          </cell>
        </row>
        <row r="446">
          <cell r="A446">
            <v>14</v>
          </cell>
          <cell r="M446">
            <v>24.18</v>
          </cell>
        </row>
        <row r="447">
          <cell r="A447">
            <v>125</v>
          </cell>
          <cell r="M447">
            <v>204.60000000000002</v>
          </cell>
        </row>
        <row r="448">
          <cell r="M448">
            <v>0</v>
          </cell>
        </row>
        <row r="449">
          <cell r="M449">
            <v>0</v>
          </cell>
        </row>
        <row r="450">
          <cell r="M450">
            <v>0</v>
          </cell>
        </row>
        <row r="451">
          <cell r="M451">
            <v>0</v>
          </cell>
        </row>
        <row r="452">
          <cell r="M452">
            <v>0</v>
          </cell>
        </row>
        <row r="453">
          <cell r="M453">
            <v>0</v>
          </cell>
        </row>
        <row r="454">
          <cell r="M454">
            <v>0</v>
          </cell>
        </row>
        <row r="455">
          <cell r="M455">
            <v>0</v>
          </cell>
        </row>
        <row r="456">
          <cell r="M456">
            <v>0</v>
          </cell>
        </row>
        <row r="457">
          <cell r="M457">
            <v>0</v>
          </cell>
        </row>
        <row r="458">
          <cell r="M458">
            <v>0</v>
          </cell>
        </row>
        <row r="459">
          <cell r="M459">
            <v>0</v>
          </cell>
        </row>
        <row r="460">
          <cell r="M460">
            <v>0</v>
          </cell>
        </row>
        <row r="461">
          <cell r="M461">
            <v>0</v>
          </cell>
        </row>
        <row r="462">
          <cell r="A462" t="str">
            <v>S21</v>
          </cell>
          <cell r="M462">
            <v>0</v>
          </cell>
        </row>
        <row r="465">
          <cell r="M465">
            <v>44</v>
          </cell>
        </row>
        <row r="468">
          <cell r="A468">
            <v>14</v>
          </cell>
          <cell r="M468">
            <v>4.0039999999999996</v>
          </cell>
        </row>
        <row r="469">
          <cell r="A469">
            <v>124</v>
          </cell>
          <cell r="M469">
            <v>48.400000000000006</v>
          </cell>
        </row>
        <row r="470">
          <cell r="M470">
            <v>0</v>
          </cell>
        </row>
        <row r="471">
          <cell r="M471">
            <v>0</v>
          </cell>
        </row>
        <row r="472">
          <cell r="M472">
            <v>0</v>
          </cell>
        </row>
        <row r="473">
          <cell r="M473">
            <v>0</v>
          </cell>
        </row>
        <row r="474">
          <cell r="M474">
            <v>0</v>
          </cell>
        </row>
        <row r="475">
          <cell r="M475">
            <v>0</v>
          </cell>
        </row>
        <row r="476">
          <cell r="M476">
            <v>0</v>
          </cell>
        </row>
        <row r="477">
          <cell r="M477">
            <v>0</v>
          </cell>
        </row>
        <row r="478">
          <cell r="M478">
            <v>0</v>
          </cell>
        </row>
        <row r="479">
          <cell r="M479">
            <v>0</v>
          </cell>
        </row>
        <row r="480">
          <cell r="M480">
            <v>0</v>
          </cell>
        </row>
        <row r="481">
          <cell r="M481">
            <v>0</v>
          </cell>
        </row>
        <row r="482">
          <cell r="M482">
            <v>0</v>
          </cell>
        </row>
        <row r="483">
          <cell r="M483">
            <v>0</v>
          </cell>
        </row>
        <row r="484">
          <cell r="A484" t="str">
            <v>S22</v>
          </cell>
          <cell r="M484">
            <v>0</v>
          </cell>
        </row>
        <row r="487">
          <cell r="M487">
            <v>40</v>
          </cell>
        </row>
        <row r="490">
          <cell r="A490">
            <v>14</v>
          </cell>
          <cell r="M490">
            <v>3.08</v>
          </cell>
        </row>
        <row r="491">
          <cell r="A491">
            <v>123</v>
          </cell>
          <cell r="M491">
            <v>44</v>
          </cell>
        </row>
        <row r="492">
          <cell r="M492">
            <v>0</v>
          </cell>
        </row>
        <row r="493">
          <cell r="M493">
            <v>0</v>
          </cell>
        </row>
        <row r="494">
          <cell r="M494">
            <v>0</v>
          </cell>
        </row>
        <row r="495">
          <cell r="M495">
            <v>0</v>
          </cell>
        </row>
        <row r="496">
          <cell r="M496">
            <v>0</v>
          </cell>
        </row>
        <row r="497">
          <cell r="M497">
            <v>0</v>
          </cell>
        </row>
        <row r="498">
          <cell r="M498">
            <v>0</v>
          </cell>
        </row>
        <row r="499">
          <cell r="M499">
            <v>0</v>
          </cell>
        </row>
        <row r="500">
          <cell r="M500">
            <v>0</v>
          </cell>
        </row>
        <row r="501">
          <cell r="M501">
            <v>0</v>
          </cell>
        </row>
        <row r="502">
          <cell r="M502">
            <v>0</v>
          </cell>
        </row>
        <row r="503">
          <cell r="M503">
            <v>0</v>
          </cell>
        </row>
        <row r="504">
          <cell r="M504">
            <v>0</v>
          </cell>
        </row>
        <row r="505">
          <cell r="M505">
            <v>0</v>
          </cell>
        </row>
        <row r="506">
          <cell r="A506" t="str">
            <v>S23</v>
          </cell>
          <cell r="M506">
            <v>0</v>
          </cell>
        </row>
        <row r="509">
          <cell r="M509">
            <v>45</v>
          </cell>
        </row>
        <row r="512">
          <cell r="A512">
            <v>20</v>
          </cell>
          <cell r="M512">
            <v>3.1500000000000004</v>
          </cell>
        </row>
        <row r="513">
          <cell r="A513">
            <v>444</v>
          </cell>
          <cell r="M513">
            <v>1.5750000000000002</v>
          </cell>
        </row>
        <row r="514">
          <cell r="A514">
            <v>295</v>
          </cell>
          <cell r="M514">
            <v>47.25</v>
          </cell>
        </row>
        <row r="515">
          <cell r="M515">
            <v>0</v>
          </cell>
        </row>
        <row r="516">
          <cell r="M516">
            <v>0</v>
          </cell>
        </row>
        <row r="517">
          <cell r="M517">
            <v>0</v>
          </cell>
        </row>
        <row r="518">
          <cell r="M518">
            <v>0</v>
          </cell>
        </row>
        <row r="519">
          <cell r="M519">
            <v>0</v>
          </cell>
        </row>
        <row r="520">
          <cell r="M520">
            <v>0</v>
          </cell>
        </row>
        <row r="521">
          <cell r="M521">
            <v>0</v>
          </cell>
        </row>
        <row r="522">
          <cell r="M522">
            <v>0</v>
          </cell>
        </row>
        <row r="523">
          <cell r="M523">
            <v>0</v>
          </cell>
        </row>
        <row r="524">
          <cell r="M524">
            <v>0</v>
          </cell>
        </row>
        <row r="525">
          <cell r="M525">
            <v>0</v>
          </cell>
        </row>
        <row r="526">
          <cell r="M526">
            <v>0</v>
          </cell>
        </row>
        <row r="527">
          <cell r="M527">
            <v>0</v>
          </cell>
        </row>
        <row r="528">
          <cell r="A528" t="str">
            <v>S24</v>
          </cell>
          <cell r="M528">
            <v>0</v>
          </cell>
        </row>
        <row r="531">
          <cell r="M531">
            <v>45</v>
          </cell>
        </row>
        <row r="534">
          <cell r="A534">
            <v>20</v>
          </cell>
          <cell r="M534">
            <v>2.25</v>
          </cell>
        </row>
        <row r="535">
          <cell r="M535">
            <v>0</v>
          </cell>
        </row>
        <row r="536">
          <cell r="M536">
            <v>0</v>
          </cell>
        </row>
        <row r="537">
          <cell r="M537">
            <v>0</v>
          </cell>
        </row>
        <row r="538">
          <cell r="M538">
            <v>0</v>
          </cell>
        </row>
        <row r="539">
          <cell r="M539">
            <v>0</v>
          </cell>
        </row>
        <row r="540">
          <cell r="M540">
            <v>0</v>
          </cell>
        </row>
        <row r="541">
          <cell r="M541">
            <v>0</v>
          </cell>
        </row>
        <row r="542">
          <cell r="M542">
            <v>0</v>
          </cell>
        </row>
        <row r="543">
          <cell r="M543">
            <v>0</v>
          </cell>
        </row>
        <row r="544">
          <cell r="M544">
            <v>0</v>
          </cell>
        </row>
        <row r="545">
          <cell r="M545">
            <v>0</v>
          </cell>
        </row>
        <row r="546">
          <cell r="M546">
            <v>0</v>
          </cell>
        </row>
        <row r="547">
          <cell r="M547">
            <v>0</v>
          </cell>
        </row>
        <row r="548">
          <cell r="M548">
            <v>0</v>
          </cell>
        </row>
        <row r="549">
          <cell r="M549">
            <v>0</v>
          </cell>
        </row>
        <row r="550">
          <cell r="A550" t="str">
            <v>S25</v>
          </cell>
          <cell r="M550">
            <v>0</v>
          </cell>
        </row>
        <row r="553">
          <cell r="M553">
            <v>27</v>
          </cell>
        </row>
        <row r="556">
          <cell r="A556">
            <v>22</v>
          </cell>
          <cell r="M556">
            <v>0.83699999999999997</v>
          </cell>
        </row>
        <row r="557">
          <cell r="A557">
            <v>236</v>
          </cell>
          <cell r="M557">
            <v>28.35</v>
          </cell>
        </row>
        <row r="558">
          <cell r="M558">
            <v>0</v>
          </cell>
        </row>
        <row r="559">
          <cell r="M559">
            <v>0</v>
          </cell>
        </row>
        <row r="560">
          <cell r="M560">
            <v>0</v>
          </cell>
        </row>
        <row r="561">
          <cell r="M561">
            <v>0</v>
          </cell>
        </row>
        <row r="562">
          <cell r="M562">
            <v>0</v>
          </cell>
        </row>
        <row r="563">
          <cell r="M563">
            <v>0</v>
          </cell>
        </row>
        <row r="564">
          <cell r="M564">
            <v>0</v>
          </cell>
        </row>
        <row r="565">
          <cell r="M565">
            <v>0</v>
          </cell>
        </row>
        <row r="566">
          <cell r="M566">
            <v>0</v>
          </cell>
        </row>
        <row r="567">
          <cell r="M567">
            <v>0</v>
          </cell>
        </row>
        <row r="568">
          <cell r="M568">
            <v>0</v>
          </cell>
        </row>
        <row r="569">
          <cell r="M569">
            <v>0</v>
          </cell>
        </row>
        <row r="570">
          <cell r="M570">
            <v>0</v>
          </cell>
        </row>
        <row r="571">
          <cell r="M571">
            <v>0</v>
          </cell>
        </row>
        <row r="572">
          <cell r="A572" t="str">
            <v>S26</v>
          </cell>
          <cell r="M572">
            <v>0</v>
          </cell>
        </row>
        <row r="575">
          <cell r="M575">
            <v>16.2</v>
          </cell>
        </row>
        <row r="578">
          <cell r="A578">
            <v>22</v>
          </cell>
          <cell r="M578">
            <v>0.50219999999999998</v>
          </cell>
        </row>
        <row r="579">
          <cell r="A579">
            <v>239</v>
          </cell>
          <cell r="M579">
            <v>17.010000000000002</v>
          </cell>
        </row>
        <row r="580">
          <cell r="M580">
            <v>0</v>
          </cell>
        </row>
        <row r="581">
          <cell r="M581">
            <v>0</v>
          </cell>
        </row>
        <row r="582">
          <cell r="M582">
            <v>0</v>
          </cell>
        </row>
        <row r="583">
          <cell r="M583">
            <v>0</v>
          </cell>
        </row>
        <row r="584">
          <cell r="M584">
            <v>0</v>
          </cell>
        </row>
        <row r="585">
          <cell r="M585">
            <v>0</v>
          </cell>
        </row>
        <row r="586">
          <cell r="M586">
            <v>0</v>
          </cell>
        </row>
        <row r="587">
          <cell r="M587">
            <v>0</v>
          </cell>
        </row>
        <row r="588">
          <cell r="M588">
            <v>0</v>
          </cell>
        </row>
        <row r="589">
          <cell r="M589">
            <v>0</v>
          </cell>
        </row>
        <row r="590">
          <cell r="M590">
            <v>0</v>
          </cell>
        </row>
        <row r="591">
          <cell r="M591">
            <v>0</v>
          </cell>
        </row>
        <row r="592">
          <cell r="M592">
            <v>0</v>
          </cell>
        </row>
        <row r="593">
          <cell r="M593">
            <v>0</v>
          </cell>
        </row>
        <row r="594">
          <cell r="A594" t="str">
            <v>S27</v>
          </cell>
          <cell r="M594">
            <v>0</v>
          </cell>
        </row>
        <row r="597">
          <cell r="M597">
            <v>4.5</v>
          </cell>
        </row>
        <row r="600">
          <cell r="A600">
            <v>22</v>
          </cell>
          <cell r="M600">
            <v>0.09</v>
          </cell>
        </row>
        <row r="601">
          <cell r="A601">
            <v>242</v>
          </cell>
          <cell r="M601">
            <v>4.7250000000000005</v>
          </cell>
        </row>
        <row r="602">
          <cell r="M602">
            <v>0</v>
          </cell>
        </row>
        <row r="603">
          <cell r="M603">
            <v>0</v>
          </cell>
        </row>
        <row r="604">
          <cell r="M604">
            <v>0</v>
          </cell>
        </row>
        <row r="605">
          <cell r="M605">
            <v>0</v>
          </cell>
        </row>
        <row r="606">
          <cell r="M606">
            <v>0</v>
          </cell>
        </row>
        <row r="607">
          <cell r="M607">
            <v>0</v>
          </cell>
        </row>
        <row r="608">
          <cell r="M608">
            <v>0</v>
          </cell>
        </row>
        <row r="609">
          <cell r="M609">
            <v>0</v>
          </cell>
        </row>
        <row r="610">
          <cell r="M610">
            <v>0</v>
          </cell>
        </row>
        <row r="611">
          <cell r="M611">
            <v>0</v>
          </cell>
        </row>
        <row r="612">
          <cell r="M612">
            <v>0</v>
          </cell>
        </row>
        <row r="613">
          <cell r="M613">
            <v>0</v>
          </cell>
        </row>
        <row r="614">
          <cell r="M614">
            <v>0</v>
          </cell>
        </row>
        <row r="615">
          <cell r="M615">
            <v>0</v>
          </cell>
        </row>
        <row r="616">
          <cell r="A616" t="str">
            <v>S28</v>
          </cell>
          <cell r="M616">
            <v>0</v>
          </cell>
        </row>
        <row r="619">
          <cell r="M619">
            <v>157</v>
          </cell>
        </row>
        <row r="622">
          <cell r="A622">
            <v>22</v>
          </cell>
          <cell r="M622">
            <v>3.14</v>
          </cell>
        </row>
        <row r="623">
          <cell r="A623">
            <v>245</v>
          </cell>
          <cell r="M623">
            <v>164.85</v>
          </cell>
        </row>
        <row r="624">
          <cell r="M624">
            <v>0</v>
          </cell>
        </row>
        <row r="625">
          <cell r="M625">
            <v>0</v>
          </cell>
        </row>
        <row r="626">
          <cell r="M626">
            <v>0</v>
          </cell>
        </row>
        <row r="627">
          <cell r="M627">
            <v>0</v>
          </cell>
        </row>
        <row r="628">
          <cell r="M628">
            <v>0</v>
          </cell>
        </row>
        <row r="629">
          <cell r="M629">
            <v>0</v>
          </cell>
        </row>
        <row r="630">
          <cell r="M630">
            <v>0</v>
          </cell>
        </row>
        <row r="631">
          <cell r="M631">
            <v>0</v>
          </cell>
        </row>
        <row r="632">
          <cell r="M632">
            <v>0</v>
          </cell>
        </row>
        <row r="633">
          <cell r="M633">
            <v>0</v>
          </cell>
        </row>
        <row r="634">
          <cell r="M634">
            <v>0</v>
          </cell>
        </row>
        <row r="635">
          <cell r="M635">
            <v>0</v>
          </cell>
        </row>
        <row r="636">
          <cell r="M636">
            <v>0</v>
          </cell>
        </row>
        <row r="637">
          <cell r="M637">
            <v>0</v>
          </cell>
        </row>
        <row r="638">
          <cell r="A638" t="str">
            <v>S29</v>
          </cell>
          <cell r="M638">
            <v>0</v>
          </cell>
        </row>
        <row r="641">
          <cell r="M641">
            <v>46</v>
          </cell>
        </row>
        <row r="644">
          <cell r="A644">
            <v>26</v>
          </cell>
          <cell r="M644">
            <v>0.73599999999999999</v>
          </cell>
        </row>
        <row r="645">
          <cell r="A645">
            <v>249</v>
          </cell>
          <cell r="M645">
            <v>48.300000000000004</v>
          </cell>
        </row>
        <row r="646">
          <cell r="M646">
            <v>0</v>
          </cell>
        </row>
        <row r="647">
          <cell r="M647">
            <v>0</v>
          </cell>
        </row>
        <row r="648">
          <cell r="M648">
            <v>0</v>
          </cell>
        </row>
        <row r="649">
          <cell r="M649">
            <v>0</v>
          </cell>
        </row>
        <row r="650">
          <cell r="M650">
            <v>0</v>
          </cell>
        </row>
        <row r="651">
          <cell r="M651">
            <v>0</v>
          </cell>
        </row>
        <row r="652">
          <cell r="M652">
            <v>0</v>
          </cell>
        </row>
        <row r="653">
          <cell r="M653">
            <v>0</v>
          </cell>
        </row>
        <row r="654">
          <cell r="M654">
            <v>0</v>
          </cell>
        </row>
        <row r="655">
          <cell r="M655">
            <v>0</v>
          </cell>
        </row>
        <row r="656">
          <cell r="M656">
            <v>0</v>
          </cell>
        </row>
        <row r="657">
          <cell r="M657">
            <v>0</v>
          </cell>
        </row>
        <row r="658">
          <cell r="M658">
            <v>0</v>
          </cell>
        </row>
        <row r="659">
          <cell r="M659">
            <v>0</v>
          </cell>
        </row>
        <row r="660">
          <cell r="A660" t="str">
            <v>S30</v>
          </cell>
          <cell r="M660">
            <v>0</v>
          </cell>
        </row>
        <row r="663">
          <cell r="M663">
            <v>34</v>
          </cell>
        </row>
        <row r="666">
          <cell r="A666">
            <v>26</v>
          </cell>
          <cell r="M666">
            <v>0.47600000000000003</v>
          </cell>
        </row>
        <row r="667">
          <cell r="A667">
            <v>250</v>
          </cell>
          <cell r="M667">
            <v>35.700000000000003</v>
          </cell>
        </row>
        <row r="668">
          <cell r="M668">
            <v>0</v>
          </cell>
        </row>
        <row r="669">
          <cell r="M669">
            <v>0</v>
          </cell>
        </row>
        <row r="670">
          <cell r="M670">
            <v>0</v>
          </cell>
        </row>
        <row r="671">
          <cell r="M671">
            <v>0</v>
          </cell>
        </row>
        <row r="672">
          <cell r="M672">
            <v>0</v>
          </cell>
        </row>
        <row r="673">
          <cell r="M673">
            <v>0</v>
          </cell>
        </row>
        <row r="674">
          <cell r="M674">
            <v>0</v>
          </cell>
        </row>
        <row r="675">
          <cell r="M675">
            <v>0</v>
          </cell>
        </row>
        <row r="676">
          <cell r="M676">
            <v>0</v>
          </cell>
        </row>
        <row r="677">
          <cell r="M677">
            <v>0</v>
          </cell>
        </row>
        <row r="678">
          <cell r="M678">
            <v>0</v>
          </cell>
        </row>
        <row r="679">
          <cell r="M679">
            <v>0</v>
          </cell>
        </row>
        <row r="680">
          <cell r="M680">
            <v>0</v>
          </cell>
        </row>
        <row r="681">
          <cell r="M681">
            <v>0</v>
          </cell>
        </row>
        <row r="682">
          <cell r="A682" t="str">
            <v>S31</v>
          </cell>
          <cell r="M682">
            <v>0</v>
          </cell>
        </row>
        <row r="685">
          <cell r="M685">
            <v>76</v>
          </cell>
        </row>
        <row r="688">
          <cell r="A688">
            <v>13</v>
          </cell>
          <cell r="M688">
            <v>2.2799999999999998</v>
          </cell>
        </row>
        <row r="689">
          <cell r="A689">
            <v>15</v>
          </cell>
          <cell r="M689">
            <v>0.22800000000000001</v>
          </cell>
        </row>
        <row r="690">
          <cell r="M690">
            <v>0</v>
          </cell>
        </row>
        <row r="691">
          <cell r="M691">
            <v>0</v>
          </cell>
        </row>
        <row r="692">
          <cell r="M692">
            <v>0</v>
          </cell>
        </row>
        <row r="693">
          <cell r="M693">
            <v>0</v>
          </cell>
        </row>
        <row r="694">
          <cell r="M694">
            <v>0</v>
          </cell>
        </row>
        <row r="695">
          <cell r="M695">
            <v>0</v>
          </cell>
        </row>
        <row r="696">
          <cell r="M696">
            <v>0</v>
          </cell>
        </row>
        <row r="697">
          <cell r="M697">
            <v>0</v>
          </cell>
        </row>
        <row r="698">
          <cell r="M698">
            <v>0</v>
          </cell>
        </row>
        <row r="699">
          <cell r="M699">
            <v>0</v>
          </cell>
        </row>
        <row r="700">
          <cell r="M700">
            <v>0</v>
          </cell>
        </row>
        <row r="701">
          <cell r="M701">
            <v>0</v>
          </cell>
        </row>
        <row r="702">
          <cell r="M702">
            <v>0</v>
          </cell>
        </row>
        <row r="703">
          <cell r="M703">
            <v>0</v>
          </cell>
        </row>
        <row r="704">
          <cell r="A704" t="str">
            <v>S32</v>
          </cell>
          <cell r="M704">
            <v>0</v>
          </cell>
        </row>
        <row r="707">
          <cell r="M707">
            <v>2.2999999999999998</v>
          </cell>
        </row>
        <row r="710">
          <cell r="A710">
            <v>14</v>
          </cell>
          <cell r="M710">
            <v>1.3339999999999999</v>
          </cell>
        </row>
        <row r="711">
          <cell r="M711">
            <v>0</v>
          </cell>
        </row>
        <row r="712">
          <cell r="M712">
            <v>0</v>
          </cell>
        </row>
        <row r="713">
          <cell r="M713">
            <v>0</v>
          </cell>
        </row>
        <row r="714">
          <cell r="M714">
            <v>0</v>
          </cell>
        </row>
        <row r="715">
          <cell r="M715">
            <v>0</v>
          </cell>
        </row>
        <row r="716">
          <cell r="M716">
            <v>0</v>
          </cell>
        </row>
        <row r="717">
          <cell r="M717">
            <v>0</v>
          </cell>
        </row>
        <row r="718">
          <cell r="M718">
            <v>0</v>
          </cell>
        </row>
        <row r="719">
          <cell r="M719">
            <v>0</v>
          </cell>
        </row>
        <row r="720">
          <cell r="M720">
            <v>0</v>
          </cell>
        </row>
        <row r="721">
          <cell r="M721">
            <v>0</v>
          </cell>
        </row>
        <row r="722">
          <cell r="M722">
            <v>0</v>
          </cell>
        </row>
        <row r="723">
          <cell r="M723">
            <v>0</v>
          </cell>
        </row>
        <row r="724">
          <cell r="M724">
            <v>0</v>
          </cell>
        </row>
        <row r="725">
          <cell r="M725">
            <v>0</v>
          </cell>
        </row>
        <row r="726">
          <cell r="A726" t="str">
            <v>S33</v>
          </cell>
          <cell r="M726">
            <v>0</v>
          </cell>
        </row>
        <row r="729">
          <cell r="M729">
            <v>53</v>
          </cell>
        </row>
        <row r="732">
          <cell r="A732">
            <v>13</v>
          </cell>
          <cell r="M732">
            <v>3.7100000000000004</v>
          </cell>
        </row>
        <row r="733">
          <cell r="A733">
            <v>15</v>
          </cell>
          <cell r="M733">
            <v>1.06</v>
          </cell>
        </row>
        <row r="734">
          <cell r="M734">
            <v>0</v>
          </cell>
        </row>
        <row r="735">
          <cell r="M735">
            <v>0</v>
          </cell>
        </row>
        <row r="736">
          <cell r="M736">
            <v>0</v>
          </cell>
        </row>
        <row r="737">
          <cell r="M737">
            <v>0</v>
          </cell>
        </row>
        <row r="738">
          <cell r="M738">
            <v>0</v>
          </cell>
        </row>
        <row r="739">
          <cell r="M739">
            <v>0</v>
          </cell>
        </row>
        <row r="740">
          <cell r="M740">
            <v>0</v>
          </cell>
        </row>
        <row r="741">
          <cell r="M741">
            <v>0</v>
          </cell>
        </row>
        <row r="742">
          <cell r="M742">
            <v>0</v>
          </cell>
        </row>
        <row r="743">
          <cell r="M743">
            <v>0</v>
          </cell>
        </row>
        <row r="744">
          <cell r="M744">
            <v>0</v>
          </cell>
        </row>
        <row r="745">
          <cell r="M745">
            <v>0</v>
          </cell>
        </row>
        <row r="746">
          <cell r="M746">
            <v>0</v>
          </cell>
        </row>
        <row r="747">
          <cell r="M747">
            <v>0</v>
          </cell>
        </row>
        <row r="748">
          <cell r="A748" t="str">
            <v>S34</v>
          </cell>
          <cell r="M748">
            <v>0</v>
          </cell>
        </row>
        <row r="751">
          <cell r="M751">
            <v>50</v>
          </cell>
        </row>
        <row r="754">
          <cell r="A754">
            <v>13</v>
          </cell>
          <cell r="M754">
            <v>0.5</v>
          </cell>
        </row>
        <row r="755">
          <cell r="A755">
            <v>15</v>
          </cell>
          <cell r="M755">
            <v>0.5</v>
          </cell>
        </row>
        <row r="756">
          <cell r="M756">
            <v>0</v>
          </cell>
        </row>
        <row r="757">
          <cell r="M757">
            <v>0</v>
          </cell>
        </row>
        <row r="758">
          <cell r="M758">
            <v>0</v>
          </cell>
        </row>
        <row r="759">
          <cell r="M759">
            <v>0</v>
          </cell>
        </row>
        <row r="760">
          <cell r="M760">
            <v>0</v>
          </cell>
        </row>
        <row r="761">
          <cell r="M761">
            <v>0</v>
          </cell>
        </row>
        <row r="762">
          <cell r="M762">
            <v>0</v>
          </cell>
        </row>
        <row r="763">
          <cell r="M763">
            <v>0</v>
          </cell>
        </row>
        <row r="764">
          <cell r="M764">
            <v>0</v>
          </cell>
        </row>
        <row r="765">
          <cell r="M765">
            <v>0</v>
          </cell>
        </row>
        <row r="766">
          <cell r="M766">
            <v>0</v>
          </cell>
        </row>
        <row r="767">
          <cell r="M767">
            <v>0</v>
          </cell>
        </row>
        <row r="768">
          <cell r="M768">
            <v>0</v>
          </cell>
        </row>
        <row r="769">
          <cell r="M769">
            <v>0</v>
          </cell>
        </row>
        <row r="770">
          <cell r="A770" t="str">
            <v>S35</v>
          </cell>
          <cell r="M770">
            <v>0</v>
          </cell>
        </row>
        <row r="773">
          <cell r="M773">
            <v>9</v>
          </cell>
        </row>
        <row r="776">
          <cell r="A776">
            <v>22</v>
          </cell>
          <cell r="M776">
            <v>0.80999999999999994</v>
          </cell>
        </row>
        <row r="777">
          <cell r="M777">
            <v>0</v>
          </cell>
        </row>
        <row r="778">
          <cell r="M778">
            <v>0</v>
          </cell>
        </row>
        <row r="779">
          <cell r="M779">
            <v>0</v>
          </cell>
        </row>
        <row r="780">
          <cell r="M780">
            <v>0</v>
          </cell>
        </row>
        <row r="781">
          <cell r="M781">
            <v>0</v>
          </cell>
        </row>
        <row r="782">
          <cell r="M782">
            <v>0</v>
          </cell>
        </row>
        <row r="783">
          <cell r="M783">
            <v>0</v>
          </cell>
        </row>
        <row r="784">
          <cell r="M784">
            <v>0</v>
          </cell>
        </row>
        <row r="785">
          <cell r="M785">
            <v>0</v>
          </cell>
        </row>
        <row r="786">
          <cell r="M786">
            <v>0</v>
          </cell>
        </row>
        <row r="787">
          <cell r="M787">
            <v>0</v>
          </cell>
        </row>
        <row r="788">
          <cell r="M788">
            <v>0</v>
          </cell>
        </row>
        <row r="789">
          <cell r="M789">
            <v>0</v>
          </cell>
        </row>
        <row r="790">
          <cell r="M790">
            <v>0</v>
          </cell>
        </row>
        <row r="791">
          <cell r="M791">
            <v>0</v>
          </cell>
        </row>
        <row r="792">
          <cell r="A792" t="str">
            <v>S36</v>
          </cell>
          <cell r="M792">
            <v>0</v>
          </cell>
        </row>
        <row r="795">
          <cell r="M795">
            <v>2</v>
          </cell>
        </row>
        <row r="798">
          <cell r="A798">
            <v>22</v>
          </cell>
          <cell r="M798">
            <v>0.04</v>
          </cell>
        </row>
        <row r="799">
          <cell r="M799">
            <v>0</v>
          </cell>
        </row>
        <row r="800">
          <cell r="M800">
            <v>0</v>
          </cell>
        </row>
        <row r="801">
          <cell r="M801">
            <v>0</v>
          </cell>
        </row>
        <row r="802">
          <cell r="M802">
            <v>0</v>
          </cell>
        </row>
        <row r="803">
          <cell r="M803">
            <v>0</v>
          </cell>
        </row>
        <row r="804">
          <cell r="M804">
            <v>0</v>
          </cell>
        </row>
        <row r="805">
          <cell r="M805">
            <v>0</v>
          </cell>
        </row>
        <row r="806">
          <cell r="M806">
            <v>0</v>
          </cell>
        </row>
        <row r="807">
          <cell r="M807">
            <v>0</v>
          </cell>
        </row>
        <row r="808">
          <cell r="M808">
            <v>0</v>
          </cell>
        </row>
        <row r="809">
          <cell r="M809">
            <v>0</v>
          </cell>
        </row>
        <row r="810">
          <cell r="M810">
            <v>0</v>
          </cell>
        </row>
        <row r="811">
          <cell r="M811">
            <v>0</v>
          </cell>
        </row>
        <row r="812">
          <cell r="M812">
            <v>0</v>
          </cell>
        </row>
        <row r="813">
          <cell r="M813">
            <v>0</v>
          </cell>
        </row>
        <row r="814">
          <cell r="A814" t="str">
            <v>S37</v>
          </cell>
          <cell r="M814">
            <v>0</v>
          </cell>
        </row>
        <row r="817">
          <cell r="M817">
            <v>2</v>
          </cell>
        </row>
        <row r="820">
          <cell r="A820">
            <v>22</v>
          </cell>
          <cell r="M820">
            <v>0.04</v>
          </cell>
        </row>
        <row r="821">
          <cell r="M821">
            <v>0</v>
          </cell>
        </row>
        <row r="822">
          <cell r="M822">
            <v>0</v>
          </cell>
        </row>
        <row r="823">
          <cell r="M823">
            <v>0</v>
          </cell>
        </row>
        <row r="824">
          <cell r="M824">
            <v>0</v>
          </cell>
        </row>
        <row r="825">
          <cell r="M825">
            <v>0</v>
          </cell>
        </row>
        <row r="826">
          <cell r="M826">
            <v>0</v>
          </cell>
        </row>
        <row r="827">
          <cell r="M827">
            <v>0</v>
          </cell>
        </row>
        <row r="828">
          <cell r="M828">
            <v>0</v>
          </cell>
        </row>
        <row r="829">
          <cell r="M829">
            <v>0</v>
          </cell>
        </row>
        <row r="830">
          <cell r="M830">
            <v>0</v>
          </cell>
        </row>
        <row r="831">
          <cell r="M831">
            <v>0</v>
          </cell>
        </row>
        <row r="832">
          <cell r="M832">
            <v>0</v>
          </cell>
        </row>
        <row r="833">
          <cell r="M833">
            <v>0</v>
          </cell>
        </row>
        <row r="834">
          <cell r="M834">
            <v>0</v>
          </cell>
        </row>
        <row r="835">
          <cell r="M835">
            <v>0</v>
          </cell>
        </row>
        <row r="836">
          <cell r="A836" t="str">
            <v>S38</v>
          </cell>
          <cell r="M836">
            <v>0</v>
          </cell>
        </row>
        <row r="839">
          <cell r="M839">
            <v>13</v>
          </cell>
        </row>
        <row r="842">
          <cell r="A842">
            <v>26</v>
          </cell>
          <cell r="M842">
            <v>0.13</v>
          </cell>
        </row>
        <row r="843">
          <cell r="M843">
            <v>0</v>
          </cell>
        </row>
        <row r="844">
          <cell r="M844">
            <v>0</v>
          </cell>
        </row>
        <row r="845">
          <cell r="M845">
            <v>0</v>
          </cell>
        </row>
        <row r="846">
          <cell r="M846">
            <v>0</v>
          </cell>
        </row>
        <row r="847">
          <cell r="M847">
            <v>0</v>
          </cell>
        </row>
        <row r="848">
          <cell r="M848">
            <v>0</v>
          </cell>
        </row>
        <row r="849">
          <cell r="M849">
            <v>0</v>
          </cell>
        </row>
        <row r="850">
          <cell r="M850">
            <v>0</v>
          </cell>
        </row>
        <row r="851">
          <cell r="M851">
            <v>0</v>
          </cell>
        </row>
        <row r="852">
          <cell r="M852">
            <v>0</v>
          </cell>
        </row>
        <row r="853">
          <cell r="M853">
            <v>0</v>
          </cell>
        </row>
        <row r="854">
          <cell r="M854">
            <v>0</v>
          </cell>
        </row>
        <row r="855">
          <cell r="M855">
            <v>0</v>
          </cell>
        </row>
        <row r="856">
          <cell r="M856">
            <v>0</v>
          </cell>
        </row>
        <row r="857">
          <cell r="M857">
            <v>0</v>
          </cell>
        </row>
        <row r="858">
          <cell r="A858" t="str">
            <v>S39</v>
          </cell>
          <cell r="M858">
            <v>0</v>
          </cell>
        </row>
        <row r="861">
          <cell r="M861">
            <v>3</v>
          </cell>
        </row>
        <row r="864">
          <cell r="A864">
            <v>26</v>
          </cell>
          <cell r="M864">
            <v>0.03</v>
          </cell>
        </row>
        <row r="865">
          <cell r="M865">
            <v>0</v>
          </cell>
        </row>
        <row r="866">
          <cell r="M866">
            <v>0</v>
          </cell>
        </row>
        <row r="867">
          <cell r="M867">
            <v>0</v>
          </cell>
        </row>
        <row r="868">
          <cell r="M868">
            <v>0</v>
          </cell>
        </row>
        <row r="869">
          <cell r="M869">
            <v>0</v>
          </cell>
        </row>
        <row r="870">
          <cell r="M870">
            <v>0</v>
          </cell>
        </row>
        <row r="871">
          <cell r="M871">
            <v>0</v>
          </cell>
        </row>
        <row r="872">
          <cell r="M872">
            <v>0</v>
          </cell>
        </row>
        <row r="873">
          <cell r="M873">
            <v>0</v>
          </cell>
        </row>
        <row r="874">
          <cell r="M874">
            <v>0</v>
          </cell>
        </row>
        <row r="875">
          <cell r="M875">
            <v>0</v>
          </cell>
        </row>
        <row r="876">
          <cell r="M876">
            <v>0</v>
          </cell>
        </row>
        <row r="877">
          <cell r="M877">
            <v>0</v>
          </cell>
        </row>
        <row r="878">
          <cell r="M878">
            <v>0</v>
          </cell>
        </row>
        <row r="879">
          <cell r="M879">
            <v>0</v>
          </cell>
        </row>
        <row r="880">
          <cell r="A880" t="str">
            <v>S40</v>
          </cell>
          <cell r="M880">
            <v>0</v>
          </cell>
        </row>
        <row r="883">
          <cell r="M883">
            <v>64</v>
          </cell>
        </row>
        <row r="886">
          <cell r="A886">
            <v>26</v>
          </cell>
          <cell r="M886">
            <v>0.64</v>
          </cell>
        </row>
        <row r="887">
          <cell r="M887">
            <v>0</v>
          </cell>
        </row>
        <row r="888">
          <cell r="M888">
            <v>0</v>
          </cell>
        </row>
        <row r="889">
          <cell r="M889">
            <v>0</v>
          </cell>
        </row>
        <row r="890">
          <cell r="M890">
            <v>0</v>
          </cell>
        </row>
        <row r="891">
          <cell r="M891">
            <v>0</v>
          </cell>
        </row>
        <row r="892">
          <cell r="M892">
            <v>0</v>
          </cell>
        </row>
        <row r="893">
          <cell r="M893">
            <v>0</v>
          </cell>
        </row>
        <row r="894">
          <cell r="M894">
            <v>0</v>
          </cell>
        </row>
        <row r="895">
          <cell r="M895">
            <v>0</v>
          </cell>
        </row>
        <row r="896">
          <cell r="M896">
            <v>0</v>
          </cell>
        </row>
        <row r="897">
          <cell r="M897">
            <v>0</v>
          </cell>
        </row>
        <row r="898">
          <cell r="M898">
            <v>0</v>
          </cell>
        </row>
        <row r="899">
          <cell r="M899">
            <v>0</v>
          </cell>
        </row>
        <row r="900">
          <cell r="M900">
            <v>0</v>
          </cell>
        </row>
        <row r="901">
          <cell r="M901">
            <v>0</v>
          </cell>
        </row>
        <row r="902">
          <cell r="A902" t="str">
            <v>S41</v>
          </cell>
          <cell r="M902">
            <v>0</v>
          </cell>
        </row>
        <row r="905">
          <cell r="M905">
            <v>9.6</v>
          </cell>
        </row>
        <row r="908">
          <cell r="A908">
            <v>11</v>
          </cell>
          <cell r="M908">
            <v>0.13439999999999999</v>
          </cell>
        </row>
        <row r="909">
          <cell r="A909">
            <v>13</v>
          </cell>
          <cell r="M909">
            <v>0.14399999999999999</v>
          </cell>
        </row>
        <row r="910">
          <cell r="A910">
            <v>15</v>
          </cell>
          <cell r="M910">
            <v>9.6000000000000002E-2</v>
          </cell>
        </row>
        <row r="911">
          <cell r="A911">
            <v>329</v>
          </cell>
          <cell r="M911">
            <v>9.8879999999999999</v>
          </cell>
        </row>
        <row r="912">
          <cell r="M912">
            <v>0</v>
          </cell>
        </row>
        <row r="913">
          <cell r="M913">
            <v>0</v>
          </cell>
        </row>
        <row r="914">
          <cell r="M914">
            <v>0</v>
          </cell>
        </row>
        <row r="915">
          <cell r="M915">
            <v>0</v>
          </cell>
        </row>
        <row r="916">
          <cell r="M916">
            <v>0</v>
          </cell>
        </row>
        <row r="917">
          <cell r="M917">
            <v>0</v>
          </cell>
        </row>
        <row r="918">
          <cell r="M918">
            <v>0</v>
          </cell>
        </row>
        <row r="919">
          <cell r="M919">
            <v>0</v>
          </cell>
        </row>
        <row r="920">
          <cell r="M920">
            <v>0</v>
          </cell>
        </row>
        <row r="921">
          <cell r="M921">
            <v>0</v>
          </cell>
        </row>
        <row r="922">
          <cell r="M922">
            <v>0</v>
          </cell>
        </row>
        <row r="923">
          <cell r="M923">
            <v>0</v>
          </cell>
        </row>
        <row r="924">
          <cell r="A924" t="str">
            <v>S42</v>
          </cell>
          <cell r="M924">
            <v>0</v>
          </cell>
        </row>
        <row r="927">
          <cell r="M927">
            <v>9.6</v>
          </cell>
        </row>
        <row r="930">
          <cell r="A930">
            <v>11</v>
          </cell>
          <cell r="M930">
            <v>0.13439999999999999</v>
          </cell>
        </row>
        <row r="931">
          <cell r="A931">
            <v>13</v>
          </cell>
          <cell r="M931">
            <v>0.14399999999999999</v>
          </cell>
        </row>
        <row r="932">
          <cell r="A932">
            <v>15</v>
          </cell>
          <cell r="M932">
            <v>9.6000000000000002E-2</v>
          </cell>
        </row>
        <row r="933">
          <cell r="A933">
            <v>330</v>
          </cell>
          <cell r="M933">
            <v>9.8879999999999999</v>
          </cell>
        </row>
        <row r="934">
          <cell r="M934">
            <v>0</v>
          </cell>
        </row>
        <row r="935">
          <cell r="M935">
            <v>0</v>
          </cell>
        </row>
        <row r="936">
          <cell r="M936">
            <v>0</v>
          </cell>
        </row>
        <row r="937">
          <cell r="M937">
            <v>0</v>
          </cell>
        </row>
        <row r="938">
          <cell r="M938">
            <v>0</v>
          </cell>
        </row>
        <row r="939">
          <cell r="M939">
            <v>0</v>
          </cell>
        </row>
        <row r="940">
          <cell r="M940">
            <v>0</v>
          </cell>
        </row>
        <row r="941">
          <cell r="M941">
            <v>0</v>
          </cell>
        </row>
        <row r="942">
          <cell r="M942">
            <v>0</v>
          </cell>
        </row>
        <row r="943">
          <cell r="M943">
            <v>0</v>
          </cell>
        </row>
        <row r="944">
          <cell r="M944">
            <v>0</v>
          </cell>
        </row>
        <row r="945">
          <cell r="M945">
            <v>0</v>
          </cell>
        </row>
        <row r="946">
          <cell r="A946" t="str">
            <v>S43</v>
          </cell>
          <cell r="M946">
            <v>0</v>
          </cell>
        </row>
        <row r="949">
          <cell r="M949">
            <v>3.2</v>
          </cell>
        </row>
        <row r="952">
          <cell r="A952">
            <v>11</v>
          </cell>
          <cell r="M952">
            <v>4.4800000000000006E-2</v>
          </cell>
        </row>
        <row r="953">
          <cell r="A953">
            <v>13</v>
          </cell>
          <cell r="M953">
            <v>4.8000000000000001E-2</v>
          </cell>
        </row>
        <row r="954">
          <cell r="A954">
            <v>15</v>
          </cell>
          <cell r="M954">
            <v>3.2000000000000001E-2</v>
          </cell>
        </row>
        <row r="955">
          <cell r="A955">
            <v>331</v>
          </cell>
          <cell r="M955">
            <v>3.2960000000000003</v>
          </cell>
        </row>
        <row r="956">
          <cell r="M956">
            <v>0</v>
          </cell>
        </row>
        <row r="957">
          <cell r="M957">
            <v>0</v>
          </cell>
        </row>
        <row r="958">
          <cell r="M958">
            <v>0</v>
          </cell>
        </row>
        <row r="959">
          <cell r="M959">
            <v>0</v>
          </cell>
        </row>
        <row r="960">
          <cell r="M960">
            <v>0</v>
          </cell>
        </row>
        <row r="961">
          <cell r="M961">
            <v>0</v>
          </cell>
        </row>
        <row r="962">
          <cell r="M962">
            <v>0</v>
          </cell>
        </row>
        <row r="963">
          <cell r="M963">
            <v>0</v>
          </cell>
        </row>
        <row r="964">
          <cell r="M964">
            <v>0</v>
          </cell>
        </row>
        <row r="965">
          <cell r="M965">
            <v>0</v>
          </cell>
        </row>
        <row r="966">
          <cell r="M966">
            <v>0</v>
          </cell>
        </row>
        <row r="967">
          <cell r="M967">
            <v>0</v>
          </cell>
        </row>
        <row r="968">
          <cell r="A968" t="str">
            <v>S44</v>
          </cell>
          <cell r="M968">
            <v>0</v>
          </cell>
        </row>
        <row r="971">
          <cell r="M971">
            <v>16</v>
          </cell>
        </row>
        <row r="974">
          <cell r="A974">
            <v>11</v>
          </cell>
          <cell r="M974">
            <v>0.224</v>
          </cell>
        </row>
        <row r="975">
          <cell r="A975">
            <v>13</v>
          </cell>
          <cell r="M975">
            <v>0.24</v>
          </cell>
        </row>
        <row r="976">
          <cell r="A976">
            <v>15</v>
          </cell>
          <cell r="M976">
            <v>0.16</v>
          </cell>
        </row>
        <row r="977">
          <cell r="A977">
            <v>339</v>
          </cell>
          <cell r="M977">
            <v>16.48</v>
          </cell>
        </row>
        <row r="978">
          <cell r="M978">
            <v>0</v>
          </cell>
        </row>
        <row r="979">
          <cell r="M979">
            <v>0</v>
          </cell>
        </row>
        <row r="980">
          <cell r="M980">
            <v>0</v>
          </cell>
        </row>
        <row r="981">
          <cell r="M981">
            <v>0</v>
          </cell>
        </row>
        <row r="982">
          <cell r="M982">
            <v>0</v>
          </cell>
        </row>
        <row r="983">
          <cell r="M983">
            <v>0</v>
          </cell>
        </row>
        <row r="984">
          <cell r="M984">
            <v>0</v>
          </cell>
        </row>
        <row r="985">
          <cell r="M985">
            <v>0</v>
          </cell>
        </row>
        <row r="986">
          <cell r="M986">
            <v>0</v>
          </cell>
        </row>
        <row r="987">
          <cell r="M987">
            <v>0</v>
          </cell>
        </row>
        <row r="988">
          <cell r="M988">
            <v>0</v>
          </cell>
        </row>
        <row r="989">
          <cell r="M989">
            <v>0</v>
          </cell>
        </row>
        <row r="990">
          <cell r="A990" t="str">
            <v>S45</v>
          </cell>
          <cell r="M990">
            <v>0</v>
          </cell>
        </row>
        <row r="993">
          <cell r="M993">
            <v>1.6</v>
          </cell>
        </row>
        <row r="996">
          <cell r="A996">
            <v>11</v>
          </cell>
          <cell r="M996">
            <v>2.2400000000000003E-2</v>
          </cell>
        </row>
        <row r="997">
          <cell r="A997">
            <v>13</v>
          </cell>
          <cell r="M997">
            <v>2.4E-2</v>
          </cell>
        </row>
        <row r="998">
          <cell r="A998">
            <v>15</v>
          </cell>
          <cell r="M998">
            <v>1.6E-2</v>
          </cell>
        </row>
        <row r="999">
          <cell r="A999">
            <v>344</v>
          </cell>
          <cell r="M999">
            <v>1.6480000000000001</v>
          </cell>
        </row>
        <row r="1000">
          <cell r="M1000">
            <v>0</v>
          </cell>
        </row>
        <row r="1001">
          <cell r="M1001">
            <v>0</v>
          </cell>
        </row>
        <row r="1002">
          <cell r="M1002">
            <v>0</v>
          </cell>
        </row>
        <row r="1003">
          <cell r="M1003">
            <v>0</v>
          </cell>
        </row>
        <row r="1004">
          <cell r="M1004">
            <v>0</v>
          </cell>
        </row>
        <row r="1005">
          <cell r="M1005">
            <v>0</v>
          </cell>
        </row>
        <row r="1006">
          <cell r="M1006">
            <v>0</v>
          </cell>
        </row>
        <row r="1007">
          <cell r="M1007">
            <v>0</v>
          </cell>
        </row>
        <row r="1008">
          <cell r="M1008">
            <v>0</v>
          </cell>
        </row>
        <row r="1009">
          <cell r="M1009">
            <v>0</v>
          </cell>
        </row>
        <row r="1010">
          <cell r="M1010">
            <v>0</v>
          </cell>
        </row>
        <row r="1011">
          <cell r="M1011">
            <v>0</v>
          </cell>
        </row>
        <row r="1012">
          <cell r="A1012" t="str">
            <v>S46</v>
          </cell>
          <cell r="M1012">
            <v>0</v>
          </cell>
        </row>
        <row r="1015">
          <cell r="M1015">
            <v>19.2</v>
          </cell>
        </row>
        <row r="1018">
          <cell r="A1018">
            <v>11</v>
          </cell>
          <cell r="M1018">
            <v>0.26879999999999998</v>
          </cell>
        </row>
        <row r="1019">
          <cell r="A1019">
            <v>13</v>
          </cell>
          <cell r="M1019">
            <v>0.28799999999999998</v>
          </cell>
        </row>
        <row r="1020">
          <cell r="A1020">
            <v>15</v>
          </cell>
          <cell r="M1020">
            <v>0.192</v>
          </cell>
        </row>
        <row r="1021">
          <cell r="A1021">
            <v>348</v>
          </cell>
          <cell r="M1021">
            <v>19.776</v>
          </cell>
        </row>
        <row r="1022">
          <cell r="M1022">
            <v>0</v>
          </cell>
        </row>
        <row r="1023">
          <cell r="M1023">
            <v>0</v>
          </cell>
        </row>
        <row r="1024">
          <cell r="M1024">
            <v>0</v>
          </cell>
        </row>
        <row r="1025">
          <cell r="M1025">
            <v>0</v>
          </cell>
        </row>
        <row r="1026">
          <cell r="M1026">
            <v>0</v>
          </cell>
        </row>
        <row r="1027">
          <cell r="M1027">
            <v>0</v>
          </cell>
        </row>
        <row r="1028">
          <cell r="M1028">
            <v>0</v>
          </cell>
        </row>
        <row r="1029">
          <cell r="M1029">
            <v>0</v>
          </cell>
        </row>
        <row r="1030">
          <cell r="M1030">
            <v>0</v>
          </cell>
        </row>
        <row r="1031">
          <cell r="M1031">
            <v>0</v>
          </cell>
        </row>
        <row r="1032">
          <cell r="M1032">
            <v>0</v>
          </cell>
        </row>
        <row r="1033">
          <cell r="M1033">
            <v>0</v>
          </cell>
        </row>
        <row r="1034">
          <cell r="A1034" t="str">
            <v>S47</v>
          </cell>
          <cell r="M1034">
            <v>0</v>
          </cell>
        </row>
        <row r="1037">
          <cell r="M1037">
            <v>1.6</v>
          </cell>
        </row>
        <row r="1040">
          <cell r="A1040">
            <v>11</v>
          </cell>
          <cell r="M1040">
            <v>2.2400000000000003E-2</v>
          </cell>
        </row>
        <row r="1041">
          <cell r="A1041">
            <v>13</v>
          </cell>
          <cell r="M1041">
            <v>2.4E-2</v>
          </cell>
        </row>
        <row r="1042">
          <cell r="A1042">
            <v>15</v>
          </cell>
          <cell r="M1042">
            <v>1.6E-2</v>
          </cell>
        </row>
        <row r="1043">
          <cell r="A1043">
            <v>350</v>
          </cell>
          <cell r="M1043">
            <v>1.6480000000000001</v>
          </cell>
        </row>
        <row r="1044">
          <cell r="M1044">
            <v>0</v>
          </cell>
        </row>
        <row r="1045">
          <cell r="M1045">
            <v>0</v>
          </cell>
        </row>
        <row r="1046">
          <cell r="M1046">
            <v>0</v>
          </cell>
        </row>
        <row r="1047">
          <cell r="M1047">
            <v>0</v>
          </cell>
        </row>
        <row r="1048">
          <cell r="M1048">
            <v>0</v>
          </cell>
        </row>
        <row r="1049">
          <cell r="M1049">
            <v>0</v>
          </cell>
        </row>
        <row r="1050">
          <cell r="M1050">
            <v>0</v>
          </cell>
        </row>
        <row r="1051">
          <cell r="M1051">
            <v>0</v>
          </cell>
        </row>
        <row r="1052">
          <cell r="M1052">
            <v>0</v>
          </cell>
        </row>
        <row r="1053">
          <cell r="M1053">
            <v>0</v>
          </cell>
        </row>
        <row r="1054">
          <cell r="M1054">
            <v>0</v>
          </cell>
        </row>
        <row r="1055">
          <cell r="M1055">
            <v>0</v>
          </cell>
        </row>
        <row r="1056">
          <cell r="A1056" t="str">
            <v>S48</v>
          </cell>
          <cell r="M1056">
            <v>0</v>
          </cell>
        </row>
        <row r="1059">
          <cell r="M1059">
            <v>12.5</v>
          </cell>
        </row>
        <row r="1062">
          <cell r="A1062">
            <v>11</v>
          </cell>
          <cell r="M1062">
            <v>0.25</v>
          </cell>
        </row>
        <row r="1063">
          <cell r="A1063">
            <v>13</v>
          </cell>
          <cell r="M1063">
            <v>0.32500000000000001</v>
          </cell>
        </row>
        <row r="1064">
          <cell r="A1064">
            <v>15</v>
          </cell>
          <cell r="M1064">
            <v>0.125</v>
          </cell>
        </row>
        <row r="1065">
          <cell r="A1065">
            <v>328</v>
          </cell>
          <cell r="M1065">
            <v>12.875</v>
          </cell>
        </row>
        <row r="1066">
          <cell r="M1066">
            <v>0</v>
          </cell>
        </row>
        <row r="1067">
          <cell r="M1067">
            <v>0</v>
          </cell>
        </row>
        <row r="1068">
          <cell r="M1068">
            <v>0</v>
          </cell>
        </row>
        <row r="1069">
          <cell r="M1069">
            <v>0</v>
          </cell>
        </row>
        <row r="1070">
          <cell r="M1070">
            <v>0</v>
          </cell>
        </row>
        <row r="1071">
          <cell r="M1071">
            <v>0</v>
          </cell>
        </row>
        <row r="1072">
          <cell r="M1072">
            <v>0</v>
          </cell>
        </row>
        <row r="1073">
          <cell r="M1073">
            <v>0</v>
          </cell>
        </row>
        <row r="1074">
          <cell r="M1074">
            <v>0</v>
          </cell>
        </row>
        <row r="1075">
          <cell r="M1075">
            <v>0</v>
          </cell>
        </row>
        <row r="1076">
          <cell r="M1076">
            <v>0</v>
          </cell>
        </row>
        <row r="1077">
          <cell r="M1077">
            <v>0</v>
          </cell>
        </row>
        <row r="1078">
          <cell r="A1078" t="str">
            <v>S49</v>
          </cell>
          <cell r="M1078">
            <v>0</v>
          </cell>
        </row>
        <row r="1081">
          <cell r="M1081">
            <v>96</v>
          </cell>
        </row>
        <row r="1084">
          <cell r="A1084">
            <v>11</v>
          </cell>
          <cell r="M1084">
            <v>1.92</v>
          </cell>
        </row>
        <row r="1085">
          <cell r="A1085">
            <v>13</v>
          </cell>
          <cell r="M1085">
            <v>2.496</v>
          </cell>
        </row>
        <row r="1086">
          <cell r="A1086">
            <v>15</v>
          </cell>
          <cell r="M1086">
            <v>0.96</v>
          </cell>
        </row>
        <row r="1087">
          <cell r="A1087">
            <v>128</v>
          </cell>
          <cell r="M1087">
            <v>9.6000000000000002E-2</v>
          </cell>
        </row>
        <row r="1088">
          <cell r="A1088">
            <v>329</v>
          </cell>
          <cell r="M1088">
            <v>98.88</v>
          </cell>
        </row>
        <row r="1089">
          <cell r="M1089">
            <v>0</v>
          </cell>
        </row>
        <row r="1090">
          <cell r="M1090">
            <v>0</v>
          </cell>
        </row>
        <row r="1091">
          <cell r="M1091">
            <v>0</v>
          </cell>
        </row>
        <row r="1092">
          <cell r="M1092">
            <v>0</v>
          </cell>
        </row>
        <row r="1093">
          <cell r="M1093">
            <v>0</v>
          </cell>
        </row>
        <row r="1094">
          <cell r="M1094">
            <v>0</v>
          </cell>
        </row>
        <row r="1095">
          <cell r="M1095">
            <v>0</v>
          </cell>
        </row>
        <row r="1096">
          <cell r="M1096">
            <v>0</v>
          </cell>
        </row>
        <row r="1097">
          <cell r="M1097">
            <v>0</v>
          </cell>
        </row>
        <row r="1098">
          <cell r="M1098">
            <v>0</v>
          </cell>
        </row>
        <row r="1099">
          <cell r="M1099">
            <v>0</v>
          </cell>
        </row>
        <row r="1100">
          <cell r="A1100" t="str">
            <v>S50</v>
          </cell>
          <cell r="M1100">
            <v>0</v>
          </cell>
        </row>
        <row r="1103">
          <cell r="M1103">
            <v>96</v>
          </cell>
        </row>
        <row r="1106">
          <cell r="A1106">
            <v>11</v>
          </cell>
          <cell r="M1106">
            <v>1.92</v>
          </cell>
        </row>
        <row r="1107">
          <cell r="A1107">
            <v>13</v>
          </cell>
          <cell r="M1107">
            <v>2.496</v>
          </cell>
        </row>
        <row r="1108">
          <cell r="A1108">
            <v>15</v>
          </cell>
          <cell r="M1108">
            <v>0.96</v>
          </cell>
        </row>
        <row r="1109">
          <cell r="A1109">
            <v>128</v>
          </cell>
          <cell r="M1109">
            <v>9.6000000000000002E-2</v>
          </cell>
        </row>
        <row r="1110">
          <cell r="A1110">
            <v>330</v>
          </cell>
          <cell r="M1110">
            <v>98.88</v>
          </cell>
        </row>
        <row r="1111">
          <cell r="M1111">
            <v>0</v>
          </cell>
        </row>
        <row r="1112">
          <cell r="M1112">
            <v>0</v>
          </cell>
        </row>
        <row r="1113">
          <cell r="M1113">
            <v>0</v>
          </cell>
        </row>
        <row r="1114">
          <cell r="M1114">
            <v>0</v>
          </cell>
        </row>
        <row r="1115">
          <cell r="M1115">
            <v>0</v>
          </cell>
        </row>
        <row r="1116">
          <cell r="M1116">
            <v>0</v>
          </cell>
        </row>
        <row r="1117">
          <cell r="M1117">
            <v>0</v>
          </cell>
        </row>
        <row r="1118">
          <cell r="M1118">
            <v>0</v>
          </cell>
        </row>
        <row r="1119">
          <cell r="M1119">
            <v>0</v>
          </cell>
        </row>
        <row r="1120">
          <cell r="M1120">
            <v>0</v>
          </cell>
        </row>
        <row r="1121">
          <cell r="M1121">
            <v>0</v>
          </cell>
        </row>
        <row r="1122">
          <cell r="A1122" t="str">
            <v>S51</v>
          </cell>
          <cell r="M1122">
            <v>0</v>
          </cell>
        </row>
        <row r="1125">
          <cell r="M1125">
            <v>31</v>
          </cell>
        </row>
        <row r="1128">
          <cell r="A1128">
            <v>11</v>
          </cell>
          <cell r="M1128">
            <v>0.62</v>
          </cell>
        </row>
        <row r="1129">
          <cell r="A1129">
            <v>13</v>
          </cell>
          <cell r="M1129">
            <v>0.80599999999999994</v>
          </cell>
        </row>
        <row r="1130">
          <cell r="A1130">
            <v>15</v>
          </cell>
          <cell r="M1130">
            <v>0.31</v>
          </cell>
        </row>
        <row r="1131">
          <cell r="A1131">
            <v>128</v>
          </cell>
          <cell r="M1131">
            <v>3.1E-2</v>
          </cell>
        </row>
        <row r="1132">
          <cell r="A1132">
            <v>331</v>
          </cell>
          <cell r="M1132">
            <v>31.93</v>
          </cell>
        </row>
        <row r="1133">
          <cell r="M1133">
            <v>0</v>
          </cell>
        </row>
        <row r="1134">
          <cell r="M1134">
            <v>0</v>
          </cell>
        </row>
        <row r="1135">
          <cell r="M1135">
            <v>0</v>
          </cell>
        </row>
        <row r="1136">
          <cell r="M1136">
            <v>0</v>
          </cell>
        </row>
        <row r="1137">
          <cell r="M1137">
            <v>0</v>
          </cell>
        </row>
        <row r="1138">
          <cell r="M1138">
            <v>0</v>
          </cell>
        </row>
        <row r="1139">
          <cell r="M1139">
            <v>0</v>
          </cell>
        </row>
        <row r="1140">
          <cell r="M1140">
            <v>0</v>
          </cell>
        </row>
        <row r="1141">
          <cell r="M1141">
            <v>0</v>
          </cell>
        </row>
        <row r="1142">
          <cell r="M1142">
            <v>0</v>
          </cell>
        </row>
        <row r="1143">
          <cell r="M1143">
            <v>0</v>
          </cell>
        </row>
        <row r="1144">
          <cell r="A1144" t="str">
            <v>S52</v>
          </cell>
          <cell r="M1144">
            <v>0</v>
          </cell>
        </row>
        <row r="1147">
          <cell r="M1147">
            <v>286</v>
          </cell>
        </row>
        <row r="1150">
          <cell r="A1150">
            <v>11</v>
          </cell>
          <cell r="M1150">
            <v>5.72</v>
          </cell>
        </row>
        <row r="1151">
          <cell r="A1151">
            <v>13</v>
          </cell>
          <cell r="M1151">
            <v>7.4359999999999999</v>
          </cell>
        </row>
        <row r="1152">
          <cell r="A1152">
            <v>15</v>
          </cell>
          <cell r="M1152">
            <v>2.86</v>
          </cell>
        </row>
        <row r="1153">
          <cell r="A1153">
            <v>128</v>
          </cell>
          <cell r="M1153">
            <v>0.28600000000000003</v>
          </cell>
        </row>
        <row r="1154">
          <cell r="A1154">
            <v>339</v>
          </cell>
          <cell r="M1154">
            <v>294.58</v>
          </cell>
        </row>
        <row r="1155">
          <cell r="M1155">
            <v>0</v>
          </cell>
        </row>
        <row r="1156">
          <cell r="M1156">
            <v>0</v>
          </cell>
        </row>
        <row r="1157">
          <cell r="M1157">
            <v>0</v>
          </cell>
        </row>
        <row r="1158">
          <cell r="M1158">
            <v>0</v>
          </cell>
        </row>
        <row r="1159">
          <cell r="M1159">
            <v>0</v>
          </cell>
        </row>
        <row r="1160">
          <cell r="M1160">
            <v>0</v>
          </cell>
        </row>
        <row r="1161">
          <cell r="M1161">
            <v>0</v>
          </cell>
        </row>
        <row r="1162">
          <cell r="M1162">
            <v>0</v>
          </cell>
        </row>
        <row r="1163">
          <cell r="M1163">
            <v>0</v>
          </cell>
        </row>
        <row r="1164">
          <cell r="M1164">
            <v>0</v>
          </cell>
        </row>
        <row r="1165">
          <cell r="M1165">
            <v>0</v>
          </cell>
        </row>
        <row r="1166">
          <cell r="A1166" t="str">
            <v>S53</v>
          </cell>
          <cell r="M1166">
            <v>0</v>
          </cell>
        </row>
        <row r="1169">
          <cell r="M1169">
            <v>20</v>
          </cell>
        </row>
        <row r="1172">
          <cell r="A1172">
            <v>11</v>
          </cell>
          <cell r="M1172">
            <v>0.4</v>
          </cell>
        </row>
        <row r="1173">
          <cell r="A1173">
            <v>13</v>
          </cell>
          <cell r="M1173">
            <v>0.52</v>
          </cell>
        </row>
        <row r="1174">
          <cell r="A1174">
            <v>15</v>
          </cell>
          <cell r="M1174">
            <v>0.2</v>
          </cell>
        </row>
        <row r="1175">
          <cell r="A1175">
            <v>128</v>
          </cell>
          <cell r="M1175">
            <v>0.02</v>
          </cell>
        </row>
        <row r="1176">
          <cell r="A1176">
            <v>344</v>
          </cell>
          <cell r="M1176">
            <v>20.6</v>
          </cell>
        </row>
        <row r="1177">
          <cell r="M1177">
            <v>0</v>
          </cell>
        </row>
        <row r="1178">
          <cell r="M1178">
            <v>0</v>
          </cell>
        </row>
        <row r="1179">
          <cell r="M1179">
            <v>0</v>
          </cell>
        </row>
        <row r="1180">
          <cell r="M1180">
            <v>0</v>
          </cell>
        </row>
        <row r="1181">
          <cell r="M1181">
            <v>0</v>
          </cell>
        </row>
        <row r="1182">
          <cell r="M1182">
            <v>0</v>
          </cell>
        </row>
        <row r="1183">
          <cell r="M1183">
            <v>0</v>
          </cell>
        </row>
        <row r="1184">
          <cell r="M1184">
            <v>0</v>
          </cell>
        </row>
        <row r="1185">
          <cell r="M1185">
            <v>0</v>
          </cell>
        </row>
        <row r="1186">
          <cell r="M1186">
            <v>0</v>
          </cell>
        </row>
        <row r="1187">
          <cell r="M1187">
            <v>0</v>
          </cell>
        </row>
        <row r="1188">
          <cell r="A1188" t="str">
            <v>S54</v>
          </cell>
          <cell r="M1188">
            <v>0</v>
          </cell>
        </row>
        <row r="1191">
          <cell r="M1191">
            <v>516</v>
          </cell>
        </row>
        <row r="1194">
          <cell r="A1194">
            <v>11</v>
          </cell>
          <cell r="M1194">
            <v>10.32</v>
          </cell>
        </row>
        <row r="1195">
          <cell r="A1195">
            <v>13</v>
          </cell>
          <cell r="M1195">
            <v>13.415999999999999</v>
          </cell>
        </row>
        <row r="1196">
          <cell r="A1196">
            <v>15</v>
          </cell>
          <cell r="M1196">
            <v>5.16</v>
          </cell>
        </row>
        <row r="1197">
          <cell r="A1197">
            <v>128</v>
          </cell>
          <cell r="M1197">
            <v>0.51600000000000001</v>
          </cell>
        </row>
        <row r="1198">
          <cell r="A1198">
            <v>348</v>
          </cell>
          <cell r="M1198">
            <v>531.48</v>
          </cell>
        </row>
        <row r="1199">
          <cell r="M1199">
            <v>0</v>
          </cell>
        </row>
        <row r="1200">
          <cell r="M1200">
            <v>0</v>
          </cell>
        </row>
        <row r="1201">
          <cell r="M1201">
            <v>0</v>
          </cell>
        </row>
        <row r="1202">
          <cell r="M1202">
            <v>0</v>
          </cell>
        </row>
        <row r="1203">
          <cell r="M1203">
            <v>0</v>
          </cell>
        </row>
        <row r="1204">
          <cell r="M1204">
            <v>0</v>
          </cell>
        </row>
        <row r="1205">
          <cell r="M1205">
            <v>0</v>
          </cell>
        </row>
        <row r="1206">
          <cell r="M1206">
            <v>0</v>
          </cell>
        </row>
        <row r="1207">
          <cell r="M1207">
            <v>0</v>
          </cell>
        </row>
        <row r="1208">
          <cell r="M1208">
            <v>0</v>
          </cell>
        </row>
        <row r="1209">
          <cell r="M1209">
            <v>0</v>
          </cell>
        </row>
        <row r="1210">
          <cell r="A1210" t="str">
            <v>S55</v>
          </cell>
          <cell r="M1210">
            <v>0</v>
          </cell>
        </row>
        <row r="1213">
          <cell r="M1213">
            <v>28</v>
          </cell>
        </row>
        <row r="1216">
          <cell r="A1216">
            <v>11</v>
          </cell>
          <cell r="M1216">
            <v>0.56000000000000005</v>
          </cell>
        </row>
        <row r="1217">
          <cell r="A1217">
            <v>13</v>
          </cell>
          <cell r="M1217">
            <v>0.72799999999999998</v>
          </cell>
        </row>
        <row r="1218">
          <cell r="A1218">
            <v>15</v>
          </cell>
          <cell r="M1218">
            <v>0.28000000000000003</v>
          </cell>
        </row>
        <row r="1219">
          <cell r="A1219">
            <v>128</v>
          </cell>
          <cell r="M1219">
            <v>2.8000000000000001E-2</v>
          </cell>
        </row>
        <row r="1220">
          <cell r="A1220">
            <v>350</v>
          </cell>
          <cell r="M1220">
            <v>28.84</v>
          </cell>
        </row>
        <row r="1221">
          <cell r="M1221">
            <v>0</v>
          </cell>
        </row>
        <row r="1222">
          <cell r="M1222">
            <v>0</v>
          </cell>
        </row>
        <row r="1223">
          <cell r="M1223">
            <v>0</v>
          </cell>
        </row>
        <row r="1224">
          <cell r="M1224">
            <v>0</v>
          </cell>
        </row>
        <row r="1225">
          <cell r="M1225">
            <v>0</v>
          </cell>
        </row>
        <row r="1226">
          <cell r="M1226">
            <v>0</v>
          </cell>
        </row>
        <row r="1227">
          <cell r="M1227">
            <v>0</v>
          </cell>
        </row>
        <row r="1228">
          <cell r="M1228">
            <v>0</v>
          </cell>
        </row>
        <row r="1229">
          <cell r="M1229">
            <v>0</v>
          </cell>
        </row>
        <row r="1230">
          <cell r="M1230">
            <v>0</v>
          </cell>
        </row>
        <row r="1231">
          <cell r="M1231">
            <v>0</v>
          </cell>
        </row>
        <row r="1232">
          <cell r="A1232" t="str">
            <v>S56</v>
          </cell>
          <cell r="M1232">
            <v>0</v>
          </cell>
        </row>
        <row r="1235">
          <cell r="M1235">
            <v>56</v>
          </cell>
        </row>
        <row r="1238">
          <cell r="A1238">
            <v>11</v>
          </cell>
          <cell r="M1238">
            <v>1.1200000000000001</v>
          </cell>
        </row>
        <row r="1239">
          <cell r="A1239">
            <v>13</v>
          </cell>
          <cell r="M1239">
            <v>1.456</v>
          </cell>
        </row>
        <row r="1240">
          <cell r="A1240">
            <v>15</v>
          </cell>
          <cell r="M1240">
            <v>0.56000000000000005</v>
          </cell>
        </row>
        <row r="1241">
          <cell r="A1241">
            <v>128</v>
          </cell>
          <cell r="M1241">
            <v>5.6000000000000001E-2</v>
          </cell>
        </row>
        <row r="1242">
          <cell r="A1242">
            <v>257</v>
          </cell>
          <cell r="M1242">
            <v>57.68</v>
          </cell>
        </row>
        <row r="1243">
          <cell r="M1243">
            <v>0</v>
          </cell>
        </row>
        <row r="1244">
          <cell r="M1244">
            <v>0</v>
          </cell>
        </row>
        <row r="1245">
          <cell r="M1245">
            <v>0</v>
          </cell>
        </row>
        <row r="1246">
          <cell r="M1246">
            <v>0</v>
          </cell>
        </row>
        <row r="1247">
          <cell r="M1247">
            <v>0</v>
          </cell>
        </row>
        <row r="1248">
          <cell r="M1248">
            <v>0</v>
          </cell>
        </row>
        <row r="1249">
          <cell r="M1249">
            <v>0</v>
          </cell>
        </row>
        <row r="1250">
          <cell r="M1250">
            <v>0</v>
          </cell>
        </row>
        <row r="1251">
          <cell r="M1251">
            <v>0</v>
          </cell>
        </row>
        <row r="1252">
          <cell r="M1252">
            <v>0</v>
          </cell>
        </row>
        <row r="1253">
          <cell r="M1253">
            <v>0</v>
          </cell>
        </row>
        <row r="1254">
          <cell r="A1254" t="str">
            <v>S57</v>
          </cell>
          <cell r="M1254">
            <v>0</v>
          </cell>
        </row>
        <row r="1257">
          <cell r="M1257">
            <v>2800</v>
          </cell>
        </row>
        <row r="1260">
          <cell r="A1260">
            <v>11</v>
          </cell>
          <cell r="M1260">
            <v>56</v>
          </cell>
        </row>
        <row r="1261">
          <cell r="A1261">
            <v>13</v>
          </cell>
          <cell r="M1261">
            <v>72.8</v>
          </cell>
        </row>
        <row r="1262">
          <cell r="A1262">
            <v>15</v>
          </cell>
          <cell r="M1262">
            <v>28</v>
          </cell>
        </row>
        <row r="1263">
          <cell r="A1263">
            <v>128</v>
          </cell>
          <cell r="M1263">
            <v>2.8000000000000003</v>
          </cell>
        </row>
        <row r="1264">
          <cell r="A1264">
            <v>258</v>
          </cell>
          <cell r="M1264">
            <v>2884</v>
          </cell>
        </row>
        <row r="1265">
          <cell r="M1265">
            <v>0</v>
          </cell>
        </row>
        <row r="1266">
          <cell r="M1266">
            <v>0</v>
          </cell>
        </row>
        <row r="1267">
          <cell r="M1267">
            <v>0</v>
          </cell>
        </row>
        <row r="1268">
          <cell r="M1268">
            <v>0</v>
          </cell>
        </row>
        <row r="1269">
          <cell r="M1269">
            <v>0</v>
          </cell>
        </row>
        <row r="1270">
          <cell r="M1270">
            <v>0</v>
          </cell>
        </row>
        <row r="1271">
          <cell r="M1271">
            <v>0</v>
          </cell>
        </row>
        <row r="1272">
          <cell r="M1272">
            <v>0</v>
          </cell>
        </row>
        <row r="1273">
          <cell r="M1273">
            <v>0</v>
          </cell>
        </row>
        <row r="1274">
          <cell r="M1274">
            <v>0</v>
          </cell>
        </row>
        <row r="1275">
          <cell r="M1275">
            <v>0</v>
          </cell>
        </row>
        <row r="1276">
          <cell r="A1276" t="str">
            <v>S58</v>
          </cell>
          <cell r="M1276">
            <v>0</v>
          </cell>
        </row>
        <row r="1279">
          <cell r="M1279">
            <v>80</v>
          </cell>
        </row>
        <row r="1282">
          <cell r="A1282">
            <v>11</v>
          </cell>
          <cell r="M1282">
            <v>1.6</v>
          </cell>
        </row>
        <row r="1283">
          <cell r="A1283">
            <v>13</v>
          </cell>
          <cell r="M1283">
            <v>2.4</v>
          </cell>
        </row>
        <row r="1284">
          <cell r="A1284">
            <v>15</v>
          </cell>
          <cell r="M1284">
            <v>0.8</v>
          </cell>
        </row>
        <row r="1285">
          <cell r="A1285">
            <v>195</v>
          </cell>
          <cell r="M1285">
            <v>84</v>
          </cell>
        </row>
        <row r="1286">
          <cell r="M1286">
            <v>0</v>
          </cell>
        </row>
        <row r="1287">
          <cell r="M1287">
            <v>0</v>
          </cell>
        </row>
        <row r="1288">
          <cell r="M1288">
            <v>0</v>
          </cell>
        </row>
        <row r="1289">
          <cell r="M1289">
            <v>0</v>
          </cell>
        </row>
        <row r="1290">
          <cell r="M1290">
            <v>0</v>
          </cell>
        </row>
        <row r="1291">
          <cell r="M1291">
            <v>0</v>
          </cell>
        </row>
        <row r="1292">
          <cell r="M1292">
            <v>0</v>
          </cell>
        </row>
        <row r="1293">
          <cell r="M1293">
            <v>0</v>
          </cell>
        </row>
        <row r="1294">
          <cell r="M1294">
            <v>0</v>
          </cell>
        </row>
        <row r="1295">
          <cell r="M1295">
            <v>0</v>
          </cell>
        </row>
        <row r="1296">
          <cell r="M1296">
            <v>0</v>
          </cell>
        </row>
        <row r="1297">
          <cell r="M1297">
            <v>0</v>
          </cell>
        </row>
        <row r="1298">
          <cell r="A1298" t="str">
            <v>S59</v>
          </cell>
          <cell r="M1298">
            <v>0</v>
          </cell>
        </row>
        <row r="1301">
          <cell r="M1301">
            <v>28</v>
          </cell>
        </row>
        <row r="1304">
          <cell r="A1304">
            <v>11</v>
          </cell>
          <cell r="M1304">
            <v>0.56000000000000005</v>
          </cell>
        </row>
        <row r="1305">
          <cell r="A1305">
            <v>13</v>
          </cell>
          <cell r="M1305">
            <v>0.84</v>
          </cell>
        </row>
        <row r="1306">
          <cell r="A1306">
            <v>15</v>
          </cell>
          <cell r="M1306">
            <v>0.28000000000000003</v>
          </cell>
        </row>
        <row r="1307">
          <cell r="A1307">
            <v>199</v>
          </cell>
          <cell r="M1307">
            <v>29.400000000000002</v>
          </cell>
        </row>
        <row r="1308">
          <cell r="M1308">
            <v>0</v>
          </cell>
        </row>
        <row r="1309">
          <cell r="M1309">
            <v>0</v>
          </cell>
        </row>
        <row r="1310">
          <cell r="M1310">
            <v>0</v>
          </cell>
        </row>
        <row r="1311">
          <cell r="M1311">
            <v>0</v>
          </cell>
        </row>
        <row r="1312">
          <cell r="M1312">
            <v>0</v>
          </cell>
        </row>
        <row r="1313">
          <cell r="M1313">
            <v>0</v>
          </cell>
        </row>
        <row r="1314">
          <cell r="M1314">
            <v>0</v>
          </cell>
        </row>
        <row r="1315">
          <cell r="M1315">
            <v>0</v>
          </cell>
        </row>
        <row r="1316">
          <cell r="M1316">
            <v>0</v>
          </cell>
        </row>
        <row r="1317">
          <cell r="M1317">
            <v>0</v>
          </cell>
        </row>
        <row r="1318">
          <cell r="M1318">
            <v>0</v>
          </cell>
        </row>
        <row r="1319">
          <cell r="M1319">
            <v>0</v>
          </cell>
        </row>
        <row r="1320">
          <cell r="A1320" t="str">
            <v>S60</v>
          </cell>
          <cell r="M1320">
            <v>0</v>
          </cell>
        </row>
        <row r="1323">
          <cell r="M1323">
            <v>90.8</v>
          </cell>
        </row>
        <row r="1326">
          <cell r="A1326">
            <v>11</v>
          </cell>
          <cell r="M1326">
            <v>1.8160000000000001</v>
          </cell>
        </row>
        <row r="1327">
          <cell r="A1327">
            <v>13</v>
          </cell>
          <cell r="M1327">
            <v>2.7239999999999998</v>
          </cell>
        </row>
        <row r="1328">
          <cell r="A1328">
            <v>15</v>
          </cell>
          <cell r="M1328">
            <v>0.90800000000000003</v>
          </cell>
        </row>
        <row r="1329">
          <cell r="A1329">
            <v>208</v>
          </cell>
          <cell r="M1329">
            <v>95.34</v>
          </cell>
        </row>
        <row r="1330">
          <cell r="M1330">
            <v>0</v>
          </cell>
        </row>
        <row r="1331">
          <cell r="M1331">
            <v>0</v>
          </cell>
        </row>
        <row r="1332">
          <cell r="M1332">
            <v>0</v>
          </cell>
        </row>
        <row r="1333">
          <cell r="M1333">
            <v>0</v>
          </cell>
        </row>
        <row r="1334">
          <cell r="M1334">
            <v>0</v>
          </cell>
        </row>
        <row r="1335">
          <cell r="M1335">
            <v>0</v>
          </cell>
        </row>
        <row r="1336">
          <cell r="M1336">
            <v>0</v>
          </cell>
        </row>
        <row r="1337">
          <cell r="M1337">
            <v>0</v>
          </cell>
        </row>
        <row r="1338">
          <cell r="M1338">
            <v>0</v>
          </cell>
        </row>
        <row r="1339">
          <cell r="M1339">
            <v>0</v>
          </cell>
        </row>
        <row r="1340">
          <cell r="M1340">
            <v>0</v>
          </cell>
        </row>
        <row r="1341">
          <cell r="M1341">
            <v>0</v>
          </cell>
        </row>
        <row r="1342">
          <cell r="A1342" t="str">
            <v>S61</v>
          </cell>
          <cell r="M1342">
            <v>0</v>
          </cell>
        </row>
        <row r="1345">
          <cell r="M1345">
            <v>154.80000000000001</v>
          </cell>
        </row>
        <row r="1348">
          <cell r="A1348">
            <v>11</v>
          </cell>
          <cell r="M1348">
            <v>3.0960000000000001</v>
          </cell>
        </row>
        <row r="1349">
          <cell r="A1349">
            <v>13</v>
          </cell>
          <cell r="M1349">
            <v>4.6440000000000001</v>
          </cell>
        </row>
        <row r="1350">
          <cell r="A1350">
            <v>15</v>
          </cell>
          <cell r="M1350">
            <v>1.548</v>
          </cell>
        </row>
        <row r="1351">
          <cell r="A1351">
            <v>211</v>
          </cell>
          <cell r="M1351">
            <v>162.54000000000002</v>
          </cell>
        </row>
        <row r="1352">
          <cell r="M1352">
            <v>0</v>
          </cell>
        </row>
        <row r="1353">
          <cell r="M1353">
            <v>0</v>
          </cell>
        </row>
        <row r="1354">
          <cell r="M1354">
            <v>0</v>
          </cell>
        </row>
        <row r="1355">
          <cell r="M1355">
            <v>0</v>
          </cell>
        </row>
        <row r="1356">
          <cell r="M1356">
            <v>0</v>
          </cell>
        </row>
        <row r="1357">
          <cell r="M1357">
            <v>0</v>
          </cell>
        </row>
        <row r="1358">
          <cell r="M1358">
            <v>0</v>
          </cell>
        </row>
        <row r="1359">
          <cell r="M1359">
            <v>0</v>
          </cell>
        </row>
        <row r="1360">
          <cell r="M1360">
            <v>0</v>
          </cell>
        </row>
        <row r="1361">
          <cell r="M1361">
            <v>0</v>
          </cell>
        </row>
        <row r="1362">
          <cell r="M1362">
            <v>0</v>
          </cell>
        </row>
        <row r="1363">
          <cell r="M1363">
            <v>0</v>
          </cell>
        </row>
        <row r="1364">
          <cell r="A1364" t="str">
            <v>S62</v>
          </cell>
          <cell r="M1364">
            <v>0</v>
          </cell>
        </row>
        <row r="1367">
          <cell r="M1367">
            <v>14</v>
          </cell>
        </row>
        <row r="1370">
          <cell r="A1370">
            <v>11</v>
          </cell>
          <cell r="M1370">
            <v>0.28000000000000003</v>
          </cell>
        </row>
        <row r="1371">
          <cell r="A1371">
            <v>13</v>
          </cell>
          <cell r="M1371">
            <v>0.42</v>
          </cell>
        </row>
        <row r="1372">
          <cell r="A1372">
            <v>15</v>
          </cell>
          <cell r="M1372">
            <v>0.14000000000000001</v>
          </cell>
        </row>
        <row r="1373">
          <cell r="A1373">
            <v>224</v>
          </cell>
          <cell r="M1373">
            <v>14.700000000000001</v>
          </cell>
        </row>
        <row r="1374">
          <cell r="M1374">
            <v>0</v>
          </cell>
        </row>
        <row r="1375">
          <cell r="M1375">
            <v>0</v>
          </cell>
        </row>
        <row r="1376">
          <cell r="M1376">
            <v>0</v>
          </cell>
        </row>
        <row r="1377">
          <cell r="M1377">
            <v>0</v>
          </cell>
        </row>
        <row r="1378">
          <cell r="M1378">
            <v>0</v>
          </cell>
        </row>
        <row r="1379">
          <cell r="M1379">
            <v>0</v>
          </cell>
        </row>
        <row r="1380">
          <cell r="M1380">
            <v>0</v>
          </cell>
        </row>
        <row r="1381">
          <cell r="M1381">
            <v>0</v>
          </cell>
        </row>
        <row r="1382">
          <cell r="M1382">
            <v>0</v>
          </cell>
        </row>
        <row r="1383">
          <cell r="M1383">
            <v>0</v>
          </cell>
        </row>
        <row r="1384">
          <cell r="M1384">
            <v>0</v>
          </cell>
        </row>
        <row r="1385">
          <cell r="M1385">
            <v>0</v>
          </cell>
        </row>
        <row r="1386">
          <cell r="A1386" t="str">
            <v>S63</v>
          </cell>
          <cell r="M1386">
            <v>0</v>
          </cell>
        </row>
        <row r="1389">
          <cell r="M1389">
            <v>38</v>
          </cell>
        </row>
        <row r="1392">
          <cell r="A1392">
            <v>11</v>
          </cell>
          <cell r="M1392">
            <v>0.76</v>
          </cell>
        </row>
        <row r="1393">
          <cell r="A1393">
            <v>13</v>
          </cell>
          <cell r="M1393">
            <v>1.1399999999999999</v>
          </cell>
        </row>
        <row r="1394">
          <cell r="A1394">
            <v>15</v>
          </cell>
          <cell r="M1394">
            <v>0.38</v>
          </cell>
        </row>
        <row r="1395">
          <cell r="A1395">
            <v>230</v>
          </cell>
          <cell r="M1395">
            <v>39.9</v>
          </cell>
        </row>
        <row r="1396">
          <cell r="M1396">
            <v>0</v>
          </cell>
        </row>
        <row r="1397">
          <cell r="M1397">
            <v>0</v>
          </cell>
        </row>
        <row r="1398">
          <cell r="M1398">
            <v>0</v>
          </cell>
        </row>
        <row r="1399">
          <cell r="M1399">
            <v>0</v>
          </cell>
        </row>
        <row r="1400">
          <cell r="M1400">
            <v>0</v>
          </cell>
        </row>
        <row r="1401">
          <cell r="M1401">
            <v>0</v>
          </cell>
        </row>
        <row r="1402">
          <cell r="M1402">
            <v>0</v>
          </cell>
        </row>
        <row r="1403">
          <cell r="M1403">
            <v>0</v>
          </cell>
        </row>
        <row r="1404">
          <cell r="M1404">
            <v>0</v>
          </cell>
        </row>
        <row r="1405">
          <cell r="M1405">
            <v>0</v>
          </cell>
        </row>
        <row r="1406">
          <cell r="M1406">
            <v>0</v>
          </cell>
        </row>
        <row r="1407">
          <cell r="M1407">
            <v>0</v>
          </cell>
        </row>
        <row r="1408">
          <cell r="A1408" t="str">
            <v>S64</v>
          </cell>
          <cell r="M1408">
            <v>0</v>
          </cell>
        </row>
        <row r="1411">
          <cell r="M1411">
            <v>17</v>
          </cell>
        </row>
        <row r="1414">
          <cell r="A1414">
            <v>11</v>
          </cell>
          <cell r="M1414">
            <v>0.34</v>
          </cell>
        </row>
        <row r="1415">
          <cell r="A1415">
            <v>13</v>
          </cell>
          <cell r="M1415">
            <v>0.51</v>
          </cell>
        </row>
        <row r="1416">
          <cell r="A1416">
            <v>15</v>
          </cell>
          <cell r="M1416">
            <v>0.17</v>
          </cell>
        </row>
        <row r="1417">
          <cell r="A1417">
            <v>233</v>
          </cell>
          <cell r="M1417">
            <v>17.850000000000001</v>
          </cell>
        </row>
        <row r="1418">
          <cell r="M1418">
            <v>0</v>
          </cell>
        </row>
        <row r="1419">
          <cell r="M1419">
            <v>0</v>
          </cell>
        </row>
        <row r="1420">
          <cell r="M1420">
            <v>0</v>
          </cell>
        </row>
        <row r="1421">
          <cell r="M1421">
            <v>0</v>
          </cell>
        </row>
        <row r="1422">
          <cell r="M1422">
            <v>0</v>
          </cell>
        </row>
        <row r="1423">
          <cell r="M1423">
            <v>0</v>
          </cell>
        </row>
        <row r="1424">
          <cell r="M1424">
            <v>0</v>
          </cell>
        </row>
        <row r="1425">
          <cell r="M1425">
            <v>0</v>
          </cell>
        </row>
        <row r="1426">
          <cell r="M1426">
            <v>0</v>
          </cell>
        </row>
        <row r="1427">
          <cell r="M1427">
            <v>0</v>
          </cell>
        </row>
        <row r="1428">
          <cell r="M1428">
            <v>0</v>
          </cell>
        </row>
        <row r="1429">
          <cell r="M1429">
            <v>0</v>
          </cell>
        </row>
        <row r="1430">
          <cell r="A1430" t="str">
            <v>S65</v>
          </cell>
          <cell r="M1430">
            <v>0</v>
          </cell>
        </row>
        <row r="1433">
          <cell r="M1433">
            <v>5</v>
          </cell>
        </row>
        <row r="1436">
          <cell r="A1436">
            <v>283</v>
          </cell>
          <cell r="M1436">
            <v>5</v>
          </cell>
        </row>
        <row r="1437">
          <cell r="M1437">
            <v>0</v>
          </cell>
        </row>
        <row r="1438">
          <cell r="M1438">
            <v>0</v>
          </cell>
        </row>
        <row r="1439">
          <cell r="M1439">
            <v>0</v>
          </cell>
        </row>
        <row r="1440">
          <cell r="M1440">
            <v>0</v>
          </cell>
        </row>
        <row r="1441">
          <cell r="M1441">
            <v>0</v>
          </cell>
        </row>
        <row r="1442">
          <cell r="M1442">
            <v>0</v>
          </cell>
        </row>
        <row r="1443">
          <cell r="M1443">
            <v>0</v>
          </cell>
        </row>
        <row r="1444">
          <cell r="M1444">
            <v>0</v>
          </cell>
        </row>
        <row r="1445">
          <cell r="M1445">
            <v>0</v>
          </cell>
        </row>
        <row r="1446">
          <cell r="M1446">
            <v>0</v>
          </cell>
        </row>
        <row r="1447">
          <cell r="M1447">
            <v>0</v>
          </cell>
        </row>
        <row r="1448">
          <cell r="M1448">
            <v>0</v>
          </cell>
        </row>
        <row r="1449">
          <cell r="M1449">
            <v>0</v>
          </cell>
        </row>
        <row r="1450">
          <cell r="M1450">
            <v>0</v>
          </cell>
        </row>
        <row r="1451">
          <cell r="M1451">
            <v>0</v>
          </cell>
        </row>
        <row r="1452">
          <cell r="A1452" t="str">
            <v>S66</v>
          </cell>
          <cell r="M1452">
            <v>0</v>
          </cell>
        </row>
        <row r="1455">
          <cell r="M1455">
            <v>7680</v>
          </cell>
        </row>
        <row r="1458">
          <cell r="A1458">
            <v>13</v>
          </cell>
          <cell r="M1458">
            <v>30.72</v>
          </cell>
        </row>
        <row r="1459">
          <cell r="A1459">
            <v>15</v>
          </cell>
          <cell r="M1459">
            <v>7.68</v>
          </cell>
        </row>
        <row r="1460">
          <cell r="M1460">
            <v>0</v>
          </cell>
        </row>
        <row r="1461">
          <cell r="M1461">
            <v>0</v>
          </cell>
        </row>
        <row r="1462">
          <cell r="M1462">
            <v>0</v>
          </cell>
        </row>
        <row r="1463">
          <cell r="M1463">
            <v>0</v>
          </cell>
        </row>
        <row r="1464">
          <cell r="M1464">
            <v>0</v>
          </cell>
        </row>
        <row r="1465">
          <cell r="M1465">
            <v>0</v>
          </cell>
        </row>
        <row r="1466">
          <cell r="M1466">
            <v>0</v>
          </cell>
        </row>
        <row r="1467">
          <cell r="M1467">
            <v>0</v>
          </cell>
        </row>
        <row r="1468">
          <cell r="M1468">
            <v>0</v>
          </cell>
        </row>
        <row r="1469">
          <cell r="M1469">
            <v>0</v>
          </cell>
        </row>
        <row r="1470">
          <cell r="M1470">
            <v>0</v>
          </cell>
        </row>
        <row r="1471">
          <cell r="M1471">
            <v>0</v>
          </cell>
        </row>
        <row r="1472">
          <cell r="M1472">
            <v>0</v>
          </cell>
        </row>
        <row r="1473">
          <cell r="M1473">
            <v>0</v>
          </cell>
        </row>
        <row r="1474">
          <cell r="A1474" t="str">
            <v>S67</v>
          </cell>
          <cell r="M1474">
            <v>0</v>
          </cell>
        </row>
        <row r="1477">
          <cell r="M1477">
            <v>170</v>
          </cell>
        </row>
        <row r="1480">
          <cell r="A1480">
            <v>13</v>
          </cell>
          <cell r="M1480">
            <v>11.9</v>
          </cell>
        </row>
        <row r="1481">
          <cell r="A1481">
            <v>15</v>
          </cell>
          <cell r="M1481">
            <v>1.19</v>
          </cell>
        </row>
        <row r="1482">
          <cell r="A1482">
            <v>260</v>
          </cell>
          <cell r="M1482">
            <v>170</v>
          </cell>
        </row>
        <row r="1483">
          <cell r="M1483">
            <v>0</v>
          </cell>
        </row>
        <row r="1484">
          <cell r="M1484">
            <v>0</v>
          </cell>
        </row>
        <row r="1485">
          <cell r="M1485">
            <v>0</v>
          </cell>
        </row>
        <row r="1486">
          <cell r="M1486">
            <v>0</v>
          </cell>
        </row>
        <row r="1487">
          <cell r="M1487">
            <v>0</v>
          </cell>
        </row>
        <row r="1488">
          <cell r="M1488">
            <v>0</v>
          </cell>
        </row>
        <row r="1489">
          <cell r="M1489">
            <v>0</v>
          </cell>
        </row>
        <row r="1490">
          <cell r="M1490">
            <v>0</v>
          </cell>
        </row>
        <row r="1491">
          <cell r="M1491">
            <v>0</v>
          </cell>
        </row>
        <row r="1492">
          <cell r="M1492">
            <v>0</v>
          </cell>
        </row>
        <row r="1493">
          <cell r="M1493">
            <v>0</v>
          </cell>
        </row>
        <row r="1494">
          <cell r="M1494">
            <v>0</v>
          </cell>
        </row>
        <row r="1495">
          <cell r="M1495">
            <v>0</v>
          </cell>
        </row>
        <row r="1496">
          <cell r="A1496" t="str">
            <v>S68</v>
          </cell>
          <cell r="M1496">
            <v>0</v>
          </cell>
        </row>
        <row r="1499">
          <cell r="M1499">
            <v>19.2</v>
          </cell>
        </row>
        <row r="1502">
          <cell r="A1502">
            <v>11</v>
          </cell>
          <cell r="M1502">
            <v>4.992</v>
          </cell>
        </row>
        <row r="1503">
          <cell r="M1503">
            <v>0</v>
          </cell>
        </row>
        <row r="1504">
          <cell r="M1504">
            <v>0</v>
          </cell>
        </row>
        <row r="1505">
          <cell r="M1505">
            <v>0</v>
          </cell>
        </row>
        <row r="1506">
          <cell r="M1506">
            <v>0</v>
          </cell>
        </row>
        <row r="1507">
          <cell r="M1507">
            <v>0</v>
          </cell>
        </row>
        <row r="1508">
          <cell r="M1508">
            <v>0</v>
          </cell>
        </row>
        <row r="1509">
          <cell r="M1509">
            <v>0</v>
          </cell>
        </row>
        <row r="1510">
          <cell r="M1510">
            <v>0</v>
          </cell>
        </row>
        <row r="1511">
          <cell r="M1511">
            <v>0</v>
          </cell>
        </row>
        <row r="1512">
          <cell r="M1512">
            <v>0</v>
          </cell>
        </row>
        <row r="1513">
          <cell r="M1513">
            <v>0</v>
          </cell>
        </row>
        <row r="1514">
          <cell r="M1514">
            <v>0</v>
          </cell>
        </row>
        <row r="1515">
          <cell r="M1515">
            <v>0</v>
          </cell>
        </row>
        <row r="1516">
          <cell r="M1516">
            <v>0</v>
          </cell>
        </row>
        <row r="1517">
          <cell r="M1517">
            <v>0</v>
          </cell>
        </row>
        <row r="1518">
          <cell r="A1518" t="str">
            <v>S69</v>
          </cell>
          <cell r="M1518">
            <v>0</v>
          </cell>
        </row>
        <row r="1521">
          <cell r="M1521">
            <v>365</v>
          </cell>
        </row>
        <row r="1524">
          <cell r="A1524">
            <v>13</v>
          </cell>
          <cell r="M1524">
            <v>7.3</v>
          </cell>
        </row>
        <row r="1525">
          <cell r="A1525">
            <v>263</v>
          </cell>
          <cell r="M1525">
            <v>4380</v>
          </cell>
        </row>
        <row r="1526">
          <cell r="M1526">
            <v>0</v>
          </cell>
        </row>
        <row r="1527">
          <cell r="M1527">
            <v>0</v>
          </cell>
        </row>
        <row r="1528">
          <cell r="M1528">
            <v>0</v>
          </cell>
        </row>
        <row r="1529">
          <cell r="M1529">
            <v>0</v>
          </cell>
        </row>
        <row r="1530">
          <cell r="M1530">
            <v>0</v>
          </cell>
        </row>
        <row r="1531">
          <cell r="M1531">
            <v>0</v>
          </cell>
        </row>
        <row r="1532">
          <cell r="M1532">
            <v>0</v>
          </cell>
        </row>
        <row r="1533">
          <cell r="M1533">
            <v>0</v>
          </cell>
        </row>
        <row r="1534">
          <cell r="M1534">
            <v>0</v>
          </cell>
        </row>
        <row r="1535">
          <cell r="M1535">
            <v>0</v>
          </cell>
        </row>
        <row r="1536">
          <cell r="M1536">
            <v>0</v>
          </cell>
        </row>
        <row r="1537">
          <cell r="M1537">
            <v>0</v>
          </cell>
        </row>
        <row r="1538">
          <cell r="M1538">
            <v>0</v>
          </cell>
        </row>
        <row r="1539">
          <cell r="M1539">
            <v>0</v>
          </cell>
        </row>
        <row r="1540">
          <cell r="A1540" t="str">
            <v>S70</v>
          </cell>
          <cell r="M1540">
            <v>0</v>
          </cell>
        </row>
        <row r="1543">
          <cell r="M1543">
            <v>77</v>
          </cell>
        </row>
        <row r="1546">
          <cell r="A1546">
            <v>13</v>
          </cell>
          <cell r="M1546">
            <v>2.31</v>
          </cell>
        </row>
        <row r="1547">
          <cell r="A1547">
            <v>327</v>
          </cell>
          <cell r="M1547">
            <v>616</v>
          </cell>
        </row>
        <row r="1548">
          <cell r="M1548">
            <v>0</v>
          </cell>
        </row>
        <row r="1549">
          <cell r="M1549">
            <v>0</v>
          </cell>
        </row>
        <row r="1550">
          <cell r="M1550">
            <v>0</v>
          </cell>
        </row>
        <row r="1551">
          <cell r="M1551">
            <v>0</v>
          </cell>
        </row>
        <row r="1552">
          <cell r="M1552">
            <v>0</v>
          </cell>
        </row>
        <row r="1553">
          <cell r="M1553">
            <v>0</v>
          </cell>
        </row>
        <row r="1554">
          <cell r="M1554">
            <v>0</v>
          </cell>
        </row>
        <row r="1555">
          <cell r="M1555">
            <v>0</v>
          </cell>
        </row>
        <row r="1556">
          <cell r="M1556">
            <v>0</v>
          </cell>
        </row>
        <row r="1557">
          <cell r="M1557">
            <v>0</v>
          </cell>
        </row>
        <row r="1558">
          <cell r="M1558">
            <v>0</v>
          </cell>
        </row>
        <row r="1559">
          <cell r="M1559">
            <v>0</v>
          </cell>
        </row>
        <row r="1560">
          <cell r="M1560">
            <v>0</v>
          </cell>
        </row>
        <row r="1561">
          <cell r="M1561">
            <v>0</v>
          </cell>
        </row>
        <row r="1562">
          <cell r="A1562" t="str">
            <v>S71</v>
          </cell>
          <cell r="M1562">
            <v>0</v>
          </cell>
        </row>
        <row r="1565">
          <cell r="M1565">
            <v>17</v>
          </cell>
        </row>
        <row r="1568">
          <cell r="A1568">
            <v>11</v>
          </cell>
          <cell r="M1568">
            <v>1.1900000000000002</v>
          </cell>
        </row>
        <row r="1569">
          <cell r="A1569">
            <v>13</v>
          </cell>
          <cell r="M1569">
            <v>1.36</v>
          </cell>
        </row>
        <row r="1570">
          <cell r="A1570">
            <v>267</v>
          </cell>
          <cell r="M1570">
            <v>17</v>
          </cell>
        </row>
        <row r="1571">
          <cell r="M1571">
            <v>0</v>
          </cell>
        </row>
        <row r="1572">
          <cell r="M1572">
            <v>0</v>
          </cell>
        </row>
        <row r="1573">
          <cell r="M1573">
            <v>0</v>
          </cell>
        </row>
        <row r="1574">
          <cell r="M1574">
            <v>0</v>
          </cell>
        </row>
        <row r="1575">
          <cell r="M1575">
            <v>0</v>
          </cell>
        </row>
        <row r="1576">
          <cell r="M1576">
            <v>0</v>
          </cell>
        </row>
        <row r="1577">
          <cell r="M1577">
            <v>0</v>
          </cell>
        </row>
        <row r="1578">
          <cell r="M1578">
            <v>0</v>
          </cell>
        </row>
        <row r="1579">
          <cell r="M1579">
            <v>0</v>
          </cell>
        </row>
        <row r="1580">
          <cell r="M1580">
            <v>0</v>
          </cell>
        </row>
        <row r="1581">
          <cell r="M1581">
            <v>0</v>
          </cell>
        </row>
        <row r="1582">
          <cell r="M1582">
            <v>0</v>
          </cell>
        </row>
        <row r="1583">
          <cell r="M1583">
            <v>0</v>
          </cell>
        </row>
        <row r="1584">
          <cell r="A1584" t="str">
            <v>S72</v>
          </cell>
          <cell r="M1584">
            <v>0</v>
          </cell>
        </row>
        <row r="1587">
          <cell r="M1587">
            <v>4</v>
          </cell>
        </row>
        <row r="1590">
          <cell r="A1590">
            <v>11</v>
          </cell>
          <cell r="M1590">
            <v>0.28000000000000003</v>
          </cell>
        </row>
        <row r="1591">
          <cell r="A1591">
            <v>13</v>
          </cell>
          <cell r="M1591">
            <v>0.32</v>
          </cell>
        </row>
        <row r="1592">
          <cell r="A1592">
            <v>265</v>
          </cell>
          <cell r="M1592">
            <v>4</v>
          </cell>
        </row>
        <row r="1593">
          <cell r="M1593">
            <v>0</v>
          </cell>
        </row>
        <row r="1594">
          <cell r="M1594">
            <v>0</v>
          </cell>
        </row>
        <row r="1595">
          <cell r="M1595">
            <v>0</v>
          </cell>
        </row>
        <row r="1596">
          <cell r="M1596">
            <v>0</v>
          </cell>
        </row>
        <row r="1597">
          <cell r="M1597">
            <v>0</v>
          </cell>
        </row>
        <row r="1598">
          <cell r="M1598">
            <v>0</v>
          </cell>
        </row>
        <row r="1599">
          <cell r="M1599">
            <v>0</v>
          </cell>
        </row>
        <row r="1600">
          <cell r="M1600">
            <v>0</v>
          </cell>
        </row>
        <row r="1601">
          <cell r="M1601">
            <v>0</v>
          </cell>
        </row>
        <row r="1602">
          <cell r="M1602">
            <v>0</v>
          </cell>
        </row>
        <row r="1603">
          <cell r="M1603">
            <v>0</v>
          </cell>
        </row>
        <row r="1604">
          <cell r="M1604">
            <v>0</v>
          </cell>
        </row>
        <row r="1605">
          <cell r="M1605">
            <v>0</v>
          </cell>
        </row>
        <row r="1606">
          <cell r="A1606" t="str">
            <v>S73</v>
          </cell>
          <cell r="M1606">
            <v>0</v>
          </cell>
        </row>
        <row r="1609">
          <cell r="M1609">
            <v>12</v>
          </cell>
        </row>
        <row r="1612">
          <cell r="A1612">
            <v>11</v>
          </cell>
          <cell r="M1612">
            <v>0.84000000000000008</v>
          </cell>
        </row>
        <row r="1613">
          <cell r="A1613">
            <v>13</v>
          </cell>
          <cell r="M1613">
            <v>0.96</v>
          </cell>
        </row>
        <row r="1614">
          <cell r="A1614">
            <v>266</v>
          </cell>
          <cell r="M1614">
            <v>12</v>
          </cell>
        </row>
        <row r="1615">
          <cell r="M1615">
            <v>0</v>
          </cell>
        </row>
        <row r="1616">
          <cell r="M1616">
            <v>0</v>
          </cell>
        </row>
        <row r="1617">
          <cell r="M1617">
            <v>0</v>
          </cell>
        </row>
        <row r="1618">
          <cell r="M1618">
            <v>0</v>
          </cell>
        </row>
        <row r="1619">
          <cell r="M1619">
            <v>0</v>
          </cell>
        </row>
        <row r="1620">
          <cell r="M1620">
            <v>0</v>
          </cell>
        </row>
        <row r="1621">
          <cell r="M1621">
            <v>0</v>
          </cell>
        </row>
        <row r="1622">
          <cell r="M1622">
            <v>0</v>
          </cell>
        </row>
        <row r="1623">
          <cell r="M1623">
            <v>0</v>
          </cell>
        </row>
        <row r="1624">
          <cell r="M1624">
            <v>0</v>
          </cell>
        </row>
        <row r="1625">
          <cell r="M1625">
            <v>0</v>
          </cell>
        </row>
        <row r="1626">
          <cell r="M1626">
            <v>0</v>
          </cell>
        </row>
        <row r="1627">
          <cell r="M1627">
            <v>0</v>
          </cell>
        </row>
        <row r="1628">
          <cell r="A1628" t="str">
            <v>S74</v>
          </cell>
          <cell r="M1628">
            <v>0</v>
          </cell>
        </row>
        <row r="1631">
          <cell r="M1631">
            <v>2</v>
          </cell>
        </row>
        <row r="1634">
          <cell r="A1634">
            <v>11</v>
          </cell>
          <cell r="M1634">
            <v>0.14000000000000001</v>
          </cell>
        </row>
        <row r="1635">
          <cell r="A1635">
            <v>13</v>
          </cell>
          <cell r="M1635">
            <v>0.16</v>
          </cell>
        </row>
        <row r="1636">
          <cell r="A1636">
            <v>269</v>
          </cell>
          <cell r="M1636">
            <v>2</v>
          </cell>
        </row>
        <row r="1637">
          <cell r="M1637">
            <v>0</v>
          </cell>
        </row>
        <row r="1638">
          <cell r="M1638">
            <v>0</v>
          </cell>
        </row>
        <row r="1639">
          <cell r="M1639">
            <v>0</v>
          </cell>
        </row>
        <row r="1640">
          <cell r="M1640">
            <v>0</v>
          </cell>
        </row>
        <row r="1641">
          <cell r="M1641">
            <v>0</v>
          </cell>
        </row>
        <row r="1642">
          <cell r="M1642">
            <v>0</v>
          </cell>
        </row>
        <row r="1643">
          <cell r="M1643">
            <v>0</v>
          </cell>
        </row>
        <row r="1644">
          <cell r="M1644">
            <v>0</v>
          </cell>
        </row>
        <row r="1645">
          <cell r="M1645">
            <v>0</v>
          </cell>
        </row>
        <row r="1646">
          <cell r="M1646">
            <v>0</v>
          </cell>
        </row>
        <row r="1647">
          <cell r="M1647">
            <v>0</v>
          </cell>
        </row>
        <row r="1648">
          <cell r="M1648">
            <v>0</v>
          </cell>
        </row>
        <row r="1649">
          <cell r="M1649">
            <v>0</v>
          </cell>
        </row>
        <row r="1650">
          <cell r="A1650" t="str">
            <v>S75</v>
          </cell>
          <cell r="M1650">
            <v>0</v>
          </cell>
        </row>
        <row r="1653">
          <cell r="M1653">
            <v>8</v>
          </cell>
        </row>
        <row r="1656">
          <cell r="A1656">
            <v>13</v>
          </cell>
          <cell r="M1656">
            <v>1.68</v>
          </cell>
        </row>
        <row r="1657">
          <cell r="A1657">
            <v>134</v>
          </cell>
          <cell r="M1657">
            <v>8</v>
          </cell>
        </row>
        <row r="1658">
          <cell r="M1658">
            <v>0</v>
          </cell>
        </row>
        <row r="1659">
          <cell r="M1659">
            <v>0</v>
          </cell>
        </row>
        <row r="1660">
          <cell r="M1660">
            <v>0</v>
          </cell>
        </row>
        <row r="1661">
          <cell r="M1661">
            <v>0</v>
          </cell>
        </row>
        <row r="1662">
          <cell r="M1662">
            <v>0</v>
          </cell>
        </row>
        <row r="1663">
          <cell r="M1663">
            <v>0</v>
          </cell>
        </row>
        <row r="1664">
          <cell r="M1664">
            <v>0</v>
          </cell>
        </row>
        <row r="1665">
          <cell r="M1665">
            <v>0</v>
          </cell>
        </row>
        <row r="1666">
          <cell r="M1666">
            <v>0</v>
          </cell>
        </row>
        <row r="1667">
          <cell r="M1667">
            <v>0</v>
          </cell>
        </row>
        <row r="1668">
          <cell r="M1668">
            <v>0</v>
          </cell>
        </row>
        <row r="1669">
          <cell r="M1669">
            <v>0</v>
          </cell>
        </row>
        <row r="1670">
          <cell r="M1670">
            <v>0</v>
          </cell>
        </row>
        <row r="1671">
          <cell r="M1671">
            <v>0</v>
          </cell>
        </row>
        <row r="1672">
          <cell r="A1672" t="str">
            <v>S76</v>
          </cell>
          <cell r="M1672">
            <v>0</v>
          </cell>
        </row>
        <row r="1675">
          <cell r="M1675">
            <v>73</v>
          </cell>
        </row>
        <row r="1678">
          <cell r="A1678">
            <v>13</v>
          </cell>
          <cell r="M1678">
            <v>11.68</v>
          </cell>
        </row>
        <row r="1679">
          <cell r="A1679">
            <v>110</v>
          </cell>
          <cell r="M1679">
            <v>73</v>
          </cell>
        </row>
        <row r="1680">
          <cell r="M1680">
            <v>0</v>
          </cell>
        </row>
        <row r="1681">
          <cell r="M1681">
            <v>0</v>
          </cell>
        </row>
        <row r="1682">
          <cell r="M1682">
            <v>0</v>
          </cell>
        </row>
        <row r="1683">
          <cell r="M1683">
            <v>0</v>
          </cell>
        </row>
        <row r="1684">
          <cell r="M1684">
            <v>0</v>
          </cell>
        </row>
        <row r="1685">
          <cell r="M1685">
            <v>0</v>
          </cell>
        </row>
        <row r="1686">
          <cell r="M1686">
            <v>0</v>
          </cell>
        </row>
        <row r="1687">
          <cell r="M1687">
            <v>0</v>
          </cell>
        </row>
        <row r="1688">
          <cell r="M1688">
            <v>0</v>
          </cell>
        </row>
        <row r="1689">
          <cell r="M1689">
            <v>0</v>
          </cell>
        </row>
        <row r="1690">
          <cell r="M1690">
            <v>0</v>
          </cell>
        </row>
        <row r="1691">
          <cell r="M1691">
            <v>0</v>
          </cell>
        </row>
        <row r="1692">
          <cell r="M1692">
            <v>0</v>
          </cell>
        </row>
        <row r="1693">
          <cell r="M1693">
            <v>0</v>
          </cell>
        </row>
        <row r="1694">
          <cell r="A1694" t="str">
            <v>S77</v>
          </cell>
          <cell r="M1694">
            <v>0</v>
          </cell>
        </row>
        <row r="1697">
          <cell r="M1697">
            <v>12</v>
          </cell>
        </row>
        <row r="1700">
          <cell r="A1700">
            <v>13</v>
          </cell>
          <cell r="M1700">
            <v>1.7999999999999998</v>
          </cell>
        </row>
        <row r="1701">
          <cell r="A1701">
            <v>156</v>
          </cell>
          <cell r="M1701">
            <v>12</v>
          </cell>
        </row>
        <row r="1702">
          <cell r="M1702">
            <v>0</v>
          </cell>
        </row>
        <row r="1703">
          <cell r="M1703">
            <v>0</v>
          </cell>
        </row>
        <row r="1704">
          <cell r="M1704">
            <v>0</v>
          </cell>
        </row>
        <row r="1705">
          <cell r="M1705">
            <v>0</v>
          </cell>
        </row>
        <row r="1706">
          <cell r="M1706">
            <v>0</v>
          </cell>
        </row>
        <row r="1707">
          <cell r="M1707">
            <v>0</v>
          </cell>
        </row>
        <row r="1708">
          <cell r="M1708">
            <v>0</v>
          </cell>
        </row>
        <row r="1709">
          <cell r="M1709">
            <v>0</v>
          </cell>
        </row>
        <row r="1710">
          <cell r="M1710">
            <v>0</v>
          </cell>
        </row>
        <row r="1711">
          <cell r="M1711">
            <v>0</v>
          </cell>
        </row>
        <row r="1712">
          <cell r="M1712">
            <v>0</v>
          </cell>
        </row>
        <row r="1713">
          <cell r="M1713">
            <v>0</v>
          </cell>
        </row>
        <row r="1714">
          <cell r="M1714">
            <v>0</v>
          </cell>
        </row>
        <row r="1715">
          <cell r="M1715">
            <v>0</v>
          </cell>
        </row>
        <row r="1716">
          <cell r="A1716" t="str">
            <v>S78</v>
          </cell>
          <cell r="M1716">
            <v>0</v>
          </cell>
        </row>
        <row r="1719">
          <cell r="M1719">
            <v>68</v>
          </cell>
        </row>
        <row r="1722">
          <cell r="A1722">
            <v>13</v>
          </cell>
          <cell r="M1722">
            <v>6.8000000000000007</v>
          </cell>
        </row>
        <row r="1723">
          <cell r="A1723">
            <v>168</v>
          </cell>
          <cell r="M1723">
            <v>68</v>
          </cell>
        </row>
        <row r="1724">
          <cell r="M1724">
            <v>0</v>
          </cell>
        </row>
        <row r="1725">
          <cell r="M1725">
            <v>0</v>
          </cell>
        </row>
        <row r="1726">
          <cell r="M1726">
            <v>0</v>
          </cell>
        </row>
        <row r="1727">
          <cell r="M1727">
            <v>0</v>
          </cell>
        </row>
        <row r="1728">
          <cell r="M1728">
            <v>0</v>
          </cell>
        </row>
        <row r="1729">
          <cell r="M1729">
            <v>0</v>
          </cell>
        </row>
        <row r="1730">
          <cell r="M1730">
            <v>0</v>
          </cell>
        </row>
        <row r="1731">
          <cell r="M1731">
            <v>0</v>
          </cell>
        </row>
        <row r="1732">
          <cell r="M1732">
            <v>0</v>
          </cell>
        </row>
        <row r="1733">
          <cell r="M1733">
            <v>0</v>
          </cell>
        </row>
        <row r="1734">
          <cell r="M1734">
            <v>0</v>
          </cell>
        </row>
        <row r="1735">
          <cell r="M1735">
            <v>0</v>
          </cell>
        </row>
        <row r="1736">
          <cell r="M1736">
            <v>0</v>
          </cell>
        </row>
        <row r="1737">
          <cell r="M1737">
            <v>0</v>
          </cell>
        </row>
        <row r="1738">
          <cell r="A1738" t="str">
            <v>S79</v>
          </cell>
          <cell r="M1738">
            <v>0</v>
          </cell>
        </row>
        <row r="1741">
          <cell r="M1741">
            <v>284</v>
          </cell>
        </row>
        <row r="1744">
          <cell r="A1744">
            <v>13</v>
          </cell>
          <cell r="M1744">
            <v>22.72</v>
          </cell>
        </row>
        <row r="1745">
          <cell r="A1745">
            <v>174</v>
          </cell>
          <cell r="M1745">
            <v>284</v>
          </cell>
        </row>
        <row r="1746">
          <cell r="M1746">
            <v>0</v>
          </cell>
        </row>
        <row r="1747">
          <cell r="M1747">
            <v>0</v>
          </cell>
        </row>
        <row r="1748">
          <cell r="M1748">
            <v>0</v>
          </cell>
        </row>
        <row r="1749">
          <cell r="M1749">
            <v>0</v>
          </cell>
        </row>
        <row r="1750">
          <cell r="M1750">
            <v>0</v>
          </cell>
        </row>
        <row r="1751">
          <cell r="M1751">
            <v>0</v>
          </cell>
        </row>
        <row r="1752">
          <cell r="M1752">
            <v>0</v>
          </cell>
        </row>
        <row r="1753">
          <cell r="M1753">
            <v>0</v>
          </cell>
        </row>
        <row r="1754">
          <cell r="M1754">
            <v>0</v>
          </cell>
        </row>
        <row r="1755">
          <cell r="M1755">
            <v>0</v>
          </cell>
        </row>
        <row r="1756">
          <cell r="M1756">
            <v>0</v>
          </cell>
        </row>
        <row r="1757">
          <cell r="M1757">
            <v>0</v>
          </cell>
        </row>
        <row r="1758">
          <cell r="M1758">
            <v>0</v>
          </cell>
        </row>
        <row r="1759">
          <cell r="M1759">
            <v>0</v>
          </cell>
        </row>
        <row r="1760">
          <cell r="A1760" t="str">
            <v>S80</v>
          </cell>
          <cell r="M1760">
            <v>0</v>
          </cell>
        </row>
        <row r="1763">
          <cell r="M1763">
            <v>24</v>
          </cell>
        </row>
        <row r="1766">
          <cell r="A1766">
            <v>11</v>
          </cell>
          <cell r="M1766">
            <v>0.312</v>
          </cell>
        </row>
        <row r="1767">
          <cell r="A1767">
            <v>13</v>
          </cell>
          <cell r="M1767">
            <v>0.12</v>
          </cell>
        </row>
        <row r="1768">
          <cell r="A1768">
            <v>16</v>
          </cell>
          <cell r="M1768">
            <v>0.28800000000000003</v>
          </cell>
        </row>
        <row r="1769">
          <cell r="M1769">
            <v>0</v>
          </cell>
        </row>
        <row r="1770">
          <cell r="M1770">
            <v>0</v>
          </cell>
        </row>
        <row r="1771">
          <cell r="M1771">
            <v>0</v>
          </cell>
        </row>
        <row r="1772">
          <cell r="M1772">
            <v>0</v>
          </cell>
        </row>
        <row r="1773">
          <cell r="M1773">
            <v>0</v>
          </cell>
        </row>
        <row r="1774">
          <cell r="M1774">
            <v>0</v>
          </cell>
        </row>
        <row r="1775">
          <cell r="M1775">
            <v>0</v>
          </cell>
        </row>
        <row r="1776">
          <cell r="M1776">
            <v>0</v>
          </cell>
        </row>
        <row r="1777">
          <cell r="M1777">
            <v>0</v>
          </cell>
        </row>
        <row r="1778">
          <cell r="M1778">
            <v>0</v>
          </cell>
        </row>
        <row r="1779">
          <cell r="M1779">
            <v>0</v>
          </cell>
        </row>
        <row r="1780">
          <cell r="M1780">
            <v>0</v>
          </cell>
        </row>
        <row r="1781">
          <cell r="M1781">
            <v>0</v>
          </cell>
        </row>
        <row r="1782">
          <cell r="A1782" t="str">
            <v>S81</v>
          </cell>
          <cell r="M1782">
            <v>0</v>
          </cell>
        </row>
        <row r="1785">
          <cell r="M1785">
            <v>24</v>
          </cell>
        </row>
        <row r="1788">
          <cell r="A1788">
            <v>11</v>
          </cell>
          <cell r="M1788">
            <v>1.008</v>
          </cell>
        </row>
        <row r="1789">
          <cell r="A1789">
            <v>16</v>
          </cell>
          <cell r="M1789">
            <v>0.96</v>
          </cell>
        </row>
        <row r="1790">
          <cell r="M1790">
            <v>0</v>
          </cell>
        </row>
        <row r="1791">
          <cell r="M1791">
            <v>0</v>
          </cell>
        </row>
        <row r="1792">
          <cell r="M1792">
            <v>0</v>
          </cell>
        </row>
        <row r="1793">
          <cell r="M1793">
            <v>0</v>
          </cell>
        </row>
        <row r="1794">
          <cell r="M1794">
            <v>0</v>
          </cell>
        </row>
        <row r="1795">
          <cell r="M1795">
            <v>0</v>
          </cell>
        </row>
        <row r="1796">
          <cell r="M1796">
            <v>0</v>
          </cell>
        </row>
        <row r="1797">
          <cell r="M1797">
            <v>0</v>
          </cell>
        </row>
        <row r="1798">
          <cell r="M1798">
            <v>0</v>
          </cell>
        </row>
        <row r="1799">
          <cell r="M1799">
            <v>0</v>
          </cell>
        </row>
        <row r="1800">
          <cell r="M1800">
            <v>0</v>
          </cell>
        </row>
        <row r="1801">
          <cell r="M1801">
            <v>0</v>
          </cell>
        </row>
        <row r="1802">
          <cell r="M1802">
            <v>0</v>
          </cell>
        </row>
        <row r="1803">
          <cell r="M1803">
            <v>0</v>
          </cell>
        </row>
        <row r="1804">
          <cell r="A1804" t="str">
            <v>S82</v>
          </cell>
          <cell r="M1804">
            <v>0</v>
          </cell>
        </row>
        <row r="1807">
          <cell r="M1807">
            <v>76</v>
          </cell>
        </row>
        <row r="1810">
          <cell r="A1810">
            <v>11</v>
          </cell>
          <cell r="M1810">
            <v>0.30399999999999999</v>
          </cell>
        </row>
        <row r="1811">
          <cell r="A1811">
            <v>13</v>
          </cell>
          <cell r="M1811">
            <v>0.30399999999999999</v>
          </cell>
        </row>
        <row r="1812">
          <cell r="A1812">
            <v>15</v>
          </cell>
          <cell r="M1812">
            <v>0.22800000000000001</v>
          </cell>
        </row>
        <row r="1813">
          <cell r="M1813">
            <v>0</v>
          </cell>
        </row>
        <row r="1814">
          <cell r="M1814">
            <v>0</v>
          </cell>
        </row>
        <row r="1815">
          <cell r="M1815">
            <v>0</v>
          </cell>
        </row>
        <row r="1816">
          <cell r="M1816">
            <v>0</v>
          </cell>
        </row>
        <row r="1817">
          <cell r="M1817">
            <v>0</v>
          </cell>
        </row>
        <row r="1818">
          <cell r="M1818">
            <v>0</v>
          </cell>
        </row>
        <row r="1819">
          <cell r="M1819">
            <v>0</v>
          </cell>
        </row>
        <row r="1820">
          <cell r="M1820">
            <v>0</v>
          </cell>
        </row>
        <row r="1821">
          <cell r="M1821">
            <v>0</v>
          </cell>
        </row>
        <row r="1822">
          <cell r="M1822">
            <v>0</v>
          </cell>
        </row>
        <row r="1823">
          <cell r="M1823">
            <v>0</v>
          </cell>
        </row>
        <row r="1824">
          <cell r="M1824">
            <v>0</v>
          </cell>
        </row>
        <row r="1825">
          <cell r="M1825">
            <v>0</v>
          </cell>
        </row>
        <row r="1826">
          <cell r="A1826" t="str">
            <v>S83</v>
          </cell>
          <cell r="M1826">
            <v>0</v>
          </cell>
        </row>
        <row r="1829">
          <cell r="M1829">
            <v>320</v>
          </cell>
        </row>
        <row r="1832">
          <cell r="A1832">
            <v>11</v>
          </cell>
          <cell r="M1832">
            <v>1.92</v>
          </cell>
        </row>
        <row r="1833">
          <cell r="A1833">
            <v>13</v>
          </cell>
          <cell r="M1833">
            <v>2.2400000000000002</v>
          </cell>
        </row>
        <row r="1834">
          <cell r="A1834">
            <v>15</v>
          </cell>
          <cell r="M1834">
            <v>0.96</v>
          </cell>
        </row>
        <row r="1835">
          <cell r="M1835">
            <v>0</v>
          </cell>
        </row>
        <row r="1836">
          <cell r="M1836">
            <v>0</v>
          </cell>
        </row>
        <row r="1837">
          <cell r="M1837">
            <v>0</v>
          </cell>
        </row>
        <row r="1838">
          <cell r="M1838">
            <v>0</v>
          </cell>
        </row>
        <row r="1839">
          <cell r="M1839">
            <v>0</v>
          </cell>
        </row>
        <row r="1840">
          <cell r="M1840">
            <v>0</v>
          </cell>
        </row>
        <row r="1841">
          <cell r="M1841">
            <v>0</v>
          </cell>
        </row>
        <row r="1842">
          <cell r="M1842">
            <v>0</v>
          </cell>
        </row>
        <row r="1843">
          <cell r="M1843">
            <v>0</v>
          </cell>
        </row>
        <row r="1844">
          <cell r="M1844">
            <v>0</v>
          </cell>
        </row>
        <row r="1845">
          <cell r="M1845">
            <v>0</v>
          </cell>
        </row>
        <row r="1846">
          <cell r="M1846">
            <v>0</v>
          </cell>
        </row>
        <row r="1847">
          <cell r="M1847">
            <v>0</v>
          </cell>
        </row>
        <row r="1848">
          <cell r="A1848" t="str">
            <v>S84</v>
          </cell>
          <cell r="M1848">
            <v>0</v>
          </cell>
        </row>
        <row r="1851">
          <cell r="M1851">
            <v>174</v>
          </cell>
        </row>
        <row r="1854">
          <cell r="A1854">
            <v>11</v>
          </cell>
          <cell r="M1854">
            <v>1.044</v>
          </cell>
        </row>
        <row r="1855">
          <cell r="A1855">
            <v>13</v>
          </cell>
          <cell r="M1855">
            <v>1.5659999999999998</v>
          </cell>
        </row>
        <row r="1856">
          <cell r="A1856">
            <v>15</v>
          </cell>
          <cell r="M1856">
            <v>0.52200000000000002</v>
          </cell>
        </row>
        <row r="1857">
          <cell r="M1857">
            <v>0</v>
          </cell>
        </row>
        <row r="1858">
          <cell r="M1858">
            <v>0</v>
          </cell>
        </row>
        <row r="1859">
          <cell r="M1859">
            <v>0</v>
          </cell>
        </row>
        <row r="1860">
          <cell r="M1860">
            <v>0</v>
          </cell>
        </row>
        <row r="1861">
          <cell r="M1861">
            <v>0</v>
          </cell>
        </row>
        <row r="1862">
          <cell r="M1862">
            <v>0</v>
          </cell>
        </row>
        <row r="1863">
          <cell r="M1863">
            <v>0</v>
          </cell>
        </row>
        <row r="1864">
          <cell r="M1864">
            <v>0</v>
          </cell>
        </row>
        <row r="1865">
          <cell r="M1865">
            <v>0</v>
          </cell>
        </row>
        <row r="1866">
          <cell r="M1866">
            <v>0</v>
          </cell>
        </row>
        <row r="1867">
          <cell r="M1867">
            <v>0</v>
          </cell>
        </row>
        <row r="1868">
          <cell r="M1868">
            <v>0</v>
          </cell>
        </row>
        <row r="1869">
          <cell r="M1869">
            <v>0</v>
          </cell>
        </row>
        <row r="1870">
          <cell r="A1870" t="str">
            <v>S85</v>
          </cell>
          <cell r="M1870">
            <v>0</v>
          </cell>
        </row>
        <row r="1873">
          <cell r="M1873">
            <v>4340</v>
          </cell>
        </row>
        <row r="1876">
          <cell r="A1876">
            <v>13</v>
          </cell>
          <cell r="M1876">
            <v>4.34</v>
          </cell>
        </row>
        <row r="1877">
          <cell r="A1877">
            <v>15</v>
          </cell>
          <cell r="M1877">
            <v>4.34</v>
          </cell>
        </row>
        <row r="1878">
          <cell r="M1878">
            <v>0</v>
          </cell>
        </row>
        <row r="1879">
          <cell r="M1879">
            <v>0</v>
          </cell>
        </row>
        <row r="1880">
          <cell r="M1880">
            <v>0</v>
          </cell>
        </row>
        <row r="1881">
          <cell r="M1881">
            <v>0</v>
          </cell>
        </row>
        <row r="1882">
          <cell r="M1882">
            <v>0</v>
          </cell>
        </row>
        <row r="1883">
          <cell r="M1883">
            <v>0</v>
          </cell>
        </row>
        <row r="1884">
          <cell r="M1884">
            <v>0</v>
          </cell>
        </row>
        <row r="1885">
          <cell r="M1885">
            <v>0</v>
          </cell>
        </row>
        <row r="1886">
          <cell r="M1886">
            <v>0</v>
          </cell>
        </row>
        <row r="1887">
          <cell r="M1887">
            <v>0</v>
          </cell>
        </row>
        <row r="1888">
          <cell r="M1888">
            <v>0</v>
          </cell>
        </row>
        <row r="1889">
          <cell r="M1889">
            <v>0</v>
          </cell>
        </row>
        <row r="1890">
          <cell r="M1890">
            <v>0</v>
          </cell>
        </row>
        <row r="1891">
          <cell r="M1891">
            <v>0</v>
          </cell>
        </row>
        <row r="1892">
          <cell r="A1892" t="str">
            <v>S86</v>
          </cell>
          <cell r="M1892">
            <v>0</v>
          </cell>
        </row>
        <row r="1895">
          <cell r="M1895">
            <v>58</v>
          </cell>
        </row>
        <row r="1898">
          <cell r="A1898">
            <v>13</v>
          </cell>
          <cell r="M1898">
            <v>1.1599999999999999</v>
          </cell>
        </row>
        <row r="1899">
          <cell r="A1899">
            <v>15</v>
          </cell>
          <cell r="M1899">
            <v>0.11600000000000001</v>
          </cell>
        </row>
        <row r="1900">
          <cell r="M1900">
            <v>0</v>
          </cell>
        </row>
        <row r="1901">
          <cell r="M1901">
            <v>0</v>
          </cell>
        </row>
        <row r="1902">
          <cell r="M1902">
            <v>0</v>
          </cell>
        </row>
        <row r="1903">
          <cell r="M1903">
            <v>0</v>
          </cell>
        </row>
        <row r="1904">
          <cell r="M1904">
            <v>0</v>
          </cell>
        </row>
        <row r="1905">
          <cell r="M1905">
            <v>0</v>
          </cell>
        </row>
        <row r="1906">
          <cell r="M1906">
            <v>0</v>
          </cell>
        </row>
        <row r="1907">
          <cell r="M1907">
            <v>0</v>
          </cell>
        </row>
        <row r="1908">
          <cell r="M1908">
            <v>0</v>
          </cell>
        </row>
        <row r="1909">
          <cell r="M1909">
            <v>0</v>
          </cell>
        </row>
        <row r="1910">
          <cell r="M1910">
            <v>0</v>
          </cell>
        </row>
        <row r="1911">
          <cell r="M1911">
            <v>0</v>
          </cell>
        </row>
        <row r="1912">
          <cell r="M1912">
            <v>0</v>
          </cell>
        </row>
        <row r="1913">
          <cell r="M1913">
            <v>0</v>
          </cell>
        </row>
        <row r="1914">
          <cell r="A1914" t="str">
            <v>S87</v>
          </cell>
          <cell r="M1914">
            <v>0</v>
          </cell>
        </row>
        <row r="1917">
          <cell r="M1917">
            <v>365</v>
          </cell>
        </row>
        <row r="1920">
          <cell r="A1920">
            <v>13</v>
          </cell>
          <cell r="M1920">
            <v>21.9</v>
          </cell>
        </row>
        <row r="1921">
          <cell r="M1921">
            <v>0</v>
          </cell>
        </row>
        <row r="1922">
          <cell r="M1922">
            <v>0</v>
          </cell>
        </row>
        <row r="1923">
          <cell r="M1923">
            <v>0</v>
          </cell>
        </row>
        <row r="1924">
          <cell r="M1924">
            <v>0</v>
          </cell>
        </row>
        <row r="1925">
          <cell r="M1925">
            <v>0</v>
          </cell>
        </row>
        <row r="1926">
          <cell r="M1926">
            <v>0</v>
          </cell>
        </row>
        <row r="1927">
          <cell r="M1927">
            <v>0</v>
          </cell>
        </row>
        <row r="1928">
          <cell r="M1928">
            <v>0</v>
          </cell>
        </row>
        <row r="1929">
          <cell r="M1929">
            <v>0</v>
          </cell>
        </row>
        <row r="1930">
          <cell r="M1930">
            <v>0</v>
          </cell>
        </row>
        <row r="1931">
          <cell r="M1931">
            <v>0</v>
          </cell>
        </row>
        <row r="1932">
          <cell r="M1932">
            <v>0</v>
          </cell>
        </row>
        <row r="1933">
          <cell r="M1933">
            <v>0</v>
          </cell>
        </row>
        <row r="1934">
          <cell r="M1934">
            <v>0</v>
          </cell>
        </row>
        <row r="1935">
          <cell r="M1935">
            <v>0</v>
          </cell>
        </row>
        <row r="1936">
          <cell r="A1936" t="str">
            <v>S88</v>
          </cell>
          <cell r="M1936">
            <v>0</v>
          </cell>
        </row>
        <row r="1939">
          <cell r="M1939">
            <v>77</v>
          </cell>
        </row>
        <row r="1942">
          <cell r="A1942">
            <v>13</v>
          </cell>
          <cell r="M1942">
            <v>0.61599999999999999</v>
          </cell>
        </row>
        <row r="1943">
          <cell r="M1943">
            <v>0</v>
          </cell>
        </row>
        <row r="1944">
          <cell r="M1944">
            <v>0</v>
          </cell>
        </row>
        <row r="1945">
          <cell r="M1945">
            <v>0</v>
          </cell>
        </row>
        <row r="1946">
          <cell r="M1946">
            <v>0</v>
          </cell>
        </row>
        <row r="1947">
          <cell r="M1947">
            <v>0</v>
          </cell>
        </row>
        <row r="1948">
          <cell r="M1948">
            <v>0</v>
          </cell>
        </row>
        <row r="1949">
          <cell r="M1949">
            <v>0</v>
          </cell>
        </row>
        <row r="1950">
          <cell r="M1950">
            <v>0</v>
          </cell>
        </row>
        <row r="1951">
          <cell r="M1951">
            <v>0</v>
          </cell>
        </row>
        <row r="1952">
          <cell r="M1952">
            <v>0</v>
          </cell>
        </row>
        <row r="1953">
          <cell r="M1953">
            <v>0</v>
          </cell>
        </row>
        <row r="1954">
          <cell r="M1954">
            <v>0</v>
          </cell>
        </row>
        <row r="1955">
          <cell r="M1955">
            <v>0</v>
          </cell>
        </row>
        <row r="1956">
          <cell r="M1956">
            <v>0</v>
          </cell>
        </row>
        <row r="1957">
          <cell r="M1957">
            <v>0</v>
          </cell>
        </row>
        <row r="1958">
          <cell r="A1958" t="str">
            <v>S89</v>
          </cell>
          <cell r="M1958">
            <v>0</v>
          </cell>
        </row>
        <row r="1961">
          <cell r="M1961">
            <v>37</v>
          </cell>
        </row>
        <row r="1964">
          <cell r="A1964">
            <v>11</v>
          </cell>
          <cell r="M1964">
            <v>0.74</v>
          </cell>
        </row>
        <row r="1965">
          <cell r="A1965">
            <v>13</v>
          </cell>
          <cell r="M1965">
            <v>0.74</v>
          </cell>
        </row>
        <row r="1966">
          <cell r="M1966">
            <v>0</v>
          </cell>
        </row>
        <row r="1967">
          <cell r="M1967">
            <v>0</v>
          </cell>
        </row>
        <row r="1968">
          <cell r="M1968">
            <v>0</v>
          </cell>
        </row>
        <row r="1969">
          <cell r="M1969">
            <v>0</v>
          </cell>
        </row>
        <row r="1970">
          <cell r="M1970">
            <v>0</v>
          </cell>
        </row>
        <row r="1971">
          <cell r="M1971">
            <v>0</v>
          </cell>
        </row>
        <row r="1972">
          <cell r="M1972">
            <v>0</v>
          </cell>
        </row>
        <row r="1973">
          <cell r="M1973">
            <v>0</v>
          </cell>
        </row>
        <row r="1974">
          <cell r="M1974">
            <v>0</v>
          </cell>
        </row>
        <row r="1975">
          <cell r="M1975">
            <v>0</v>
          </cell>
        </row>
        <row r="1976">
          <cell r="M1976">
            <v>0</v>
          </cell>
        </row>
        <row r="1977">
          <cell r="M1977">
            <v>0</v>
          </cell>
        </row>
        <row r="1978">
          <cell r="M1978">
            <v>0</v>
          </cell>
        </row>
        <row r="1979">
          <cell r="M1979">
            <v>0</v>
          </cell>
        </row>
        <row r="1980">
          <cell r="A1980" t="str">
            <v>S90</v>
          </cell>
          <cell r="M1980">
            <v>0</v>
          </cell>
        </row>
        <row r="1983">
          <cell r="M1983">
            <v>4</v>
          </cell>
        </row>
        <row r="1986">
          <cell r="A1986">
            <v>13</v>
          </cell>
          <cell r="M1986">
            <v>0.24</v>
          </cell>
        </row>
        <row r="1987">
          <cell r="M1987">
            <v>0</v>
          </cell>
        </row>
        <row r="1988">
          <cell r="M1988">
            <v>0</v>
          </cell>
        </row>
        <row r="1989">
          <cell r="M1989">
            <v>0</v>
          </cell>
        </row>
        <row r="1990">
          <cell r="M1990">
            <v>0</v>
          </cell>
        </row>
        <row r="1991">
          <cell r="M1991">
            <v>0</v>
          </cell>
        </row>
        <row r="1992">
          <cell r="M1992">
            <v>0</v>
          </cell>
        </row>
        <row r="1993">
          <cell r="M1993">
            <v>0</v>
          </cell>
        </row>
        <row r="1994">
          <cell r="M1994">
            <v>0</v>
          </cell>
        </row>
        <row r="1995">
          <cell r="M1995">
            <v>0</v>
          </cell>
        </row>
        <row r="1996">
          <cell r="M1996">
            <v>0</v>
          </cell>
        </row>
        <row r="1997">
          <cell r="M1997">
            <v>0</v>
          </cell>
        </row>
        <row r="1998">
          <cell r="M1998">
            <v>0</v>
          </cell>
        </row>
        <row r="1999">
          <cell r="M1999">
            <v>0</v>
          </cell>
        </row>
        <row r="2000">
          <cell r="M2000">
            <v>0</v>
          </cell>
        </row>
        <row r="2001">
          <cell r="M2001">
            <v>0</v>
          </cell>
        </row>
        <row r="2002">
          <cell r="A2002" t="str">
            <v>S91</v>
          </cell>
          <cell r="M2002">
            <v>0</v>
          </cell>
        </row>
        <row r="2005">
          <cell r="M2005">
            <v>4</v>
          </cell>
        </row>
        <row r="2008">
          <cell r="A2008">
            <v>13</v>
          </cell>
          <cell r="M2008">
            <v>0.16</v>
          </cell>
        </row>
        <row r="2009">
          <cell r="M2009">
            <v>0</v>
          </cell>
        </row>
        <row r="2010">
          <cell r="M2010">
            <v>0</v>
          </cell>
        </row>
        <row r="2011">
          <cell r="M2011">
            <v>0</v>
          </cell>
        </row>
        <row r="2012">
          <cell r="M2012">
            <v>0</v>
          </cell>
        </row>
        <row r="2013">
          <cell r="M2013">
            <v>0</v>
          </cell>
        </row>
        <row r="2014">
          <cell r="M2014">
            <v>0</v>
          </cell>
        </row>
        <row r="2015">
          <cell r="M2015">
            <v>0</v>
          </cell>
        </row>
        <row r="2016">
          <cell r="M2016">
            <v>0</v>
          </cell>
        </row>
        <row r="2017">
          <cell r="M2017">
            <v>0</v>
          </cell>
        </row>
        <row r="2018">
          <cell r="M2018">
            <v>0</v>
          </cell>
        </row>
        <row r="2019">
          <cell r="M2019">
            <v>0</v>
          </cell>
        </row>
        <row r="2020">
          <cell r="M2020">
            <v>0</v>
          </cell>
        </row>
        <row r="2021">
          <cell r="M2021">
            <v>0</v>
          </cell>
        </row>
        <row r="2022">
          <cell r="M2022">
            <v>0</v>
          </cell>
        </row>
        <row r="2023">
          <cell r="M2023">
            <v>0</v>
          </cell>
        </row>
        <row r="2024">
          <cell r="A2024" t="str">
            <v>S92</v>
          </cell>
          <cell r="M2024">
            <v>0</v>
          </cell>
        </row>
        <row r="2027">
          <cell r="M2027">
            <v>12</v>
          </cell>
        </row>
        <row r="2030">
          <cell r="A2030">
            <v>13</v>
          </cell>
          <cell r="M2030">
            <v>0.48</v>
          </cell>
        </row>
        <row r="2031">
          <cell r="M2031">
            <v>0</v>
          </cell>
        </row>
        <row r="2032">
          <cell r="M2032">
            <v>0</v>
          </cell>
        </row>
        <row r="2033">
          <cell r="M2033">
            <v>0</v>
          </cell>
        </row>
        <row r="2034">
          <cell r="M2034">
            <v>0</v>
          </cell>
        </row>
        <row r="2035">
          <cell r="M2035">
            <v>0</v>
          </cell>
        </row>
        <row r="2036">
          <cell r="M2036">
            <v>0</v>
          </cell>
        </row>
        <row r="2037">
          <cell r="M2037">
            <v>0</v>
          </cell>
        </row>
        <row r="2038">
          <cell r="M2038">
            <v>0</v>
          </cell>
        </row>
        <row r="2039">
          <cell r="M2039">
            <v>0</v>
          </cell>
        </row>
        <row r="2040">
          <cell r="M2040">
            <v>0</v>
          </cell>
        </row>
        <row r="2041">
          <cell r="M2041">
            <v>0</v>
          </cell>
        </row>
        <row r="2042">
          <cell r="M2042">
            <v>0</v>
          </cell>
        </row>
        <row r="2043">
          <cell r="M2043">
            <v>0</v>
          </cell>
        </row>
        <row r="2044">
          <cell r="M2044">
            <v>0</v>
          </cell>
        </row>
        <row r="2045">
          <cell r="M2045">
            <v>0</v>
          </cell>
        </row>
        <row r="2046">
          <cell r="A2046" t="str">
            <v>S93</v>
          </cell>
          <cell r="M2046">
            <v>0</v>
          </cell>
        </row>
        <row r="2049">
          <cell r="M2049">
            <v>126</v>
          </cell>
        </row>
        <row r="2052">
          <cell r="A2052">
            <v>13</v>
          </cell>
          <cell r="M2052">
            <v>3.78</v>
          </cell>
        </row>
        <row r="2053">
          <cell r="M2053">
            <v>0</v>
          </cell>
        </row>
        <row r="2054">
          <cell r="M2054">
            <v>0</v>
          </cell>
        </row>
        <row r="2055">
          <cell r="M2055">
            <v>0</v>
          </cell>
        </row>
        <row r="2056">
          <cell r="M2056">
            <v>0</v>
          </cell>
        </row>
        <row r="2057">
          <cell r="M2057">
            <v>0</v>
          </cell>
        </row>
        <row r="2058">
          <cell r="M2058">
            <v>0</v>
          </cell>
        </row>
        <row r="2059">
          <cell r="M2059">
            <v>0</v>
          </cell>
        </row>
        <row r="2060">
          <cell r="M2060">
            <v>0</v>
          </cell>
        </row>
        <row r="2061">
          <cell r="M2061">
            <v>0</v>
          </cell>
        </row>
        <row r="2062">
          <cell r="M2062">
            <v>0</v>
          </cell>
        </row>
        <row r="2063">
          <cell r="M2063">
            <v>0</v>
          </cell>
        </row>
        <row r="2064">
          <cell r="M2064">
            <v>0</v>
          </cell>
        </row>
        <row r="2065">
          <cell r="M2065">
            <v>0</v>
          </cell>
        </row>
        <row r="2066">
          <cell r="M2066">
            <v>0</v>
          </cell>
        </row>
        <row r="2067">
          <cell r="M2067">
            <v>0</v>
          </cell>
        </row>
        <row r="2068">
          <cell r="A2068" t="str">
            <v>S94</v>
          </cell>
          <cell r="M2068">
            <v>0</v>
          </cell>
        </row>
        <row r="2071">
          <cell r="M2071">
            <v>21</v>
          </cell>
        </row>
        <row r="2074">
          <cell r="A2074">
            <v>13</v>
          </cell>
          <cell r="M2074">
            <v>0.42</v>
          </cell>
        </row>
        <row r="2075">
          <cell r="M2075">
            <v>0</v>
          </cell>
        </row>
        <row r="2076">
          <cell r="M2076">
            <v>0</v>
          </cell>
        </row>
        <row r="2077">
          <cell r="M2077">
            <v>0</v>
          </cell>
        </row>
        <row r="2078">
          <cell r="M2078">
            <v>0</v>
          </cell>
        </row>
        <row r="2079">
          <cell r="M2079">
            <v>0</v>
          </cell>
        </row>
        <row r="2080">
          <cell r="M2080">
            <v>0</v>
          </cell>
        </row>
        <row r="2081">
          <cell r="M2081">
            <v>0</v>
          </cell>
        </row>
        <row r="2082">
          <cell r="M2082">
            <v>0</v>
          </cell>
        </row>
        <row r="2083">
          <cell r="M2083">
            <v>0</v>
          </cell>
        </row>
        <row r="2084">
          <cell r="M2084">
            <v>0</v>
          </cell>
        </row>
        <row r="2085">
          <cell r="M2085">
            <v>0</v>
          </cell>
        </row>
        <row r="2086">
          <cell r="M2086">
            <v>0</v>
          </cell>
        </row>
        <row r="2087">
          <cell r="M2087">
            <v>0</v>
          </cell>
        </row>
        <row r="2088">
          <cell r="M2088">
            <v>0</v>
          </cell>
        </row>
        <row r="2089">
          <cell r="M2089">
            <v>0</v>
          </cell>
        </row>
        <row r="2090">
          <cell r="A2090" t="str">
            <v>S95</v>
          </cell>
          <cell r="M2090">
            <v>0</v>
          </cell>
        </row>
        <row r="2093">
          <cell r="M2093">
            <v>24</v>
          </cell>
        </row>
        <row r="2096">
          <cell r="A2096">
            <v>11</v>
          </cell>
          <cell r="M2096">
            <v>0.24</v>
          </cell>
        </row>
        <row r="2097">
          <cell r="A2097">
            <v>16</v>
          </cell>
          <cell r="M2097">
            <v>0.24</v>
          </cell>
        </row>
        <row r="2098">
          <cell r="M2098">
            <v>0</v>
          </cell>
        </row>
        <row r="2099">
          <cell r="M2099">
            <v>0</v>
          </cell>
        </row>
        <row r="2100">
          <cell r="M2100">
            <v>0</v>
          </cell>
        </row>
        <row r="2101">
          <cell r="M2101">
            <v>0</v>
          </cell>
        </row>
        <row r="2102">
          <cell r="M2102">
            <v>0</v>
          </cell>
        </row>
        <row r="2103">
          <cell r="M2103">
            <v>0</v>
          </cell>
        </row>
        <row r="2104">
          <cell r="M2104">
            <v>0</v>
          </cell>
        </row>
        <row r="2105">
          <cell r="M2105">
            <v>0</v>
          </cell>
        </row>
        <row r="2106">
          <cell r="M2106">
            <v>0</v>
          </cell>
        </row>
        <row r="2107">
          <cell r="M2107">
            <v>0</v>
          </cell>
        </row>
        <row r="2108">
          <cell r="M2108">
            <v>0</v>
          </cell>
        </row>
        <row r="2109">
          <cell r="M2109">
            <v>0</v>
          </cell>
        </row>
        <row r="2110">
          <cell r="M2110">
            <v>0</v>
          </cell>
        </row>
        <row r="2111">
          <cell r="M2111">
            <v>0</v>
          </cell>
        </row>
        <row r="2112">
          <cell r="A2112" t="str">
            <v>S96</v>
          </cell>
          <cell r="M2112">
            <v>0</v>
          </cell>
        </row>
        <row r="2115">
          <cell r="M2115">
            <v>2</v>
          </cell>
        </row>
        <row r="2118">
          <cell r="A2118">
            <v>11</v>
          </cell>
          <cell r="M2118">
            <v>1</v>
          </cell>
        </row>
        <row r="2119">
          <cell r="A2119">
            <v>15</v>
          </cell>
          <cell r="M2119">
            <v>1</v>
          </cell>
        </row>
        <row r="2120">
          <cell r="M2120">
            <v>0</v>
          </cell>
        </row>
        <row r="2121">
          <cell r="M2121">
            <v>0</v>
          </cell>
        </row>
        <row r="2122">
          <cell r="M2122">
            <v>0</v>
          </cell>
        </row>
        <row r="2123">
          <cell r="M2123">
            <v>0</v>
          </cell>
        </row>
        <row r="2124">
          <cell r="M2124">
            <v>0</v>
          </cell>
        </row>
        <row r="2125">
          <cell r="M2125">
            <v>0</v>
          </cell>
        </row>
        <row r="2126">
          <cell r="M2126">
            <v>0</v>
          </cell>
        </row>
        <row r="2127">
          <cell r="M2127">
            <v>0</v>
          </cell>
        </row>
        <row r="2128">
          <cell r="M2128">
            <v>0</v>
          </cell>
        </row>
        <row r="2129">
          <cell r="M2129">
            <v>0</v>
          </cell>
        </row>
        <row r="2130">
          <cell r="M2130">
            <v>0</v>
          </cell>
        </row>
        <row r="2131">
          <cell r="M2131">
            <v>0</v>
          </cell>
        </row>
        <row r="2132">
          <cell r="M2132">
            <v>0</v>
          </cell>
        </row>
        <row r="2133">
          <cell r="M2133">
            <v>0</v>
          </cell>
        </row>
        <row r="2134">
          <cell r="A2134" t="str">
            <v>S97</v>
          </cell>
          <cell r="M2134">
            <v>0</v>
          </cell>
        </row>
        <row r="2137">
          <cell r="M2137">
            <v>2</v>
          </cell>
        </row>
        <row r="2140">
          <cell r="A2140">
            <v>13</v>
          </cell>
          <cell r="M2140">
            <v>1</v>
          </cell>
        </row>
        <row r="2141">
          <cell r="A2141">
            <v>15</v>
          </cell>
          <cell r="M2141">
            <v>1</v>
          </cell>
        </row>
        <row r="2142">
          <cell r="A2142">
            <v>62</v>
          </cell>
          <cell r="M2142">
            <v>8</v>
          </cell>
        </row>
        <row r="2143">
          <cell r="A2143">
            <v>53</v>
          </cell>
          <cell r="M2143">
            <v>4</v>
          </cell>
        </row>
        <row r="2144">
          <cell r="A2144">
            <v>113</v>
          </cell>
          <cell r="M2144">
            <v>8</v>
          </cell>
        </row>
        <row r="2145">
          <cell r="A2145">
            <v>50</v>
          </cell>
          <cell r="M2145">
            <v>8</v>
          </cell>
        </row>
        <row r="2146">
          <cell r="A2146">
            <v>59</v>
          </cell>
          <cell r="M2146">
            <v>4</v>
          </cell>
        </row>
        <row r="2147">
          <cell r="A2147">
            <v>56</v>
          </cell>
          <cell r="M2147">
            <v>4</v>
          </cell>
        </row>
        <row r="2148">
          <cell r="M2148">
            <v>0</v>
          </cell>
        </row>
        <row r="2149">
          <cell r="M2149">
            <v>0</v>
          </cell>
        </row>
        <row r="2150">
          <cell r="M2150">
            <v>0</v>
          </cell>
        </row>
        <row r="2151">
          <cell r="M2151">
            <v>0</v>
          </cell>
        </row>
        <row r="2152">
          <cell r="M2152">
            <v>0</v>
          </cell>
        </row>
        <row r="2153">
          <cell r="M2153">
            <v>0</v>
          </cell>
        </row>
        <row r="2154">
          <cell r="M2154">
            <v>0</v>
          </cell>
        </row>
        <row r="2155">
          <cell r="M2155">
            <v>0</v>
          </cell>
        </row>
        <row r="2156">
          <cell r="A2156" t="str">
            <v>S98</v>
          </cell>
          <cell r="M2156">
            <v>0</v>
          </cell>
        </row>
        <row r="2159">
          <cell r="M2159">
            <v>26</v>
          </cell>
        </row>
        <row r="2162">
          <cell r="A2162">
            <v>13</v>
          </cell>
          <cell r="M2162">
            <v>0.52</v>
          </cell>
        </row>
        <row r="2163">
          <cell r="M2163">
            <v>0</v>
          </cell>
        </row>
        <row r="2164">
          <cell r="M2164">
            <v>0</v>
          </cell>
        </row>
        <row r="2165">
          <cell r="M2165">
            <v>0</v>
          </cell>
        </row>
        <row r="2166">
          <cell r="M2166">
            <v>0</v>
          </cell>
        </row>
        <row r="2167">
          <cell r="M2167">
            <v>0</v>
          </cell>
        </row>
        <row r="2168">
          <cell r="M2168">
            <v>0</v>
          </cell>
        </row>
        <row r="2169">
          <cell r="M2169">
            <v>0</v>
          </cell>
        </row>
        <row r="2170">
          <cell r="M2170">
            <v>0</v>
          </cell>
        </row>
        <row r="2171">
          <cell r="M2171">
            <v>0</v>
          </cell>
        </row>
        <row r="2172">
          <cell r="M2172">
            <v>0</v>
          </cell>
        </row>
        <row r="2173">
          <cell r="M2173">
            <v>0</v>
          </cell>
        </row>
        <row r="2174">
          <cell r="M2174">
            <v>0</v>
          </cell>
        </row>
        <row r="2175">
          <cell r="M2175">
            <v>0</v>
          </cell>
        </row>
        <row r="2176">
          <cell r="M2176">
            <v>0</v>
          </cell>
        </row>
        <row r="2177">
          <cell r="M2177">
            <v>0</v>
          </cell>
        </row>
        <row r="2178">
          <cell r="A2178" t="str">
            <v>S99</v>
          </cell>
          <cell r="M2178">
            <v>0</v>
          </cell>
        </row>
        <row r="2181">
          <cell r="M2181">
            <v>2</v>
          </cell>
        </row>
        <row r="2184">
          <cell r="A2184">
            <v>16</v>
          </cell>
          <cell r="M2184">
            <v>0.38</v>
          </cell>
        </row>
        <row r="2185">
          <cell r="M2185">
            <v>0</v>
          </cell>
        </row>
        <row r="2186">
          <cell r="M2186">
            <v>0</v>
          </cell>
        </row>
        <row r="2187">
          <cell r="M2187">
            <v>0</v>
          </cell>
        </row>
        <row r="2188">
          <cell r="M2188">
            <v>0</v>
          </cell>
        </row>
        <row r="2189">
          <cell r="M2189">
            <v>0</v>
          </cell>
        </row>
        <row r="2190">
          <cell r="M2190">
            <v>0</v>
          </cell>
        </row>
        <row r="2191">
          <cell r="M2191">
            <v>0</v>
          </cell>
        </row>
        <row r="2192">
          <cell r="M2192">
            <v>0</v>
          </cell>
        </row>
        <row r="2193">
          <cell r="M2193">
            <v>0</v>
          </cell>
        </row>
        <row r="2194">
          <cell r="M2194">
            <v>0</v>
          </cell>
        </row>
        <row r="2195">
          <cell r="M2195">
            <v>0</v>
          </cell>
        </row>
        <row r="2196">
          <cell r="M2196">
            <v>0</v>
          </cell>
        </row>
        <row r="2197">
          <cell r="M2197">
            <v>0</v>
          </cell>
        </row>
        <row r="2198">
          <cell r="M2198">
            <v>0</v>
          </cell>
        </row>
        <row r="2199">
          <cell r="M2199">
            <v>0</v>
          </cell>
        </row>
        <row r="2200">
          <cell r="A2200" t="str">
            <v>S100</v>
          </cell>
          <cell r="M2200">
            <v>0</v>
          </cell>
        </row>
        <row r="2203">
          <cell r="M2203">
            <v>2</v>
          </cell>
        </row>
        <row r="2206">
          <cell r="A2206">
            <v>16</v>
          </cell>
          <cell r="M2206">
            <v>0.52</v>
          </cell>
        </row>
        <row r="2207">
          <cell r="M2207">
            <v>0</v>
          </cell>
        </row>
        <row r="2208">
          <cell r="M2208">
            <v>0</v>
          </cell>
        </row>
        <row r="2209">
          <cell r="M2209">
            <v>0</v>
          </cell>
        </row>
        <row r="2210">
          <cell r="M2210">
            <v>0</v>
          </cell>
        </row>
        <row r="2211">
          <cell r="M2211">
            <v>0</v>
          </cell>
        </row>
        <row r="2212">
          <cell r="M2212">
            <v>0</v>
          </cell>
        </row>
        <row r="2213">
          <cell r="M2213">
            <v>0</v>
          </cell>
        </row>
        <row r="2214">
          <cell r="M2214">
            <v>0</v>
          </cell>
        </row>
        <row r="2215">
          <cell r="M2215">
            <v>0</v>
          </cell>
        </row>
        <row r="2216">
          <cell r="M2216">
            <v>0</v>
          </cell>
        </row>
        <row r="2217">
          <cell r="M2217">
            <v>0</v>
          </cell>
        </row>
        <row r="2218">
          <cell r="M2218">
            <v>0</v>
          </cell>
        </row>
        <row r="2219">
          <cell r="M2219">
            <v>0</v>
          </cell>
        </row>
        <row r="2220">
          <cell r="M2220">
            <v>0</v>
          </cell>
        </row>
        <row r="2221">
          <cell r="M2221">
            <v>0</v>
          </cell>
        </row>
        <row r="2222">
          <cell r="A2222" t="str">
            <v>S101</v>
          </cell>
          <cell r="M2222">
            <v>0</v>
          </cell>
        </row>
        <row r="2225">
          <cell r="M2225">
            <v>1</v>
          </cell>
        </row>
        <row r="2228">
          <cell r="A2228">
            <v>16</v>
          </cell>
          <cell r="M2228">
            <v>0.72</v>
          </cell>
        </row>
        <row r="2229">
          <cell r="M2229">
            <v>0</v>
          </cell>
        </row>
        <row r="2230">
          <cell r="M2230">
            <v>0</v>
          </cell>
        </row>
        <row r="2231">
          <cell r="M2231">
            <v>0</v>
          </cell>
        </row>
        <row r="2232">
          <cell r="M2232">
            <v>0</v>
          </cell>
        </row>
        <row r="2233">
          <cell r="M2233">
            <v>0</v>
          </cell>
        </row>
        <row r="2234">
          <cell r="M2234">
            <v>0</v>
          </cell>
        </row>
        <row r="2235">
          <cell r="M2235">
            <v>0</v>
          </cell>
        </row>
        <row r="2236">
          <cell r="M2236">
            <v>0</v>
          </cell>
        </row>
        <row r="2237">
          <cell r="M2237">
            <v>0</v>
          </cell>
        </row>
        <row r="2238">
          <cell r="M2238">
            <v>0</v>
          </cell>
        </row>
        <row r="2239">
          <cell r="M2239">
            <v>0</v>
          </cell>
        </row>
        <row r="2240">
          <cell r="M2240">
            <v>0</v>
          </cell>
        </row>
        <row r="2241">
          <cell r="M2241">
            <v>0</v>
          </cell>
        </row>
        <row r="2242">
          <cell r="M2242">
            <v>0</v>
          </cell>
        </row>
        <row r="2243">
          <cell r="M2243">
            <v>0</v>
          </cell>
        </row>
        <row r="2244">
          <cell r="A2244" t="str">
            <v>S102</v>
          </cell>
          <cell r="M2244">
            <v>0</v>
          </cell>
        </row>
        <row r="2247">
          <cell r="M2247">
            <v>9</v>
          </cell>
        </row>
        <row r="2250">
          <cell r="A2250">
            <v>24</v>
          </cell>
          <cell r="M2250">
            <v>3.2399999999999998</v>
          </cell>
        </row>
        <row r="2251">
          <cell r="A2251">
            <v>34</v>
          </cell>
          <cell r="M2251">
            <v>3.69</v>
          </cell>
        </row>
        <row r="2252">
          <cell r="M2252">
            <v>0</v>
          </cell>
        </row>
        <row r="2253">
          <cell r="M2253">
            <v>0</v>
          </cell>
        </row>
        <row r="2254">
          <cell r="M2254">
            <v>0</v>
          </cell>
        </row>
        <row r="2255">
          <cell r="M2255">
            <v>0</v>
          </cell>
        </row>
        <row r="2256">
          <cell r="M2256">
            <v>0</v>
          </cell>
        </row>
        <row r="2257">
          <cell r="M2257">
            <v>0</v>
          </cell>
        </row>
        <row r="2258">
          <cell r="M2258">
            <v>0</v>
          </cell>
        </row>
        <row r="2259">
          <cell r="M2259">
            <v>0</v>
          </cell>
        </row>
        <row r="2260">
          <cell r="M2260">
            <v>0</v>
          </cell>
        </row>
        <row r="2261">
          <cell r="M2261">
            <v>0</v>
          </cell>
        </row>
        <row r="2262">
          <cell r="M2262">
            <v>0</v>
          </cell>
        </row>
        <row r="2263">
          <cell r="M2263">
            <v>0</v>
          </cell>
        </row>
        <row r="2264">
          <cell r="M2264">
            <v>0</v>
          </cell>
        </row>
        <row r="2265">
          <cell r="M2265">
            <v>0</v>
          </cell>
        </row>
        <row r="2266">
          <cell r="A2266" t="str">
            <v>S103</v>
          </cell>
          <cell r="M2266">
            <v>0</v>
          </cell>
        </row>
        <row r="2269">
          <cell r="M2269">
            <v>0.3</v>
          </cell>
        </row>
        <row r="2272">
          <cell r="A2272">
            <v>16</v>
          </cell>
          <cell r="M2272">
            <v>0.13200000000000001</v>
          </cell>
        </row>
        <row r="2273">
          <cell r="M2273">
            <v>0</v>
          </cell>
        </row>
        <row r="2274">
          <cell r="M2274">
            <v>0</v>
          </cell>
        </row>
        <row r="2275">
          <cell r="M2275">
            <v>0</v>
          </cell>
        </row>
        <row r="2276">
          <cell r="M2276">
            <v>0</v>
          </cell>
        </row>
        <row r="2277">
          <cell r="M2277">
            <v>0</v>
          </cell>
        </row>
        <row r="2278">
          <cell r="M2278">
            <v>0</v>
          </cell>
        </row>
        <row r="2279">
          <cell r="M2279">
            <v>0</v>
          </cell>
        </row>
        <row r="2280">
          <cell r="M2280">
            <v>0</v>
          </cell>
        </row>
        <row r="2281">
          <cell r="M2281">
            <v>0</v>
          </cell>
        </row>
        <row r="2282">
          <cell r="M2282">
            <v>0</v>
          </cell>
        </row>
        <row r="2283">
          <cell r="M2283">
            <v>0</v>
          </cell>
        </row>
        <row r="2284">
          <cell r="M2284">
            <v>0</v>
          </cell>
        </row>
        <row r="2285">
          <cell r="M2285">
            <v>0</v>
          </cell>
        </row>
        <row r="2286">
          <cell r="M2286">
            <v>0</v>
          </cell>
        </row>
        <row r="2287">
          <cell r="M2287">
            <v>0</v>
          </cell>
        </row>
        <row r="2288">
          <cell r="A2288" t="str">
            <v>S104</v>
          </cell>
          <cell r="M2288">
            <v>0</v>
          </cell>
        </row>
        <row r="2291">
          <cell r="M2291">
            <v>2</v>
          </cell>
        </row>
        <row r="2294">
          <cell r="A2294">
            <v>24</v>
          </cell>
          <cell r="M2294">
            <v>0.3</v>
          </cell>
        </row>
        <row r="2295">
          <cell r="A2295">
            <v>34</v>
          </cell>
          <cell r="M2295">
            <v>0.36</v>
          </cell>
        </row>
        <row r="2296">
          <cell r="M2296">
            <v>0</v>
          </cell>
        </row>
        <row r="2297">
          <cell r="M2297">
            <v>0</v>
          </cell>
        </row>
        <row r="2298">
          <cell r="M2298">
            <v>0</v>
          </cell>
        </row>
        <row r="2299">
          <cell r="M2299">
            <v>0</v>
          </cell>
        </row>
        <row r="2300">
          <cell r="M2300">
            <v>0</v>
          </cell>
        </row>
        <row r="2301">
          <cell r="M2301">
            <v>0</v>
          </cell>
        </row>
        <row r="2302">
          <cell r="M2302">
            <v>0</v>
          </cell>
        </row>
        <row r="2303">
          <cell r="M2303">
            <v>0</v>
          </cell>
        </row>
        <row r="2304">
          <cell r="M2304">
            <v>0</v>
          </cell>
        </row>
        <row r="2305">
          <cell r="M2305">
            <v>0</v>
          </cell>
        </row>
        <row r="2306">
          <cell r="M2306">
            <v>0</v>
          </cell>
        </row>
        <row r="2307">
          <cell r="M2307">
            <v>0</v>
          </cell>
        </row>
        <row r="2308">
          <cell r="M2308">
            <v>0</v>
          </cell>
        </row>
        <row r="2309">
          <cell r="M2309">
            <v>0</v>
          </cell>
        </row>
        <row r="2310">
          <cell r="A2310" t="str">
            <v>S105</v>
          </cell>
          <cell r="M2310">
            <v>0</v>
          </cell>
        </row>
        <row r="2313">
          <cell r="M2313">
            <v>1</v>
          </cell>
        </row>
        <row r="2316">
          <cell r="A2316">
            <v>16</v>
          </cell>
          <cell r="M2316">
            <v>0.64</v>
          </cell>
        </row>
        <row r="2317">
          <cell r="M2317">
            <v>0</v>
          </cell>
        </row>
        <row r="2318">
          <cell r="M2318">
            <v>0</v>
          </cell>
        </row>
        <row r="2319">
          <cell r="M2319">
            <v>0</v>
          </cell>
        </row>
        <row r="2320">
          <cell r="M2320">
            <v>0</v>
          </cell>
        </row>
        <row r="2321">
          <cell r="M2321">
            <v>0</v>
          </cell>
        </row>
        <row r="2322">
          <cell r="M2322">
            <v>0</v>
          </cell>
        </row>
        <row r="2323">
          <cell r="M2323">
            <v>0</v>
          </cell>
        </row>
        <row r="2324">
          <cell r="M2324">
            <v>0</v>
          </cell>
        </row>
        <row r="2325">
          <cell r="M2325">
            <v>0</v>
          </cell>
        </row>
        <row r="2326">
          <cell r="M2326">
            <v>0</v>
          </cell>
        </row>
        <row r="2327">
          <cell r="M2327">
            <v>0</v>
          </cell>
        </row>
        <row r="2328">
          <cell r="M2328">
            <v>0</v>
          </cell>
        </row>
        <row r="2329">
          <cell r="M2329">
            <v>0</v>
          </cell>
        </row>
        <row r="2330">
          <cell r="M2330">
            <v>0</v>
          </cell>
        </row>
        <row r="2331">
          <cell r="M2331">
            <v>0</v>
          </cell>
        </row>
        <row r="2332">
          <cell r="A2332" t="str">
            <v>S106</v>
          </cell>
          <cell r="M2332">
            <v>0</v>
          </cell>
        </row>
        <row r="2335">
          <cell r="M2335">
            <v>1</v>
          </cell>
        </row>
        <row r="2338">
          <cell r="A2338">
            <v>16</v>
          </cell>
          <cell r="M2338">
            <v>1.02</v>
          </cell>
        </row>
        <row r="2339">
          <cell r="M2339">
            <v>0</v>
          </cell>
        </row>
        <row r="2340">
          <cell r="M2340">
            <v>0</v>
          </cell>
        </row>
        <row r="2341">
          <cell r="M2341">
            <v>0</v>
          </cell>
        </row>
        <row r="2342">
          <cell r="M2342">
            <v>0</v>
          </cell>
        </row>
        <row r="2343">
          <cell r="M2343">
            <v>0</v>
          </cell>
        </row>
        <row r="2344">
          <cell r="M2344">
            <v>0</v>
          </cell>
        </row>
        <row r="2345">
          <cell r="M2345">
            <v>0</v>
          </cell>
        </row>
        <row r="2346">
          <cell r="M2346">
            <v>0</v>
          </cell>
        </row>
        <row r="2347">
          <cell r="M2347">
            <v>0</v>
          </cell>
        </row>
        <row r="2348">
          <cell r="M2348">
            <v>0</v>
          </cell>
        </row>
        <row r="2349">
          <cell r="M2349">
            <v>0</v>
          </cell>
        </row>
        <row r="2350">
          <cell r="M2350">
            <v>0</v>
          </cell>
        </row>
        <row r="2351">
          <cell r="M2351">
            <v>0</v>
          </cell>
        </row>
        <row r="2352">
          <cell r="M2352">
            <v>0</v>
          </cell>
        </row>
        <row r="2353">
          <cell r="M2353">
            <v>0</v>
          </cell>
        </row>
        <row r="2354">
          <cell r="A2354" t="str">
            <v>S107</v>
          </cell>
          <cell r="M2354">
            <v>0</v>
          </cell>
        </row>
        <row r="2357">
          <cell r="M2357">
            <v>1</v>
          </cell>
        </row>
        <row r="2360">
          <cell r="A2360">
            <v>16</v>
          </cell>
          <cell r="M2360">
            <v>0.8</v>
          </cell>
        </row>
        <row r="2361">
          <cell r="M2361">
            <v>0</v>
          </cell>
        </row>
        <row r="2362">
          <cell r="M2362">
            <v>0</v>
          </cell>
        </row>
        <row r="2363">
          <cell r="M2363">
            <v>0</v>
          </cell>
        </row>
        <row r="2364">
          <cell r="M2364">
            <v>0</v>
          </cell>
        </row>
        <row r="2365">
          <cell r="M2365">
            <v>0</v>
          </cell>
        </row>
        <row r="2366">
          <cell r="M2366">
            <v>0</v>
          </cell>
        </row>
        <row r="2367">
          <cell r="M2367">
            <v>0</v>
          </cell>
        </row>
        <row r="2368">
          <cell r="M2368">
            <v>0</v>
          </cell>
        </row>
        <row r="2369">
          <cell r="M2369">
            <v>0</v>
          </cell>
        </row>
        <row r="2370">
          <cell r="M2370">
            <v>0</v>
          </cell>
        </row>
        <row r="2371">
          <cell r="M2371">
            <v>0</v>
          </cell>
        </row>
        <row r="2372">
          <cell r="M2372">
            <v>0</v>
          </cell>
        </row>
        <row r="2373">
          <cell r="M2373">
            <v>0</v>
          </cell>
        </row>
        <row r="2374">
          <cell r="M2374">
            <v>0</v>
          </cell>
        </row>
        <row r="2375">
          <cell r="M2375">
            <v>0</v>
          </cell>
        </row>
        <row r="2376">
          <cell r="A2376" t="str">
            <v>S108</v>
          </cell>
          <cell r="M2376">
            <v>0</v>
          </cell>
        </row>
        <row r="2379">
          <cell r="M2379">
            <v>2</v>
          </cell>
        </row>
        <row r="2382">
          <cell r="A2382">
            <v>13</v>
          </cell>
          <cell r="M2382">
            <v>0.3</v>
          </cell>
        </row>
        <row r="2383">
          <cell r="A2383">
            <v>15</v>
          </cell>
          <cell r="M2383">
            <v>0.3</v>
          </cell>
        </row>
        <row r="2384">
          <cell r="M2384">
            <v>0</v>
          </cell>
        </row>
        <row r="2385">
          <cell r="M2385">
            <v>0</v>
          </cell>
        </row>
        <row r="2386">
          <cell r="M2386">
            <v>0</v>
          </cell>
        </row>
        <row r="2387">
          <cell r="M2387">
            <v>0</v>
          </cell>
        </row>
        <row r="2388">
          <cell r="M2388">
            <v>0</v>
          </cell>
        </row>
        <row r="2389">
          <cell r="M2389">
            <v>0</v>
          </cell>
        </row>
        <row r="2390">
          <cell r="M2390">
            <v>0</v>
          </cell>
        </row>
        <row r="2391">
          <cell r="M2391">
            <v>0</v>
          </cell>
        </row>
        <row r="2392">
          <cell r="M2392">
            <v>0</v>
          </cell>
        </row>
        <row r="2393">
          <cell r="M2393">
            <v>0</v>
          </cell>
        </row>
        <row r="2394">
          <cell r="M2394">
            <v>0</v>
          </cell>
        </row>
        <row r="2395">
          <cell r="M2395">
            <v>0</v>
          </cell>
        </row>
        <row r="2396">
          <cell r="M2396">
            <v>0</v>
          </cell>
        </row>
        <row r="2397">
          <cell r="M2397">
            <v>0</v>
          </cell>
        </row>
        <row r="2398">
          <cell r="A2398" t="str">
            <v>S109</v>
          </cell>
          <cell r="M2398">
            <v>0</v>
          </cell>
        </row>
        <row r="2401">
          <cell r="M2401">
            <v>2</v>
          </cell>
        </row>
        <row r="2404">
          <cell r="A2404">
            <v>13</v>
          </cell>
          <cell r="M2404">
            <v>0.5</v>
          </cell>
        </row>
        <row r="2405">
          <cell r="A2405">
            <v>15</v>
          </cell>
          <cell r="M2405">
            <v>0.5</v>
          </cell>
        </row>
        <row r="2406">
          <cell r="M2406">
            <v>0</v>
          </cell>
        </row>
        <row r="2407">
          <cell r="M2407">
            <v>0</v>
          </cell>
        </row>
        <row r="2408">
          <cell r="M2408">
            <v>0</v>
          </cell>
        </row>
        <row r="2409">
          <cell r="M2409">
            <v>0</v>
          </cell>
        </row>
        <row r="2410">
          <cell r="M2410">
            <v>0</v>
          </cell>
        </row>
        <row r="2411">
          <cell r="M2411">
            <v>0</v>
          </cell>
        </row>
        <row r="2412">
          <cell r="M2412">
            <v>0</v>
          </cell>
        </row>
        <row r="2413">
          <cell r="M2413">
            <v>0</v>
          </cell>
        </row>
        <row r="2414">
          <cell r="M2414">
            <v>0</v>
          </cell>
        </row>
        <row r="2415">
          <cell r="M2415">
            <v>0</v>
          </cell>
        </row>
        <row r="2416">
          <cell r="M2416">
            <v>0</v>
          </cell>
        </row>
        <row r="2417">
          <cell r="M2417">
            <v>0</v>
          </cell>
        </row>
        <row r="2418">
          <cell r="M2418">
            <v>0</v>
          </cell>
        </row>
        <row r="2419">
          <cell r="M2419">
            <v>0</v>
          </cell>
        </row>
        <row r="2420">
          <cell r="A2420" t="str">
            <v>S110</v>
          </cell>
          <cell r="M2420">
            <v>0</v>
          </cell>
        </row>
        <row r="2423">
          <cell r="M2423">
            <v>26</v>
          </cell>
        </row>
        <row r="2426">
          <cell r="A2426">
            <v>13</v>
          </cell>
          <cell r="M2426">
            <v>0.26</v>
          </cell>
        </row>
        <row r="2427">
          <cell r="M2427">
            <v>0</v>
          </cell>
        </row>
        <row r="2428">
          <cell r="M2428">
            <v>0</v>
          </cell>
        </row>
        <row r="2429">
          <cell r="M2429">
            <v>0</v>
          </cell>
        </row>
        <row r="2430">
          <cell r="M2430">
            <v>0</v>
          </cell>
        </row>
        <row r="2431">
          <cell r="M2431">
            <v>0</v>
          </cell>
        </row>
        <row r="2432">
          <cell r="M2432">
            <v>0</v>
          </cell>
        </row>
        <row r="2433">
          <cell r="M2433">
            <v>0</v>
          </cell>
        </row>
        <row r="2434">
          <cell r="M2434">
            <v>0</v>
          </cell>
        </row>
        <row r="2435">
          <cell r="M2435">
            <v>0</v>
          </cell>
        </row>
        <row r="2436">
          <cell r="M2436">
            <v>0</v>
          </cell>
        </row>
        <row r="2437">
          <cell r="M2437">
            <v>0</v>
          </cell>
        </row>
        <row r="2438">
          <cell r="M2438">
            <v>0</v>
          </cell>
        </row>
        <row r="2439">
          <cell r="M2439">
            <v>0</v>
          </cell>
        </row>
        <row r="2440">
          <cell r="M2440">
            <v>0</v>
          </cell>
        </row>
        <row r="2441">
          <cell r="M2441">
            <v>0</v>
          </cell>
        </row>
        <row r="2442">
          <cell r="A2442" t="str">
            <v>S111</v>
          </cell>
          <cell r="M2442">
            <v>0</v>
          </cell>
        </row>
        <row r="2445">
          <cell r="M2445">
            <v>2</v>
          </cell>
        </row>
        <row r="2448">
          <cell r="A2448">
            <v>13</v>
          </cell>
          <cell r="M2448">
            <v>1</v>
          </cell>
        </row>
        <row r="2449">
          <cell r="A2449">
            <v>13</v>
          </cell>
          <cell r="M2449">
            <v>1</v>
          </cell>
        </row>
        <row r="2450">
          <cell r="M2450">
            <v>0</v>
          </cell>
        </row>
        <row r="2451">
          <cell r="M2451">
            <v>0</v>
          </cell>
        </row>
        <row r="2452">
          <cell r="M2452">
            <v>0</v>
          </cell>
        </row>
        <row r="2453">
          <cell r="M2453">
            <v>0</v>
          </cell>
        </row>
        <row r="2454">
          <cell r="M2454">
            <v>0</v>
          </cell>
        </row>
        <row r="2455">
          <cell r="M2455">
            <v>0</v>
          </cell>
        </row>
        <row r="2456">
          <cell r="M2456">
            <v>0</v>
          </cell>
        </row>
        <row r="2457">
          <cell r="M2457">
            <v>0</v>
          </cell>
        </row>
        <row r="2458">
          <cell r="M2458">
            <v>0</v>
          </cell>
        </row>
        <row r="2459">
          <cell r="M2459">
            <v>0</v>
          </cell>
        </row>
        <row r="2460">
          <cell r="M2460">
            <v>0</v>
          </cell>
        </row>
        <row r="2461">
          <cell r="M2461">
            <v>0</v>
          </cell>
        </row>
        <row r="2462">
          <cell r="M2462">
            <v>0</v>
          </cell>
        </row>
        <row r="2463">
          <cell r="M2463">
            <v>0</v>
          </cell>
        </row>
        <row r="2464">
          <cell r="A2464" t="str">
            <v>S112</v>
          </cell>
          <cell r="M2464">
            <v>0</v>
          </cell>
        </row>
        <row r="2467">
          <cell r="M2467">
            <v>2</v>
          </cell>
        </row>
        <row r="2470">
          <cell r="A2470">
            <v>13</v>
          </cell>
          <cell r="M2470">
            <v>1</v>
          </cell>
        </row>
        <row r="2471">
          <cell r="A2471">
            <v>15</v>
          </cell>
          <cell r="M2471">
            <v>1</v>
          </cell>
        </row>
        <row r="2472">
          <cell r="A2472">
            <v>62</v>
          </cell>
          <cell r="M2472">
            <v>8</v>
          </cell>
        </row>
        <row r="2473">
          <cell r="A2473">
            <v>53</v>
          </cell>
          <cell r="M2473">
            <v>4</v>
          </cell>
        </row>
        <row r="2474">
          <cell r="A2474">
            <v>113</v>
          </cell>
          <cell r="M2474">
            <v>8</v>
          </cell>
        </row>
        <row r="2475">
          <cell r="A2475">
            <v>50</v>
          </cell>
          <cell r="M2475">
            <v>8</v>
          </cell>
        </row>
        <row r="2476">
          <cell r="A2476">
            <v>59</v>
          </cell>
          <cell r="M2476">
            <v>4</v>
          </cell>
        </row>
        <row r="2477">
          <cell r="A2477">
            <v>56</v>
          </cell>
          <cell r="M2477">
            <v>4</v>
          </cell>
        </row>
        <row r="2478">
          <cell r="M2478">
            <v>0</v>
          </cell>
        </row>
        <row r="2479">
          <cell r="M2479">
            <v>0</v>
          </cell>
        </row>
        <row r="2480">
          <cell r="M2480">
            <v>0</v>
          </cell>
        </row>
        <row r="2481">
          <cell r="M2481">
            <v>0</v>
          </cell>
        </row>
        <row r="2482">
          <cell r="M2482">
            <v>0</v>
          </cell>
        </row>
        <row r="2483">
          <cell r="M2483">
            <v>0</v>
          </cell>
        </row>
        <row r="2484">
          <cell r="M2484">
            <v>0</v>
          </cell>
        </row>
        <row r="2485">
          <cell r="M2485">
            <v>0</v>
          </cell>
        </row>
        <row r="2486">
          <cell r="A2486" t="str">
            <v>S113</v>
          </cell>
          <cell r="M2486">
            <v>0</v>
          </cell>
        </row>
        <row r="2489">
          <cell r="M2489">
            <v>2</v>
          </cell>
        </row>
        <row r="2492">
          <cell r="A2492">
            <v>13</v>
          </cell>
          <cell r="M2492">
            <v>0.5</v>
          </cell>
        </row>
        <row r="2493">
          <cell r="A2493">
            <v>15</v>
          </cell>
          <cell r="M2493">
            <v>0.5</v>
          </cell>
        </row>
        <row r="2494">
          <cell r="M2494">
            <v>0</v>
          </cell>
        </row>
        <row r="2495">
          <cell r="M2495">
            <v>0</v>
          </cell>
        </row>
        <row r="2496">
          <cell r="M2496">
            <v>0</v>
          </cell>
        </row>
        <row r="2497">
          <cell r="M2497">
            <v>0</v>
          </cell>
        </row>
        <row r="2498">
          <cell r="M2498">
            <v>0</v>
          </cell>
        </row>
        <row r="2499">
          <cell r="M2499">
            <v>0</v>
          </cell>
        </row>
        <row r="2500">
          <cell r="M2500">
            <v>0</v>
          </cell>
        </row>
        <row r="2501">
          <cell r="M2501">
            <v>0</v>
          </cell>
        </row>
        <row r="2502">
          <cell r="M2502">
            <v>0</v>
          </cell>
        </row>
        <row r="2503">
          <cell r="M2503">
            <v>0</v>
          </cell>
        </row>
        <row r="2504">
          <cell r="M2504">
            <v>0</v>
          </cell>
        </row>
        <row r="2505">
          <cell r="M2505">
            <v>0</v>
          </cell>
        </row>
        <row r="2506">
          <cell r="M2506">
            <v>0</v>
          </cell>
        </row>
        <row r="2507">
          <cell r="M2507">
            <v>0</v>
          </cell>
        </row>
        <row r="2508">
          <cell r="A2508" t="str">
            <v>S114</v>
          </cell>
          <cell r="M2508">
            <v>0</v>
          </cell>
        </row>
        <row r="2511">
          <cell r="M2511">
            <v>2</v>
          </cell>
        </row>
        <row r="2514">
          <cell r="A2514">
            <v>13</v>
          </cell>
          <cell r="M2514">
            <v>0.5</v>
          </cell>
        </row>
        <row r="2515">
          <cell r="A2515">
            <v>15</v>
          </cell>
          <cell r="M2515">
            <v>0.5</v>
          </cell>
        </row>
        <row r="2516">
          <cell r="M2516">
            <v>0</v>
          </cell>
        </row>
        <row r="2517">
          <cell r="M2517">
            <v>0</v>
          </cell>
        </row>
        <row r="2518">
          <cell r="M2518">
            <v>0</v>
          </cell>
        </row>
        <row r="2519">
          <cell r="M2519">
            <v>0</v>
          </cell>
        </row>
        <row r="2520">
          <cell r="M2520">
            <v>0</v>
          </cell>
        </row>
        <row r="2521">
          <cell r="M2521">
            <v>0</v>
          </cell>
        </row>
        <row r="2522">
          <cell r="M2522">
            <v>0</v>
          </cell>
        </row>
        <row r="2523">
          <cell r="M2523">
            <v>0</v>
          </cell>
        </row>
        <row r="2524">
          <cell r="M2524">
            <v>0</v>
          </cell>
        </row>
        <row r="2525">
          <cell r="M2525">
            <v>0</v>
          </cell>
        </row>
        <row r="2526">
          <cell r="M2526">
            <v>0</v>
          </cell>
        </row>
        <row r="2527">
          <cell r="M2527">
            <v>0</v>
          </cell>
        </row>
        <row r="2528">
          <cell r="M2528">
            <v>0</v>
          </cell>
        </row>
        <row r="2529">
          <cell r="M2529">
            <v>0</v>
          </cell>
        </row>
        <row r="2530">
          <cell r="A2530" t="str">
            <v>S115</v>
          </cell>
          <cell r="M2530">
            <v>0</v>
          </cell>
        </row>
        <row r="2533">
          <cell r="M2533">
            <v>2</v>
          </cell>
        </row>
        <row r="2536">
          <cell r="A2536">
            <v>15</v>
          </cell>
          <cell r="M2536">
            <v>3.8</v>
          </cell>
        </row>
        <row r="2537">
          <cell r="A2537">
            <v>25</v>
          </cell>
          <cell r="M2537">
            <v>11.6</v>
          </cell>
        </row>
        <row r="2538">
          <cell r="M2538">
            <v>0</v>
          </cell>
        </row>
        <row r="2539">
          <cell r="M2539">
            <v>0</v>
          </cell>
        </row>
        <row r="2540">
          <cell r="M2540">
            <v>0</v>
          </cell>
        </row>
        <row r="2541">
          <cell r="M2541">
            <v>0</v>
          </cell>
        </row>
        <row r="2542">
          <cell r="M2542">
            <v>0</v>
          </cell>
        </row>
        <row r="2543">
          <cell r="M2543">
            <v>0</v>
          </cell>
        </row>
        <row r="2544">
          <cell r="M2544">
            <v>0</v>
          </cell>
        </row>
        <row r="2545">
          <cell r="M2545">
            <v>0</v>
          </cell>
        </row>
        <row r="2546">
          <cell r="M2546">
            <v>0</v>
          </cell>
        </row>
        <row r="2547">
          <cell r="M2547">
            <v>0</v>
          </cell>
        </row>
        <row r="2548">
          <cell r="M2548">
            <v>0</v>
          </cell>
        </row>
        <row r="2549">
          <cell r="M2549">
            <v>0</v>
          </cell>
        </row>
        <row r="2550">
          <cell r="M2550">
            <v>0</v>
          </cell>
        </row>
        <row r="2551">
          <cell r="M2551">
            <v>0</v>
          </cell>
        </row>
        <row r="2552">
          <cell r="A2552" t="str">
            <v>S116</v>
          </cell>
          <cell r="M2552">
            <v>0</v>
          </cell>
        </row>
        <row r="2555">
          <cell r="M2555">
            <v>2</v>
          </cell>
        </row>
        <row r="2558">
          <cell r="A2558">
            <v>15</v>
          </cell>
          <cell r="M2558">
            <v>3.04</v>
          </cell>
        </row>
        <row r="2559">
          <cell r="A2559">
            <v>25</v>
          </cell>
          <cell r="M2559">
            <v>9.2799999999999994</v>
          </cell>
        </row>
        <row r="2560">
          <cell r="M2560">
            <v>0</v>
          </cell>
        </row>
        <row r="2561">
          <cell r="M2561">
            <v>0</v>
          </cell>
        </row>
        <row r="2562">
          <cell r="M2562">
            <v>0</v>
          </cell>
        </row>
        <row r="2563">
          <cell r="M2563">
            <v>0</v>
          </cell>
        </row>
        <row r="2564">
          <cell r="M2564">
            <v>0</v>
          </cell>
        </row>
        <row r="2565">
          <cell r="M2565">
            <v>0</v>
          </cell>
        </row>
        <row r="2566">
          <cell r="M2566">
            <v>0</v>
          </cell>
        </row>
        <row r="2567">
          <cell r="M2567">
            <v>0</v>
          </cell>
        </row>
        <row r="2568">
          <cell r="M2568">
            <v>0</v>
          </cell>
        </row>
        <row r="2569">
          <cell r="M2569">
            <v>0</v>
          </cell>
        </row>
        <row r="2570">
          <cell r="M2570">
            <v>0</v>
          </cell>
        </row>
        <row r="2571">
          <cell r="M2571">
            <v>0</v>
          </cell>
        </row>
        <row r="2572">
          <cell r="M2572">
            <v>0</v>
          </cell>
        </row>
        <row r="2573">
          <cell r="M2573">
            <v>0</v>
          </cell>
        </row>
        <row r="2574">
          <cell r="A2574" t="str">
            <v>S117</v>
          </cell>
          <cell r="M2574">
            <v>0</v>
          </cell>
        </row>
        <row r="2577">
          <cell r="M2577">
            <v>2</v>
          </cell>
        </row>
        <row r="2580">
          <cell r="A2580">
            <v>13</v>
          </cell>
          <cell r="M2580">
            <v>0.72</v>
          </cell>
        </row>
        <row r="2581">
          <cell r="A2581">
            <v>15</v>
          </cell>
          <cell r="M2581">
            <v>0.4</v>
          </cell>
        </row>
        <row r="2582">
          <cell r="A2582">
            <v>16</v>
          </cell>
          <cell r="M2582">
            <v>0.42</v>
          </cell>
        </row>
        <row r="2583">
          <cell r="M2583">
            <v>0</v>
          </cell>
        </row>
        <row r="2584">
          <cell r="M2584">
            <v>0</v>
          </cell>
        </row>
        <row r="2585">
          <cell r="M2585">
            <v>0</v>
          </cell>
        </row>
        <row r="2586">
          <cell r="M2586">
            <v>0</v>
          </cell>
        </row>
        <row r="2587">
          <cell r="M2587">
            <v>0</v>
          </cell>
        </row>
        <row r="2588">
          <cell r="M2588">
            <v>0</v>
          </cell>
        </row>
        <row r="2589">
          <cell r="M2589">
            <v>0</v>
          </cell>
        </row>
        <row r="2590">
          <cell r="M2590">
            <v>0</v>
          </cell>
        </row>
        <row r="2591">
          <cell r="M2591">
            <v>0</v>
          </cell>
        </row>
        <row r="2592">
          <cell r="M2592">
            <v>0</v>
          </cell>
        </row>
        <row r="2593">
          <cell r="M2593">
            <v>0</v>
          </cell>
        </row>
        <row r="2594">
          <cell r="M2594">
            <v>0</v>
          </cell>
        </row>
        <row r="2595">
          <cell r="M2595">
            <v>0</v>
          </cell>
        </row>
        <row r="2596">
          <cell r="A2596" t="str">
            <v>S118</v>
          </cell>
          <cell r="M2596">
            <v>0</v>
          </cell>
        </row>
        <row r="2599">
          <cell r="M2599">
            <v>2</v>
          </cell>
        </row>
        <row r="2602">
          <cell r="A2602">
            <v>13</v>
          </cell>
          <cell r="M2602">
            <v>0.2</v>
          </cell>
        </row>
        <row r="2603">
          <cell r="A2603">
            <v>15</v>
          </cell>
          <cell r="M2603">
            <v>0.12</v>
          </cell>
        </row>
        <row r="2604">
          <cell r="A2604">
            <v>16</v>
          </cell>
          <cell r="M2604">
            <v>0.12</v>
          </cell>
        </row>
        <row r="2605">
          <cell r="M2605">
            <v>0</v>
          </cell>
        </row>
        <row r="2606">
          <cell r="M2606">
            <v>0</v>
          </cell>
        </row>
        <row r="2607">
          <cell r="M2607">
            <v>0</v>
          </cell>
        </row>
        <row r="2608">
          <cell r="M2608">
            <v>0</v>
          </cell>
        </row>
        <row r="2609">
          <cell r="M2609">
            <v>0</v>
          </cell>
        </row>
        <row r="2610">
          <cell r="M2610">
            <v>0</v>
          </cell>
        </row>
        <row r="2611">
          <cell r="M2611">
            <v>0</v>
          </cell>
        </row>
        <row r="2612">
          <cell r="M2612">
            <v>0</v>
          </cell>
        </row>
        <row r="2613">
          <cell r="M2613">
            <v>0</v>
          </cell>
        </row>
        <row r="2614">
          <cell r="M2614">
            <v>0</v>
          </cell>
        </row>
        <row r="2615">
          <cell r="M2615">
            <v>0</v>
          </cell>
        </row>
        <row r="2616">
          <cell r="M2616">
            <v>0</v>
          </cell>
        </row>
        <row r="2617">
          <cell r="M2617">
            <v>0</v>
          </cell>
        </row>
        <row r="2618">
          <cell r="A2618" t="str">
            <v>S119</v>
          </cell>
          <cell r="M2618">
            <v>0</v>
          </cell>
        </row>
        <row r="2621">
          <cell r="M2621">
            <v>1</v>
          </cell>
        </row>
        <row r="2624">
          <cell r="A2624">
            <v>27</v>
          </cell>
          <cell r="M2624">
            <v>1</v>
          </cell>
        </row>
        <row r="2625">
          <cell r="A2625">
            <v>28</v>
          </cell>
          <cell r="M2625">
            <v>1.4</v>
          </cell>
        </row>
        <row r="2626">
          <cell r="M2626">
            <v>0</v>
          </cell>
        </row>
        <row r="2627">
          <cell r="M2627">
            <v>0</v>
          </cell>
        </row>
        <row r="2628">
          <cell r="M2628">
            <v>0</v>
          </cell>
        </row>
        <row r="2629">
          <cell r="M2629">
            <v>0</v>
          </cell>
        </row>
        <row r="2630">
          <cell r="M2630">
            <v>0</v>
          </cell>
        </row>
        <row r="2631">
          <cell r="M2631">
            <v>0</v>
          </cell>
        </row>
        <row r="2632">
          <cell r="M2632">
            <v>0</v>
          </cell>
        </row>
        <row r="2633">
          <cell r="M2633">
            <v>0</v>
          </cell>
        </row>
        <row r="2634">
          <cell r="M2634">
            <v>0</v>
          </cell>
        </row>
        <row r="2635">
          <cell r="M2635">
            <v>0</v>
          </cell>
        </row>
        <row r="2636">
          <cell r="M2636">
            <v>0</v>
          </cell>
        </row>
        <row r="2637">
          <cell r="M2637">
            <v>0</v>
          </cell>
        </row>
        <row r="2638">
          <cell r="M2638">
            <v>0</v>
          </cell>
        </row>
        <row r="2639">
          <cell r="M2639">
            <v>0</v>
          </cell>
        </row>
        <row r="2640">
          <cell r="A2640" t="str">
            <v>S120</v>
          </cell>
          <cell r="M2640">
            <v>0</v>
          </cell>
        </row>
        <row r="2643">
          <cell r="M2643">
            <v>1</v>
          </cell>
        </row>
        <row r="2646">
          <cell r="A2646">
            <v>27</v>
          </cell>
          <cell r="M2646">
            <v>0.8</v>
          </cell>
        </row>
        <row r="2647">
          <cell r="A2647">
            <v>28</v>
          </cell>
          <cell r="M2647">
            <v>1.1200000000000001</v>
          </cell>
        </row>
        <row r="2648">
          <cell r="M2648">
            <v>0</v>
          </cell>
        </row>
        <row r="2649">
          <cell r="M2649">
            <v>0</v>
          </cell>
        </row>
        <row r="2650">
          <cell r="M2650">
            <v>0</v>
          </cell>
        </row>
        <row r="2651">
          <cell r="M2651">
            <v>0</v>
          </cell>
        </row>
        <row r="2652">
          <cell r="M2652">
            <v>0</v>
          </cell>
        </row>
        <row r="2653">
          <cell r="M2653">
            <v>0</v>
          </cell>
        </row>
        <row r="2654">
          <cell r="M2654">
            <v>0</v>
          </cell>
        </row>
        <row r="2655">
          <cell r="M2655">
            <v>0</v>
          </cell>
        </row>
        <row r="2656">
          <cell r="M2656">
            <v>0</v>
          </cell>
        </row>
        <row r="2657">
          <cell r="M2657">
            <v>0</v>
          </cell>
        </row>
        <row r="2658">
          <cell r="M2658">
            <v>0</v>
          </cell>
        </row>
        <row r="2659">
          <cell r="M2659">
            <v>0</v>
          </cell>
        </row>
        <row r="2660">
          <cell r="M2660">
            <v>0</v>
          </cell>
        </row>
        <row r="2661">
          <cell r="M2661">
            <v>0</v>
          </cell>
        </row>
        <row r="2662">
          <cell r="A2662" t="str">
            <v>S121</v>
          </cell>
          <cell r="M2662">
            <v>0</v>
          </cell>
        </row>
        <row r="2665">
          <cell r="M2665">
            <v>1</v>
          </cell>
        </row>
        <row r="2668">
          <cell r="A2668">
            <v>13</v>
          </cell>
          <cell r="M2668">
            <v>0.03</v>
          </cell>
        </row>
        <row r="2669">
          <cell r="A2669">
            <v>15</v>
          </cell>
          <cell r="M2669">
            <v>0.02</v>
          </cell>
        </row>
        <row r="2670">
          <cell r="M2670">
            <v>0</v>
          </cell>
        </row>
        <row r="2671">
          <cell r="M2671">
            <v>0</v>
          </cell>
        </row>
        <row r="2672">
          <cell r="M2672">
            <v>0</v>
          </cell>
        </row>
        <row r="2673">
          <cell r="M2673">
            <v>0</v>
          </cell>
        </row>
        <row r="2674">
          <cell r="M2674">
            <v>0</v>
          </cell>
        </row>
        <row r="2675">
          <cell r="M2675">
            <v>0</v>
          </cell>
        </row>
        <row r="2676">
          <cell r="M2676">
            <v>0</v>
          </cell>
        </row>
        <row r="2677">
          <cell r="M2677">
            <v>0</v>
          </cell>
        </row>
        <row r="2678">
          <cell r="M2678">
            <v>0</v>
          </cell>
        </row>
        <row r="2679">
          <cell r="M2679">
            <v>0</v>
          </cell>
        </row>
        <row r="2680">
          <cell r="M2680">
            <v>0</v>
          </cell>
        </row>
        <row r="2681">
          <cell r="M2681">
            <v>0</v>
          </cell>
        </row>
        <row r="2682">
          <cell r="M2682">
            <v>0</v>
          </cell>
        </row>
        <row r="2683">
          <cell r="M2683">
            <v>0</v>
          </cell>
        </row>
        <row r="2684">
          <cell r="A2684" t="str">
            <v>S122</v>
          </cell>
          <cell r="M2684">
            <v>0</v>
          </cell>
        </row>
        <row r="2687">
          <cell r="M2687">
            <v>1</v>
          </cell>
        </row>
        <row r="2690">
          <cell r="A2690">
            <v>13</v>
          </cell>
          <cell r="M2690">
            <v>0.02</v>
          </cell>
        </row>
        <row r="2691">
          <cell r="A2691">
            <v>15</v>
          </cell>
          <cell r="M2691">
            <v>0.01</v>
          </cell>
        </row>
        <row r="2692">
          <cell r="M2692">
            <v>0</v>
          </cell>
        </row>
        <row r="2693">
          <cell r="M2693">
            <v>0</v>
          </cell>
        </row>
        <row r="2694">
          <cell r="M2694">
            <v>0</v>
          </cell>
        </row>
        <row r="2695">
          <cell r="M2695">
            <v>0</v>
          </cell>
        </row>
        <row r="2696">
          <cell r="M2696">
            <v>0</v>
          </cell>
        </row>
        <row r="2697">
          <cell r="M2697">
            <v>0</v>
          </cell>
        </row>
        <row r="2698">
          <cell r="M2698">
            <v>0</v>
          </cell>
        </row>
        <row r="2699">
          <cell r="M2699">
            <v>0</v>
          </cell>
        </row>
        <row r="2700">
          <cell r="M2700">
            <v>0</v>
          </cell>
        </row>
        <row r="2701">
          <cell r="M2701">
            <v>0</v>
          </cell>
        </row>
        <row r="2702">
          <cell r="M2702">
            <v>0</v>
          </cell>
        </row>
        <row r="2703">
          <cell r="M2703">
            <v>0</v>
          </cell>
        </row>
        <row r="2704">
          <cell r="M2704">
            <v>0</v>
          </cell>
        </row>
        <row r="2705">
          <cell r="M2705">
            <v>0</v>
          </cell>
        </row>
        <row r="2706">
          <cell r="A2706" t="str">
            <v>S123</v>
          </cell>
          <cell r="M2706">
            <v>0</v>
          </cell>
        </row>
        <row r="2709">
          <cell r="M2709">
            <v>2</v>
          </cell>
        </row>
        <row r="2712">
          <cell r="A2712">
            <v>27</v>
          </cell>
          <cell r="M2712">
            <v>0.46</v>
          </cell>
        </row>
        <row r="2713">
          <cell r="A2713">
            <v>28</v>
          </cell>
          <cell r="M2713">
            <v>0.76</v>
          </cell>
        </row>
        <row r="2714">
          <cell r="M2714">
            <v>0</v>
          </cell>
        </row>
        <row r="2715">
          <cell r="M2715">
            <v>0</v>
          </cell>
        </row>
        <row r="2716">
          <cell r="M2716">
            <v>0</v>
          </cell>
        </row>
        <row r="2717">
          <cell r="M2717">
            <v>0</v>
          </cell>
        </row>
        <row r="2718">
          <cell r="M2718">
            <v>0</v>
          </cell>
        </row>
        <row r="2719">
          <cell r="M2719">
            <v>0</v>
          </cell>
        </row>
        <row r="2720">
          <cell r="M2720">
            <v>0</v>
          </cell>
        </row>
        <row r="2721">
          <cell r="M2721">
            <v>0</v>
          </cell>
        </row>
        <row r="2722">
          <cell r="M2722">
            <v>0</v>
          </cell>
        </row>
        <row r="2723">
          <cell r="M2723">
            <v>0</v>
          </cell>
        </row>
        <row r="2724">
          <cell r="M2724">
            <v>0</v>
          </cell>
        </row>
        <row r="2725">
          <cell r="M2725">
            <v>0</v>
          </cell>
        </row>
        <row r="2726">
          <cell r="M2726">
            <v>0</v>
          </cell>
        </row>
        <row r="2727">
          <cell r="M2727">
            <v>0</v>
          </cell>
        </row>
        <row r="2728">
          <cell r="A2728" t="str">
            <v>S124</v>
          </cell>
          <cell r="M2728">
            <v>0</v>
          </cell>
        </row>
        <row r="2731">
          <cell r="M2731">
            <v>2</v>
          </cell>
        </row>
        <row r="2734">
          <cell r="A2734">
            <v>27</v>
          </cell>
          <cell r="M2734">
            <v>0.36</v>
          </cell>
        </row>
        <row r="2735">
          <cell r="A2735">
            <v>28</v>
          </cell>
          <cell r="M2735">
            <v>0.6</v>
          </cell>
        </row>
        <row r="2736">
          <cell r="M2736">
            <v>0</v>
          </cell>
        </row>
        <row r="2737">
          <cell r="M2737">
            <v>0</v>
          </cell>
        </row>
        <row r="2738">
          <cell r="M2738">
            <v>0</v>
          </cell>
        </row>
        <row r="2739">
          <cell r="M2739">
            <v>0</v>
          </cell>
        </row>
        <row r="2740">
          <cell r="M2740">
            <v>0</v>
          </cell>
        </row>
        <row r="2741">
          <cell r="M2741">
            <v>0</v>
          </cell>
        </row>
        <row r="2742">
          <cell r="M2742">
            <v>0</v>
          </cell>
        </row>
        <row r="2743">
          <cell r="M2743">
            <v>0</v>
          </cell>
        </row>
        <row r="2744">
          <cell r="M2744">
            <v>0</v>
          </cell>
        </row>
        <row r="2745">
          <cell r="M2745">
            <v>0</v>
          </cell>
        </row>
        <row r="2746">
          <cell r="M2746">
            <v>0</v>
          </cell>
        </row>
        <row r="2747">
          <cell r="M2747">
            <v>0</v>
          </cell>
        </row>
        <row r="2748">
          <cell r="M2748">
            <v>0</v>
          </cell>
        </row>
        <row r="2749">
          <cell r="M2749">
            <v>0</v>
          </cell>
        </row>
        <row r="2750">
          <cell r="A2750" t="str">
            <v>S125</v>
          </cell>
          <cell r="M2750">
            <v>0</v>
          </cell>
        </row>
        <row r="2753">
          <cell r="M2753">
            <v>4</v>
          </cell>
        </row>
        <row r="2756">
          <cell r="A2756">
            <v>13</v>
          </cell>
          <cell r="M2756">
            <v>1.1599999999999999</v>
          </cell>
        </row>
        <row r="2757">
          <cell r="A2757">
            <v>28</v>
          </cell>
          <cell r="M2757">
            <v>2.3199999999999998</v>
          </cell>
        </row>
        <row r="2758">
          <cell r="M2758">
            <v>0</v>
          </cell>
        </row>
        <row r="2759">
          <cell r="M2759">
            <v>0</v>
          </cell>
        </row>
        <row r="2760">
          <cell r="M2760">
            <v>0</v>
          </cell>
        </row>
        <row r="2761">
          <cell r="M2761">
            <v>0</v>
          </cell>
        </row>
        <row r="2762">
          <cell r="M2762">
            <v>0</v>
          </cell>
        </row>
        <row r="2763">
          <cell r="M2763">
            <v>0</v>
          </cell>
        </row>
        <row r="2764">
          <cell r="M2764">
            <v>0</v>
          </cell>
        </row>
        <row r="2765">
          <cell r="M2765">
            <v>0</v>
          </cell>
        </row>
        <row r="2766">
          <cell r="M2766">
            <v>0</v>
          </cell>
        </row>
        <row r="2767">
          <cell r="M2767">
            <v>0</v>
          </cell>
        </row>
        <row r="2768">
          <cell r="M2768">
            <v>0</v>
          </cell>
        </row>
        <row r="2769">
          <cell r="M2769">
            <v>0</v>
          </cell>
        </row>
        <row r="2770">
          <cell r="M2770">
            <v>0</v>
          </cell>
        </row>
        <row r="2771">
          <cell r="M2771">
            <v>0</v>
          </cell>
        </row>
        <row r="2772">
          <cell r="A2772" t="str">
            <v>S126</v>
          </cell>
          <cell r="M2772">
            <v>0</v>
          </cell>
        </row>
        <row r="2775">
          <cell r="M2775">
            <v>4</v>
          </cell>
        </row>
        <row r="2778">
          <cell r="A2778">
            <v>13</v>
          </cell>
          <cell r="M2778">
            <v>0.92</v>
          </cell>
        </row>
        <row r="2779">
          <cell r="A2779">
            <v>28</v>
          </cell>
          <cell r="M2779">
            <v>1.84</v>
          </cell>
        </row>
        <row r="2780">
          <cell r="M2780">
            <v>0</v>
          </cell>
        </row>
        <row r="2781">
          <cell r="M2781">
            <v>0</v>
          </cell>
        </row>
        <row r="2782">
          <cell r="M2782">
            <v>0</v>
          </cell>
        </row>
        <row r="2783">
          <cell r="M2783">
            <v>0</v>
          </cell>
        </row>
        <row r="2784">
          <cell r="M2784">
            <v>0</v>
          </cell>
        </row>
        <row r="2785">
          <cell r="M2785">
            <v>0</v>
          </cell>
        </row>
        <row r="2786">
          <cell r="M2786">
            <v>0</v>
          </cell>
        </row>
        <row r="2787">
          <cell r="M2787">
            <v>0</v>
          </cell>
        </row>
        <row r="2788">
          <cell r="M2788">
            <v>0</v>
          </cell>
        </row>
        <row r="2789">
          <cell r="M2789">
            <v>0</v>
          </cell>
        </row>
        <row r="2790">
          <cell r="M2790">
            <v>0</v>
          </cell>
        </row>
        <row r="2791">
          <cell r="M2791">
            <v>0</v>
          </cell>
        </row>
        <row r="2792">
          <cell r="M2792">
            <v>0</v>
          </cell>
        </row>
        <row r="2793">
          <cell r="M2793">
            <v>0</v>
          </cell>
        </row>
        <row r="2794">
          <cell r="A2794" t="str">
            <v>S127</v>
          </cell>
          <cell r="M2794">
            <v>0</v>
          </cell>
        </row>
        <row r="2797">
          <cell r="M2797">
            <v>26.65</v>
          </cell>
        </row>
        <row r="2800">
          <cell r="A2800">
            <v>14</v>
          </cell>
          <cell r="M2800">
            <v>5.0634999999999994</v>
          </cell>
        </row>
        <row r="2801">
          <cell r="M2801">
            <v>0</v>
          </cell>
        </row>
        <row r="2802">
          <cell r="M2802">
            <v>0</v>
          </cell>
        </row>
        <row r="2803">
          <cell r="M2803">
            <v>274.495</v>
          </cell>
        </row>
        <row r="2804">
          <cell r="M2804">
            <v>0</v>
          </cell>
        </row>
        <row r="2805">
          <cell r="M2805">
            <v>0</v>
          </cell>
        </row>
        <row r="2806">
          <cell r="M2806">
            <v>0</v>
          </cell>
        </row>
        <row r="2807">
          <cell r="M2807">
            <v>0</v>
          </cell>
        </row>
        <row r="2808">
          <cell r="M2808">
            <v>0</v>
          </cell>
        </row>
        <row r="2809">
          <cell r="M2809">
            <v>0</v>
          </cell>
        </row>
        <row r="2810">
          <cell r="M2810">
            <v>0</v>
          </cell>
        </row>
        <row r="2811">
          <cell r="M2811">
            <v>0</v>
          </cell>
        </row>
        <row r="2812">
          <cell r="M2812">
            <v>0</v>
          </cell>
        </row>
        <row r="2813">
          <cell r="M2813">
            <v>0</v>
          </cell>
        </row>
        <row r="2814">
          <cell r="M2814">
            <v>0</v>
          </cell>
        </row>
        <row r="2815">
          <cell r="M2815">
            <v>0</v>
          </cell>
        </row>
        <row r="2816">
          <cell r="A2816" t="str">
            <v>S128</v>
          </cell>
          <cell r="M2816">
            <v>0</v>
          </cell>
        </row>
        <row r="2819">
          <cell r="M2819">
            <v>4</v>
          </cell>
        </row>
        <row r="2822">
          <cell r="A2822">
            <v>27</v>
          </cell>
          <cell r="M2822">
            <v>0.32</v>
          </cell>
        </row>
        <row r="2823">
          <cell r="M2823">
            <v>0</v>
          </cell>
        </row>
        <row r="2824">
          <cell r="M2824">
            <v>0</v>
          </cell>
        </row>
        <row r="2825">
          <cell r="M2825">
            <v>0</v>
          </cell>
        </row>
        <row r="2826">
          <cell r="M2826">
            <v>0</v>
          </cell>
        </row>
        <row r="2827">
          <cell r="M2827">
            <v>0</v>
          </cell>
        </row>
        <row r="2828">
          <cell r="M2828">
            <v>0</v>
          </cell>
        </row>
        <row r="2829">
          <cell r="M2829">
            <v>0</v>
          </cell>
        </row>
        <row r="2830">
          <cell r="M2830">
            <v>0</v>
          </cell>
        </row>
        <row r="2831">
          <cell r="M2831">
            <v>0</v>
          </cell>
        </row>
        <row r="2832">
          <cell r="M2832">
            <v>0</v>
          </cell>
        </row>
        <row r="2833">
          <cell r="M2833">
            <v>0</v>
          </cell>
        </row>
        <row r="2834">
          <cell r="M2834">
            <v>0</v>
          </cell>
        </row>
        <row r="2835">
          <cell r="M2835">
            <v>0</v>
          </cell>
        </row>
        <row r="2836">
          <cell r="M2836">
            <v>0</v>
          </cell>
        </row>
        <row r="2837">
          <cell r="M2837">
            <v>0</v>
          </cell>
        </row>
        <row r="2838">
          <cell r="A2838" t="str">
            <v>S129</v>
          </cell>
          <cell r="M2838">
            <v>0</v>
          </cell>
        </row>
        <row r="2841">
          <cell r="M2841">
            <v>4</v>
          </cell>
        </row>
        <row r="2844">
          <cell r="A2844">
            <v>27</v>
          </cell>
          <cell r="M2844">
            <v>0.76</v>
          </cell>
        </row>
        <row r="2845">
          <cell r="A2845">
            <v>28</v>
          </cell>
          <cell r="M2845">
            <v>4.16</v>
          </cell>
        </row>
        <row r="2846">
          <cell r="M2846">
            <v>0</v>
          </cell>
        </row>
        <row r="2847">
          <cell r="M2847">
            <v>0</v>
          </cell>
        </row>
        <row r="2848">
          <cell r="M2848">
            <v>0</v>
          </cell>
        </row>
        <row r="2849">
          <cell r="M2849">
            <v>0</v>
          </cell>
        </row>
        <row r="2850">
          <cell r="M2850">
            <v>0</v>
          </cell>
        </row>
        <row r="2851">
          <cell r="M2851">
            <v>0</v>
          </cell>
        </row>
        <row r="2852">
          <cell r="M2852">
            <v>0</v>
          </cell>
        </row>
        <row r="2853">
          <cell r="M2853">
            <v>0</v>
          </cell>
        </row>
        <row r="2854">
          <cell r="M2854">
            <v>0</v>
          </cell>
        </row>
        <row r="2855">
          <cell r="M2855">
            <v>0</v>
          </cell>
        </row>
        <row r="2856">
          <cell r="M2856">
            <v>0</v>
          </cell>
        </row>
        <row r="2857">
          <cell r="M2857">
            <v>0</v>
          </cell>
        </row>
        <row r="2858">
          <cell r="M2858">
            <v>0</v>
          </cell>
        </row>
        <row r="2859">
          <cell r="M2859">
            <v>0</v>
          </cell>
        </row>
        <row r="2860">
          <cell r="A2860" t="str">
            <v>S130</v>
          </cell>
          <cell r="M2860">
            <v>0</v>
          </cell>
        </row>
        <row r="2863">
          <cell r="M2863">
            <v>5.8</v>
          </cell>
        </row>
        <row r="2866">
          <cell r="A2866">
            <v>11</v>
          </cell>
          <cell r="M2866">
            <v>0.81200000000000006</v>
          </cell>
        </row>
        <row r="2867">
          <cell r="A2867">
            <v>27</v>
          </cell>
          <cell r="M2867">
            <v>0.81200000000000006</v>
          </cell>
        </row>
        <row r="2868">
          <cell r="M2868">
            <v>0</v>
          </cell>
        </row>
        <row r="2869">
          <cell r="M2869">
            <v>0</v>
          </cell>
        </row>
        <row r="2870">
          <cell r="M2870">
            <v>0</v>
          </cell>
        </row>
        <row r="2871">
          <cell r="M2871">
            <v>0</v>
          </cell>
        </row>
        <row r="2872">
          <cell r="M2872">
            <v>0</v>
          </cell>
        </row>
        <row r="2873">
          <cell r="M2873">
            <v>0</v>
          </cell>
        </row>
        <row r="2874">
          <cell r="M2874">
            <v>0</v>
          </cell>
        </row>
        <row r="2875">
          <cell r="M2875">
            <v>0</v>
          </cell>
        </row>
        <row r="2876">
          <cell r="M2876">
            <v>0</v>
          </cell>
        </row>
        <row r="2877">
          <cell r="M2877">
            <v>0</v>
          </cell>
        </row>
        <row r="2878">
          <cell r="M2878">
            <v>0</v>
          </cell>
        </row>
        <row r="2879">
          <cell r="M2879">
            <v>0</v>
          </cell>
        </row>
        <row r="2880">
          <cell r="M2880">
            <v>0</v>
          </cell>
        </row>
        <row r="2881">
          <cell r="M2881">
            <v>0</v>
          </cell>
        </row>
        <row r="2882">
          <cell r="A2882" t="str">
            <v>S131</v>
          </cell>
          <cell r="M2882">
            <v>0</v>
          </cell>
        </row>
        <row r="2885">
          <cell r="M2885">
            <v>4</v>
          </cell>
        </row>
        <row r="2888">
          <cell r="A2888">
            <v>27</v>
          </cell>
          <cell r="M2888">
            <v>0.4</v>
          </cell>
        </row>
        <row r="2889">
          <cell r="M2889">
            <v>0</v>
          </cell>
        </row>
        <row r="2890">
          <cell r="M2890">
            <v>0</v>
          </cell>
        </row>
        <row r="2891">
          <cell r="M2891">
            <v>0</v>
          </cell>
        </row>
        <row r="2892">
          <cell r="M2892">
            <v>0</v>
          </cell>
        </row>
        <row r="2893">
          <cell r="M2893">
            <v>0</v>
          </cell>
        </row>
        <row r="2894">
          <cell r="M2894">
            <v>0</v>
          </cell>
        </row>
        <row r="2895">
          <cell r="M2895">
            <v>0</v>
          </cell>
        </row>
        <row r="2896">
          <cell r="M2896">
            <v>0</v>
          </cell>
        </row>
        <row r="2897">
          <cell r="M2897">
            <v>0</v>
          </cell>
        </row>
        <row r="2898">
          <cell r="M2898">
            <v>0</v>
          </cell>
        </row>
        <row r="2899">
          <cell r="M2899">
            <v>0</v>
          </cell>
        </row>
        <row r="2900">
          <cell r="M2900">
            <v>0</v>
          </cell>
        </row>
        <row r="2901">
          <cell r="M2901">
            <v>0</v>
          </cell>
        </row>
        <row r="2902">
          <cell r="M2902">
            <v>0</v>
          </cell>
        </row>
        <row r="2903">
          <cell r="M2903">
            <v>0</v>
          </cell>
        </row>
        <row r="2904">
          <cell r="A2904" t="str">
            <v>S132</v>
          </cell>
          <cell r="M2904">
            <v>0</v>
          </cell>
        </row>
        <row r="2907">
          <cell r="M2907">
            <v>3.5</v>
          </cell>
        </row>
        <row r="2910">
          <cell r="A2910">
            <v>27</v>
          </cell>
          <cell r="M2910">
            <v>1.7149999999999999</v>
          </cell>
        </row>
        <row r="2911">
          <cell r="M2911">
            <v>0</v>
          </cell>
        </row>
        <row r="2912">
          <cell r="M2912">
            <v>0</v>
          </cell>
        </row>
        <row r="2913">
          <cell r="M2913">
            <v>0</v>
          </cell>
        </row>
        <row r="2914">
          <cell r="M2914">
            <v>0</v>
          </cell>
        </row>
        <row r="2915">
          <cell r="M2915">
            <v>0</v>
          </cell>
        </row>
        <row r="2916">
          <cell r="M2916">
            <v>0</v>
          </cell>
        </row>
        <row r="2917">
          <cell r="M2917">
            <v>0</v>
          </cell>
        </row>
        <row r="2918">
          <cell r="M2918">
            <v>0</v>
          </cell>
        </row>
        <row r="2919">
          <cell r="M2919">
            <v>0</v>
          </cell>
        </row>
        <row r="2920">
          <cell r="M2920">
            <v>0</v>
          </cell>
        </row>
        <row r="2921">
          <cell r="M2921">
            <v>0</v>
          </cell>
        </row>
        <row r="2922">
          <cell r="M2922">
            <v>0</v>
          </cell>
        </row>
        <row r="2923">
          <cell r="M2923">
            <v>0</v>
          </cell>
        </row>
        <row r="2924">
          <cell r="M2924">
            <v>0</v>
          </cell>
        </row>
        <row r="2925">
          <cell r="M2925">
            <v>0</v>
          </cell>
        </row>
        <row r="2926">
          <cell r="A2926" t="str">
            <v>S133</v>
          </cell>
          <cell r="M2926">
            <v>0</v>
          </cell>
        </row>
        <row r="2929">
          <cell r="M2929">
            <v>1</v>
          </cell>
        </row>
        <row r="2932">
          <cell r="A2932">
            <v>27</v>
          </cell>
          <cell r="M2932">
            <v>1</v>
          </cell>
        </row>
        <row r="2933">
          <cell r="A2933">
            <v>28</v>
          </cell>
          <cell r="M2933">
            <v>1</v>
          </cell>
        </row>
        <row r="2934">
          <cell r="M2934">
            <v>0</v>
          </cell>
        </row>
        <row r="2935">
          <cell r="M2935">
            <v>0</v>
          </cell>
        </row>
        <row r="2936">
          <cell r="M2936">
            <v>0</v>
          </cell>
        </row>
        <row r="2937">
          <cell r="M2937">
            <v>0</v>
          </cell>
        </row>
        <row r="2938">
          <cell r="M2938">
            <v>0</v>
          </cell>
        </row>
        <row r="2939">
          <cell r="M2939">
            <v>0</v>
          </cell>
        </row>
        <row r="2940">
          <cell r="M2940">
            <v>0</v>
          </cell>
        </row>
        <row r="2941">
          <cell r="M2941">
            <v>0</v>
          </cell>
        </row>
        <row r="2942">
          <cell r="M2942">
            <v>0</v>
          </cell>
        </row>
        <row r="2943">
          <cell r="M2943">
            <v>0</v>
          </cell>
        </row>
        <row r="2944">
          <cell r="M2944">
            <v>0</v>
          </cell>
        </row>
        <row r="2945">
          <cell r="M2945">
            <v>0</v>
          </cell>
        </row>
        <row r="2946">
          <cell r="M2946">
            <v>0</v>
          </cell>
        </row>
        <row r="2947">
          <cell r="M2947">
            <v>0</v>
          </cell>
        </row>
        <row r="2948">
          <cell r="A2948" t="str">
            <v>S134</v>
          </cell>
          <cell r="M2948">
            <v>0</v>
          </cell>
        </row>
        <row r="2951">
          <cell r="M2951">
            <v>4</v>
          </cell>
        </row>
        <row r="2954">
          <cell r="A2954">
            <v>27</v>
          </cell>
          <cell r="M2954">
            <v>0.24</v>
          </cell>
        </row>
        <row r="2955">
          <cell r="M2955">
            <v>0</v>
          </cell>
        </row>
        <row r="2956">
          <cell r="M2956">
            <v>0</v>
          </cell>
        </row>
        <row r="2957">
          <cell r="M2957">
            <v>0</v>
          </cell>
        </row>
        <row r="2958">
          <cell r="M2958">
            <v>0</v>
          </cell>
        </row>
        <row r="2959">
          <cell r="M2959">
            <v>0</v>
          </cell>
        </row>
        <row r="2960">
          <cell r="M2960">
            <v>0</v>
          </cell>
        </row>
        <row r="2961">
          <cell r="M2961">
            <v>0</v>
          </cell>
        </row>
        <row r="2962">
          <cell r="M2962">
            <v>0</v>
          </cell>
        </row>
        <row r="2963">
          <cell r="M2963">
            <v>0</v>
          </cell>
        </row>
        <row r="2964">
          <cell r="M2964">
            <v>0</v>
          </cell>
        </row>
        <row r="2965">
          <cell r="M2965">
            <v>0</v>
          </cell>
        </row>
        <row r="2966">
          <cell r="M2966">
            <v>0</v>
          </cell>
        </row>
        <row r="2967">
          <cell r="M2967">
            <v>0</v>
          </cell>
        </row>
        <row r="2968">
          <cell r="M2968">
            <v>0</v>
          </cell>
        </row>
        <row r="2969">
          <cell r="M2969">
            <v>0</v>
          </cell>
        </row>
        <row r="2970">
          <cell r="A2970" t="str">
            <v>S135</v>
          </cell>
          <cell r="M2970">
            <v>0</v>
          </cell>
        </row>
        <row r="2973">
          <cell r="M2973">
            <v>23</v>
          </cell>
        </row>
        <row r="2976">
          <cell r="A2976">
            <v>13</v>
          </cell>
          <cell r="M2976">
            <v>0.80500000000000005</v>
          </cell>
        </row>
        <row r="2977">
          <cell r="A2977">
            <v>15</v>
          </cell>
          <cell r="M2977">
            <v>0.29899999999999999</v>
          </cell>
        </row>
        <row r="2978">
          <cell r="A2978">
            <v>356</v>
          </cell>
          <cell r="M2978">
            <v>23</v>
          </cell>
        </row>
        <row r="2979">
          <cell r="M2979">
            <v>0</v>
          </cell>
        </row>
        <row r="2980">
          <cell r="M2980">
            <v>0</v>
          </cell>
        </row>
        <row r="2981">
          <cell r="M2981">
            <v>0</v>
          </cell>
        </row>
        <row r="2982">
          <cell r="M2982">
            <v>0</v>
          </cell>
        </row>
        <row r="2983">
          <cell r="M2983">
            <v>0</v>
          </cell>
        </row>
        <row r="2984">
          <cell r="M2984">
            <v>0</v>
          </cell>
        </row>
        <row r="2985">
          <cell r="M2985">
            <v>0</v>
          </cell>
        </row>
        <row r="2986">
          <cell r="M2986">
            <v>0</v>
          </cell>
        </row>
        <row r="2987">
          <cell r="M2987">
            <v>0</v>
          </cell>
        </row>
        <row r="2988">
          <cell r="M2988">
            <v>0</v>
          </cell>
        </row>
        <row r="2989">
          <cell r="M2989">
            <v>0</v>
          </cell>
        </row>
        <row r="2990">
          <cell r="M2990">
            <v>0</v>
          </cell>
        </row>
        <row r="2991">
          <cell r="M2991">
            <v>0</v>
          </cell>
        </row>
        <row r="2992">
          <cell r="A2992" t="str">
            <v>S136</v>
          </cell>
          <cell r="M2992">
            <v>0</v>
          </cell>
        </row>
        <row r="2995">
          <cell r="M2995">
            <v>5</v>
          </cell>
        </row>
        <row r="2998">
          <cell r="A2998">
            <v>13</v>
          </cell>
          <cell r="M2998">
            <v>3</v>
          </cell>
        </row>
        <row r="2999">
          <cell r="A2999">
            <v>15</v>
          </cell>
          <cell r="M2999">
            <v>1.5</v>
          </cell>
        </row>
        <row r="3000">
          <cell r="M3000">
            <v>0</v>
          </cell>
        </row>
        <row r="3001">
          <cell r="M3001">
            <v>0</v>
          </cell>
        </row>
        <row r="3002">
          <cell r="M3002">
            <v>0</v>
          </cell>
        </row>
        <row r="3003">
          <cell r="M3003">
            <v>0</v>
          </cell>
        </row>
        <row r="3004">
          <cell r="M3004">
            <v>0</v>
          </cell>
        </row>
        <row r="3005">
          <cell r="M3005">
            <v>0</v>
          </cell>
        </row>
        <row r="3006">
          <cell r="M3006">
            <v>0</v>
          </cell>
        </row>
        <row r="3007">
          <cell r="M3007">
            <v>0</v>
          </cell>
        </row>
        <row r="3008">
          <cell r="M3008">
            <v>0</v>
          </cell>
        </row>
        <row r="3009">
          <cell r="M3009">
            <v>0</v>
          </cell>
        </row>
        <row r="3010">
          <cell r="M3010">
            <v>0</v>
          </cell>
        </row>
        <row r="3011">
          <cell r="M3011">
            <v>0</v>
          </cell>
        </row>
        <row r="3012">
          <cell r="M3012">
            <v>0</v>
          </cell>
        </row>
        <row r="3013">
          <cell r="M3013">
            <v>0</v>
          </cell>
        </row>
        <row r="3014">
          <cell r="A3014" t="str">
            <v>S137</v>
          </cell>
          <cell r="M3014">
            <v>0</v>
          </cell>
        </row>
        <row r="3017">
          <cell r="M3017">
            <v>3</v>
          </cell>
        </row>
        <row r="3020">
          <cell r="A3020">
            <v>13</v>
          </cell>
          <cell r="M3020">
            <v>0.03</v>
          </cell>
        </row>
        <row r="3021">
          <cell r="A3021">
            <v>15</v>
          </cell>
          <cell r="M3021">
            <v>9.0000000000000011E-3</v>
          </cell>
        </row>
        <row r="3022">
          <cell r="M3022">
            <v>0</v>
          </cell>
        </row>
        <row r="3023">
          <cell r="M3023">
            <v>0</v>
          </cell>
        </row>
        <row r="3024">
          <cell r="M3024">
            <v>0</v>
          </cell>
        </row>
        <row r="3025">
          <cell r="M3025">
            <v>0</v>
          </cell>
        </row>
        <row r="3026">
          <cell r="M3026">
            <v>0</v>
          </cell>
        </row>
        <row r="3027">
          <cell r="M3027">
            <v>0</v>
          </cell>
        </row>
        <row r="3028">
          <cell r="M3028">
            <v>0</v>
          </cell>
        </row>
        <row r="3029">
          <cell r="M3029">
            <v>0</v>
          </cell>
        </row>
        <row r="3030">
          <cell r="M3030">
            <v>0</v>
          </cell>
        </row>
        <row r="3031">
          <cell r="M3031">
            <v>0</v>
          </cell>
        </row>
        <row r="3032">
          <cell r="M3032">
            <v>0</v>
          </cell>
        </row>
        <row r="3033">
          <cell r="M3033">
            <v>0</v>
          </cell>
        </row>
        <row r="3034">
          <cell r="M3034">
            <v>0</v>
          </cell>
        </row>
        <row r="3035">
          <cell r="M3035">
            <v>0</v>
          </cell>
        </row>
        <row r="3036">
          <cell r="A3036" t="str">
            <v>S138</v>
          </cell>
          <cell r="M3036">
            <v>0</v>
          </cell>
        </row>
        <row r="3039">
          <cell r="M3039">
            <v>4</v>
          </cell>
        </row>
        <row r="3042">
          <cell r="A3042">
            <v>14</v>
          </cell>
          <cell r="M3042">
            <v>0.16</v>
          </cell>
        </row>
        <row r="3043">
          <cell r="M3043">
            <v>0</v>
          </cell>
        </row>
        <row r="3044">
          <cell r="M3044">
            <v>0</v>
          </cell>
        </row>
        <row r="3045">
          <cell r="M3045">
            <v>0</v>
          </cell>
        </row>
        <row r="3046">
          <cell r="M3046">
            <v>0</v>
          </cell>
        </row>
        <row r="3047">
          <cell r="M3047">
            <v>0</v>
          </cell>
        </row>
        <row r="3048">
          <cell r="M3048">
            <v>0</v>
          </cell>
        </row>
        <row r="3049">
          <cell r="M3049">
            <v>0</v>
          </cell>
        </row>
        <row r="3050">
          <cell r="M3050">
            <v>0</v>
          </cell>
        </row>
        <row r="3051">
          <cell r="M3051">
            <v>0</v>
          </cell>
        </row>
        <row r="3052">
          <cell r="M3052">
            <v>0</v>
          </cell>
        </row>
        <row r="3053">
          <cell r="M3053">
            <v>0</v>
          </cell>
        </row>
        <row r="3054">
          <cell r="M3054">
            <v>0</v>
          </cell>
        </row>
        <row r="3055">
          <cell r="M3055">
            <v>0</v>
          </cell>
        </row>
        <row r="3056">
          <cell r="M3056">
            <v>0</v>
          </cell>
        </row>
        <row r="3057">
          <cell r="M3057">
            <v>0</v>
          </cell>
        </row>
        <row r="3058">
          <cell r="A3058" t="str">
            <v>S139</v>
          </cell>
          <cell r="M3058">
            <v>0</v>
          </cell>
        </row>
        <row r="3061">
          <cell r="M3061">
            <v>1</v>
          </cell>
        </row>
        <row r="3064">
          <cell r="A3064">
            <v>13</v>
          </cell>
          <cell r="M3064">
            <v>0.5</v>
          </cell>
        </row>
        <row r="3065">
          <cell r="A3065">
            <v>15</v>
          </cell>
          <cell r="M3065">
            <v>0.5</v>
          </cell>
        </row>
        <row r="3066">
          <cell r="M3066">
            <v>0</v>
          </cell>
        </row>
        <row r="3067">
          <cell r="M3067">
            <v>0</v>
          </cell>
        </row>
        <row r="3068">
          <cell r="M3068">
            <v>0</v>
          </cell>
        </row>
        <row r="3069">
          <cell r="M3069">
            <v>0</v>
          </cell>
        </row>
        <row r="3070">
          <cell r="M3070">
            <v>0</v>
          </cell>
        </row>
        <row r="3071">
          <cell r="M3071">
            <v>0</v>
          </cell>
        </row>
        <row r="3072">
          <cell r="M3072">
            <v>0</v>
          </cell>
        </row>
        <row r="3073">
          <cell r="M3073">
            <v>0</v>
          </cell>
        </row>
        <row r="3074">
          <cell r="M3074">
            <v>0</v>
          </cell>
        </row>
        <row r="3075">
          <cell r="M3075">
            <v>0</v>
          </cell>
        </row>
        <row r="3076">
          <cell r="M3076">
            <v>0</v>
          </cell>
        </row>
        <row r="3077">
          <cell r="M3077">
            <v>0</v>
          </cell>
        </row>
        <row r="3078">
          <cell r="M3078">
            <v>0</v>
          </cell>
        </row>
        <row r="3079">
          <cell r="M3079">
            <v>0</v>
          </cell>
        </row>
        <row r="3080">
          <cell r="A3080" t="str">
            <v>S140</v>
          </cell>
          <cell r="M3080">
            <v>0</v>
          </cell>
        </row>
        <row r="3083">
          <cell r="M3083">
            <v>1</v>
          </cell>
        </row>
        <row r="3086">
          <cell r="A3086">
            <v>13</v>
          </cell>
          <cell r="M3086">
            <v>0.5</v>
          </cell>
        </row>
        <row r="3087">
          <cell r="A3087">
            <v>15</v>
          </cell>
          <cell r="M3087">
            <v>0.5</v>
          </cell>
        </row>
        <row r="3088">
          <cell r="A3088">
            <v>65</v>
          </cell>
          <cell r="M3088" t="e">
            <v>#VALUE!</v>
          </cell>
        </row>
        <row r="3089">
          <cell r="A3089">
            <v>60</v>
          </cell>
          <cell r="M3089">
            <v>2</v>
          </cell>
        </row>
        <row r="3090">
          <cell r="A3090">
            <v>53</v>
          </cell>
          <cell r="M3090">
            <v>2</v>
          </cell>
        </row>
        <row r="3091">
          <cell r="A3091">
            <v>113</v>
          </cell>
          <cell r="M3091">
            <v>4</v>
          </cell>
        </row>
        <row r="3092">
          <cell r="A3092">
            <v>50</v>
          </cell>
          <cell r="M3092">
            <v>2</v>
          </cell>
        </row>
        <row r="3093">
          <cell r="A3093">
            <v>59</v>
          </cell>
          <cell r="M3093">
            <v>2</v>
          </cell>
        </row>
        <row r="3094">
          <cell r="A3094">
            <v>56</v>
          </cell>
          <cell r="M3094">
            <v>2</v>
          </cell>
        </row>
        <row r="3095">
          <cell r="M3095">
            <v>0</v>
          </cell>
        </row>
        <row r="3096">
          <cell r="M3096">
            <v>0</v>
          </cell>
        </row>
        <row r="3097">
          <cell r="M3097">
            <v>0</v>
          </cell>
        </row>
        <row r="3098">
          <cell r="M3098">
            <v>0</v>
          </cell>
        </row>
        <row r="3099">
          <cell r="M3099">
            <v>0</v>
          </cell>
        </row>
        <row r="3100">
          <cell r="M3100">
            <v>0</v>
          </cell>
        </row>
        <row r="3101">
          <cell r="M3101">
            <v>0</v>
          </cell>
        </row>
        <row r="3102">
          <cell r="A3102" t="str">
            <v>S141</v>
          </cell>
          <cell r="M3102">
            <v>0</v>
          </cell>
        </row>
        <row r="3105">
          <cell r="M3105">
            <v>1</v>
          </cell>
        </row>
        <row r="3108">
          <cell r="A3108">
            <v>13</v>
          </cell>
          <cell r="M3108">
            <v>0.25</v>
          </cell>
        </row>
        <row r="3109">
          <cell r="A3109">
            <v>15</v>
          </cell>
          <cell r="M3109">
            <v>0.25</v>
          </cell>
        </row>
        <row r="3110">
          <cell r="M3110">
            <v>0</v>
          </cell>
        </row>
        <row r="3111">
          <cell r="M3111">
            <v>0</v>
          </cell>
        </row>
        <row r="3112">
          <cell r="M3112">
            <v>0</v>
          </cell>
        </row>
        <row r="3113">
          <cell r="M3113">
            <v>0</v>
          </cell>
        </row>
        <row r="3114">
          <cell r="M3114">
            <v>0</v>
          </cell>
        </row>
        <row r="3115">
          <cell r="M3115">
            <v>0</v>
          </cell>
        </row>
        <row r="3116">
          <cell r="M3116">
            <v>0</v>
          </cell>
        </row>
        <row r="3117">
          <cell r="M3117">
            <v>0</v>
          </cell>
        </row>
        <row r="3118">
          <cell r="M3118">
            <v>0</v>
          </cell>
        </row>
        <row r="3119">
          <cell r="M3119">
            <v>0</v>
          </cell>
        </row>
        <row r="3120">
          <cell r="M3120">
            <v>0</v>
          </cell>
        </row>
        <row r="3121">
          <cell r="M3121">
            <v>0</v>
          </cell>
        </row>
        <row r="3122">
          <cell r="M3122">
            <v>0</v>
          </cell>
        </row>
        <row r="3123">
          <cell r="M3123">
            <v>0</v>
          </cell>
        </row>
        <row r="3124">
          <cell r="A3124" t="str">
            <v>S142</v>
          </cell>
          <cell r="M3124">
            <v>0</v>
          </cell>
        </row>
        <row r="3127">
          <cell r="M3127">
            <v>1</v>
          </cell>
        </row>
        <row r="3130">
          <cell r="A3130">
            <v>13</v>
          </cell>
          <cell r="M3130">
            <v>0.25</v>
          </cell>
        </row>
        <row r="3131">
          <cell r="A3131">
            <v>15</v>
          </cell>
          <cell r="M3131">
            <v>0.25</v>
          </cell>
        </row>
        <row r="3132">
          <cell r="M3132">
            <v>0</v>
          </cell>
        </row>
        <row r="3133">
          <cell r="M3133">
            <v>0</v>
          </cell>
        </row>
        <row r="3134">
          <cell r="M3134">
            <v>0</v>
          </cell>
        </row>
        <row r="3135">
          <cell r="M3135">
            <v>0</v>
          </cell>
        </row>
        <row r="3136">
          <cell r="M3136">
            <v>0</v>
          </cell>
        </row>
        <row r="3137">
          <cell r="M3137">
            <v>0</v>
          </cell>
        </row>
        <row r="3138">
          <cell r="M3138">
            <v>0</v>
          </cell>
        </row>
        <row r="3139">
          <cell r="M3139">
            <v>0</v>
          </cell>
        </row>
        <row r="3140">
          <cell r="M3140">
            <v>0</v>
          </cell>
        </row>
        <row r="3141">
          <cell r="M3141">
            <v>0</v>
          </cell>
        </row>
        <row r="3142">
          <cell r="M3142">
            <v>0</v>
          </cell>
        </row>
        <row r="3143">
          <cell r="M3143">
            <v>0</v>
          </cell>
        </row>
        <row r="3144">
          <cell r="M3144">
            <v>0</v>
          </cell>
        </row>
        <row r="3145">
          <cell r="M3145">
            <v>0</v>
          </cell>
        </row>
        <row r="3146">
          <cell r="A3146" t="str">
            <v>S143</v>
          </cell>
          <cell r="M3146">
            <v>0</v>
          </cell>
        </row>
        <row r="3149">
          <cell r="M3149">
            <v>1</v>
          </cell>
        </row>
        <row r="3152">
          <cell r="A3152">
            <v>13</v>
          </cell>
          <cell r="M3152">
            <v>0.5</v>
          </cell>
        </row>
        <row r="3153">
          <cell r="A3153">
            <v>15</v>
          </cell>
          <cell r="M3153">
            <v>0.5</v>
          </cell>
        </row>
        <row r="3154">
          <cell r="M3154">
            <v>0</v>
          </cell>
        </row>
        <row r="3155">
          <cell r="M3155">
            <v>0</v>
          </cell>
        </row>
        <row r="3156">
          <cell r="M3156">
            <v>0</v>
          </cell>
        </row>
        <row r="3157">
          <cell r="M3157">
            <v>0</v>
          </cell>
        </row>
        <row r="3158">
          <cell r="M3158">
            <v>0</v>
          </cell>
        </row>
        <row r="3159">
          <cell r="M3159">
            <v>0</v>
          </cell>
        </row>
        <row r="3160">
          <cell r="M3160">
            <v>0</v>
          </cell>
        </row>
        <row r="3161">
          <cell r="M3161">
            <v>0</v>
          </cell>
        </row>
        <row r="3162">
          <cell r="M3162">
            <v>0</v>
          </cell>
        </row>
        <row r="3163">
          <cell r="M3163">
            <v>0</v>
          </cell>
        </row>
        <row r="3164">
          <cell r="M3164">
            <v>0</v>
          </cell>
        </row>
        <row r="3165">
          <cell r="M3165">
            <v>0</v>
          </cell>
        </row>
        <row r="3166">
          <cell r="M3166">
            <v>0</v>
          </cell>
        </row>
        <row r="3167">
          <cell r="M3167">
            <v>0</v>
          </cell>
        </row>
        <row r="3168">
          <cell r="A3168" t="str">
            <v>S144</v>
          </cell>
          <cell r="M3168">
            <v>0</v>
          </cell>
        </row>
        <row r="3171">
          <cell r="M3171">
            <v>1</v>
          </cell>
        </row>
        <row r="3174">
          <cell r="A3174">
            <v>13</v>
          </cell>
          <cell r="M3174">
            <v>0.5</v>
          </cell>
        </row>
        <row r="3175">
          <cell r="A3175">
            <v>15</v>
          </cell>
          <cell r="M3175">
            <v>0.5</v>
          </cell>
        </row>
        <row r="3176">
          <cell r="A3176">
            <v>359</v>
          </cell>
          <cell r="M3176">
            <v>1</v>
          </cell>
        </row>
        <row r="3177">
          <cell r="A3177">
            <v>62</v>
          </cell>
          <cell r="M3177">
            <v>4</v>
          </cell>
        </row>
        <row r="3178">
          <cell r="A3178">
            <v>53</v>
          </cell>
          <cell r="M3178">
            <v>2</v>
          </cell>
        </row>
        <row r="3179">
          <cell r="A3179">
            <v>113</v>
          </cell>
          <cell r="M3179">
            <v>4</v>
          </cell>
        </row>
        <row r="3180">
          <cell r="A3180">
            <v>50</v>
          </cell>
          <cell r="M3180">
            <v>4</v>
          </cell>
        </row>
        <row r="3181">
          <cell r="A3181">
            <v>59</v>
          </cell>
          <cell r="M3181">
            <v>2</v>
          </cell>
        </row>
        <row r="3182">
          <cell r="A3182">
            <v>56</v>
          </cell>
          <cell r="M3182">
            <v>2</v>
          </cell>
        </row>
        <row r="3183">
          <cell r="M3183">
            <v>0</v>
          </cell>
        </row>
        <row r="3184">
          <cell r="M3184">
            <v>0</v>
          </cell>
        </row>
        <row r="3185">
          <cell r="M3185">
            <v>0</v>
          </cell>
        </row>
        <row r="3186">
          <cell r="M3186">
            <v>0</v>
          </cell>
        </row>
        <row r="3187">
          <cell r="M3187">
            <v>0</v>
          </cell>
        </row>
        <row r="3188">
          <cell r="M3188">
            <v>0</v>
          </cell>
        </row>
        <row r="3189">
          <cell r="M3189">
            <v>0</v>
          </cell>
        </row>
        <row r="3190">
          <cell r="A3190" t="str">
            <v>S145</v>
          </cell>
          <cell r="M3190">
            <v>0</v>
          </cell>
        </row>
        <row r="3193">
          <cell r="M3193">
            <v>30</v>
          </cell>
        </row>
        <row r="3196">
          <cell r="A3196">
            <v>13</v>
          </cell>
          <cell r="M3196">
            <v>0.89999999999999991</v>
          </cell>
        </row>
        <row r="3197">
          <cell r="A3197">
            <v>15</v>
          </cell>
          <cell r="M3197">
            <v>0.6</v>
          </cell>
        </row>
        <row r="3198">
          <cell r="A3198">
            <v>361</v>
          </cell>
          <cell r="M3198">
            <v>30</v>
          </cell>
        </row>
        <row r="3199">
          <cell r="M3199">
            <v>0</v>
          </cell>
        </row>
        <row r="3200">
          <cell r="M3200">
            <v>0</v>
          </cell>
        </row>
        <row r="3201">
          <cell r="M3201">
            <v>0</v>
          </cell>
        </row>
        <row r="3202">
          <cell r="M3202">
            <v>0</v>
          </cell>
        </row>
        <row r="3203">
          <cell r="M3203">
            <v>0</v>
          </cell>
        </row>
        <row r="3204">
          <cell r="M3204">
            <v>0</v>
          </cell>
        </row>
        <row r="3205">
          <cell r="M3205">
            <v>0</v>
          </cell>
        </row>
        <row r="3206">
          <cell r="M3206">
            <v>0</v>
          </cell>
        </row>
        <row r="3207">
          <cell r="M3207">
            <v>0</v>
          </cell>
        </row>
        <row r="3208">
          <cell r="M3208">
            <v>0</v>
          </cell>
        </row>
        <row r="3209">
          <cell r="M3209">
            <v>0</v>
          </cell>
        </row>
        <row r="3210">
          <cell r="M3210">
            <v>0</v>
          </cell>
        </row>
        <row r="3211">
          <cell r="M3211">
            <v>0</v>
          </cell>
        </row>
        <row r="3212">
          <cell r="A3212" t="str">
            <v>S146</v>
          </cell>
          <cell r="M3212">
            <v>0</v>
          </cell>
        </row>
        <row r="3215">
          <cell r="M3215">
            <v>1</v>
          </cell>
        </row>
        <row r="3218">
          <cell r="A3218">
            <v>13</v>
          </cell>
          <cell r="M3218">
            <v>0.15</v>
          </cell>
        </row>
        <row r="3219">
          <cell r="A3219">
            <v>15</v>
          </cell>
          <cell r="M3219">
            <v>0.15</v>
          </cell>
        </row>
        <row r="3220">
          <cell r="M3220">
            <v>0</v>
          </cell>
        </row>
        <row r="3221">
          <cell r="M3221">
            <v>0</v>
          </cell>
        </row>
        <row r="3222">
          <cell r="M3222">
            <v>0</v>
          </cell>
        </row>
        <row r="3223">
          <cell r="M3223">
            <v>0</v>
          </cell>
        </row>
        <row r="3224">
          <cell r="M3224">
            <v>0</v>
          </cell>
        </row>
        <row r="3225">
          <cell r="M3225">
            <v>0</v>
          </cell>
        </row>
        <row r="3226">
          <cell r="M3226">
            <v>0</v>
          </cell>
        </row>
        <row r="3227">
          <cell r="M3227">
            <v>0</v>
          </cell>
        </row>
        <row r="3228">
          <cell r="M3228">
            <v>0</v>
          </cell>
        </row>
        <row r="3229">
          <cell r="M3229">
            <v>0</v>
          </cell>
        </row>
        <row r="3230">
          <cell r="M3230">
            <v>0</v>
          </cell>
        </row>
        <row r="3231">
          <cell r="M3231">
            <v>0</v>
          </cell>
        </row>
        <row r="3232">
          <cell r="M3232">
            <v>0</v>
          </cell>
        </row>
        <row r="3233">
          <cell r="M3233">
            <v>0</v>
          </cell>
        </row>
        <row r="3234">
          <cell r="A3234" t="str">
            <v>S147</v>
          </cell>
          <cell r="M3234">
            <v>0</v>
          </cell>
        </row>
        <row r="3237">
          <cell r="M3237">
            <v>1</v>
          </cell>
        </row>
        <row r="3240">
          <cell r="A3240">
            <v>13</v>
          </cell>
          <cell r="M3240">
            <v>0.15</v>
          </cell>
        </row>
        <row r="3241">
          <cell r="A3241">
            <v>15</v>
          </cell>
          <cell r="M3241">
            <v>0.15</v>
          </cell>
        </row>
        <row r="3242">
          <cell r="M3242">
            <v>0</v>
          </cell>
        </row>
        <row r="3243">
          <cell r="M3243">
            <v>0</v>
          </cell>
        </row>
        <row r="3244">
          <cell r="M3244">
            <v>0</v>
          </cell>
        </row>
        <row r="3245">
          <cell r="M3245">
            <v>0</v>
          </cell>
        </row>
        <row r="3246">
          <cell r="M3246">
            <v>0</v>
          </cell>
        </row>
        <row r="3247">
          <cell r="M3247">
            <v>0</v>
          </cell>
        </row>
        <row r="3248">
          <cell r="M3248">
            <v>0</v>
          </cell>
        </row>
        <row r="3249">
          <cell r="M3249">
            <v>0</v>
          </cell>
        </row>
        <row r="3250">
          <cell r="M3250">
            <v>0</v>
          </cell>
        </row>
        <row r="3251">
          <cell r="M3251">
            <v>0</v>
          </cell>
        </row>
        <row r="3252">
          <cell r="M3252">
            <v>0</v>
          </cell>
        </row>
        <row r="3253">
          <cell r="M3253">
            <v>0</v>
          </cell>
        </row>
        <row r="3254">
          <cell r="M3254">
            <v>0</v>
          </cell>
        </row>
        <row r="3255">
          <cell r="M3255">
            <v>0</v>
          </cell>
        </row>
        <row r="3256">
          <cell r="A3256" t="str">
            <v>S148</v>
          </cell>
          <cell r="M3256">
            <v>0</v>
          </cell>
        </row>
        <row r="3259">
          <cell r="M3259">
            <v>29</v>
          </cell>
        </row>
        <row r="3262">
          <cell r="A3262">
            <v>13</v>
          </cell>
          <cell r="M3262">
            <v>0.26099999999999995</v>
          </cell>
        </row>
        <row r="3263">
          <cell r="A3263">
            <v>15</v>
          </cell>
          <cell r="M3263">
            <v>0.17400000000000002</v>
          </cell>
        </row>
        <row r="3264">
          <cell r="M3264">
            <v>0</v>
          </cell>
        </row>
        <row r="3265">
          <cell r="M3265">
            <v>0</v>
          </cell>
        </row>
        <row r="3266">
          <cell r="M3266">
            <v>0</v>
          </cell>
        </row>
        <row r="3267">
          <cell r="M3267">
            <v>0</v>
          </cell>
        </row>
        <row r="3268">
          <cell r="M3268">
            <v>0</v>
          </cell>
        </row>
        <row r="3269">
          <cell r="M3269">
            <v>0</v>
          </cell>
        </row>
        <row r="3270">
          <cell r="M3270">
            <v>0</v>
          </cell>
        </row>
        <row r="3271">
          <cell r="M3271">
            <v>0</v>
          </cell>
        </row>
        <row r="3272">
          <cell r="M3272">
            <v>0</v>
          </cell>
        </row>
        <row r="3273">
          <cell r="M3273">
            <v>0</v>
          </cell>
        </row>
        <row r="3274">
          <cell r="M3274">
            <v>0</v>
          </cell>
        </row>
        <row r="3275">
          <cell r="M3275">
            <v>0</v>
          </cell>
        </row>
        <row r="3276">
          <cell r="M3276">
            <v>0</v>
          </cell>
        </row>
        <row r="3277">
          <cell r="M3277">
            <v>0</v>
          </cell>
        </row>
        <row r="3278">
          <cell r="A3278" t="str">
            <v>S149</v>
          </cell>
          <cell r="M3278">
            <v>0</v>
          </cell>
        </row>
        <row r="3281">
          <cell r="M3281">
            <v>1</v>
          </cell>
        </row>
        <row r="3284">
          <cell r="A3284">
            <v>13</v>
          </cell>
          <cell r="M3284">
            <v>0.5</v>
          </cell>
        </row>
        <row r="3285">
          <cell r="A3285">
            <v>15</v>
          </cell>
          <cell r="M3285">
            <v>0.5</v>
          </cell>
        </row>
        <row r="3286">
          <cell r="M3286">
            <v>0</v>
          </cell>
        </row>
        <row r="3287">
          <cell r="M3287">
            <v>0</v>
          </cell>
        </row>
        <row r="3288">
          <cell r="M3288">
            <v>0</v>
          </cell>
        </row>
        <row r="3289">
          <cell r="M3289">
            <v>0</v>
          </cell>
        </row>
        <row r="3290">
          <cell r="M3290">
            <v>0</v>
          </cell>
        </row>
        <row r="3291">
          <cell r="M3291">
            <v>0</v>
          </cell>
        </row>
        <row r="3292">
          <cell r="M3292">
            <v>0</v>
          </cell>
        </row>
        <row r="3293">
          <cell r="M3293">
            <v>0</v>
          </cell>
        </row>
        <row r="3294">
          <cell r="M3294">
            <v>0</v>
          </cell>
        </row>
        <row r="3295">
          <cell r="M3295">
            <v>0</v>
          </cell>
        </row>
        <row r="3296">
          <cell r="M3296">
            <v>0</v>
          </cell>
        </row>
        <row r="3297">
          <cell r="M3297">
            <v>0</v>
          </cell>
        </row>
        <row r="3298">
          <cell r="M3298">
            <v>0</v>
          </cell>
        </row>
        <row r="3299">
          <cell r="M3299">
            <v>0</v>
          </cell>
        </row>
        <row r="3300">
          <cell r="A3300" t="str">
            <v>S150</v>
          </cell>
          <cell r="M3300">
            <v>0</v>
          </cell>
        </row>
        <row r="3303">
          <cell r="M3303">
            <v>1</v>
          </cell>
        </row>
        <row r="3306">
          <cell r="A3306">
            <v>13</v>
          </cell>
          <cell r="M3306">
            <v>0.25</v>
          </cell>
        </row>
        <row r="3307">
          <cell r="A3307">
            <v>15</v>
          </cell>
          <cell r="M3307">
            <v>0.25</v>
          </cell>
        </row>
        <row r="3308">
          <cell r="M3308">
            <v>0</v>
          </cell>
        </row>
        <row r="3309">
          <cell r="M3309">
            <v>0</v>
          </cell>
        </row>
        <row r="3310">
          <cell r="M3310">
            <v>0</v>
          </cell>
        </row>
        <row r="3311">
          <cell r="M3311">
            <v>0</v>
          </cell>
        </row>
        <row r="3312">
          <cell r="M3312">
            <v>0</v>
          </cell>
        </row>
        <row r="3313">
          <cell r="M3313">
            <v>0</v>
          </cell>
        </row>
        <row r="3314">
          <cell r="M3314">
            <v>0</v>
          </cell>
        </row>
        <row r="3315">
          <cell r="M3315">
            <v>0</v>
          </cell>
        </row>
        <row r="3316">
          <cell r="M3316">
            <v>0</v>
          </cell>
        </row>
        <row r="3317">
          <cell r="M3317">
            <v>0</v>
          </cell>
        </row>
        <row r="3318">
          <cell r="M3318">
            <v>0</v>
          </cell>
        </row>
        <row r="3319">
          <cell r="M3319">
            <v>0</v>
          </cell>
        </row>
        <row r="3320">
          <cell r="M3320">
            <v>0</v>
          </cell>
        </row>
        <row r="3321">
          <cell r="M3321">
            <v>0</v>
          </cell>
        </row>
        <row r="3322">
          <cell r="A3322" t="str">
            <v>S151</v>
          </cell>
          <cell r="M3322">
            <v>0</v>
          </cell>
        </row>
        <row r="3325">
          <cell r="M3325">
            <v>1</v>
          </cell>
        </row>
        <row r="3328">
          <cell r="A3328">
            <v>13</v>
          </cell>
          <cell r="M3328">
            <v>0.5</v>
          </cell>
        </row>
        <row r="3329">
          <cell r="A3329">
            <v>15</v>
          </cell>
          <cell r="M3329">
            <v>0.5</v>
          </cell>
        </row>
        <row r="3330">
          <cell r="M3330">
            <v>0</v>
          </cell>
        </row>
        <row r="3331">
          <cell r="M3331">
            <v>0</v>
          </cell>
        </row>
        <row r="3332">
          <cell r="M3332">
            <v>0</v>
          </cell>
        </row>
        <row r="3333">
          <cell r="M3333">
            <v>0</v>
          </cell>
        </row>
        <row r="3334">
          <cell r="M3334">
            <v>0</v>
          </cell>
        </row>
        <row r="3335">
          <cell r="M3335">
            <v>0</v>
          </cell>
        </row>
        <row r="3336">
          <cell r="M3336">
            <v>0</v>
          </cell>
        </row>
        <row r="3337">
          <cell r="M3337">
            <v>0</v>
          </cell>
        </row>
        <row r="3338">
          <cell r="M3338">
            <v>0</v>
          </cell>
        </row>
        <row r="3339">
          <cell r="M3339">
            <v>0</v>
          </cell>
        </row>
        <row r="3340">
          <cell r="M3340">
            <v>0</v>
          </cell>
        </row>
        <row r="3341">
          <cell r="M3341">
            <v>0</v>
          </cell>
        </row>
        <row r="3342">
          <cell r="M3342">
            <v>0</v>
          </cell>
        </row>
        <row r="3343">
          <cell r="M3343">
            <v>0</v>
          </cell>
        </row>
        <row r="3344">
          <cell r="A3344" t="str">
            <v>S152</v>
          </cell>
          <cell r="M3344">
            <v>0</v>
          </cell>
        </row>
        <row r="3347">
          <cell r="M3347">
            <v>1</v>
          </cell>
        </row>
        <row r="3350">
          <cell r="A3350">
            <v>13</v>
          </cell>
          <cell r="M3350">
            <v>0.5</v>
          </cell>
        </row>
        <row r="3351">
          <cell r="A3351">
            <v>15</v>
          </cell>
          <cell r="M3351">
            <v>0.5</v>
          </cell>
        </row>
        <row r="3352">
          <cell r="A3352">
            <v>62</v>
          </cell>
          <cell r="M3352">
            <v>4</v>
          </cell>
        </row>
        <row r="3353">
          <cell r="A3353">
            <v>53</v>
          </cell>
          <cell r="M3353">
            <v>2</v>
          </cell>
        </row>
        <row r="3354">
          <cell r="A3354">
            <v>113</v>
          </cell>
          <cell r="M3354">
            <v>4</v>
          </cell>
        </row>
        <row r="3355">
          <cell r="A3355">
            <v>50</v>
          </cell>
          <cell r="M3355">
            <v>4</v>
          </cell>
        </row>
        <row r="3356">
          <cell r="A3356">
            <v>59</v>
          </cell>
          <cell r="M3356">
            <v>2</v>
          </cell>
        </row>
        <row r="3357">
          <cell r="A3357">
            <v>56</v>
          </cell>
          <cell r="M3357">
            <v>2</v>
          </cell>
        </row>
        <row r="3358">
          <cell r="M3358">
            <v>0</v>
          </cell>
        </row>
        <row r="3359">
          <cell r="M3359">
            <v>0</v>
          </cell>
        </row>
        <row r="3360">
          <cell r="M3360">
            <v>0</v>
          </cell>
        </row>
        <row r="3361">
          <cell r="M3361">
            <v>0</v>
          </cell>
        </row>
        <row r="3362">
          <cell r="M3362">
            <v>0</v>
          </cell>
        </row>
        <row r="3363">
          <cell r="M3363">
            <v>0</v>
          </cell>
        </row>
        <row r="3364">
          <cell r="M3364">
            <v>0</v>
          </cell>
        </row>
        <row r="3365">
          <cell r="M3365">
            <v>0</v>
          </cell>
        </row>
        <row r="3366">
          <cell r="A3366" t="str">
            <v>S153</v>
          </cell>
          <cell r="M3366">
            <v>0</v>
          </cell>
        </row>
        <row r="3369">
          <cell r="M3369">
            <v>1</v>
          </cell>
        </row>
        <row r="3372">
          <cell r="A3372">
            <v>16</v>
          </cell>
          <cell r="M3372">
            <v>0.2</v>
          </cell>
        </row>
        <row r="3373">
          <cell r="M3373">
            <v>0</v>
          </cell>
        </row>
        <row r="3374">
          <cell r="M3374">
            <v>0</v>
          </cell>
        </row>
        <row r="3375">
          <cell r="M3375">
            <v>0</v>
          </cell>
        </row>
        <row r="3376">
          <cell r="M3376">
            <v>0</v>
          </cell>
        </row>
        <row r="3377">
          <cell r="M3377">
            <v>0</v>
          </cell>
        </row>
        <row r="3378">
          <cell r="M3378">
            <v>0</v>
          </cell>
        </row>
        <row r="3379">
          <cell r="M3379">
            <v>0</v>
          </cell>
        </row>
        <row r="3380">
          <cell r="M3380">
            <v>0</v>
          </cell>
        </row>
        <row r="3381">
          <cell r="M3381">
            <v>0</v>
          </cell>
        </row>
        <row r="3382">
          <cell r="M3382">
            <v>0</v>
          </cell>
        </row>
        <row r="3383">
          <cell r="M3383">
            <v>0</v>
          </cell>
        </row>
        <row r="3384">
          <cell r="M3384">
            <v>0</v>
          </cell>
        </row>
        <row r="3385">
          <cell r="M3385">
            <v>0</v>
          </cell>
        </row>
        <row r="3386">
          <cell r="M3386">
            <v>0</v>
          </cell>
        </row>
        <row r="3387">
          <cell r="M3387">
            <v>0</v>
          </cell>
        </row>
        <row r="3388">
          <cell r="A3388" t="str">
            <v>S154</v>
          </cell>
          <cell r="M3388">
            <v>0</v>
          </cell>
        </row>
        <row r="3391">
          <cell r="M3391">
            <v>1</v>
          </cell>
        </row>
        <row r="3394">
          <cell r="A3394">
            <v>16</v>
          </cell>
          <cell r="M3394">
            <v>0.5</v>
          </cell>
        </row>
        <row r="3395">
          <cell r="M3395">
            <v>0</v>
          </cell>
        </row>
        <row r="3396">
          <cell r="M3396">
            <v>0</v>
          </cell>
        </row>
        <row r="3397">
          <cell r="M3397">
            <v>0</v>
          </cell>
        </row>
        <row r="3398">
          <cell r="M3398">
            <v>0</v>
          </cell>
        </row>
        <row r="3399">
          <cell r="M3399">
            <v>0</v>
          </cell>
        </row>
        <row r="3400">
          <cell r="M3400">
            <v>0</v>
          </cell>
        </row>
        <row r="3401">
          <cell r="M3401">
            <v>0</v>
          </cell>
        </row>
        <row r="3402">
          <cell r="M3402">
            <v>0</v>
          </cell>
        </row>
        <row r="3403">
          <cell r="M3403">
            <v>0</v>
          </cell>
        </row>
        <row r="3404">
          <cell r="M3404">
            <v>0</v>
          </cell>
        </row>
        <row r="3405">
          <cell r="M3405">
            <v>0</v>
          </cell>
        </row>
        <row r="3406">
          <cell r="M3406">
            <v>0</v>
          </cell>
        </row>
        <row r="3407">
          <cell r="M3407">
            <v>0</v>
          </cell>
        </row>
        <row r="3408">
          <cell r="M3408">
            <v>0</v>
          </cell>
        </row>
        <row r="3409">
          <cell r="M3409">
            <v>0</v>
          </cell>
        </row>
        <row r="3410">
          <cell r="A3410" t="str">
            <v>S155</v>
          </cell>
          <cell r="M3410">
            <v>0</v>
          </cell>
        </row>
        <row r="3413">
          <cell r="M3413">
            <v>1</v>
          </cell>
        </row>
        <row r="3416">
          <cell r="A3416">
            <v>13</v>
          </cell>
          <cell r="M3416">
            <v>0.15</v>
          </cell>
        </row>
        <row r="3417">
          <cell r="A3417">
            <v>15</v>
          </cell>
          <cell r="M3417">
            <v>0.15</v>
          </cell>
        </row>
        <row r="3418">
          <cell r="M3418">
            <v>0</v>
          </cell>
        </row>
        <row r="3419">
          <cell r="M3419">
            <v>0</v>
          </cell>
        </row>
        <row r="3420">
          <cell r="M3420">
            <v>0</v>
          </cell>
        </row>
        <row r="3421">
          <cell r="M3421">
            <v>0</v>
          </cell>
        </row>
        <row r="3422">
          <cell r="M3422">
            <v>0</v>
          </cell>
        </row>
        <row r="3423">
          <cell r="M3423">
            <v>0</v>
          </cell>
        </row>
        <row r="3424">
          <cell r="M3424">
            <v>0</v>
          </cell>
        </row>
        <row r="3425">
          <cell r="M3425">
            <v>0</v>
          </cell>
        </row>
        <row r="3426">
          <cell r="M3426">
            <v>0</v>
          </cell>
        </row>
        <row r="3427">
          <cell r="M3427">
            <v>0</v>
          </cell>
        </row>
        <row r="3428">
          <cell r="M3428">
            <v>0</v>
          </cell>
        </row>
        <row r="3429">
          <cell r="M3429">
            <v>0</v>
          </cell>
        </row>
        <row r="3430">
          <cell r="M3430">
            <v>0</v>
          </cell>
        </row>
        <row r="3431">
          <cell r="M3431">
            <v>0</v>
          </cell>
        </row>
        <row r="3432">
          <cell r="A3432" t="str">
            <v>S156</v>
          </cell>
          <cell r="M3432">
            <v>0</v>
          </cell>
        </row>
        <row r="3435">
          <cell r="M3435">
            <v>1</v>
          </cell>
        </row>
        <row r="3438">
          <cell r="M3438">
            <v>0</v>
          </cell>
        </row>
        <row r="3439">
          <cell r="M3439">
            <v>0.15</v>
          </cell>
        </row>
        <row r="3440">
          <cell r="M3440">
            <v>0.15</v>
          </cell>
        </row>
        <row r="3441">
          <cell r="M3441">
            <v>0</v>
          </cell>
        </row>
        <row r="3442">
          <cell r="M3442">
            <v>0</v>
          </cell>
        </row>
        <row r="3443">
          <cell r="M3443">
            <v>0</v>
          </cell>
        </row>
        <row r="3444">
          <cell r="M3444">
            <v>0</v>
          </cell>
        </row>
        <row r="3445">
          <cell r="M3445">
            <v>0</v>
          </cell>
        </row>
        <row r="3446">
          <cell r="M3446">
            <v>0</v>
          </cell>
        </row>
        <row r="3447">
          <cell r="M3447">
            <v>0</v>
          </cell>
        </row>
        <row r="3448">
          <cell r="M3448">
            <v>0</v>
          </cell>
        </row>
        <row r="3449">
          <cell r="M3449">
            <v>0</v>
          </cell>
        </row>
        <row r="3450">
          <cell r="M3450">
            <v>0</v>
          </cell>
        </row>
        <row r="3451">
          <cell r="M3451">
            <v>0</v>
          </cell>
        </row>
        <row r="3452">
          <cell r="M3452">
            <v>0</v>
          </cell>
        </row>
        <row r="3453">
          <cell r="M3453">
            <v>0</v>
          </cell>
        </row>
        <row r="3454">
          <cell r="A3454" t="str">
            <v>S157</v>
          </cell>
          <cell r="M3454">
            <v>0</v>
          </cell>
        </row>
        <row r="3457">
          <cell r="M3457">
            <v>3</v>
          </cell>
        </row>
        <row r="3460">
          <cell r="A3460">
            <v>15</v>
          </cell>
          <cell r="M3460">
            <v>14.850000000000001</v>
          </cell>
        </row>
        <row r="3461">
          <cell r="A3461">
            <v>18</v>
          </cell>
          <cell r="M3461">
            <v>15.09</v>
          </cell>
        </row>
        <row r="3462">
          <cell r="M3462">
            <v>0</v>
          </cell>
        </row>
        <row r="3463">
          <cell r="M3463">
            <v>0</v>
          </cell>
        </row>
        <row r="3464">
          <cell r="M3464">
            <v>0</v>
          </cell>
        </row>
        <row r="3465">
          <cell r="M3465">
            <v>0</v>
          </cell>
        </row>
        <row r="3466">
          <cell r="M3466">
            <v>0</v>
          </cell>
        </row>
        <row r="3467">
          <cell r="M3467">
            <v>0</v>
          </cell>
        </row>
        <row r="3468">
          <cell r="M3468">
            <v>0</v>
          </cell>
        </row>
        <row r="3469">
          <cell r="M3469">
            <v>0</v>
          </cell>
        </row>
        <row r="3470">
          <cell r="M3470">
            <v>0</v>
          </cell>
        </row>
        <row r="3471">
          <cell r="M3471">
            <v>0</v>
          </cell>
        </row>
        <row r="3472">
          <cell r="M3472">
            <v>0</v>
          </cell>
        </row>
        <row r="3473">
          <cell r="M3473">
            <v>0</v>
          </cell>
        </row>
        <row r="3474">
          <cell r="M3474">
            <v>0</v>
          </cell>
        </row>
        <row r="3475">
          <cell r="M3475">
            <v>0</v>
          </cell>
        </row>
        <row r="3476">
          <cell r="A3476" t="str">
            <v>S158</v>
          </cell>
          <cell r="M3476">
            <v>0</v>
          </cell>
        </row>
        <row r="3479">
          <cell r="M3479">
            <v>1</v>
          </cell>
        </row>
        <row r="3482">
          <cell r="A3482">
            <v>15</v>
          </cell>
          <cell r="M3482">
            <v>3.96</v>
          </cell>
        </row>
        <row r="3483">
          <cell r="A3483">
            <v>18</v>
          </cell>
          <cell r="M3483">
            <v>4.42</v>
          </cell>
        </row>
        <row r="3484">
          <cell r="M3484">
            <v>0</v>
          </cell>
        </row>
        <row r="3485">
          <cell r="M3485">
            <v>0</v>
          </cell>
        </row>
        <row r="3486">
          <cell r="M3486">
            <v>0</v>
          </cell>
        </row>
        <row r="3487">
          <cell r="M3487">
            <v>0</v>
          </cell>
        </row>
        <row r="3488">
          <cell r="M3488">
            <v>0</v>
          </cell>
        </row>
        <row r="3489">
          <cell r="M3489">
            <v>0</v>
          </cell>
        </row>
        <row r="3490">
          <cell r="M3490">
            <v>0</v>
          </cell>
        </row>
        <row r="3491">
          <cell r="M3491">
            <v>0</v>
          </cell>
        </row>
        <row r="3492">
          <cell r="M3492">
            <v>0</v>
          </cell>
        </row>
        <row r="3493">
          <cell r="M3493">
            <v>0</v>
          </cell>
        </row>
        <row r="3494">
          <cell r="M3494">
            <v>0</v>
          </cell>
        </row>
        <row r="3495">
          <cell r="M3495">
            <v>0</v>
          </cell>
        </row>
        <row r="3496">
          <cell r="M3496">
            <v>0</v>
          </cell>
        </row>
        <row r="3497">
          <cell r="M3497">
            <v>0</v>
          </cell>
        </row>
        <row r="3498">
          <cell r="A3498" t="str">
            <v>S159</v>
          </cell>
          <cell r="M3498">
            <v>0</v>
          </cell>
        </row>
        <row r="3501">
          <cell r="M3501">
            <v>3</v>
          </cell>
        </row>
        <row r="3504">
          <cell r="A3504">
            <v>15</v>
          </cell>
          <cell r="M3504">
            <v>5.9399999999999995</v>
          </cell>
        </row>
        <row r="3505">
          <cell r="A3505">
            <v>18</v>
          </cell>
          <cell r="M3505">
            <v>6.0299999999999994</v>
          </cell>
        </row>
        <row r="3506">
          <cell r="M3506">
            <v>0</v>
          </cell>
        </row>
        <row r="3507">
          <cell r="M3507">
            <v>0</v>
          </cell>
        </row>
        <row r="3508">
          <cell r="M3508">
            <v>0</v>
          </cell>
        </row>
        <row r="3509">
          <cell r="M3509">
            <v>0</v>
          </cell>
        </row>
        <row r="3510">
          <cell r="M3510">
            <v>0</v>
          </cell>
        </row>
        <row r="3511">
          <cell r="M3511">
            <v>0</v>
          </cell>
        </row>
        <row r="3512">
          <cell r="M3512">
            <v>0</v>
          </cell>
        </row>
        <row r="3513">
          <cell r="M3513">
            <v>0</v>
          </cell>
        </row>
        <row r="3514">
          <cell r="M3514">
            <v>0</v>
          </cell>
        </row>
        <row r="3515">
          <cell r="M3515">
            <v>0</v>
          </cell>
        </row>
        <row r="3516">
          <cell r="M3516">
            <v>0</v>
          </cell>
        </row>
        <row r="3517">
          <cell r="M3517">
            <v>0</v>
          </cell>
        </row>
        <row r="3518">
          <cell r="M3518">
            <v>0</v>
          </cell>
        </row>
        <row r="3519">
          <cell r="M3519">
            <v>0</v>
          </cell>
        </row>
        <row r="3520">
          <cell r="A3520" t="str">
            <v>S160</v>
          </cell>
          <cell r="M3520">
            <v>0</v>
          </cell>
        </row>
        <row r="3523">
          <cell r="M3523">
            <v>1</v>
          </cell>
        </row>
        <row r="3526">
          <cell r="A3526">
            <v>15</v>
          </cell>
          <cell r="M3526">
            <v>1.58</v>
          </cell>
        </row>
        <row r="3527">
          <cell r="A3527">
            <v>18</v>
          </cell>
          <cell r="M3527">
            <v>1.76</v>
          </cell>
        </row>
        <row r="3528">
          <cell r="M3528">
            <v>0</v>
          </cell>
        </row>
        <row r="3529">
          <cell r="M3529">
            <v>0</v>
          </cell>
        </row>
        <row r="3530">
          <cell r="M3530">
            <v>0</v>
          </cell>
        </row>
        <row r="3531">
          <cell r="M3531">
            <v>0</v>
          </cell>
        </row>
        <row r="3532">
          <cell r="M3532">
            <v>0</v>
          </cell>
        </row>
        <row r="3533">
          <cell r="M3533">
            <v>0</v>
          </cell>
        </row>
        <row r="3534">
          <cell r="M3534">
            <v>0</v>
          </cell>
        </row>
        <row r="3535">
          <cell r="M3535">
            <v>0</v>
          </cell>
        </row>
        <row r="3536">
          <cell r="M3536">
            <v>0</v>
          </cell>
        </row>
        <row r="3537">
          <cell r="M3537">
            <v>0</v>
          </cell>
        </row>
        <row r="3538">
          <cell r="M3538">
            <v>0</v>
          </cell>
        </row>
        <row r="3539">
          <cell r="M3539">
            <v>0</v>
          </cell>
        </row>
        <row r="3540">
          <cell r="M3540">
            <v>0</v>
          </cell>
        </row>
        <row r="3541">
          <cell r="M3541">
            <v>0</v>
          </cell>
        </row>
        <row r="3542">
          <cell r="A3542" t="str">
            <v>S161</v>
          </cell>
          <cell r="M3542">
            <v>0</v>
          </cell>
        </row>
        <row r="3545">
          <cell r="M3545">
            <v>1</v>
          </cell>
        </row>
        <row r="3548">
          <cell r="A3548">
            <v>15</v>
          </cell>
          <cell r="M3548">
            <v>1.5</v>
          </cell>
        </row>
        <row r="3549">
          <cell r="A3549">
            <v>18</v>
          </cell>
          <cell r="M3549">
            <v>4.5999999999999996</v>
          </cell>
        </row>
        <row r="3550">
          <cell r="M3550">
            <v>0</v>
          </cell>
        </row>
        <row r="3551">
          <cell r="M3551">
            <v>0</v>
          </cell>
        </row>
        <row r="3552">
          <cell r="M3552">
            <v>0</v>
          </cell>
        </row>
        <row r="3553">
          <cell r="M3553">
            <v>0</v>
          </cell>
        </row>
        <row r="3554">
          <cell r="M3554">
            <v>0</v>
          </cell>
        </row>
        <row r="3555">
          <cell r="M3555">
            <v>0</v>
          </cell>
        </row>
        <row r="3556">
          <cell r="M3556">
            <v>0</v>
          </cell>
        </row>
        <row r="3557">
          <cell r="M3557">
            <v>0</v>
          </cell>
        </row>
        <row r="3558">
          <cell r="M3558">
            <v>0</v>
          </cell>
        </row>
        <row r="3559">
          <cell r="M3559">
            <v>0</v>
          </cell>
        </row>
        <row r="3560">
          <cell r="M3560">
            <v>0</v>
          </cell>
        </row>
        <row r="3561">
          <cell r="M3561">
            <v>0</v>
          </cell>
        </row>
        <row r="3562">
          <cell r="M3562">
            <v>0</v>
          </cell>
        </row>
        <row r="3563">
          <cell r="M3563">
            <v>0</v>
          </cell>
        </row>
        <row r="3564">
          <cell r="A3564" t="str">
            <v>S162</v>
          </cell>
          <cell r="M3564">
            <v>0</v>
          </cell>
        </row>
        <row r="3567">
          <cell r="M3567">
            <v>1</v>
          </cell>
        </row>
        <row r="3570">
          <cell r="A3570">
            <v>15</v>
          </cell>
          <cell r="M3570">
            <v>0.6</v>
          </cell>
        </row>
        <row r="3571">
          <cell r="A3571">
            <v>18</v>
          </cell>
          <cell r="M3571">
            <v>1.84</v>
          </cell>
        </row>
        <row r="3572">
          <cell r="M3572">
            <v>0</v>
          </cell>
        </row>
        <row r="3573">
          <cell r="M3573">
            <v>0</v>
          </cell>
        </row>
        <row r="3574">
          <cell r="M3574">
            <v>0</v>
          </cell>
        </row>
        <row r="3575">
          <cell r="M3575">
            <v>0</v>
          </cell>
        </row>
        <row r="3576">
          <cell r="M3576">
            <v>0</v>
          </cell>
        </row>
        <row r="3577">
          <cell r="M3577">
            <v>0</v>
          </cell>
        </row>
        <row r="3578">
          <cell r="M3578">
            <v>0</v>
          </cell>
        </row>
        <row r="3579">
          <cell r="M3579">
            <v>0</v>
          </cell>
        </row>
        <row r="3580">
          <cell r="M3580">
            <v>0</v>
          </cell>
        </row>
        <row r="3581">
          <cell r="M3581">
            <v>0</v>
          </cell>
        </row>
        <row r="3582">
          <cell r="M3582">
            <v>0</v>
          </cell>
        </row>
        <row r="3583">
          <cell r="M3583">
            <v>0</v>
          </cell>
        </row>
        <row r="3584">
          <cell r="M3584">
            <v>0</v>
          </cell>
        </row>
        <row r="3585">
          <cell r="M3585">
            <v>0</v>
          </cell>
        </row>
        <row r="3586">
          <cell r="A3586" t="str">
            <v>S163</v>
          </cell>
          <cell r="M3586">
            <v>0</v>
          </cell>
        </row>
        <row r="3589">
          <cell r="M3589">
            <v>1</v>
          </cell>
        </row>
        <row r="3592">
          <cell r="A3592">
            <v>15</v>
          </cell>
          <cell r="M3592">
            <v>1.5</v>
          </cell>
        </row>
        <row r="3593">
          <cell r="A3593">
            <v>18</v>
          </cell>
          <cell r="M3593">
            <v>4.5999999999999996</v>
          </cell>
        </row>
        <row r="3594">
          <cell r="M3594">
            <v>0</v>
          </cell>
        </row>
        <row r="3595">
          <cell r="M3595">
            <v>0</v>
          </cell>
        </row>
        <row r="3596">
          <cell r="M3596">
            <v>0</v>
          </cell>
        </row>
        <row r="3597">
          <cell r="M3597">
            <v>0</v>
          </cell>
        </row>
        <row r="3598">
          <cell r="M3598">
            <v>0</v>
          </cell>
        </row>
        <row r="3599">
          <cell r="M3599">
            <v>0</v>
          </cell>
        </row>
        <row r="3600">
          <cell r="M3600">
            <v>0</v>
          </cell>
        </row>
        <row r="3601">
          <cell r="M3601">
            <v>0</v>
          </cell>
        </row>
        <row r="3602">
          <cell r="M3602">
            <v>0</v>
          </cell>
        </row>
        <row r="3603">
          <cell r="M3603">
            <v>0</v>
          </cell>
        </row>
        <row r="3604">
          <cell r="M3604">
            <v>0</v>
          </cell>
        </row>
        <row r="3605">
          <cell r="M3605">
            <v>0</v>
          </cell>
        </row>
        <row r="3606">
          <cell r="M3606">
            <v>0</v>
          </cell>
        </row>
        <row r="3607">
          <cell r="M3607">
            <v>0</v>
          </cell>
        </row>
        <row r="3608">
          <cell r="A3608" t="str">
            <v>S164</v>
          </cell>
          <cell r="M3608">
            <v>0</v>
          </cell>
        </row>
        <row r="3611">
          <cell r="M3611">
            <v>1</v>
          </cell>
        </row>
        <row r="3614">
          <cell r="A3614">
            <v>15</v>
          </cell>
          <cell r="M3614">
            <v>0.6</v>
          </cell>
        </row>
        <row r="3615">
          <cell r="A3615">
            <v>18</v>
          </cell>
          <cell r="M3615">
            <v>1.84</v>
          </cell>
        </row>
        <row r="3616">
          <cell r="M3616">
            <v>0</v>
          </cell>
        </row>
        <row r="3617">
          <cell r="M3617">
            <v>0</v>
          </cell>
        </row>
        <row r="3618">
          <cell r="M3618">
            <v>0</v>
          </cell>
        </row>
        <row r="3619">
          <cell r="M3619">
            <v>0</v>
          </cell>
        </row>
        <row r="3620">
          <cell r="M3620">
            <v>0</v>
          </cell>
        </row>
        <row r="3621">
          <cell r="M3621">
            <v>0</v>
          </cell>
        </row>
        <row r="3622">
          <cell r="M3622">
            <v>0</v>
          </cell>
        </row>
        <row r="3623">
          <cell r="M3623">
            <v>0</v>
          </cell>
        </row>
        <row r="3624">
          <cell r="M3624">
            <v>0</v>
          </cell>
        </row>
        <row r="3625">
          <cell r="M3625">
            <v>0</v>
          </cell>
        </row>
        <row r="3626">
          <cell r="M3626">
            <v>0</v>
          </cell>
        </row>
        <row r="3627">
          <cell r="M3627">
            <v>0</v>
          </cell>
        </row>
        <row r="3628">
          <cell r="M3628">
            <v>0</v>
          </cell>
        </row>
        <row r="3629">
          <cell r="M3629">
            <v>0</v>
          </cell>
        </row>
        <row r="3630">
          <cell r="A3630" t="str">
            <v>S165</v>
          </cell>
          <cell r="M3630">
            <v>0</v>
          </cell>
        </row>
        <row r="3633">
          <cell r="M3633">
            <v>1</v>
          </cell>
        </row>
        <row r="3636">
          <cell r="A3636">
            <v>13</v>
          </cell>
          <cell r="M3636">
            <v>3</v>
          </cell>
        </row>
        <row r="3637">
          <cell r="M3637">
            <v>0</v>
          </cell>
        </row>
        <row r="3638">
          <cell r="M3638">
            <v>0</v>
          </cell>
        </row>
        <row r="3639">
          <cell r="M3639">
            <v>0</v>
          </cell>
        </row>
        <row r="3640">
          <cell r="M3640">
            <v>0</v>
          </cell>
        </row>
        <row r="3641">
          <cell r="M3641">
            <v>0</v>
          </cell>
        </row>
        <row r="3642">
          <cell r="M3642">
            <v>0</v>
          </cell>
        </row>
        <row r="3643">
          <cell r="M3643">
            <v>0</v>
          </cell>
        </row>
        <row r="3644">
          <cell r="M3644">
            <v>0</v>
          </cell>
        </row>
        <row r="3645">
          <cell r="M3645">
            <v>0</v>
          </cell>
        </row>
        <row r="3646">
          <cell r="M3646">
            <v>0</v>
          </cell>
        </row>
        <row r="3647">
          <cell r="M3647">
            <v>0</v>
          </cell>
        </row>
        <row r="3648">
          <cell r="M3648">
            <v>0</v>
          </cell>
        </row>
        <row r="3649">
          <cell r="M3649">
            <v>0</v>
          </cell>
        </row>
        <row r="3650">
          <cell r="M3650">
            <v>0</v>
          </cell>
        </row>
        <row r="3651">
          <cell r="M3651">
            <v>0</v>
          </cell>
        </row>
        <row r="3652">
          <cell r="A3652" t="str">
            <v>S166</v>
          </cell>
          <cell r="M3652">
            <v>0</v>
          </cell>
        </row>
        <row r="3655">
          <cell r="M3655">
            <v>1</v>
          </cell>
        </row>
        <row r="3658">
          <cell r="A3658">
            <v>13</v>
          </cell>
          <cell r="M3658">
            <v>0.9</v>
          </cell>
        </row>
        <row r="3659">
          <cell r="M3659">
            <v>0</v>
          </cell>
        </row>
        <row r="3660">
          <cell r="M3660">
            <v>0</v>
          </cell>
        </row>
        <row r="3661">
          <cell r="M3661">
            <v>0</v>
          </cell>
        </row>
        <row r="3662">
          <cell r="M3662">
            <v>0</v>
          </cell>
        </row>
        <row r="3663">
          <cell r="M3663">
            <v>0</v>
          </cell>
        </row>
        <row r="3664">
          <cell r="M3664">
            <v>0</v>
          </cell>
        </row>
        <row r="3665">
          <cell r="M3665">
            <v>0</v>
          </cell>
        </row>
        <row r="3666">
          <cell r="M3666">
            <v>0</v>
          </cell>
        </row>
        <row r="3667">
          <cell r="M3667">
            <v>0</v>
          </cell>
        </row>
        <row r="3668">
          <cell r="M3668">
            <v>0</v>
          </cell>
        </row>
        <row r="3669">
          <cell r="M3669">
            <v>0</v>
          </cell>
        </row>
        <row r="3670">
          <cell r="M3670">
            <v>0</v>
          </cell>
        </row>
        <row r="3671">
          <cell r="M3671">
            <v>0</v>
          </cell>
        </row>
        <row r="3672">
          <cell r="M3672">
            <v>0</v>
          </cell>
        </row>
        <row r="3673">
          <cell r="M3673">
            <v>0</v>
          </cell>
        </row>
        <row r="3674">
          <cell r="A3674" t="str">
            <v>S167</v>
          </cell>
          <cell r="M3674">
            <v>0</v>
          </cell>
        </row>
        <row r="3677">
          <cell r="M3677">
            <v>2</v>
          </cell>
        </row>
        <row r="3680">
          <cell r="A3680">
            <v>15</v>
          </cell>
          <cell r="M3680">
            <v>7.68</v>
          </cell>
        </row>
        <row r="3681">
          <cell r="A3681">
            <v>18</v>
          </cell>
          <cell r="M3681">
            <v>13.12</v>
          </cell>
        </row>
        <row r="3682">
          <cell r="A3682">
            <v>321</v>
          </cell>
          <cell r="M3682">
            <v>2</v>
          </cell>
        </row>
        <row r="3683">
          <cell r="M3683">
            <v>0</v>
          </cell>
        </row>
        <row r="3684">
          <cell r="M3684">
            <v>0</v>
          </cell>
        </row>
        <row r="3685">
          <cell r="M3685">
            <v>0</v>
          </cell>
        </row>
        <row r="3686">
          <cell r="M3686">
            <v>0</v>
          </cell>
        </row>
        <row r="3687">
          <cell r="M3687">
            <v>0</v>
          </cell>
        </row>
        <row r="3688">
          <cell r="M3688">
            <v>0</v>
          </cell>
        </row>
        <row r="3689">
          <cell r="M3689">
            <v>0</v>
          </cell>
        </row>
        <row r="3690">
          <cell r="M3690">
            <v>0</v>
          </cell>
        </row>
        <row r="3691">
          <cell r="M3691">
            <v>0</v>
          </cell>
        </row>
        <row r="3692">
          <cell r="M3692">
            <v>0</v>
          </cell>
        </row>
        <row r="3693">
          <cell r="M3693">
            <v>0</v>
          </cell>
        </row>
        <row r="3694">
          <cell r="M3694">
            <v>0</v>
          </cell>
        </row>
        <row r="3695">
          <cell r="M3695">
            <v>0</v>
          </cell>
        </row>
        <row r="3696">
          <cell r="A3696" t="str">
            <v>S168</v>
          </cell>
          <cell r="M3696">
            <v>0</v>
          </cell>
        </row>
        <row r="3699">
          <cell r="M3699">
            <v>2</v>
          </cell>
        </row>
        <row r="3702">
          <cell r="A3702">
            <v>13</v>
          </cell>
          <cell r="M3702">
            <v>1</v>
          </cell>
        </row>
        <row r="3703">
          <cell r="A3703">
            <v>15</v>
          </cell>
          <cell r="M3703">
            <v>1</v>
          </cell>
        </row>
        <row r="3704">
          <cell r="M3704">
            <v>0</v>
          </cell>
        </row>
        <row r="3705">
          <cell r="M3705">
            <v>0</v>
          </cell>
        </row>
        <row r="3706">
          <cell r="M3706">
            <v>0</v>
          </cell>
        </row>
        <row r="3707">
          <cell r="M3707">
            <v>0</v>
          </cell>
        </row>
        <row r="3708">
          <cell r="M3708">
            <v>0</v>
          </cell>
        </row>
        <row r="3709">
          <cell r="M3709">
            <v>0</v>
          </cell>
        </row>
        <row r="3710">
          <cell r="M3710">
            <v>0</v>
          </cell>
        </row>
        <row r="3711">
          <cell r="M3711">
            <v>0</v>
          </cell>
        </row>
        <row r="3712">
          <cell r="M3712">
            <v>0</v>
          </cell>
        </row>
        <row r="3713">
          <cell r="M3713">
            <v>0</v>
          </cell>
        </row>
        <row r="3714">
          <cell r="M3714">
            <v>0</v>
          </cell>
        </row>
        <row r="3715">
          <cell r="M3715">
            <v>0</v>
          </cell>
        </row>
        <row r="3716">
          <cell r="M3716">
            <v>0</v>
          </cell>
        </row>
        <row r="3717">
          <cell r="M3717">
            <v>0</v>
          </cell>
        </row>
        <row r="3718">
          <cell r="A3718" t="str">
            <v>S169</v>
          </cell>
          <cell r="M3718">
            <v>0</v>
          </cell>
        </row>
        <row r="3721">
          <cell r="M3721">
            <v>2</v>
          </cell>
        </row>
        <row r="3724">
          <cell r="A3724">
            <v>13</v>
          </cell>
          <cell r="M3724">
            <v>1</v>
          </cell>
        </row>
        <row r="3725">
          <cell r="A3725">
            <v>15</v>
          </cell>
          <cell r="M3725">
            <v>1</v>
          </cell>
        </row>
        <row r="3726">
          <cell r="A3726">
            <v>62</v>
          </cell>
          <cell r="M3726">
            <v>8</v>
          </cell>
        </row>
        <row r="3727">
          <cell r="A3727">
            <v>53</v>
          </cell>
          <cell r="M3727">
            <v>4</v>
          </cell>
        </row>
        <row r="3728">
          <cell r="A3728">
            <v>113</v>
          </cell>
          <cell r="M3728">
            <v>8</v>
          </cell>
        </row>
        <row r="3729">
          <cell r="A3729">
            <v>50</v>
          </cell>
          <cell r="M3729">
            <v>8</v>
          </cell>
        </row>
        <row r="3730">
          <cell r="A3730">
            <v>59</v>
          </cell>
          <cell r="M3730">
            <v>4</v>
          </cell>
        </row>
        <row r="3731">
          <cell r="A3731">
            <v>56</v>
          </cell>
          <cell r="M3731">
            <v>4</v>
          </cell>
        </row>
        <row r="3732">
          <cell r="M3732">
            <v>0</v>
          </cell>
        </row>
        <row r="3733">
          <cell r="M3733">
            <v>0</v>
          </cell>
        </row>
        <row r="3734">
          <cell r="M3734">
            <v>0</v>
          </cell>
        </row>
        <row r="3735">
          <cell r="M3735">
            <v>0</v>
          </cell>
        </row>
        <row r="3736">
          <cell r="M3736">
            <v>0</v>
          </cell>
        </row>
        <row r="3737">
          <cell r="M3737">
            <v>0</v>
          </cell>
        </row>
        <row r="3738">
          <cell r="M3738">
            <v>0</v>
          </cell>
        </row>
        <row r="3739">
          <cell r="M3739">
            <v>0</v>
          </cell>
        </row>
        <row r="3740">
          <cell r="A3740" t="str">
            <v>S170</v>
          </cell>
          <cell r="M3740">
            <v>0</v>
          </cell>
        </row>
        <row r="3743">
          <cell r="M3743">
            <v>8</v>
          </cell>
        </row>
        <row r="3746">
          <cell r="A3746">
            <v>26</v>
          </cell>
          <cell r="M3746">
            <v>0.152</v>
          </cell>
        </row>
        <row r="3747">
          <cell r="A3747">
            <v>189</v>
          </cell>
          <cell r="M3747">
            <v>8.4</v>
          </cell>
        </row>
        <row r="3748">
          <cell r="M3748">
            <v>0</v>
          </cell>
        </row>
        <row r="3749">
          <cell r="M3749">
            <v>0</v>
          </cell>
        </row>
        <row r="3750">
          <cell r="M3750">
            <v>0</v>
          </cell>
        </row>
        <row r="3751">
          <cell r="M3751">
            <v>0</v>
          </cell>
        </row>
        <row r="3752">
          <cell r="M3752">
            <v>0</v>
          </cell>
        </row>
        <row r="3753">
          <cell r="M3753">
            <v>0</v>
          </cell>
        </row>
        <row r="3754">
          <cell r="M3754">
            <v>0</v>
          </cell>
        </row>
        <row r="3755">
          <cell r="M3755">
            <v>0</v>
          </cell>
        </row>
        <row r="3756">
          <cell r="M3756">
            <v>0</v>
          </cell>
        </row>
        <row r="3757">
          <cell r="M3757">
            <v>0</v>
          </cell>
        </row>
        <row r="3758">
          <cell r="M3758">
            <v>0</v>
          </cell>
        </row>
        <row r="3759">
          <cell r="M3759">
            <v>0</v>
          </cell>
        </row>
        <row r="3760">
          <cell r="M3760">
            <v>0</v>
          </cell>
        </row>
        <row r="3761">
          <cell r="M3761">
            <v>0</v>
          </cell>
        </row>
        <row r="3762">
          <cell r="A3762" t="str">
            <v>S171</v>
          </cell>
          <cell r="M3762">
            <v>0</v>
          </cell>
        </row>
        <row r="3765">
          <cell r="M3765">
            <v>36</v>
          </cell>
        </row>
        <row r="3768">
          <cell r="A3768">
            <v>26</v>
          </cell>
          <cell r="M3768">
            <v>3.528</v>
          </cell>
        </row>
        <row r="3769">
          <cell r="A3769">
            <v>192</v>
          </cell>
          <cell r="M3769">
            <v>37.800000000000004</v>
          </cell>
        </row>
        <row r="3770">
          <cell r="M3770">
            <v>0</v>
          </cell>
        </row>
        <row r="3771">
          <cell r="M3771">
            <v>0</v>
          </cell>
        </row>
        <row r="3772">
          <cell r="M3772">
            <v>0</v>
          </cell>
        </row>
        <row r="3773">
          <cell r="M3773">
            <v>0</v>
          </cell>
        </row>
        <row r="3774">
          <cell r="M3774">
            <v>0</v>
          </cell>
        </row>
        <row r="3775">
          <cell r="M3775">
            <v>0</v>
          </cell>
        </row>
        <row r="3776">
          <cell r="M3776">
            <v>0</v>
          </cell>
        </row>
        <row r="3777">
          <cell r="M3777">
            <v>0</v>
          </cell>
        </row>
        <row r="3778">
          <cell r="M3778">
            <v>0</v>
          </cell>
        </row>
        <row r="3779">
          <cell r="M3779">
            <v>0</v>
          </cell>
        </row>
        <row r="3780">
          <cell r="M3780">
            <v>0</v>
          </cell>
        </row>
        <row r="3781">
          <cell r="M3781">
            <v>0</v>
          </cell>
        </row>
        <row r="3782">
          <cell r="M3782">
            <v>0</v>
          </cell>
        </row>
        <row r="3783">
          <cell r="M3783">
            <v>0</v>
          </cell>
        </row>
        <row r="3784">
          <cell r="A3784" t="str">
            <v>S172</v>
          </cell>
          <cell r="M3784">
            <v>0</v>
          </cell>
        </row>
        <row r="3787">
          <cell r="M3787">
            <v>26</v>
          </cell>
        </row>
        <row r="3790">
          <cell r="A3790">
            <v>26</v>
          </cell>
          <cell r="M3790">
            <v>2.1840000000000002</v>
          </cell>
        </row>
        <row r="3791">
          <cell r="A3791">
            <v>193</v>
          </cell>
          <cell r="M3791">
            <v>27.3</v>
          </cell>
        </row>
        <row r="3792">
          <cell r="M3792">
            <v>0</v>
          </cell>
        </row>
        <row r="3793">
          <cell r="M3793">
            <v>0</v>
          </cell>
        </row>
        <row r="3794">
          <cell r="M3794">
            <v>0</v>
          </cell>
        </row>
        <row r="3795">
          <cell r="M3795">
            <v>0</v>
          </cell>
        </row>
        <row r="3796">
          <cell r="M3796">
            <v>0</v>
          </cell>
        </row>
        <row r="3797">
          <cell r="M3797">
            <v>0</v>
          </cell>
        </row>
        <row r="3798">
          <cell r="M3798">
            <v>0</v>
          </cell>
        </row>
        <row r="3799">
          <cell r="M3799">
            <v>0</v>
          </cell>
        </row>
        <row r="3800">
          <cell r="M3800">
            <v>0</v>
          </cell>
        </row>
        <row r="3801">
          <cell r="M3801">
            <v>0</v>
          </cell>
        </row>
        <row r="3802">
          <cell r="M3802">
            <v>0</v>
          </cell>
        </row>
        <row r="3803">
          <cell r="M3803">
            <v>0</v>
          </cell>
        </row>
        <row r="3804">
          <cell r="M3804">
            <v>0</v>
          </cell>
        </row>
        <row r="3805">
          <cell r="M3805">
            <v>0</v>
          </cell>
        </row>
        <row r="3806">
          <cell r="A3806" t="str">
            <v>S173</v>
          </cell>
          <cell r="M3806">
            <v>0</v>
          </cell>
        </row>
        <row r="3809">
          <cell r="M3809">
            <v>2</v>
          </cell>
        </row>
        <row r="3812">
          <cell r="A3812">
            <v>13</v>
          </cell>
          <cell r="M3812">
            <v>0.5</v>
          </cell>
        </row>
        <row r="3813">
          <cell r="A3813">
            <v>15</v>
          </cell>
          <cell r="M3813">
            <v>0.5</v>
          </cell>
        </row>
        <row r="3814">
          <cell r="M3814">
            <v>0</v>
          </cell>
        </row>
        <row r="3815">
          <cell r="M3815">
            <v>0</v>
          </cell>
        </row>
        <row r="3816">
          <cell r="M3816">
            <v>0</v>
          </cell>
        </row>
        <row r="3817">
          <cell r="M3817">
            <v>0</v>
          </cell>
        </row>
        <row r="3818">
          <cell r="M3818">
            <v>0</v>
          </cell>
        </row>
        <row r="3819">
          <cell r="M3819">
            <v>0</v>
          </cell>
        </row>
        <row r="3820">
          <cell r="M3820">
            <v>0</v>
          </cell>
        </row>
        <row r="3821">
          <cell r="M3821">
            <v>0</v>
          </cell>
        </row>
        <row r="3822">
          <cell r="M3822">
            <v>0</v>
          </cell>
        </row>
        <row r="3823">
          <cell r="M3823">
            <v>0</v>
          </cell>
        </row>
        <row r="3824">
          <cell r="M3824">
            <v>0</v>
          </cell>
        </row>
        <row r="3825">
          <cell r="M3825">
            <v>0</v>
          </cell>
        </row>
        <row r="3826">
          <cell r="M3826">
            <v>0</v>
          </cell>
        </row>
        <row r="3827">
          <cell r="M3827">
            <v>0</v>
          </cell>
        </row>
        <row r="3828">
          <cell r="A3828" t="str">
            <v>S174</v>
          </cell>
          <cell r="M3828">
            <v>0</v>
          </cell>
        </row>
        <row r="3831">
          <cell r="M3831">
            <v>2</v>
          </cell>
        </row>
        <row r="3834">
          <cell r="A3834">
            <v>13</v>
          </cell>
          <cell r="M3834">
            <v>0.5</v>
          </cell>
        </row>
        <row r="3835">
          <cell r="A3835">
            <v>15</v>
          </cell>
          <cell r="M3835">
            <v>0.5</v>
          </cell>
        </row>
        <row r="3836">
          <cell r="M3836">
            <v>0</v>
          </cell>
        </row>
        <row r="3837">
          <cell r="M3837">
            <v>0</v>
          </cell>
        </row>
        <row r="3838">
          <cell r="M3838">
            <v>0</v>
          </cell>
        </row>
        <row r="3839">
          <cell r="M3839">
            <v>0</v>
          </cell>
        </row>
        <row r="3840">
          <cell r="M3840">
            <v>0</v>
          </cell>
        </row>
        <row r="3841">
          <cell r="M3841">
            <v>0</v>
          </cell>
        </row>
        <row r="3842">
          <cell r="M3842">
            <v>0</v>
          </cell>
        </row>
        <row r="3843">
          <cell r="M3843">
            <v>0</v>
          </cell>
        </row>
        <row r="3844">
          <cell r="M3844">
            <v>0</v>
          </cell>
        </row>
        <row r="3845">
          <cell r="M3845">
            <v>0</v>
          </cell>
        </row>
        <row r="3846">
          <cell r="M3846">
            <v>0</v>
          </cell>
        </row>
        <row r="3847">
          <cell r="M3847">
            <v>0</v>
          </cell>
        </row>
        <row r="3848">
          <cell r="M3848">
            <v>0</v>
          </cell>
        </row>
        <row r="3849">
          <cell r="M3849">
            <v>0</v>
          </cell>
        </row>
        <row r="3850">
          <cell r="A3850" t="str">
            <v>S175</v>
          </cell>
          <cell r="M3850">
            <v>0</v>
          </cell>
        </row>
        <row r="3853">
          <cell r="M3853">
            <v>0.5</v>
          </cell>
        </row>
        <row r="3856">
          <cell r="A3856">
            <v>15</v>
          </cell>
          <cell r="M3856">
            <v>1.2050000000000001</v>
          </cell>
        </row>
        <row r="3857">
          <cell r="A3857">
            <v>23</v>
          </cell>
          <cell r="M3857">
            <v>0.47499999999999998</v>
          </cell>
        </row>
        <row r="3858">
          <cell r="A3858">
            <v>1154</v>
          </cell>
          <cell r="M3858">
            <v>51.5</v>
          </cell>
        </row>
        <row r="3859">
          <cell r="M3859">
            <v>0</v>
          </cell>
        </row>
        <row r="3860">
          <cell r="M3860">
            <v>0</v>
          </cell>
        </row>
        <row r="3861">
          <cell r="M3861">
            <v>0</v>
          </cell>
        </row>
        <row r="3862">
          <cell r="M3862">
            <v>0</v>
          </cell>
        </row>
        <row r="3863">
          <cell r="M3863">
            <v>0</v>
          </cell>
        </row>
        <row r="3864">
          <cell r="M3864">
            <v>0</v>
          </cell>
        </row>
        <row r="3865">
          <cell r="M3865">
            <v>0</v>
          </cell>
        </row>
        <row r="3866">
          <cell r="M3866">
            <v>0</v>
          </cell>
        </row>
        <row r="3867">
          <cell r="M3867">
            <v>0</v>
          </cell>
        </row>
        <row r="3868">
          <cell r="M3868">
            <v>0</v>
          </cell>
        </row>
        <row r="3869">
          <cell r="M3869">
            <v>0</v>
          </cell>
        </row>
        <row r="3870">
          <cell r="M3870">
            <v>0</v>
          </cell>
        </row>
        <row r="3871">
          <cell r="M3871">
            <v>0</v>
          </cell>
        </row>
        <row r="3872">
          <cell r="A3872" t="str">
            <v>S176</v>
          </cell>
          <cell r="M3872">
            <v>0</v>
          </cell>
        </row>
        <row r="3875">
          <cell r="M3875">
            <v>8</v>
          </cell>
        </row>
        <row r="3878">
          <cell r="A3878">
            <v>17</v>
          </cell>
          <cell r="M3878">
            <v>1.04</v>
          </cell>
        </row>
        <row r="3879">
          <cell r="A3879">
            <v>23</v>
          </cell>
          <cell r="M3879">
            <v>1.36</v>
          </cell>
        </row>
        <row r="3880">
          <cell r="A3880">
            <v>270</v>
          </cell>
          <cell r="M3880">
            <v>4</v>
          </cell>
        </row>
        <row r="3881">
          <cell r="M3881">
            <v>0</v>
          </cell>
        </row>
        <row r="3882">
          <cell r="M3882">
            <v>0</v>
          </cell>
        </row>
        <row r="3883">
          <cell r="M3883">
            <v>0</v>
          </cell>
        </row>
        <row r="3884">
          <cell r="M3884">
            <v>0</v>
          </cell>
        </row>
        <row r="3885">
          <cell r="M3885">
            <v>0</v>
          </cell>
        </row>
        <row r="3886">
          <cell r="M3886">
            <v>0</v>
          </cell>
        </row>
        <row r="3887">
          <cell r="M3887">
            <v>0</v>
          </cell>
        </row>
        <row r="3888">
          <cell r="M3888">
            <v>0</v>
          </cell>
        </row>
        <row r="3889">
          <cell r="M3889">
            <v>0</v>
          </cell>
        </row>
        <row r="3890">
          <cell r="M3890">
            <v>0</v>
          </cell>
        </row>
        <row r="3891">
          <cell r="M3891">
            <v>0</v>
          </cell>
        </row>
        <row r="3892">
          <cell r="M3892">
            <v>0</v>
          </cell>
        </row>
        <row r="3893">
          <cell r="M3893">
            <v>0</v>
          </cell>
        </row>
        <row r="3894">
          <cell r="A3894" t="str">
            <v>S177</v>
          </cell>
          <cell r="M3894">
            <v>0</v>
          </cell>
        </row>
        <row r="3897">
          <cell r="M3897">
            <v>5</v>
          </cell>
        </row>
        <row r="3900">
          <cell r="A3900">
            <v>11</v>
          </cell>
          <cell r="M3900">
            <v>2.3499999999999996</v>
          </cell>
        </row>
        <row r="3901">
          <cell r="A3901">
            <v>254</v>
          </cell>
          <cell r="M3901">
            <v>25</v>
          </cell>
        </row>
        <row r="3902">
          <cell r="A3902">
            <v>1035</v>
          </cell>
          <cell r="M3902">
            <v>51.5</v>
          </cell>
        </row>
        <row r="3903">
          <cell r="M3903">
            <v>0</v>
          </cell>
        </row>
        <row r="3904">
          <cell r="M3904">
            <v>0</v>
          </cell>
        </row>
        <row r="3905">
          <cell r="M3905">
            <v>0</v>
          </cell>
        </row>
        <row r="3906">
          <cell r="M3906">
            <v>0</v>
          </cell>
        </row>
        <row r="3907">
          <cell r="M3907">
            <v>0</v>
          </cell>
        </row>
        <row r="3908">
          <cell r="M3908">
            <v>0</v>
          </cell>
        </row>
        <row r="3909">
          <cell r="M3909">
            <v>0</v>
          </cell>
        </row>
        <row r="3910">
          <cell r="M3910">
            <v>0</v>
          </cell>
        </row>
        <row r="3911">
          <cell r="M3911">
            <v>0</v>
          </cell>
        </row>
        <row r="3912">
          <cell r="M3912">
            <v>0</v>
          </cell>
        </row>
        <row r="3913">
          <cell r="M3913">
            <v>0</v>
          </cell>
        </row>
        <row r="3914">
          <cell r="M3914">
            <v>0</v>
          </cell>
        </row>
        <row r="3915">
          <cell r="M3915">
            <v>0</v>
          </cell>
        </row>
        <row r="3916">
          <cell r="A3916" t="str">
            <v>S178</v>
          </cell>
          <cell r="M3916">
            <v>0</v>
          </cell>
        </row>
        <row r="3919">
          <cell r="M3919">
            <v>9.6</v>
          </cell>
        </row>
        <row r="3922">
          <cell r="A3922">
            <v>11</v>
          </cell>
          <cell r="M3922">
            <v>15.552</v>
          </cell>
        </row>
        <row r="3923">
          <cell r="A3923">
            <v>254</v>
          </cell>
          <cell r="M3923">
            <v>48</v>
          </cell>
        </row>
        <row r="3924">
          <cell r="A3924">
            <v>351</v>
          </cell>
          <cell r="M3924">
            <v>98.88000000000001</v>
          </cell>
        </row>
        <row r="3925">
          <cell r="M3925">
            <v>0</v>
          </cell>
        </row>
        <row r="3926">
          <cell r="M3926">
            <v>0</v>
          </cell>
        </row>
        <row r="3927">
          <cell r="M3927">
            <v>0</v>
          </cell>
        </row>
        <row r="3928">
          <cell r="M3928">
            <v>0</v>
          </cell>
        </row>
        <row r="3929">
          <cell r="M3929">
            <v>0</v>
          </cell>
        </row>
        <row r="3930">
          <cell r="M3930">
            <v>0</v>
          </cell>
        </row>
        <row r="3931">
          <cell r="M3931">
            <v>0</v>
          </cell>
        </row>
        <row r="3932">
          <cell r="M3932">
            <v>0</v>
          </cell>
        </row>
        <row r="3933">
          <cell r="M3933">
            <v>0</v>
          </cell>
        </row>
        <row r="3934">
          <cell r="M3934">
            <v>0</v>
          </cell>
        </row>
        <row r="3935">
          <cell r="M3935">
            <v>0</v>
          </cell>
        </row>
        <row r="3936">
          <cell r="M3936">
            <v>0</v>
          </cell>
        </row>
        <row r="3937">
          <cell r="M3937">
            <v>0</v>
          </cell>
        </row>
        <row r="3938">
          <cell r="A3938" t="str">
            <v>S179</v>
          </cell>
          <cell r="M3938">
            <v>0</v>
          </cell>
        </row>
        <row r="3941">
          <cell r="M3941">
            <v>3.5</v>
          </cell>
        </row>
        <row r="3944">
          <cell r="A3944">
            <v>11</v>
          </cell>
          <cell r="M3944">
            <v>5.67</v>
          </cell>
        </row>
        <row r="3945">
          <cell r="A3945">
            <v>254</v>
          </cell>
          <cell r="M3945">
            <v>17.5</v>
          </cell>
        </row>
        <row r="3946">
          <cell r="A3946">
            <v>352</v>
          </cell>
          <cell r="M3946">
            <v>36.050000000000004</v>
          </cell>
        </row>
        <row r="3947">
          <cell r="M3947">
            <v>0</v>
          </cell>
        </row>
        <row r="3948">
          <cell r="M3948">
            <v>0</v>
          </cell>
        </row>
        <row r="3949">
          <cell r="M3949">
            <v>0</v>
          </cell>
        </row>
        <row r="3950">
          <cell r="M3950">
            <v>0</v>
          </cell>
        </row>
        <row r="3951">
          <cell r="M3951">
            <v>0</v>
          </cell>
        </row>
        <row r="3952">
          <cell r="M3952">
            <v>0</v>
          </cell>
        </row>
        <row r="3953">
          <cell r="M3953">
            <v>0</v>
          </cell>
        </row>
        <row r="3954">
          <cell r="M3954">
            <v>0</v>
          </cell>
        </row>
        <row r="3955">
          <cell r="M3955">
            <v>0</v>
          </cell>
        </row>
        <row r="3956">
          <cell r="M3956">
            <v>0</v>
          </cell>
        </row>
        <row r="3957">
          <cell r="M3957">
            <v>0</v>
          </cell>
        </row>
        <row r="3958">
          <cell r="M3958">
            <v>0</v>
          </cell>
        </row>
        <row r="3959">
          <cell r="M3959">
            <v>0</v>
          </cell>
        </row>
        <row r="3960">
          <cell r="A3960" t="str">
            <v>S180</v>
          </cell>
          <cell r="M3960">
            <v>0</v>
          </cell>
        </row>
        <row r="3963">
          <cell r="M3963">
            <v>8.5</v>
          </cell>
        </row>
        <row r="3966">
          <cell r="A3966">
            <v>11</v>
          </cell>
          <cell r="M3966">
            <v>3.9949999999999997</v>
          </cell>
        </row>
        <row r="3967">
          <cell r="A3967">
            <v>254</v>
          </cell>
          <cell r="M3967">
            <v>42.5</v>
          </cell>
        </row>
        <row r="3968">
          <cell r="A3968">
            <v>354</v>
          </cell>
          <cell r="M3968">
            <v>87.550000000000011</v>
          </cell>
        </row>
        <row r="3969">
          <cell r="M3969">
            <v>0</v>
          </cell>
        </row>
        <row r="3970">
          <cell r="M3970">
            <v>0</v>
          </cell>
        </row>
        <row r="3971">
          <cell r="M3971">
            <v>0</v>
          </cell>
        </row>
        <row r="3972">
          <cell r="M3972">
            <v>0</v>
          </cell>
        </row>
        <row r="3973">
          <cell r="M3973">
            <v>0</v>
          </cell>
        </row>
        <row r="3974">
          <cell r="M3974">
            <v>0</v>
          </cell>
        </row>
        <row r="3975">
          <cell r="M3975">
            <v>0</v>
          </cell>
        </row>
        <row r="3976">
          <cell r="M3976">
            <v>0</v>
          </cell>
        </row>
        <row r="3977">
          <cell r="M3977">
            <v>0</v>
          </cell>
        </row>
        <row r="3978">
          <cell r="M3978">
            <v>0</v>
          </cell>
        </row>
        <row r="3979">
          <cell r="M3979">
            <v>0</v>
          </cell>
        </row>
        <row r="3980">
          <cell r="M3980">
            <v>0</v>
          </cell>
        </row>
        <row r="3981">
          <cell r="M3981">
            <v>0</v>
          </cell>
        </row>
        <row r="3982">
          <cell r="A3982" t="str">
            <v>S181</v>
          </cell>
          <cell r="M3982">
            <v>0</v>
          </cell>
        </row>
        <row r="3985">
          <cell r="M3985">
            <v>4.4000000000000004</v>
          </cell>
        </row>
        <row r="3988">
          <cell r="A3988">
            <v>11</v>
          </cell>
          <cell r="M3988">
            <v>2.64</v>
          </cell>
        </row>
        <row r="3989">
          <cell r="A3989">
            <v>15</v>
          </cell>
          <cell r="M3989">
            <v>1.32</v>
          </cell>
        </row>
        <row r="3990">
          <cell r="M3990">
            <v>0</v>
          </cell>
        </row>
        <row r="3991">
          <cell r="M3991">
            <v>0</v>
          </cell>
        </row>
        <row r="3992">
          <cell r="M3992">
            <v>0</v>
          </cell>
        </row>
        <row r="3993">
          <cell r="M3993">
            <v>0</v>
          </cell>
        </row>
        <row r="3994">
          <cell r="M3994">
            <v>0</v>
          </cell>
        </row>
        <row r="3995">
          <cell r="M3995">
            <v>0</v>
          </cell>
        </row>
        <row r="3996">
          <cell r="M3996">
            <v>0</v>
          </cell>
        </row>
        <row r="3997">
          <cell r="M3997">
            <v>0</v>
          </cell>
        </row>
        <row r="3998">
          <cell r="M3998">
            <v>0</v>
          </cell>
        </row>
        <row r="3999">
          <cell r="M3999">
            <v>0</v>
          </cell>
        </row>
        <row r="4000">
          <cell r="M4000">
            <v>0</v>
          </cell>
        </row>
        <row r="4001">
          <cell r="M4001">
            <v>0</v>
          </cell>
        </row>
        <row r="4002">
          <cell r="M4002">
            <v>0</v>
          </cell>
        </row>
        <row r="4003">
          <cell r="M4003">
            <v>0</v>
          </cell>
        </row>
        <row r="4004">
          <cell r="A4004" t="str">
            <v>S182</v>
          </cell>
          <cell r="M4004">
            <v>0</v>
          </cell>
        </row>
        <row r="4007">
          <cell r="M4007">
            <v>2</v>
          </cell>
        </row>
        <row r="4010">
          <cell r="A4010">
            <v>14</v>
          </cell>
          <cell r="M4010">
            <v>1</v>
          </cell>
        </row>
        <row r="4011">
          <cell r="A4011">
            <v>15</v>
          </cell>
          <cell r="M4011">
            <v>1</v>
          </cell>
        </row>
        <row r="4012">
          <cell r="A4012">
            <v>400</v>
          </cell>
          <cell r="M4012">
            <v>2</v>
          </cell>
        </row>
        <row r="4013">
          <cell r="M4013">
            <v>0</v>
          </cell>
        </row>
        <row r="4014">
          <cell r="M4014">
            <v>0</v>
          </cell>
        </row>
        <row r="4015">
          <cell r="M4015">
            <v>0</v>
          </cell>
        </row>
        <row r="4016">
          <cell r="M4016">
            <v>0</v>
          </cell>
        </row>
        <row r="4017">
          <cell r="M4017">
            <v>0</v>
          </cell>
        </row>
        <row r="4018">
          <cell r="M4018">
            <v>0</v>
          </cell>
        </row>
        <row r="4019">
          <cell r="M4019">
            <v>0</v>
          </cell>
        </row>
        <row r="4020">
          <cell r="M4020">
            <v>0</v>
          </cell>
        </row>
        <row r="4021">
          <cell r="M4021">
            <v>0</v>
          </cell>
        </row>
        <row r="4022">
          <cell r="M4022">
            <v>0</v>
          </cell>
        </row>
        <row r="4023">
          <cell r="M4023">
            <v>0</v>
          </cell>
        </row>
        <row r="4024">
          <cell r="M4024">
            <v>0</v>
          </cell>
        </row>
        <row r="4025">
          <cell r="M4025">
            <v>0</v>
          </cell>
        </row>
        <row r="4026">
          <cell r="A4026" t="str">
            <v>S183</v>
          </cell>
          <cell r="M4026">
            <v>0</v>
          </cell>
        </row>
        <row r="4029">
          <cell r="M4029">
            <v>9</v>
          </cell>
        </row>
        <row r="4032">
          <cell r="A4032">
            <v>11</v>
          </cell>
          <cell r="M4032">
            <v>4.95</v>
          </cell>
        </row>
        <row r="4033">
          <cell r="M4033">
            <v>0</v>
          </cell>
        </row>
        <row r="4034">
          <cell r="M4034">
            <v>0</v>
          </cell>
        </row>
        <row r="4035">
          <cell r="M4035">
            <v>0</v>
          </cell>
        </row>
        <row r="4036">
          <cell r="M4036">
            <v>0</v>
          </cell>
        </row>
        <row r="4037">
          <cell r="M4037">
            <v>0</v>
          </cell>
        </row>
        <row r="4038">
          <cell r="M4038">
            <v>0</v>
          </cell>
        </row>
        <row r="4039">
          <cell r="M4039">
            <v>0</v>
          </cell>
        </row>
        <row r="4040">
          <cell r="M4040">
            <v>0</v>
          </cell>
        </row>
        <row r="4041">
          <cell r="M4041">
            <v>0</v>
          </cell>
        </row>
        <row r="4042">
          <cell r="M4042">
            <v>0</v>
          </cell>
        </row>
        <row r="4043">
          <cell r="M4043">
            <v>0</v>
          </cell>
        </row>
        <row r="4044">
          <cell r="M4044">
            <v>0</v>
          </cell>
        </row>
        <row r="4045">
          <cell r="M4045">
            <v>0</v>
          </cell>
        </row>
        <row r="4046">
          <cell r="M4046">
            <v>0</v>
          </cell>
        </row>
        <row r="4047">
          <cell r="M4047">
            <v>0</v>
          </cell>
        </row>
        <row r="4048">
          <cell r="A4048" t="str">
            <v>S184</v>
          </cell>
          <cell r="M4048">
            <v>0</v>
          </cell>
        </row>
        <row r="4051">
          <cell r="M4051">
            <v>0</v>
          </cell>
        </row>
        <row r="4054">
          <cell r="M4054">
            <v>0</v>
          </cell>
        </row>
        <row r="4055">
          <cell r="M4055">
            <v>0</v>
          </cell>
        </row>
        <row r="4056">
          <cell r="M4056">
            <v>0</v>
          </cell>
        </row>
        <row r="4057">
          <cell r="M4057">
            <v>0</v>
          </cell>
        </row>
        <row r="4058">
          <cell r="M4058">
            <v>0</v>
          </cell>
        </row>
        <row r="4059">
          <cell r="M4059">
            <v>0</v>
          </cell>
        </row>
        <row r="4060">
          <cell r="M4060">
            <v>0</v>
          </cell>
        </row>
        <row r="4061">
          <cell r="M4061">
            <v>0</v>
          </cell>
        </row>
        <row r="4062">
          <cell r="M4062">
            <v>0</v>
          </cell>
        </row>
        <row r="4063">
          <cell r="M4063">
            <v>0</v>
          </cell>
        </row>
        <row r="4064">
          <cell r="M4064">
            <v>0</v>
          </cell>
        </row>
        <row r="4065">
          <cell r="M4065">
            <v>0</v>
          </cell>
        </row>
        <row r="4066">
          <cell r="M4066">
            <v>0</v>
          </cell>
        </row>
        <row r="4067">
          <cell r="M4067">
            <v>0</v>
          </cell>
        </row>
        <row r="4068">
          <cell r="M4068">
            <v>0</v>
          </cell>
        </row>
        <row r="4069">
          <cell r="M4069">
            <v>0</v>
          </cell>
        </row>
        <row r="4070">
          <cell r="M4070">
            <v>0</v>
          </cell>
        </row>
        <row r="4073">
          <cell r="M4073">
            <v>0</v>
          </cell>
        </row>
        <row r="4076">
          <cell r="M4076">
            <v>0</v>
          </cell>
        </row>
        <row r="4077">
          <cell r="M4077">
            <v>0</v>
          </cell>
        </row>
        <row r="4078">
          <cell r="M4078">
            <v>0</v>
          </cell>
        </row>
        <row r="4079">
          <cell r="M4079">
            <v>0</v>
          </cell>
        </row>
        <row r="4080">
          <cell r="M4080">
            <v>0</v>
          </cell>
        </row>
        <row r="4081">
          <cell r="M4081">
            <v>0</v>
          </cell>
        </row>
        <row r="4082">
          <cell r="M4082">
            <v>0</v>
          </cell>
        </row>
        <row r="4083">
          <cell r="M4083">
            <v>0</v>
          </cell>
        </row>
        <row r="4084">
          <cell r="M4084">
            <v>0</v>
          </cell>
        </row>
        <row r="4085">
          <cell r="M4085">
            <v>0</v>
          </cell>
        </row>
        <row r="4086">
          <cell r="M4086">
            <v>0</v>
          </cell>
        </row>
        <row r="4087">
          <cell r="M4087">
            <v>0</v>
          </cell>
        </row>
        <row r="4088">
          <cell r="M4088">
            <v>0</v>
          </cell>
        </row>
        <row r="4089">
          <cell r="M4089">
            <v>0</v>
          </cell>
        </row>
        <row r="4090">
          <cell r="M4090">
            <v>0</v>
          </cell>
        </row>
        <row r="4091">
          <cell r="M4091">
            <v>0</v>
          </cell>
        </row>
        <row r="4092">
          <cell r="M4092">
            <v>0</v>
          </cell>
        </row>
        <row r="4095">
          <cell r="M4095">
            <v>0</v>
          </cell>
        </row>
        <row r="4098">
          <cell r="M4098">
            <v>0</v>
          </cell>
        </row>
        <row r="4099">
          <cell r="M4099">
            <v>0</v>
          </cell>
        </row>
        <row r="4100">
          <cell r="M4100">
            <v>0</v>
          </cell>
        </row>
        <row r="4101">
          <cell r="M4101">
            <v>0</v>
          </cell>
        </row>
        <row r="4102">
          <cell r="M4102">
            <v>0</v>
          </cell>
        </row>
        <row r="4103">
          <cell r="M4103">
            <v>0</v>
          </cell>
        </row>
        <row r="4104">
          <cell r="M4104">
            <v>0</v>
          </cell>
        </row>
        <row r="4105">
          <cell r="M4105">
            <v>0</v>
          </cell>
        </row>
        <row r="4106">
          <cell r="M4106">
            <v>0</v>
          </cell>
        </row>
        <row r="4107">
          <cell r="M4107">
            <v>0</v>
          </cell>
        </row>
        <row r="4108">
          <cell r="M4108">
            <v>0</v>
          </cell>
        </row>
        <row r="4109">
          <cell r="M4109">
            <v>0</v>
          </cell>
        </row>
        <row r="4110">
          <cell r="M4110">
            <v>0</v>
          </cell>
        </row>
        <row r="4111">
          <cell r="M4111">
            <v>0</v>
          </cell>
        </row>
        <row r="4112">
          <cell r="M4112">
            <v>0</v>
          </cell>
        </row>
        <row r="4113">
          <cell r="M4113">
            <v>0</v>
          </cell>
        </row>
        <row r="4114">
          <cell r="M4114">
            <v>0</v>
          </cell>
        </row>
        <row r="4117">
          <cell r="M4117">
            <v>0</v>
          </cell>
        </row>
        <row r="4120">
          <cell r="M4120">
            <v>0</v>
          </cell>
        </row>
        <row r="4121">
          <cell r="M4121">
            <v>0</v>
          </cell>
        </row>
        <row r="4122">
          <cell r="M4122">
            <v>0</v>
          </cell>
        </row>
        <row r="4123">
          <cell r="M4123">
            <v>0</v>
          </cell>
        </row>
        <row r="4124">
          <cell r="M4124">
            <v>0</v>
          </cell>
        </row>
        <row r="4125">
          <cell r="M4125">
            <v>0</v>
          </cell>
        </row>
        <row r="4126">
          <cell r="M4126">
            <v>0</v>
          </cell>
        </row>
        <row r="4127">
          <cell r="M4127">
            <v>0</v>
          </cell>
        </row>
        <row r="4128">
          <cell r="M4128">
            <v>0</v>
          </cell>
        </row>
        <row r="4129">
          <cell r="M4129">
            <v>0</v>
          </cell>
        </row>
        <row r="4130">
          <cell r="M4130">
            <v>0</v>
          </cell>
        </row>
        <row r="4131">
          <cell r="M4131">
            <v>0</v>
          </cell>
        </row>
        <row r="4132">
          <cell r="M4132">
            <v>0</v>
          </cell>
        </row>
        <row r="4133">
          <cell r="M4133">
            <v>0</v>
          </cell>
        </row>
        <row r="4134">
          <cell r="M4134">
            <v>0</v>
          </cell>
        </row>
        <row r="4135">
          <cell r="M4135">
            <v>0</v>
          </cell>
        </row>
        <row r="4136">
          <cell r="M4136">
            <v>0</v>
          </cell>
        </row>
        <row r="4139">
          <cell r="M4139">
            <v>0</v>
          </cell>
        </row>
        <row r="4142">
          <cell r="M4142">
            <v>0</v>
          </cell>
        </row>
        <row r="4143">
          <cell r="M4143">
            <v>0</v>
          </cell>
        </row>
        <row r="4144">
          <cell r="M4144">
            <v>0</v>
          </cell>
        </row>
        <row r="4145">
          <cell r="M4145">
            <v>0</v>
          </cell>
        </row>
        <row r="4146">
          <cell r="M4146">
            <v>0</v>
          </cell>
        </row>
        <row r="4147">
          <cell r="M4147">
            <v>0</v>
          </cell>
        </row>
        <row r="4148">
          <cell r="M4148">
            <v>0</v>
          </cell>
        </row>
        <row r="4149">
          <cell r="M4149">
            <v>0</v>
          </cell>
        </row>
        <row r="4150">
          <cell r="M4150">
            <v>0</v>
          </cell>
        </row>
        <row r="4151">
          <cell r="M4151">
            <v>0</v>
          </cell>
        </row>
        <row r="4152">
          <cell r="M4152">
            <v>0</v>
          </cell>
        </row>
        <row r="4153">
          <cell r="M4153">
            <v>0</v>
          </cell>
        </row>
        <row r="4154">
          <cell r="M4154">
            <v>0</v>
          </cell>
        </row>
        <row r="4155">
          <cell r="M4155">
            <v>0</v>
          </cell>
        </row>
        <row r="4156">
          <cell r="M4156">
            <v>0</v>
          </cell>
        </row>
        <row r="4157">
          <cell r="M4157">
            <v>0</v>
          </cell>
        </row>
        <row r="4158">
          <cell r="M4158">
            <v>0</v>
          </cell>
        </row>
        <row r="4161">
          <cell r="M4161">
            <v>0</v>
          </cell>
        </row>
        <row r="4164">
          <cell r="M4164">
            <v>0</v>
          </cell>
        </row>
        <row r="4165">
          <cell r="M4165">
            <v>0</v>
          </cell>
        </row>
        <row r="4166">
          <cell r="M4166">
            <v>0</v>
          </cell>
        </row>
        <row r="4167">
          <cell r="M4167">
            <v>0</v>
          </cell>
        </row>
        <row r="4168">
          <cell r="M4168">
            <v>0</v>
          </cell>
        </row>
        <row r="4169">
          <cell r="M4169">
            <v>0</v>
          </cell>
        </row>
        <row r="4170">
          <cell r="M4170">
            <v>0</v>
          </cell>
        </row>
        <row r="4171">
          <cell r="M4171">
            <v>0</v>
          </cell>
        </row>
        <row r="4172">
          <cell r="M4172">
            <v>0</v>
          </cell>
        </row>
        <row r="4173">
          <cell r="M4173">
            <v>0</v>
          </cell>
        </row>
        <row r="4174">
          <cell r="M4174">
            <v>0</v>
          </cell>
        </row>
        <row r="4175">
          <cell r="M4175">
            <v>0</v>
          </cell>
        </row>
        <row r="4176">
          <cell r="M4176">
            <v>0</v>
          </cell>
        </row>
        <row r="4177">
          <cell r="M4177">
            <v>0</v>
          </cell>
        </row>
        <row r="4178">
          <cell r="M4178">
            <v>0</v>
          </cell>
        </row>
        <row r="4179">
          <cell r="M4179">
            <v>0</v>
          </cell>
        </row>
        <row r="4180">
          <cell r="M4180">
            <v>0</v>
          </cell>
        </row>
        <row r="4183">
          <cell r="M4183">
            <v>0</v>
          </cell>
        </row>
        <row r="4186">
          <cell r="M4186">
            <v>0</v>
          </cell>
        </row>
        <row r="4187">
          <cell r="M4187">
            <v>0</v>
          </cell>
        </row>
        <row r="4188">
          <cell r="M4188">
            <v>0</v>
          </cell>
        </row>
        <row r="4189">
          <cell r="M4189">
            <v>0</v>
          </cell>
        </row>
        <row r="4190">
          <cell r="M4190">
            <v>0</v>
          </cell>
        </row>
        <row r="4191">
          <cell r="M4191">
            <v>0</v>
          </cell>
        </row>
        <row r="4192">
          <cell r="M4192">
            <v>0</v>
          </cell>
        </row>
        <row r="4193">
          <cell r="M4193">
            <v>0</v>
          </cell>
        </row>
        <row r="4194">
          <cell r="M4194">
            <v>0</v>
          </cell>
        </row>
        <row r="4195">
          <cell r="M4195">
            <v>0</v>
          </cell>
        </row>
        <row r="4196">
          <cell r="M4196">
            <v>0</v>
          </cell>
        </row>
        <row r="4197">
          <cell r="M4197">
            <v>0</v>
          </cell>
        </row>
        <row r="4198">
          <cell r="M4198">
            <v>0</v>
          </cell>
        </row>
        <row r="4199">
          <cell r="M4199">
            <v>0</v>
          </cell>
        </row>
        <row r="4200">
          <cell r="M4200">
            <v>0</v>
          </cell>
        </row>
        <row r="4201">
          <cell r="M4201">
            <v>0</v>
          </cell>
        </row>
        <row r="4202">
          <cell r="M4202">
            <v>0</v>
          </cell>
        </row>
        <row r="4205">
          <cell r="M4205">
            <v>0</v>
          </cell>
        </row>
        <row r="4208">
          <cell r="M4208">
            <v>0</v>
          </cell>
        </row>
        <row r="4209">
          <cell r="M4209">
            <v>0</v>
          </cell>
        </row>
        <row r="4210">
          <cell r="M4210">
            <v>0</v>
          </cell>
        </row>
        <row r="4211">
          <cell r="M4211">
            <v>0</v>
          </cell>
        </row>
        <row r="4212">
          <cell r="M4212">
            <v>0</v>
          </cell>
        </row>
        <row r="4213">
          <cell r="M4213">
            <v>0</v>
          </cell>
        </row>
        <row r="4214">
          <cell r="M4214">
            <v>0</v>
          </cell>
        </row>
        <row r="4215">
          <cell r="M4215">
            <v>0</v>
          </cell>
        </row>
        <row r="4216">
          <cell r="M4216">
            <v>0</v>
          </cell>
        </row>
        <row r="4217">
          <cell r="M4217">
            <v>0</v>
          </cell>
        </row>
        <row r="4218">
          <cell r="M4218">
            <v>0</v>
          </cell>
        </row>
        <row r="4219">
          <cell r="M4219">
            <v>0</v>
          </cell>
        </row>
        <row r="4220">
          <cell r="M4220">
            <v>0</v>
          </cell>
        </row>
        <row r="4221">
          <cell r="M4221">
            <v>0</v>
          </cell>
        </row>
        <row r="4222">
          <cell r="M4222">
            <v>0</v>
          </cell>
        </row>
        <row r="4223">
          <cell r="M4223">
            <v>0</v>
          </cell>
        </row>
        <row r="4224">
          <cell r="M4224">
            <v>0</v>
          </cell>
        </row>
        <row r="4227">
          <cell r="M4227">
            <v>0</v>
          </cell>
        </row>
        <row r="4230">
          <cell r="M4230">
            <v>0</v>
          </cell>
        </row>
        <row r="4231">
          <cell r="M4231">
            <v>0</v>
          </cell>
        </row>
        <row r="4232">
          <cell r="M4232">
            <v>0</v>
          </cell>
        </row>
        <row r="4233">
          <cell r="M4233">
            <v>0</v>
          </cell>
        </row>
        <row r="4234">
          <cell r="M4234">
            <v>0</v>
          </cell>
        </row>
        <row r="4235">
          <cell r="M4235">
            <v>0</v>
          </cell>
        </row>
        <row r="4236">
          <cell r="M4236">
            <v>0</v>
          </cell>
        </row>
        <row r="4237">
          <cell r="M4237">
            <v>0</v>
          </cell>
        </row>
        <row r="4238">
          <cell r="M4238">
            <v>0</v>
          </cell>
        </row>
        <row r="4239">
          <cell r="M4239">
            <v>0</v>
          </cell>
        </row>
        <row r="4240">
          <cell r="M4240">
            <v>0</v>
          </cell>
        </row>
        <row r="4241">
          <cell r="M4241">
            <v>0</v>
          </cell>
        </row>
        <row r="4242">
          <cell r="M4242">
            <v>0</v>
          </cell>
        </row>
        <row r="4243">
          <cell r="M4243">
            <v>0</v>
          </cell>
        </row>
        <row r="4244">
          <cell r="M4244">
            <v>0</v>
          </cell>
        </row>
        <row r="4245">
          <cell r="M4245">
            <v>0</v>
          </cell>
        </row>
        <row r="4246">
          <cell r="M4246">
            <v>0</v>
          </cell>
        </row>
        <row r="4249">
          <cell r="M4249">
            <v>0</v>
          </cell>
        </row>
        <row r="4252">
          <cell r="M4252">
            <v>0</v>
          </cell>
        </row>
        <row r="4253">
          <cell r="M4253">
            <v>0</v>
          </cell>
        </row>
        <row r="4254">
          <cell r="M4254">
            <v>0</v>
          </cell>
        </row>
        <row r="4255">
          <cell r="M4255">
            <v>0</v>
          </cell>
        </row>
        <row r="4256">
          <cell r="M4256">
            <v>0</v>
          </cell>
        </row>
        <row r="4257">
          <cell r="M4257">
            <v>0</v>
          </cell>
        </row>
        <row r="4258">
          <cell r="M4258">
            <v>0</v>
          </cell>
        </row>
        <row r="4259">
          <cell r="M4259">
            <v>0</v>
          </cell>
        </row>
        <row r="4260">
          <cell r="M4260">
            <v>0</v>
          </cell>
        </row>
        <row r="4261">
          <cell r="M4261">
            <v>0</v>
          </cell>
        </row>
        <row r="4262">
          <cell r="M4262">
            <v>0</v>
          </cell>
        </row>
        <row r="4263">
          <cell r="M4263">
            <v>0</v>
          </cell>
        </row>
        <row r="4264">
          <cell r="M4264">
            <v>0</v>
          </cell>
        </row>
        <row r="4265">
          <cell r="M4265">
            <v>0</v>
          </cell>
        </row>
        <row r="4266">
          <cell r="M4266">
            <v>0</v>
          </cell>
        </row>
        <row r="4267">
          <cell r="M4267">
            <v>0</v>
          </cell>
        </row>
        <row r="4268">
          <cell r="M4268">
            <v>0</v>
          </cell>
        </row>
        <row r="4271">
          <cell r="M4271">
            <v>0</v>
          </cell>
        </row>
        <row r="4274">
          <cell r="M4274">
            <v>0</v>
          </cell>
        </row>
        <row r="4275">
          <cell r="M4275">
            <v>0</v>
          </cell>
        </row>
        <row r="4276">
          <cell r="M4276">
            <v>0</v>
          </cell>
        </row>
        <row r="4277">
          <cell r="M4277">
            <v>0</v>
          </cell>
        </row>
        <row r="4278">
          <cell r="M4278">
            <v>0</v>
          </cell>
        </row>
        <row r="4279">
          <cell r="M4279">
            <v>0</v>
          </cell>
        </row>
        <row r="4280">
          <cell r="M4280">
            <v>0</v>
          </cell>
        </row>
        <row r="4281">
          <cell r="M4281">
            <v>0</v>
          </cell>
        </row>
        <row r="4282">
          <cell r="M4282">
            <v>0</v>
          </cell>
        </row>
        <row r="4283">
          <cell r="M4283">
            <v>0</v>
          </cell>
        </row>
        <row r="4284">
          <cell r="M4284">
            <v>0</v>
          </cell>
        </row>
        <row r="4285">
          <cell r="M4285">
            <v>0</v>
          </cell>
        </row>
        <row r="4286">
          <cell r="M4286">
            <v>0</v>
          </cell>
        </row>
        <row r="4287">
          <cell r="M4287">
            <v>0</v>
          </cell>
        </row>
        <row r="4288">
          <cell r="M4288">
            <v>0</v>
          </cell>
        </row>
        <row r="4289">
          <cell r="M4289">
            <v>0</v>
          </cell>
        </row>
        <row r="4290">
          <cell r="M4290">
            <v>0</v>
          </cell>
        </row>
        <row r="4293">
          <cell r="M4293">
            <v>0</v>
          </cell>
        </row>
        <row r="4296">
          <cell r="M4296">
            <v>0</v>
          </cell>
        </row>
        <row r="4297">
          <cell r="M4297">
            <v>0</v>
          </cell>
        </row>
        <row r="4298">
          <cell r="M4298">
            <v>0</v>
          </cell>
        </row>
        <row r="4299">
          <cell r="M4299">
            <v>0</v>
          </cell>
        </row>
        <row r="4300">
          <cell r="M4300">
            <v>0</v>
          </cell>
        </row>
        <row r="4301">
          <cell r="M4301">
            <v>0</v>
          </cell>
        </row>
        <row r="4302">
          <cell r="M4302">
            <v>0</v>
          </cell>
        </row>
        <row r="4303">
          <cell r="M4303">
            <v>0</v>
          </cell>
        </row>
        <row r="4304">
          <cell r="M4304">
            <v>0</v>
          </cell>
        </row>
        <row r="4305">
          <cell r="M4305">
            <v>0</v>
          </cell>
        </row>
        <row r="4306">
          <cell r="M4306">
            <v>0</v>
          </cell>
        </row>
        <row r="4307">
          <cell r="M4307">
            <v>0</v>
          </cell>
        </row>
        <row r="4308">
          <cell r="M4308">
            <v>0</v>
          </cell>
        </row>
        <row r="4309">
          <cell r="M4309">
            <v>0</v>
          </cell>
        </row>
        <row r="4310">
          <cell r="M4310">
            <v>0</v>
          </cell>
        </row>
        <row r="4311">
          <cell r="M4311">
            <v>0</v>
          </cell>
        </row>
        <row r="4312">
          <cell r="M4312">
            <v>0</v>
          </cell>
        </row>
        <row r="4315">
          <cell r="M4315">
            <v>0</v>
          </cell>
        </row>
        <row r="4318">
          <cell r="M4318">
            <v>0</v>
          </cell>
        </row>
        <row r="4319">
          <cell r="M4319">
            <v>0</v>
          </cell>
        </row>
        <row r="4320">
          <cell r="M4320">
            <v>0</v>
          </cell>
        </row>
        <row r="4321">
          <cell r="M4321">
            <v>0</v>
          </cell>
        </row>
        <row r="4322">
          <cell r="M4322">
            <v>0</v>
          </cell>
        </row>
        <row r="4323">
          <cell r="M4323">
            <v>0</v>
          </cell>
        </row>
        <row r="4324">
          <cell r="M4324">
            <v>0</v>
          </cell>
        </row>
        <row r="4325">
          <cell r="M4325">
            <v>0</v>
          </cell>
        </row>
        <row r="4326">
          <cell r="M4326">
            <v>0</v>
          </cell>
        </row>
        <row r="4327">
          <cell r="M4327">
            <v>0</v>
          </cell>
        </row>
        <row r="4328">
          <cell r="M4328">
            <v>0</v>
          </cell>
        </row>
        <row r="4329">
          <cell r="M4329">
            <v>0</v>
          </cell>
        </row>
        <row r="4330">
          <cell r="M4330">
            <v>0</v>
          </cell>
        </row>
        <row r="4331">
          <cell r="M4331">
            <v>0</v>
          </cell>
        </row>
        <row r="4332">
          <cell r="M4332">
            <v>0</v>
          </cell>
        </row>
        <row r="4333">
          <cell r="M4333">
            <v>0</v>
          </cell>
        </row>
        <row r="4334">
          <cell r="M4334">
            <v>0</v>
          </cell>
        </row>
        <row r="4337">
          <cell r="M4337">
            <v>0</v>
          </cell>
        </row>
        <row r="4340">
          <cell r="M4340">
            <v>0</v>
          </cell>
        </row>
        <row r="4341">
          <cell r="M4341">
            <v>0</v>
          </cell>
        </row>
        <row r="4342">
          <cell r="M4342">
            <v>0</v>
          </cell>
        </row>
        <row r="4343">
          <cell r="M4343">
            <v>0</v>
          </cell>
        </row>
        <row r="4344">
          <cell r="M4344">
            <v>0</v>
          </cell>
        </row>
        <row r="4345">
          <cell r="M4345">
            <v>0</v>
          </cell>
        </row>
        <row r="4346">
          <cell r="M4346">
            <v>0</v>
          </cell>
        </row>
        <row r="4347">
          <cell r="M4347">
            <v>0</v>
          </cell>
        </row>
        <row r="4348">
          <cell r="M4348">
            <v>0</v>
          </cell>
        </row>
        <row r="4349">
          <cell r="M4349">
            <v>0</v>
          </cell>
        </row>
        <row r="4350">
          <cell r="M4350">
            <v>0</v>
          </cell>
        </row>
        <row r="4351">
          <cell r="M4351">
            <v>0</v>
          </cell>
        </row>
        <row r="4352">
          <cell r="M4352">
            <v>0</v>
          </cell>
        </row>
        <row r="4353">
          <cell r="M4353">
            <v>0</v>
          </cell>
        </row>
        <row r="4354">
          <cell r="M4354">
            <v>0</v>
          </cell>
        </row>
        <row r="4355">
          <cell r="M4355">
            <v>0</v>
          </cell>
        </row>
        <row r="4356">
          <cell r="M4356">
            <v>0</v>
          </cell>
        </row>
        <row r="4359">
          <cell r="M4359">
            <v>0</v>
          </cell>
        </row>
        <row r="4362">
          <cell r="M4362">
            <v>0</v>
          </cell>
        </row>
        <row r="4363">
          <cell r="M4363">
            <v>0</v>
          </cell>
        </row>
        <row r="4364">
          <cell r="M4364">
            <v>0</v>
          </cell>
        </row>
        <row r="4365">
          <cell r="M4365">
            <v>0</v>
          </cell>
        </row>
        <row r="4366">
          <cell r="M4366">
            <v>0</v>
          </cell>
        </row>
        <row r="4367">
          <cell r="M4367">
            <v>0</v>
          </cell>
        </row>
        <row r="4368">
          <cell r="M4368">
            <v>0</v>
          </cell>
        </row>
        <row r="4369">
          <cell r="M4369">
            <v>0</v>
          </cell>
        </row>
        <row r="4370">
          <cell r="M4370">
            <v>0</v>
          </cell>
        </row>
        <row r="4371">
          <cell r="M4371">
            <v>0</v>
          </cell>
        </row>
        <row r="4372">
          <cell r="M4372">
            <v>0</v>
          </cell>
        </row>
        <row r="4373">
          <cell r="M4373">
            <v>0</v>
          </cell>
        </row>
        <row r="4374">
          <cell r="M4374">
            <v>0</v>
          </cell>
        </row>
        <row r="4375">
          <cell r="M4375">
            <v>0</v>
          </cell>
        </row>
        <row r="4376">
          <cell r="M4376">
            <v>0</v>
          </cell>
        </row>
        <row r="4377">
          <cell r="M4377">
            <v>0</v>
          </cell>
        </row>
        <row r="4378">
          <cell r="M4378">
            <v>0</v>
          </cell>
        </row>
        <row r="4381">
          <cell r="M4381">
            <v>0</v>
          </cell>
        </row>
        <row r="4384">
          <cell r="M4384">
            <v>0</v>
          </cell>
        </row>
        <row r="4385">
          <cell r="M4385">
            <v>0</v>
          </cell>
        </row>
        <row r="4386">
          <cell r="M4386">
            <v>0</v>
          </cell>
        </row>
        <row r="4387">
          <cell r="M4387">
            <v>0</v>
          </cell>
        </row>
        <row r="4388">
          <cell r="M4388">
            <v>0</v>
          </cell>
        </row>
        <row r="4389">
          <cell r="M4389">
            <v>0</v>
          </cell>
        </row>
        <row r="4390">
          <cell r="M4390">
            <v>0</v>
          </cell>
        </row>
        <row r="4391">
          <cell r="M4391">
            <v>0</v>
          </cell>
        </row>
        <row r="4392">
          <cell r="M4392">
            <v>0</v>
          </cell>
        </row>
        <row r="4393">
          <cell r="M4393">
            <v>0</v>
          </cell>
        </row>
        <row r="4394">
          <cell r="M4394">
            <v>0</v>
          </cell>
        </row>
        <row r="4395">
          <cell r="M4395">
            <v>0</v>
          </cell>
        </row>
        <row r="4396">
          <cell r="M4396">
            <v>0</v>
          </cell>
        </row>
        <row r="4397">
          <cell r="M4397">
            <v>0</v>
          </cell>
        </row>
        <row r="4398">
          <cell r="M4398">
            <v>0</v>
          </cell>
        </row>
        <row r="4399">
          <cell r="M4399">
            <v>0</v>
          </cell>
        </row>
        <row r="4400">
          <cell r="M4400">
            <v>0</v>
          </cell>
        </row>
        <row r="4403">
          <cell r="M4403">
            <v>0</v>
          </cell>
        </row>
        <row r="4406">
          <cell r="M4406">
            <v>0</v>
          </cell>
        </row>
        <row r="4407">
          <cell r="M4407">
            <v>0</v>
          </cell>
        </row>
        <row r="4408">
          <cell r="M4408">
            <v>0</v>
          </cell>
        </row>
        <row r="4409">
          <cell r="M4409">
            <v>0</v>
          </cell>
        </row>
        <row r="4410">
          <cell r="M4410">
            <v>0</v>
          </cell>
        </row>
        <row r="4411">
          <cell r="M4411">
            <v>0</v>
          </cell>
        </row>
        <row r="4412">
          <cell r="M4412">
            <v>0</v>
          </cell>
        </row>
        <row r="4413">
          <cell r="M4413">
            <v>0</v>
          </cell>
        </row>
        <row r="4414">
          <cell r="M4414">
            <v>0</v>
          </cell>
        </row>
        <row r="4415">
          <cell r="M4415">
            <v>0</v>
          </cell>
        </row>
        <row r="4416">
          <cell r="M4416">
            <v>0</v>
          </cell>
        </row>
        <row r="4417">
          <cell r="M4417">
            <v>0</v>
          </cell>
        </row>
        <row r="4418">
          <cell r="M4418">
            <v>0</v>
          </cell>
        </row>
        <row r="4419">
          <cell r="M4419">
            <v>0</v>
          </cell>
        </row>
        <row r="4420">
          <cell r="M4420">
            <v>0</v>
          </cell>
        </row>
        <row r="4421">
          <cell r="M4421">
            <v>0</v>
          </cell>
        </row>
        <row r="4422">
          <cell r="M4422">
            <v>0</v>
          </cell>
        </row>
        <row r="4425">
          <cell r="M4425">
            <v>0</v>
          </cell>
        </row>
        <row r="4428">
          <cell r="M4428">
            <v>0</v>
          </cell>
        </row>
        <row r="4429">
          <cell r="M4429">
            <v>0</v>
          </cell>
        </row>
        <row r="4430">
          <cell r="M4430">
            <v>0</v>
          </cell>
        </row>
        <row r="4431">
          <cell r="M4431">
            <v>0</v>
          </cell>
        </row>
        <row r="4432">
          <cell r="M4432">
            <v>0</v>
          </cell>
        </row>
        <row r="4433">
          <cell r="M4433">
            <v>0</v>
          </cell>
        </row>
        <row r="4434">
          <cell r="M4434">
            <v>0</v>
          </cell>
        </row>
        <row r="4435">
          <cell r="M4435">
            <v>0</v>
          </cell>
        </row>
        <row r="4436">
          <cell r="M4436">
            <v>0</v>
          </cell>
        </row>
        <row r="4437">
          <cell r="M4437">
            <v>0</v>
          </cell>
        </row>
        <row r="4438">
          <cell r="M4438">
            <v>0</v>
          </cell>
        </row>
        <row r="4439">
          <cell r="M4439">
            <v>0</v>
          </cell>
        </row>
        <row r="4440">
          <cell r="M4440">
            <v>0</v>
          </cell>
        </row>
        <row r="4441">
          <cell r="M4441">
            <v>0</v>
          </cell>
        </row>
        <row r="4442">
          <cell r="M4442">
            <v>0</v>
          </cell>
        </row>
        <row r="4443">
          <cell r="M4443">
            <v>0</v>
          </cell>
        </row>
        <row r="4444">
          <cell r="M4444">
            <v>0</v>
          </cell>
        </row>
        <row r="4447">
          <cell r="M4447">
            <v>0</v>
          </cell>
        </row>
        <row r="4450">
          <cell r="M4450">
            <v>0</v>
          </cell>
        </row>
        <row r="4451">
          <cell r="M4451">
            <v>0</v>
          </cell>
        </row>
        <row r="4452">
          <cell r="M4452">
            <v>0</v>
          </cell>
        </row>
        <row r="4453">
          <cell r="M4453">
            <v>0</v>
          </cell>
        </row>
        <row r="4454">
          <cell r="M4454">
            <v>0</v>
          </cell>
        </row>
        <row r="4455">
          <cell r="M4455">
            <v>0</v>
          </cell>
        </row>
        <row r="4456">
          <cell r="M4456">
            <v>0</v>
          </cell>
        </row>
        <row r="4457">
          <cell r="M4457">
            <v>0</v>
          </cell>
        </row>
        <row r="4458">
          <cell r="M4458">
            <v>0</v>
          </cell>
        </row>
        <row r="4459">
          <cell r="M4459">
            <v>0</v>
          </cell>
        </row>
        <row r="4460">
          <cell r="M4460">
            <v>0</v>
          </cell>
        </row>
        <row r="4461">
          <cell r="M4461">
            <v>0</v>
          </cell>
        </row>
        <row r="4462">
          <cell r="M4462">
            <v>0</v>
          </cell>
        </row>
        <row r="4463">
          <cell r="M4463">
            <v>0</v>
          </cell>
        </row>
        <row r="4464">
          <cell r="M4464">
            <v>0</v>
          </cell>
        </row>
        <row r="4465">
          <cell r="M4465">
            <v>0</v>
          </cell>
        </row>
        <row r="4466">
          <cell r="M4466">
            <v>0</v>
          </cell>
        </row>
        <row r="4469">
          <cell r="M4469">
            <v>0</v>
          </cell>
        </row>
        <row r="4472">
          <cell r="M4472">
            <v>0</v>
          </cell>
        </row>
        <row r="4473">
          <cell r="M4473">
            <v>0</v>
          </cell>
        </row>
        <row r="4474">
          <cell r="M4474">
            <v>0</v>
          </cell>
        </row>
        <row r="4475">
          <cell r="M4475">
            <v>0</v>
          </cell>
        </row>
        <row r="4476">
          <cell r="M4476">
            <v>0</v>
          </cell>
        </row>
        <row r="4477">
          <cell r="M4477">
            <v>0</v>
          </cell>
        </row>
        <row r="4478">
          <cell r="M4478">
            <v>0</v>
          </cell>
        </row>
        <row r="4479">
          <cell r="M4479">
            <v>0</v>
          </cell>
        </row>
        <row r="4480">
          <cell r="M4480">
            <v>0</v>
          </cell>
        </row>
        <row r="4481">
          <cell r="M4481">
            <v>0</v>
          </cell>
        </row>
        <row r="4482">
          <cell r="M4482">
            <v>0</v>
          </cell>
        </row>
        <row r="4483">
          <cell r="M4483">
            <v>0</v>
          </cell>
        </row>
        <row r="4484">
          <cell r="M4484">
            <v>0</v>
          </cell>
        </row>
        <row r="4485">
          <cell r="M4485">
            <v>0</v>
          </cell>
        </row>
        <row r="4486">
          <cell r="M4486">
            <v>0</v>
          </cell>
        </row>
        <row r="4487">
          <cell r="M4487">
            <v>0</v>
          </cell>
        </row>
        <row r="4488">
          <cell r="M4488">
            <v>0</v>
          </cell>
        </row>
        <row r="4491">
          <cell r="M4491">
            <v>0</v>
          </cell>
        </row>
        <row r="4494">
          <cell r="M4494">
            <v>0</v>
          </cell>
        </row>
        <row r="4495">
          <cell r="M4495">
            <v>0</v>
          </cell>
        </row>
        <row r="4496">
          <cell r="M4496">
            <v>0</v>
          </cell>
        </row>
        <row r="4497">
          <cell r="M4497">
            <v>0</v>
          </cell>
        </row>
        <row r="4498">
          <cell r="M4498">
            <v>0</v>
          </cell>
        </row>
        <row r="4499">
          <cell r="M4499">
            <v>0</v>
          </cell>
        </row>
        <row r="4500">
          <cell r="M4500">
            <v>0</v>
          </cell>
        </row>
        <row r="4501">
          <cell r="M4501">
            <v>0</v>
          </cell>
        </row>
        <row r="4502">
          <cell r="M4502">
            <v>0</v>
          </cell>
        </row>
        <row r="4503">
          <cell r="M4503">
            <v>0</v>
          </cell>
        </row>
        <row r="4504">
          <cell r="M4504">
            <v>0</v>
          </cell>
        </row>
        <row r="4505">
          <cell r="M4505">
            <v>0</v>
          </cell>
        </row>
        <row r="4506">
          <cell r="M4506">
            <v>0</v>
          </cell>
        </row>
        <row r="4507">
          <cell r="M4507">
            <v>0</v>
          </cell>
        </row>
        <row r="4508">
          <cell r="M4508">
            <v>0</v>
          </cell>
        </row>
        <row r="4509">
          <cell r="M4509">
            <v>0</v>
          </cell>
        </row>
        <row r="4510">
          <cell r="M4510">
            <v>0</v>
          </cell>
        </row>
        <row r="4513">
          <cell r="M4513">
            <v>0</v>
          </cell>
        </row>
        <row r="4516">
          <cell r="M4516">
            <v>0</v>
          </cell>
        </row>
        <row r="4517">
          <cell r="M4517">
            <v>0</v>
          </cell>
        </row>
        <row r="4518">
          <cell r="M4518">
            <v>0</v>
          </cell>
        </row>
        <row r="4519">
          <cell r="M4519">
            <v>0</v>
          </cell>
        </row>
        <row r="4520">
          <cell r="M4520">
            <v>0</v>
          </cell>
        </row>
        <row r="4521">
          <cell r="M4521">
            <v>0</v>
          </cell>
        </row>
        <row r="4522">
          <cell r="M4522">
            <v>0</v>
          </cell>
        </row>
        <row r="4523">
          <cell r="M4523">
            <v>0</v>
          </cell>
        </row>
        <row r="4524">
          <cell r="M4524">
            <v>0</v>
          </cell>
        </row>
        <row r="4525">
          <cell r="M4525">
            <v>0</v>
          </cell>
        </row>
        <row r="4526">
          <cell r="M4526">
            <v>0</v>
          </cell>
        </row>
        <row r="4527">
          <cell r="M4527">
            <v>0</v>
          </cell>
        </row>
        <row r="4528">
          <cell r="M4528">
            <v>0</v>
          </cell>
        </row>
        <row r="4529">
          <cell r="M4529">
            <v>0</v>
          </cell>
        </row>
        <row r="4530">
          <cell r="M4530">
            <v>0</v>
          </cell>
        </row>
        <row r="4531">
          <cell r="M4531">
            <v>0</v>
          </cell>
        </row>
        <row r="4532">
          <cell r="M4532">
            <v>0</v>
          </cell>
        </row>
        <row r="4535">
          <cell r="M4535">
            <v>0</v>
          </cell>
        </row>
        <row r="4538">
          <cell r="M4538">
            <v>0</v>
          </cell>
        </row>
        <row r="4539">
          <cell r="M4539">
            <v>0</v>
          </cell>
        </row>
        <row r="4540">
          <cell r="M4540">
            <v>0</v>
          </cell>
        </row>
        <row r="4541">
          <cell r="M4541">
            <v>0</v>
          </cell>
        </row>
        <row r="4542">
          <cell r="M4542">
            <v>0</v>
          </cell>
        </row>
        <row r="4543">
          <cell r="M4543">
            <v>0</v>
          </cell>
        </row>
        <row r="4544">
          <cell r="M4544">
            <v>0</v>
          </cell>
        </row>
        <row r="4545">
          <cell r="M4545">
            <v>0</v>
          </cell>
        </row>
        <row r="4546">
          <cell r="M4546">
            <v>0</v>
          </cell>
        </row>
        <row r="4547">
          <cell r="M4547">
            <v>0</v>
          </cell>
        </row>
        <row r="4548">
          <cell r="M4548">
            <v>0</v>
          </cell>
        </row>
        <row r="4549">
          <cell r="M4549">
            <v>0</v>
          </cell>
        </row>
        <row r="4550">
          <cell r="M4550">
            <v>0</v>
          </cell>
        </row>
        <row r="4551">
          <cell r="M4551">
            <v>0</v>
          </cell>
        </row>
        <row r="4552">
          <cell r="M4552">
            <v>0</v>
          </cell>
        </row>
        <row r="4553">
          <cell r="M4553">
            <v>0</v>
          </cell>
        </row>
        <row r="4554">
          <cell r="M4554">
            <v>0</v>
          </cell>
        </row>
        <row r="4557">
          <cell r="M4557">
            <v>0</v>
          </cell>
        </row>
        <row r="4560">
          <cell r="M4560">
            <v>0</v>
          </cell>
        </row>
        <row r="4561">
          <cell r="M4561">
            <v>0</v>
          </cell>
        </row>
        <row r="4562">
          <cell r="M4562">
            <v>0</v>
          </cell>
        </row>
        <row r="4563">
          <cell r="M4563">
            <v>0</v>
          </cell>
        </row>
        <row r="4564">
          <cell r="M4564">
            <v>0</v>
          </cell>
        </row>
        <row r="4565">
          <cell r="M4565">
            <v>0</v>
          </cell>
        </row>
        <row r="4566">
          <cell r="M4566">
            <v>0</v>
          </cell>
        </row>
        <row r="4567">
          <cell r="M4567">
            <v>0</v>
          </cell>
        </row>
        <row r="4568">
          <cell r="M4568">
            <v>0</v>
          </cell>
        </row>
        <row r="4569">
          <cell r="M4569">
            <v>0</v>
          </cell>
        </row>
        <row r="4570">
          <cell r="M4570">
            <v>0</v>
          </cell>
        </row>
        <row r="4571">
          <cell r="M4571">
            <v>0</v>
          </cell>
        </row>
        <row r="4572">
          <cell r="M4572">
            <v>0</v>
          </cell>
        </row>
        <row r="4573">
          <cell r="M4573">
            <v>0</v>
          </cell>
        </row>
        <row r="4574">
          <cell r="M4574">
            <v>0</v>
          </cell>
        </row>
        <row r="4575">
          <cell r="M4575">
            <v>0</v>
          </cell>
        </row>
        <row r="4576">
          <cell r="M4576">
            <v>0</v>
          </cell>
        </row>
        <row r="4579">
          <cell r="M4579">
            <v>0</v>
          </cell>
        </row>
        <row r="4582">
          <cell r="M4582">
            <v>0</v>
          </cell>
        </row>
        <row r="4583">
          <cell r="M4583">
            <v>0</v>
          </cell>
        </row>
        <row r="4584">
          <cell r="M4584">
            <v>0</v>
          </cell>
        </row>
        <row r="4585">
          <cell r="M4585">
            <v>0</v>
          </cell>
        </row>
        <row r="4586">
          <cell r="M4586">
            <v>0</v>
          </cell>
        </row>
        <row r="4587">
          <cell r="M4587">
            <v>0</v>
          </cell>
        </row>
        <row r="4588">
          <cell r="M4588">
            <v>0</v>
          </cell>
        </row>
        <row r="4589">
          <cell r="M4589">
            <v>0</v>
          </cell>
        </row>
        <row r="4590">
          <cell r="M4590">
            <v>0</v>
          </cell>
        </row>
        <row r="4591">
          <cell r="M4591">
            <v>0</v>
          </cell>
        </row>
        <row r="4592">
          <cell r="M4592">
            <v>0</v>
          </cell>
        </row>
        <row r="4593">
          <cell r="M4593">
            <v>0</v>
          </cell>
        </row>
        <row r="4594">
          <cell r="M4594">
            <v>0</v>
          </cell>
        </row>
        <row r="4595">
          <cell r="M4595">
            <v>0</v>
          </cell>
        </row>
        <row r="4596">
          <cell r="M4596">
            <v>0</v>
          </cell>
        </row>
        <row r="4597">
          <cell r="M4597">
            <v>0</v>
          </cell>
        </row>
        <row r="4598">
          <cell r="M4598">
            <v>0</v>
          </cell>
        </row>
        <row r="4601">
          <cell r="M4601">
            <v>0</v>
          </cell>
        </row>
        <row r="4604">
          <cell r="M4604">
            <v>0</v>
          </cell>
        </row>
        <row r="4605">
          <cell r="M4605">
            <v>0</v>
          </cell>
        </row>
        <row r="4606">
          <cell r="M4606">
            <v>0</v>
          </cell>
        </row>
        <row r="4607">
          <cell r="M4607">
            <v>0</v>
          </cell>
        </row>
        <row r="4608">
          <cell r="M4608">
            <v>0</v>
          </cell>
        </row>
        <row r="4609">
          <cell r="M4609">
            <v>0</v>
          </cell>
        </row>
        <row r="4610">
          <cell r="M4610">
            <v>0</v>
          </cell>
        </row>
        <row r="4611">
          <cell r="M4611">
            <v>0</v>
          </cell>
        </row>
        <row r="4612">
          <cell r="M4612">
            <v>0</v>
          </cell>
        </row>
        <row r="4613">
          <cell r="M4613">
            <v>0</v>
          </cell>
        </row>
        <row r="4614">
          <cell r="M4614">
            <v>0</v>
          </cell>
        </row>
        <row r="4615">
          <cell r="M4615">
            <v>0</v>
          </cell>
        </row>
        <row r="4616">
          <cell r="M4616">
            <v>0</v>
          </cell>
        </row>
        <row r="4617">
          <cell r="M4617">
            <v>0</v>
          </cell>
        </row>
        <row r="4618">
          <cell r="M4618">
            <v>0</v>
          </cell>
        </row>
        <row r="4619">
          <cell r="M4619">
            <v>0</v>
          </cell>
        </row>
        <row r="4620">
          <cell r="M4620">
            <v>0</v>
          </cell>
        </row>
        <row r="4623">
          <cell r="M4623">
            <v>0</v>
          </cell>
        </row>
        <row r="4626">
          <cell r="M4626">
            <v>0</v>
          </cell>
        </row>
        <row r="4627">
          <cell r="M4627">
            <v>0</v>
          </cell>
        </row>
        <row r="4628">
          <cell r="M4628">
            <v>0</v>
          </cell>
        </row>
        <row r="4629">
          <cell r="M4629">
            <v>0</v>
          </cell>
        </row>
        <row r="4630">
          <cell r="M4630">
            <v>0</v>
          </cell>
        </row>
        <row r="4631">
          <cell r="M4631">
            <v>0</v>
          </cell>
        </row>
        <row r="4632">
          <cell r="M4632">
            <v>0</v>
          </cell>
        </row>
        <row r="4633">
          <cell r="M4633">
            <v>0</v>
          </cell>
        </row>
        <row r="4634">
          <cell r="M4634">
            <v>0</v>
          </cell>
        </row>
        <row r="4635">
          <cell r="M4635">
            <v>0</v>
          </cell>
        </row>
        <row r="4636">
          <cell r="M4636">
            <v>0</v>
          </cell>
        </row>
        <row r="4637">
          <cell r="M4637">
            <v>0</v>
          </cell>
        </row>
        <row r="4638">
          <cell r="M4638">
            <v>0</v>
          </cell>
        </row>
        <row r="4639">
          <cell r="M4639">
            <v>0</v>
          </cell>
        </row>
        <row r="4640">
          <cell r="M4640">
            <v>0</v>
          </cell>
        </row>
        <row r="4641">
          <cell r="M4641">
            <v>0</v>
          </cell>
        </row>
        <row r="4642">
          <cell r="M4642">
            <v>0</v>
          </cell>
        </row>
        <row r="4645">
          <cell r="M4645">
            <v>0</v>
          </cell>
        </row>
        <row r="4648">
          <cell r="M4648">
            <v>0</v>
          </cell>
        </row>
        <row r="4649">
          <cell r="M4649">
            <v>0</v>
          </cell>
        </row>
        <row r="4650">
          <cell r="M4650">
            <v>0</v>
          </cell>
        </row>
        <row r="4651">
          <cell r="M4651">
            <v>0</v>
          </cell>
        </row>
        <row r="4652">
          <cell r="M4652">
            <v>0</v>
          </cell>
        </row>
        <row r="4653">
          <cell r="M4653">
            <v>0</v>
          </cell>
        </row>
        <row r="4654">
          <cell r="M4654">
            <v>0</v>
          </cell>
        </row>
        <row r="4655">
          <cell r="M4655">
            <v>0</v>
          </cell>
        </row>
        <row r="4656">
          <cell r="M4656">
            <v>0</v>
          </cell>
        </row>
        <row r="4657">
          <cell r="M4657">
            <v>0</v>
          </cell>
        </row>
        <row r="4658">
          <cell r="M4658">
            <v>0</v>
          </cell>
        </row>
        <row r="4659">
          <cell r="M4659">
            <v>0</v>
          </cell>
        </row>
        <row r="4660">
          <cell r="M4660">
            <v>0</v>
          </cell>
        </row>
        <row r="4661">
          <cell r="M4661">
            <v>0</v>
          </cell>
        </row>
        <row r="4662">
          <cell r="M4662">
            <v>0</v>
          </cell>
        </row>
        <row r="4663">
          <cell r="M4663">
            <v>0</v>
          </cell>
        </row>
        <row r="4664">
          <cell r="M4664">
            <v>0</v>
          </cell>
        </row>
        <row r="4667">
          <cell r="M4667">
            <v>0</v>
          </cell>
        </row>
        <row r="4670">
          <cell r="M4670">
            <v>0</v>
          </cell>
        </row>
        <row r="4671">
          <cell r="M4671">
            <v>0</v>
          </cell>
        </row>
        <row r="4672">
          <cell r="M4672">
            <v>0</v>
          </cell>
        </row>
        <row r="4673">
          <cell r="M4673">
            <v>0</v>
          </cell>
        </row>
        <row r="4674">
          <cell r="M4674">
            <v>0</v>
          </cell>
        </row>
        <row r="4675">
          <cell r="M4675">
            <v>0</v>
          </cell>
        </row>
        <row r="4676">
          <cell r="M4676">
            <v>0</v>
          </cell>
        </row>
        <row r="4677">
          <cell r="M4677">
            <v>0</v>
          </cell>
        </row>
        <row r="4678">
          <cell r="M4678">
            <v>0</v>
          </cell>
        </row>
        <row r="4679">
          <cell r="M4679">
            <v>0</v>
          </cell>
        </row>
        <row r="4680">
          <cell r="M4680">
            <v>0</v>
          </cell>
        </row>
        <row r="4681">
          <cell r="M4681">
            <v>0</v>
          </cell>
        </row>
        <row r="4682">
          <cell r="M4682">
            <v>0</v>
          </cell>
        </row>
        <row r="4683">
          <cell r="M4683">
            <v>0</v>
          </cell>
        </row>
        <row r="4684">
          <cell r="M4684">
            <v>0</v>
          </cell>
        </row>
        <row r="4685">
          <cell r="M4685">
            <v>0</v>
          </cell>
        </row>
        <row r="4686">
          <cell r="M4686">
            <v>0</v>
          </cell>
        </row>
        <row r="4689">
          <cell r="M4689">
            <v>0</v>
          </cell>
        </row>
        <row r="4692">
          <cell r="M4692">
            <v>0</v>
          </cell>
        </row>
        <row r="4693">
          <cell r="M4693">
            <v>0</v>
          </cell>
        </row>
        <row r="4694">
          <cell r="M4694">
            <v>0</v>
          </cell>
        </row>
        <row r="4695">
          <cell r="M4695">
            <v>0</v>
          </cell>
        </row>
        <row r="4696">
          <cell r="M4696">
            <v>0</v>
          </cell>
        </row>
        <row r="4697">
          <cell r="M4697">
            <v>0</v>
          </cell>
        </row>
        <row r="4698">
          <cell r="M4698">
            <v>0</v>
          </cell>
        </row>
        <row r="4699">
          <cell r="M4699">
            <v>0</v>
          </cell>
        </row>
        <row r="4700">
          <cell r="M4700">
            <v>0</v>
          </cell>
        </row>
        <row r="4701">
          <cell r="M4701">
            <v>0</v>
          </cell>
        </row>
        <row r="4702">
          <cell r="M4702">
            <v>0</v>
          </cell>
        </row>
        <row r="4703">
          <cell r="M4703">
            <v>0</v>
          </cell>
        </row>
        <row r="4704">
          <cell r="M4704">
            <v>0</v>
          </cell>
        </row>
        <row r="4705">
          <cell r="M4705">
            <v>0</v>
          </cell>
        </row>
        <row r="4706">
          <cell r="M4706">
            <v>0</v>
          </cell>
        </row>
        <row r="4707">
          <cell r="M4707">
            <v>0</v>
          </cell>
        </row>
        <row r="4708">
          <cell r="M4708">
            <v>0</v>
          </cell>
        </row>
        <row r="4711">
          <cell r="M4711">
            <v>0</v>
          </cell>
        </row>
        <row r="4714">
          <cell r="M4714">
            <v>0</v>
          </cell>
        </row>
        <row r="4715">
          <cell r="M4715">
            <v>0</v>
          </cell>
        </row>
        <row r="4716">
          <cell r="M4716">
            <v>0</v>
          </cell>
        </row>
        <row r="4717">
          <cell r="M4717">
            <v>0</v>
          </cell>
        </row>
        <row r="4718">
          <cell r="M4718">
            <v>0</v>
          </cell>
        </row>
        <row r="4719">
          <cell r="M4719">
            <v>0</v>
          </cell>
        </row>
        <row r="4720">
          <cell r="M4720">
            <v>0</v>
          </cell>
        </row>
        <row r="4721">
          <cell r="M4721">
            <v>0</v>
          </cell>
        </row>
        <row r="4722">
          <cell r="M4722">
            <v>0</v>
          </cell>
        </row>
        <row r="4723">
          <cell r="M4723">
            <v>0</v>
          </cell>
        </row>
        <row r="4724">
          <cell r="M4724">
            <v>0</v>
          </cell>
        </row>
        <row r="4725">
          <cell r="M4725">
            <v>0</v>
          </cell>
        </row>
        <row r="4726">
          <cell r="M4726">
            <v>0</v>
          </cell>
        </row>
        <row r="4727">
          <cell r="M4727">
            <v>0</v>
          </cell>
        </row>
        <row r="4728">
          <cell r="M4728">
            <v>0</v>
          </cell>
        </row>
        <row r="4729">
          <cell r="M4729">
            <v>0</v>
          </cell>
        </row>
        <row r="4730">
          <cell r="M4730">
            <v>0</v>
          </cell>
        </row>
        <row r="4733">
          <cell r="M4733">
            <v>0</v>
          </cell>
        </row>
        <row r="4736">
          <cell r="M4736">
            <v>0</v>
          </cell>
        </row>
        <row r="4737">
          <cell r="M4737">
            <v>0</v>
          </cell>
        </row>
        <row r="4738">
          <cell r="M4738">
            <v>0</v>
          </cell>
        </row>
        <row r="4739">
          <cell r="M4739">
            <v>0</v>
          </cell>
        </row>
        <row r="4740">
          <cell r="M4740">
            <v>0</v>
          </cell>
        </row>
        <row r="4741">
          <cell r="M4741">
            <v>0</v>
          </cell>
        </row>
        <row r="4742">
          <cell r="M4742">
            <v>0</v>
          </cell>
        </row>
        <row r="4743">
          <cell r="M4743">
            <v>0</v>
          </cell>
        </row>
        <row r="4744">
          <cell r="M4744">
            <v>0</v>
          </cell>
        </row>
        <row r="4745">
          <cell r="M4745">
            <v>0</v>
          </cell>
        </row>
        <row r="4746">
          <cell r="M4746">
            <v>0</v>
          </cell>
        </row>
        <row r="4747">
          <cell r="M4747">
            <v>0</v>
          </cell>
        </row>
        <row r="4748">
          <cell r="M4748">
            <v>0</v>
          </cell>
        </row>
        <row r="4749">
          <cell r="M4749">
            <v>0</v>
          </cell>
        </row>
        <row r="4750">
          <cell r="M4750">
            <v>0</v>
          </cell>
        </row>
        <row r="4751">
          <cell r="M4751">
            <v>0</v>
          </cell>
        </row>
        <row r="4752">
          <cell r="M4752">
            <v>0</v>
          </cell>
        </row>
        <row r="4755">
          <cell r="M4755">
            <v>0</v>
          </cell>
        </row>
        <row r="4758">
          <cell r="M4758">
            <v>0</v>
          </cell>
        </row>
        <row r="4759">
          <cell r="M4759">
            <v>0</v>
          </cell>
        </row>
        <row r="4760">
          <cell r="M4760">
            <v>0</v>
          </cell>
        </row>
        <row r="4761">
          <cell r="M4761">
            <v>0</v>
          </cell>
        </row>
        <row r="4762">
          <cell r="M4762">
            <v>0</v>
          </cell>
        </row>
        <row r="4763">
          <cell r="M4763">
            <v>0</v>
          </cell>
        </row>
        <row r="4764">
          <cell r="M4764">
            <v>0</v>
          </cell>
        </row>
        <row r="4765">
          <cell r="M4765">
            <v>0</v>
          </cell>
        </row>
        <row r="4766">
          <cell r="M4766">
            <v>0</v>
          </cell>
        </row>
        <row r="4767">
          <cell r="M4767">
            <v>0</v>
          </cell>
        </row>
        <row r="4768">
          <cell r="M4768">
            <v>0</v>
          </cell>
        </row>
        <row r="4769">
          <cell r="M4769">
            <v>0</v>
          </cell>
        </row>
        <row r="4770">
          <cell r="M4770">
            <v>0</v>
          </cell>
        </row>
        <row r="4771">
          <cell r="M4771">
            <v>0</v>
          </cell>
        </row>
        <row r="4772">
          <cell r="M4772">
            <v>0</v>
          </cell>
        </row>
        <row r="4773">
          <cell r="M4773">
            <v>0</v>
          </cell>
        </row>
        <row r="4774">
          <cell r="M4774">
            <v>0</v>
          </cell>
        </row>
        <row r="4777">
          <cell r="M4777">
            <v>0</v>
          </cell>
        </row>
        <row r="4780">
          <cell r="M4780">
            <v>0</v>
          </cell>
        </row>
        <row r="4781">
          <cell r="M4781">
            <v>0</v>
          </cell>
        </row>
        <row r="4782">
          <cell r="M4782">
            <v>0</v>
          </cell>
        </row>
        <row r="4783">
          <cell r="M4783">
            <v>0</v>
          </cell>
        </row>
        <row r="4784">
          <cell r="M4784">
            <v>0</v>
          </cell>
        </row>
        <row r="4785">
          <cell r="M4785">
            <v>0</v>
          </cell>
        </row>
        <row r="4786">
          <cell r="M4786">
            <v>0</v>
          </cell>
        </row>
        <row r="4787">
          <cell r="M4787">
            <v>0</v>
          </cell>
        </row>
        <row r="4788">
          <cell r="M4788">
            <v>0</v>
          </cell>
        </row>
        <row r="4789">
          <cell r="M4789">
            <v>0</v>
          </cell>
        </row>
        <row r="4790">
          <cell r="M4790">
            <v>0</v>
          </cell>
        </row>
        <row r="4791">
          <cell r="M4791">
            <v>0</v>
          </cell>
        </row>
        <row r="4792">
          <cell r="M4792">
            <v>0</v>
          </cell>
        </row>
        <row r="4793">
          <cell r="M4793">
            <v>0</v>
          </cell>
        </row>
        <row r="4794">
          <cell r="M4794">
            <v>0</v>
          </cell>
        </row>
        <row r="4795">
          <cell r="M4795">
            <v>0</v>
          </cell>
        </row>
        <row r="4796">
          <cell r="M4796">
            <v>0</v>
          </cell>
        </row>
        <row r="4799">
          <cell r="M4799">
            <v>0</v>
          </cell>
        </row>
        <row r="4802">
          <cell r="M4802">
            <v>0</v>
          </cell>
        </row>
        <row r="4803">
          <cell r="M4803">
            <v>0</v>
          </cell>
        </row>
        <row r="4804">
          <cell r="M4804">
            <v>0</v>
          </cell>
        </row>
        <row r="4805">
          <cell r="M4805">
            <v>0</v>
          </cell>
        </row>
        <row r="4806">
          <cell r="M4806">
            <v>0</v>
          </cell>
        </row>
        <row r="4807">
          <cell r="M4807">
            <v>0</v>
          </cell>
        </row>
        <row r="4808">
          <cell r="M4808">
            <v>0</v>
          </cell>
        </row>
        <row r="4809">
          <cell r="M4809">
            <v>0</v>
          </cell>
        </row>
        <row r="4810">
          <cell r="M4810">
            <v>0</v>
          </cell>
        </row>
        <row r="4811">
          <cell r="M4811">
            <v>0</v>
          </cell>
        </row>
        <row r="4812">
          <cell r="M4812">
            <v>0</v>
          </cell>
        </row>
        <row r="4813">
          <cell r="M4813">
            <v>0</v>
          </cell>
        </row>
        <row r="4814">
          <cell r="M4814">
            <v>0</v>
          </cell>
        </row>
        <row r="4815">
          <cell r="M4815">
            <v>0</v>
          </cell>
        </row>
        <row r="4816">
          <cell r="M4816">
            <v>0</v>
          </cell>
        </row>
        <row r="4817">
          <cell r="M4817">
            <v>0</v>
          </cell>
        </row>
        <row r="4818">
          <cell r="M4818">
            <v>0</v>
          </cell>
        </row>
        <row r="4821">
          <cell r="M4821">
            <v>0</v>
          </cell>
        </row>
        <row r="4824">
          <cell r="M4824">
            <v>0</v>
          </cell>
        </row>
        <row r="4825">
          <cell r="M4825">
            <v>0</v>
          </cell>
        </row>
        <row r="4826">
          <cell r="M4826">
            <v>0</v>
          </cell>
        </row>
        <row r="4827">
          <cell r="M4827">
            <v>0</v>
          </cell>
        </row>
        <row r="4828">
          <cell r="M4828">
            <v>0</v>
          </cell>
        </row>
        <row r="4829">
          <cell r="M4829">
            <v>0</v>
          </cell>
        </row>
        <row r="4830">
          <cell r="M4830">
            <v>0</v>
          </cell>
        </row>
        <row r="4831">
          <cell r="M4831">
            <v>0</v>
          </cell>
        </row>
        <row r="4832">
          <cell r="M4832">
            <v>0</v>
          </cell>
        </row>
        <row r="4833">
          <cell r="M4833">
            <v>0</v>
          </cell>
        </row>
        <row r="4834">
          <cell r="M4834">
            <v>0</v>
          </cell>
        </row>
        <row r="4835">
          <cell r="M4835">
            <v>0</v>
          </cell>
        </row>
        <row r="4836">
          <cell r="M4836">
            <v>0</v>
          </cell>
        </row>
        <row r="4837">
          <cell r="M4837">
            <v>0</v>
          </cell>
        </row>
        <row r="4838">
          <cell r="M4838">
            <v>0</v>
          </cell>
        </row>
        <row r="4839">
          <cell r="M4839">
            <v>0</v>
          </cell>
        </row>
        <row r="4840">
          <cell r="M4840">
            <v>0</v>
          </cell>
        </row>
        <row r="4843">
          <cell r="M4843">
            <v>0</v>
          </cell>
        </row>
        <row r="4846">
          <cell r="M4846">
            <v>0</v>
          </cell>
        </row>
        <row r="4847">
          <cell r="M4847">
            <v>0</v>
          </cell>
        </row>
        <row r="4848">
          <cell r="M4848">
            <v>0</v>
          </cell>
        </row>
        <row r="4849">
          <cell r="M4849">
            <v>0</v>
          </cell>
        </row>
        <row r="4850">
          <cell r="M4850">
            <v>0</v>
          </cell>
        </row>
        <row r="4851">
          <cell r="M4851">
            <v>0</v>
          </cell>
        </row>
        <row r="4852">
          <cell r="M4852">
            <v>0</v>
          </cell>
        </row>
        <row r="4853">
          <cell r="M4853">
            <v>0</v>
          </cell>
        </row>
        <row r="4854">
          <cell r="M4854">
            <v>0</v>
          </cell>
        </row>
        <row r="4855">
          <cell r="M4855">
            <v>0</v>
          </cell>
        </row>
        <row r="4856">
          <cell r="M4856">
            <v>0</v>
          </cell>
        </row>
        <row r="4857">
          <cell r="M4857">
            <v>0</v>
          </cell>
        </row>
        <row r="4858">
          <cell r="M4858">
            <v>0</v>
          </cell>
        </row>
        <row r="4859">
          <cell r="M4859">
            <v>0</v>
          </cell>
        </row>
        <row r="4860">
          <cell r="M4860">
            <v>0</v>
          </cell>
        </row>
        <row r="4861">
          <cell r="M4861">
            <v>0</v>
          </cell>
        </row>
        <row r="4862">
          <cell r="M4862">
            <v>0</v>
          </cell>
        </row>
        <row r="4865">
          <cell r="M4865">
            <v>0</v>
          </cell>
        </row>
        <row r="4868">
          <cell r="M4868">
            <v>0</v>
          </cell>
        </row>
        <row r="4869">
          <cell r="M4869">
            <v>0</v>
          </cell>
        </row>
        <row r="4870">
          <cell r="M4870">
            <v>0</v>
          </cell>
        </row>
        <row r="4871">
          <cell r="M4871">
            <v>0</v>
          </cell>
        </row>
        <row r="4872">
          <cell r="M4872">
            <v>0</v>
          </cell>
        </row>
        <row r="4873">
          <cell r="M4873">
            <v>0</v>
          </cell>
        </row>
        <row r="4874">
          <cell r="M4874">
            <v>0</v>
          </cell>
        </row>
        <row r="4875">
          <cell r="M4875">
            <v>0</v>
          </cell>
        </row>
        <row r="4876">
          <cell r="M4876">
            <v>0</v>
          </cell>
        </row>
        <row r="4877">
          <cell r="M4877">
            <v>0</v>
          </cell>
        </row>
        <row r="4878">
          <cell r="M4878">
            <v>0</v>
          </cell>
        </row>
        <row r="4879">
          <cell r="M4879">
            <v>0</v>
          </cell>
        </row>
        <row r="4880">
          <cell r="M4880">
            <v>0</v>
          </cell>
        </row>
        <row r="4881">
          <cell r="M4881">
            <v>0</v>
          </cell>
        </row>
        <row r="4882">
          <cell r="M4882">
            <v>0</v>
          </cell>
        </row>
        <row r="4883">
          <cell r="M4883">
            <v>0</v>
          </cell>
        </row>
        <row r="4884">
          <cell r="M4884">
            <v>0</v>
          </cell>
        </row>
        <row r="4887">
          <cell r="M4887">
            <v>0</v>
          </cell>
        </row>
        <row r="4890">
          <cell r="M4890">
            <v>0</v>
          </cell>
        </row>
        <row r="4891">
          <cell r="M4891">
            <v>0</v>
          </cell>
        </row>
        <row r="4892">
          <cell r="M4892">
            <v>0</v>
          </cell>
        </row>
        <row r="4893">
          <cell r="M4893">
            <v>0</v>
          </cell>
        </row>
        <row r="4894">
          <cell r="M4894">
            <v>0</v>
          </cell>
        </row>
        <row r="4895">
          <cell r="M4895">
            <v>0</v>
          </cell>
        </row>
        <row r="4896">
          <cell r="M4896">
            <v>0</v>
          </cell>
        </row>
        <row r="4897">
          <cell r="M4897">
            <v>0</v>
          </cell>
        </row>
        <row r="4898">
          <cell r="M4898">
            <v>0</v>
          </cell>
        </row>
        <row r="4899">
          <cell r="M4899">
            <v>0</v>
          </cell>
        </row>
        <row r="4900">
          <cell r="M4900">
            <v>0</v>
          </cell>
        </row>
        <row r="4901">
          <cell r="M4901">
            <v>0</v>
          </cell>
        </row>
        <row r="4902">
          <cell r="M4902">
            <v>0</v>
          </cell>
        </row>
        <row r="4903">
          <cell r="M4903">
            <v>0</v>
          </cell>
        </row>
        <row r="4904">
          <cell r="M4904">
            <v>0</v>
          </cell>
        </row>
        <row r="4905">
          <cell r="M4905">
            <v>0</v>
          </cell>
        </row>
        <row r="4906">
          <cell r="M4906">
            <v>0</v>
          </cell>
        </row>
        <row r="4909">
          <cell r="M4909">
            <v>0</v>
          </cell>
        </row>
        <row r="4912">
          <cell r="M4912">
            <v>0</v>
          </cell>
        </row>
        <row r="4913">
          <cell r="M4913">
            <v>0</v>
          </cell>
        </row>
        <row r="4914">
          <cell r="M4914">
            <v>0</v>
          </cell>
        </row>
        <row r="4915">
          <cell r="M4915">
            <v>0</v>
          </cell>
        </row>
        <row r="4916">
          <cell r="M4916">
            <v>0</v>
          </cell>
        </row>
        <row r="4917">
          <cell r="M4917">
            <v>0</v>
          </cell>
        </row>
        <row r="4918">
          <cell r="M4918">
            <v>0</v>
          </cell>
        </row>
        <row r="4919">
          <cell r="M4919">
            <v>0</v>
          </cell>
        </row>
        <row r="4920">
          <cell r="M4920">
            <v>0</v>
          </cell>
        </row>
        <row r="4921">
          <cell r="M4921">
            <v>0</v>
          </cell>
        </row>
        <row r="4922">
          <cell r="M4922">
            <v>0</v>
          </cell>
        </row>
        <row r="4923">
          <cell r="M4923">
            <v>0</v>
          </cell>
        </row>
        <row r="4924">
          <cell r="M4924">
            <v>0</v>
          </cell>
        </row>
        <row r="4925">
          <cell r="M4925">
            <v>0</v>
          </cell>
        </row>
        <row r="4926">
          <cell r="M4926">
            <v>0</v>
          </cell>
        </row>
        <row r="4927">
          <cell r="M4927">
            <v>0</v>
          </cell>
        </row>
        <row r="4928">
          <cell r="M4928">
            <v>0</v>
          </cell>
        </row>
        <row r="4931">
          <cell r="M4931">
            <v>0</v>
          </cell>
        </row>
        <row r="4934">
          <cell r="M4934">
            <v>0</v>
          </cell>
        </row>
        <row r="4935">
          <cell r="M4935">
            <v>0</v>
          </cell>
        </row>
        <row r="4936">
          <cell r="M4936">
            <v>0</v>
          </cell>
        </row>
        <row r="4937">
          <cell r="M4937">
            <v>0</v>
          </cell>
        </row>
        <row r="4938">
          <cell r="M4938">
            <v>0</v>
          </cell>
        </row>
        <row r="4939">
          <cell r="M4939">
            <v>0</v>
          </cell>
        </row>
        <row r="4940">
          <cell r="M4940">
            <v>0</v>
          </cell>
        </row>
        <row r="4941">
          <cell r="M4941">
            <v>0</v>
          </cell>
        </row>
        <row r="4942">
          <cell r="M4942">
            <v>0</v>
          </cell>
        </row>
        <row r="4943">
          <cell r="M4943">
            <v>0</v>
          </cell>
        </row>
        <row r="4944">
          <cell r="M4944">
            <v>0</v>
          </cell>
        </row>
        <row r="4945">
          <cell r="M4945">
            <v>0</v>
          </cell>
        </row>
        <row r="4946">
          <cell r="M4946">
            <v>0</v>
          </cell>
        </row>
        <row r="4947">
          <cell r="M4947">
            <v>0</v>
          </cell>
        </row>
        <row r="4948">
          <cell r="M4948">
            <v>0</v>
          </cell>
        </row>
        <row r="4949">
          <cell r="M4949">
            <v>0</v>
          </cell>
        </row>
        <row r="4950">
          <cell r="M4950">
            <v>0</v>
          </cell>
        </row>
        <row r="4953">
          <cell r="M4953">
            <v>0</v>
          </cell>
        </row>
        <row r="4956">
          <cell r="M4956">
            <v>0</v>
          </cell>
        </row>
        <row r="4957">
          <cell r="M4957">
            <v>0</v>
          </cell>
        </row>
        <row r="4958">
          <cell r="M4958">
            <v>0</v>
          </cell>
        </row>
        <row r="4959">
          <cell r="M4959">
            <v>0</v>
          </cell>
        </row>
        <row r="4960">
          <cell r="M4960">
            <v>0</v>
          </cell>
        </row>
        <row r="4961">
          <cell r="M4961">
            <v>0</v>
          </cell>
        </row>
        <row r="4962">
          <cell r="M4962">
            <v>0</v>
          </cell>
        </row>
        <row r="4963">
          <cell r="M4963">
            <v>0</v>
          </cell>
        </row>
        <row r="4964">
          <cell r="M4964">
            <v>0</v>
          </cell>
        </row>
        <row r="4965">
          <cell r="M4965">
            <v>0</v>
          </cell>
        </row>
        <row r="4966">
          <cell r="M4966">
            <v>0</v>
          </cell>
        </row>
        <row r="4967">
          <cell r="M4967">
            <v>0</v>
          </cell>
        </row>
        <row r="4968">
          <cell r="M4968">
            <v>0</v>
          </cell>
        </row>
        <row r="4969">
          <cell r="M4969">
            <v>0</v>
          </cell>
        </row>
        <row r="4970">
          <cell r="M4970">
            <v>0</v>
          </cell>
        </row>
        <row r="4971">
          <cell r="M4971">
            <v>0</v>
          </cell>
        </row>
        <row r="4972">
          <cell r="M4972">
            <v>0</v>
          </cell>
        </row>
        <row r="4975">
          <cell r="M4975">
            <v>0</v>
          </cell>
        </row>
        <row r="4978">
          <cell r="M4978">
            <v>0</v>
          </cell>
        </row>
        <row r="4979">
          <cell r="M4979">
            <v>0</v>
          </cell>
        </row>
        <row r="4980">
          <cell r="M4980">
            <v>0</v>
          </cell>
        </row>
        <row r="4981">
          <cell r="M4981">
            <v>0</v>
          </cell>
        </row>
        <row r="4982">
          <cell r="M4982">
            <v>0</v>
          </cell>
        </row>
        <row r="4983">
          <cell r="M4983">
            <v>0</v>
          </cell>
        </row>
        <row r="4984">
          <cell r="M4984">
            <v>0</v>
          </cell>
        </row>
        <row r="4985">
          <cell r="M4985">
            <v>0</v>
          </cell>
        </row>
        <row r="4986">
          <cell r="M4986">
            <v>0</v>
          </cell>
        </row>
        <row r="4987">
          <cell r="M4987">
            <v>0</v>
          </cell>
        </row>
        <row r="4988">
          <cell r="M4988">
            <v>0</v>
          </cell>
        </row>
        <row r="4989">
          <cell r="M4989">
            <v>0</v>
          </cell>
        </row>
        <row r="4990">
          <cell r="M4990">
            <v>0</v>
          </cell>
        </row>
        <row r="4991">
          <cell r="M4991">
            <v>0</v>
          </cell>
        </row>
        <row r="4992">
          <cell r="M4992">
            <v>0</v>
          </cell>
        </row>
        <row r="4993">
          <cell r="M4993">
            <v>0</v>
          </cell>
        </row>
        <row r="4994">
          <cell r="M4994">
            <v>0</v>
          </cell>
        </row>
        <row r="4997">
          <cell r="M4997">
            <v>0</v>
          </cell>
        </row>
        <row r="5000">
          <cell r="M5000">
            <v>0</v>
          </cell>
        </row>
        <row r="5001">
          <cell r="M5001">
            <v>0</v>
          </cell>
        </row>
        <row r="5002">
          <cell r="M5002">
            <v>0</v>
          </cell>
        </row>
        <row r="5003">
          <cell r="M5003">
            <v>0</v>
          </cell>
        </row>
        <row r="5004">
          <cell r="M5004">
            <v>0</v>
          </cell>
        </row>
        <row r="5005">
          <cell r="M5005">
            <v>0</v>
          </cell>
        </row>
        <row r="5006">
          <cell r="M5006">
            <v>0</v>
          </cell>
        </row>
        <row r="5007">
          <cell r="M5007">
            <v>0</v>
          </cell>
        </row>
        <row r="5008">
          <cell r="M5008">
            <v>0</v>
          </cell>
        </row>
        <row r="5009">
          <cell r="M5009">
            <v>0</v>
          </cell>
        </row>
        <row r="5010">
          <cell r="M5010">
            <v>0</v>
          </cell>
        </row>
        <row r="5011">
          <cell r="M5011">
            <v>0</v>
          </cell>
        </row>
        <row r="5012">
          <cell r="M5012">
            <v>0</v>
          </cell>
        </row>
        <row r="5013">
          <cell r="M5013">
            <v>0</v>
          </cell>
        </row>
        <row r="5014">
          <cell r="M5014">
            <v>0</v>
          </cell>
        </row>
        <row r="5015">
          <cell r="M5015">
            <v>0</v>
          </cell>
        </row>
        <row r="5016">
          <cell r="M5016">
            <v>0</v>
          </cell>
        </row>
        <row r="5019">
          <cell r="M5019">
            <v>0</v>
          </cell>
        </row>
        <row r="5022">
          <cell r="M5022">
            <v>0</v>
          </cell>
        </row>
        <row r="5023">
          <cell r="M5023">
            <v>0</v>
          </cell>
        </row>
        <row r="5024">
          <cell r="M5024">
            <v>0</v>
          </cell>
        </row>
        <row r="5025">
          <cell r="M5025">
            <v>0</v>
          </cell>
        </row>
        <row r="5026">
          <cell r="M5026">
            <v>0</v>
          </cell>
        </row>
        <row r="5027">
          <cell r="M5027">
            <v>0</v>
          </cell>
        </row>
        <row r="5028">
          <cell r="M5028">
            <v>0</v>
          </cell>
        </row>
        <row r="5029">
          <cell r="M5029">
            <v>0</v>
          </cell>
        </row>
        <row r="5030">
          <cell r="M5030">
            <v>0</v>
          </cell>
        </row>
        <row r="5031">
          <cell r="M5031">
            <v>0</v>
          </cell>
        </row>
        <row r="5032">
          <cell r="M5032">
            <v>0</v>
          </cell>
        </row>
        <row r="5033">
          <cell r="M5033">
            <v>0</v>
          </cell>
        </row>
        <row r="5034">
          <cell r="M5034">
            <v>0</v>
          </cell>
        </row>
        <row r="5035">
          <cell r="M5035">
            <v>0</v>
          </cell>
        </row>
        <row r="5036">
          <cell r="M5036">
            <v>0</v>
          </cell>
        </row>
        <row r="5037">
          <cell r="M5037">
            <v>0</v>
          </cell>
        </row>
        <row r="5038">
          <cell r="M5038">
            <v>0</v>
          </cell>
        </row>
        <row r="5041">
          <cell r="M5041">
            <v>0</v>
          </cell>
        </row>
        <row r="5044">
          <cell r="M5044">
            <v>0</v>
          </cell>
        </row>
        <row r="5045">
          <cell r="M5045">
            <v>0</v>
          </cell>
        </row>
        <row r="5046">
          <cell r="M5046">
            <v>0</v>
          </cell>
        </row>
        <row r="5047">
          <cell r="M5047">
            <v>0</v>
          </cell>
        </row>
        <row r="5048">
          <cell r="M5048">
            <v>0</v>
          </cell>
        </row>
        <row r="5049">
          <cell r="M5049">
            <v>0</v>
          </cell>
        </row>
        <row r="5050">
          <cell r="M5050">
            <v>0</v>
          </cell>
        </row>
        <row r="5051">
          <cell r="M5051">
            <v>0</v>
          </cell>
        </row>
        <row r="5052">
          <cell r="M5052">
            <v>0</v>
          </cell>
        </row>
        <row r="5053">
          <cell r="M5053">
            <v>0</v>
          </cell>
        </row>
        <row r="5054">
          <cell r="M5054">
            <v>0</v>
          </cell>
        </row>
        <row r="5055">
          <cell r="M5055">
            <v>0</v>
          </cell>
        </row>
        <row r="5056">
          <cell r="M5056">
            <v>0</v>
          </cell>
        </row>
        <row r="5057">
          <cell r="M5057">
            <v>0</v>
          </cell>
        </row>
        <row r="5058">
          <cell r="M5058">
            <v>0</v>
          </cell>
        </row>
        <row r="5059">
          <cell r="M5059">
            <v>0</v>
          </cell>
        </row>
        <row r="5060">
          <cell r="M5060">
            <v>0</v>
          </cell>
        </row>
        <row r="5063">
          <cell r="M5063">
            <v>0</v>
          </cell>
        </row>
        <row r="5066">
          <cell r="M5066">
            <v>0</v>
          </cell>
        </row>
        <row r="5067">
          <cell r="M5067">
            <v>0</v>
          </cell>
        </row>
        <row r="5068">
          <cell r="M5068">
            <v>0</v>
          </cell>
        </row>
        <row r="5069">
          <cell r="M5069">
            <v>0</v>
          </cell>
        </row>
        <row r="5070">
          <cell r="M5070">
            <v>0</v>
          </cell>
        </row>
        <row r="5071">
          <cell r="M5071">
            <v>0</v>
          </cell>
        </row>
        <row r="5072">
          <cell r="M5072">
            <v>0</v>
          </cell>
        </row>
        <row r="5073">
          <cell r="M5073">
            <v>0</v>
          </cell>
        </row>
        <row r="5074">
          <cell r="M5074">
            <v>0</v>
          </cell>
        </row>
        <row r="5075">
          <cell r="M5075">
            <v>0</v>
          </cell>
        </row>
        <row r="5076">
          <cell r="M5076">
            <v>0</v>
          </cell>
        </row>
        <row r="5077">
          <cell r="M5077">
            <v>0</v>
          </cell>
        </row>
        <row r="5078">
          <cell r="M5078">
            <v>0</v>
          </cell>
        </row>
        <row r="5079">
          <cell r="M5079">
            <v>0</v>
          </cell>
        </row>
        <row r="5080">
          <cell r="M5080">
            <v>0</v>
          </cell>
        </row>
        <row r="5081">
          <cell r="M5081">
            <v>0</v>
          </cell>
        </row>
        <row r="5082">
          <cell r="M5082">
            <v>0</v>
          </cell>
        </row>
        <row r="5085">
          <cell r="M5085">
            <v>0</v>
          </cell>
        </row>
        <row r="5088">
          <cell r="M5088">
            <v>0</v>
          </cell>
        </row>
        <row r="5089">
          <cell r="M5089">
            <v>0</v>
          </cell>
        </row>
        <row r="5090">
          <cell r="M5090">
            <v>0</v>
          </cell>
        </row>
        <row r="5091">
          <cell r="M5091">
            <v>0</v>
          </cell>
        </row>
        <row r="5092">
          <cell r="M5092">
            <v>0</v>
          </cell>
        </row>
        <row r="5093">
          <cell r="M5093">
            <v>0</v>
          </cell>
        </row>
        <row r="5094">
          <cell r="M5094">
            <v>0</v>
          </cell>
        </row>
        <row r="5095">
          <cell r="M5095">
            <v>0</v>
          </cell>
        </row>
        <row r="5096">
          <cell r="M5096">
            <v>0</v>
          </cell>
        </row>
        <row r="5097">
          <cell r="M5097">
            <v>0</v>
          </cell>
        </row>
        <row r="5098">
          <cell r="M5098">
            <v>0</v>
          </cell>
        </row>
        <row r="5099">
          <cell r="M5099">
            <v>0</v>
          </cell>
        </row>
        <row r="5100">
          <cell r="M5100">
            <v>0</v>
          </cell>
        </row>
        <row r="5101">
          <cell r="M5101">
            <v>0</v>
          </cell>
        </row>
        <row r="5102">
          <cell r="M5102">
            <v>0</v>
          </cell>
        </row>
        <row r="5103">
          <cell r="M5103">
            <v>0</v>
          </cell>
        </row>
        <row r="5104">
          <cell r="M5104">
            <v>0</v>
          </cell>
        </row>
        <row r="5107">
          <cell r="M5107">
            <v>0</v>
          </cell>
        </row>
        <row r="5110">
          <cell r="M5110">
            <v>0</v>
          </cell>
        </row>
        <row r="5111">
          <cell r="M5111">
            <v>0</v>
          </cell>
        </row>
        <row r="5112">
          <cell r="M5112">
            <v>0</v>
          </cell>
        </row>
        <row r="5113">
          <cell r="M5113">
            <v>0</v>
          </cell>
        </row>
        <row r="5114">
          <cell r="M5114">
            <v>0</v>
          </cell>
        </row>
        <row r="5115">
          <cell r="M5115">
            <v>0</v>
          </cell>
        </row>
        <row r="5116">
          <cell r="M5116">
            <v>0</v>
          </cell>
        </row>
        <row r="5117">
          <cell r="M5117">
            <v>0</v>
          </cell>
        </row>
        <row r="5118">
          <cell r="M5118">
            <v>0</v>
          </cell>
        </row>
        <row r="5119">
          <cell r="M5119">
            <v>0</v>
          </cell>
        </row>
        <row r="5120">
          <cell r="M5120">
            <v>0</v>
          </cell>
        </row>
        <row r="5121">
          <cell r="M5121">
            <v>0</v>
          </cell>
        </row>
        <row r="5122">
          <cell r="M5122">
            <v>0</v>
          </cell>
        </row>
        <row r="5123">
          <cell r="M5123">
            <v>0</v>
          </cell>
        </row>
        <row r="5124">
          <cell r="M5124">
            <v>0</v>
          </cell>
        </row>
        <row r="5125">
          <cell r="M5125">
            <v>0</v>
          </cell>
        </row>
        <row r="5126">
          <cell r="M5126">
            <v>0</v>
          </cell>
        </row>
        <row r="5129">
          <cell r="M5129">
            <v>0</v>
          </cell>
        </row>
        <row r="5132">
          <cell r="M5132">
            <v>0</v>
          </cell>
        </row>
        <row r="5133">
          <cell r="M5133">
            <v>0</v>
          </cell>
        </row>
        <row r="5134">
          <cell r="M5134">
            <v>0</v>
          </cell>
        </row>
        <row r="5135">
          <cell r="M5135">
            <v>0</v>
          </cell>
        </row>
        <row r="5136">
          <cell r="M5136">
            <v>0</v>
          </cell>
        </row>
        <row r="5137">
          <cell r="M5137">
            <v>0</v>
          </cell>
        </row>
        <row r="5138">
          <cell r="M5138">
            <v>0</v>
          </cell>
        </row>
        <row r="5139">
          <cell r="M5139">
            <v>0</v>
          </cell>
        </row>
        <row r="5140">
          <cell r="M5140">
            <v>0</v>
          </cell>
        </row>
        <row r="5141">
          <cell r="M5141">
            <v>0</v>
          </cell>
        </row>
        <row r="5142">
          <cell r="M5142">
            <v>0</v>
          </cell>
        </row>
        <row r="5143">
          <cell r="M5143">
            <v>0</v>
          </cell>
        </row>
        <row r="5144">
          <cell r="M5144">
            <v>0</v>
          </cell>
        </row>
        <row r="5145">
          <cell r="M5145">
            <v>0</v>
          </cell>
        </row>
        <row r="5146">
          <cell r="M5146">
            <v>0</v>
          </cell>
        </row>
        <row r="5147">
          <cell r="M5147">
            <v>0</v>
          </cell>
        </row>
        <row r="5148">
          <cell r="M5148">
            <v>0</v>
          </cell>
        </row>
        <row r="5151">
          <cell r="M5151">
            <v>0</v>
          </cell>
        </row>
        <row r="5154">
          <cell r="M5154">
            <v>0</v>
          </cell>
        </row>
        <row r="5155">
          <cell r="M5155">
            <v>0</v>
          </cell>
        </row>
        <row r="5156">
          <cell r="M5156">
            <v>0</v>
          </cell>
        </row>
        <row r="5157">
          <cell r="M5157">
            <v>0</v>
          </cell>
        </row>
        <row r="5158">
          <cell r="M5158">
            <v>0</v>
          </cell>
        </row>
        <row r="5159">
          <cell r="M5159">
            <v>0</v>
          </cell>
        </row>
        <row r="5160">
          <cell r="M5160">
            <v>0</v>
          </cell>
        </row>
        <row r="5161">
          <cell r="M5161">
            <v>0</v>
          </cell>
        </row>
        <row r="5162">
          <cell r="M5162">
            <v>0</v>
          </cell>
        </row>
        <row r="5163">
          <cell r="M5163">
            <v>0</v>
          </cell>
        </row>
        <row r="5164">
          <cell r="M5164">
            <v>0</v>
          </cell>
        </row>
        <row r="5165">
          <cell r="M5165">
            <v>0</v>
          </cell>
        </row>
        <row r="5166">
          <cell r="M5166">
            <v>0</v>
          </cell>
        </row>
        <row r="5167">
          <cell r="M5167">
            <v>0</v>
          </cell>
        </row>
        <row r="5168">
          <cell r="M5168">
            <v>0</v>
          </cell>
        </row>
        <row r="5169">
          <cell r="M5169">
            <v>0</v>
          </cell>
        </row>
        <row r="5170">
          <cell r="M5170">
            <v>0</v>
          </cell>
        </row>
        <row r="5173">
          <cell r="M5173">
            <v>0</v>
          </cell>
        </row>
        <row r="5176">
          <cell r="M5176">
            <v>0</v>
          </cell>
        </row>
        <row r="5177">
          <cell r="M5177">
            <v>0</v>
          </cell>
        </row>
        <row r="5178">
          <cell r="M5178">
            <v>0</v>
          </cell>
        </row>
        <row r="5179">
          <cell r="M5179">
            <v>0</v>
          </cell>
        </row>
        <row r="5180">
          <cell r="M5180">
            <v>0</v>
          </cell>
        </row>
        <row r="5181">
          <cell r="M5181">
            <v>0</v>
          </cell>
        </row>
        <row r="5182">
          <cell r="M5182">
            <v>0</v>
          </cell>
        </row>
        <row r="5183">
          <cell r="M5183">
            <v>0</v>
          </cell>
        </row>
        <row r="5184">
          <cell r="M5184">
            <v>0</v>
          </cell>
        </row>
        <row r="5185">
          <cell r="M5185">
            <v>0</v>
          </cell>
        </row>
        <row r="5186">
          <cell r="M5186">
            <v>0</v>
          </cell>
        </row>
        <row r="5187">
          <cell r="M5187">
            <v>0</v>
          </cell>
        </row>
        <row r="5188">
          <cell r="M5188">
            <v>0</v>
          </cell>
        </row>
        <row r="5189">
          <cell r="M5189">
            <v>0</v>
          </cell>
        </row>
        <row r="5190">
          <cell r="M5190">
            <v>0</v>
          </cell>
        </row>
        <row r="5191">
          <cell r="M5191">
            <v>0</v>
          </cell>
        </row>
        <row r="5192">
          <cell r="M5192">
            <v>0</v>
          </cell>
        </row>
        <row r="5195">
          <cell r="M5195">
            <v>0</v>
          </cell>
        </row>
        <row r="5198">
          <cell r="M5198">
            <v>0</v>
          </cell>
        </row>
        <row r="5199">
          <cell r="M5199">
            <v>0</v>
          </cell>
        </row>
        <row r="5200">
          <cell r="M5200">
            <v>0</v>
          </cell>
        </row>
        <row r="5201">
          <cell r="M5201">
            <v>0</v>
          </cell>
        </row>
        <row r="5202">
          <cell r="M5202">
            <v>0</v>
          </cell>
        </row>
        <row r="5203">
          <cell r="M5203">
            <v>0</v>
          </cell>
        </row>
        <row r="5204">
          <cell r="M5204">
            <v>0</v>
          </cell>
        </row>
        <row r="5205">
          <cell r="M5205">
            <v>0</v>
          </cell>
        </row>
        <row r="5206">
          <cell r="M5206">
            <v>0</v>
          </cell>
        </row>
        <row r="5207">
          <cell r="M5207">
            <v>0</v>
          </cell>
        </row>
        <row r="5208">
          <cell r="M5208">
            <v>0</v>
          </cell>
        </row>
        <row r="5209">
          <cell r="M5209">
            <v>0</v>
          </cell>
        </row>
        <row r="5210">
          <cell r="M5210">
            <v>0</v>
          </cell>
        </row>
        <row r="5211">
          <cell r="M5211">
            <v>0</v>
          </cell>
        </row>
        <row r="5212">
          <cell r="M5212">
            <v>0</v>
          </cell>
        </row>
        <row r="5213">
          <cell r="M5213">
            <v>0</v>
          </cell>
        </row>
        <row r="5214">
          <cell r="M5214">
            <v>0</v>
          </cell>
        </row>
        <row r="5217">
          <cell r="M5217">
            <v>0</v>
          </cell>
        </row>
        <row r="5220">
          <cell r="M5220">
            <v>0</v>
          </cell>
        </row>
        <row r="5221">
          <cell r="M5221">
            <v>0</v>
          </cell>
        </row>
        <row r="5222">
          <cell r="M5222">
            <v>0</v>
          </cell>
        </row>
        <row r="5223">
          <cell r="M5223">
            <v>0</v>
          </cell>
        </row>
        <row r="5224">
          <cell r="M5224">
            <v>0</v>
          </cell>
        </row>
        <row r="5225">
          <cell r="M5225">
            <v>0</v>
          </cell>
        </row>
        <row r="5226">
          <cell r="M5226">
            <v>0</v>
          </cell>
        </row>
        <row r="5227">
          <cell r="M5227">
            <v>0</v>
          </cell>
        </row>
        <row r="5228">
          <cell r="M5228">
            <v>0</v>
          </cell>
        </row>
        <row r="5229">
          <cell r="M5229">
            <v>0</v>
          </cell>
        </row>
        <row r="5230">
          <cell r="M5230">
            <v>0</v>
          </cell>
        </row>
        <row r="5231">
          <cell r="M5231">
            <v>0</v>
          </cell>
        </row>
        <row r="5232">
          <cell r="M5232">
            <v>0</v>
          </cell>
        </row>
        <row r="5233">
          <cell r="M5233">
            <v>0</v>
          </cell>
        </row>
        <row r="5234">
          <cell r="M5234">
            <v>0</v>
          </cell>
        </row>
        <row r="5235">
          <cell r="M5235">
            <v>0</v>
          </cell>
        </row>
        <row r="5236">
          <cell r="M5236">
            <v>0</v>
          </cell>
        </row>
        <row r="5239">
          <cell r="M5239">
            <v>0</v>
          </cell>
        </row>
        <row r="5242">
          <cell r="M5242">
            <v>0</v>
          </cell>
        </row>
        <row r="5243">
          <cell r="M5243">
            <v>0</v>
          </cell>
        </row>
        <row r="5244">
          <cell r="M5244">
            <v>0</v>
          </cell>
        </row>
        <row r="5245">
          <cell r="M5245">
            <v>0</v>
          </cell>
        </row>
        <row r="5246">
          <cell r="M5246">
            <v>0</v>
          </cell>
        </row>
        <row r="5247">
          <cell r="M5247">
            <v>0</v>
          </cell>
        </row>
        <row r="5248">
          <cell r="M5248">
            <v>0</v>
          </cell>
        </row>
        <row r="5249">
          <cell r="M5249">
            <v>0</v>
          </cell>
        </row>
        <row r="5250">
          <cell r="M5250">
            <v>0</v>
          </cell>
        </row>
        <row r="5251">
          <cell r="M5251">
            <v>0</v>
          </cell>
        </row>
        <row r="5252">
          <cell r="M5252">
            <v>0</v>
          </cell>
        </row>
        <row r="5253">
          <cell r="M5253">
            <v>0</v>
          </cell>
        </row>
        <row r="5254">
          <cell r="M5254">
            <v>0</v>
          </cell>
        </row>
        <row r="5255">
          <cell r="M5255">
            <v>0</v>
          </cell>
        </row>
        <row r="5256">
          <cell r="M5256">
            <v>0</v>
          </cell>
        </row>
        <row r="5257">
          <cell r="M5257">
            <v>0</v>
          </cell>
        </row>
        <row r="5258">
          <cell r="M5258">
            <v>0</v>
          </cell>
        </row>
        <row r="5261">
          <cell r="M5261">
            <v>0</v>
          </cell>
        </row>
        <row r="5264">
          <cell r="M5264">
            <v>0</v>
          </cell>
        </row>
        <row r="5265">
          <cell r="M5265">
            <v>0</v>
          </cell>
        </row>
        <row r="5266">
          <cell r="M5266">
            <v>0</v>
          </cell>
        </row>
        <row r="5267">
          <cell r="M5267">
            <v>0</v>
          </cell>
        </row>
        <row r="5268">
          <cell r="M5268">
            <v>0</v>
          </cell>
        </row>
        <row r="5269">
          <cell r="M5269">
            <v>0</v>
          </cell>
        </row>
        <row r="5270">
          <cell r="M5270">
            <v>0</v>
          </cell>
        </row>
        <row r="5271">
          <cell r="M5271">
            <v>0</v>
          </cell>
        </row>
        <row r="5272">
          <cell r="M5272">
            <v>0</v>
          </cell>
        </row>
        <row r="5273">
          <cell r="M5273">
            <v>0</v>
          </cell>
        </row>
        <row r="5274">
          <cell r="M5274">
            <v>0</v>
          </cell>
        </row>
        <row r="5275">
          <cell r="M5275">
            <v>0</v>
          </cell>
        </row>
        <row r="5276">
          <cell r="M5276">
            <v>0</v>
          </cell>
        </row>
        <row r="5277">
          <cell r="M5277">
            <v>0</v>
          </cell>
        </row>
        <row r="5278">
          <cell r="M5278">
            <v>0</v>
          </cell>
        </row>
        <row r="5279">
          <cell r="M5279">
            <v>0</v>
          </cell>
        </row>
        <row r="5280">
          <cell r="M5280">
            <v>0</v>
          </cell>
        </row>
        <row r="5283">
          <cell r="M5283">
            <v>0</v>
          </cell>
        </row>
        <row r="5286">
          <cell r="M5286">
            <v>0</v>
          </cell>
        </row>
        <row r="5287">
          <cell r="M5287">
            <v>0</v>
          </cell>
        </row>
        <row r="5288">
          <cell r="M5288">
            <v>0</v>
          </cell>
        </row>
        <row r="5289">
          <cell r="M5289">
            <v>0</v>
          </cell>
        </row>
        <row r="5290">
          <cell r="M5290">
            <v>0</v>
          </cell>
        </row>
        <row r="5291">
          <cell r="M5291">
            <v>0</v>
          </cell>
        </row>
        <row r="5292">
          <cell r="M5292">
            <v>0</v>
          </cell>
        </row>
        <row r="5293">
          <cell r="M5293">
            <v>0</v>
          </cell>
        </row>
        <row r="5294">
          <cell r="M5294">
            <v>0</v>
          </cell>
        </row>
        <row r="5295">
          <cell r="M5295">
            <v>0</v>
          </cell>
        </row>
        <row r="5296">
          <cell r="M5296">
            <v>0</v>
          </cell>
        </row>
        <row r="5297">
          <cell r="M5297">
            <v>0</v>
          </cell>
        </row>
        <row r="5298">
          <cell r="M5298">
            <v>0</v>
          </cell>
        </row>
        <row r="5299">
          <cell r="M5299">
            <v>0</v>
          </cell>
        </row>
        <row r="5300">
          <cell r="M5300">
            <v>0</v>
          </cell>
        </row>
        <row r="5301">
          <cell r="M5301">
            <v>0</v>
          </cell>
        </row>
        <row r="5302">
          <cell r="M5302">
            <v>0</v>
          </cell>
        </row>
        <row r="5305">
          <cell r="M5305">
            <v>0</v>
          </cell>
        </row>
        <row r="5308">
          <cell r="M5308">
            <v>0</v>
          </cell>
        </row>
        <row r="5309">
          <cell r="M5309">
            <v>0</v>
          </cell>
        </row>
        <row r="5310">
          <cell r="M5310">
            <v>0</v>
          </cell>
        </row>
        <row r="5311">
          <cell r="M5311">
            <v>0</v>
          </cell>
        </row>
        <row r="5312">
          <cell r="M5312">
            <v>0</v>
          </cell>
        </row>
        <row r="5313">
          <cell r="M5313">
            <v>0</v>
          </cell>
        </row>
        <row r="5314">
          <cell r="M5314">
            <v>0</v>
          </cell>
        </row>
        <row r="5315">
          <cell r="M5315">
            <v>0</v>
          </cell>
        </row>
        <row r="5316">
          <cell r="M5316">
            <v>0</v>
          </cell>
        </row>
        <row r="5317">
          <cell r="M5317">
            <v>0</v>
          </cell>
        </row>
        <row r="5318">
          <cell r="M5318">
            <v>0</v>
          </cell>
        </row>
        <row r="5319">
          <cell r="M5319">
            <v>0</v>
          </cell>
        </row>
        <row r="5320">
          <cell r="M5320">
            <v>0</v>
          </cell>
        </row>
        <row r="5321">
          <cell r="M5321">
            <v>0</v>
          </cell>
        </row>
        <row r="5322">
          <cell r="M5322">
            <v>0</v>
          </cell>
        </row>
        <row r="5323">
          <cell r="M5323">
            <v>0</v>
          </cell>
        </row>
        <row r="5324">
          <cell r="M5324">
            <v>0</v>
          </cell>
        </row>
        <row r="5327">
          <cell r="M5327">
            <v>0</v>
          </cell>
        </row>
        <row r="5330">
          <cell r="M5330">
            <v>0</v>
          </cell>
        </row>
        <row r="5331">
          <cell r="M5331">
            <v>0</v>
          </cell>
        </row>
        <row r="5332">
          <cell r="M5332">
            <v>0</v>
          </cell>
        </row>
        <row r="5333">
          <cell r="M5333">
            <v>0</v>
          </cell>
        </row>
        <row r="5334">
          <cell r="M5334">
            <v>0</v>
          </cell>
        </row>
        <row r="5335">
          <cell r="M5335">
            <v>0</v>
          </cell>
        </row>
        <row r="5336">
          <cell r="M5336">
            <v>0</v>
          </cell>
        </row>
        <row r="5337">
          <cell r="M5337">
            <v>0</v>
          </cell>
        </row>
        <row r="5338">
          <cell r="M5338">
            <v>0</v>
          </cell>
        </row>
        <row r="5339">
          <cell r="M5339">
            <v>0</v>
          </cell>
        </row>
        <row r="5340">
          <cell r="M5340">
            <v>0</v>
          </cell>
        </row>
        <row r="5341">
          <cell r="M5341">
            <v>0</v>
          </cell>
        </row>
        <row r="5342">
          <cell r="M5342">
            <v>0</v>
          </cell>
        </row>
        <row r="5343">
          <cell r="M5343">
            <v>0</v>
          </cell>
        </row>
        <row r="5344">
          <cell r="M5344">
            <v>0</v>
          </cell>
        </row>
        <row r="5345">
          <cell r="M5345">
            <v>0</v>
          </cell>
        </row>
        <row r="5346">
          <cell r="M5346">
            <v>0</v>
          </cell>
        </row>
        <row r="5349">
          <cell r="M5349">
            <v>0</v>
          </cell>
        </row>
        <row r="5352">
          <cell r="M5352">
            <v>0</v>
          </cell>
        </row>
        <row r="5353">
          <cell r="M5353">
            <v>0</v>
          </cell>
        </row>
        <row r="5354">
          <cell r="M5354">
            <v>0</v>
          </cell>
        </row>
        <row r="5355">
          <cell r="M5355">
            <v>0</v>
          </cell>
        </row>
        <row r="5356">
          <cell r="M5356">
            <v>0</v>
          </cell>
        </row>
        <row r="5357">
          <cell r="M5357">
            <v>0</v>
          </cell>
        </row>
        <row r="5358">
          <cell r="M5358">
            <v>0</v>
          </cell>
        </row>
        <row r="5359">
          <cell r="M5359">
            <v>0</v>
          </cell>
        </row>
        <row r="5360">
          <cell r="M5360">
            <v>0</v>
          </cell>
        </row>
        <row r="5361">
          <cell r="M5361">
            <v>0</v>
          </cell>
        </row>
        <row r="5362">
          <cell r="M5362">
            <v>0</v>
          </cell>
        </row>
        <row r="5363">
          <cell r="M5363">
            <v>0</v>
          </cell>
        </row>
        <row r="5364">
          <cell r="M5364">
            <v>0</v>
          </cell>
        </row>
        <row r="5365">
          <cell r="M5365">
            <v>0</v>
          </cell>
        </row>
        <row r="5366">
          <cell r="M5366">
            <v>0</v>
          </cell>
        </row>
        <row r="5367">
          <cell r="M5367">
            <v>0</v>
          </cell>
        </row>
        <row r="5368">
          <cell r="M5368">
            <v>0</v>
          </cell>
        </row>
        <row r="5371">
          <cell r="M5371">
            <v>0</v>
          </cell>
        </row>
        <row r="5374">
          <cell r="M5374">
            <v>0</v>
          </cell>
        </row>
        <row r="5375">
          <cell r="M5375">
            <v>0</v>
          </cell>
        </row>
        <row r="5376">
          <cell r="M5376">
            <v>0</v>
          </cell>
        </row>
        <row r="5377">
          <cell r="M5377">
            <v>0</v>
          </cell>
        </row>
        <row r="5378">
          <cell r="M5378">
            <v>0</v>
          </cell>
        </row>
        <row r="5379">
          <cell r="M5379">
            <v>0</v>
          </cell>
        </row>
        <row r="5380">
          <cell r="M5380">
            <v>0</v>
          </cell>
        </row>
        <row r="5381">
          <cell r="M5381">
            <v>0</v>
          </cell>
        </row>
        <row r="5382">
          <cell r="M5382">
            <v>0</v>
          </cell>
        </row>
        <row r="5383">
          <cell r="M5383">
            <v>0</v>
          </cell>
        </row>
        <row r="5384">
          <cell r="M5384">
            <v>0</v>
          </cell>
        </row>
        <row r="5385">
          <cell r="M5385">
            <v>0</v>
          </cell>
        </row>
        <row r="5386">
          <cell r="M5386">
            <v>0</v>
          </cell>
        </row>
        <row r="5387">
          <cell r="M5387">
            <v>0</v>
          </cell>
        </row>
        <row r="5388">
          <cell r="M5388">
            <v>0</v>
          </cell>
        </row>
        <row r="5389">
          <cell r="M5389">
            <v>0</v>
          </cell>
        </row>
        <row r="5390">
          <cell r="M5390">
            <v>0</v>
          </cell>
        </row>
        <row r="5393">
          <cell r="M5393">
            <v>0</v>
          </cell>
        </row>
        <row r="5396">
          <cell r="M5396">
            <v>0</v>
          </cell>
        </row>
        <row r="5397">
          <cell r="M5397">
            <v>0</v>
          </cell>
        </row>
        <row r="5398">
          <cell r="M5398">
            <v>0</v>
          </cell>
        </row>
        <row r="5399">
          <cell r="M5399">
            <v>0</v>
          </cell>
        </row>
        <row r="5400">
          <cell r="M5400">
            <v>0</v>
          </cell>
        </row>
        <row r="5401">
          <cell r="M5401">
            <v>0</v>
          </cell>
        </row>
        <row r="5402">
          <cell r="M5402">
            <v>0</v>
          </cell>
        </row>
        <row r="5403">
          <cell r="M5403">
            <v>0</v>
          </cell>
        </row>
        <row r="5404">
          <cell r="M5404">
            <v>0</v>
          </cell>
        </row>
        <row r="5405">
          <cell r="M5405">
            <v>0</v>
          </cell>
        </row>
        <row r="5406">
          <cell r="M5406">
            <v>0</v>
          </cell>
        </row>
        <row r="5407">
          <cell r="M5407">
            <v>0</v>
          </cell>
        </row>
        <row r="5408">
          <cell r="M5408">
            <v>0</v>
          </cell>
        </row>
        <row r="5409">
          <cell r="M5409">
            <v>0</v>
          </cell>
        </row>
        <row r="5410">
          <cell r="M5410">
            <v>0</v>
          </cell>
        </row>
        <row r="5411">
          <cell r="M5411">
            <v>0</v>
          </cell>
        </row>
        <row r="5412">
          <cell r="M5412">
            <v>0</v>
          </cell>
        </row>
        <row r="5415">
          <cell r="M5415">
            <v>0</v>
          </cell>
        </row>
        <row r="5418">
          <cell r="M5418">
            <v>0</v>
          </cell>
        </row>
        <row r="5419">
          <cell r="M5419">
            <v>0</v>
          </cell>
        </row>
        <row r="5420">
          <cell r="M5420">
            <v>0</v>
          </cell>
        </row>
        <row r="5421">
          <cell r="M5421">
            <v>0</v>
          </cell>
        </row>
        <row r="5422">
          <cell r="M5422">
            <v>0</v>
          </cell>
        </row>
        <row r="5423">
          <cell r="M5423">
            <v>0</v>
          </cell>
        </row>
        <row r="5424">
          <cell r="M5424">
            <v>0</v>
          </cell>
        </row>
        <row r="5425">
          <cell r="M5425">
            <v>0</v>
          </cell>
        </row>
        <row r="5426">
          <cell r="M5426">
            <v>0</v>
          </cell>
        </row>
        <row r="5427">
          <cell r="M5427">
            <v>0</v>
          </cell>
        </row>
        <row r="5428">
          <cell r="M5428">
            <v>0</v>
          </cell>
        </row>
        <row r="5429">
          <cell r="M5429">
            <v>0</v>
          </cell>
        </row>
        <row r="5430">
          <cell r="M5430">
            <v>0</v>
          </cell>
        </row>
        <row r="5431">
          <cell r="M5431">
            <v>0</v>
          </cell>
        </row>
        <row r="5432">
          <cell r="M5432">
            <v>0</v>
          </cell>
        </row>
        <row r="5433">
          <cell r="M5433">
            <v>0</v>
          </cell>
        </row>
        <row r="5434">
          <cell r="M5434">
            <v>0</v>
          </cell>
        </row>
        <row r="5437">
          <cell r="M5437">
            <v>0</v>
          </cell>
        </row>
        <row r="5440">
          <cell r="M5440">
            <v>0</v>
          </cell>
        </row>
        <row r="5441">
          <cell r="M5441">
            <v>0</v>
          </cell>
        </row>
        <row r="5442">
          <cell r="M5442">
            <v>0</v>
          </cell>
        </row>
        <row r="5443">
          <cell r="M5443">
            <v>0</v>
          </cell>
        </row>
        <row r="5444">
          <cell r="M5444">
            <v>0</v>
          </cell>
        </row>
        <row r="5445">
          <cell r="M5445">
            <v>0</v>
          </cell>
        </row>
        <row r="5446">
          <cell r="M5446">
            <v>0</v>
          </cell>
        </row>
        <row r="5447">
          <cell r="M5447">
            <v>0</v>
          </cell>
        </row>
        <row r="5448">
          <cell r="M5448">
            <v>0</v>
          </cell>
        </row>
        <row r="5449">
          <cell r="M5449">
            <v>0</v>
          </cell>
        </row>
        <row r="5450">
          <cell r="M5450">
            <v>0</v>
          </cell>
        </row>
        <row r="5451">
          <cell r="M5451">
            <v>0</v>
          </cell>
        </row>
        <row r="5452">
          <cell r="M5452">
            <v>0</v>
          </cell>
        </row>
        <row r="5453">
          <cell r="M5453">
            <v>0</v>
          </cell>
        </row>
        <row r="5454">
          <cell r="M5454">
            <v>0</v>
          </cell>
        </row>
        <row r="5455">
          <cell r="M5455">
            <v>0</v>
          </cell>
        </row>
        <row r="5456">
          <cell r="M5456">
            <v>0</v>
          </cell>
        </row>
        <row r="5459">
          <cell r="M5459">
            <v>0</v>
          </cell>
        </row>
        <row r="5462">
          <cell r="M5462">
            <v>0</v>
          </cell>
        </row>
        <row r="5463">
          <cell r="M5463">
            <v>0</v>
          </cell>
        </row>
        <row r="5464">
          <cell r="M5464">
            <v>0</v>
          </cell>
        </row>
        <row r="5465">
          <cell r="M5465">
            <v>0</v>
          </cell>
        </row>
        <row r="5466">
          <cell r="M5466">
            <v>0</v>
          </cell>
        </row>
        <row r="5467">
          <cell r="M5467">
            <v>0</v>
          </cell>
        </row>
        <row r="5468">
          <cell r="M5468">
            <v>0</v>
          </cell>
        </row>
        <row r="5469">
          <cell r="M5469">
            <v>0</v>
          </cell>
        </row>
        <row r="5470">
          <cell r="M5470">
            <v>0</v>
          </cell>
        </row>
        <row r="5471">
          <cell r="M5471">
            <v>0</v>
          </cell>
        </row>
        <row r="5472">
          <cell r="M5472">
            <v>0</v>
          </cell>
        </row>
        <row r="5473">
          <cell r="M5473">
            <v>0</v>
          </cell>
        </row>
        <row r="5474">
          <cell r="M5474">
            <v>0</v>
          </cell>
        </row>
        <row r="5475">
          <cell r="M5475">
            <v>0</v>
          </cell>
        </row>
        <row r="5476">
          <cell r="M5476">
            <v>0</v>
          </cell>
        </row>
        <row r="5477">
          <cell r="M5477">
            <v>0</v>
          </cell>
        </row>
        <row r="5478">
          <cell r="M5478">
            <v>0</v>
          </cell>
        </row>
        <row r="5481">
          <cell r="M5481">
            <v>0</v>
          </cell>
        </row>
        <row r="5484">
          <cell r="M5484">
            <v>0</v>
          </cell>
        </row>
        <row r="5485">
          <cell r="M5485">
            <v>0</v>
          </cell>
        </row>
        <row r="5486">
          <cell r="M5486">
            <v>0</v>
          </cell>
        </row>
        <row r="5487">
          <cell r="M5487">
            <v>0</v>
          </cell>
        </row>
        <row r="5488">
          <cell r="M5488">
            <v>0</v>
          </cell>
        </row>
        <row r="5489">
          <cell r="M5489">
            <v>0</v>
          </cell>
        </row>
        <row r="5490">
          <cell r="M5490">
            <v>0</v>
          </cell>
        </row>
        <row r="5491">
          <cell r="M5491">
            <v>0</v>
          </cell>
        </row>
        <row r="5492">
          <cell r="M5492">
            <v>0</v>
          </cell>
        </row>
        <row r="5493">
          <cell r="M5493">
            <v>0</v>
          </cell>
        </row>
        <row r="5494">
          <cell r="M5494">
            <v>0</v>
          </cell>
        </row>
        <row r="5495">
          <cell r="M5495">
            <v>0</v>
          </cell>
        </row>
        <row r="5496">
          <cell r="M5496">
            <v>0</v>
          </cell>
        </row>
        <row r="5497">
          <cell r="M5497">
            <v>0</v>
          </cell>
        </row>
        <row r="5498">
          <cell r="M5498">
            <v>0</v>
          </cell>
        </row>
        <row r="5499">
          <cell r="M5499">
            <v>0</v>
          </cell>
        </row>
        <row r="5500">
          <cell r="M5500">
            <v>0</v>
          </cell>
        </row>
        <row r="5503">
          <cell r="M5503">
            <v>0</v>
          </cell>
        </row>
        <row r="5506">
          <cell r="M5506">
            <v>0</v>
          </cell>
        </row>
        <row r="5507">
          <cell r="M5507">
            <v>0</v>
          </cell>
        </row>
        <row r="5508">
          <cell r="M5508">
            <v>0</v>
          </cell>
        </row>
        <row r="5509">
          <cell r="M5509">
            <v>0</v>
          </cell>
        </row>
        <row r="5510">
          <cell r="M5510">
            <v>0</v>
          </cell>
        </row>
        <row r="5511">
          <cell r="M5511">
            <v>0</v>
          </cell>
        </row>
        <row r="5512">
          <cell r="M5512">
            <v>0</v>
          </cell>
        </row>
        <row r="5513">
          <cell r="M5513">
            <v>0</v>
          </cell>
        </row>
        <row r="5514">
          <cell r="M5514">
            <v>0</v>
          </cell>
        </row>
        <row r="5515">
          <cell r="M5515">
            <v>0</v>
          </cell>
        </row>
        <row r="5516">
          <cell r="M5516">
            <v>0</v>
          </cell>
        </row>
        <row r="5517">
          <cell r="M5517">
            <v>0</v>
          </cell>
        </row>
        <row r="5518">
          <cell r="M5518">
            <v>0</v>
          </cell>
        </row>
        <row r="5519">
          <cell r="M5519">
            <v>0</v>
          </cell>
        </row>
        <row r="5520">
          <cell r="M5520">
            <v>0</v>
          </cell>
        </row>
        <row r="5521">
          <cell r="M5521">
            <v>0</v>
          </cell>
        </row>
        <row r="5522">
          <cell r="M5522">
            <v>0</v>
          </cell>
        </row>
        <row r="5525">
          <cell r="M5525">
            <v>0</v>
          </cell>
        </row>
        <row r="5528">
          <cell r="M5528">
            <v>0</v>
          </cell>
        </row>
        <row r="5529">
          <cell r="M5529">
            <v>0</v>
          </cell>
        </row>
        <row r="5530">
          <cell r="M5530">
            <v>0</v>
          </cell>
        </row>
        <row r="5531">
          <cell r="M5531">
            <v>0</v>
          </cell>
        </row>
        <row r="5532">
          <cell r="M5532">
            <v>0</v>
          </cell>
        </row>
        <row r="5533">
          <cell r="M5533">
            <v>0</v>
          </cell>
        </row>
        <row r="5534">
          <cell r="M5534">
            <v>0</v>
          </cell>
        </row>
        <row r="5535">
          <cell r="M5535">
            <v>0</v>
          </cell>
        </row>
        <row r="5536">
          <cell r="M5536">
            <v>0</v>
          </cell>
        </row>
        <row r="5537">
          <cell r="M5537">
            <v>0</v>
          </cell>
        </row>
        <row r="5538">
          <cell r="M5538">
            <v>0</v>
          </cell>
        </row>
        <row r="5539">
          <cell r="M5539">
            <v>0</v>
          </cell>
        </row>
        <row r="5540">
          <cell r="M5540">
            <v>0</v>
          </cell>
        </row>
        <row r="5541">
          <cell r="M5541">
            <v>0</v>
          </cell>
        </row>
        <row r="5542">
          <cell r="M5542">
            <v>0</v>
          </cell>
        </row>
        <row r="5543">
          <cell r="M5543">
            <v>0</v>
          </cell>
        </row>
        <row r="5544">
          <cell r="M5544">
            <v>0</v>
          </cell>
        </row>
        <row r="5547">
          <cell r="M5547">
            <v>0</v>
          </cell>
        </row>
        <row r="5550">
          <cell r="M5550">
            <v>0</v>
          </cell>
        </row>
        <row r="5551">
          <cell r="M5551">
            <v>0</v>
          </cell>
        </row>
        <row r="5552">
          <cell r="M5552">
            <v>0</v>
          </cell>
        </row>
        <row r="5553">
          <cell r="M5553">
            <v>0</v>
          </cell>
        </row>
        <row r="5554">
          <cell r="M5554">
            <v>0</v>
          </cell>
        </row>
        <row r="5555">
          <cell r="M5555">
            <v>0</v>
          </cell>
        </row>
        <row r="5556">
          <cell r="M5556">
            <v>0</v>
          </cell>
        </row>
        <row r="5557">
          <cell r="M5557">
            <v>0</v>
          </cell>
        </row>
        <row r="5558">
          <cell r="M5558">
            <v>0</v>
          </cell>
        </row>
        <row r="5559">
          <cell r="M5559">
            <v>0</v>
          </cell>
        </row>
        <row r="5560">
          <cell r="M5560">
            <v>0</v>
          </cell>
        </row>
        <row r="5561">
          <cell r="M5561">
            <v>0</v>
          </cell>
        </row>
        <row r="5562">
          <cell r="M5562">
            <v>0</v>
          </cell>
        </row>
        <row r="5563">
          <cell r="M5563">
            <v>0</v>
          </cell>
        </row>
        <row r="5564">
          <cell r="M5564">
            <v>0</v>
          </cell>
        </row>
        <row r="5565">
          <cell r="M5565">
            <v>0</v>
          </cell>
        </row>
        <row r="5566">
          <cell r="M5566">
            <v>0</v>
          </cell>
        </row>
        <row r="5569">
          <cell r="M5569">
            <v>0</v>
          </cell>
        </row>
        <row r="5572">
          <cell r="M5572">
            <v>0</v>
          </cell>
        </row>
        <row r="5573">
          <cell r="M5573">
            <v>0</v>
          </cell>
        </row>
        <row r="5574">
          <cell r="M5574">
            <v>0</v>
          </cell>
        </row>
        <row r="5575">
          <cell r="M5575">
            <v>0</v>
          </cell>
        </row>
        <row r="5576">
          <cell r="M5576">
            <v>0</v>
          </cell>
        </row>
        <row r="5577">
          <cell r="M5577">
            <v>0</v>
          </cell>
        </row>
        <row r="5578">
          <cell r="M5578">
            <v>0</v>
          </cell>
        </row>
        <row r="5579">
          <cell r="M5579">
            <v>0</v>
          </cell>
        </row>
        <row r="5580">
          <cell r="M5580">
            <v>0</v>
          </cell>
        </row>
        <row r="5581">
          <cell r="M5581">
            <v>0</v>
          </cell>
        </row>
        <row r="5582">
          <cell r="M5582">
            <v>0</v>
          </cell>
        </row>
        <row r="5583">
          <cell r="M5583">
            <v>0</v>
          </cell>
        </row>
        <row r="5584">
          <cell r="M5584">
            <v>0</v>
          </cell>
        </row>
        <row r="5585">
          <cell r="M5585">
            <v>0</v>
          </cell>
        </row>
        <row r="5586">
          <cell r="M5586">
            <v>0</v>
          </cell>
        </row>
        <row r="5587">
          <cell r="M5587">
            <v>0</v>
          </cell>
        </row>
        <row r="5588">
          <cell r="M5588">
            <v>0</v>
          </cell>
        </row>
        <row r="5591">
          <cell r="M5591">
            <v>0</v>
          </cell>
        </row>
        <row r="5594">
          <cell r="M5594">
            <v>0</v>
          </cell>
        </row>
        <row r="5595">
          <cell r="M5595">
            <v>0</v>
          </cell>
        </row>
        <row r="5596">
          <cell r="M5596">
            <v>0</v>
          </cell>
        </row>
        <row r="5597">
          <cell r="M5597">
            <v>0</v>
          </cell>
        </row>
        <row r="5598">
          <cell r="M5598">
            <v>0</v>
          </cell>
        </row>
        <row r="5599">
          <cell r="M5599">
            <v>0</v>
          </cell>
        </row>
        <row r="5600">
          <cell r="M5600">
            <v>0</v>
          </cell>
        </row>
        <row r="5601">
          <cell r="M5601">
            <v>0</v>
          </cell>
        </row>
        <row r="5602">
          <cell r="M5602">
            <v>0</v>
          </cell>
        </row>
        <row r="5603">
          <cell r="M5603">
            <v>0</v>
          </cell>
        </row>
        <row r="5604">
          <cell r="M5604">
            <v>0</v>
          </cell>
        </row>
        <row r="5605">
          <cell r="M5605">
            <v>0</v>
          </cell>
        </row>
        <row r="5606">
          <cell r="M5606">
            <v>0</v>
          </cell>
        </row>
        <row r="5607">
          <cell r="M5607">
            <v>0</v>
          </cell>
        </row>
        <row r="5608">
          <cell r="M5608">
            <v>0</v>
          </cell>
        </row>
        <row r="5609">
          <cell r="M5609">
            <v>0</v>
          </cell>
        </row>
        <row r="5610">
          <cell r="M5610">
            <v>0</v>
          </cell>
        </row>
        <row r="5613">
          <cell r="M5613">
            <v>0</v>
          </cell>
        </row>
        <row r="5616">
          <cell r="M5616">
            <v>0</v>
          </cell>
        </row>
        <row r="5617">
          <cell r="M5617">
            <v>0</v>
          </cell>
        </row>
        <row r="5618">
          <cell r="M5618">
            <v>0</v>
          </cell>
        </row>
        <row r="5619">
          <cell r="M5619">
            <v>0</v>
          </cell>
        </row>
        <row r="5620">
          <cell r="M5620">
            <v>0</v>
          </cell>
        </row>
        <row r="5621">
          <cell r="M5621">
            <v>0</v>
          </cell>
        </row>
        <row r="5622">
          <cell r="M5622">
            <v>0</v>
          </cell>
        </row>
        <row r="5623">
          <cell r="M5623">
            <v>0</v>
          </cell>
        </row>
        <row r="5624">
          <cell r="M5624">
            <v>0</v>
          </cell>
        </row>
        <row r="5625">
          <cell r="M5625">
            <v>0</v>
          </cell>
        </row>
        <row r="5626">
          <cell r="M5626">
            <v>0</v>
          </cell>
        </row>
        <row r="5627">
          <cell r="M5627">
            <v>0</v>
          </cell>
        </row>
        <row r="5628">
          <cell r="M5628">
            <v>0</v>
          </cell>
        </row>
        <row r="5629">
          <cell r="M5629">
            <v>0</v>
          </cell>
        </row>
        <row r="5630">
          <cell r="M5630">
            <v>0</v>
          </cell>
        </row>
        <row r="5631">
          <cell r="M5631">
            <v>0</v>
          </cell>
        </row>
        <row r="5632">
          <cell r="M5632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목차2"/>
      <sheetName val="WBS"/>
      <sheetName val="중기목록"/>
      <sheetName val="중기사용료"/>
      <sheetName val="내역집계표"/>
      <sheetName val="순공사비"/>
      <sheetName val="일대목록표"/>
      <sheetName val="일위대가표"/>
      <sheetName val="단가조사"/>
      <sheetName val="(1)전력요금"/>
      <sheetName val="(2)전력사용량-(작업구 #01 ~ #11)"/>
      <sheetName val="(3)전력사용량-(작업구 #18 ~ #29)"/>
      <sheetName val="한전불입금 및 수탁비"/>
      <sheetName val="사용전검사비"/>
      <sheetName val="전기통신요금계산"/>
      <sheetName val="수량산출서(전력 인입공사)"/>
      <sheetName val="수량산출서(작업구01~11)"/>
      <sheetName val="수량산출서(작업구18~29)"/>
      <sheetName val="수량집계(접지설비)"/>
      <sheetName val="수량산출서(접지설비)"/>
      <sheetName val="수량산출서(CCTV)"/>
      <sheetName val="수량산출서(유선WIFI)"/>
      <sheetName val="수량집계(유량계실, 전동밸브실)"/>
      <sheetName val="수량산출서(유량계실, 전동밸브실)"/>
      <sheetName val="견적"/>
      <sheetName val="경비"/>
      <sheetName val="사급자재비"/>
      <sheetName val="태양광 동력설비"/>
      <sheetName val="태양광 케이블트레이"/>
      <sheetName val="고재처리데이터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53">
          <cell r="H53">
            <v>7685.4610000000002</v>
          </cell>
        </row>
      </sheetData>
      <sheetData sheetId="11">
        <row r="48">
          <cell r="C48">
            <v>382.15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표지"/>
      <sheetName val="갑지"/>
      <sheetName val="총괄"/>
      <sheetName val="내역서"/>
      <sheetName val="표지1"/>
      <sheetName val="일위대가"/>
      <sheetName val="표지2"/>
      <sheetName val="산근1"/>
      <sheetName val="산근2"/>
      <sheetName val="요율적용기준"/>
      <sheetName val="산식3"/>
      <sheetName val="산식4"/>
      <sheetName val="보험용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G2">
            <v>115</v>
          </cell>
        </row>
      </sheetData>
      <sheetData sheetId="11"/>
      <sheetData sheetId="12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000000"/>
      <sheetName val="100000"/>
      <sheetName val="4.8동 LP1"/>
      <sheetName val="4.8동 LP2"/>
      <sheetName val="예정공정표"/>
      <sheetName val="설계서(갑)"/>
      <sheetName val="공사원가계산서"/>
      <sheetName val="총괄내역서"/>
      <sheetName val="제경비산출서"/>
      <sheetName val="전압강하(4선)"/>
      <sheetName val="전압강하(4선) (4)"/>
      <sheetName val="내역서"/>
      <sheetName val="일위대가"/>
      <sheetName val="토공산출"/>
      <sheetName val="토공기초"/>
      <sheetName val="일위기초"/>
      <sheetName val="산출집계표(총괄)"/>
      <sheetName val="자재단가"/>
      <sheetName val="관급자재단가"/>
      <sheetName val="관급자재단가 (2)"/>
      <sheetName val="관급자재단가 (3)"/>
      <sheetName val="복구비"/>
      <sheetName val="관급산출"/>
      <sheetName val="인건비"/>
      <sheetName val="배선산출"/>
      <sheetName val="설비산출"/>
      <sheetName val="전선철거"/>
      <sheetName val="제경비 적용비율 산출서"/>
      <sheetName val="보도조도계산"/>
      <sheetName val="차도조도계산"/>
      <sheetName val="시흥IC진출구간차도조도계산 (2)"/>
      <sheetName val="DATA"/>
      <sheetName val="조명율표"/>
      <sheetName val="설비철거"/>
      <sheetName val="기타조건"/>
      <sheetName val="폐기물처리"/>
      <sheetName val="기계경비-1"/>
      <sheetName val="기계경비-2"/>
      <sheetName val="케이블철거일위"/>
      <sheetName val="기초con's철거"/>
      <sheetName val="관급자재비"/>
      <sheetName val="기초산출"/>
    </sheetNames>
    <sheetDataSet>
      <sheetData sheetId="0"/>
      <sheetData sheetId="1"/>
      <sheetData sheetId="2"/>
      <sheetData sheetId="3"/>
      <sheetData sheetId="4"/>
      <sheetData sheetId="5"/>
      <sheetData sheetId="6">
        <row r="27">
          <cell r="D27" t="e">
            <v>#REF!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견적서"/>
      <sheetName val="표준설계서 800a"/>
      <sheetName val="ASSUMPTION"/>
      <sheetName val="ANY1"/>
      <sheetName val="①바탕처리"/>
      <sheetName val="②피팅설치"/>
      <sheetName val="③밸브설치"/>
      <sheetName val="④부단수천공"/>
      <sheetName val="⑤등압관설치"/>
      <sheetName val="⑥부단수차단"/>
      <sheetName val="⑦플러깅"/>
      <sheetName val="⑧밸브철거"/>
      <sheetName val="⑨BF접합"/>
      <sheetName val="⑩부대공"/>
    </sheetNames>
    <sheetDataSet>
      <sheetData sheetId="0"/>
      <sheetData sheetId="1"/>
      <sheetData sheetId="2">
        <row r="20">
          <cell r="L20">
            <v>4900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배관내역서"/>
      <sheetName val="목록"/>
      <sheetName val="일위대가"/>
      <sheetName val="KP접합"/>
      <sheetName val="잡철물"/>
      <sheetName val="중기사용료목록"/>
      <sheetName val="중기사용료"/>
      <sheetName val="중기기초자료"/>
      <sheetName val="자재"/>
      <sheetName val="노임"/>
      <sheetName val="경비"/>
      <sheetName val="자재조서"/>
      <sheetName val="Sheet1"/>
      <sheetName val="전역변수"/>
      <sheetName val="중기전역변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8">
          <cell r="C18">
            <v>0.20833333333333334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B2:BL38"/>
  <sheetViews>
    <sheetView showGridLines="0" view="pageBreakPreview" zoomScaleNormal="100" zoomScaleSheetLayoutView="100" workbookViewId="0">
      <selection activeCell="W10" sqref="W10:Y10"/>
    </sheetView>
  </sheetViews>
  <sheetFormatPr defaultColWidth="3.5" defaultRowHeight="20.100000000000001" customHeight="1"/>
  <cols>
    <col min="1" max="11" width="3.5" style="108"/>
    <col min="12" max="15" width="2.1640625" style="108" customWidth="1"/>
    <col min="16" max="22" width="3.5" style="108"/>
    <col min="23" max="34" width="3.6640625" style="108" customWidth="1"/>
    <col min="35" max="35" width="4.1640625" style="108" customWidth="1"/>
    <col min="36" max="39" width="3.6640625" style="108" customWidth="1"/>
    <col min="40" max="40" width="5" style="108" customWidth="1"/>
    <col min="41" max="42" width="3.6640625" style="108" customWidth="1"/>
    <col min="43" max="267" width="3.5" style="108"/>
    <col min="268" max="271" width="2.1640625" style="108" customWidth="1"/>
    <col min="272" max="278" width="3.5" style="108"/>
    <col min="279" max="290" width="3.6640625" style="108" customWidth="1"/>
    <col min="291" max="291" width="4.1640625" style="108" customWidth="1"/>
    <col min="292" max="295" width="3.6640625" style="108" customWidth="1"/>
    <col min="296" max="296" width="5" style="108" customWidth="1"/>
    <col min="297" max="298" width="3.6640625" style="108" customWidth="1"/>
    <col min="299" max="523" width="3.5" style="108"/>
    <col min="524" max="527" width="2.1640625" style="108" customWidth="1"/>
    <col min="528" max="534" width="3.5" style="108"/>
    <col min="535" max="546" width="3.6640625" style="108" customWidth="1"/>
    <col min="547" max="547" width="4.1640625" style="108" customWidth="1"/>
    <col min="548" max="551" width="3.6640625" style="108" customWidth="1"/>
    <col min="552" max="552" width="5" style="108" customWidth="1"/>
    <col min="553" max="554" width="3.6640625" style="108" customWidth="1"/>
    <col min="555" max="779" width="3.5" style="108"/>
    <col min="780" max="783" width="2.1640625" style="108" customWidth="1"/>
    <col min="784" max="790" width="3.5" style="108"/>
    <col min="791" max="802" width="3.6640625" style="108" customWidth="1"/>
    <col min="803" max="803" width="4.1640625" style="108" customWidth="1"/>
    <col min="804" max="807" width="3.6640625" style="108" customWidth="1"/>
    <col min="808" max="808" width="5" style="108" customWidth="1"/>
    <col min="809" max="810" width="3.6640625" style="108" customWidth="1"/>
    <col min="811" max="1035" width="3.5" style="108"/>
    <col min="1036" max="1039" width="2.1640625" style="108" customWidth="1"/>
    <col min="1040" max="1046" width="3.5" style="108"/>
    <col min="1047" max="1058" width="3.6640625" style="108" customWidth="1"/>
    <col min="1059" max="1059" width="4.1640625" style="108" customWidth="1"/>
    <col min="1060" max="1063" width="3.6640625" style="108" customWidth="1"/>
    <col min="1064" max="1064" width="5" style="108" customWidth="1"/>
    <col min="1065" max="1066" width="3.6640625" style="108" customWidth="1"/>
    <col min="1067" max="1291" width="3.5" style="108"/>
    <col min="1292" max="1295" width="2.1640625" style="108" customWidth="1"/>
    <col min="1296" max="1302" width="3.5" style="108"/>
    <col min="1303" max="1314" width="3.6640625" style="108" customWidth="1"/>
    <col min="1315" max="1315" width="4.1640625" style="108" customWidth="1"/>
    <col min="1316" max="1319" width="3.6640625" style="108" customWidth="1"/>
    <col min="1320" max="1320" width="5" style="108" customWidth="1"/>
    <col min="1321" max="1322" width="3.6640625" style="108" customWidth="1"/>
    <col min="1323" max="1547" width="3.5" style="108"/>
    <col min="1548" max="1551" width="2.1640625" style="108" customWidth="1"/>
    <col min="1552" max="1558" width="3.5" style="108"/>
    <col min="1559" max="1570" width="3.6640625" style="108" customWidth="1"/>
    <col min="1571" max="1571" width="4.1640625" style="108" customWidth="1"/>
    <col min="1572" max="1575" width="3.6640625" style="108" customWidth="1"/>
    <col min="1576" max="1576" width="5" style="108" customWidth="1"/>
    <col min="1577" max="1578" width="3.6640625" style="108" customWidth="1"/>
    <col min="1579" max="1803" width="3.5" style="108"/>
    <col min="1804" max="1807" width="2.1640625" style="108" customWidth="1"/>
    <col min="1808" max="1814" width="3.5" style="108"/>
    <col min="1815" max="1826" width="3.6640625" style="108" customWidth="1"/>
    <col min="1827" max="1827" width="4.1640625" style="108" customWidth="1"/>
    <col min="1828" max="1831" width="3.6640625" style="108" customWidth="1"/>
    <col min="1832" max="1832" width="5" style="108" customWidth="1"/>
    <col min="1833" max="1834" width="3.6640625" style="108" customWidth="1"/>
    <col min="1835" max="2059" width="3.5" style="108"/>
    <col min="2060" max="2063" width="2.1640625" style="108" customWidth="1"/>
    <col min="2064" max="2070" width="3.5" style="108"/>
    <col min="2071" max="2082" width="3.6640625" style="108" customWidth="1"/>
    <col min="2083" max="2083" width="4.1640625" style="108" customWidth="1"/>
    <col min="2084" max="2087" width="3.6640625" style="108" customWidth="1"/>
    <col min="2088" max="2088" width="5" style="108" customWidth="1"/>
    <col min="2089" max="2090" width="3.6640625" style="108" customWidth="1"/>
    <col min="2091" max="2315" width="3.5" style="108"/>
    <col min="2316" max="2319" width="2.1640625" style="108" customWidth="1"/>
    <col min="2320" max="2326" width="3.5" style="108"/>
    <col min="2327" max="2338" width="3.6640625" style="108" customWidth="1"/>
    <col min="2339" max="2339" width="4.1640625" style="108" customWidth="1"/>
    <col min="2340" max="2343" width="3.6640625" style="108" customWidth="1"/>
    <col min="2344" max="2344" width="5" style="108" customWidth="1"/>
    <col min="2345" max="2346" width="3.6640625" style="108" customWidth="1"/>
    <col min="2347" max="2571" width="3.5" style="108"/>
    <col min="2572" max="2575" width="2.1640625" style="108" customWidth="1"/>
    <col min="2576" max="2582" width="3.5" style="108"/>
    <col min="2583" max="2594" width="3.6640625" style="108" customWidth="1"/>
    <col min="2595" max="2595" width="4.1640625" style="108" customWidth="1"/>
    <col min="2596" max="2599" width="3.6640625" style="108" customWidth="1"/>
    <col min="2600" max="2600" width="5" style="108" customWidth="1"/>
    <col min="2601" max="2602" width="3.6640625" style="108" customWidth="1"/>
    <col min="2603" max="2827" width="3.5" style="108"/>
    <col min="2828" max="2831" width="2.1640625" style="108" customWidth="1"/>
    <col min="2832" max="2838" width="3.5" style="108"/>
    <col min="2839" max="2850" width="3.6640625" style="108" customWidth="1"/>
    <col min="2851" max="2851" width="4.1640625" style="108" customWidth="1"/>
    <col min="2852" max="2855" width="3.6640625" style="108" customWidth="1"/>
    <col min="2856" max="2856" width="5" style="108" customWidth="1"/>
    <col min="2857" max="2858" width="3.6640625" style="108" customWidth="1"/>
    <col min="2859" max="3083" width="3.5" style="108"/>
    <col min="3084" max="3087" width="2.1640625" style="108" customWidth="1"/>
    <col min="3088" max="3094" width="3.5" style="108"/>
    <col min="3095" max="3106" width="3.6640625" style="108" customWidth="1"/>
    <col min="3107" max="3107" width="4.1640625" style="108" customWidth="1"/>
    <col min="3108" max="3111" width="3.6640625" style="108" customWidth="1"/>
    <col min="3112" max="3112" width="5" style="108" customWidth="1"/>
    <col min="3113" max="3114" width="3.6640625" style="108" customWidth="1"/>
    <col min="3115" max="3339" width="3.5" style="108"/>
    <col min="3340" max="3343" width="2.1640625" style="108" customWidth="1"/>
    <col min="3344" max="3350" width="3.5" style="108"/>
    <col min="3351" max="3362" width="3.6640625" style="108" customWidth="1"/>
    <col min="3363" max="3363" width="4.1640625" style="108" customWidth="1"/>
    <col min="3364" max="3367" width="3.6640625" style="108" customWidth="1"/>
    <col min="3368" max="3368" width="5" style="108" customWidth="1"/>
    <col min="3369" max="3370" width="3.6640625" style="108" customWidth="1"/>
    <col min="3371" max="3595" width="3.5" style="108"/>
    <col min="3596" max="3599" width="2.1640625" style="108" customWidth="1"/>
    <col min="3600" max="3606" width="3.5" style="108"/>
    <col min="3607" max="3618" width="3.6640625" style="108" customWidth="1"/>
    <col min="3619" max="3619" width="4.1640625" style="108" customWidth="1"/>
    <col min="3620" max="3623" width="3.6640625" style="108" customWidth="1"/>
    <col min="3624" max="3624" width="5" style="108" customWidth="1"/>
    <col min="3625" max="3626" width="3.6640625" style="108" customWidth="1"/>
    <col min="3627" max="3851" width="3.5" style="108"/>
    <col min="3852" max="3855" width="2.1640625" style="108" customWidth="1"/>
    <col min="3856" max="3862" width="3.5" style="108"/>
    <col min="3863" max="3874" width="3.6640625" style="108" customWidth="1"/>
    <col min="3875" max="3875" width="4.1640625" style="108" customWidth="1"/>
    <col min="3876" max="3879" width="3.6640625" style="108" customWidth="1"/>
    <col min="3880" max="3880" width="5" style="108" customWidth="1"/>
    <col min="3881" max="3882" width="3.6640625" style="108" customWidth="1"/>
    <col min="3883" max="4107" width="3.5" style="108"/>
    <col min="4108" max="4111" width="2.1640625" style="108" customWidth="1"/>
    <col min="4112" max="4118" width="3.5" style="108"/>
    <col min="4119" max="4130" width="3.6640625" style="108" customWidth="1"/>
    <col min="4131" max="4131" width="4.1640625" style="108" customWidth="1"/>
    <col min="4132" max="4135" width="3.6640625" style="108" customWidth="1"/>
    <col min="4136" max="4136" width="5" style="108" customWidth="1"/>
    <col min="4137" max="4138" width="3.6640625" style="108" customWidth="1"/>
    <col min="4139" max="4363" width="3.5" style="108"/>
    <col min="4364" max="4367" width="2.1640625" style="108" customWidth="1"/>
    <col min="4368" max="4374" width="3.5" style="108"/>
    <col min="4375" max="4386" width="3.6640625" style="108" customWidth="1"/>
    <col min="4387" max="4387" width="4.1640625" style="108" customWidth="1"/>
    <col min="4388" max="4391" width="3.6640625" style="108" customWidth="1"/>
    <col min="4392" max="4392" width="5" style="108" customWidth="1"/>
    <col min="4393" max="4394" width="3.6640625" style="108" customWidth="1"/>
    <col min="4395" max="4619" width="3.5" style="108"/>
    <col min="4620" max="4623" width="2.1640625" style="108" customWidth="1"/>
    <col min="4624" max="4630" width="3.5" style="108"/>
    <col min="4631" max="4642" width="3.6640625" style="108" customWidth="1"/>
    <col min="4643" max="4643" width="4.1640625" style="108" customWidth="1"/>
    <col min="4644" max="4647" width="3.6640625" style="108" customWidth="1"/>
    <col min="4648" max="4648" width="5" style="108" customWidth="1"/>
    <col min="4649" max="4650" width="3.6640625" style="108" customWidth="1"/>
    <col min="4651" max="4875" width="3.5" style="108"/>
    <col min="4876" max="4879" width="2.1640625" style="108" customWidth="1"/>
    <col min="4880" max="4886" width="3.5" style="108"/>
    <col min="4887" max="4898" width="3.6640625" style="108" customWidth="1"/>
    <col min="4899" max="4899" width="4.1640625" style="108" customWidth="1"/>
    <col min="4900" max="4903" width="3.6640625" style="108" customWidth="1"/>
    <col min="4904" max="4904" width="5" style="108" customWidth="1"/>
    <col min="4905" max="4906" width="3.6640625" style="108" customWidth="1"/>
    <col min="4907" max="5131" width="3.5" style="108"/>
    <col min="5132" max="5135" width="2.1640625" style="108" customWidth="1"/>
    <col min="5136" max="5142" width="3.5" style="108"/>
    <col min="5143" max="5154" width="3.6640625" style="108" customWidth="1"/>
    <col min="5155" max="5155" width="4.1640625" style="108" customWidth="1"/>
    <col min="5156" max="5159" width="3.6640625" style="108" customWidth="1"/>
    <col min="5160" max="5160" width="5" style="108" customWidth="1"/>
    <col min="5161" max="5162" width="3.6640625" style="108" customWidth="1"/>
    <col min="5163" max="5387" width="3.5" style="108"/>
    <col min="5388" max="5391" width="2.1640625" style="108" customWidth="1"/>
    <col min="5392" max="5398" width="3.5" style="108"/>
    <col min="5399" max="5410" width="3.6640625" style="108" customWidth="1"/>
    <col min="5411" max="5411" width="4.1640625" style="108" customWidth="1"/>
    <col min="5412" max="5415" width="3.6640625" style="108" customWidth="1"/>
    <col min="5416" max="5416" width="5" style="108" customWidth="1"/>
    <col min="5417" max="5418" width="3.6640625" style="108" customWidth="1"/>
    <col min="5419" max="5643" width="3.5" style="108"/>
    <col min="5644" max="5647" width="2.1640625" style="108" customWidth="1"/>
    <col min="5648" max="5654" width="3.5" style="108"/>
    <col min="5655" max="5666" width="3.6640625" style="108" customWidth="1"/>
    <col min="5667" max="5667" width="4.1640625" style="108" customWidth="1"/>
    <col min="5668" max="5671" width="3.6640625" style="108" customWidth="1"/>
    <col min="5672" max="5672" width="5" style="108" customWidth="1"/>
    <col min="5673" max="5674" width="3.6640625" style="108" customWidth="1"/>
    <col min="5675" max="5899" width="3.5" style="108"/>
    <col min="5900" max="5903" width="2.1640625" style="108" customWidth="1"/>
    <col min="5904" max="5910" width="3.5" style="108"/>
    <col min="5911" max="5922" width="3.6640625" style="108" customWidth="1"/>
    <col min="5923" max="5923" width="4.1640625" style="108" customWidth="1"/>
    <col min="5924" max="5927" width="3.6640625" style="108" customWidth="1"/>
    <col min="5928" max="5928" width="5" style="108" customWidth="1"/>
    <col min="5929" max="5930" width="3.6640625" style="108" customWidth="1"/>
    <col min="5931" max="6155" width="3.5" style="108"/>
    <col min="6156" max="6159" width="2.1640625" style="108" customWidth="1"/>
    <col min="6160" max="6166" width="3.5" style="108"/>
    <col min="6167" max="6178" width="3.6640625" style="108" customWidth="1"/>
    <col min="6179" max="6179" width="4.1640625" style="108" customWidth="1"/>
    <col min="6180" max="6183" width="3.6640625" style="108" customWidth="1"/>
    <col min="6184" max="6184" width="5" style="108" customWidth="1"/>
    <col min="6185" max="6186" width="3.6640625" style="108" customWidth="1"/>
    <col min="6187" max="6411" width="3.5" style="108"/>
    <col min="6412" max="6415" width="2.1640625" style="108" customWidth="1"/>
    <col min="6416" max="6422" width="3.5" style="108"/>
    <col min="6423" max="6434" width="3.6640625" style="108" customWidth="1"/>
    <col min="6435" max="6435" width="4.1640625" style="108" customWidth="1"/>
    <col min="6436" max="6439" width="3.6640625" style="108" customWidth="1"/>
    <col min="6440" max="6440" width="5" style="108" customWidth="1"/>
    <col min="6441" max="6442" width="3.6640625" style="108" customWidth="1"/>
    <col min="6443" max="6667" width="3.5" style="108"/>
    <col min="6668" max="6671" width="2.1640625" style="108" customWidth="1"/>
    <col min="6672" max="6678" width="3.5" style="108"/>
    <col min="6679" max="6690" width="3.6640625" style="108" customWidth="1"/>
    <col min="6691" max="6691" width="4.1640625" style="108" customWidth="1"/>
    <col min="6692" max="6695" width="3.6640625" style="108" customWidth="1"/>
    <col min="6696" max="6696" width="5" style="108" customWidth="1"/>
    <col min="6697" max="6698" width="3.6640625" style="108" customWidth="1"/>
    <col min="6699" max="6923" width="3.5" style="108"/>
    <col min="6924" max="6927" width="2.1640625" style="108" customWidth="1"/>
    <col min="6928" max="6934" width="3.5" style="108"/>
    <col min="6935" max="6946" width="3.6640625" style="108" customWidth="1"/>
    <col min="6947" max="6947" width="4.1640625" style="108" customWidth="1"/>
    <col min="6948" max="6951" width="3.6640625" style="108" customWidth="1"/>
    <col min="6952" max="6952" width="5" style="108" customWidth="1"/>
    <col min="6953" max="6954" width="3.6640625" style="108" customWidth="1"/>
    <col min="6955" max="7179" width="3.5" style="108"/>
    <col min="7180" max="7183" width="2.1640625" style="108" customWidth="1"/>
    <col min="7184" max="7190" width="3.5" style="108"/>
    <col min="7191" max="7202" width="3.6640625" style="108" customWidth="1"/>
    <col min="7203" max="7203" width="4.1640625" style="108" customWidth="1"/>
    <col min="7204" max="7207" width="3.6640625" style="108" customWidth="1"/>
    <col min="7208" max="7208" width="5" style="108" customWidth="1"/>
    <col min="7209" max="7210" width="3.6640625" style="108" customWidth="1"/>
    <col min="7211" max="7435" width="3.5" style="108"/>
    <col min="7436" max="7439" width="2.1640625" style="108" customWidth="1"/>
    <col min="7440" max="7446" width="3.5" style="108"/>
    <col min="7447" max="7458" width="3.6640625" style="108" customWidth="1"/>
    <col min="7459" max="7459" width="4.1640625" style="108" customWidth="1"/>
    <col min="7460" max="7463" width="3.6640625" style="108" customWidth="1"/>
    <col min="7464" max="7464" width="5" style="108" customWidth="1"/>
    <col min="7465" max="7466" width="3.6640625" style="108" customWidth="1"/>
    <col min="7467" max="7691" width="3.5" style="108"/>
    <col min="7692" max="7695" width="2.1640625" style="108" customWidth="1"/>
    <col min="7696" max="7702" width="3.5" style="108"/>
    <col min="7703" max="7714" width="3.6640625" style="108" customWidth="1"/>
    <col min="7715" max="7715" width="4.1640625" style="108" customWidth="1"/>
    <col min="7716" max="7719" width="3.6640625" style="108" customWidth="1"/>
    <col min="7720" max="7720" width="5" style="108" customWidth="1"/>
    <col min="7721" max="7722" width="3.6640625" style="108" customWidth="1"/>
    <col min="7723" max="7947" width="3.5" style="108"/>
    <col min="7948" max="7951" width="2.1640625" style="108" customWidth="1"/>
    <col min="7952" max="7958" width="3.5" style="108"/>
    <col min="7959" max="7970" width="3.6640625" style="108" customWidth="1"/>
    <col min="7971" max="7971" width="4.1640625" style="108" customWidth="1"/>
    <col min="7972" max="7975" width="3.6640625" style="108" customWidth="1"/>
    <col min="7976" max="7976" width="5" style="108" customWidth="1"/>
    <col min="7977" max="7978" width="3.6640625" style="108" customWidth="1"/>
    <col min="7979" max="8203" width="3.5" style="108"/>
    <col min="8204" max="8207" width="2.1640625" style="108" customWidth="1"/>
    <col min="8208" max="8214" width="3.5" style="108"/>
    <col min="8215" max="8226" width="3.6640625" style="108" customWidth="1"/>
    <col min="8227" max="8227" width="4.1640625" style="108" customWidth="1"/>
    <col min="8228" max="8231" width="3.6640625" style="108" customWidth="1"/>
    <col min="8232" max="8232" width="5" style="108" customWidth="1"/>
    <col min="8233" max="8234" width="3.6640625" style="108" customWidth="1"/>
    <col min="8235" max="8459" width="3.5" style="108"/>
    <col min="8460" max="8463" width="2.1640625" style="108" customWidth="1"/>
    <col min="8464" max="8470" width="3.5" style="108"/>
    <col min="8471" max="8482" width="3.6640625" style="108" customWidth="1"/>
    <col min="8483" max="8483" width="4.1640625" style="108" customWidth="1"/>
    <col min="8484" max="8487" width="3.6640625" style="108" customWidth="1"/>
    <col min="8488" max="8488" width="5" style="108" customWidth="1"/>
    <col min="8489" max="8490" width="3.6640625" style="108" customWidth="1"/>
    <col min="8491" max="8715" width="3.5" style="108"/>
    <col min="8716" max="8719" width="2.1640625" style="108" customWidth="1"/>
    <col min="8720" max="8726" width="3.5" style="108"/>
    <col min="8727" max="8738" width="3.6640625" style="108" customWidth="1"/>
    <col min="8739" max="8739" width="4.1640625" style="108" customWidth="1"/>
    <col min="8740" max="8743" width="3.6640625" style="108" customWidth="1"/>
    <col min="8744" max="8744" width="5" style="108" customWidth="1"/>
    <col min="8745" max="8746" width="3.6640625" style="108" customWidth="1"/>
    <col min="8747" max="8971" width="3.5" style="108"/>
    <col min="8972" max="8975" width="2.1640625" style="108" customWidth="1"/>
    <col min="8976" max="8982" width="3.5" style="108"/>
    <col min="8983" max="8994" width="3.6640625" style="108" customWidth="1"/>
    <col min="8995" max="8995" width="4.1640625" style="108" customWidth="1"/>
    <col min="8996" max="8999" width="3.6640625" style="108" customWidth="1"/>
    <col min="9000" max="9000" width="5" style="108" customWidth="1"/>
    <col min="9001" max="9002" width="3.6640625" style="108" customWidth="1"/>
    <col min="9003" max="9227" width="3.5" style="108"/>
    <col min="9228" max="9231" width="2.1640625" style="108" customWidth="1"/>
    <col min="9232" max="9238" width="3.5" style="108"/>
    <col min="9239" max="9250" width="3.6640625" style="108" customWidth="1"/>
    <col min="9251" max="9251" width="4.1640625" style="108" customWidth="1"/>
    <col min="9252" max="9255" width="3.6640625" style="108" customWidth="1"/>
    <col min="9256" max="9256" width="5" style="108" customWidth="1"/>
    <col min="9257" max="9258" width="3.6640625" style="108" customWidth="1"/>
    <col min="9259" max="9483" width="3.5" style="108"/>
    <col min="9484" max="9487" width="2.1640625" style="108" customWidth="1"/>
    <col min="9488" max="9494" width="3.5" style="108"/>
    <col min="9495" max="9506" width="3.6640625" style="108" customWidth="1"/>
    <col min="9507" max="9507" width="4.1640625" style="108" customWidth="1"/>
    <col min="9508" max="9511" width="3.6640625" style="108" customWidth="1"/>
    <col min="9512" max="9512" width="5" style="108" customWidth="1"/>
    <col min="9513" max="9514" width="3.6640625" style="108" customWidth="1"/>
    <col min="9515" max="9739" width="3.5" style="108"/>
    <col min="9740" max="9743" width="2.1640625" style="108" customWidth="1"/>
    <col min="9744" max="9750" width="3.5" style="108"/>
    <col min="9751" max="9762" width="3.6640625" style="108" customWidth="1"/>
    <col min="9763" max="9763" width="4.1640625" style="108" customWidth="1"/>
    <col min="9764" max="9767" width="3.6640625" style="108" customWidth="1"/>
    <col min="9768" max="9768" width="5" style="108" customWidth="1"/>
    <col min="9769" max="9770" width="3.6640625" style="108" customWidth="1"/>
    <col min="9771" max="9995" width="3.5" style="108"/>
    <col min="9996" max="9999" width="2.1640625" style="108" customWidth="1"/>
    <col min="10000" max="10006" width="3.5" style="108"/>
    <col min="10007" max="10018" width="3.6640625" style="108" customWidth="1"/>
    <col min="10019" max="10019" width="4.1640625" style="108" customWidth="1"/>
    <col min="10020" max="10023" width="3.6640625" style="108" customWidth="1"/>
    <col min="10024" max="10024" width="5" style="108" customWidth="1"/>
    <col min="10025" max="10026" width="3.6640625" style="108" customWidth="1"/>
    <col min="10027" max="10251" width="3.5" style="108"/>
    <col min="10252" max="10255" width="2.1640625" style="108" customWidth="1"/>
    <col min="10256" max="10262" width="3.5" style="108"/>
    <col min="10263" max="10274" width="3.6640625" style="108" customWidth="1"/>
    <col min="10275" max="10275" width="4.1640625" style="108" customWidth="1"/>
    <col min="10276" max="10279" width="3.6640625" style="108" customWidth="1"/>
    <col min="10280" max="10280" width="5" style="108" customWidth="1"/>
    <col min="10281" max="10282" width="3.6640625" style="108" customWidth="1"/>
    <col min="10283" max="10507" width="3.5" style="108"/>
    <col min="10508" max="10511" width="2.1640625" style="108" customWidth="1"/>
    <col min="10512" max="10518" width="3.5" style="108"/>
    <col min="10519" max="10530" width="3.6640625" style="108" customWidth="1"/>
    <col min="10531" max="10531" width="4.1640625" style="108" customWidth="1"/>
    <col min="10532" max="10535" width="3.6640625" style="108" customWidth="1"/>
    <col min="10536" max="10536" width="5" style="108" customWidth="1"/>
    <col min="10537" max="10538" width="3.6640625" style="108" customWidth="1"/>
    <col min="10539" max="10763" width="3.5" style="108"/>
    <col min="10764" max="10767" width="2.1640625" style="108" customWidth="1"/>
    <col min="10768" max="10774" width="3.5" style="108"/>
    <col min="10775" max="10786" width="3.6640625" style="108" customWidth="1"/>
    <col min="10787" max="10787" width="4.1640625" style="108" customWidth="1"/>
    <col min="10788" max="10791" width="3.6640625" style="108" customWidth="1"/>
    <col min="10792" max="10792" width="5" style="108" customWidth="1"/>
    <col min="10793" max="10794" width="3.6640625" style="108" customWidth="1"/>
    <col min="10795" max="11019" width="3.5" style="108"/>
    <col min="11020" max="11023" width="2.1640625" style="108" customWidth="1"/>
    <col min="11024" max="11030" width="3.5" style="108"/>
    <col min="11031" max="11042" width="3.6640625" style="108" customWidth="1"/>
    <col min="11043" max="11043" width="4.1640625" style="108" customWidth="1"/>
    <col min="11044" max="11047" width="3.6640625" style="108" customWidth="1"/>
    <col min="11048" max="11048" width="5" style="108" customWidth="1"/>
    <col min="11049" max="11050" width="3.6640625" style="108" customWidth="1"/>
    <col min="11051" max="11275" width="3.5" style="108"/>
    <col min="11276" max="11279" width="2.1640625" style="108" customWidth="1"/>
    <col min="11280" max="11286" width="3.5" style="108"/>
    <col min="11287" max="11298" width="3.6640625" style="108" customWidth="1"/>
    <col min="11299" max="11299" width="4.1640625" style="108" customWidth="1"/>
    <col min="11300" max="11303" width="3.6640625" style="108" customWidth="1"/>
    <col min="11304" max="11304" width="5" style="108" customWidth="1"/>
    <col min="11305" max="11306" width="3.6640625" style="108" customWidth="1"/>
    <col min="11307" max="11531" width="3.5" style="108"/>
    <col min="11532" max="11535" width="2.1640625" style="108" customWidth="1"/>
    <col min="11536" max="11542" width="3.5" style="108"/>
    <col min="11543" max="11554" width="3.6640625" style="108" customWidth="1"/>
    <col min="11555" max="11555" width="4.1640625" style="108" customWidth="1"/>
    <col min="11556" max="11559" width="3.6640625" style="108" customWidth="1"/>
    <col min="11560" max="11560" width="5" style="108" customWidth="1"/>
    <col min="11561" max="11562" width="3.6640625" style="108" customWidth="1"/>
    <col min="11563" max="11787" width="3.5" style="108"/>
    <col min="11788" max="11791" width="2.1640625" style="108" customWidth="1"/>
    <col min="11792" max="11798" width="3.5" style="108"/>
    <col min="11799" max="11810" width="3.6640625" style="108" customWidth="1"/>
    <col min="11811" max="11811" width="4.1640625" style="108" customWidth="1"/>
    <col min="11812" max="11815" width="3.6640625" style="108" customWidth="1"/>
    <col min="11816" max="11816" width="5" style="108" customWidth="1"/>
    <col min="11817" max="11818" width="3.6640625" style="108" customWidth="1"/>
    <col min="11819" max="12043" width="3.5" style="108"/>
    <col min="12044" max="12047" width="2.1640625" style="108" customWidth="1"/>
    <col min="12048" max="12054" width="3.5" style="108"/>
    <col min="12055" max="12066" width="3.6640625" style="108" customWidth="1"/>
    <col min="12067" max="12067" width="4.1640625" style="108" customWidth="1"/>
    <col min="12068" max="12071" width="3.6640625" style="108" customWidth="1"/>
    <col min="12072" max="12072" width="5" style="108" customWidth="1"/>
    <col min="12073" max="12074" width="3.6640625" style="108" customWidth="1"/>
    <col min="12075" max="12299" width="3.5" style="108"/>
    <col min="12300" max="12303" width="2.1640625" style="108" customWidth="1"/>
    <col min="12304" max="12310" width="3.5" style="108"/>
    <col min="12311" max="12322" width="3.6640625" style="108" customWidth="1"/>
    <col min="12323" max="12323" width="4.1640625" style="108" customWidth="1"/>
    <col min="12324" max="12327" width="3.6640625" style="108" customWidth="1"/>
    <col min="12328" max="12328" width="5" style="108" customWidth="1"/>
    <col min="12329" max="12330" width="3.6640625" style="108" customWidth="1"/>
    <col min="12331" max="12555" width="3.5" style="108"/>
    <col min="12556" max="12559" width="2.1640625" style="108" customWidth="1"/>
    <col min="12560" max="12566" width="3.5" style="108"/>
    <col min="12567" max="12578" width="3.6640625" style="108" customWidth="1"/>
    <col min="12579" max="12579" width="4.1640625" style="108" customWidth="1"/>
    <col min="12580" max="12583" width="3.6640625" style="108" customWidth="1"/>
    <col min="12584" max="12584" width="5" style="108" customWidth="1"/>
    <col min="12585" max="12586" width="3.6640625" style="108" customWidth="1"/>
    <col min="12587" max="12811" width="3.5" style="108"/>
    <col min="12812" max="12815" width="2.1640625" style="108" customWidth="1"/>
    <col min="12816" max="12822" width="3.5" style="108"/>
    <col min="12823" max="12834" width="3.6640625" style="108" customWidth="1"/>
    <col min="12835" max="12835" width="4.1640625" style="108" customWidth="1"/>
    <col min="12836" max="12839" width="3.6640625" style="108" customWidth="1"/>
    <col min="12840" max="12840" width="5" style="108" customWidth="1"/>
    <col min="12841" max="12842" width="3.6640625" style="108" customWidth="1"/>
    <col min="12843" max="13067" width="3.5" style="108"/>
    <col min="13068" max="13071" width="2.1640625" style="108" customWidth="1"/>
    <col min="13072" max="13078" width="3.5" style="108"/>
    <col min="13079" max="13090" width="3.6640625" style="108" customWidth="1"/>
    <col min="13091" max="13091" width="4.1640625" style="108" customWidth="1"/>
    <col min="13092" max="13095" width="3.6640625" style="108" customWidth="1"/>
    <col min="13096" max="13096" width="5" style="108" customWidth="1"/>
    <col min="13097" max="13098" width="3.6640625" style="108" customWidth="1"/>
    <col min="13099" max="13323" width="3.5" style="108"/>
    <col min="13324" max="13327" width="2.1640625" style="108" customWidth="1"/>
    <col min="13328" max="13334" width="3.5" style="108"/>
    <col min="13335" max="13346" width="3.6640625" style="108" customWidth="1"/>
    <col min="13347" max="13347" width="4.1640625" style="108" customWidth="1"/>
    <col min="13348" max="13351" width="3.6640625" style="108" customWidth="1"/>
    <col min="13352" max="13352" width="5" style="108" customWidth="1"/>
    <col min="13353" max="13354" width="3.6640625" style="108" customWidth="1"/>
    <col min="13355" max="13579" width="3.5" style="108"/>
    <col min="13580" max="13583" width="2.1640625" style="108" customWidth="1"/>
    <col min="13584" max="13590" width="3.5" style="108"/>
    <col min="13591" max="13602" width="3.6640625" style="108" customWidth="1"/>
    <col min="13603" max="13603" width="4.1640625" style="108" customWidth="1"/>
    <col min="13604" max="13607" width="3.6640625" style="108" customWidth="1"/>
    <col min="13608" max="13608" width="5" style="108" customWidth="1"/>
    <col min="13609" max="13610" width="3.6640625" style="108" customWidth="1"/>
    <col min="13611" max="13835" width="3.5" style="108"/>
    <col min="13836" max="13839" width="2.1640625" style="108" customWidth="1"/>
    <col min="13840" max="13846" width="3.5" style="108"/>
    <col min="13847" max="13858" width="3.6640625" style="108" customWidth="1"/>
    <col min="13859" max="13859" width="4.1640625" style="108" customWidth="1"/>
    <col min="13860" max="13863" width="3.6640625" style="108" customWidth="1"/>
    <col min="13864" max="13864" width="5" style="108" customWidth="1"/>
    <col min="13865" max="13866" width="3.6640625" style="108" customWidth="1"/>
    <col min="13867" max="14091" width="3.5" style="108"/>
    <col min="14092" max="14095" width="2.1640625" style="108" customWidth="1"/>
    <col min="14096" max="14102" width="3.5" style="108"/>
    <col min="14103" max="14114" width="3.6640625" style="108" customWidth="1"/>
    <col min="14115" max="14115" width="4.1640625" style="108" customWidth="1"/>
    <col min="14116" max="14119" width="3.6640625" style="108" customWidth="1"/>
    <col min="14120" max="14120" width="5" style="108" customWidth="1"/>
    <col min="14121" max="14122" width="3.6640625" style="108" customWidth="1"/>
    <col min="14123" max="14347" width="3.5" style="108"/>
    <col min="14348" max="14351" width="2.1640625" style="108" customWidth="1"/>
    <col min="14352" max="14358" width="3.5" style="108"/>
    <col min="14359" max="14370" width="3.6640625" style="108" customWidth="1"/>
    <col min="14371" max="14371" width="4.1640625" style="108" customWidth="1"/>
    <col min="14372" max="14375" width="3.6640625" style="108" customWidth="1"/>
    <col min="14376" max="14376" width="5" style="108" customWidth="1"/>
    <col min="14377" max="14378" width="3.6640625" style="108" customWidth="1"/>
    <col min="14379" max="14603" width="3.5" style="108"/>
    <col min="14604" max="14607" width="2.1640625" style="108" customWidth="1"/>
    <col min="14608" max="14614" width="3.5" style="108"/>
    <col min="14615" max="14626" width="3.6640625" style="108" customWidth="1"/>
    <col min="14627" max="14627" width="4.1640625" style="108" customWidth="1"/>
    <col min="14628" max="14631" width="3.6640625" style="108" customWidth="1"/>
    <col min="14632" max="14632" width="5" style="108" customWidth="1"/>
    <col min="14633" max="14634" width="3.6640625" style="108" customWidth="1"/>
    <col min="14635" max="14859" width="3.5" style="108"/>
    <col min="14860" max="14863" width="2.1640625" style="108" customWidth="1"/>
    <col min="14864" max="14870" width="3.5" style="108"/>
    <col min="14871" max="14882" width="3.6640625" style="108" customWidth="1"/>
    <col min="14883" max="14883" width="4.1640625" style="108" customWidth="1"/>
    <col min="14884" max="14887" width="3.6640625" style="108" customWidth="1"/>
    <col min="14888" max="14888" width="5" style="108" customWidth="1"/>
    <col min="14889" max="14890" width="3.6640625" style="108" customWidth="1"/>
    <col min="14891" max="15115" width="3.5" style="108"/>
    <col min="15116" max="15119" width="2.1640625" style="108" customWidth="1"/>
    <col min="15120" max="15126" width="3.5" style="108"/>
    <col min="15127" max="15138" width="3.6640625" style="108" customWidth="1"/>
    <col min="15139" max="15139" width="4.1640625" style="108" customWidth="1"/>
    <col min="15140" max="15143" width="3.6640625" style="108" customWidth="1"/>
    <col min="15144" max="15144" width="5" style="108" customWidth="1"/>
    <col min="15145" max="15146" width="3.6640625" style="108" customWidth="1"/>
    <col min="15147" max="15371" width="3.5" style="108"/>
    <col min="15372" max="15375" width="2.1640625" style="108" customWidth="1"/>
    <col min="15376" max="15382" width="3.5" style="108"/>
    <col min="15383" max="15394" width="3.6640625" style="108" customWidth="1"/>
    <col min="15395" max="15395" width="4.1640625" style="108" customWidth="1"/>
    <col min="15396" max="15399" width="3.6640625" style="108" customWidth="1"/>
    <col min="15400" max="15400" width="5" style="108" customWidth="1"/>
    <col min="15401" max="15402" width="3.6640625" style="108" customWidth="1"/>
    <col min="15403" max="15627" width="3.5" style="108"/>
    <col min="15628" max="15631" width="2.1640625" style="108" customWidth="1"/>
    <col min="15632" max="15638" width="3.5" style="108"/>
    <col min="15639" max="15650" width="3.6640625" style="108" customWidth="1"/>
    <col min="15651" max="15651" width="4.1640625" style="108" customWidth="1"/>
    <col min="15652" max="15655" width="3.6640625" style="108" customWidth="1"/>
    <col min="15656" max="15656" width="5" style="108" customWidth="1"/>
    <col min="15657" max="15658" width="3.6640625" style="108" customWidth="1"/>
    <col min="15659" max="15883" width="3.5" style="108"/>
    <col min="15884" max="15887" width="2.1640625" style="108" customWidth="1"/>
    <col min="15888" max="15894" width="3.5" style="108"/>
    <col min="15895" max="15906" width="3.6640625" style="108" customWidth="1"/>
    <col min="15907" max="15907" width="4.1640625" style="108" customWidth="1"/>
    <col min="15908" max="15911" width="3.6640625" style="108" customWidth="1"/>
    <col min="15912" max="15912" width="5" style="108" customWidth="1"/>
    <col min="15913" max="15914" width="3.6640625" style="108" customWidth="1"/>
    <col min="15915" max="16139" width="3.5" style="108"/>
    <col min="16140" max="16143" width="2.1640625" style="108" customWidth="1"/>
    <col min="16144" max="16150" width="3.5" style="108"/>
    <col min="16151" max="16162" width="3.6640625" style="108" customWidth="1"/>
    <col min="16163" max="16163" width="4.1640625" style="108" customWidth="1"/>
    <col min="16164" max="16167" width="3.6640625" style="108" customWidth="1"/>
    <col min="16168" max="16168" width="5" style="108" customWidth="1"/>
    <col min="16169" max="16170" width="3.6640625" style="108" customWidth="1"/>
    <col min="16171" max="16384" width="3.5" style="108"/>
  </cols>
  <sheetData>
    <row r="2" spans="2:58" ht="20.100000000000001" customHeight="1">
      <c r="B2" s="308" t="s">
        <v>537</v>
      </c>
      <c r="C2" s="308"/>
      <c r="D2" s="308"/>
      <c r="E2" s="308"/>
      <c r="F2" s="308"/>
      <c r="G2" s="308"/>
      <c r="H2" s="308"/>
      <c r="I2" s="308"/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  <c r="U2" s="308"/>
      <c r="V2" s="308"/>
      <c r="W2" s="308"/>
      <c r="X2" s="308"/>
      <c r="Y2" s="308"/>
      <c r="Z2" s="308"/>
      <c r="AA2" s="308"/>
      <c r="AB2" s="308"/>
      <c r="AC2" s="308"/>
      <c r="AD2" s="308"/>
      <c r="AE2" s="308"/>
      <c r="AF2" s="308"/>
      <c r="AG2" s="308"/>
      <c r="AH2" s="308"/>
      <c r="AI2" s="308"/>
      <c r="AJ2" s="308"/>
      <c r="AK2" s="308"/>
      <c r="AL2" s="308"/>
      <c r="AM2" s="308"/>
      <c r="AN2" s="308"/>
      <c r="AO2" s="308"/>
      <c r="AP2" s="308"/>
    </row>
    <row r="3" spans="2:58" ht="20.100000000000001" customHeight="1">
      <c r="B3" s="308"/>
      <c r="C3" s="308"/>
      <c r="D3" s="308"/>
      <c r="E3" s="308"/>
      <c r="F3" s="308"/>
      <c r="G3" s="308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308"/>
      <c r="X3" s="308"/>
      <c r="Y3" s="308"/>
      <c r="Z3" s="308"/>
      <c r="AA3" s="308"/>
      <c r="AB3" s="308"/>
      <c r="AC3" s="308"/>
      <c r="AD3" s="308"/>
      <c r="AE3" s="308"/>
      <c r="AF3" s="308"/>
      <c r="AG3" s="308"/>
      <c r="AH3" s="308"/>
      <c r="AI3" s="308"/>
      <c r="AJ3" s="308"/>
      <c r="AK3" s="308"/>
      <c r="AL3" s="308"/>
      <c r="AM3" s="308"/>
      <c r="AN3" s="308"/>
      <c r="AO3" s="308"/>
      <c r="AP3" s="308"/>
    </row>
    <row r="4" spans="2:58" ht="20.100000000000001" customHeight="1" thickBot="1">
      <c r="B4" s="308"/>
      <c r="C4" s="308"/>
      <c r="D4" s="308"/>
      <c r="E4" s="308"/>
      <c r="F4" s="308"/>
      <c r="G4" s="308"/>
      <c r="H4" s="308"/>
      <c r="I4" s="308"/>
      <c r="J4" s="308"/>
      <c r="K4" s="308"/>
      <c r="L4" s="308"/>
      <c r="M4" s="308"/>
      <c r="N4" s="308"/>
      <c r="O4" s="308"/>
      <c r="P4" s="308"/>
      <c r="Q4" s="308"/>
      <c r="R4" s="308"/>
      <c r="S4" s="308"/>
      <c r="T4" s="308"/>
      <c r="U4" s="308"/>
      <c r="V4" s="308"/>
      <c r="W4" s="308"/>
      <c r="X4" s="308"/>
      <c r="Y4" s="308"/>
      <c r="Z4" s="308"/>
      <c r="AA4" s="308"/>
      <c r="AB4" s="308"/>
      <c r="AC4" s="308"/>
      <c r="AD4" s="308"/>
      <c r="AE4" s="308"/>
      <c r="AF4" s="308"/>
      <c r="AG4" s="308"/>
      <c r="AH4" s="308"/>
      <c r="AI4" s="308"/>
      <c r="AJ4" s="308"/>
      <c r="AK4" s="308"/>
      <c r="AL4" s="308"/>
      <c r="AM4" s="308"/>
      <c r="AN4" s="308"/>
      <c r="AO4" s="308"/>
      <c r="AP4" s="308"/>
      <c r="BF4" s="109"/>
    </row>
    <row r="5" spans="2:58" ht="20.100000000000001" customHeight="1">
      <c r="B5" s="309" t="s">
        <v>538</v>
      </c>
      <c r="C5" s="310"/>
      <c r="D5" s="310"/>
      <c r="E5" s="310"/>
      <c r="F5" s="311"/>
      <c r="G5" s="312" t="s">
        <v>660</v>
      </c>
      <c r="H5" s="313"/>
      <c r="I5" s="313"/>
      <c r="J5" s="313"/>
      <c r="K5" s="313"/>
      <c r="L5" s="313"/>
      <c r="M5" s="313"/>
      <c r="N5" s="313"/>
      <c r="O5" s="313"/>
      <c r="P5" s="313"/>
      <c r="Q5" s="313"/>
      <c r="R5" s="313"/>
      <c r="S5" s="313"/>
      <c r="T5" s="314"/>
      <c r="U5" s="315" t="s">
        <v>539</v>
      </c>
      <c r="V5" s="212"/>
      <c r="W5" s="319" t="s">
        <v>540</v>
      </c>
      <c r="X5" s="320"/>
      <c r="Y5" s="321"/>
      <c r="Z5" s="322" t="s">
        <v>541</v>
      </c>
      <c r="AA5" s="323"/>
      <c r="AB5" s="323"/>
      <c r="AC5" s="323"/>
      <c r="AD5" s="323"/>
      <c r="AE5" s="323"/>
      <c r="AF5" s="323"/>
      <c r="AG5" s="323"/>
      <c r="AH5" s="323"/>
      <c r="AI5" s="323"/>
      <c r="AJ5" s="323"/>
      <c r="AK5" s="323"/>
      <c r="AL5" s="323"/>
      <c r="AM5" s="323"/>
      <c r="AN5" s="323"/>
      <c r="AO5" s="323"/>
      <c r="AP5" s="324"/>
    </row>
    <row r="6" spans="2:58" ht="20.100000000000001" customHeight="1">
      <c r="B6" s="325" t="s">
        <v>542</v>
      </c>
      <c r="C6" s="326"/>
      <c r="D6" s="326"/>
      <c r="E6" s="326"/>
      <c r="F6" s="327"/>
      <c r="G6" s="331" t="s">
        <v>659</v>
      </c>
      <c r="H6" s="326"/>
      <c r="I6" s="326"/>
      <c r="J6" s="326"/>
      <c r="K6" s="326"/>
      <c r="L6" s="326"/>
      <c r="M6" s="326"/>
      <c r="N6" s="326"/>
      <c r="O6" s="326"/>
      <c r="P6" s="326"/>
      <c r="Q6" s="326"/>
      <c r="R6" s="326"/>
      <c r="S6" s="326"/>
      <c r="T6" s="332"/>
      <c r="U6" s="316"/>
      <c r="V6" s="214"/>
      <c r="W6" s="279" t="s">
        <v>543</v>
      </c>
      <c r="X6" s="280"/>
      <c r="Y6" s="281"/>
      <c r="Z6" s="200" t="s">
        <v>544</v>
      </c>
      <c r="AA6" s="201"/>
      <c r="AB6" s="201"/>
      <c r="AC6" s="201"/>
      <c r="AD6" s="201"/>
      <c r="AE6" s="201"/>
      <c r="AF6" s="202"/>
      <c r="AG6" s="279" t="s">
        <v>545</v>
      </c>
      <c r="AH6" s="280"/>
      <c r="AI6" s="281"/>
      <c r="AJ6" s="200" t="s">
        <v>546</v>
      </c>
      <c r="AK6" s="201"/>
      <c r="AL6" s="201"/>
      <c r="AM6" s="201"/>
      <c r="AN6" s="201"/>
      <c r="AO6" s="201"/>
      <c r="AP6" s="110" t="s">
        <v>547</v>
      </c>
    </row>
    <row r="7" spans="2:58" ht="20.100000000000001" customHeight="1">
      <c r="B7" s="328"/>
      <c r="C7" s="329"/>
      <c r="D7" s="329"/>
      <c r="E7" s="329"/>
      <c r="F7" s="330"/>
      <c r="G7" s="333"/>
      <c r="H7" s="329"/>
      <c r="I7" s="329"/>
      <c r="J7" s="329"/>
      <c r="K7" s="329"/>
      <c r="L7" s="329"/>
      <c r="M7" s="329"/>
      <c r="N7" s="329"/>
      <c r="O7" s="329"/>
      <c r="P7" s="329"/>
      <c r="Q7" s="329"/>
      <c r="R7" s="329"/>
      <c r="S7" s="329"/>
      <c r="T7" s="334"/>
      <c r="U7" s="316"/>
      <c r="V7" s="214"/>
      <c r="W7" s="279" t="s">
        <v>548</v>
      </c>
      <c r="X7" s="280"/>
      <c r="Y7" s="281"/>
      <c r="Z7" s="200" t="s">
        <v>549</v>
      </c>
      <c r="AA7" s="201"/>
      <c r="AB7" s="201"/>
      <c r="AC7" s="201"/>
      <c r="AD7" s="201"/>
      <c r="AE7" s="201"/>
      <c r="AF7" s="201"/>
      <c r="AG7" s="201"/>
      <c r="AH7" s="201"/>
      <c r="AI7" s="201"/>
      <c r="AJ7" s="201"/>
      <c r="AK7" s="201"/>
      <c r="AL7" s="201"/>
      <c r="AM7" s="201"/>
      <c r="AN7" s="201"/>
      <c r="AO7" s="201"/>
      <c r="AP7" s="335"/>
    </row>
    <row r="8" spans="2:58" ht="20.100000000000001" customHeight="1">
      <c r="B8" s="302" t="s">
        <v>550</v>
      </c>
      <c r="C8" s="201"/>
      <c r="D8" s="201"/>
      <c r="E8" s="201"/>
      <c r="F8" s="303"/>
      <c r="G8" s="336"/>
      <c r="H8" s="337"/>
      <c r="I8" s="337"/>
      <c r="J8" s="337"/>
      <c r="K8" s="337"/>
      <c r="L8" s="337"/>
      <c r="M8" s="337"/>
      <c r="N8" s="337"/>
      <c r="O8" s="337"/>
      <c r="P8" s="337"/>
      <c r="Q8" s="337"/>
      <c r="R8" s="337"/>
      <c r="S8" s="337" t="s">
        <v>551</v>
      </c>
      <c r="T8" s="338"/>
      <c r="U8" s="316"/>
      <c r="V8" s="214"/>
      <c r="W8" s="279" t="s">
        <v>552</v>
      </c>
      <c r="X8" s="280"/>
      <c r="Y8" s="281"/>
      <c r="Z8" s="200" t="s">
        <v>553</v>
      </c>
      <c r="AA8" s="201"/>
      <c r="AB8" s="201"/>
      <c r="AC8" s="201"/>
      <c r="AD8" s="201"/>
      <c r="AE8" s="201"/>
      <c r="AF8" s="202"/>
      <c r="AG8" s="279" t="s">
        <v>554</v>
      </c>
      <c r="AH8" s="280"/>
      <c r="AI8" s="281"/>
      <c r="AJ8" s="200" t="s">
        <v>555</v>
      </c>
      <c r="AK8" s="201"/>
      <c r="AL8" s="201"/>
      <c r="AM8" s="201"/>
      <c r="AN8" s="201"/>
      <c r="AO8" s="201"/>
      <c r="AP8" s="335"/>
    </row>
    <row r="9" spans="2:58" ht="20.100000000000001" customHeight="1">
      <c r="B9" s="302" t="s">
        <v>556</v>
      </c>
      <c r="C9" s="201"/>
      <c r="D9" s="201"/>
      <c r="E9" s="201"/>
      <c r="F9" s="303"/>
      <c r="G9" s="285"/>
      <c r="H9" s="286"/>
      <c r="I9" s="286"/>
      <c r="J9" s="286"/>
      <c r="K9" s="286"/>
      <c r="L9" s="286"/>
      <c r="M9" s="286"/>
      <c r="N9" s="286"/>
      <c r="O9" s="286"/>
      <c r="P9" s="286"/>
      <c r="Q9" s="286"/>
      <c r="R9" s="286"/>
      <c r="S9" s="286"/>
      <c r="T9" s="287"/>
      <c r="U9" s="316"/>
      <c r="V9" s="214"/>
      <c r="W9" s="279" t="s">
        <v>557</v>
      </c>
      <c r="X9" s="280"/>
      <c r="Y9" s="281"/>
      <c r="Z9" s="200" t="s">
        <v>558</v>
      </c>
      <c r="AA9" s="201"/>
      <c r="AB9" s="201"/>
      <c r="AC9" s="201"/>
      <c r="AD9" s="201"/>
      <c r="AE9" s="201"/>
      <c r="AF9" s="202"/>
      <c r="AG9" s="279" t="s">
        <v>559</v>
      </c>
      <c r="AH9" s="280"/>
      <c r="AI9" s="281"/>
      <c r="AJ9" s="200" t="s">
        <v>560</v>
      </c>
      <c r="AK9" s="201"/>
      <c r="AL9" s="201"/>
      <c r="AM9" s="201"/>
      <c r="AN9" s="201"/>
      <c r="AO9" s="201"/>
      <c r="AP9" s="335"/>
    </row>
    <row r="10" spans="2:58" ht="20.100000000000001" customHeight="1">
      <c r="B10" s="302" t="s">
        <v>561</v>
      </c>
      <c r="C10" s="201"/>
      <c r="D10" s="201"/>
      <c r="E10" s="201"/>
      <c r="F10" s="303"/>
      <c r="G10" s="285">
        <v>46115</v>
      </c>
      <c r="H10" s="286"/>
      <c r="I10" s="286"/>
      <c r="J10" s="286"/>
      <c r="K10" s="286"/>
      <c r="L10" s="286"/>
      <c r="M10" s="286"/>
      <c r="N10" s="286"/>
      <c r="O10" s="286"/>
      <c r="P10" s="286"/>
      <c r="Q10" s="286"/>
      <c r="R10" s="286"/>
      <c r="S10" s="286"/>
      <c r="T10" s="287"/>
      <c r="U10" s="316"/>
      <c r="V10" s="214"/>
      <c r="W10" s="279" t="s">
        <v>562</v>
      </c>
      <c r="X10" s="280"/>
      <c r="Y10" s="281"/>
      <c r="Z10" s="304" t="s">
        <v>563</v>
      </c>
      <c r="AA10" s="305"/>
      <c r="AB10" s="305"/>
      <c r="AC10" s="305"/>
      <c r="AD10" s="305"/>
      <c r="AE10" s="305"/>
      <c r="AF10" s="306"/>
      <c r="AG10" s="279" t="s">
        <v>564</v>
      </c>
      <c r="AH10" s="280"/>
      <c r="AI10" s="281"/>
      <c r="AJ10" s="304" t="s">
        <v>565</v>
      </c>
      <c r="AK10" s="305"/>
      <c r="AL10" s="305"/>
      <c r="AM10" s="305"/>
      <c r="AN10" s="305"/>
      <c r="AO10" s="305"/>
      <c r="AP10" s="307"/>
    </row>
    <row r="11" spans="2:58" ht="20.100000000000001" customHeight="1">
      <c r="B11" s="282" t="s">
        <v>566</v>
      </c>
      <c r="C11" s="283"/>
      <c r="D11" s="283"/>
      <c r="E11" s="283"/>
      <c r="F11" s="284"/>
      <c r="G11" s="285" t="s">
        <v>649</v>
      </c>
      <c r="H11" s="286"/>
      <c r="I11" s="286"/>
      <c r="J11" s="286"/>
      <c r="K11" s="286"/>
      <c r="L11" s="286"/>
      <c r="M11" s="286"/>
      <c r="N11" s="286"/>
      <c r="O11" s="286"/>
      <c r="P11" s="286"/>
      <c r="Q11" s="286"/>
      <c r="R11" s="286"/>
      <c r="S11" s="286"/>
      <c r="T11" s="287"/>
      <c r="U11" s="317"/>
      <c r="V11" s="318"/>
      <c r="W11" s="288" t="s">
        <v>567</v>
      </c>
      <c r="X11" s="289"/>
      <c r="Y11" s="290"/>
      <c r="Z11" s="291" t="s">
        <v>568</v>
      </c>
      <c r="AA11" s="292"/>
      <c r="AB11" s="292"/>
      <c r="AC11" s="292"/>
      <c r="AD11" s="292"/>
      <c r="AE11" s="292"/>
      <c r="AF11" s="292"/>
      <c r="AG11" s="292"/>
      <c r="AH11" s="292"/>
      <c r="AI11" s="292"/>
      <c r="AJ11" s="292"/>
      <c r="AK11" s="292"/>
      <c r="AL11" s="292"/>
      <c r="AM11" s="292"/>
      <c r="AN11" s="292"/>
      <c r="AO11" s="292"/>
      <c r="AP11" s="293"/>
    </row>
    <row r="12" spans="2:58" ht="15" customHeight="1">
      <c r="B12" s="263" t="s">
        <v>569</v>
      </c>
      <c r="C12" s="264"/>
      <c r="D12" s="264"/>
      <c r="E12" s="264"/>
      <c r="F12" s="264"/>
      <c r="G12" s="296" t="s">
        <v>658</v>
      </c>
      <c r="H12" s="297"/>
      <c r="I12" s="297"/>
      <c r="J12" s="297"/>
      <c r="K12" s="297"/>
      <c r="L12" s="297"/>
      <c r="M12" s="297"/>
      <c r="N12" s="297"/>
      <c r="O12" s="297"/>
      <c r="P12" s="297"/>
      <c r="Q12" s="297"/>
      <c r="R12" s="297"/>
      <c r="S12" s="297"/>
      <c r="T12" s="297"/>
      <c r="U12" s="297"/>
      <c r="V12" s="297"/>
      <c r="W12" s="297"/>
      <c r="X12" s="297"/>
      <c r="Y12" s="297"/>
      <c r="Z12" s="297"/>
      <c r="AA12" s="297"/>
      <c r="AB12" s="297"/>
      <c r="AC12" s="297"/>
      <c r="AD12" s="297"/>
      <c r="AE12" s="297"/>
      <c r="AF12" s="297"/>
      <c r="AG12" s="297"/>
      <c r="AH12" s="297"/>
      <c r="AI12" s="297"/>
      <c r="AJ12" s="297"/>
      <c r="AK12" s="297"/>
      <c r="AL12" s="297"/>
      <c r="AM12" s="297"/>
      <c r="AN12" s="297"/>
      <c r="AO12" s="297"/>
      <c r="AP12" s="298"/>
    </row>
    <row r="13" spans="2:58" ht="15" customHeight="1">
      <c r="B13" s="294"/>
      <c r="C13" s="295"/>
      <c r="D13" s="295"/>
      <c r="E13" s="295"/>
      <c r="F13" s="295"/>
      <c r="G13" s="299"/>
      <c r="H13" s="300"/>
      <c r="I13" s="300"/>
      <c r="J13" s="300"/>
      <c r="K13" s="300"/>
      <c r="L13" s="300"/>
      <c r="M13" s="300"/>
      <c r="N13" s="300"/>
      <c r="O13" s="300"/>
      <c r="P13" s="300"/>
      <c r="Q13" s="300"/>
      <c r="R13" s="300"/>
      <c r="S13" s="300"/>
      <c r="T13" s="300"/>
      <c r="U13" s="300"/>
      <c r="V13" s="300"/>
      <c r="W13" s="300"/>
      <c r="X13" s="300"/>
      <c r="Y13" s="300"/>
      <c r="Z13" s="300"/>
      <c r="AA13" s="300"/>
      <c r="AB13" s="300"/>
      <c r="AC13" s="300"/>
      <c r="AD13" s="300"/>
      <c r="AE13" s="300"/>
      <c r="AF13" s="300"/>
      <c r="AG13" s="300"/>
      <c r="AH13" s="300"/>
      <c r="AI13" s="300"/>
      <c r="AJ13" s="300"/>
      <c r="AK13" s="300"/>
      <c r="AL13" s="300"/>
      <c r="AM13" s="300"/>
      <c r="AN13" s="300"/>
      <c r="AO13" s="300"/>
      <c r="AP13" s="301"/>
    </row>
    <row r="14" spans="2:58" ht="15" customHeight="1">
      <c r="B14" s="263" t="s">
        <v>570</v>
      </c>
      <c r="C14" s="264"/>
      <c r="D14" s="264"/>
      <c r="E14" s="264"/>
      <c r="F14" s="265"/>
      <c r="G14" s="269" t="s">
        <v>571</v>
      </c>
      <c r="H14" s="269"/>
      <c r="I14" s="270">
        <f>AB14</f>
        <v>0</v>
      </c>
      <c r="J14" s="270"/>
      <c r="K14" s="270"/>
      <c r="L14" s="270"/>
      <c r="M14" s="270"/>
      <c r="N14" s="270"/>
      <c r="O14" s="270"/>
      <c r="P14" s="270"/>
      <c r="Q14" s="270"/>
      <c r="R14" s="270"/>
      <c r="S14" s="270"/>
      <c r="T14" s="270"/>
      <c r="U14" s="270"/>
      <c r="V14" s="270"/>
      <c r="W14" s="270"/>
      <c r="X14" s="270"/>
      <c r="Y14" s="272" t="s">
        <v>572</v>
      </c>
      <c r="Z14" s="272"/>
      <c r="AA14" s="274" t="s">
        <v>573</v>
      </c>
      <c r="AB14" s="275">
        <f>AJ32</f>
        <v>0</v>
      </c>
      <c r="AC14" s="275"/>
      <c r="AD14" s="275"/>
      <c r="AE14" s="275"/>
      <c r="AF14" s="275"/>
      <c r="AG14" s="275"/>
      <c r="AH14" s="275"/>
      <c r="AI14" s="275"/>
      <c r="AJ14" s="275"/>
      <c r="AK14" s="275"/>
      <c r="AL14" s="251" t="s">
        <v>574</v>
      </c>
      <c r="AM14" s="252" t="s">
        <v>575</v>
      </c>
      <c r="AN14" s="252"/>
      <c r="AO14" s="252"/>
      <c r="AP14" s="253"/>
    </row>
    <row r="15" spans="2:58" ht="15" customHeight="1" thickBot="1">
      <c r="B15" s="266"/>
      <c r="C15" s="267"/>
      <c r="D15" s="267"/>
      <c r="E15" s="267"/>
      <c r="F15" s="268"/>
      <c r="G15" s="269"/>
      <c r="H15" s="269"/>
      <c r="I15" s="271"/>
      <c r="J15" s="271"/>
      <c r="K15" s="271"/>
      <c r="L15" s="271"/>
      <c r="M15" s="271"/>
      <c r="N15" s="271"/>
      <c r="O15" s="271"/>
      <c r="P15" s="271"/>
      <c r="Q15" s="271"/>
      <c r="R15" s="271"/>
      <c r="S15" s="271"/>
      <c r="T15" s="271"/>
      <c r="U15" s="271"/>
      <c r="V15" s="271"/>
      <c r="W15" s="271"/>
      <c r="X15" s="271"/>
      <c r="Y15" s="273"/>
      <c r="Z15" s="273"/>
      <c r="AA15" s="274"/>
      <c r="AB15" s="276"/>
      <c r="AC15" s="276"/>
      <c r="AD15" s="276"/>
      <c r="AE15" s="276"/>
      <c r="AF15" s="276"/>
      <c r="AG15" s="276"/>
      <c r="AH15" s="276"/>
      <c r="AI15" s="276"/>
      <c r="AJ15" s="276"/>
      <c r="AK15" s="276"/>
      <c r="AL15" s="251"/>
      <c r="AM15" s="254"/>
      <c r="AN15" s="254"/>
      <c r="AO15" s="254"/>
      <c r="AP15" s="255"/>
    </row>
    <row r="16" spans="2:58" ht="20.100000000000001" customHeight="1" thickBot="1">
      <c r="B16" s="256" t="s">
        <v>576</v>
      </c>
      <c r="C16" s="257"/>
      <c r="D16" s="257"/>
      <c r="E16" s="257"/>
      <c r="F16" s="257"/>
      <c r="G16" s="257"/>
      <c r="H16" s="257"/>
      <c r="I16" s="257"/>
      <c r="J16" s="257"/>
      <c r="K16" s="257"/>
      <c r="L16" s="257"/>
      <c r="M16" s="257"/>
      <c r="N16" s="257"/>
      <c r="O16" s="257"/>
      <c r="P16" s="257"/>
      <c r="Q16" s="257"/>
      <c r="R16" s="257"/>
      <c r="S16" s="257"/>
      <c r="T16" s="257"/>
      <c r="U16" s="257"/>
      <c r="V16" s="257"/>
      <c r="W16" s="257"/>
      <c r="X16" s="257"/>
      <c r="Y16" s="257"/>
      <c r="Z16" s="257"/>
      <c r="AA16" s="257"/>
      <c r="AB16" s="257"/>
      <c r="AC16" s="257"/>
      <c r="AD16" s="257"/>
      <c r="AE16" s="257"/>
      <c r="AF16" s="257"/>
      <c r="AG16" s="257"/>
      <c r="AH16" s="257"/>
      <c r="AI16" s="257"/>
      <c r="AJ16" s="257"/>
      <c r="AK16" s="257"/>
      <c r="AL16" s="257"/>
      <c r="AM16" s="257"/>
      <c r="AN16" s="257"/>
      <c r="AO16" s="257"/>
      <c r="AP16" s="258"/>
    </row>
    <row r="17" spans="2:47" ht="39.950000000000003" customHeight="1">
      <c r="B17" s="259" t="s">
        <v>577</v>
      </c>
      <c r="C17" s="260"/>
      <c r="D17" s="260"/>
      <c r="E17" s="260"/>
      <c r="F17" s="260"/>
      <c r="G17" s="260" t="s">
        <v>578</v>
      </c>
      <c r="H17" s="260"/>
      <c r="I17" s="260"/>
      <c r="J17" s="260"/>
      <c r="K17" s="260"/>
      <c r="L17" s="261" t="s">
        <v>579</v>
      </c>
      <c r="M17" s="262"/>
      <c r="N17" s="261" t="s">
        <v>580</v>
      </c>
      <c r="O17" s="262"/>
      <c r="P17" s="260" t="s">
        <v>581</v>
      </c>
      <c r="Q17" s="260"/>
      <c r="R17" s="260"/>
      <c r="S17" s="260"/>
      <c r="T17" s="260"/>
      <c r="U17" s="260" t="s">
        <v>582</v>
      </c>
      <c r="V17" s="260"/>
      <c r="W17" s="260"/>
      <c r="X17" s="260"/>
      <c r="Y17" s="260"/>
      <c r="Z17" s="260" t="s">
        <v>583</v>
      </c>
      <c r="AA17" s="260"/>
      <c r="AB17" s="260"/>
      <c r="AC17" s="260"/>
      <c r="AD17" s="260"/>
      <c r="AE17" s="260" t="s">
        <v>584</v>
      </c>
      <c r="AF17" s="260"/>
      <c r="AG17" s="260"/>
      <c r="AH17" s="260"/>
      <c r="AI17" s="260"/>
      <c r="AJ17" s="277" t="s">
        <v>585</v>
      </c>
      <c r="AK17" s="277"/>
      <c r="AL17" s="277"/>
      <c r="AM17" s="277"/>
      <c r="AN17" s="277"/>
      <c r="AO17" s="277" t="s">
        <v>586</v>
      </c>
      <c r="AP17" s="278"/>
      <c r="AQ17" s="111"/>
    </row>
    <row r="18" spans="2:47" ht="24" customHeight="1">
      <c r="B18" s="203" t="s">
        <v>650</v>
      </c>
      <c r="C18" s="204"/>
      <c r="D18" s="204"/>
      <c r="E18" s="204"/>
      <c r="F18" s="205"/>
      <c r="G18" s="248">
        <v>700</v>
      </c>
      <c r="H18" s="249"/>
      <c r="I18" s="249"/>
      <c r="J18" s="249"/>
      <c r="K18" s="250"/>
      <c r="L18" s="200">
        <v>2</v>
      </c>
      <c r="M18" s="202"/>
      <c r="N18" s="200" t="s">
        <v>662</v>
      </c>
      <c r="O18" s="202"/>
      <c r="P18" s="238">
        <f>'내역서(700)'!H5</f>
        <v>16824354</v>
      </c>
      <c r="Q18" s="239"/>
      <c r="R18" s="239"/>
      <c r="S18" s="239"/>
      <c r="T18" s="240"/>
      <c r="U18" s="238">
        <f>'내역서(700)'!J5</f>
        <v>12637708</v>
      </c>
      <c r="V18" s="239"/>
      <c r="W18" s="239"/>
      <c r="X18" s="239"/>
      <c r="Y18" s="240"/>
      <c r="Z18" s="238">
        <f>'내역서(700)'!L5</f>
        <v>8440208</v>
      </c>
      <c r="AA18" s="239"/>
      <c r="AB18" s="239"/>
      <c r="AC18" s="239"/>
      <c r="AD18" s="240"/>
      <c r="AE18" s="238">
        <f>SUM(P18:AD18)</f>
        <v>37902270</v>
      </c>
      <c r="AF18" s="239"/>
      <c r="AG18" s="239"/>
      <c r="AH18" s="239"/>
      <c r="AI18" s="240"/>
      <c r="AJ18" s="238">
        <f>AE18*L18</f>
        <v>75804540</v>
      </c>
      <c r="AK18" s="239"/>
      <c r="AL18" s="239"/>
      <c r="AM18" s="239"/>
      <c r="AN18" s="240"/>
      <c r="AO18" s="241" t="s">
        <v>651</v>
      </c>
      <c r="AP18" s="242"/>
    </row>
    <row r="19" spans="2:47" ht="24" customHeight="1">
      <c r="B19" s="245" t="s">
        <v>661</v>
      </c>
      <c r="C19" s="246"/>
      <c r="D19" s="246"/>
      <c r="E19" s="246"/>
      <c r="F19" s="247"/>
      <c r="G19" s="248">
        <v>1350</v>
      </c>
      <c r="H19" s="249"/>
      <c r="I19" s="249"/>
      <c r="J19" s="249"/>
      <c r="K19" s="250"/>
      <c r="L19" s="200">
        <v>1</v>
      </c>
      <c r="M19" s="202"/>
      <c r="N19" s="200" t="s">
        <v>662</v>
      </c>
      <c r="O19" s="202"/>
      <c r="P19" s="238">
        <f>'내역서(1350)'!H5</f>
        <v>42042653</v>
      </c>
      <c r="Q19" s="239"/>
      <c r="R19" s="239"/>
      <c r="S19" s="239"/>
      <c r="T19" s="240"/>
      <c r="U19" s="238">
        <f>'내역서(1350)'!J5</f>
        <v>29448519</v>
      </c>
      <c r="V19" s="239"/>
      <c r="W19" s="239"/>
      <c r="X19" s="239"/>
      <c r="Y19" s="240"/>
      <c r="Z19" s="238">
        <f>'내역서(1350)'!L5</f>
        <v>13996950</v>
      </c>
      <c r="AA19" s="239"/>
      <c r="AB19" s="239"/>
      <c r="AC19" s="239"/>
      <c r="AD19" s="240"/>
      <c r="AE19" s="238">
        <f>SUM(P19:AD19)</f>
        <v>85488122</v>
      </c>
      <c r="AF19" s="239"/>
      <c r="AG19" s="239"/>
      <c r="AH19" s="239"/>
      <c r="AI19" s="240"/>
      <c r="AJ19" s="238">
        <f>AE19*L19</f>
        <v>85488122</v>
      </c>
      <c r="AK19" s="239"/>
      <c r="AL19" s="239"/>
      <c r="AM19" s="239"/>
      <c r="AN19" s="240"/>
      <c r="AO19" s="243"/>
      <c r="AP19" s="244"/>
    </row>
    <row r="20" spans="2:47" ht="24" customHeight="1">
      <c r="B20" s="203"/>
      <c r="C20" s="204"/>
      <c r="D20" s="204"/>
      <c r="E20" s="204"/>
      <c r="F20" s="205"/>
      <c r="G20" s="200"/>
      <c r="H20" s="201"/>
      <c r="I20" s="201"/>
      <c r="J20" s="201"/>
      <c r="K20" s="202"/>
      <c r="L20" s="200"/>
      <c r="M20" s="202"/>
      <c r="N20" s="200"/>
      <c r="O20" s="202"/>
      <c r="P20" s="238"/>
      <c r="Q20" s="239"/>
      <c r="R20" s="239"/>
      <c r="S20" s="239"/>
      <c r="T20" s="240"/>
      <c r="U20" s="238"/>
      <c r="V20" s="239"/>
      <c r="W20" s="239"/>
      <c r="X20" s="239"/>
      <c r="Y20" s="240"/>
      <c r="Z20" s="238"/>
      <c r="AA20" s="239"/>
      <c r="AB20" s="239"/>
      <c r="AC20" s="239"/>
      <c r="AD20" s="240"/>
      <c r="AE20" s="238"/>
      <c r="AF20" s="239"/>
      <c r="AG20" s="239"/>
      <c r="AH20" s="239"/>
      <c r="AI20" s="240"/>
      <c r="AJ20" s="238"/>
      <c r="AK20" s="239"/>
      <c r="AL20" s="239"/>
      <c r="AM20" s="239"/>
      <c r="AN20" s="240"/>
      <c r="AO20" s="226"/>
      <c r="AP20" s="227"/>
    </row>
    <row r="21" spans="2:47" ht="24" customHeight="1">
      <c r="B21" s="203"/>
      <c r="C21" s="204"/>
      <c r="D21" s="204"/>
      <c r="E21" s="204"/>
      <c r="F21" s="205"/>
      <c r="G21" s="200"/>
      <c r="H21" s="201"/>
      <c r="I21" s="201"/>
      <c r="J21" s="201"/>
      <c r="K21" s="202"/>
      <c r="L21" s="200"/>
      <c r="M21" s="202"/>
      <c r="N21" s="200"/>
      <c r="O21" s="202"/>
      <c r="P21" s="238"/>
      <c r="Q21" s="239"/>
      <c r="R21" s="239"/>
      <c r="S21" s="239"/>
      <c r="T21" s="240"/>
      <c r="U21" s="238"/>
      <c r="V21" s="239"/>
      <c r="W21" s="239"/>
      <c r="X21" s="239"/>
      <c r="Y21" s="240"/>
      <c r="Z21" s="238"/>
      <c r="AA21" s="239"/>
      <c r="AB21" s="239"/>
      <c r="AC21" s="239"/>
      <c r="AD21" s="240"/>
      <c r="AE21" s="238"/>
      <c r="AF21" s="239"/>
      <c r="AG21" s="239"/>
      <c r="AH21" s="239"/>
      <c r="AI21" s="240"/>
      <c r="AJ21" s="238"/>
      <c r="AK21" s="239"/>
      <c r="AL21" s="239"/>
      <c r="AM21" s="239"/>
      <c r="AN21" s="240"/>
      <c r="AO21" s="226"/>
      <c r="AP21" s="227"/>
    </row>
    <row r="22" spans="2:47" ht="24" customHeight="1">
      <c r="B22" s="203"/>
      <c r="C22" s="204"/>
      <c r="D22" s="204"/>
      <c r="E22" s="204"/>
      <c r="F22" s="205"/>
      <c r="G22" s="200"/>
      <c r="H22" s="201"/>
      <c r="I22" s="201"/>
      <c r="J22" s="201"/>
      <c r="K22" s="202"/>
      <c r="L22" s="200"/>
      <c r="M22" s="202"/>
      <c r="N22" s="200"/>
      <c r="O22" s="202"/>
      <c r="P22" s="238"/>
      <c r="Q22" s="239"/>
      <c r="R22" s="239"/>
      <c r="S22" s="239"/>
      <c r="T22" s="240"/>
      <c r="U22" s="238"/>
      <c r="V22" s="239"/>
      <c r="W22" s="239"/>
      <c r="X22" s="239"/>
      <c r="Y22" s="240"/>
      <c r="Z22" s="238"/>
      <c r="AA22" s="239"/>
      <c r="AB22" s="239"/>
      <c r="AC22" s="239"/>
      <c r="AD22" s="240"/>
      <c r="AE22" s="238"/>
      <c r="AF22" s="239"/>
      <c r="AG22" s="239"/>
      <c r="AH22" s="239"/>
      <c r="AI22" s="240"/>
      <c r="AJ22" s="238"/>
      <c r="AK22" s="239"/>
      <c r="AL22" s="239"/>
      <c r="AM22" s="239"/>
      <c r="AN22" s="240"/>
      <c r="AO22" s="226"/>
      <c r="AP22" s="227"/>
    </row>
    <row r="23" spans="2:47" ht="24" customHeight="1">
      <c r="B23" s="203"/>
      <c r="C23" s="204"/>
      <c r="D23" s="204"/>
      <c r="E23" s="204"/>
      <c r="F23" s="205"/>
      <c r="G23" s="200"/>
      <c r="H23" s="201"/>
      <c r="I23" s="201"/>
      <c r="J23" s="201"/>
      <c r="K23" s="202"/>
      <c r="L23" s="200"/>
      <c r="M23" s="202"/>
      <c r="N23" s="200"/>
      <c r="O23" s="202"/>
      <c r="P23" s="238"/>
      <c r="Q23" s="239"/>
      <c r="R23" s="239"/>
      <c r="S23" s="239"/>
      <c r="T23" s="240"/>
      <c r="U23" s="238"/>
      <c r="V23" s="239"/>
      <c r="W23" s="239"/>
      <c r="X23" s="239"/>
      <c r="Y23" s="240"/>
      <c r="Z23" s="238"/>
      <c r="AA23" s="239"/>
      <c r="AB23" s="239"/>
      <c r="AC23" s="239"/>
      <c r="AD23" s="240"/>
      <c r="AE23" s="238"/>
      <c r="AF23" s="239"/>
      <c r="AG23" s="239"/>
      <c r="AH23" s="239"/>
      <c r="AI23" s="240"/>
      <c r="AJ23" s="238"/>
      <c r="AK23" s="239"/>
      <c r="AL23" s="239"/>
      <c r="AM23" s="239"/>
      <c r="AN23" s="240"/>
      <c r="AO23" s="226"/>
      <c r="AP23" s="227"/>
    </row>
    <row r="24" spans="2:47" ht="24" customHeight="1">
      <c r="B24" s="203"/>
      <c r="C24" s="204"/>
      <c r="D24" s="204"/>
      <c r="E24" s="204"/>
      <c r="F24" s="205"/>
      <c r="G24" s="200"/>
      <c r="H24" s="201"/>
      <c r="I24" s="201"/>
      <c r="J24" s="201"/>
      <c r="K24" s="202"/>
      <c r="L24" s="200"/>
      <c r="M24" s="202"/>
      <c r="N24" s="200"/>
      <c r="O24" s="202"/>
      <c r="P24" s="238"/>
      <c r="Q24" s="239"/>
      <c r="R24" s="239"/>
      <c r="S24" s="239"/>
      <c r="T24" s="240"/>
      <c r="U24" s="238"/>
      <c r="V24" s="239"/>
      <c r="W24" s="239"/>
      <c r="X24" s="239"/>
      <c r="Y24" s="240"/>
      <c r="Z24" s="238"/>
      <c r="AA24" s="239"/>
      <c r="AB24" s="239"/>
      <c r="AC24" s="239"/>
      <c r="AD24" s="240"/>
      <c r="AE24" s="238"/>
      <c r="AF24" s="239"/>
      <c r="AG24" s="239"/>
      <c r="AH24" s="239"/>
      <c r="AI24" s="240"/>
      <c r="AJ24" s="238"/>
      <c r="AK24" s="239"/>
      <c r="AL24" s="239"/>
      <c r="AM24" s="239"/>
      <c r="AN24" s="240"/>
      <c r="AO24" s="226"/>
      <c r="AP24" s="227"/>
    </row>
    <row r="25" spans="2:47" ht="24" customHeight="1">
      <c r="B25" s="203"/>
      <c r="C25" s="204"/>
      <c r="D25" s="204"/>
      <c r="E25" s="204"/>
      <c r="F25" s="205"/>
      <c r="G25" s="200"/>
      <c r="H25" s="201"/>
      <c r="I25" s="201"/>
      <c r="J25" s="201"/>
      <c r="K25" s="202"/>
      <c r="L25" s="200"/>
      <c r="M25" s="202"/>
      <c r="N25" s="200"/>
      <c r="O25" s="202"/>
      <c r="P25" s="238"/>
      <c r="Q25" s="239"/>
      <c r="R25" s="239"/>
      <c r="S25" s="239"/>
      <c r="T25" s="240"/>
      <c r="U25" s="238"/>
      <c r="V25" s="239"/>
      <c r="W25" s="239"/>
      <c r="X25" s="239"/>
      <c r="Y25" s="240"/>
      <c r="Z25" s="238"/>
      <c r="AA25" s="239"/>
      <c r="AB25" s="239"/>
      <c r="AC25" s="239"/>
      <c r="AD25" s="240"/>
      <c r="AE25" s="238"/>
      <c r="AF25" s="239"/>
      <c r="AG25" s="239"/>
      <c r="AH25" s="239"/>
      <c r="AI25" s="240"/>
      <c r="AJ25" s="238"/>
      <c r="AK25" s="239"/>
      <c r="AL25" s="239"/>
      <c r="AM25" s="239"/>
      <c r="AN25" s="240"/>
      <c r="AO25" s="226"/>
      <c r="AP25" s="227"/>
    </row>
    <row r="26" spans="2:47" ht="24" customHeight="1">
      <c r="B26" s="203"/>
      <c r="C26" s="204"/>
      <c r="D26" s="204"/>
      <c r="E26" s="204"/>
      <c r="F26" s="205"/>
      <c r="G26" s="200"/>
      <c r="H26" s="201"/>
      <c r="I26" s="201"/>
      <c r="J26" s="201"/>
      <c r="K26" s="202"/>
      <c r="L26" s="200"/>
      <c r="M26" s="202"/>
      <c r="N26" s="200"/>
      <c r="O26" s="202"/>
      <c r="P26" s="238"/>
      <c r="Q26" s="239"/>
      <c r="R26" s="239"/>
      <c r="S26" s="239"/>
      <c r="T26" s="240"/>
      <c r="U26" s="238"/>
      <c r="V26" s="239"/>
      <c r="W26" s="239"/>
      <c r="X26" s="239"/>
      <c r="Y26" s="240"/>
      <c r="Z26" s="238"/>
      <c r="AA26" s="239"/>
      <c r="AB26" s="239"/>
      <c r="AC26" s="239"/>
      <c r="AD26" s="240"/>
      <c r="AE26" s="238"/>
      <c r="AF26" s="239"/>
      <c r="AG26" s="239"/>
      <c r="AH26" s="239"/>
      <c r="AI26" s="240"/>
      <c r="AJ26" s="238"/>
      <c r="AK26" s="239"/>
      <c r="AL26" s="239"/>
      <c r="AM26" s="239"/>
      <c r="AN26" s="240"/>
      <c r="AO26" s="226"/>
      <c r="AP26" s="227"/>
    </row>
    <row r="27" spans="2:47" ht="24" customHeight="1">
      <c r="B27" s="203"/>
      <c r="C27" s="204"/>
      <c r="D27" s="204"/>
      <c r="E27" s="204"/>
      <c r="F27" s="205"/>
      <c r="G27" s="200"/>
      <c r="H27" s="201"/>
      <c r="I27" s="201"/>
      <c r="J27" s="201"/>
      <c r="K27" s="202"/>
      <c r="L27" s="200"/>
      <c r="M27" s="202"/>
      <c r="N27" s="200"/>
      <c r="O27" s="202"/>
      <c r="P27" s="238"/>
      <c r="Q27" s="239"/>
      <c r="R27" s="239"/>
      <c r="S27" s="239"/>
      <c r="T27" s="240"/>
      <c r="U27" s="238"/>
      <c r="V27" s="239"/>
      <c r="W27" s="239"/>
      <c r="X27" s="239"/>
      <c r="Y27" s="240"/>
      <c r="Z27" s="238"/>
      <c r="AA27" s="239"/>
      <c r="AB27" s="239"/>
      <c r="AC27" s="239"/>
      <c r="AD27" s="240"/>
      <c r="AE27" s="238"/>
      <c r="AF27" s="239"/>
      <c r="AG27" s="239"/>
      <c r="AH27" s="239"/>
      <c r="AI27" s="240"/>
      <c r="AJ27" s="238"/>
      <c r="AK27" s="239"/>
      <c r="AL27" s="239"/>
      <c r="AM27" s="239"/>
      <c r="AN27" s="240"/>
      <c r="AO27" s="226"/>
      <c r="AP27" s="227"/>
    </row>
    <row r="28" spans="2:47" ht="24" customHeight="1">
      <c r="B28" s="203"/>
      <c r="C28" s="204"/>
      <c r="D28" s="204"/>
      <c r="E28" s="204"/>
      <c r="F28" s="205"/>
      <c r="G28" s="200"/>
      <c r="H28" s="201"/>
      <c r="I28" s="201"/>
      <c r="J28" s="201"/>
      <c r="K28" s="202"/>
      <c r="L28" s="200"/>
      <c r="M28" s="202"/>
      <c r="N28" s="200"/>
      <c r="O28" s="202"/>
      <c r="P28" s="238"/>
      <c r="Q28" s="239"/>
      <c r="R28" s="239"/>
      <c r="S28" s="239"/>
      <c r="T28" s="240"/>
      <c r="U28" s="238"/>
      <c r="V28" s="239"/>
      <c r="W28" s="239"/>
      <c r="X28" s="239"/>
      <c r="Y28" s="240"/>
      <c r="Z28" s="238"/>
      <c r="AA28" s="239"/>
      <c r="AB28" s="239"/>
      <c r="AC28" s="239"/>
      <c r="AD28" s="240"/>
      <c r="AE28" s="238"/>
      <c r="AF28" s="239"/>
      <c r="AG28" s="239"/>
      <c r="AH28" s="239"/>
      <c r="AI28" s="240"/>
      <c r="AJ28" s="238"/>
      <c r="AK28" s="239"/>
      <c r="AL28" s="239"/>
      <c r="AM28" s="239"/>
      <c r="AN28" s="240"/>
      <c r="AO28" s="226"/>
      <c r="AP28" s="227"/>
      <c r="AU28" s="112"/>
    </row>
    <row r="29" spans="2:47" ht="24" customHeight="1">
      <c r="B29" s="203"/>
      <c r="C29" s="204"/>
      <c r="D29" s="204"/>
      <c r="E29" s="204"/>
      <c r="F29" s="205"/>
      <c r="G29" s="200"/>
      <c r="H29" s="201"/>
      <c r="I29" s="201"/>
      <c r="J29" s="201"/>
      <c r="K29" s="202"/>
      <c r="L29" s="200"/>
      <c r="M29" s="202"/>
      <c r="N29" s="200"/>
      <c r="O29" s="202"/>
      <c r="P29" s="238"/>
      <c r="Q29" s="239"/>
      <c r="R29" s="239"/>
      <c r="S29" s="239"/>
      <c r="T29" s="240"/>
      <c r="U29" s="238"/>
      <c r="V29" s="239"/>
      <c r="W29" s="239"/>
      <c r="X29" s="239"/>
      <c r="Y29" s="240"/>
      <c r="Z29" s="238"/>
      <c r="AA29" s="239"/>
      <c r="AB29" s="239"/>
      <c r="AC29" s="239"/>
      <c r="AD29" s="240"/>
      <c r="AE29" s="238"/>
      <c r="AF29" s="239"/>
      <c r="AG29" s="239"/>
      <c r="AH29" s="239"/>
      <c r="AI29" s="240"/>
      <c r="AJ29" s="238"/>
      <c r="AK29" s="239"/>
      <c r="AL29" s="239"/>
      <c r="AM29" s="239"/>
      <c r="AN29" s="240"/>
      <c r="AO29" s="226"/>
      <c r="AP29" s="227"/>
      <c r="AU29" s="112"/>
    </row>
    <row r="30" spans="2:47" ht="24" customHeight="1">
      <c r="B30" s="203"/>
      <c r="C30" s="204"/>
      <c r="D30" s="204"/>
      <c r="E30" s="204"/>
      <c r="F30" s="205"/>
      <c r="G30" s="200"/>
      <c r="H30" s="201"/>
      <c r="I30" s="201"/>
      <c r="J30" s="201"/>
      <c r="K30" s="202"/>
      <c r="L30" s="200"/>
      <c r="M30" s="202"/>
      <c r="N30" s="200"/>
      <c r="O30" s="202"/>
      <c r="P30" s="238"/>
      <c r="Q30" s="239"/>
      <c r="R30" s="239"/>
      <c r="S30" s="239"/>
      <c r="T30" s="240"/>
      <c r="U30" s="238"/>
      <c r="V30" s="239"/>
      <c r="W30" s="239"/>
      <c r="X30" s="239"/>
      <c r="Y30" s="240"/>
      <c r="Z30" s="238"/>
      <c r="AA30" s="239"/>
      <c r="AB30" s="239"/>
      <c r="AC30" s="239"/>
      <c r="AD30" s="240"/>
      <c r="AE30" s="238"/>
      <c r="AF30" s="239"/>
      <c r="AG30" s="239"/>
      <c r="AH30" s="239"/>
      <c r="AI30" s="240"/>
      <c r="AJ30" s="238"/>
      <c r="AK30" s="239"/>
      <c r="AL30" s="239"/>
      <c r="AM30" s="239"/>
      <c r="AN30" s="240"/>
      <c r="AO30" s="226"/>
      <c r="AP30" s="227"/>
      <c r="AU30" s="112"/>
    </row>
    <row r="31" spans="2:47" ht="24" customHeight="1" thickBot="1">
      <c r="B31" s="228" t="s">
        <v>837</v>
      </c>
      <c r="C31" s="229"/>
      <c r="D31" s="229"/>
      <c r="E31" s="229"/>
      <c r="F31" s="229"/>
      <c r="G31" s="229"/>
      <c r="H31" s="229"/>
      <c r="I31" s="229"/>
      <c r="J31" s="229"/>
      <c r="K31" s="230"/>
      <c r="L31" s="231"/>
      <c r="M31" s="232"/>
      <c r="N31" s="231"/>
      <c r="O31" s="232"/>
      <c r="P31" s="233"/>
      <c r="Q31" s="234"/>
      <c r="R31" s="234"/>
      <c r="S31" s="234"/>
      <c r="T31" s="235"/>
      <c r="U31" s="233"/>
      <c r="V31" s="234"/>
      <c r="W31" s="234"/>
      <c r="X31" s="234"/>
      <c r="Y31" s="235"/>
      <c r="Z31" s="233"/>
      <c r="AA31" s="234"/>
      <c r="AB31" s="234"/>
      <c r="AC31" s="234"/>
      <c r="AD31" s="235"/>
      <c r="AE31" s="233"/>
      <c r="AF31" s="234"/>
      <c r="AG31" s="234"/>
      <c r="AH31" s="234"/>
      <c r="AI31" s="235"/>
      <c r="AJ31" s="233"/>
      <c r="AK31" s="234"/>
      <c r="AL31" s="234"/>
      <c r="AM31" s="234"/>
      <c r="AN31" s="235"/>
      <c r="AO31" s="236"/>
      <c r="AP31" s="237"/>
    </row>
    <row r="32" spans="2:47" ht="24" customHeight="1" thickBot="1">
      <c r="B32" s="206" t="s">
        <v>836</v>
      </c>
      <c r="C32" s="207"/>
      <c r="D32" s="207"/>
      <c r="E32" s="207"/>
      <c r="F32" s="207"/>
      <c r="G32" s="207"/>
      <c r="H32" s="207"/>
      <c r="I32" s="207"/>
      <c r="J32" s="207"/>
      <c r="K32" s="207"/>
      <c r="L32" s="207"/>
      <c r="M32" s="207"/>
      <c r="N32" s="207"/>
      <c r="O32" s="207"/>
      <c r="P32" s="207"/>
      <c r="Q32" s="207"/>
      <c r="R32" s="207"/>
      <c r="S32" s="207"/>
      <c r="T32" s="207"/>
      <c r="U32" s="207"/>
      <c r="V32" s="207"/>
      <c r="W32" s="207"/>
      <c r="X32" s="207"/>
      <c r="Y32" s="207"/>
      <c r="Z32" s="207"/>
      <c r="AA32" s="207"/>
      <c r="AB32" s="207"/>
      <c r="AC32" s="207"/>
      <c r="AD32" s="207"/>
      <c r="AE32" s="207"/>
      <c r="AF32" s="207"/>
      <c r="AG32" s="207"/>
      <c r="AH32" s="207"/>
      <c r="AI32" s="208"/>
      <c r="AJ32" s="209">
        <f>AJ20+AJ23+AJ26+AJ28+AJ31</f>
        <v>0</v>
      </c>
      <c r="AK32" s="209"/>
      <c r="AL32" s="209"/>
      <c r="AM32" s="209"/>
      <c r="AN32" s="209"/>
      <c r="AO32" s="209"/>
      <c r="AP32" s="210"/>
    </row>
    <row r="33" spans="2:64" ht="20.100000000000001" customHeight="1">
      <c r="B33" s="211" t="s">
        <v>587</v>
      </c>
      <c r="C33" s="212"/>
      <c r="D33" s="217" t="s">
        <v>657</v>
      </c>
      <c r="E33" s="218"/>
      <c r="F33" s="218"/>
      <c r="G33" s="218"/>
      <c r="H33" s="218"/>
      <c r="I33" s="218"/>
      <c r="J33" s="218"/>
      <c r="K33" s="218"/>
      <c r="L33" s="218"/>
      <c r="M33" s="218"/>
      <c r="N33" s="218"/>
      <c r="O33" s="218"/>
      <c r="P33" s="218"/>
      <c r="Q33" s="218"/>
      <c r="R33" s="218"/>
      <c r="S33" s="218"/>
      <c r="T33" s="218"/>
      <c r="U33" s="218"/>
      <c r="V33" s="218"/>
      <c r="W33" s="218"/>
      <c r="X33" s="218"/>
      <c r="Y33" s="218"/>
      <c r="Z33" s="218"/>
      <c r="AA33" s="218"/>
      <c r="AB33" s="218"/>
      <c r="AC33" s="218"/>
      <c r="AD33" s="218"/>
      <c r="AE33" s="218"/>
      <c r="AF33" s="218"/>
      <c r="AG33" s="218"/>
      <c r="AH33" s="218"/>
      <c r="AI33" s="218"/>
      <c r="AJ33" s="218"/>
      <c r="AK33" s="218"/>
      <c r="AL33" s="218"/>
      <c r="AM33" s="218"/>
      <c r="AN33" s="218"/>
      <c r="AO33" s="218"/>
      <c r="AP33" s="219"/>
    </row>
    <row r="34" spans="2:64" ht="20.100000000000001" customHeight="1">
      <c r="B34" s="213"/>
      <c r="C34" s="214"/>
      <c r="D34" s="220"/>
      <c r="E34" s="221"/>
      <c r="F34" s="221"/>
      <c r="G34" s="221"/>
      <c r="H34" s="221"/>
      <c r="I34" s="221"/>
      <c r="J34" s="221"/>
      <c r="K34" s="221"/>
      <c r="L34" s="221"/>
      <c r="M34" s="221"/>
      <c r="N34" s="221"/>
      <c r="O34" s="221"/>
      <c r="P34" s="221"/>
      <c r="Q34" s="221"/>
      <c r="R34" s="221"/>
      <c r="S34" s="221"/>
      <c r="T34" s="221"/>
      <c r="U34" s="221"/>
      <c r="V34" s="221"/>
      <c r="W34" s="221"/>
      <c r="X34" s="221"/>
      <c r="Y34" s="221"/>
      <c r="Z34" s="221"/>
      <c r="AA34" s="221"/>
      <c r="AB34" s="221"/>
      <c r="AC34" s="221"/>
      <c r="AD34" s="221"/>
      <c r="AE34" s="221"/>
      <c r="AF34" s="221"/>
      <c r="AG34" s="221"/>
      <c r="AH34" s="221"/>
      <c r="AI34" s="221"/>
      <c r="AJ34" s="221"/>
      <c r="AK34" s="221"/>
      <c r="AL34" s="221"/>
      <c r="AM34" s="221"/>
      <c r="AN34" s="221"/>
      <c r="AO34" s="221"/>
      <c r="AP34" s="222"/>
      <c r="BL34" s="112"/>
    </row>
    <row r="35" spans="2:64" ht="20.100000000000001" customHeight="1">
      <c r="B35" s="213"/>
      <c r="C35" s="214"/>
      <c r="D35" s="220"/>
      <c r="E35" s="221"/>
      <c r="F35" s="221"/>
      <c r="G35" s="221"/>
      <c r="H35" s="221"/>
      <c r="I35" s="221"/>
      <c r="J35" s="221"/>
      <c r="K35" s="221"/>
      <c r="L35" s="221"/>
      <c r="M35" s="221"/>
      <c r="N35" s="221"/>
      <c r="O35" s="221"/>
      <c r="P35" s="221"/>
      <c r="Q35" s="221"/>
      <c r="R35" s="221"/>
      <c r="S35" s="221"/>
      <c r="T35" s="221"/>
      <c r="U35" s="221"/>
      <c r="V35" s="221"/>
      <c r="W35" s="221"/>
      <c r="X35" s="221"/>
      <c r="Y35" s="221"/>
      <c r="Z35" s="221"/>
      <c r="AA35" s="221"/>
      <c r="AB35" s="221"/>
      <c r="AC35" s="221"/>
      <c r="AD35" s="221"/>
      <c r="AE35" s="221"/>
      <c r="AF35" s="221"/>
      <c r="AG35" s="221"/>
      <c r="AH35" s="221"/>
      <c r="AI35" s="221"/>
      <c r="AJ35" s="221"/>
      <c r="AK35" s="221"/>
      <c r="AL35" s="221"/>
      <c r="AM35" s="221"/>
      <c r="AN35" s="221"/>
      <c r="AO35" s="221"/>
      <c r="AP35" s="222"/>
    </row>
    <row r="36" spans="2:64" ht="20.100000000000001" customHeight="1">
      <c r="B36" s="213"/>
      <c r="C36" s="214"/>
      <c r="D36" s="220"/>
      <c r="E36" s="221"/>
      <c r="F36" s="221"/>
      <c r="G36" s="221"/>
      <c r="H36" s="221"/>
      <c r="I36" s="221"/>
      <c r="J36" s="221"/>
      <c r="K36" s="221"/>
      <c r="L36" s="221"/>
      <c r="M36" s="221"/>
      <c r="N36" s="221"/>
      <c r="O36" s="221"/>
      <c r="P36" s="221"/>
      <c r="Q36" s="221"/>
      <c r="R36" s="221"/>
      <c r="S36" s="221"/>
      <c r="T36" s="221"/>
      <c r="U36" s="221"/>
      <c r="V36" s="221"/>
      <c r="W36" s="221"/>
      <c r="X36" s="221"/>
      <c r="Y36" s="221"/>
      <c r="Z36" s="221"/>
      <c r="AA36" s="221"/>
      <c r="AB36" s="221"/>
      <c r="AC36" s="221"/>
      <c r="AD36" s="221"/>
      <c r="AE36" s="221"/>
      <c r="AF36" s="221"/>
      <c r="AG36" s="221"/>
      <c r="AH36" s="221"/>
      <c r="AI36" s="221"/>
      <c r="AJ36" s="221"/>
      <c r="AK36" s="221"/>
      <c r="AL36" s="221"/>
      <c r="AM36" s="221"/>
      <c r="AN36" s="221"/>
      <c r="AO36" s="221"/>
      <c r="AP36" s="222"/>
    </row>
    <row r="37" spans="2:64" ht="20.100000000000001" customHeight="1">
      <c r="B37" s="213"/>
      <c r="C37" s="214"/>
      <c r="D37" s="220"/>
      <c r="E37" s="221"/>
      <c r="F37" s="221"/>
      <c r="G37" s="221"/>
      <c r="H37" s="221"/>
      <c r="I37" s="221"/>
      <c r="J37" s="221"/>
      <c r="K37" s="221"/>
      <c r="L37" s="221"/>
      <c r="M37" s="221"/>
      <c r="N37" s="221"/>
      <c r="O37" s="221"/>
      <c r="P37" s="221"/>
      <c r="Q37" s="221"/>
      <c r="R37" s="221"/>
      <c r="S37" s="221"/>
      <c r="T37" s="221"/>
      <c r="U37" s="221"/>
      <c r="V37" s="221"/>
      <c r="W37" s="221"/>
      <c r="X37" s="221"/>
      <c r="Y37" s="221"/>
      <c r="Z37" s="221"/>
      <c r="AA37" s="221"/>
      <c r="AB37" s="221"/>
      <c r="AC37" s="221"/>
      <c r="AD37" s="221"/>
      <c r="AE37" s="221"/>
      <c r="AF37" s="221"/>
      <c r="AG37" s="221"/>
      <c r="AH37" s="221"/>
      <c r="AI37" s="221"/>
      <c r="AJ37" s="221"/>
      <c r="AK37" s="221"/>
      <c r="AL37" s="221"/>
      <c r="AM37" s="221"/>
      <c r="AN37" s="221"/>
      <c r="AO37" s="221"/>
      <c r="AP37" s="222"/>
    </row>
    <row r="38" spans="2:64" ht="20.100000000000001" customHeight="1" thickBot="1">
      <c r="B38" s="215"/>
      <c r="C38" s="216"/>
      <c r="D38" s="223"/>
      <c r="E38" s="224"/>
      <c r="F38" s="224"/>
      <c r="G38" s="224"/>
      <c r="H38" s="224"/>
      <c r="I38" s="224"/>
      <c r="J38" s="224"/>
      <c r="K38" s="224"/>
      <c r="L38" s="224"/>
      <c r="M38" s="224"/>
      <c r="N38" s="224"/>
      <c r="O38" s="224"/>
      <c r="P38" s="224"/>
      <c r="Q38" s="224"/>
      <c r="R38" s="224"/>
      <c r="S38" s="224"/>
      <c r="T38" s="224"/>
      <c r="U38" s="224"/>
      <c r="V38" s="224"/>
      <c r="W38" s="224"/>
      <c r="X38" s="224"/>
      <c r="Y38" s="224"/>
      <c r="Z38" s="224"/>
      <c r="AA38" s="224"/>
      <c r="AB38" s="224"/>
      <c r="AC38" s="224"/>
      <c r="AD38" s="224"/>
      <c r="AE38" s="224"/>
      <c r="AF38" s="224"/>
      <c r="AG38" s="224"/>
      <c r="AH38" s="224"/>
      <c r="AI38" s="224"/>
      <c r="AJ38" s="224"/>
      <c r="AK38" s="224"/>
      <c r="AL38" s="224"/>
      <c r="AM38" s="224"/>
      <c r="AN38" s="224"/>
      <c r="AO38" s="224"/>
      <c r="AP38" s="225"/>
    </row>
  </sheetData>
  <mergeCells count="200">
    <mergeCell ref="AO25:AP25"/>
    <mergeCell ref="AO24:AP24"/>
    <mergeCell ref="B23:F23"/>
    <mergeCell ref="G23:K23"/>
    <mergeCell ref="AO22:AP22"/>
    <mergeCell ref="AO21:AP21"/>
    <mergeCell ref="B20:F20"/>
    <mergeCell ref="G20:K20"/>
    <mergeCell ref="B29:F29"/>
    <mergeCell ref="G29:K29"/>
    <mergeCell ref="AO20:AP20"/>
    <mergeCell ref="B21:F21"/>
    <mergeCell ref="G21:K21"/>
    <mergeCell ref="L21:M21"/>
    <mergeCell ref="N21:O21"/>
    <mergeCell ref="P21:T21"/>
    <mergeCell ref="U21:Y21"/>
    <mergeCell ref="Z21:AD21"/>
    <mergeCell ref="AE21:AI21"/>
    <mergeCell ref="AJ21:AN21"/>
    <mergeCell ref="L20:M20"/>
    <mergeCell ref="N20:O20"/>
    <mergeCell ref="P20:T20"/>
    <mergeCell ref="U20:Y20"/>
    <mergeCell ref="B2:AP4"/>
    <mergeCell ref="B5:F5"/>
    <mergeCell ref="G5:T5"/>
    <mergeCell ref="U5:V11"/>
    <mergeCell ref="W5:Y5"/>
    <mergeCell ref="Z5:AP5"/>
    <mergeCell ref="B6:F7"/>
    <mergeCell ref="G6:T7"/>
    <mergeCell ref="W6:Y6"/>
    <mergeCell ref="Z6:AF6"/>
    <mergeCell ref="AJ8:AP8"/>
    <mergeCell ref="B9:F9"/>
    <mergeCell ref="G9:T9"/>
    <mergeCell ref="W9:Y9"/>
    <mergeCell ref="Z9:AF9"/>
    <mergeCell ref="AG9:AI9"/>
    <mergeCell ref="AJ9:AP9"/>
    <mergeCell ref="AG6:AI6"/>
    <mergeCell ref="AJ6:AO6"/>
    <mergeCell ref="W7:Y7"/>
    <mergeCell ref="Z7:AP7"/>
    <mergeCell ref="B8:F8"/>
    <mergeCell ref="G8:R8"/>
    <mergeCell ref="S8:T8"/>
    <mergeCell ref="W8:Y8"/>
    <mergeCell ref="Z8:AF8"/>
    <mergeCell ref="AG8:AI8"/>
    <mergeCell ref="B11:F11"/>
    <mergeCell ref="G11:T11"/>
    <mergeCell ref="W11:Y11"/>
    <mergeCell ref="Z11:AP11"/>
    <mergeCell ref="B12:F13"/>
    <mergeCell ref="G12:AP13"/>
    <mergeCell ref="B10:F10"/>
    <mergeCell ref="G10:T10"/>
    <mergeCell ref="W10:Y10"/>
    <mergeCell ref="Z10:AF10"/>
    <mergeCell ref="AG10:AI10"/>
    <mergeCell ref="AJ10:AP10"/>
    <mergeCell ref="AL14:AL15"/>
    <mergeCell ref="AM14:AP15"/>
    <mergeCell ref="B16:AP16"/>
    <mergeCell ref="B17:F17"/>
    <mergeCell ref="G17:K17"/>
    <mergeCell ref="L17:M17"/>
    <mergeCell ref="N17:O17"/>
    <mergeCell ref="P17:T17"/>
    <mergeCell ref="U17:Y17"/>
    <mergeCell ref="Z17:AD17"/>
    <mergeCell ref="B14:F15"/>
    <mergeCell ref="G14:H15"/>
    <mergeCell ref="I14:X15"/>
    <mergeCell ref="Y14:Z15"/>
    <mergeCell ref="AA14:AA15"/>
    <mergeCell ref="AB14:AK15"/>
    <mergeCell ref="AE17:AI17"/>
    <mergeCell ref="AJ17:AN17"/>
    <mergeCell ref="AO17:AP17"/>
    <mergeCell ref="AO18:AP19"/>
    <mergeCell ref="B19:F19"/>
    <mergeCell ref="G19:K19"/>
    <mergeCell ref="L19:M19"/>
    <mergeCell ref="N19:O19"/>
    <mergeCell ref="P19:T19"/>
    <mergeCell ref="U19:Y19"/>
    <mergeCell ref="Z19:AD19"/>
    <mergeCell ref="AE19:AI19"/>
    <mergeCell ref="AJ19:AN19"/>
    <mergeCell ref="B18:F18"/>
    <mergeCell ref="G18:K18"/>
    <mergeCell ref="L18:M18"/>
    <mergeCell ref="N18:O18"/>
    <mergeCell ref="P18:T18"/>
    <mergeCell ref="U18:Y18"/>
    <mergeCell ref="Z18:AD18"/>
    <mergeCell ref="AE18:AI18"/>
    <mergeCell ref="AJ18:AN18"/>
    <mergeCell ref="Z20:AD20"/>
    <mergeCell ref="AE20:AI20"/>
    <mergeCell ref="AJ20:AN20"/>
    <mergeCell ref="AO23:AP23"/>
    <mergeCell ref="B24:F24"/>
    <mergeCell ref="G24:K24"/>
    <mergeCell ref="L24:M24"/>
    <mergeCell ref="N24:O24"/>
    <mergeCell ref="P24:T24"/>
    <mergeCell ref="U24:Y24"/>
    <mergeCell ref="Z24:AD24"/>
    <mergeCell ref="AE22:AI22"/>
    <mergeCell ref="AJ22:AN22"/>
    <mergeCell ref="L23:M23"/>
    <mergeCell ref="N23:O23"/>
    <mergeCell ref="P23:T23"/>
    <mergeCell ref="U23:Y23"/>
    <mergeCell ref="Z23:AD23"/>
    <mergeCell ref="AE23:AI23"/>
    <mergeCell ref="AJ23:AN23"/>
    <mergeCell ref="B22:F22"/>
    <mergeCell ref="G22:K22"/>
    <mergeCell ref="L22:M22"/>
    <mergeCell ref="N22:O22"/>
    <mergeCell ref="P22:T22"/>
    <mergeCell ref="U22:Y22"/>
    <mergeCell ref="Z22:AD22"/>
    <mergeCell ref="AE24:AI24"/>
    <mergeCell ref="AJ24:AN24"/>
    <mergeCell ref="AJ26:AN26"/>
    <mergeCell ref="B25:F25"/>
    <mergeCell ref="G25:K25"/>
    <mergeCell ref="L25:M25"/>
    <mergeCell ref="N25:O25"/>
    <mergeCell ref="P25:T25"/>
    <mergeCell ref="U25:Y25"/>
    <mergeCell ref="Z25:AD25"/>
    <mergeCell ref="AE25:AI25"/>
    <mergeCell ref="AJ25:AN25"/>
    <mergeCell ref="B26:F26"/>
    <mergeCell ref="G26:K26"/>
    <mergeCell ref="AE27:AI27"/>
    <mergeCell ref="AJ27:AN27"/>
    <mergeCell ref="L28:M28"/>
    <mergeCell ref="N28:O28"/>
    <mergeCell ref="P28:T28"/>
    <mergeCell ref="U28:Y28"/>
    <mergeCell ref="Z28:AD28"/>
    <mergeCell ref="AO26:AP26"/>
    <mergeCell ref="B27:F27"/>
    <mergeCell ref="G27:K27"/>
    <mergeCell ref="L27:M27"/>
    <mergeCell ref="N27:O27"/>
    <mergeCell ref="P27:T27"/>
    <mergeCell ref="U27:Y27"/>
    <mergeCell ref="Z27:AD27"/>
    <mergeCell ref="AO28:AP28"/>
    <mergeCell ref="AO27:AP27"/>
    <mergeCell ref="L26:M26"/>
    <mergeCell ref="N26:O26"/>
    <mergeCell ref="P26:T26"/>
    <mergeCell ref="U26:Y26"/>
    <mergeCell ref="Z26:AD26"/>
    <mergeCell ref="AE26:AI26"/>
    <mergeCell ref="B28:F28"/>
    <mergeCell ref="AE30:AI30"/>
    <mergeCell ref="AJ30:AN30"/>
    <mergeCell ref="AE28:AI28"/>
    <mergeCell ref="AJ28:AN28"/>
    <mergeCell ref="L29:M29"/>
    <mergeCell ref="N29:O29"/>
    <mergeCell ref="P29:T29"/>
    <mergeCell ref="U29:Y29"/>
    <mergeCell ref="Z29:AD29"/>
    <mergeCell ref="AE29:AI29"/>
    <mergeCell ref="G28:K28"/>
    <mergeCell ref="B30:F30"/>
    <mergeCell ref="G30:K30"/>
    <mergeCell ref="B32:AI32"/>
    <mergeCell ref="AJ32:AP32"/>
    <mergeCell ref="B33:C38"/>
    <mergeCell ref="D33:AP38"/>
    <mergeCell ref="AO30:AP30"/>
    <mergeCell ref="B31:K31"/>
    <mergeCell ref="L31:M31"/>
    <mergeCell ref="N31:O31"/>
    <mergeCell ref="P31:T31"/>
    <mergeCell ref="U31:Y31"/>
    <mergeCell ref="Z31:AD31"/>
    <mergeCell ref="AE31:AI31"/>
    <mergeCell ref="AJ31:AN31"/>
    <mergeCell ref="AO31:AP31"/>
    <mergeCell ref="AJ29:AN29"/>
    <mergeCell ref="AO29:AP29"/>
    <mergeCell ref="L30:M30"/>
    <mergeCell ref="N30:O30"/>
    <mergeCell ref="P30:T30"/>
    <mergeCell ref="U30:Y30"/>
    <mergeCell ref="Z30:AD30"/>
  </mergeCells>
  <phoneticPr fontId="2" type="noConversion"/>
  <printOptions horizontalCentered="1" verticalCentered="1"/>
  <pageMargins left="0.39370078740157483" right="0.39370078740157483" top="0.59055118110236227" bottom="0.98425196850393704" header="0.39370078740157483" footer="0.78740157480314965"/>
  <pageSetup paperSize="9" scale="82" fitToHeight="0" orientation="portrait" r:id="rId1"/>
  <headerFooter alignWithMargins="0">
    <oddFooter>&amp;L&amp;"돋움,굵게"&amp;16&amp;X&amp;K002060E-mail : dhcstopper@daum.net&amp;C&amp;"한초롱바탕,보통"&amp;9&amp;G&amp;R&amp;"돋움,굵게"&amp;16&amp;X&amp;K002060Http://www.hottap.kr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-0.499984740745262"/>
  </sheetPr>
  <dimension ref="B1:P269"/>
  <sheetViews>
    <sheetView tabSelected="1" view="pageBreakPreview" zoomScale="85" zoomScaleNormal="85" zoomScaleSheetLayoutView="85" workbookViewId="0">
      <pane xSplit="6" ySplit="4" topLeftCell="G248" activePane="bottomRight" state="frozen"/>
      <selection activeCell="L18" sqref="L18:M18"/>
      <selection pane="topRight" activeCell="L18" sqref="L18:M18"/>
      <selection pane="bottomLeft" activeCell="L18" sqref="L18:M18"/>
      <selection pane="bottomRight" activeCell="I23" sqref="I23"/>
    </sheetView>
  </sheetViews>
  <sheetFormatPr defaultRowHeight="20.100000000000001" customHeight="1"/>
  <cols>
    <col min="1" max="1" width="6.1640625" style="197" customWidth="1"/>
    <col min="2" max="2" width="8.83203125" style="172" customWidth="1"/>
    <col min="3" max="3" width="48.83203125" style="173" customWidth="1"/>
    <col min="4" max="4" width="30.1640625" style="173" customWidth="1"/>
    <col min="5" max="5" width="11.5" style="173" customWidth="1"/>
    <col min="6" max="6" width="8.83203125" style="173" customWidth="1"/>
    <col min="7" max="13" width="18.1640625" style="173" customWidth="1"/>
    <col min="14" max="14" width="18.1640625" style="197" customWidth="1"/>
    <col min="15" max="15" width="8.83203125" style="173" customWidth="1"/>
    <col min="16" max="16" width="9.33203125" style="197"/>
    <col min="17" max="17" width="14.33203125" style="197" bestFit="1" customWidth="1"/>
    <col min="18" max="256" width="9.33203125" style="197"/>
    <col min="257" max="257" width="6.1640625" style="197" customWidth="1"/>
    <col min="258" max="258" width="8.83203125" style="197" customWidth="1"/>
    <col min="259" max="259" width="48.83203125" style="197" customWidth="1"/>
    <col min="260" max="260" width="30.1640625" style="197" customWidth="1"/>
    <col min="261" max="261" width="11.5" style="197" customWidth="1"/>
    <col min="262" max="262" width="8.83203125" style="197" customWidth="1"/>
    <col min="263" max="270" width="18.1640625" style="197" customWidth="1"/>
    <col min="271" max="271" width="8.83203125" style="197" customWidth="1"/>
    <col min="272" max="272" width="9.33203125" style="197"/>
    <col min="273" max="273" width="14.33203125" style="197" bestFit="1" customWidth="1"/>
    <col min="274" max="512" width="9.33203125" style="197"/>
    <col min="513" max="513" width="6.1640625" style="197" customWidth="1"/>
    <col min="514" max="514" width="8.83203125" style="197" customWidth="1"/>
    <col min="515" max="515" width="48.83203125" style="197" customWidth="1"/>
    <col min="516" max="516" width="30.1640625" style="197" customWidth="1"/>
    <col min="517" max="517" width="11.5" style="197" customWidth="1"/>
    <col min="518" max="518" width="8.83203125" style="197" customWidth="1"/>
    <col min="519" max="526" width="18.1640625" style="197" customWidth="1"/>
    <col min="527" max="527" width="8.83203125" style="197" customWidth="1"/>
    <col min="528" max="528" width="9.33203125" style="197"/>
    <col min="529" max="529" width="14.33203125" style="197" bestFit="1" customWidth="1"/>
    <col min="530" max="768" width="9.33203125" style="197"/>
    <col min="769" max="769" width="6.1640625" style="197" customWidth="1"/>
    <col min="770" max="770" width="8.83203125" style="197" customWidth="1"/>
    <col min="771" max="771" width="48.83203125" style="197" customWidth="1"/>
    <col min="772" max="772" width="30.1640625" style="197" customWidth="1"/>
    <col min="773" max="773" width="11.5" style="197" customWidth="1"/>
    <col min="774" max="774" width="8.83203125" style="197" customWidth="1"/>
    <col min="775" max="782" width="18.1640625" style="197" customWidth="1"/>
    <col min="783" max="783" width="8.83203125" style="197" customWidth="1"/>
    <col min="784" max="784" width="9.33203125" style="197"/>
    <col min="785" max="785" width="14.33203125" style="197" bestFit="1" customWidth="1"/>
    <col min="786" max="1024" width="9.33203125" style="197"/>
    <col min="1025" max="1025" width="6.1640625" style="197" customWidth="1"/>
    <col min="1026" max="1026" width="8.83203125" style="197" customWidth="1"/>
    <col min="1027" max="1027" width="48.83203125" style="197" customWidth="1"/>
    <col min="1028" max="1028" width="30.1640625" style="197" customWidth="1"/>
    <col min="1029" max="1029" width="11.5" style="197" customWidth="1"/>
    <col min="1030" max="1030" width="8.83203125" style="197" customWidth="1"/>
    <col min="1031" max="1038" width="18.1640625" style="197" customWidth="1"/>
    <col min="1039" max="1039" width="8.83203125" style="197" customWidth="1"/>
    <col min="1040" max="1040" width="9.33203125" style="197"/>
    <col min="1041" max="1041" width="14.33203125" style="197" bestFit="1" customWidth="1"/>
    <col min="1042" max="1280" width="9.33203125" style="197"/>
    <col min="1281" max="1281" width="6.1640625" style="197" customWidth="1"/>
    <col min="1282" max="1282" width="8.83203125" style="197" customWidth="1"/>
    <col min="1283" max="1283" width="48.83203125" style="197" customWidth="1"/>
    <col min="1284" max="1284" width="30.1640625" style="197" customWidth="1"/>
    <col min="1285" max="1285" width="11.5" style="197" customWidth="1"/>
    <col min="1286" max="1286" width="8.83203125" style="197" customWidth="1"/>
    <col min="1287" max="1294" width="18.1640625" style="197" customWidth="1"/>
    <col min="1295" max="1295" width="8.83203125" style="197" customWidth="1"/>
    <col min="1296" max="1296" width="9.33203125" style="197"/>
    <col min="1297" max="1297" width="14.33203125" style="197" bestFit="1" customWidth="1"/>
    <col min="1298" max="1536" width="9.33203125" style="197"/>
    <col min="1537" max="1537" width="6.1640625" style="197" customWidth="1"/>
    <col min="1538" max="1538" width="8.83203125" style="197" customWidth="1"/>
    <col min="1539" max="1539" width="48.83203125" style="197" customWidth="1"/>
    <col min="1540" max="1540" width="30.1640625" style="197" customWidth="1"/>
    <col min="1541" max="1541" width="11.5" style="197" customWidth="1"/>
    <col min="1542" max="1542" width="8.83203125" style="197" customWidth="1"/>
    <col min="1543" max="1550" width="18.1640625" style="197" customWidth="1"/>
    <col min="1551" max="1551" width="8.83203125" style="197" customWidth="1"/>
    <col min="1552" max="1552" width="9.33203125" style="197"/>
    <col min="1553" max="1553" width="14.33203125" style="197" bestFit="1" customWidth="1"/>
    <col min="1554" max="1792" width="9.33203125" style="197"/>
    <col min="1793" max="1793" width="6.1640625" style="197" customWidth="1"/>
    <col min="1794" max="1794" width="8.83203125" style="197" customWidth="1"/>
    <col min="1795" max="1795" width="48.83203125" style="197" customWidth="1"/>
    <col min="1796" max="1796" width="30.1640625" style="197" customWidth="1"/>
    <col min="1797" max="1797" width="11.5" style="197" customWidth="1"/>
    <col min="1798" max="1798" width="8.83203125" style="197" customWidth="1"/>
    <col min="1799" max="1806" width="18.1640625" style="197" customWidth="1"/>
    <col min="1807" max="1807" width="8.83203125" style="197" customWidth="1"/>
    <col min="1808" max="1808" width="9.33203125" style="197"/>
    <col min="1809" max="1809" width="14.33203125" style="197" bestFit="1" customWidth="1"/>
    <col min="1810" max="2048" width="9.33203125" style="197"/>
    <col min="2049" max="2049" width="6.1640625" style="197" customWidth="1"/>
    <col min="2050" max="2050" width="8.83203125" style="197" customWidth="1"/>
    <col min="2051" max="2051" width="48.83203125" style="197" customWidth="1"/>
    <col min="2052" max="2052" width="30.1640625" style="197" customWidth="1"/>
    <col min="2053" max="2053" width="11.5" style="197" customWidth="1"/>
    <col min="2054" max="2054" width="8.83203125" style="197" customWidth="1"/>
    <col min="2055" max="2062" width="18.1640625" style="197" customWidth="1"/>
    <col min="2063" max="2063" width="8.83203125" style="197" customWidth="1"/>
    <col min="2064" max="2064" width="9.33203125" style="197"/>
    <col min="2065" max="2065" width="14.33203125" style="197" bestFit="1" customWidth="1"/>
    <col min="2066" max="2304" width="9.33203125" style="197"/>
    <col min="2305" max="2305" width="6.1640625" style="197" customWidth="1"/>
    <col min="2306" max="2306" width="8.83203125" style="197" customWidth="1"/>
    <col min="2307" max="2307" width="48.83203125" style="197" customWidth="1"/>
    <col min="2308" max="2308" width="30.1640625" style="197" customWidth="1"/>
    <col min="2309" max="2309" width="11.5" style="197" customWidth="1"/>
    <col min="2310" max="2310" width="8.83203125" style="197" customWidth="1"/>
    <col min="2311" max="2318" width="18.1640625" style="197" customWidth="1"/>
    <col min="2319" max="2319" width="8.83203125" style="197" customWidth="1"/>
    <col min="2320" max="2320" width="9.33203125" style="197"/>
    <col min="2321" max="2321" width="14.33203125" style="197" bestFit="1" customWidth="1"/>
    <col min="2322" max="2560" width="9.33203125" style="197"/>
    <col min="2561" max="2561" width="6.1640625" style="197" customWidth="1"/>
    <col min="2562" max="2562" width="8.83203125" style="197" customWidth="1"/>
    <col min="2563" max="2563" width="48.83203125" style="197" customWidth="1"/>
    <col min="2564" max="2564" width="30.1640625" style="197" customWidth="1"/>
    <col min="2565" max="2565" width="11.5" style="197" customWidth="1"/>
    <col min="2566" max="2566" width="8.83203125" style="197" customWidth="1"/>
    <col min="2567" max="2574" width="18.1640625" style="197" customWidth="1"/>
    <col min="2575" max="2575" width="8.83203125" style="197" customWidth="1"/>
    <col min="2576" max="2576" width="9.33203125" style="197"/>
    <col min="2577" max="2577" width="14.33203125" style="197" bestFit="1" customWidth="1"/>
    <col min="2578" max="2816" width="9.33203125" style="197"/>
    <col min="2817" max="2817" width="6.1640625" style="197" customWidth="1"/>
    <col min="2818" max="2818" width="8.83203125" style="197" customWidth="1"/>
    <col min="2819" max="2819" width="48.83203125" style="197" customWidth="1"/>
    <col min="2820" max="2820" width="30.1640625" style="197" customWidth="1"/>
    <col min="2821" max="2821" width="11.5" style="197" customWidth="1"/>
    <col min="2822" max="2822" width="8.83203125" style="197" customWidth="1"/>
    <col min="2823" max="2830" width="18.1640625" style="197" customWidth="1"/>
    <col min="2831" max="2831" width="8.83203125" style="197" customWidth="1"/>
    <col min="2832" max="2832" width="9.33203125" style="197"/>
    <col min="2833" max="2833" width="14.33203125" style="197" bestFit="1" customWidth="1"/>
    <col min="2834" max="3072" width="9.33203125" style="197"/>
    <col min="3073" max="3073" width="6.1640625" style="197" customWidth="1"/>
    <col min="3074" max="3074" width="8.83203125" style="197" customWidth="1"/>
    <col min="3075" max="3075" width="48.83203125" style="197" customWidth="1"/>
    <col min="3076" max="3076" width="30.1640625" style="197" customWidth="1"/>
    <col min="3077" max="3077" width="11.5" style="197" customWidth="1"/>
    <col min="3078" max="3078" width="8.83203125" style="197" customWidth="1"/>
    <col min="3079" max="3086" width="18.1640625" style="197" customWidth="1"/>
    <col min="3087" max="3087" width="8.83203125" style="197" customWidth="1"/>
    <col min="3088" max="3088" width="9.33203125" style="197"/>
    <col min="3089" max="3089" width="14.33203125" style="197" bestFit="1" customWidth="1"/>
    <col min="3090" max="3328" width="9.33203125" style="197"/>
    <col min="3329" max="3329" width="6.1640625" style="197" customWidth="1"/>
    <col min="3330" max="3330" width="8.83203125" style="197" customWidth="1"/>
    <col min="3331" max="3331" width="48.83203125" style="197" customWidth="1"/>
    <col min="3332" max="3332" width="30.1640625" style="197" customWidth="1"/>
    <col min="3333" max="3333" width="11.5" style="197" customWidth="1"/>
    <col min="3334" max="3334" width="8.83203125" style="197" customWidth="1"/>
    <col min="3335" max="3342" width="18.1640625" style="197" customWidth="1"/>
    <col min="3343" max="3343" width="8.83203125" style="197" customWidth="1"/>
    <col min="3344" max="3344" width="9.33203125" style="197"/>
    <col min="3345" max="3345" width="14.33203125" style="197" bestFit="1" customWidth="1"/>
    <col min="3346" max="3584" width="9.33203125" style="197"/>
    <col min="3585" max="3585" width="6.1640625" style="197" customWidth="1"/>
    <col min="3586" max="3586" width="8.83203125" style="197" customWidth="1"/>
    <col min="3587" max="3587" width="48.83203125" style="197" customWidth="1"/>
    <col min="3588" max="3588" width="30.1640625" style="197" customWidth="1"/>
    <col min="3589" max="3589" width="11.5" style="197" customWidth="1"/>
    <col min="3590" max="3590" width="8.83203125" style="197" customWidth="1"/>
    <col min="3591" max="3598" width="18.1640625" style="197" customWidth="1"/>
    <col min="3599" max="3599" width="8.83203125" style="197" customWidth="1"/>
    <col min="3600" max="3600" width="9.33203125" style="197"/>
    <col min="3601" max="3601" width="14.33203125" style="197" bestFit="1" customWidth="1"/>
    <col min="3602" max="3840" width="9.33203125" style="197"/>
    <col min="3841" max="3841" width="6.1640625" style="197" customWidth="1"/>
    <col min="3842" max="3842" width="8.83203125" style="197" customWidth="1"/>
    <col min="3843" max="3843" width="48.83203125" style="197" customWidth="1"/>
    <col min="3844" max="3844" width="30.1640625" style="197" customWidth="1"/>
    <col min="3845" max="3845" width="11.5" style="197" customWidth="1"/>
    <col min="3846" max="3846" width="8.83203125" style="197" customWidth="1"/>
    <col min="3847" max="3854" width="18.1640625" style="197" customWidth="1"/>
    <col min="3855" max="3855" width="8.83203125" style="197" customWidth="1"/>
    <col min="3856" max="3856" width="9.33203125" style="197"/>
    <col min="3857" max="3857" width="14.33203125" style="197" bestFit="1" customWidth="1"/>
    <col min="3858" max="4096" width="9.33203125" style="197"/>
    <col min="4097" max="4097" width="6.1640625" style="197" customWidth="1"/>
    <col min="4098" max="4098" width="8.83203125" style="197" customWidth="1"/>
    <col min="4099" max="4099" width="48.83203125" style="197" customWidth="1"/>
    <col min="4100" max="4100" width="30.1640625" style="197" customWidth="1"/>
    <col min="4101" max="4101" width="11.5" style="197" customWidth="1"/>
    <col min="4102" max="4102" width="8.83203125" style="197" customWidth="1"/>
    <col min="4103" max="4110" width="18.1640625" style="197" customWidth="1"/>
    <col min="4111" max="4111" width="8.83203125" style="197" customWidth="1"/>
    <col min="4112" max="4112" width="9.33203125" style="197"/>
    <col min="4113" max="4113" width="14.33203125" style="197" bestFit="1" customWidth="1"/>
    <col min="4114" max="4352" width="9.33203125" style="197"/>
    <col min="4353" max="4353" width="6.1640625" style="197" customWidth="1"/>
    <col min="4354" max="4354" width="8.83203125" style="197" customWidth="1"/>
    <col min="4355" max="4355" width="48.83203125" style="197" customWidth="1"/>
    <col min="4356" max="4356" width="30.1640625" style="197" customWidth="1"/>
    <col min="4357" max="4357" width="11.5" style="197" customWidth="1"/>
    <col min="4358" max="4358" width="8.83203125" style="197" customWidth="1"/>
    <col min="4359" max="4366" width="18.1640625" style="197" customWidth="1"/>
    <col min="4367" max="4367" width="8.83203125" style="197" customWidth="1"/>
    <col min="4368" max="4368" width="9.33203125" style="197"/>
    <col min="4369" max="4369" width="14.33203125" style="197" bestFit="1" customWidth="1"/>
    <col min="4370" max="4608" width="9.33203125" style="197"/>
    <col min="4609" max="4609" width="6.1640625" style="197" customWidth="1"/>
    <col min="4610" max="4610" width="8.83203125" style="197" customWidth="1"/>
    <col min="4611" max="4611" width="48.83203125" style="197" customWidth="1"/>
    <col min="4612" max="4612" width="30.1640625" style="197" customWidth="1"/>
    <col min="4613" max="4613" width="11.5" style="197" customWidth="1"/>
    <col min="4614" max="4614" width="8.83203125" style="197" customWidth="1"/>
    <col min="4615" max="4622" width="18.1640625" style="197" customWidth="1"/>
    <col min="4623" max="4623" width="8.83203125" style="197" customWidth="1"/>
    <col min="4624" max="4624" width="9.33203125" style="197"/>
    <col min="4625" max="4625" width="14.33203125" style="197" bestFit="1" customWidth="1"/>
    <col min="4626" max="4864" width="9.33203125" style="197"/>
    <col min="4865" max="4865" width="6.1640625" style="197" customWidth="1"/>
    <col min="4866" max="4866" width="8.83203125" style="197" customWidth="1"/>
    <col min="4867" max="4867" width="48.83203125" style="197" customWidth="1"/>
    <col min="4868" max="4868" width="30.1640625" style="197" customWidth="1"/>
    <col min="4869" max="4869" width="11.5" style="197" customWidth="1"/>
    <col min="4870" max="4870" width="8.83203125" style="197" customWidth="1"/>
    <col min="4871" max="4878" width="18.1640625" style="197" customWidth="1"/>
    <col min="4879" max="4879" width="8.83203125" style="197" customWidth="1"/>
    <col min="4880" max="4880" width="9.33203125" style="197"/>
    <col min="4881" max="4881" width="14.33203125" style="197" bestFit="1" customWidth="1"/>
    <col min="4882" max="5120" width="9.33203125" style="197"/>
    <col min="5121" max="5121" width="6.1640625" style="197" customWidth="1"/>
    <col min="5122" max="5122" width="8.83203125" style="197" customWidth="1"/>
    <col min="5123" max="5123" width="48.83203125" style="197" customWidth="1"/>
    <col min="5124" max="5124" width="30.1640625" style="197" customWidth="1"/>
    <col min="5125" max="5125" width="11.5" style="197" customWidth="1"/>
    <col min="5126" max="5126" width="8.83203125" style="197" customWidth="1"/>
    <col min="5127" max="5134" width="18.1640625" style="197" customWidth="1"/>
    <col min="5135" max="5135" width="8.83203125" style="197" customWidth="1"/>
    <col min="5136" max="5136" width="9.33203125" style="197"/>
    <col min="5137" max="5137" width="14.33203125" style="197" bestFit="1" customWidth="1"/>
    <col min="5138" max="5376" width="9.33203125" style="197"/>
    <col min="5377" max="5377" width="6.1640625" style="197" customWidth="1"/>
    <col min="5378" max="5378" width="8.83203125" style="197" customWidth="1"/>
    <col min="5379" max="5379" width="48.83203125" style="197" customWidth="1"/>
    <col min="5380" max="5380" width="30.1640625" style="197" customWidth="1"/>
    <col min="5381" max="5381" width="11.5" style="197" customWidth="1"/>
    <col min="5382" max="5382" width="8.83203125" style="197" customWidth="1"/>
    <col min="5383" max="5390" width="18.1640625" style="197" customWidth="1"/>
    <col min="5391" max="5391" width="8.83203125" style="197" customWidth="1"/>
    <col min="5392" max="5392" width="9.33203125" style="197"/>
    <col min="5393" max="5393" width="14.33203125" style="197" bestFit="1" customWidth="1"/>
    <col min="5394" max="5632" width="9.33203125" style="197"/>
    <col min="5633" max="5633" width="6.1640625" style="197" customWidth="1"/>
    <col min="5634" max="5634" width="8.83203125" style="197" customWidth="1"/>
    <col min="5635" max="5635" width="48.83203125" style="197" customWidth="1"/>
    <col min="5636" max="5636" width="30.1640625" style="197" customWidth="1"/>
    <col min="5637" max="5637" width="11.5" style="197" customWidth="1"/>
    <col min="5638" max="5638" width="8.83203125" style="197" customWidth="1"/>
    <col min="5639" max="5646" width="18.1640625" style="197" customWidth="1"/>
    <col min="5647" max="5647" width="8.83203125" style="197" customWidth="1"/>
    <col min="5648" max="5648" width="9.33203125" style="197"/>
    <col min="5649" max="5649" width="14.33203125" style="197" bestFit="1" customWidth="1"/>
    <col min="5650" max="5888" width="9.33203125" style="197"/>
    <col min="5889" max="5889" width="6.1640625" style="197" customWidth="1"/>
    <col min="5890" max="5890" width="8.83203125" style="197" customWidth="1"/>
    <col min="5891" max="5891" width="48.83203125" style="197" customWidth="1"/>
    <col min="5892" max="5892" width="30.1640625" style="197" customWidth="1"/>
    <col min="5893" max="5893" width="11.5" style="197" customWidth="1"/>
    <col min="5894" max="5894" width="8.83203125" style="197" customWidth="1"/>
    <col min="5895" max="5902" width="18.1640625" style="197" customWidth="1"/>
    <col min="5903" max="5903" width="8.83203125" style="197" customWidth="1"/>
    <col min="5904" max="5904" width="9.33203125" style="197"/>
    <col min="5905" max="5905" width="14.33203125" style="197" bestFit="1" customWidth="1"/>
    <col min="5906" max="6144" width="9.33203125" style="197"/>
    <col min="6145" max="6145" width="6.1640625" style="197" customWidth="1"/>
    <col min="6146" max="6146" width="8.83203125" style="197" customWidth="1"/>
    <col min="6147" max="6147" width="48.83203125" style="197" customWidth="1"/>
    <col min="6148" max="6148" width="30.1640625" style="197" customWidth="1"/>
    <col min="6149" max="6149" width="11.5" style="197" customWidth="1"/>
    <col min="6150" max="6150" width="8.83203125" style="197" customWidth="1"/>
    <col min="6151" max="6158" width="18.1640625" style="197" customWidth="1"/>
    <col min="6159" max="6159" width="8.83203125" style="197" customWidth="1"/>
    <col min="6160" max="6160" width="9.33203125" style="197"/>
    <col min="6161" max="6161" width="14.33203125" style="197" bestFit="1" customWidth="1"/>
    <col min="6162" max="6400" width="9.33203125" style="197"/>
    <col min="6401" max="6401" width="6.1640625" style="197" customWidth="1"/>
    <col min="6402" max="6402" width="8.83203125" style="197" customWidth="1"/>
    <col min="6403" max="6403" width="48.83203125" style="197" customWidth="1"/>
    <col min="6404" max="6404" width="30.1640625" style="197" customWidth="1"/>
    <col min="6405" max="6405" width="11.5" style="197" customWidth="1"/>
    <col min="6406" max="6406" width="8.83203125" style="197" customWidth="1"/>
    <col min="6407" max="6414" width="18.1640625" style="197" customWidth="1"/>
    <col min="6415" max="6415" width="8.83203125" style="197" customWidth="1"/>
    <col min="6416" max="6416" width="9.33203125" style="197"/>
    <col min="6417" max="6417" width="14.33203125" style="197" bestFit="1" customWidth="1"/>
    <col min="6418" max="6656" width="9.33203125" style="197"/>
    <col min="6657" max="6657" width="6.1640625" style="197" customWidth="1"/>
    <col min="6658" max="6658" width="8.83203125" style="197" customWidth="1"/>
    <col min="6659" max="6659" width="48.83203125" style="197" customWidth="1"/>
    <col min="6660" max="6660" width="30.1640625" style="197" customWidth="1"/>
    <col min="6661" max="6661" width="11.5" style="197" customWidth="1"/>
    <col min="6662" max="6662" width="8.83203125" style="197" customWidth="1"/>
    <col min="6663" max="6670" width="18.1640625" style="197" customWidth="1"/>
    <col min="6671" max="6671" width="8.83203125" style="197" customWidth="1"/>
    <col min="6672" max="6672" width="9.33203125" style="197"/>
    <col min="6673" max="6673" width="14.33203125" style="197" bestFit="1" customWidth="1"/>
    <col min="6674" max="6912" width="9.33203125" style="197"/>
    <col min="6913" max="6913" width="6.1640625" style="197" customWidth="1"/>
    <col min="6914" max="6914" width="8.83203125" style="197" customWidth="1"/>
    <col min="6915" max="6915" width="48.83203125" style="197" customWidth="1"/>
    <col min="6916" max="6916" width="30.1640625" style="197" customWidth="1"/>
    <col min="6917" max="6917" width="11.5" style="197" customWidth="1"/>
    <col min="6918" max="6918" width="8.83203125" style="197" customWidth="1"/>
    <col min="6919" max="6926" width="18.1640625" style="197" customWidth="1"/>
    <col min="6927" max="6927" width="8.83203125" style="197" customWidth="1"/>
    <col min="6928" max="6928" width="9.33203125" style="197"/>
    <col min="6929" max="6929" width="14.33203125" style="197" bestFit="1" customWidth="1"/>
    <col min="6930" max="7168" width="9.33203125" style="197"/>
    <col min="7169" max="7169" width="6.1640625" style="197" customWidth="1"/>
    <col min="7170" max="7170" width="8.83203125" style="197" customWidth="1"/>
    <col min="7171" max="7171" width="48.83203125" style="197" customWidth="1"/>
    <col min="7172" max="7172" width="30.1640625" style="197" customWidth="1"/>
    <col min="7173" max="7173" width="11.5" style="197" customWidth="1"/>
    <col min="7174" max="7174" width="8.83203125" style="197" customWidth="1"/>
    <col min="7175" max="7182" width="18.1640625" style="197" customWidth="1"/>
    <col min="7183" max="7183" width="8.83203125" style="197" customWidth="1"/>
    <col min="7184" max="7184" width="9.33203125" style="197"/>
    <col min="7185" max="7185" width="14.33203125" style="197" bestFit="1" customWidth="1"/>
    <col min="7186" max="7424" width="9.33203125" style="197"/>
    <col min="7425" max="7425" width="6.1640625" style="197" customWidth="1"/>
    <col min="7426" max="7426" width="8.83203125" style="197" customWidth="1"/>
    <col min="7427" max="7427" width="48.83203125" style="197" customWidth="1"/>
    <col min="7428" max="7428" width="30.1640625" style="197" customWidth="1"/>
    <col min="7429" max="7429" width="11.5" style="197" customWidth="1"/>
    <col min="7430" max="7430" width="8.83203125" style="197" customWidth="1"/>
    <col min="7431" max="7438" width="18.1640625" style="197" customWidth="1"/>
    <col min="7439" max="7439" width="8.83203125" style="197" customWidth="1"/>
    <col min="7440" max="7440" width="9.33203125" style="197"/>
    <col min="7441" max="7441" width="14.33203125" style="197" bestFit="1" customWidth="1"/>
    <col min="7442" max="7680" width="9.33203125" style="197"/>
    <col min="7681" max="7681" width="6.1640625" style="197" customWidth="1"/>
    <col min="7682" max="7682" width="8.83203125" style="197" customWidth="1"/>
    <col min="7683" max="7683" width="48.83203125" style="197" customWidth="1"/>
    <col min="7684" max="7684" width="30.1640625" style="197" customWidth="1"/>
    <col min="7685" max="7685" width="11.5" style="197" customWidth="1"/>
    <col min="7686" max="7686" width="8.83203125" style="197" customWidth="1"/>
    <col min="7687" max="7694" width="18.1640625" style="197" customWidth="1"/>
    <col min="7695" max="7695" width="8.83203125" style="197" customWidth="1"/>
    <col min="7696" max="7696" width="9.33203125" style="197"/>
    <col min="7697" max="7697" width="14.33203125" style="197" bestFit="1" customWidth="1"/>
    <col min="7698" max="7936" width="9.33203125" style="197"/>
    <col min="7937" max="7937" width="6.1640625" style="197" customWidth="1"/>
    <col min="7938" max="7938" width="8.83203125" style="197" customWidth="1"/>
    <col min="7939" max="7939" width="48.83203125" style="197" customWidth="1"/>
    <col min="7940" max="7940" width="30.1640625" style="197" customWidth="1"/>
    <col min="7941" max="7941" width="11.5" style="197" customWidth="1"/>
    <col min="7942" max="7942" width="8.83203125" style="197" customWidth="1"/>
    <col min="7943" max="7950" width="18.1640625" style="197" customWidth="1"/>
    <col min="7951" max="7951" width="8.83203125" style="197" customWidth="1"/>
    <col min="7952" max="7952" width="9.33203125" style="197"/>
    <col min="7953" max="7953" width="14.33203125" style="197" bestFit="1" customWidth="1"/>
    <col min="7954" max="8192" width="9.33203125" style="197"/>
    <col min="8193" max="8193" width="6.1640625" style="197" customWidth="1"/>
    <col min="8194" max="8194" width="8.83203125" style="197" customWidth="1"/>
    <col min="8195" max="8195" width="48.83203125" style="197" customWidth="1"/>
    <col min="8196" max="8196" width="30.1640625" style="197" customWidth="1"/>
    <col min="8197" max="8197" width="11.5" style="197" customWidth="1"/>
    <col min="8198" max="8198" width="8.83203125" style="197" customWidth="1"/>
    <col min="8199" max="8206" width="18.1640625" style="197" customWidth="1"/>
    <col min="8207" max="8207" width="8.83203125" style="197" customWidth="1"/>
    <col min="8208" max="8208" width="9.33203125" style="197"/>
    <col min="8209" max="8209" width="14.33203125" style="197" bestFit="1" customWidth="1"/>
    <col min="8210" max="8448" width="9.33203125" style="197"/>
    <col min="8449" max="8449" width="6.1640625" style="197" customWidth="1"/>
    <col min="8450" max="8450" width="8.83203125" style="197" customWidth="1"/>
    <col min="8451" max="8451" width="48.83203125" style="197" customWidth="1"/>
    <col min="8452" max="8452" width="30.1640625" style="197" customWidth="1"/>
    <col min="8453" max="8453" width="11.5" style="197" customWidth="1"/>
    <col min="8454" max="8454" width="8.83203125" style="197" customWidth="1"/>
    <col min="8455" max="8462" width="18.1640625" style="197" customWidth="1"/>
    <col min="8463" max="8463" width="8.83203125" style="197" customWidth="1"/>
    <col min="8464" max="8464" width="9.33203125" style="197"/>
    <col min="8465" max="8465" width="14.33203125" style="197" bestFit="1" customWidth="1"/>
    <col min="8466" max="8704" width="9.33203125" style="197"/>
    <col min="8705" max="8705" width="6.1640625" style="197" customWidth="1"/>
    <col min="8706" max="8706" width="8.83203125" style="197" customWidth="1"/>
    <col min="8707" max="8707" width="48.83203125" style="197" customWidth="1"/>
    <col min="8708" max="8708" width="30.1640625" style="197" customWidth="1"/>
    <col min="8709" max="8709" width="11.5" style="197" customWidth="1"/>
    <col min="8710" max="8710" width="8.83203125" style="197" customWidth="1"/>
    <col min="8711" max="8718" width="18.1640625" style="197" customWidth="1"/>
    <col min="8719" max="8719" width="8.83203125" style="197" customWidth="1"/>
    <col min="8720" max="8720" width="9.33203125" style="197"/>
    <col min="8721" max="8721" width="14.33203125" style="197" bestFit="1" customWidth="1"/>
    <col min="8722" max="8960" width="9.33203125" style="197"/>
    <col min="8961" max="8961" width="6.1640625" style="197" customWidth="1"/>
    <col min="8962" max="8962" width="8.83203125" style="197" customWidth="1"/>
    <col min="8963" max="8963" width="48.83203125" style="197" customWidth="1"/>
    <col min="8964" max="8964" width="30.1640625" style="197" customWidth="1"/>
    <col min="8965" max="8965" width="11.5" style="197" customWidth="1"/>
    <col min="8966" max="8966" width="8.83203125" style="197" customWidth="1"/>
    <col min="8967" max="8974" width="18.1640625" style="197" customWidth="1"/>
    <col min="8975" max="8975" width="8.83203125" style="197" customWidth="1"/>
    <col min="8976" max="8976" width="9.33203125" style="197"/>
    <col min="8977" max="8977" width="14.33203125" style="197" bestFit="1" customWidth="1"/>
    <col min="8978" max="9216" width="9.33203125" style="197"/>
    <col min="9217" max="9217" width="6.1640625" style="197" customWidth="1"/>
    <col min="9218" max="9218" width="8.83203125" style="197" customWidth="1"/>
    <col min="9219" max="9219" width="48.83203125" style="197" customWidth="1"/>
    <col min="9220" max="9220" width="30.1640625" style="197" customWidth="1"/>
    <col min="9221" max="9221" width="11.5" style="197" customWidth="1"/>
    <col min="9222" max="9222" width="8.83203125" style="197" customWidth="1"/>
    <col min="9223" max="9230" width="18.1640625" style="197" customWidth="1"/>
    <col min="9231" max="9231" width="8.83203125" style="197" customWidth="1"/>
    <col min="9232" max="9232" width="9.33203125" style="197"/>
    <col min="9233" max="9233" width="14.33203125" style="197" bestFit="1" customWidth="1"/>
    <col min="9234" max="9472" width="9.33203125" style="197"/>
    <col min="9473" max="9473" width="6.1640625" style="197" customWidth="1"/>
    <col min="9474" max="9474" width="8.83203125" style="197" customWidth="1"/>
    <col min="9475" max="9475" width="48.83203125" style="197" customWidth="1"/>
    <col min="9476" max="9476" width="30.1640625" style="197" customWidth="1"/>
    <col min="9477" max="9477" width="11.5" style="197" customWidth="1"/>
    <col min="9478" max="9478" width="8.83203125" style="197" customWidth="1"/>
    <col min="9479" max="9486" width="18.1640625" style="197" customWidth="1"/>
    <col min="9487" max="9487" width="8.83203125" style="197" customWidth="1"/>
    <col min="9488" max="9488" width="9.33203125" style="197"/>
    <col min="9489" max="9489" width="14.33203125" style="197" bestFit="1" customWidth="1"/>
    <col min="9490" max="9728" width="9.33203125" style="197"/>
    <col min="9729" max="9729" width="6.1640625" style="197" customWidth="1"/>
    <col min="9730" max="9730" width="8.83203125" style="197" customWidth="1"/>
    <col min="9731" max="9731" width="48.83203125" style="197" customWidth="1"/>
    <col min="9732" max="9732" width="30.1640625" style="197" customWidth="1"/>
    <col min="9733" max="9733" width="11.5" style="197" customWidth="1"/>
    <col min="9734" max="9734" width="8.83203125" style="197" customWidth="1"/>
    <col min="9735" max="9742" width="18.1640625" style="197" customWidth="1"/>
    <col min="9743" max="9743" width="8.83203125" style="197" customWidth="1"/>
    <col min="9744" max="9744" width="9.33203125" style="197"/>
    <col min="9745" max="9745" width="14.33203125" style="197" bestFit="1" customWidth="1"/>
    <col min="9746" max="9984" width="9.33203125" style="197"/>
    <col min="9985" max="9985" width="6.1640625" style="197" customWidth="1"/>
    <col min="9986" max="9986" width="8.83203125" style="197" customWidth="1"/>
    <col min="9987" max="9987" width="48.83203125" style="197" customWidth="1"/>
    <col min="9988" max="9988" width="30.1640625" style="197" customWidth="1"/>
    <col min="9989" max="9989" width="11.5" style="197" customWidth="1"/>
    <col min="9990" max="9990" width="8.83203125" style="197" customWidth="1"/>
    <col min="9991" max="9998" width="18.1640625" style="197" customWidth="1"/>
    <col min="9999" max="9999" width="8.83203125" style="197" customWidth="1"/>
    <col min="10000" max="10000" width="9.33203125" style="197"/>
    <col min="10001" max="10001" width="14.33203125" style="197" bestFit="1" customWidth="1"/>
    <col min="10002" max="10240" width="9.33203125" style="197"/>
    <col min="10241" max="10241" width="6.1640625" style="197" customWidth="1"/>
    <col min="10242" max="10242" width="8.83203125" style="197" customWidth="1"/>
    <col min="10243" max="10243" width="48.83203125" style="197" customWidth="1"/>
    <col min="10244" max="10244" width="30.1640625" style="197" customWidth="1"/>
    <col min="10245" max="10245" width="11.5" style="197" customWidth="1"/>
    <col min="10246" max="10246" width="8.83203125" style="197" customWidth="1"/>
    <col min="10247" max="10254" width="18.1640625" style="197" customWidth="1"/>
    <col min="10255" max="10255" width="8.83203125" style="197" customWidth="1"/>
    <col min="10256" max="10256" width="9.33203125" style="197"/>
    <col min="10257" max="10257" width="14.33203125" style="197" bestFit="1" customWidth="1"/>
    <col min="10258" max="10496" width="9.33203125" style="197"/>
    <col min="10497" max="10497" width="6.1640625" style="197" customWidth="1"/>
    <col min="10498" max="10498" width="8.83203125" style="197" customWidth="1"/>
    <col min="10499" max="10499" width="48.83203125" style="197" customWidth="1"/>
    <col min="10500" max="10500" width="30.1640625" style="197" customWidth="1"/>
    <col min="10501" max="10501" width="11.5" style="197" customWidth="1"/>
    <col min="10502" max="10502" width="8.83203125" style="197" customWidth="1"/>
    <col min="10503" max="10510" width="18.1640625" style="197" customWidth="1"/>
    <col min="10511" max="10511" width="8.83203125" style="197" customWidth="1"/>
    <col min="10512" max="10512" width="9.33203125" style="197"/>
    <col min="10513" max="10513" width="14.33203125" style="197" bestFit="1" customWidth="1"/>
    <col min="10514" max="10752" width="9.33203125" style="197"/>
    <col min="10753" max="10753" width="6.1640625" style="197" customWidth="1"/>
    <col min="10754" max="10754" width="8.83203125" style="197" customWidth="1"/>
    <col min="10755" max="10755" width="48.83203125" style="197" customWidth="1"/>
    <col min="10756" max="10756" width="30.1640625" style="197" customWidth="1"/>
    <col min="10757" max="10757" width="11.5" style="197" customWidth="1"/>
    <col min="10758" max="10758" width="8.83203125" style="197" customWidth="1"/>
    <col min="10759" max="10766" width="18.1640625" style="197" customWidth="1"/>
    <col min="10767" max="10767" width="8.83203125" style="197" customWidth="1"/>
    <col min="10768" max="10768" width="9.33203125" style="197"/>
    <col min="10769" max="10769" width="14.33203125" style="197" bestFit="1" customWidth="1"/>
    <col min="10770" max="11008" width="9.33203125" style="197"/>
    <col min="11009" max="11009" width="6.1640625" style="197" customWidth="1"/>
    <col min="11010" max="11010" width="8.83203125" style="197" customWidth="1"/>
    <col min="11011" max="11011" width="48.83203125" style="197" customWidth="1"/>
    <col min="11012" max="11012" width="30.1640625" style="197" customWidth="1"/>
    <col min="11013" max="11013" width="11.5" style="197" customWidth="1"/>
    <col min="11014" max="11014" width="8.83203125" style="197" customWidth="1"/>
    <col min="11015" max="11022" width="18.1640625" style="197" customWidth="1"/>
    <col min="11023" max="11023" width="8.83203125" style="197" customWidth="1"/>
    <col min="11024" max="11024" width="9.33203125" style="197"/>
    <col min="11025" max="11025" width="14.33203125" style="197" bestFit="1" customWidth="1"/>
    <col min="11026" max="11264" width="9.33203125" style="197"/>
    <col min="11265" max="11265" width="6.1640625" style="197" customWidth="1"/>
    <col min="11266" max="11266" width="8.83203125" style="197" customWidth="1"/>
    <col min="11267" max="11267" width="48.83203125" style="197" customWidth="1"/>
    <col min="11268" max="11268" width="30.1640625" style="197" customWidth="1"/>
    <col min="11269" max="11269" width="11.5" style="197" customWidth="1"/>
    <col min="11270" max="11270" width="8.83203125" style="197" customWidth="1"/>
    <col min="11271" max="11278" width="18.1640625" style="197" customWidth="1"/>
    <col min="11279" max="11279" width="8.83203125" style="197" customWidth="1"/>
    <col min="11280" max="11280" width="9.33203125" style="197"/>
    <col min="11281" max="11281" width="14.33203125" style="197" bestFit="1" customWidth="1"/>
    <col min="11282" max="11520" width="9.33203125" style="197"/>
    <col min="11521" max="11521" width="6.1640625" style="197" customWidth="1"/>
    <col min="11522" max="11522" width="8.83203125" style="197" customWidth="1"/>
    <col min="11523" max="11523" width="48.83203125" style="197" customWidth="1"/>
    <col min="11524" max="11524" width="30.1640625" style="197" customWidth="1"/>
    <col min="11525" max="11525" width="11.5" style="197" customWidth="1"/>
    <col min="11526" max="11526" width="8.83203125" style="197" customWidth="1"/>
    <col min="11527" max="11534" width="18.1640625" style="197" customWidth="1"/>
    <col min="11535" max="11535" width="8.83203125" style="197" customWidth="1"/>
    <col min="11536" max="11536" width="9.33203125" style="197"/>
    <col min="11537" max="11537" width="14.33203125" style="197" bestFit="1" customWidth="1"/>
    <col min="11538" max="11776" width="9.33203125" style="197"/>
    <col min="11777" max="11777" width="6.1640625" style="197" customWidth="1"/>
    <col min="11778" max="11778" width="8.83203125" style="197" customWidth="1"/>
    <col min="11779" max="11779" width="48.83203125" style="197" customWidth="1"/>
    <col min="11780" max="11780" width="30.1640625" style="197" customWidth="1"/>
    <col min="11781" max="11781" width="11.5" style="197" customWidth="1"/>
    <col min="11782" max="11782" width="8.83203125" style="197" customWidth="1"/>
    <col min="11783" max="11790" width="18.1640625" style="197" customWidth="1"/>
    <col min="11791" max="11791" width="8.83203125" style="197" customWidth="1"/>
    <col min="11792" max="11792" width="9.33203125" style="197"/>
    <col min="11793" max="11793" width="14.33203125" style="197" bestFit="1" customWidth="1"/>
    <col min="11794" max="12032" width="9.33203125" style="197"/>
    <col min="12033" max="12033" width="6.1640625" style="197" customWidth="1"/>
    <col min="12034" max="12034" width="8.83203125" style="197" customWidth="1"/>
    <col min="12035" max="12035" width="48.83203125" style="197" customWidth="1"/>
    <col min="12036" max="12036" width="30.1640625" style="197" customWidth="1"/>
    <col min="12037" max="12037" width="11.5" style="197" customWidth="1"/>
    <col min="12038" max="12038" width="8.83203125" style="197" customWidth="1"/>
    <col min="12039" max="12046" width="18.1640625" style="197" customWidth="1"/>
    <col min="12047" max="12047" width="8.83203125" style="197" customWidth="1"/>
    <col min="12048" max="12048" width="9.33203125" style="197"/>
    <col min="12049" max="12049" width="14.33203125" style="197" bestFit="1" customWidth="1"/>
    <col min="12050" max="12288" width="9.33203125" style="197"/>
    <col min="12289" max="12289" width="6.1640625" style="197" customWidth="1"/>
    <col min="12290" max="12290" width="8.83203125" style="197" customWidth="1"/>
    <col min="12291" max="12291" width="48.83203125" style="197" customWidth="1"/>
    <col min="12292" max="12292" width="30.1640625" style="197" customWidth="1"/>
    <col min="12293" max="12293" width="11.5" style="197" customWidth="1"/>
    <col min="12294" max="12294" width="8.83203125" style="197" customWidth="1"/>
    <col min="12295" max="12302" width="18.1640625" style="197" customWidth="1"/>
    <col min="12303" max="12303" width="8.83203125" style="197" customWidth="1"/>
    <col min="12304" max="12304" width="9.33203125" style="197"/>
    <col min="12305" max="12305" width="14.33203125" style="197" bestFit="1" customWidth="1"/>
    <col min="12306" max="12544" width="9.33203125" style="197"/>
    <col min="12545" max="12545" width="6.1640625" style="197" customWidth="1"/>
    <col min="12546" max="12546" width="8.83203125" style="197" customWidth="1"/>
    <col min="12547" max="12547" width="48.83203125" style="197" customWidth="1"/>
    <col min="12548" max="12548" width="30.1640625" style="197" customWidth="1"/>
    <col min="12549" max="12549" width="11.5" style="197" customWidth="1"/>
    <col min="12550" max="12550" width="8.83203125" style="197" customWidth="1"/>
    <col min="12551" max="12558" width="18.1640625" style="197" customWidth="1"/>
    <col min="12559" max="12559" width="8.83203125" style="197" customWidth="1"/>
    <col min="12560" max="12560" width="9.33203125" style="197"/>
    <col min="12561" max="12561" width="14.33203125" style="197" bestFit="1" customWidth="1"/>
    <col min="12562" max="12800" width="9.33203125" style="197"/>
    <col min="12801" max="12801" width="6.1640625" style="197" customWidth="1"/>
    <col min="12802" max="12802" width="8.83203125" style="197" customWidth="1"/>
    <col min="12803" max="12803" width="48.83203125" style="197" customWidth="1"/>
    <col min="12804" max="12804" width="30.1640625" style="197" customWidth="1"/>
    <col min="12805" max="12805" width="11.5" style="197" customWidth="1"/>
    <col min="12806" max="12806" width="8.83203125" style="197" customWidth="1"/>
    <col min="12807" max="12814" width="18.1640625" style="197" customWidth="1"/>
    <col min="12815" max="12815" width="8.83203125" style="197" customWidth="1"/>
    <col min="12816" max="12816" width="9.33203125" style="197"/>
    <col min="12817" max="12817" width="14.33203125" style="197" bestFit="1" customWidth="1"/>
    <col min="12818" max="13056" width="9.33203125" style="197"/>
    <col min="13057" max="13057" width="6.1640625" style="197" customWidth="1"/>
    <col min="13058" max="13058" width="8.83203125" style="197" customWidth="1"/>
    <col min="13059" max="13059" width="48.83203125" style="197" customWidth="1"/>
    <col min="13060" max="13060" width="30.1640625" style="197" customWidth="1"/>
    <col min="13061" max="13061" width="11.5" style="197" customWidth="1"/>
    <col min="13062" max="13062" width="8.83203125" style="197" customWidth="1"/>
    <col min="13063" max="13070" width="18.1640625" style="197" customWidth="1"/>
    <col min="13071" max="13071" width="8.83203125" style="197" customWidth="1"/>
    <col min="13072" max="13072" width="9.33203125" style="197"/>
    <col min="13073" max="13073" width="14.33203125" style="197" bestFit="1" customWidth="1"/>
    <col min="13074" max="13312" width="9.33203125" style="197"/>
    <col min="13313" max="13313" width="6.1640625" style="197" customWidth="1"/>
    <col min="13314" max="13314" width="8.83203125" style="197" customWidth="1"/>
    <col min="13315" max="13315" width="48.83203125" style="197" customWidth="1"/>
    <col min="13316" max="13316" width="30.1640625" style="197" customWidth="1"/>
    <col min="13317" max="13317" width="11.5" style="197" customWidth="1"/>
    <col min="13318" max="13318" width="8.83203125" style="197" customWidth="1"/>
    <col min="13319" max="13326" width="18.1640625" style="197" customWidth="1"/>
    <col min="13327" max="13327" width="8.83203125" style="197" customWidth="1"/>
    <col min="13328" max="13328" width="9.33203125" style="197"/>
    <col min="13329" max="13329" width="14.33203125" style="197" bestFit="1" customWidth="1"/>
    <col min="13330" max="13568" width="9.33203125" style="197"/>
    <col min="13569" max="13569" width="6.1640625" style="197" customWidth="1"/>
    <col min="13570" max="13570" width="8.83203125" style="197" customWidth="1"/>
    <col min="13571" max="13571" width="48.83203125" style="197" customWidth="1"/>
    <col min="13572" max="13572" width="30.1640625" style="197" customWidth="1"/>
    <col min="13573" max="13573" width="11.5" style="197" customWidth="1"/>
    <col min="13574" max="13574" width="8.83203125" style="197" customWidth="1"/>
    <col min="13575" max="13582" width="18.1640625" style="197" customWidth="1"/>
    <col min="13583" max="13583" width="8.83203125" style="197" customWidth="1"/>
    <col min="13584" max="13584" width="9.33203125" style="197"/>
    <col min="13585" max="13585" width="14.33203125" style="197" bestFit="1" customWidth="1"/>
    <col min="13586" max="13824" width="9.33203125" style="197"/>
    <col min="13825" max="13825" width="6.1640625" style="197" customWidth="1"/>
    <col min="13826" max="13826" width="8.83203125" style="197" customWidth="1"/>
    <col min="13827" max="13827" width="48.83203125" style="197" customWidth="1"/>
    <col min="13828" max="13828" width="30.1640625" style="197" customWidth="1"/>
    <col min="13829" max="13829" width="11.5" style="197" customWidth="1"/>
    <col min="13830" max="13830" width="8.83203125" style="197" customWidth="1"/>
    <col min="13831" max="13838" width="18.1640625" style="197" customWidth="1"/>
    <col min="13839" max="13839" width="8.83203125" style="197" customWidth="1"/>
    <col min="13840" max="13840" width="9.33203125" style="197"/>
    <col min="13841" max="13841" width="14.33203125" style="197" bestFit="1" customWidth="1"/>
    <col min="13842" max="14080" width="9.33203125" style="197"/>
    <col min="14081" max="14081" width="6.1640625" style="197" customWidth="1"/>
    <col min="14082" max="14082" width="8.83203125" style="197" customWidth="1"/>
    <col min="14083" max="14083" width="48.83203125" style="197" customWidth="1"/>
    <col min="14084" max="14084" width="30.1640625" style="197" customWidth="1"/>
    <col min="14085" max="14085" width="11.5" style="197" customWidth="1"/>
    <col min="14086" max="14086" width="8.83203125" style="197" customWidth="1"/>
    <col min="14087" max="14094" width="18.1640625" style="197" customWidth="1"/>
    <col min="14095" max="14095" width="8.83203125" style="197" customWidth="1"/>
    <col min="14096" max="14096" width="9.33203125" style="197"/>
    <col min="14097" max="14097" width="14.33203125" style="197" bestFit="1" customWidth="1"/>
    <col min="14098" max="14336" width="9.33203125" style="197"/>
    <col min="14337" max="14337" width="6.1640625" style="197" customWidth="1"/>
    <col min="14338" max="14338" width="8.83203125" style="197" customWidth="1"/>
    <col min="14339" max="14339" width="48.83203125" style="197" customWidth="1"/>
    <col min="14340" max="14340" width="30.1640625" style="197" customWidth="1"/>
    <col min="14341" max="14341" width="11.5" style="197" customWidth="1"/>
    <col min="14342" max="14342" width="8.83203125" style="197" customWidth="1"/>
    <col min="14343" max="14350" width="18.1640625" style="197" customWidth="1"/>
    <col min="14351" max="14351" width="8.83203125" style="197" customWidth="1"/>
    <col min="14352" max="14352" width="9.33203125" style="197"/>
    <col min="14353" max="14353" width="14.33203125" style="197" bestFit="1" customWidth="1"/>
    <col min="14354" max="14592" width="9.33203125" style="197"/>
    <col min="14593" max="14593" width="6.1640625" style="197" customWidth="1"/>
    <col min="14594" max="14594" width="8.83203125" style="197" customWidth="1"/>
    <col min="14595" max="14595" width="48.83203125" style="197" customWidth="1"/>
    <col min="14596" max="14596" width="30.1640625" style="197" customWidth="1"/>
    <col min="14597" max="14597" width="11.5" style="197" customWidth="1"/>
    <col min="14598" max="14598" width="8.83203125" style="197" customWidth="1"/>
    <col min="14599" max="14606" width="18.1640625" style="197" customWidth="1"/>
    <col min="14607" max="14607" width="8.83203125" style="197" customWidth="1"/>
    <col min="14608" max="14608" width="9.33203125" style="197"/>
    <col min="14609" max="14609" width="14.33203125" style="197" bestFit="1" customWidth="1"/>
    <col min="14610" max="14848" width="9.33203125" style="197"/>
    <col min="14849" max="14849" width="6.1640625" style="197" customWidth="1"/>
    <col min="14850" max="14850" width="8.83203125" style="197" customWidth="1"/>
    <col min="14851" max="14851" width="48.83203125" style="197" customWidth="1"/>
    <col min="14852" max="14852" width="30.1640625" style="197" customWidth="1"/>
    <col min="14853" max="14853" width="11.5" style="197" customWidth="1"/>
    <col min="14854" max="14854" width="8.83203125" style="197" customWidth="1"/>
    <col min="14855" max="14862" width="18.1640625" style="197" customWidth="1"/>
    <col min="14863" max="14863" width="8.83203125" style="197" customWidth="1"/>
    <col min="14864" max="14864" width="9.33203125" style="197"/>
    <col min="14865" max="14865" width="14.33203125" style="197" bestFit="1" customWidth="1"/>
    <col min="14866" max="15104" width="9.33203125" style="197"/>
    <col min="15105" max="15105" width="6.1640625" style="197" customWidth="1"/>
    <col min="15106" max="15106" width="8.83203125" style="197" customWidth="1"/>
    <col min="15107" max="15107" width="48.83203125" style="197" customWidth="1"/>
    <col min="15108" max="15108" width="30.1640625" style="197" customWidth="1"/>
    <col min="15109" max="15109" width="11.5" style="197" customWidth="1"/>
    <col min="15110" max="15110" width="8.83203125" style="197" customWidth="1"/>
    <col min="15111" max="15118" width="18.1640625" style="197" customWidth="1"/>
    <col min="15119" max="15119" width="8.83203125" style="197" customWidth="1"/>
    <col min="15120" max="15120" width="9.33203125" style="197"/>
    <col min="15121" max="15121" width="14.33203125" style="197" bestFit="1" customWidth="1"/>
    <col min="15122" max="15360" width="9.33203125" style="197"/>
    <col min="15361" max="15361" width="6.1640625" style="197" customWidth="1"/>
    <col min="15362" max="15362" width="8.83203125" style="197" customWidth="1"/>
    <col min="15363" max="15363" width="48.83203125" style="197" customWidth="1"/>
    <col min="15364" max="15364" width="30.1640625" style="197" customWidth="1"/>
    <col min="15365" max="15365" width="11.5" style="197" customWidth="1"/>
    <col min="15366" max="15366" width="8.83203125" style="197" customWidth="1"/>
    <col min="15367" max="15374" width="18.1640625" style="197" customWidth="1"/>
    <col min="15375" max="15375" width="8.83203125" style="197" customWidth="1"/>
    <col min="15376" max="15376" width="9.33203125" style="197"/>
    <col min="15377" max="15377" width="14.33203125" style="197" bestFit="1" customWidth="1"/>
    <col min="15378" max="15616" width="9.33203125" style="197"/>
    <col min="15617" max="15617" width="6.1640625" style="197" customWidth="1"/>
    <col min="15618" max="15618" width="8.83203125" style="197" customWidth="1"/>
    <col min="15619" max="15619" width="48.83203125" style="197" customWidth="1"/>
    <col min="15620" max="15620" width="30.1640625" style="197" customWidth="1"/>
    <col min="15621" max="15621" width="11.5" style="197" customWidth="1"/>
    <col min="15622" max="15622" width="8.83203125" style="197" customWidth="1"/>
    <col min="15623" max="15630" width="18.1640625" style="197" customWidth="1"/>
    <col min="15631" max="15631" width="8.83203125" style="197" customWidth="1"/>
    <col min="15632" max="15632" width="9.33203125" style="197"/>
    <col min="15633" max="15633" width="14.33203125" style="197" bestFit="1" customWidth="1"/>
    <col min="15634" max="15872" width="9.33203125" style="197"/>
    <col min="15873" max="15873" width="6.1640625" style="197" customWidth="1"/>
    <col min="15874" max="15874" width="8.83203125" style="197" customWidth="1"/>
    <col min="15875" max="15875" width="48.83203125" style="197" customWidth="1"/>
    <col min="15876" max="15876" width="30.1640625" style="197" customWidth="1"/>
    <col min="15877" max="15877" width="11.5" style="197" customWidth="1"/>
    <col min="15878" max="15878" width="8.83203125" style="197" customWidth="1"/>
    <col min="15879" max="15886" width="18.1640625" style="197" customWidth="1"/>
    <col min="15887" max="15887" width="8.83203125" style="197" customWidth="1"/>
    <col min="15888" max="15888" width="9.33203125" style="197"/>
    <col min="15889" max="15889" width="14.33203125" style="197" bestFit="1" customWidth="1"/>
    <col min="15890" max="16128" width="9.33203125" style="197"/>
    <col min="16129" max="16129" width="6.1640625" style="197" customWidth="1"/>
    <col min="16130" max="16130" width="8.83203125" style="197" customWidth="1"/>
    <col min="16131" max="16131" width="48.83203125" style="197" customWidth="1"/>
    <col min="16132" max="16132" width="30.1640625" style="197" customWidth="1"/>
    <col min="16133" max="16133" width="11.5" style="197" customWidth="1"/>
    <col min="16134" max="16134" width="8.83203125" style="197" customWidth="1"/>
    <col min="16135" max="16142" width="18.1640625" style="197" customWidth="1"/>
    <col min="16143" max="16143" width="8.83203125" style="197" customWidth="1"/>
    <col min="16144" max="16144" width="9.33203125" style="197"/>
    <col min="16145" max="16145" width="14.33203125" style="197" bestFit="1" customWidth="1"/>
    <col min="16146" max="16384" width="9.33203125" style="197"/>
  </cols>
  <sheetData>
    <row r="1" spans="2:15" s="190" customFormat="1" ht="39.950000000000003" customHeight="1">
      <c r="B1" s="113" t="s">
        <v>753</v>
      </c>
      <c r="C1" s="113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</row>
    <row r="2" spans="2:15" s="192" customFormat="1" ht="20.100000000000001" customHeight="1">
      <c r="B2" s="115" t="s">
        <v>754</v>
      </c>
      <c r="C2" s="115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91"/>
      <c r="O2" s="116"/>
    </row>
    <row r="3" spans="2:15" s="192" customFormat="1" ht="20.100000000000001" customHeight="1">
      <c r="B3" s="198" t="s">
        <v>23</v>
      </c>
      <c r="C3" s="198"/>
      <c r="D3" s="198" t="s">
        <v>46</v>
      </c>
      <c r="E3" s="198" t="s">
        <v>45</v>
      </c>
      <c r="F3" s="198" t="s">
        <v>44</v>
      </c>
      <c r="G3" s="198" t="s">
        <v>18</v>
      </c>
      <c r="H3" s="198" t="s">
        <v>0</v>
      </c>
      <c r="I3" s="198" t="s">
        <v>17</v>
      </c>
      <c r="J3" s="198" t="s">
        <v>0</v>
      </c>
      <c r="K3" s="198" t="s">
        <v>16</v>
      </c>
      <c r="L3" s="198" t="s">
        <v>0</v>
      </c>
      <c r="M3" s="198" t="s">
        <v>19</v>
      </c>
      <c r="N3" s="198" t="s">
        <v>0</v>
      </c>
      <c r="O3" s="199" t="s">
        <v>15</v>
      </c>
    </row>
    <row r="4" spans="2:15" s="193" customFormat="1" ht="20.100000000000001" customHeight="1">
      <c r="B4" s="198"/>
      <c r="C4" s="198"/>
      <c r="D4" s="198" t="s">
        <v>0</v>
      </c>
      <c r="E4" s="198" t="s">
        <v>0</v>
      </c>
      <c r="F4" s="198" t="s">
        <v>0</v>
      </c>
      <c r="G4" s="189" t="s">
        <v>43</v>
      </c>
      <c r="H4" s="189" t="s">
        <v>755</v>
      </c>
      <c r="I4" s="189" t="s">
        <v>43</v>
      </c>
      <c r="J4" s="189" t="s">
        <v>42</v>
      </c>
      <c r="K4" s="189" t="s">
        <v>43</v>
      </c>
      <c r="L4" s="189" t="s">
        <v>42</v>
      </c>
      <c r="M4" s="189" t="s">
        <v>43</v>
      </c>
      <c r="N4" s="189" t="s">
        <v>42</v>
      </c>
      <c r="O4" s="199" t="s">
        <v>0</v>
      </c>
    </row>
    <row r="5" spans="2:15" s="192" customFormat="1" ht="20.100000000000001" customHeight="1">
      <c r="B5" s="117"/>
      <c r="C5" s="118" t="s">
        <v>756</v>
      </c>
      <c r="D5" s="119">
        <v>700</v>
      </c>
      <c r="E5" s="120"/>
      <c r="F5" s="121"/>
      <c r="G5" s="122"/>
      <c r="H5" s="123">
        <f>SUM(H6:H17)</f>
        <v>16824354</v>
      </c>
      <c r="I5" s="122"/>
      <c r="J5" s="123">
        <f>SUM(J6:J17)</f>
        <v>12637708</v>
      </c>
      <c r="K5" s="122"/>
      <c r="L5" s="123">
        <f>SUM(L6:L17)</f>
        <v>8440208</v>
      </c>
      <c r="M5" s="124"/>
      <c r="N5" s="124">
        <f t="shared" ref="N5:N17" si="0">H5+J5+L5</f>
        <v>37902270</v>
      </c>
      <c r="O5" s="125"/>
    </row>
    <row r="6" spans="2:15" s="192" customFormat="1" ht="20.100000000000001" customHeight="1">
      <c r="B6" s="117">
        <v>1</v>
      </c>
      <c r="C6" s="126" t="s">
        <v>588</v>
      </c>
      <c r="D6" s="119">
        <v>700</v>
      </c>
      <c r="E6" s="120">
        <v>1</v>
      </c>
      <c r="F6" s="121" t="s">
        <v>757</v>
      </c>
      <c r="G6" s="122">
        <f>H25</f>
        <v>265</v>
      </c>
      <c r="H6" s="123">
        <f t="shared" ref="H6:H17" si="1">TRUNC(G6*$E6,0)</f>
        <v>265</v>
      </c>
      <c r="I6" s="122">
        <f>J25</f>
        <v>132091</v>
      </c>
      <c r="J6" s="123">
        <f t="shared" ref="J6:J17" si="2">TRUNC(I6*$E6,0)</f>
        <v>132091</v>
      </c>
      <c r="K6" s="122">
        <f>L25</f>
        <v>394</v>
      </c>
      <c r="L6" s="123">
        <f t="shared" ref="L6:L17" si="3">TRUNC(K6*$E6,0)</f>
        <v>394</v>
      </c>
      <c r="M6" s="124">
        <f t="shared" ref="M6:M17" si="4">G6+I6+K6</f>
        <v>132750</v>
      </c>
      <c r="N6" s="124">
        <f t="shared" si="0"/>
        <v>132750</v>
      </c>
      <c r="O6" s="125">
        <f>B31</f>
        <v>3</v>
      </c>
    </row>
    <row r="7" spans="2:15" s="192" customFormat="1" ht="20.100000000000001" customHeight="1">
      <c r="B7" s="117">
        <v>2</v>
      </c>
      <c r="C7" s="118" t="s">
        <v>589</v>
      </c>
      <c r="D7" s="119">
        <v>700</v>
      </c>
      <c r="E7" s="120">
        <v>1</v>
      </c>
      <c r="F7" s="121" t="s">
        <v>757</v>
      </c>
      <c r="G7" s="122">
        <f>H42</f>
        <v>6861371</v>
      </c>
      <c r="H7" s="123">
        <f t="shared" si="1"/>
        <v>6861371</v>
      </c>
      <c r="I7" s="122">
        <f>J42</f>
        <v>2326038</v>
      </c>
      <c r="J7" s="123">
        <f t="shared" si="2"/>
        <v>2326038</v>
      </c>
      <c r="K7" s="122">
        <f>L42</f>
        <v>455081</v>
      </c>
      <c r="L7" s="123">
        <f t="shared" si="3"/>
        <v>455081</v>
      </c>
      <c r="M7" s="124">
        <f t="shared" si="4"/>
        <v>9642490</v>
      </c>
      <c r="N7" s="124">
        <f t="shared" si="0"/>
        <v>9642490</v>
      </c>
      <c r="O7" s="125">
        <f>B37</f>
        <v>4</v>
      </c>
    </row>
    <row r="8" spans="2:15" s="192" customFormat="1" ht="20.100000000000001" customHeight="1">
      <c r="B8" s="117">
        <v>3</v>
      </c>
      <c r="C8" s="118" t="s">
        <v>590</v>
      </c>
      <c r="D8" s="127">
        <v>600</v>
      </c>
      <c r="E8" s="120">
        <v>1</v>
      </c>
      <c r="F8" s="121" t="s">
        <v>757</v>
      </c>
      <c r="G8" s="122">
        <f>H70</f>
        <v>136480</v>
      </c>
      <c r="H8" s="123">
        <f t="shared" si="1"/>
        <v>136480</v>
      </c>
      <c r="I8" s="122">
        <f>J70</f>
        <v>648222</v>
      </c>
      <c r="J8" s="123">
        <f t="shared" si="2"/>
        <v>648222</v>
      </c>
      <c r="K8" s="122">
        <f>L70</f>
        <v>636188</v>
      </c>
      <c r="L8" s="123">
        <f t="shared" si="3"/>
        <v>636188</v>
      </c>
      <c r="M8" s="124">
        <f t="shared" si="4"/>
        <v>1420890</v>
      </c>
      <c r="N8" s="124">
        <f t="shared" si="0"/>
        <v>1420890</v>
      </c>
      <c r="O8" s="125">
        <f>B66</f>
        <v>8</v>
      </c>
    </row>
    <row r="9" spans="2:15" s="192" customFormat="1" ht="20.100000000000001" customHeight="1">
      <c r="B9" s="117">
        <v>4</v>
      </c>
      <c r="C9" s="118" t="s">
        <v>591</v>
      </c>
      <c r="D9" s="127">
        <v>600</v>
      </c>
      <c r="E9" s="120">
        <v>1</v>
      </c>
      <c r="F9" s="121" t="s">
        <v>757</v>
      </c>
      <c r="G9" s="122">
        <f>H91</f>
        <v>2363365</v>
      </c>
      <c r="H9" s="123">
        <f t="shared" si="1"/>
        <v>2363365</v>
      </c>
      <c r="I9" s="122">
        <f>J91</f>
        <v>2570426</v>
      </c>
      <c r="J9" s="123">
        <f t="shared" si="2"/>
        <v>2570426</v>
      </c>
      <c r="K9" s="122">
        <f>L91</f>
        <v>4274817</v>
      </c>
      <c r="L9" s="123">
        <f t="shared" si="3"/>
        <v>4274817</v>
      </c>
      <c r="M9" s="124">
        <f t="shared" si="4"/>
        <v>9208608</v>
      </c>
      <c r="N9" s="124">
        <f t="shared" si="0"/>
        <v>9208608</v>
      </c>
      <c r="O9" s="125">
        <f>B78</f>
        <v>10</v>
      </c>
    </row>
    <row r="10" spans="2:15" s="192" customFormat="1" ht="20.100000000000001" customHeight="1">
      <c r="B10" s="117">
        <v>5</v>
      </c>
      <c r="C10" s="118" t="s">
        <v>592</v>
      </c>
      <c r="D10" s="128">
        <v>50</v>
      </c>
      <c r="E10" s="120">
        <v>1</v>
      </c>
      <c r="F10" s="121" t="s">
        <v>757</v>
      </c>
      <c r="G10" s="122">
        <f>H145</f>
        <v>441147</v>
      </c>
      <c r="H10" s="123">
        <f t="shared" si="1"/>
        <v>441147</v>
      </c>
      <c r="I10" s="122">
        <f>J145</f>
        <v>348986</v>
      </c>
      <c r="J10" s="123">
        <f t="shared" si="2"/>
        <v>348986</v>
      </c>
      <c r="K10" s="122">
        <f>L145</f>
        <v>6906</v>
      </c>
      <c r="L10" s="123">
        <f t="shared" si="3"/>
        <v>6906</v>
      </c>
      <c r="M10" s="124">
        <f t="shared" si="4"/>
        <v>797039</v>
      </c>
      <c r="N10" s="124">
        <f t="shared" si="0"/>
        <v>797039</v>
      </c>
      <c r="O10" s="125">
        <f>B137</f>
        <v>18</v>
      </c>
    </row>
    <row r="11" spans="2:15" s="192" customFormat="1" ht="20.100000000000001" customHeight="1">
      <c r="B11" s="117">
        <v>6</v>
      </c>
      <c r="C11" s="118" t="s">
        <v>593</v>
      </c>
      <c r="D11" s="119">
        <v>700</v>
      </c>
      <c r="E11" s="120">
        <v>1</v>
      </c>
      <c r="F11" s="121" t="s">
        <v>757</v>
      </c>
      <c r="G11" s="122">
        <f>H177</f>
        <v>3391044</v>
      </c>
      <c r="H11" s="123">
        <f t="shared" si="1"/>
        <v>3391044</v>
      </c>
      <c r="I11" s="122">
        <f>J177</f>
        <v>3678960</v>
      </c>
      <c r="J11" s="123">
        <f t="shared" si="2"/>
        <v>3678960</v>
      </c>
      <c r="K11" s="122">
        <f>L177</f>
        <v>2303647</v>
      </c>
      <c r="L11" s="123">
        <f t="shared" si="3"/>
        <v>2303647</v>
      </c>
      <c r="M11" s="124">
        <f t="shared" si="4"/>
        <v>9373651</v>
      </c>
      <c r="N11" s="124">
        <f t="shared" si="0"/>
        <v>9373651</v>
      </c>
      <c r="O11" s="125">
        <f>B169</f>
        <v>22</v>
      </c>
    </row>
    <row r="12" spans="2:15" s="192" customFormat="1" ht="20.100000000000001" customHeight="1">
      <c r="B12" s="117">
        <v>7</v>
      </c>
      <c r="C12" s="118" t="s">
        <v>594</v>
      </c>
      <c r="D12" s="127">
        <v>600</v>
      </c>
      <c r="E12" s="120">
        <v>1</v>
      </c>
      <c r="F12" s="121" t="s">
        <v>757</v>
      </c>
      <c r="G12" s="122">
        <f>H209</f>
        <v>2939562</v>
      </c>
      <c r="H12" s="123">
        <f t="shared" si="1"/>
        <v>2939562</v>
      </c>
      <c r="I12" s="122">
        <f>J209</f>
        <v>931031</v>
      </c>
      <c r="J12" s="123">
        <f t="shared" si="2"/>
        <v>931031</v>
      </c>
      <c r="K12" s="122">
        <f>L209</f>
        <v>403725</v>
      </c>
      <c r="L12" s="123">
        <f t="shared" si="3"/>
        <v>403725</v>
      </c>
      <c r="M12" s="124">
        <f t="shared" si="4"/>
        <v>4274318</v>
      </c>
      <c r="N12" s="124">
        <f t="shared" si="0"/>
        <v>4274318</v>
      </c>
      <c r="O12" s="125">
        <f>B202</f>
        <v>27</v>
      </c>
    </row>
    <row r="13" spans="2:15" s="192" customFormat="1" ht="20.100000000000001" customHeight="1">
      <c r="B13" s="117">
        <v>8</v>
      </c>
      <c r="C13" s="118" t="s">
        <v>595</v>
      </c>
      <c r="D13" s="127">
        <v>600</v>
      </c>
      <c r="E13" s="120">
        <v>1</v>
      </c>
      <c r="F13" s="121" t="s">
        <v>757</v>
      </c>
      <c r="G13" s="122">
        <f>H234</f>
        <v>0</v>
      </c>
      <c r="H13" s="123">
        <f t="shared" si="1"/>
        <v>0</v>
      </c>
      <c r="I13" s="122">
        <f>J234</f>
        <v>259594</v>
      </c>
      <c r="J13" s="123">
        <f t="shared" si="2"/>
        <v>259594</v>
      </c>
      <c r="K13" s="122">
        <f>L234</f>
        <v>38090</v>
      </c>
      <c r="L13" s="123">
        <f t="shared" si="3"/>
        <v>38090</v>
      </c>
      <c r="M13" s="124">
        <f t="shared" si="4"/>
        <v>297684</v>
      </c>
      <c r="N13" s="124">
        <f t="shared" si="0"/>
        <v>297684</v>
      </c>
      <c r="O13" s="125">
        <f>B230</f>
        <v>31</v>
      </c>
    </row>
    <row r="14" spans="2:15" s="192" customFormat="1" ht="20.100000000000001" customHeight="1">
      <c r="B14" s="117">
        <v>9</v>
      </c>
      <c r="C14" s="118" t="s">
        <v>596</v>
      </c>
      <c r="D14" s="127">
        <v>600</v>
      </c>
      <c r="E14" s="120">
        <v>1</v>
      </c>
      <c r="F14" s="121" t="s">
        <v>757</v>
      </c>
      <c r="G14" s="122">
        <f>H241</f>
        <v>691120</v>
      </c>
      <c r="H14" s="123">
        <f t="shared" si="1"/>
        <v>691120</v>
      </c>
      <c r="I14" s="122">
        <f>J241</f>
        <v>300509</v>
      </c>
      <c r="J14" s="123">
        <f t="shared" si="2"/>
        <v>300509</v>
      </c>
      <c r="K14" s="122">
        <f>L241</f>
        <v>18006</v>
      </c>
      <c r="L14" s="123">
        <f t="shared" si="3"/>
        <v>18006</v>
      </c>
      <c r="M14" s="124">
        <f t="shared" si="4"/>
        <v>1009635</v>
      </c>
      <c r="N14" s="124">
        <f t="shared" si="0"/>
        <v>1009635</v>
      </c>
      <c r="O14" s="125">
        <f>B236</f>
        <v>32</v>
      </c>
    </row>
    <row r="15" spans="2:15" s="192" customFormat="1" ht="20.100000000000001" customHeight="1">
      <c r="B15" s="117">
        <v>10</v>
      </c>
      <c r="C15" s="118" t="s">
        <v>597</v>
      </c>
      <c r="D15" s="119">
        <v>700</v>
      </c>
      <c r="E15" s="120">
        <v>1</v>
      </c>
      <c r="F15" s="121" t="s">
        <v>757</v>
      </c>
      <c r="G15" s="122">
        <f>H256</f>
        <v>0</v>
      </c>
      <c r="H15" s="123">
        <f t="shared" si="1"/>
        <v>0</v>
      </c>
      <c r="I15" s="122">
        <f>J256</f>
        <v>628835</v>
      </c>
      <c r="J15" s="123">
        <f t="shared" si="2"/>
        <v>628835</v>
      </c>
      <c r="K15" s="122">
        <f>L256</f>
        <v>0</v>
      </c>
      <c r="L15" s="123">
        <f t="shared" si="3"/>
        <v>0</v>
      </c>
      <c r="M15" s="124">
        <f t="shared" si="4"/>
        <v>628835</v>
      </c>
      <c r="N15" s="124">
        <f t="shared" si="0"/>
        <v>628835</v>
      </c>
      <c r="O15" s="125">
        <f>B254</f>
        <v>35</v>
      </c>
    </row>
    <row r="16" spans="2:15" s="192" customFormat="1" ht="20.100000000000001" customHeight="1">
      <c r="B16" s="117">
        <v>11</v>
      </c>
      <c r="C16" s="118" t="s">
        <v>598</v>
      </c>
      <c r="D16" s="119">
        <v>700</v>
      </c>
      <c r="E16" s="120">
        <v>1</v>
      </c>
      <c r="F16" s="121" t="s">
        <v>758</v>
      </c>
      <c r="G16" s="122">
        <f>H260</f>
        <v>0</v>
      </c>
      <c r="H16" s="123">
        <f t="shared" si="1"/>
        <v>0</v>
      </c>
      <c r="I16" s="122">
        <f>J260</f>
        <v>0</v>
      </c>
      <c r="J16" s="123">
        <f t="shared" si="2"/>
        <v>0</v>
      </c>
      <c r="K16" s="122">
        <f>L260</f>
        <v>303354</v>
      </c>
      <c r="L16" s="123">
        <f t="shared" si="3"/>
        <v>303354</v>
      </c>
      <c r="M16" s="124">
        <f t="shared" si="4"/>
        <v>303354</v>
      </c>
      <c r="N16" s="124">
        <f t="shared" si="0"/>
        <v>303354</v>
      </c>
      <c r="O16" s="125">
        <f>B258</f>
        <v>36</v>
      </c>
    </row>
    <row r="17" spans="2:15" s="192" customFormat="1" ht="20.100000000000001" customHeight="1">
      <c r="B17" s="117">
        <v>12</v>
      </c>
      <c r="C17" s="118" t="s">
        <v>599</v>
      </c>
      <c r="D17" s="127">
        <v>600</v>
      </c>
      <c r="E17" s="120">
        <v>1</v>
      </c>
      <c r="F17" s="121" t="s">
        <v>759</v>
      </c>
      <c r="G17" s="122">
        <f>H264</f>
        <v>0</v>
      </c>
      <c r="H17" s="123">
        <f t="shared" si="1"/>
        <v>0</v>
      </c>
      <c r="I17" s="122">
        <f>J264</f>
        <v>813016</v>
      </c>
      <c r="J17" s="123">
        <f t="shared" si="2"/>
        <v>813016</v>
      </c>
      <c r="K17" s="122">
        <f>L264</f>
        <v>0</v>
      </c>
      <c r="L17" s="123">
        <f t="shared" si="3"/>
        <v>0</v>
      </c>
      <c r="M17" s="124">
        <f t="shared" si="4"/>
        <v>813016</v>
      </c>
      <c r="N17" s="124">
        <f t="shared" si="0"/>
        <v>813016</v>
      </c>
      <c r="O17" s="125">
        <f>B262</f>
        <v>37</v>
      </c>
    </row>
    <row r="18" spans="2:15" s="192" customFormat="1" ht="20.100000000000001" customHeight="1">
      <c r="B18" s="129"/>
      <c r="C18" s="129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O18" s="130"/>
    </row>
    <row r="19" spans="2:15" s="192" customFormat="1" ht="20.100000000000001" customHeight="1">
      <c r="B19" s="115" t="s">
        <v>760</v>
      </c>
      <c r="C19" s="115"/>
      <c r="D19" s="116"/>
      <c r="E19" s="116"/>
      <c r="F19" s="116"/>
      <c r="G19" s="116"/>
      <c r="H19" s="116"/>
      <c r="I19" s="116"/>
      <c r="J19" s="116"/>
      <c r="K19" s="116"/>
      <c r="L19" s="116"/>
      <c r="M19" s="116"/>
      <c r="N19" s="191"/>
      <c r="O19" s="116"/>
    </row>
    <row r="20" spans="2:15" s="192" customFormat="1" ht="20.100000000000001" customHeight="1">
      <c r="B20" s="198" t="s">
        <v>23</v>
      </c>
      <c r="C20" s="198"/>
      <c r="D20" s="198" t="s">
        <v>46</v>
      </c>
      <c r="E20" s="198" t="s">
        <v>45</v>
      </c>
      <c r="F20" s="198" t="s">
        <v>44</v>
      </c>
      <c r="G20" s="198" t="s">
        <v>18</v>
      </c>
      <c r="H20" s="198" t="s">
        <v>0</v>
      </c>
      <c r="I20" s="198" t="s">
        <v>17</v>
      </c>
      <c r="J20" s="198" t="s">
        <v>0</v>
      </c>
      <c r="K20" s="198" t="s">
        <v>16</v>
      </c>
      <c r="L20" s="198" t="s">
        <v>0</v>
      </c>
      <c r="M20" s="198" t="s">
        <v>19</v>
      </c>
      <c r="N20" s="198" t="s">
        <v>0</v>
      </c>
      <c r="O20" s="199" t="s">
        <v>15</v>
      </c>
    </row>
    <row r="21" spans="2:15" s="193" customFormat="1" ht="20.100000000000001" customHeight="1">
      <c r="B21" s="198"/>
      <c r="C21" s="198"/>
      <c r="D21" s="198" t="s">
        <v>0</v>
      </c>
      <c r="E21" s="198" t="s">
        <v>0</v>
      </c>
      <c r="F21" s="198" t="s">
        <v>0</v>
      </c>
      <c r="G21" s="189" t="s">
        <v>43</v>
      </c>
      <c r="H21" s="189" t="s">
        <v>42</v>
      </c>
      <c r="I21" s="189" t="s">
        <v>43</v>
      </c>
      <c r="J21" s="189" t="s">
        <v>42</v>
      </c>
      <c r="K21" s="189" t="s">
        <v>43</v>
      </c>
      <c r="L21" s="189" t="s">
        <v>42</v>
      </c>
      <c r="M21" s="189" t="s">
        <v>43</v>
      </c>
      <c r="N21" s="189" t="s">
        <v>42</v>
      </c>
      <c r="O21" s="199" t="s">
        <v>0</v>
      </c>
    </row>
    <row r="22" spans="2:15" s="194" customFormat="1" ht="20.100000000000001" customHeight="1">
      <c r="B22" s="131">
        <v>1</v>
      </c>
      <c r="C22" s="132" t="s">
        <v>761</v>
      </c>
      <c r="D22" s="133">
        <v>700</v>
      </c>
      <c r="E22" s="134">
        <v>1</v>
      </c>
      <c r="F22" s="135" t="s">
        <v>600</v>
      </c>
      <c r="G22" s="136"/>
      <c r="H22" s="136"/>
      <c r="I22" s="136"/>
      <c r="J22" s="136"/>
      <c r="K22" s="136"/>
      <c r="L22" s="136"/>
      <c r="M22" s="136"/>
      <c r="N22" s="136"/>
      <c r="O22" s="137" t="s">
        <v>0</v>
      </c>
    </row>
    <row r="23" spans="2:15" s="193" customFormat="1" ht="20.100000000000001" customHeight="1">
      <c r="B23" s="117"/>
      <c r="C23" s="118" t="s">
        <v>601</v>
      </c>
      <c r="D23" s="138"/>
      <c r="E23" s="120">
        <v>1</v>
      </c>
      <c r="F23" s="121" t="s">
        <v>759</v>
      </c>
      <c r="G23" s="122">
        <v>0</v>
      </c>
      <c r="H23" s="123">
        <f>TRUNC(G23*$E23,0)</f>
        <v>0</v>
      </c>
      <c r="I23" s="122">
        <f>J29</f>
        <v>107434</v>
      </c>
      <c r="J23" s="123">
        <f>TRUNC(I23*$E23,0)</f>
        <v>107434</v>
      </c>
      <c r="K23" s="122">
        <v>0</v>
      </c>
      <c r="L23" s="123">
        <f>TRUNC(K23*$E23,0)</f>
        <v>0</v>
      </c>
      <c r="M23" s="124">
        <f>G23+I23+K23</f>
        <v>107434</v>
      </c>
      <c r="N23" s="124">
        <f>H23+J23+L23</f>
        <v>107434</v>
      </c>
      <c r="O23" s="125">
        <f>B27</f>
        <v>2</v>
      </c>
    </row>
    <row r="24" spans="2:15" s="193" customFormat="1" ht="20.100000000000001" customHeight="1">
      <c r="B24" s="117"/>
      <c r="C24" s="118" t="s">
        <v>602</v>
      </c>
      <c r="D24" s="139" t="s">
        <v>762</v>
      </c>
      <c r="E24" s="120">
        <v>1</v>
      </c>
      <c r="F24" s="121" t="s">
        <v>759</v>
      </c>
      <c r="G24" s="122">
        <v>265</v>
      </c>
      <c r="H24" s="123">
        <f>TRUNC(G24*$E24,0)</f>
        <v>265</v>
      </c>
      <c r="I24" s="122">
        <f>J35</f>
        <v>24657</v>
      </c>
      <c r="J24" s="123">
        <f>TRUNC(I24*$E24,0)</f>
        <v>24657</v>
      </c>
      <c r="K24" s="122">
        <v>394</v>
      </c>
      <c r="L24" s="123">
        <f>TRUNC(K24*$E24,0)</f>
        <v>394</v>
      </c>
      <c r="M24" s="124">
        <f>G24+I24+K24</f>
        <v>25316</v>
      </c>
      <c r="N24" s="124">
        <f>H24+J24+L24</f>
        <v>25316</v>
      </c>
      <c r="O24" s="125">
        <f>B31</f>
        <v>3</v>
      </c>
    </row>
    <row r="25" spans="2:15" s="193" customFormat="1" ht="20.100000000000001" customHeight="1">
      <c r="B25" s="140"/>
      <c r="C25" s="141" t="s">
        <v>763</v>
      </c>
      <c r="D25" s="142"/>
      <c r="E25" s="143"/>
      <c r="F25" s="143"/>
      <c r="G25" s="144"/>
      <c r="H25" s="145">
        <f>SUM(H23:H24)</f>
        <v>265</v>
      </c>
      <c r="I25" s="144"/>
      <c r="J25" s="145">
        <f>SUM(J23:J24)</f>
        <v>132091</v>
      </c>
      <c r="K25" s="144"/>
      <c r="L25" s="145">
        <f>SUM(L23:L24)</f>
        <v>394</v>
      </c>
      <c r="M25" s="146"/>
      <c r="N25" s="146">
        <f>H25+J25+L25</f>
        <v>132750</v>
      </c>
      <c r="O25" s="147"/>
    </row>
    <row r="26" spans="2:15" s="193" customFormat="1" ht="20.100000000000001" customHeight="1">
      <c r="B26" s="148"/>
      <c r="C26" s="149"/>
      <c r="D26" s="149"/>
      <c r="E26" s="150"/>
      <c r="F26" s="150"/>
      <c r="G26" s="151"/>
      <c r="H26" s="152"/>
      <c r="I26" s="151"/>
      <c r="J26" s="152"/>
      <c r="K26" s="151"/>
      <c r="L26" s="152"/>
      <c r="M26" s="153"/>
      <c r="N26" s="153"/>
      <c r="O26" s="154"/>
    </row>
    <row r="27" spans="2:15" s="193" customFormat="1" ht="20.100000000000001" customHeight="1">
      <c r="B27" s="131">
        <f>B22+1</f>
        <v>2</v>
      </c>
      <c r="C27" s="155" t="s">
        <v>764</v>
      </c>
      <c r="D27" s="133">
        <v>700</v>
      </c>
      <c r="E27" s="134">
        <v>1</v>
      </c>
      <c r="F27" s="135" t="s">
        <v>600</v>
      </c>
      <c r="G27" s="136"/>
      <c r="H27" s="136"/>
      <c r="I27" s="136"/>
      <c r="J27" s="136"/>
      <c r="K27" s="136"/>
      <c r="L27" s="136"/>
      <c r="M27" s="136"/>
      <c r="N27" s="136"/>
      <c r="O27" s="137" t="s">
        <v>0</v>
      </c>
    </row>
    <row r="28" spans="2:15" s="193" customFormat="1" ht="20.100000000000001" customHeight="1">
      <c r="B28" s="117"/>
      <c r="C28" s="156" t="s">
        <v>58</v>
      </c>
      <c r="D28" s="138"/>
      <c r="E28" s="120">
        <v>0.33300000000000002</v>
      </c>
      <c r="F28" s="121" t="s">
        <v>765</v>
      </c>
      <c r="G28" s="122"/>
      <c r="H28" s="123">
        <f>TRUNC(G28*$E28,0)</f>
        <v>0</v>
      </c>
      <c r="I28" s="122">
        <f>노임!$D$17</f>
        <v>322627</v>
      </c>
      <c r="J28" s="123">
        <f>TRUNC(I28*$E28,0)</f>
        <v>107434</v>
      </c>
      <c r="K28" s="122"/>
      <c r="L28" s="123">
        <f>TRUNC(K28*$E28,0)</f>
        <v>0</v>
      </c>
      <c r="M28" s="124">
        <f>G28+I28+K28</f>
        <v>322627</v>
      </c>
      <c r="N28" s="124">
        <f>H28+J28+L28</f>
        <v>107434</v>
      </c>
      <c r="O28" s="157"/>
    </row>
    <row r="29" spans="2:15" s="193" customFormat="1" ht="20.100000000000001" customHeight="1">
      <c r="B29" s="140"/>
      <c r="C29" s="141" t="s">
        <v>763</v>
      </c>
      <c r="D29" s="142"/>
      <c r="E29" s="143"/>
      <c r="F29" s="143"/>
      <c r="G29" s="144"/>
      <c r="H29" s="145">
        <f>SUM(H28:H28)</f>
        <v>0</v>
      </c>
      <c r="I29" s="144"/>
      <c r="J29" s="145">
        <f>SUM(J28:J28)</f>
        <v>107434</v>
      </c>
      <c r="K29" s="144"/>
      <c r="L29" s="145">
        <f>SUM(L28:L28)</f>
        <v>0</v>
      </c>
      <c r="M29" s="146"/>
      <c r="N29" s="146">
        <f>H29+J29+L29</f>
        <v>107434</v>
      </c>
      <c r="O29" s="147"/>
    </row>
    <row r="30" spans="2:15" s="193" customFormat="1" ht="20.100000000000001" customHeight="1">
      <c r="B30" s="148"/>
      <c r="C30" s="149"/>
      <c r="D30" s="149"/>
      <c r="E30" s="150"/>
      <c r="F30" s="150"/>
      <c r="G30" s="151"/>
      <c r="H30" s="152"/>
      <c r="I30" s="151"/>
      <c r="J30" s="152"/>
      <c r="K30" s="151"/>
      <c r="L30" s="152"/>
      <c r="M30" s="153"/>
      <c r="N30" s="153"/>
      <c r="O30" s="154"/>
    </row>
    <row r="31" spans="2:15" s="194" customFormat="1" ht="20.100000000000001" customHeight="1">
      <c r="B31" s="131">
        <f>B27+1</f>
        <v>3</v>
      </c>
      <c r="C31" s="155" t="s">
        <v>766</v>
      </c>
      <c r="D31" s="133">
        <v>700</v>
      </c>
      <c r="E31" s="134">
        <v>1</v>
      </c>
      <c r="F31" s="135" t="s">
        <v>600</v>
      </c>
      <c r="G31" s="136"/>
      <c r="H31" s="136"/>
      <c r="I31" s="136"/>
      <c r="J31" s="136"/>
      <c r="K31" s="136"/>
      <c r="L31" s="136"/>
      <c r="M31" s="136"/>
      <c r="N31" s="136"/>
      <c r="O31" s="137" t="s">
        <v>0</v>
      </c>
    </row>
    <row r="32" spans="2:15" s="193" customFormat="1" ht="20.100000000000001" customHeight="1">
      <c r="B32" s="117"/>
      <c r="C32" s="156" t="s">
        <v>603</v>
      </c>
      <c r="D32" s="138"/>
      <c r="E32" s="120">
        <v>0.05</v>
      </c>
      <c r="F32" s="121" t="s">
        <v>765</v>
      </c>
      <c r="G32" s="122"/>
      <c r="H32" s="123">
        <f>TRUNC(G32*$E32,0)</f>
        <v>0</v>
      </c>
      <c r="I32" s="122">
        <f>노임!$D$23</f>
        <v>493156</v>
      </c>
      <c r="J32" s="123">
        <f>TRUNC(I32*$E32,0)</f>
        <v>24657</v>
      </c>
      <c r="K32" s="122"/>
      <c r="L32" s="123">
        <f>TRUNC(K32*$E32,0)</f>
        <v>0</v>
      </c>
      <c r="M32" s="124">
        <f t="shared" ref="M32:N34" si="5">G32+I32+K32</f>
        <v>493156</v>
      </c>
      <c r="N32" s="124">
        <f t="shared" si="5"/>
        <v>24657</v>
      </c>
      <c r="O32" s="157"/>
    </row>
    <row r="33" spans="2:15" s="193" customFormat="1" ht="20.100000000000001" customHeight="1">
      <c r="B33" s="117"/>
      <c r="C33" s="156" t="s">
        <v>604</v>
      </c>
      <c r="D33" s="139" t="s">
        <v>762</v>
      </c>
      <c r="E33" s="120">
        <v>0.83</v>
      </c>
      <c r="F33" s="121" t="s">
        <v>767</v>
      </c>
      <c r="G33" s="122">
        <v>320</v>
      </c>
      <c r="H33" s="123">
        <f t="shared" ref="H33:J34" si="6">TRUNC(G33*$E33,0)</f>
        <v>265</v>
      </c>
      <c r="I33" s="122"/>
      <c r="J33" s="123">
        <f t="shared" si="6"/>
        <v>0</v>
      </c>
      <c r="K33" s="122"/>
      <c r="L33" s="123">
        <f>TRUNC(K33*$E33,0)</f>
        <v>0</v>
      </c>
      <c r="M33" s="124">
        <f t="shared" si="5"/>
        <v>320</v>
      </c>
      <c r="N33" s="124">
        <f t="shared" si="5"/>
        <v>265</v>
      </c>
      <c r="O33" s="157"/>
    </row>
    <row r="34" spans="2:15" s="193" customFormat="1" ht="20.100000000000001" customHeight="1">
      <c r="B34" s="117"/>
      <c r="C34" s="156" t="s">
        <v>605</v>
      </c>
      <c r="D34" s="139" t="s">
        <v>768</v>
      </c>
      <c r="E34" s="158">
        <v>0.03</v>
      </c>
      <c r="F34" s="121"/>
      <c r="G34" s="122"/>
      <c r="H34" s="123">
        <f t="shared" si="6"/>
        <v>0</v>
      </c>
      <c r="I34" s="122"/>
      <c r="J34" s="123">
        <f t="shared" si="6"/>
        <v>0</v>
      </c>
      <c r="K34" s="122">
        <v>13150</v>
      </c>
      <c r="L34" s="123">
        <f>TRUNC(K34*$E34,0)</f>
        <v>394</v>
      </c>
      <c r="M34" s="124">
        <f t="shared" si="5"/>
        <v>13150</v>
      </c>
      <c r="N34" s="124">
        <f t="shared" si="5"/>
        <v>394</v>
      </c>
      <c r="O34" s="157"/>
    </row>
    <row r="35" spans="2:15" s="193" customFormat="1" ht="20.100000000000001" customHeight="1">
      <c r="B35" s="140"/>
      <c r="C35" s="141" t="s">
        <v>698</v>
      </c>
      <c r="D35" s="142"/>
      <c r="E35" s="143"/>
      <c r="F35" s="143"/>
      <c r="G35" s="144"/>
      <c r="H35" s="145">
        <f>SUM(H32:H34)</f>
        <v>265</v>
      </c>
      <c r="I35" s="144"/>
      <c r="J35" s="145">
        <f>SUM(J32:J34)</f>
        <v>24657</v>
      </c>
      <c r="K35" s="144"/>
      <c r="L35" s="145">
        <f>SUM(L32:L34)</f>
        <v>394</v>
      </c>
      <c r="M35" s="146"/>
      <c r="N35" s="146">
        <f>H35+J35+L35</f>
        <v>25316</v>
      </c>
      <c r="O35" s="147"/>
    </row>
    <row r="36" spans="2:15" s="193" customFormat="1" ht="20.100000000000001" customHeight="1">
      <c r="B36" s="148"/>
      <c r="C36" s="149"/>
      <c r="D36" s="149"/>
      <c r="E36" s="150"/>
      <c r="F36" s="150"/>
      <c r="G36" s="151"/>
      <c r="H36" s="152"/>
      <c r="I36" s="151"/>
      <c r="J36" s="152"/>
      <c r="K36" s="151"/>
      <c r="L36" s="152"/>
      <c r="M36" s="153"/>
      <c r="N36" s="153"/>
      <c r="O36" s="154"/>
    </row>
    <row r="37" spans="2:15" s="194" customFormat="1" ht="20.100000000000001" customHeight="1">
      <c r="B37" s="131">
        <f>B31+1</f>
        <v>4</v>
      </c>
      <c r="C37" s="155" t="s">
        <v>769</v>
      </c>
      <c r="D37" s="133">
        <v>700</v>
      </c>
      <c r="E37" s="134">
        <v>1</v>
      </c>
      <c r="F37" s="135" t="s">
        <v>600</v>
      </c>
      <c r="G37" s="136"/>
      <c r="H37" s="136"/>
      <c r="I37" s="136"/>
      <c r="J37" s="136"/>
      <c r="K37" s="136"/>
      <c r="L37" s="136"/>
      <c r="M37" s="136"/>
      <c r="N37" s="136"/>
      <c r="O37" s="137" t="s">
        <v>0</v>
      </c>
    </row>
    <row r="38" spans="2:15" s="193" customFormat="1" ht="19.5" customHeight="1">
      <c r="B38" s="117"/>
      <c r="C38" s="118" t="s">
        <v>606</v>
      </c>
      <c r="D38" s="159">
        <v>700</v>
      </c>
      <c r="E38" s="120">
        <v>1</v>
      </c>
      <c r="F38" s="121" t="s">
        <v>759</v>
      </c>
      <c r="G38" s="122">
        <v>0</v>
      </c>
      <c r="H38" s="123">
        <f>TRUNC(G38*$E38,0)</f>
        <v>0</v>
      </c>
      <c r="I38" s="122">
        <f>J48</f>
        <v>572675</v>
      </c>
      <c r="J38" s="123">
        <f>TRUNC(I38*$E38,0)</f>
        <v>572675</v>
      </c>
      <c r="K38" s="122">
        <v>84200</v>
      </c>
      <c r="L38" s="123">
        <f>TRUNC(K38*$E38,0)</f>
        <v>84200</v>
      </c>
      <c r="M38" s="124">
        <f t="shared" ref="M38:N41" si="7">G38+I38+K38</f>
        <v>656875</v>
      </c>
      <c r="N38" s="124">
        <f t="shared" si="7"/>
        <v>656875</v>
      </c>
      <c r="O38" s="125">
        <f>B44</f>
        <v>5</v>
      </c>
    </row>
    <row r="39" spans="2:15" s="193" customFormat="1" ht="20.100000000000001" customHeight="1">
      <c r="B39" s="117"/>
      <c r="C39" s="118" t="s">
        <v>607</v>
      </c>
      <c r="D39" s="159">
        <v>700</v>
      </c>
      <c r="E39" s="120">
        <v>1</v>
      </c>
      <c r="F39" s="121" t="s">
        <v>759</v>
      </c>
      <c r="G39" s="122">
        <v>4900</v>
      </c>
      <c r="H39" s="123">
        <f>TRUNC(G39*$E39,0)</f>
        <v>4900</v>
      </c>
      <c r="I39" s="122">
        <f>J55</f>
        <v>1366767</v>
      </c>
      <c r="J39" s="123">
        <f>TRUNC(I39*$E39,0)</f>
        <v>1366767</v>
      </c>
      <c r="K39" s="122">
        <v>370881</v>
      </c>
      <c r="L39" s="123">
        <f>TRUNC(K39*$E39,0)</f>
        <v>370881</v>
      </c>
      <c r="M39" s="124">
        <f t="shared" si="7"/>
        <v>1742548</v>
      </c>
      <c r="N39" s="124">
        <f t="shared" si="7"/>
        <v>1742548</v>
      </c>
      <c r="O39" s="125">
        <f>B50</f>
        <v>6</v>
      </c>
    </row>
    <row r="40" spans="2:15" s="193" customFormat="1" ht="20.100000000000001" customHeight="1">
      <c r="B40" s="117"/>
      <c r="C40" s="160" t="s">
        <v>608</v>
      </c>
      <c r="D40" s="159">
        <v>700</v>
      </c>
      <c r="E40" s="120">
        <v>1</v>
      </c>
      <c r="F40" s="121" t="s">
        <v>759</v>
      </c>
      <c r="G40" s="122">
        <v>28471</v>
      </c>
      <c r="H40" s="123">
        <f>TRUNC(G40*$E40,0)</f>
        <v>28471</v>
      </c>
      <c r="I40" s="122">
        <f>J64</f>
        <v>386596</v>
      </c>
      <c r="J40" s="123">
        <f>TRUNC(I40*$E40,0)</f>
        <v>386596</v>
      </c>
      <c r="K40" s="122">
        <v>0</v>
      </c>
      <c r="L40" s="123">
        <f>TRUNC(K40*$E40,0)</f>
        <v>0</v>
      </c>
      <c r="M40" s="124">
        <f t="shared" si="7"/>
        <v>415067</v>
      </c>
      <c r="N40" s="124">
        <f t="shared" si="7"/>
        <v>415067</v>
      </c>
      <c r="O40" s="125">
        <f>B57</f>
        <v>7</v>
      </c>
    </row>
    <row r="41" spans="2:15" s="193" customFormat="1" ht="20.100000000000001" customHeight="1">
      <c r="B41" s="117"/>
      <c r="C41" s="156" t="s">
        <v>770</v>
      </c>
      <c r="D41" s="159">
        <v>700</v>
      </c>
      <c r="E41" s="120">
        <v>1</v>
      </c>
      <c r="F41" s="121" t="s">
        <v>700</v>
      </c>
      <c r="G41" s="122">
        <v>6828000</v>
      </c>
      <c r="H41" s="123">
        <f>TRUNC(G41*$E41,0)</f>
        <v>6828000</v>
      </c>
      <c r="I41" s="122"/>
      <c r="J41" s="123">
        <f>TRUNC(I41*$E41,0)</f>
        <v>0</v>
      </c>
      <c r="K41" s="122"/>
      <c r="L41" s="123">
        <f>TRUNC(K41*$E41,0)</f>
        <v>0</v>
      </c>
      <c r="M41" s="124">
        <f t="shared" si="7"/>
        <v>6828000</v>
      </c>
      <c r="N41" s="124">
        <f t="shared" si="7"/>
        <v>6828000</v>
      </c>
      <c r="O41" s="157"/>
    </row>
    <row r="42" spans="2:15" s="193" customFormat="1" ht="20.100000000000001" customHeight="1">
      <c r="B42" s="140"/>
      <c r="C42" s="141" t="s">
        <v>763</v>
      </c>
      <c r="D42" s="142"/>
      <c r="E42" s="143"/>
      <c r="F42" s="143"/>
      <c r="G42" s="144"/>
      <c r="H42" s="145">
        <f>SUM(H38:H41)</f>
        <v>6861371</v>
      </c>
      <c r="I42" s="144"/>
      <c r="J42" s="145">
        <f>SUM(J38:J41)</f>
        <v>2326038</v>
      </c>
      <c r="K42" s="144"/>
      <c r="L42" s="145">
        <f>SUM(L38:L41)</f>
        <v>455081</v>
      </c>
      <c r="M42" s="146"/>
      <c r="N42" s="146">
        <f>H42+J42+L42</f>
        <v>9642490</v>
      </c>
      <c r="O42" s="147"/>
    </row>
    <row r="43" spans="2:15" s="193" customFormat="1" ht="20.100000000000001" customHeight="1">
      <c r="B43" s="148"/>
      <c r="C43" s="149"/>
      <c r="D43" s="149"/>
      <c r="E43" s="150"/>
      <c r="F43" s="150"/>
      <c r="G43" s="151"/>
      <c r="H43" s="152"/>
      <c r="I43" s="151"/>
      <c r="J43" s="152"/>
      <c r="K43" s="151"/>
      <c r="L43" s="152"/>
      <c r="M43" s="153"/>
      <c r="N43" s="153"/>
      <c r="O43" s="154"/>
    </row>
    <row r="44" spans="2:15" s="194" customFormat="1" ht="20.100000000000001" customHeight="1">
      <c r="B44" s="131">
        <f>B37+1</f>
        <v>5</v>
      </c>
      <c r="C44" s="155" t="s">
        <v>771</v>
      </c>
      <c r="D44" s="133">
        <v>700</v>
      </c>
      <c r="E44" s="134">
        <v>1</v>
      </c>
      <c r="F44" s="135" t="s">
        <v>600</v>
      </c>
      <c r="G44" s="136"/>
      <c r="H44" s="136"/>
      <c r="I44" s="136"/>
      <c r="J44" s="136"/>
      <c r="K44" s="136"/>
      <c r="L44" s="136"/>
      <c r="M44" s="136"/>
      <c r="N44" s="136"/>
      <c r="O44" s="137" t="s">
        <v>0</v>
      </c>
    </row>
    <row r="45" spans="2:15" s="193" customFormat="1" ht="20.100000000000001" customHeight="1">
      <c r="B45" s="117"/>
      <c r="C45" s="156" t="s">
        <v>609</v>
      </c>
      <c r="D45" s="139"/>
      <c r="E45" s="120">
        <v>0.77</v>
      </c>
      <c r="F45" s="121" t="s">
        <v>765</v>
      </c>
      <c r="G45" s="122"/>
      <c r="H45" s="123">
        <f>TRUNC(G45*$E45,0)</f>
        <v>0</v>
      </c>
      <c r="I45" s="122">
        <f>노임!$D$24</f>
        <v>492337</v>
      </c>
      <c r="J45" s="123">
        <f>TRUNC(I45*$E45,0)</f>
        <v>379099</v>
      </c>
      <c r="K45" s="122"/>
      <c r="L45" s="123">
        <f>TRUNC(K45*$E45,0)</f>
        <v>0</v>
      </c>
      <c r="M45" s="124">
        <f t="shared" ref="M45:N47" si="8">G45+I45+K45</f>
        <v>492337</v>
      </c>
      <c r="N45" s="124">
        <f t="shared" si="8"/>
        <v>379099</v>
      </c>
      <c r="O45" s="157"/>
    </row>
    <row r="46" spans="2:15" s="193" customFormat="1" ht="20.100000000000001" customHeight="1">
      <c r="B46" s="117"/>
      <c r="C46" s="156" t="s">
        <v>58</v>
      </c>
      <c r="D46" s="139"/>
      <c r="E46" s="120">
        <v>0.6</v>
      </c>
      <c r="F46" s="121" t="s">
        <v>765</v>
      </c>
      <c r="G46" s="122"/>
      <c r="H46" s="123">
        <f>TRUNC(G46*$E46,0)</f>
        <v>0</v>
      </c>
      <c r="I46" s="122">
        <f>노임!$D$17</f>
        <v>322627</v>
      </c>
      <c r="J46" s="123">
        <f>TRUNC(I46*$E46,0)</f>
        <v>193576</v>
      </c>
      <c r="K46" s="122"/>
      <c r="L46" s="123">
        <f>TRUNC(K46*$E46,0)</f>
        <v>0</v>
      </c>
      <c r="M46" s="124">
        <f t="shared" si="8"/>
        <v>322627</v>
      </c>
      <c r="N46" s="124">
        <f t="shared" si="8"/>
        <v>193576</v>
      </c>
      <c r="O46" s="157"/>
    </row>
    <row r="47" spans="2:15" s="193" customFormat="1" ht="20.100000000000001" customHeight="1">
      <c r="B47" s="117"/>
      <c r="C47" s="156" t="s">
        <v>772</v>
      </c>
      <c r="D47" s="161">
        <v>10</v>
      </c>
      <c r="E47" s="120">
        <v>0.93</v>
      </c>
      <c r="F47" s="121" t="s">
        <v>773</v>
      </c>
      <c r="G47" s="122"/>
      <c r="H47" s="123">
        <f>TRUNC(G47*$E47,0)</f>
        <v>0</v>
      </c>
      <c r="I47" s="122"/>
      <c r="J47" s="123">
        <f>TRUNC(I47*$E47,0)</f>
        <v>0</v>
      </c>
      <c r="K47" s="122">
        <v>90538</v>
      </c>
      <c r="L47" s="123">
        <f>TRUNC(K47*$E47,0)</f>
        <v>84200</v>
      </c>
      <c r="M47" s="124">
        <f t="shared" si="8"/>
        <v>90538</v>
      </c>
      <c r="N47" s="124">
        <f t="shared" si="8"/>
        <v>84200</v>
      </c>
      <c r="O47" s="157"/>
    </row>
    <row r="48" spans="2:15" s="193" customFormat="1" ht="20.100000000000001" customHeight="1">
      <c r="B48" s="140"/>
      <c r="C48" s="141" t="s">
        <v>763</v>
      </c>
      <c r="D48" s="142"/>
      <c r="E48" s="143"/>
      <c r="F48" s="143"/>
      <c r="G48" s="144"/>
      <c r="H48" s="145">
        <f>SUM(H45:H47)</f>
        <v>0</v>
      </c>
      <c r="I48" s="144"/>
      <c r="J48" s="145">
        <f>SUM(J45:J47)</f>
        <v>572675</v>
      </c>
      <c r="K48" s="144"/>
      <c r="L48" s="145">
        <f>SUM(L45:L47)</f>
        <v>84200</v>
      </c>
      <c r="M48" s="146"/>
      <c r="N48" s="146">
        <f>H48+J48+L48</f>
        <v>656875</v>
      </c>
      <c r="O48" s="147"/>
    </row>
    <row r="49" spans="2:15" s="193" customFormat="1" ht="20.100000000000001" customHeight="1">
      <c r="B49" s="148"/>
      <c r="C49" s="149"/>
      <c r="D49" s="149"/>
      <c r="E49" s="150"/>
      <c r="F49" s="150"/>
      <c r="G49" s="151"/>
      <c r="H49" s="152"/>
      <c r="I49" s="151"/>
      <c r="J49" s="152"/>
      <c r="K49" s="151"/>
      <c r="L49" s="152"/>
      <c r="M49" s="153"/>
      <c r="N49" s="153"/>
      <c r="O49" s="154"/>
    </row>
    <row r="50" spans="2:15" s="193" customFormat="1" ht="20.100000000000001" customHeight="1">
      <c r="B50" s="131">
        <f>B44+1</f>
        <v>6</v>
      </c>
      <c r="C50" s="155" t="s">
        <v>774</v>
      </c>
      <c r="D50" s="133">
        <v>700</v>
      </c>
      <c r="E50" s="134">
        <v>1</v>
      </c>
      <c r="F50" s="135" t="s">
        <v>600</v>
      </c>
      <c r="G50" s="136"/>
      <c r="H50" s="136"/>
      <c r="I50" s="136"/>
      <c r="J50" s="136"/>
      <c r="K50" s="136"/>
      <c r="L50" s="136"/>
      <c r="M50" s="136"/>
      <c r="N50" s="136"/>
      <c r="O50" s="137" t="s">
        <v>0</v>
      </c>
    </row>
    <row r="51" spans="2:15" s="193" customFormat="1" ht="19.5" customHeight="1">
      <c r="B51" s="117"/>
      <c r="C51" s="156" t="s">
        <v>610</v>
      </c>
      <c r="D51" s="139"/>
      <c r="E51" s="120">
        <v>2.58</v>
      </c>
      <c r="F51" s="121" t="s">
        <v>704</v>
      </c>
      <c r="G51" s="122"/>
      <c r="H51" s="123">
        <f>TRUNC(G51*$E51,0)</f>
        <v>0</v>
      </c>
      <c r="I51" s="122">
        <f>노임!$D$21</f>
        <v>529755</v>
      </c>
      <c r="J51" s="123">
        <f>TRUNC(I51*$E51,0)</f>
        <v>1366767</v>
      </c>
      <c r="K51" s="122"/>
      <c r="L51" s="123">
        <f>TRUNC(K51*$E51,0)</f>
        <v>0</v>
      </c>
      <c r="M51" s="124">
        <f t="shared" ref="M51:N54" si="9">G51+I51+K51</f>
        <v>529755</v>
      </c>
      <c r="N51" s="124">
        <f t="shared" si="9"/>
        <v>1366767</v>
      </c>
      <c r="O51" s="157"/>
    </row>
    <row r="52" spans="2:15" s="193" customFormat="1" ht="20.100000000000001" customHeight="1">
      <c r="B52" s="117"/>
      <c r="C52" s="156" t="s">
        <v>611</v>
      </c>
      <c r="D52" s="139"/>
      <c r="E52" s="120">
        <v>6.63</v>
      </c>
      <c r="F52" s="121" t="s">
        <v>706</v>
      </c>
      <c r="G52" s="122"/>
      <c r="H52" s="123">
        <f>TRUNC(G52*$E52,0)</f>
        <v>0</v>
      </c>
      <c r="I52" s="122"/>
      <c r="J52" s="123">
        <f>TRUNC(I52*$E52,0)</f>
        <v>0</v>
      </c>
      <c r="K52" s="122">
        <v>55756</v>
      </c>
      <c r="L52" s="123">
        <f>TRUNC(K52*$E52,0)</f>
        <v>369662</v>
      </c>
      <c r="M52" s="124">
        <f t="shared" si="9"/>
        <v>55756</v>
      </c>
      <c r="N52" s="124">
        <f t="shared" si="9"/>
        <v>369662</v>
      </c>
      <c r="O52" s="157"/>
    </row>
    <row r="53" spans="2:15" s="193" customFormat="1" ht="20.100000000000001" customHeight="1">
      <c r="B53" s="117"/>
      <c r="C53" s="156" t="s">
        <v>612</v>
      </c>
      <c r="D53" s="161"/>
      <c r="E53" s="120">
        <v>13.25</v>
      </c>
      <c r="F53" s="121" t="s">
        <v>773</v>
      </c>
      <c r="G53" s="122"/>
      <c r="H53" s="123">
        <f>TRUNC(G53*$E53,0)</f>
        <v>0</v>
      </c>
      <c r="I53" s="122"/>
      <c r="J53" s="123">
        <f>TRUNC(I53*$E53,0)</f>
        <v>0</v>
      </c>
      <c r="K53" s="122">
        <v>92</v>
      </c>
      <c r="L53" s="123">
        <f>TRUNC(K53*$E53,0)</f>
        <v>1219</v>
      </c>
      <c r="M53" s="124">
        <f t="shared" si="9"/>
        <v>92</v>
      </c>
      <c r="N53" s="124">
        <f t="shared" si="9"/>
        <v>1219</v>
      </c>
      <c r="O53" s="157"/>
    </row>
    <row r="54" spans="2:15" s="193" customFormat="1" ht="20.100000000000001" customHeight="1">
      <c r="B54" s="117"/>
      <c r="C54" s="156" t="s">
        <v>613</v>
      </c>
      <c r="D54" s="161"/>
      <c r="E54" s="120">
        <v>4.53</v>
      </c>
      <c r="F54" s="121" t="s">
        <v>775</v>
      </c>
      <c r="G54" s="122">
        <v>4900</v>
      </c>
      <c r="H54" s="123">
        <f>[68]ASSUMPTION!L20</f>
        <v>4900</v>
      </c>
      <c r="I54" s="122"/>
      <c r="J54" s="123">
        <f>TRUNC(I54*$E54,0)</f>
        <v>0</v>
      </c>
      <c r="K54" s="122"/>
      <c r="L54" s="123">
        <f>TRUNC(K54*$E54,0)</f>
        <v>0</v>
      </c>
      <c r="M54" s="124">
        <f t="shared" si="9"/>
        <v>4900</v>
      </c>
      <c r="N54" s="124">
        <f t="shared" si="9"/>
        <v>4900</v>
      </c>
      <c r="O54" s="157"/>
    </row>
    <row r="55" spans="2:15" s="193" customFormat="1" ht="20.100000000000001" customHeight="1">
      <c r="B55" s="140"/>
      <c r="C55" s="141" t="s">
        <v>698</v>
      </c>
      <c r="D55" s="142"/>
      <c r="E55" s="143"/>
      <c r="F55" s="143"/>
      <c r="G55" s="144"/>
      <c r="H55" s="145">
        <f>SUM(H51:H54)</f>
        <v>4900</v>
      </c>
      <c r="I55" s="144"/>
      <c r="J55" s="145">
        <f>SUM(J51:J54)</f>
        <v>1366767</v>
      </c>
      <c r="K55" s="144"/>
      <c r="L55" s="145">
        <f>SUM(L51:L54)</f>
        <v>370881</v>
      </c>
      <c r="M55" s="146"/>
      <c r="N55" s="146">
        <f>H55+J55+L55</f>
        <v>1742548</v>
      </c>
      <c r="O55" s="147"/>
    </row>
    <row r="56" spans="2:15" s="193" customFormat="1" ht="20.100000000000001" customHeight="1">
      <c r="B56" s="148"/>
      <c r="C56" s="149"/>
      <c r="D56" s="149"/>
      <c r="E56" s="150"/>
      <c r="F56" s="150"/>
      <c r="G56" s="151"/>
      <c r="H56" s="152"/>
      <c r="I56" s="151"/>
      <c r="J56" s="152"/>
      <c r="K56" s="151"/>
      <c r="L56" s="152"/>
      <c r="M56" s="153"/>
      <c r="N56" s="153"/>
      <c r="O56" s="154"/>
    </row>
    <row r="57" spans="2:15" s="193" customFormat="1" ht="20.100000000000001" customHeight="1">
      <c r="B57" s="131">
        <f>B50+1</f>
        <v>7</v>
      </c>
      <c r="C57" s="155" t="s">
        <v>776</v>
      </c>
      <c r="D57" s="133">
        <v>700</v>
      </c>
      <c r="E57" s="134">
        <v>1</v>
      </c>
      <c r="F57" s="135" t="s">
        <v>600</v>
      </c>
      <c r="G57" s="136"/>
      <c r="H57" s="136"/>
      <c r="I57" s="136"/>
      <c r="J57" s="136"/>
      <c r="K57" s="136"/>
      <c r="L57" s="136"/>
      <c r="M57" s="136"/>
      <c r="N57" s="136"/>
      <c r="O57" s="137" t="s">
        <v>0</v>
      </c>
    </row>
    <row r="58" spans="2:15" s="193" customFormat="1" ht="19.5" customHeight="1">
      <c r="B58" s="117"/>
      <c r="C58" s="156" t="s">
        <v>603</v>
      </c>
      <c r="D58" s="139"/>
      <c r="E58" s="120">
        <v>0.64</v>
      </c>
      <c r="F58" s="121" t="s">
        <v>765</v>
      </c>
      <c r="G58" s="122"/>
      <c r="H58" s="123">
        <f t="shared" ref="H58:H63" si="10">TRUNC(G58*$E58,0)</f>
        <v>0</v>
      </c>
      <c r="I58" s="122">
        <f>노임!$D$23</f>
        <v>493156</v>
      </c>
      <c r="J58" s="123">
        <f t="shared" ref="J58:J63" si="11">TRUNC(I58*$E58,0)</f>
        <v>315619</v>
      </c>
      <c r="K58" s="122"/>
      <c r="L58" s="123">
        <f t="shared" ref="L58:L63" si="12">TRUNC(K58*$E58,0)</f>
        <v>0</v>
      </c>
      <c r="M58" s="124">
        <f t="shared" ref="M58:N63" si="13">G58+I58+K58</f>
        <v>493156</v>
      </c>
      <c r="N58" s="124">
        <f t="shared" si="13"/>
        <v>315619</v>
      </c>
      <c r="O58" s="157"/>
    </row>
    <row r="59" spans="2:15" s="193" customFormat="1" ht="20.100000000000001" customHeight="1">
      <c r="B59" s="117"/>
      <c r="C59" s="156" t="s">
        <v>58</v>
      </c>
      <c r="D59" s="139"/>
      <c r="E59" s="120">
        <v>0.22</v>
      </c>
      <c r="F59" s="121" t="s">
        <v>704</v>
      </c>
      <c r="G59" s="122"/>
      <c r="H59" s="123">
        <f t="shared" si="10"/>
        <v>0</v>
      </c>
      <c r="I59" s="122">
        <f>노임!$D$17</f>
        <v>322627</v>
      </c>
      <c r="J59" s="123">
        <f t="shared" si="11"/>
        <v>70977</v>
      </c>
      <c r="K59" s="122"/>
      <c r="L59" s="123">
        <f t="shared" si="12"/>
        <v>0</v>
      </c>
      <c r="M59" s="124">
        <f t="shared" si="13"/>
        <v>322627</v>
      </c>
      <c r="N59" s="124">
        <f t="shared" si="13"/>
        <v>70977</v>
      </c>
      <c r="O59" s="157"/>
    </row>
    <row r="60" spans="2:15" s="193" customFormat="1" ht="20.100000000000001" customHeight="1">
      <c r="B60" s="117"/>
      <c r="C60" s="156" t="s">
        <v>614</v>
      </c>
      <c r="D60" s="161" t="s">
        <v>777</v>
      </c>
      <c r="E60" s="120">
        <v>0.44</v>
      </c>
      <c r="F60" s="121" t="s">
        <v>727</v>
      </c>
      <c r="G60" s="122">
        <v>20747</v>
      </c>
      <c r="H60" s="123">
        <f t="shared" si="10"/>
        <v>9128</v>
      </c>
      <c r="I60" s="122"/>
      <c r="J60" s="123">
        <f t="shared" si="11"/>
        <v>0</v>
      </c>
      <c r="K60" s="122"/>
      <c r="L60" s="123">
        <f t="shared" si="12"/>
        <v>0</v>
      </c>
      <c r="M60" s="124">
        <f t="shared" si="13"/>
        <v>20747</v>
      </c>
      <c r="N60" s="124">
        <f t="shared" si="13"/>
        <v>9128</v>
      </c>
      <c r="O60" s="157"/>
    </row>
    <row r="61" spans="2:15" s="193" customFormat="1" ht="20.100000000000001" customHeight="1">
      <c r="B61" s="117"/>
      <c r="C61" s="156" t="s">
        <v>51</v>
      </c>
      <c r="D61" s="161" t="s">
        <v>778</v>
      </c>
      <c r="E61" s="120">
        <v>4.92</v>
      </c>
      <c r="F61" s="121" t="s">
        <v>779</v>
      </c>
      <c r="G61" s="122">
        <v>2800</v>
      </c>
      <c r="H61" s="123">
        <f t="shared" si="10"/>
        <v>13776</v>
      </c>
      <c r="I61" s="122"/>
      <c r="J61" s="123">
        <f t="shared" si="11"/>
        <v>0</v>
      </c>
      <c r="K61" s="122"/>
      <c r="L61" s="123">
        <f t="shared" si="12"/>
        <v>0</v>
      </c>
      <c r="M61" s="124">
        <f t="shared" si="13"/>
        <v>2800</v>
      </c>
      <c r="N61" s="124">
        <f t="shared" si="13"/>
        <v>13776</v>
      </c>
      <c r="O61" s="157"/>
    </row>
    <row r="62" spans="2:15" s="193" customFormat="1" ht="20.100000000000001" customHeight="1">
      <c r="B62" s="117"/>
      <c r="C62" s="156" t="s">
        <v>50</v>
      </c>
      <c r="D62" s="161" t="s">
        <v>780</v>
      </c>
      <c r="E62" s="120">
        <v>3.68</v>
      </c>
      <c r="F62" s="121" t="s">
        <v>781</v>
      </c>
      <c r="G62" s="122">
        <v>773</v>
      </c>
      <c r="H62" s="123">
        <f t="shared" si="10"/>
        <v>2844</v>
      </c>
      <c r="I62" s="122"/>
      <c r="J62" s="123">
        <f t="shared" si="11"/>
        <v>0</v>
      </c>
      <c r="K62" s="122"/>
      <c r="L62" s="123">
        <f t="shared" si="12"/>
        <v>0</v>
      </c>
      <c r="M62" s="124">
        <f t="shared" si="13"/>
        <v>773</v>
      </c>
      <c r="N62" s="124">
        <f t="shared" si="13"/>
        <v>2844</v>
      </c>
      <c r="O62" s="157"/>
    </row>
    <row r="63" spans="2:15" s="193" customFormat="1" ht="20.100000000000001" customHeight="1">
      <c r="B63" s="117"/>
      <c r="C63" s="156" t="s">
        <v>49</v>
      </c>
      <c r="D63" s="162" t="s">
        <v>697</v>
      </c>
      <c r="E63" s="120">
        <v>3.68</v>
      </c>
      <c r="F63" s="121" t="s">
        <v>781</v>
      </c>
      <c r="G63" s="122">
        <v>740</v>
      </c>
      <c r="H63" s="123">
        <f t="shared" si="10"/>
        <v>2723</v>
      </c>
      <c r="I63" s="122"/>
      <c r="J63" s="123">
        <f t="shared" si="11"/>
        <v>0</v>
      </c>
      <c r="K63" s="122"/>
      <c r="L63" s="123">
        <f t="shared" si="12"/>
        <v>0</v>
      </c>
      <c r="M63" s="124">
        <f t="shared" si="13"/>
        <v>740</v>
      </c>
      <c r="N63" s="124">
        <f t="shared" si="13"/>
        <v>2723</v>
      </c>
      <c r="O63" s="157"/>
    </row>
    <row r="64" spans="2:15" s="193" customFormat="1" ht="20.100000000000001" customHeight="1">
      <c r="B64" s="140"/>
      <c r="C64" s="141" t="s">
        <v>698</v>
      </c>
      <c r="D64" s="142"/>
      <c r="E64" s="143"/>
      <c r="F64" s="143"/>
      <c r="G64" s="144"/>
      <c r="H64" s="145">
        <f>SUM(H58:H63)</f>
        <v>28471</v>
      </c>
      <c r="I64" s="144"/>
      <c r="J64" s="145">
        <f>SUM(J58:J63)</f>
        <v>386596</v>
      </c>
      <c r="K64" s="144"/>
      <c r="L64" s="145">
        <f>SUM(L58:L63)</f>
        <v>0</v>
      </c>
      <c r="M64" s="146"/>
      <c r="N64" s="146">
        <f>H64+J64+L64</f>
        <v>415067</v>
      </c>
      <c r="O64" s="147"/>
    </row>
    <row r="65" spans="2:16" s="193" customFormat="1" ht="20.100000000000001" customHeight="1">
      <c r="B65" s="148"/>
      <c r="C65" s="149"/>
      <c r="D65" s="149"/>
      <c r="E65" s="150"/>
      <c r="F65" s="150"/>
      <c r="G65" s="151"/>
      <c r="H65" s="152"/>
      <c r="I65" s="151"/>
      <c r="J65" s="152"/>
      <c r="K65" s="151"/>
      <c r="L65" s="152"/>
      <c r="M65" s="153"/>
      <c r="N65" s="153"/>
      <c r="O65" s="154"/>
    </row>
    <row r="66" spans="2:16" s="194" customFormat="1" ht="20.100000000000001" customHeight="1">
      <c r="B66" s="131">
        <f>B57+1</f>
        <v>8</v>
      </c>
      <c r="C66" s="155" t="s">
        <v>782</v>
      </c>
      <c r="D66" s="163">
        <v>600</v>
      </c>
      <c r="E66" s="134">
        <v>1</v>
      </c>
      <c r="F66" s="135" t="s">
        <v>600</v>
      </c>
      <c r="G66" s="136"/>
      <c r="H66" s="136"/>
      <c r="I66" s="136"/>
      <c r="J66" s="136"/>
      <c r="K66" s="136"/>
      <c r="L66" s="136"/>
      <c r="M66" s="136"/>
      <c r="N66" s="136"/>
      <c r="O66" s="137" t="s">
        <v>0</v>
      </c>
    </row>
    <row r="67" spans="2:16" s="193" customFormat="1" ht="19.5" customHeight="1">
      <c r="B67" s="117"/>
      <c r="C67" s="118" t="s">
        <v>615</v>
      </c>
      <c r="D67" s="127">
        <v>600</v>
      </c>
      <c r="E67" s="120">
        <v>1</v>
      </c>
      <c r="F67" s="121" t="s">
        <v>700</v>
      </c>
      <c r="G67" s="122">
        <v>0</v>
      </c>
      <c r="H67" s="123">
        <f>TRUNC(G67*$E67,0)</f>
        <v>0</v>
      </c>
      <c r="I67" s="122">
        <f>J76</f>
        <v>648222</v>
      </c>
      <c r="J67" s="123">
        <f>TRUNC(I67*$E67,0)</f>
        <v>648222</v>
      </c>
      <c r="K67" s="122">
        <v>94879</v>
      </c>
      <c r="L67" s="123">
        <f>TRUNC(K67*$E67,0)</f>
        <v>94879</v>
      </c>
      <c r="M67" s="124">
        <f t="shared" ref="M67:N69" si="14">G67+I67+K67</f>
        <v>743101</v>
      </c>
      <c r="N67" s="124">
        <f t="shared" si="14"/>
        <v>743101</v>
      </c>
      <c r="O67" s="125">
        <f>B72</f>
        <v>9</v>
      </c>
    </row>
    <row r="68" spans="2:16" s="193" customFormat="1" ht="20.100000000000001" customHeight="1">
      <c r="B68" s="117"/>
      <c r="C68" s="118" t="s">
        <v>701</v>
      </c>
      <c r="D68" s="119">
        <v>700</v>
      </c>
      <c r="E68" s="120">
        <v>37.96</v>
      </c>
      <c r="F68" s="121" t="s">
        <v>706</v>
      </c>
      <c r="G68" s="122"/>
      <c r="H68" s="123">
        <f>TRUNC(G68*$E68,0)</f>
        <v>0</v>
      </c>
      <c r="I68" s="122"/>
      <c r="J68" s="123">
        <f>TRUNC(I68*$E68,0)</f>
        <v>0</v>
      </c>
      <c r="K68" s="122">
        <v>14260</v>
      </c>
      <c r="L68" s="123">
        <f>TRUNC(K68*$E68,0)</f>
        <v>541309</v>
      </c>
      <c r="M68" s="124">
        <f t="shared" si="14"/>
        <v>14260</v>
      </c>
      <c r="N68" s="124">
        <f t="shared" si="14"/>
        <v>541309</v>
      </c>
      <c r="O68" s="125"/>
    </row>
    <row r="69" spans="2:16" s="193" customFormat="1" ht="20.100000000000001" customHeight="1">
      <c r="B69" s="117"/>
      <c r="C69" s="156" t="s">
        <v>783</v>
      </c>
      <c r="D69" s="127">
        <v>600</v>
      </c>
      <c r="E69" s="120">
        <v>1</v>
      </c>
      <c r="F69" s="121" t="s">
        <v>700</v>
      </c>
      <c r="G69" s="122">
        <v>136480</v>
      </c>
      <c r="H69" s="123">
        <f>TRUNC(G69*$E69,0)</f>
        <v>136480</v>
      </c>
      <c r="I69" s="122"/>
      <c r="J69" s="123">
        <f>TRUNC(I69*$E69,0)</f>
        <v>0</v>
      </c>
      <c r="K69" s="122"/>
      <c r="L69" s="123">
        <f>TRUNC(K69*$E69,0)</f>
        <v>0</v>
      </c>
      <c r="M69" s="124">
        <f t="shared" si="14"/>
        <v>136480</v>
      </c>
      <c r="N69" s="124">
        <f t="shared" si="14"/>
        <v>136480</v>
      </c>
      <c r="O69" s="157"/>
    </row>
    <row r="70" spans="2:16" s="193" customFormat="1" ht="20.100000000000001" customHeight="1">
      <c r="B70" s="140"/>
      <c r="C70" s="141" t="s">
        <v>698</v>
      </c>
      <c r="D70" s="142"/>
      <c r="E70" s="143"/>
      <c r="F70" s="143"/>
      <c r="G70" s="144"/>
      <c r="H70" s="145">
        <f>SUM(H67:H69)</f>
        <v>136480</v>
      </c>
      <c r="I70" s="144"/>
      <c r="J70" s="145">
        <f>SUM(J67:J69)</f>
        <v>648222</v>
      </c>
      <c r="K70" s="144"/>
      <c r="L70" s="145">
        <f>SUM(L67:L69)</f>
        <v>636188</v>
      </c>
      <c r="M70" s="146"/>
      <c r="N70" s="146">
        <f>H70+J70+L70</f>
        <v>1420890</v>
      </c>
      <c r="O70" s="147"/>
    </row>
    <row r="71" spans="2:16" s="193" customFormat="1" ht="20.100000000000001" customHeight="1">
      <c r="B71" s="148"/>
      <c r="C71" s="149"/>
      <c r="D71" s="149"/>
      <c r="E71" s="150"/>
      <c r="F71" s="150"/>
      <c r="G71" s="151"/>
      <c r="H71" s="152"/>
      <c r="I71" s="151"/>
      <c r="J71" s="152"/>
      <c r="K71" s="151"/>
      <c r="L71" s="152"/>
      <c r="M71" s="153"/>
      <c r="N71" s="153"/>
      <c r="O71" s="154"/>
    </row>
    <row r="72" spans="2:16" s="194" customFormat="1" ht="20.100000000000001" customHeight="1">
      <c r="B72" s="131">
        <f>B66+1</f>
        <v>9</v>
      </c>
      <c r="C72" s="155" t="s">
        <v>784</v>
      </c>
      <c r="D72" s="163">
        <v>600</v>
      </c>
      <c r="E72" s="134">
        <v>1</v>
      </c>
      <c r="F72" s="135" t="s">
        <v>600</v>
      </c>
      <c r="G72" s="136"/>
      <c r="H72" s="136"/>
      <c r="I72" s="136"/>
      <c r="J72" s="136"/>
      <c r="K72" s="136"/>
      <c r="L72" s="136"/>
      <c r="M72" s="136"/>
      <c r="N72" s="136"/>
      <c r="O72" s="137" t="s">
        <v>0</v>
      </c>
    </row>
    <row r="73" spans="2:16" s="193" customFormat="1" ht="20.100000000000001" customHeight="1">
      <c r="B73" s="117"/>
      <c r="C73" s="156" t="s">
        <v>609</v>
      </c>
      <c r="D73" s="139"/>
      <c r="E73" s="120">
        <v>0.93</v>
      </c>
      <c r="F73" s="121" t="s">
        <v>765</v>
      </c>
      <c r="G73" s="122"/>
      <c r="H73" s="123">
        <f>TRUNC(G73*$E73,0)</f>
        <v>0</v>
      </c>
      <c r="I73" s="122">
        <f>노임!$D$24</f>
        <v>492337</v>
      </c>
      <c r="J73" s="123">
        <f>TRUNC(I73*$E73,0)</f>
        <v>457873</v>
      </c>
      <c r="K73" s="122"/>
      <c r="L73" s="123">
        <f>TRUNC(K73*$E73,0)</f>
        <v>0</v>
      </c>
      <c r="M73" s="124">
        <f t="shared" ref="M73:N75" si="15">G73+I73+K73</f>
        <v>492337</v>
      </c>
      <c r="N73" s="124">
        <f t="shared" si="15"/>
        <v>457873</v>
      </c>
      <c r="O73" s="157"/>
    </row>
    <row r="74" spans="2:16" s="193" customFormat="1" ht="20.100000000000001" customHeight="1">
      <c r="B74" s="117"/>
      <c r="C74" s="156" t="s">
        <v>58</v>
      </c>
      <c r="D74" s="139"/>
      <c r="E74" s="120">
        <v>0.59</v>
      </c>
      <c r="F74" s="121" t="s">
        <v>704</v>
      </c>
      <c r="G74" s="122"/>
      <c r="H74" s="123">
        <f>TRUNC(G74*$E74,0)</f>
        <v>0</v>
      </c>
      <c r="I74" s="122">
        <f>노임!$D$17</f>
        <v>322627</v>
      </c>
      <c r="J74" s="123">
        <f>TRUNC(I74*$E74,0)</f>
        <v>190349</v>
      </c>
      <c r="K74" s="122"/>
      <c r="L74" s="123">
        <f>TRUNC(K74*$E74,0)</f>
        <v>0</v>
      </c>
      <c r="M74" s="124">
        <f t="shared" si="15"/>
        <v>322627</v>
      </c>
      <c r="N74" s="124">
        <f t="shared" si="15"/>
        <v>190349</v>
      </c>
      <c r="O74" s="157"/>
    </row>
    <row r="75" spans="2:16" s="193" customFormat="1" ht="20.100000000000001" customHeight="1">
      <c r="B75" s="117"/>
      <c r="C75" s="156" t="s">
        <v>772</v>
      </c>
      <c r="D75" s="161">
        <v>5</v>
      </c>
      <c r="E75" s="120">
        <v>1.37</v>
      </c>
      <c r="F75" s="121" t="s">
        <v>773</v>
      </c>
      <c r="G75" s="122"/>
      <c r="H75" s="123">
        <f>TRUNC(G75*$E75,0)</f>
        <v>0</v>
      </c>
      <c r="I75" s="122"/>
      <c r="J75" s="123">
        <f>TRUNC(I75*$E75,0)</f>
        <v>0</v>
      </c>
      <c r="K75" s="122">
        <v>69255</v>
      </c>
      <c r="L75" s="123">
        <f>TRUNC(K75*$E75,0)</f>
        <v>94879</v>
      </c>
      <c r="M75" s="124">
        <f t="shared" si="15"/>
        <v>69255</v>
      </c>
      <c r="N75" s="124">
        <f t="shared" si="15"/>
        <v>94879</v>
      </c>
      <c r="O75" s="157"/>
    </row>
    <row r="76" spans="2:16" s="193" customFormat="1" ht="20.100000000000001" customHeight="1">
      <c r="B76" s="140"/>
      <c r="C76" s="141" t="s">
        <v>763</v>
      </c>
      <c r="D76" s="142"/>
      <c r="E76" s="143"/>
      <c r="F76" s="143"/>
      <c r="G76" s="144"/>
      <c r="H76" s="145">
        <f>SUM(H73:H75)</f>
        <v>0</v>
      </c>
      <c r="I76" s="144"/>
      <c r="J76" s="145">
        <f>SUM(J73:J75)</f>
        <v>648222</v>
      </c>
      <c r="K76" s="144"/>
      <c r="L76" s="145">
        <f>SUM(L73:L75)</f>
        <v>94879</v>
      </c>
      <c r="M76" s="146"/>
      <c r="N76" s="146">
        <f>H76+J76+L76</f>
        <v>743101</v>
      </c>
      <c r="O76" s="147"/>
    </row>
    <row r="77" spans="2:16" s="193" customFormat="1" ht="20.100000000000001" customHeight="1">
      <c r="B77" s="148"/>
      <c r="C77" s="149"/>
      <c r="D77" s="149"/>
      <c r="E77" s="150"/>
      <c r="F77" s="150"/>
      <c r="G77" s="151"/>
      <c r="H77" s="152"/>
      <c r="I77" s="151"/>
      <c r="J77" s="152"/>
      <c r="K77" s="151"/>
      <c r="L77" s="152"/>
      <c r="M77" s="153"/>
      <c r="N77" s="153"/>
      <c r="O77" s="154"/>
    </row>
    <row r="78" spans="2:16" s="195" customFormat="1" ht="20.100000000000001" customHeight="1">
      <c r="B78" s="131">
        <f>B72+1</f>
        <v>10</v>
      </c>
      <c r="C78" s="155" t="s">
        <v>785</v>
      </c>
      <c r="D78" s="163">
        <v>600</v>
      </c>
      <c r="E78" s="134">
        <v>1</v>
      </c>
      <c r="F78" s="135" t="s">
        <v>600</v>
      </c>
      <c r="G78" s="136"/>
      <c r="H78" s="136"/>
      <c r="I78" s="136"/>
      <c r="J78" s="136"/>
      <c r="K78" s="136"/>
      <c r="L78" s="136"/>
      <c r="M78" s="136"/>
      <c r="N78" s="136"/>
      <c r="O78" s="137" t="s">
        <v>0</v>
      </c>
      <c r="P78" s="194"/>
    </row>
    <row r="79" spans="2:16" s="196" customFormat="1" ht="19.5" customHeight="1">
      <c r="B79" s="117"/>
      <c r="C79" s="118" t="s">
        <v>616</v>
      </c>
      <c r="D79" s="127">
        <v>600</v>
      </c>
      <c r="E79" s="120">
        <v>1</v>
      </c>
      <c r="F79" s="121" t="s">
        <v>700</v>
      </c>
      <c r="G79" s="122">
        <v>0</v>
      </c>
      <c r="H79" s="123">
        <f t="shared" ref="H79:H90" si="16">TRUNC(G79*$E79,0)</f>
        <v>0</v>
      </c>
      <c r="I79" s="122">
        <f>J98</f>
        <v>1323962</v>
      </c>
      <c r="J79" s="123">
        <f t="shared" ref="J79:J90" si="17">TRUNC(I79*$E79,0)</f>
        <v>1323962</v>
      </c>
      <c r="K79" s="122">
        <v>244470</v>
      </c>
      <c r="L79" s="123">
        <f t="shared" ref="L79:L87" si="18">TRUNC(K79*$E79,0)</f>
        <v>244470</v>
      </c>
      <c r="M79" s="124">
        <f>G79+I79+K79</f>
        <v>1568432</v>
      </c>
      <c r="N79" s="124">
        <f>H79+J79+L79</f>
        <v>1568432</v>
      </c>
      <c r="O79" s="125">
        <f>B93</f>
        <v>11</v>
      </c>
      <c r="P79" s="193"/>
    </row>
    <row r="80" spans="2:16" s="196" customFormat="1" ht="20.100000000000001" customHeight="1">
      <c r="B80" s="117"/>
      <c r="C80" s="118" t="s">
        <v>708</v>
      </c>
      <c r="D80" s="119">
        <v>700</v>
      </c>
      <c r="E80" s="120">
        <v>37.96</v>
      </c>
      <c r="F80" s="121" t="s">
        <v>706</v>
      </c>
      <c r="G80" s="122"/>
      <c r="H80" s="123">
        <f t="shared" si="16"/>
        <v>0</v>
      </c>
      <c r="I80" s="122"/>
      <c r="J80" s="123">
        <f t="shared" si="17"/>
        <v>0</v>
      </c>
      <c r="K80" s="122">
        <v>97785</v>
      </c>
      <c r="L80" s="123">
        <f t="shared" si="18"/>
        <v>3711918</v>
      </c>
      <c r="M80" s="124">
        <f t="shared" ref="M80:N91" si="19">G80+I80+K80</f>
        <v>97785</v>
      </c>
      <c r="N80" s="124">
        <f t="shared" si="19"/>
        <v>3711918</v>
      </c>
      <c r="O80" s="125"/>
      <c r="P80" s="193"/>
    </row>
    <row r="81" spans="2:16" s="196" customFormat="1" ht="20.100000000000001" customHeight="1">
      <c r="B81" s="117"/>
      <c r="C81" s="118" t="s">
        <v>617</v>
      </c>
      <c r="D81" s="127">
        <v>600</v>
      </c>
      <c r="E81" s="120">
        <v>1.86</v>
      </c>
      <c r="F81" s="121" t="s">
        <v>773</v>
      </c>
      <c r="G81" s="122">
        <v>9766</v>
      </c>
      <c r="H81" s="123">
        <f t="shared" si="16"/>
        <v>18164</v>
      </c>
      <c r="I81" s="122">
        <v>0</v>
      </c>
      <c r="J81" s="123">
        <f t="shared" si="17"/>
        <v>0</v>
      </c>
      <c r="K81" s="122">
        <v>0</v>
      </c>
      <c r="L81" s="123">
        <f t="shared" si="18"/>
        <v>0</v>
      </c>
      <c r="M81" s="124">
        <f t="shared" si="19"/>
        <v>9766</v>
      </c>
      <c r="N81" s="124">
        <f t="shared" si="19"/>
        <v>18164</v>
      </c>
      <c r="O81" s="125">
        <f>B100</f>
        <v>12</v>
      </c>
      <c r="P81" s="193"/>
    </row>
    <row r="82" spans="2:16" s="196" customFormat="1" ht="20.100000000000001" customHeight="1">
      <c r="B82" s="117"/>
      <c r="C82" s="118" t="s">
        <v>618</v>
      </c>
      <c r="D82" s="119">
        <v>700</v>
      </c>
      <c r="E82" s="120">
        <v>1</v>
      </c>
      <c r="F82" s="121" t="s">
        <v>759</v>
      </c>
      <c r="G82" s="122">
        <v>2773</v>
      </c>
      <c r="H82" s="123">
        <f t="shared" si="16"/>
        <v>2773</v>
      </c>
      <c r="I82" s="122">
        <f>J109</f>
        <v>162216</v>
      </c>
      <c r="J82" s="123">
        <f t="shared" si="17"/>
        <v>162216</v>
      </c>
      <c r="K82" s="122">
        <v>0</v>
      </c>
      <c r="L82" s="123">
        <f>TRUNC(K82*$E82,0)</f>
        <v>0</v>
      </c>
      <c r="M82" s="124">
        <f>G82+I82+K82</f>
        <v>164989</v>
      </c>
      <c r="N82" s="124">
        <f t="shared" si="19"/>
        <v>164989</v>
      </c>
      <c r="O82" s="125">
        <f>B105</f>
        <v>13</v>
      </c>
      <c r="P82" s="193"/>
    </row>
    <row r="83" spans="2:16" s="196" customFormat="1" ht="20.100000000000001" customHeight="1">
      <c r="B83" s="117"/>
      <c r="C83" s="118" t="s">
        <v>619</v>
      </c>
      <c r="D83" s="127">
        <v>600</v>
      </c>
      <c r="E83" s="120">
        <v>1</v>
      </c>
      <c r="F83" s="121" t="s">
        <v>759</v>
      </c>
      <c r="G83" s="122">
        <v>0</v>
      </c>
      <c r="H83" s="123">
        <f t="shared" si="16"/>
        <v>0</v>
      </c>
      <c r="I83" s="122">
        <f>J116</f>
        <v>396189</v>
      </c>
      <c r="J83" s="123">
        <f t="shared" si="17"/>
        <v>396189</v>
      </c>
      <c r="K83" s="122">
        <v>73410</v>
      </c>
      <c r="L83" s="123">
        <f t="shared" si="18"/>
        <v>73410</v>
      </c>
      <c r="M83" s="124">
        <f t="shared" si="19"/>
        <v>469599</v>
      </c>
      <c r="N83" s="124">
        <f t="shared" si="19"/>
        <v>469599</v>
      </c>
      <c r="O83" s="125">
        <f>B111</f>
        <v>14</v>
      </c>
      <c r="P83" s="193"/>
    </row>
    <row r="84" spans="2:16" s="196" customFormat="1" ht="20.100000000000001" customHeight="1">
      <c r="B84" s="117"/>
      <c r="C84" s="118" t="s">
        <v>786</v>
      </c>
      <c r="D84" s="119">
        <v>700</v>
      </c>
      <c r="E84" s="120">
        <v>37.96</v>
      </c>
      <c r="F84" s="121" t="s">
        <v>773</v>
      </c>
      <c r="G84" s="122"/>
      <c r="H84" s="123">
        <f t="shared" si="16"/>
        <v>0</v>
      </c>
      <c r="I84" s="122"/>
      <c r="J84" s="123">
        <f t="shared" si="17"/>
        <v>0</v>
      </c>
      <c r="K84" s="122">
        <v>3116</v>
      </c>
      <c r="L84" s="123">
        <f t="shared" si="18"/>
        <v>118283</v>
      </c>
      <c r="M84" s="124">
        <f t="shared" si="19"/>
        <v>3116</v>
      </c>
      <c r="N84" s="124">
        <f t="shared" si="19"/>
        <v>118283</v>
      </c>
      <c r="O84" s="125"/>
      <c r="P84" s="193"/>
    </row>
    <row r="85" spans="2:16" s="196" customFormat="1" ht="20.100000000000001" customHeight="1">
      <c r="B85" s="117"/>
      <c r="C85" s="118" t="s">
        <v>620</v>
      </c>
      <c r="D85" s="127">
        <v>600</v>
      </c>
      <c r="E85" s="120">
        <v>0.56000000000000005</v>
      </c>
      <c r="F85" s="121" t="s">
        <v>773</v>
      </c>
      <c r="G85" s="122">
        <v>9766</v>
      </c>
      <c r="H85" s="123">
        <f t="shared" si="16"/>
        <v>5468</v>
      </c>
      <c r="I85" s="122">
        <v>0</v>
      </c>
      <c r="J85" s="123">
        <f t="shared" si="17"/>
        <v>0</v>
      </c>
      <c r="K85" s="122">
        <v>0</v>
      </c>
      <c r="L85" s="123">
        <f t="shared" si="18"/>
        <v>0</v>
      </c>
      <c r="M85" s="124">
        <f t="shared" si="19"/>
        <v>9766</v>
      </c>
      <c r="N85" s="124">
        <f t="shared" si="19"/>
        <v>5468</v>
      </c>
      <c r="O85" s="125">
        <f>B118</f>
        <v>15</v>
      </c>
      <c r="P85" s="193"/>
    </row>
    <row r="86" spans="2:16" s="196" customFormat="1" ht="20.100000000000001" customHeight="1">
      <c r="B86" s="117"/>
      <c r="C86" s="118" t="s">
        <v>621</v>
      </c>
      <c r="D86" s="127">
        <v>600</v>
      </c>
      <c r="E86" s="120">
        <v>1</v>
      </c>
      <c r="F86" s="121" t="s">
        <v>759</v>
      </c>
      <c r="G86" s="122">
        <v>0</v>
      </c>
      <c r="H86" s="123">
        <f t="shared" si="16"/>
        <v>0</v>
      </c>
      <c r="I86" s="122">
        <f>J128</f>
        <v>526656</v>
      </c>
      <c r="J86" s="123">
        <f t="shared" si="17"/>
        <v>526656</v>
      </c>
      <c r="K86" s="122">
        <v>97649</v>
      </c>
      <c r="L86" s="123">
        <f t="shared" si="18"/>
        <v>97649</v>
      </c>
      <c r="M86" s="124">
        <f t="shared" si="19"/>
        <v>624305</v>
      </c>
      <c r="N86" s="124">
        <f t="shared" si="19"/>
        <v>624305</v>
      </c>
      <c r="O86" s="125">
        <f>B123</f>
        <v>16</v>
      </c>
      <c r="P86" s="193"/>
    </row>
    <row r="87" spans="2:16" s="196" customFormat="1" ht="20.100000000000001" customHeight="1">
      <c r="B87" s="117"/>
      <c r="C87" s="118" t="s">
        <v>622</v>
      </c>
      <c r="D87" s="127">
        <v>600</v>
      </c>
      <c r="E87" s="120">
        <v>1</v>
      </c>
      <c r="F87" s="121" t="s">
        <v>700</v>
      </c>
      <c r="G87" s="122">
        <v>0</v>
      </c>
      <c r="H87" s="123">
        <f t="shared" si="16"/>
        <v>0</v>
      </c>
      <c r="I87" s="122">
        <f>J135</f>
        <v>161403</v>
      </c>
      <c r="J87" s="123">
        <f t="shared" si="17"/>
        <v>161403</v>
      </c>
      <c r="K87" s="122">
        <v>29087</v>
      </c>
      <c r="L87" s="123">
        <f t="shared" si="18"/>
        <v>29087</v>
      </c>
      <c r="M87" s="124">
        <f t="shared" si="19"/>
        <v>190490</v>
      </c>
      <c r="N87" s="124">
        <f t="shared" si="19"/>
        <v>190490</v>
      </c>
      <c r="O87" s="125">
        <f>B130</f>
        <v>17</v>
      </c>
      <c r="P87" s="193"/>
    </row>
    <row r="88" spans="2:16" s="196" customFormat="1" ht="20.100000000000001" customHeight="1">
      <c r="B88" s="117"/>
      <c r="C88" s="156" t="s">
        <v>623</v>
      </c>
      <c r="D88" s="127">
        <v>600</v>
      </c>
      <c r="E88" s="120">
        <v>1</v>
      </c>
      <c r="F88" s="121" t="s">
        <v>759</v>
      </c>
      <c r="G88" s="122">
        <v>1680000</v>
      </c>
      <c r="H88" s="123">
        <f t="shared" si="16"/>
        <v>1680000</v>
      </c>
      <c r="I88" s="122"/>
      <c r="J88" s="123">
        <f t="shared" si="17"/>
        <v>0</v>
      </c>
      <c r="K88" s="122"/>
      <c r="L88" s="123">
        <f>TRUNC(K88*$E88,0)</f>
        <v>0</v>
      </c>
      <c r="M88" s="124">
        <f>G88+I88+K88</f>
        <v>1680000</v>
      </c>
      <c r="N88" s="124">
        <f t="shared" si="19"/>
        <v>1680000</v>
      </c>
      <c r="O88" s="157"/>
      <c r="P88" s="193"/>
    </row>
    <row r="89" spans="2:16" s="196" customFormat="1" ht="20.100000000000001" customHeight="1">
      <c r="B89" s="117"/>
      <c r="C89" s="156" t="s">
        <v>624</v>
      </c>
      <c r="D89" s="127">
        <v>600</v>
      </c>
      <c r="E89" s="120">
        <v>1</v>
      </c>
      <c r="F89" s="121" t="s">
        <v>700</v>
      </c>
      <c r="G89" s="122">
        <v>384000</v>
      </c>
      <c r="H89" s="123">
        <f t="shared" si="16"/>
        <v>384000</v>
      </c>
      <c r="I89" s="122"/>
      <c r="J89" s="123">
        <f t="shared" si="17"/>
        <v>0</v>
      </c>
      <c r="K89" s="122"/>
      <c r="L89" s="123">
        <f>TRUNC(K89*$E89,0)</f>
        <v>0</v>
      </c>
      <c r="M89" s="124">
        <f>G89+I89+K89</f>
        <v>384000</v>
      </c>
      <c r="N89" s="124">
        <f t="shared" si="19"/>
        <v>384000</v>
      </c>
      <c r="O89" s="157"/>
      <c r="P89" s="193"/>
    </row>
    <row r="90" spans="2:16" s="196" customFormat="1" ht="20.100000000000001" customHeight="1">
      <c r="B90" s="117"/>
      <c r="C90" s="156" t="s">
        <v>530</v>
      </c>
      <c r="D90" s="127">
        <v>600</v>
      </c>
      <c r="E90" s="120">
        <v>2</v>
      </c>
      <c r="F90" s="121" t="s">
        <v>759</v>
      </c>
      <c r="G90" s="122">
        <v>136480</v>
      </c>
      <c r="H90" s="123">
        <f t="shared" si="16"/>
        <v>272960</v>
      </c>
      <c r="I90" s="122"/>
      <c r="J90" s="123">
        <f t="shared" si="17"/>
        <v>0</v>
      </c>
      <c r="K90" s="122"/>
      <c r="L90" s="123">
        <f>TRUNC(K90*$E90,0)</f>
        <v>0</v>
      </c>
      <c r="M90" s="124">
        <f>G90+I90+K90</f>
        <v>136480</v>
      </c>
      <c r="N90" s="124">
        <f t="shared" si="19"/>
        <v>272960</v>
      </c>
      <c r="O90" s="157"/>
      <c r="P90" s="193"/>
    </row>
    <row r="91" spans="2:16" s="196" customFormat="1" ht="20.100000000000001" customHeight="1">
      <c r="B91" s="140"/>
      <c r="C91" s="141" t="s">
        <v>763</v>
      </c>
      <c r="D91" s="142"/>
      <c r="E91" s="143"/>
      <c r="F91" s="143"/>
      <c r="G91" s="144"/>
      <c r="H91" s="145">
        <f>SUM(H79:H90)</f>
        <v>2363365</v>
      </c>
      <c r="I91" s="144"/>
      <c r="J91" s="145">
        <f>SUM(J79:J88)</f>
        <v>2570426</v>
      </c>
      <c r="K91" s="144"/>
      <c r="L91" s="145">
        <f>SUM(L79:L88)</f>
        <v>4274817</v>
      </c>
      <c r="M91" s="146"/>
      <c r="N91" s="146">
        <f t="shared" si="19"/>
        <v>9208608</v>
      </c>
      <c r="O91" s="147"/>
      <c r="P91" s="193"/>
    </row>
    <row r="92" spans="2:16" s="196" customFormat="1" ht="20.100000000000001" customHeight="1">
      <c r="B92" s="148"/>
      <c r="C92" s="149"/>
      <c r="D92" s="149"/>
      <c r="E92" s="150"/>
      <c r="F92" s="150"/>
      <c r="G92" s="151"/>
      <c r="H92" s="152"/>
      <c r="I92" s="151"/>
      <c r="J92" s="152"/>
      <c r="K92" s="151"/>
      <c r="L92" s="152"/>
      <c r="M92" s="153"/>
      <c r="N92" s="153"/>
      <c r="O92" s="154"/>
      <c r="P92" s="193"/>
    </row>
    <row r="93" spans="2:16" s="195" customFormat="1" ht="20.100000000000001" customHeight="1">
      <c r="B93" s="131">
        <f>B78+1</f>
        <v>11</v>
      </c>
      <c r="C93" s="155" t="s">
        <v>787</v>
      </c>
      <c r="D93" s="163">
        <v>600</v>
      </c>
      <c r="E93" s="134">
        <v>1</v>
      </c>
      <c r="F93" s="135" t="s">
        <v>600</v>
      </c>
      <c r="G93" s="136"/>
      <c r="H93" s="136"/>
      <c r="I93" s="136"/>
      <c r="J93" s="136"/>
      <c r="K93" s="136"/>
      <c r="L93" s="136"/>
      <c r="M93" s="136"/>
      <c r="N93" s="136"/>
      <c r="O93" s="137" t="s">
        <v>0</v>
      </c>
      <c r="P93" s="194"/>
    </row>
    <row r="94" spans="2:16" s="196" customFormat="1" ht="20.100000000000001" customHeight="1">
      <c r="B94" s="117"/>
      <c r="C94" s="156" t="s">
        <v>47</v>
      </c>
      <c r="D94" s="139"/>
      <c r="E94" s="120">
        <v>0.23</v>
      </c>
      <c r="F94" s="121" t="s">
        <v>704</v>
      </c>
      <c r="G94" s="122"/>
      <c r="H94" s="123">
        <f>TRUNC(G94*$E94,0)</f>
        <v>0</v>
      </c>
      <c r="I94" s="122">
        <f>노임!$D$28</f>
        <v>326240</v>
      </c>
      <c r="J94" s="123">
        <f>TRUNC(I94*$E94,0)</f>
        <v>75035</v>
      </c>
      <c r="K94" s="122"/>
      <c r="L94" s="123">
        <f>TRUNC(K94*$E94,0)</f>
        <v>0</v>
      </c>
      <c r="M94" s="124">
        <f t="shared" ref="M94:N97" si="20">G94+I94+K94</f>
        <v>326240</v>
      </c>
      <c r="N94" s="124">
        <f t="shared" si="20"/>
        <v>75035</v>
      </c>
      <c r="O94" s="157"/>
      <c r="P94" s="193"/>
    </row>
    <row r="95" spans="2:16" s="196" customFormat="1" ht="20.100000000000001" customHeight="1">
      <c r="B95" s="117"/>
      <c r="C95" s="156" t="s">
        <v>609</v>
      </c>
      <c r="D95" s="139"/>
      <c r="E95" s="120">
        <v>1.58</v>
      </c>
      <c r="F95" s="121" t="s">
        <v>704</v>
      </c>
      <c r="G95" s="122"/>
      <c r="H95" s="123">
        <f>TRUNC(G95*$E95,0)</f>
        <v>0</v>
      </c>
      <c r="I95" s="122">
        <f>노임!$D$24</f>
        <v>492337</v>
      </c>
      <c r="J95" s="123">
        <f>TRUNC(I95*$E95,0)</f>
        <v>777892</v>
      </c>
      <c r="K95" s="122"/>
      <c r="L95" s="123">
        <f>TRUNC(K95*$E95,0)</f>
        <v>0</v>
      </c>
      <c r="M95" s="124">
        <f t="shared" si="20"/>
        <v>492337</v>
      </c>
      <c r="N95" s="124">
        <f t="shared" si="20"/>
        <v>777892</v>
      </c>
      <c r="O95" s="157"/>
      <c r="P95" s="193"/>
    </row>
    <row r="96" spans="2:16" s="196" customFormat="1" ht="20.100000000000001" customHeight="1">
      <c r="B96" s="117"/>
      <c r="C96" s="156" t="s">
        <v>58</v>
      </c>
      <c r="D96" s="139"/>
      <c r="E96" s="120">
        <v>1.46</v>
      </c>
      <c r="F96" s="121" t="s">
        <v>704</v>
      </c>
      <c r="G96" s="122"/>
      <c r="H96" s="123">
        <f>TRUNC(G96*$E96,0)</f>
        <v>0</v>
      </c>
      <c r="I96" s="122">
        <f>노임!$D$17</f>
        <v>322627</v>
      </c>
      <c r="J96" s="123">
        <f>TRUNC(I96*$E96,0)</f>
        <v>471035</v>
      </c>
      <c r="K96" s="122"/>
      <c r="L96" s="123">
        <f>TRUNC(K96*$E96,0)</f>
        <v>0</v>
      </c>
      <c r="M96" s="124">
        <f t="shared" si="20"/>
        <v>322627</v>
      </c>
      <c r="N96" s="124">
        <f t="shared" si="20"/>
        <v>471035</v>
      </c>
      <c r="O96" s="157"/>
      <c r="P96" s="193"/>
    </row>
    <row r="97" spans="2:16" s="196" customFormat="1" ht="20.100000000000001" customHeight="1">
      <c r="B97" s="117"/>
      <c r="C97" s="156" t="s">
        <v>705</v>
      </c>
      <c r="D97" s="161">
        <v>5</v>
      </c>
      <c r="E97" s="120">
        <v>3.53</v>
      </c>
      <c r="F97" s="121" t="s">
        <v>706</v>
      </c>
      <c r="G97" s="122"/>
      <c r="H97" s="123">
        <f>TRUNC(G97*$E97,0)</f>
        <v>0</v>
      </c>
      <c r="I97" s="122"/>
      <c r="J97" s="123">
        <f>TRUNC(I97*$E97,0)</f>
        <v>0</v>
      </c>
      <c r="K97" s="122">
        <v>69255</v>
      </c>
      <c r="L97" s="123">
        <f>TRUNC(K97*$E97,0)</f>
        <v>244470</v>
      </c>
      <c r="M97" s="124">
        <f t="shared" si="20"/>
        <v>69255</v>
      </c>
      <c r="N97" s="124">
        <f t="shared" si="20"/>
        <v>244470</v>
      </c>
      <c r="O97" s="157"/>
      <c r="P97" s="193"/>
    </row>
    <row r="98" spans="2:16" s="196" customFormat="1" ht="20.100000000000001" customHeight="1">
      <c r="B98" s="140"/>
      <c r="C98" s="141" t="s">
        <v>698</v>
      </c>
      <c r="D98" s="142"/>
      <c r="E98" s="143"/>
      <c r="F98" s="143"/>
      <c r="G98" s="144"/>
      <c r="H98" s="145">
        <f>SUM(H94:H97)</f>
        <v>0</v>
      </c>
      <c r="I98" s="144"/>
      <c r="J98" s="145">
        <f>SUM(J94:J97)</f>
        <v>1323962</v>
      </c>
      <c r="K98" s="144"/>
      <c r="L98" s="145">
        <f>SUM(L94:L97)</f>
        <v>244470</v>
      </c>
      <c r="M98" s="146"/>
      <c r="N98" s="146">
        <f>H98+J98+L98</f>
        <v>1568432</v>
      </c>
      <c r="O98" s="147"/>
      <c r="P98" s="193"/>
    </row>
    <row r="99" spans="2:16" ht="20.100000000000001" customHeight="1">
      <c r="B99" s="148"/>
      <c r="C99" s="149"/>
      <c r="D99" s="149"/>
      <c r="E99" s="150"/>
      <c r="F99" s="150"/>
      <c r="G99" s="151"/>
      <c r="H99" s="152"/>
      <c r="I99" s="151"/>
      <c r="J99" s="152"/>
      <c r="K99" s="151"/>
      <c r="L99" s="152"/>
      <c r="M99" s="153"/>
      <c r="N99" s="153"/>
      <c r="O99" s="154"/>
    </row>
    <row r="100" spans="2:16" s="195" customFormat="1" ht="20.100000000000001" customHeight="1">
      <c r="B100" s="131">
        <f>B93+1</f>
        <v>12</v>
      </c>
      <c r="C100" s="155" t="s">
        <v>788</v>
      </c>
      <c r="D100" s="163">
        <v>600</v>
      </c>
      <c r="E100" s="134">
        <v>1</v>
      </c>
      <c r="F100" s="135" t="s">
        <v>773</v>
      </c>
      <c r="G100" s="136"/>
      <c r="H100" s="136"/>
      <c r="I100" s="136"/>
      <c r="J100" s="136"/>
      <c r="K100" s="136"/>
      <c r="L100" s="136"/>
      <c r="M100" s="136"/>
      <c r="N100" s="136"/>
      <c r="O100" s="137" t="s">
        <v>0</v>
      </c>
      <c r="P100" s="194"/>
    </row>
    <row r="101" spans="2:16" s="196" customFormat="1" ht="20.100000000000001" customHeight="1">
      <c r="B101" s="117"/>
      <c r="C101" s="156" t="s">
        <v>625</v>
      </c>
      <c r="D101" s="127" t="s">
        <v>789</v>
      </c>
      <c r="E101" s="120">
        <v>5.0999999999999996</v>
      </c>
      <c r="F101" s="121" t="s">
        <v>790</v>
      </c>
      <c r="G101" s="122">
        <v>1596</v>
      </c>
      <c r="H101" s="123">
        <f>TRUNC(G101*$E101,0)</f>
        <v>8139</v>
      </c>
      <c r="I101" s="122"/>
      <c r="J101" s="123">
        <f>TRUNC(I101*$E101,0)</f>
        <v>0</v>
      </c>
      <c r="K101" s="122"/>
      <c r="L101" s="123">
        <f>TRUNC(K101*$E101,0)</f>
        <v>0</v>
      </c>
      <c r="M101" s="124">
        <f>G101+I101+K101</f>
        <v>1596</v>
      </c>
      <c r="N101" s="124">
        <f>H101+J101+L101</f>
        <v>8139</v>
      </c>
      <c r="O101" s="157"/>
      <c r="P101" s="193"/>
    </row>
    <row r="102" spans="2:16" s="196" customFormat="1" ht="20.100000000000001" customHeight="1">
      <c r="B102" s="117"/>
      <c r="C102" s="156" t="s">
        <v>626</v>
      </c>
      <c r="D102" s="139" t="s">
        <v>791</v>
      </c>
      <c r="E102" s="158">
        <v>0.2</v>
      </c>
      <c r="F102" s="121"/>
      <c r="G102" s="122">
        <v>8139</v>
      </c>
      <c r="H102" s="123">
        <f>TRUNC(G102*$E102,0)</f>
        <v>1627</v>
      </c>
      <c r="I102" s="122"/>
      <c r="J102" s="123">
        <f>TRUNC(I102*$E102,0)</f>
        <v>0</v>
      </c>
      <c r="K102" s="122"/>
      <c r="L102" s="123">
        <f>TRUNC(K102*$E102,0)</f>
        <v>0</v>
      </c>
      <c r="M102" s="124">
        <f>G102+I102+K102</f>
        <v>8139</v>
      </c>
      <c r="N102" s="124">
        <f>H102+J102+L102</f>
        <v>1627</v>
      </c>
      <c r="O102" s="157"/>
      <c r="P102" s="193"/>
    </row>
    <row r="103" spans="2:16" s="196" customFormat="1" ht="20.100000000000001" customHeight="1">
      <c r="B103" s="140"/>
      <c r="C103" s="141" t="s">
        <v>763</v>
      </c>
      <c r="D103" s="142"/>
      <c r="E103" s="143"/>
      <c r="F103" s="143"/>
      <c r="G103" s="144"/>
      <c r="H103" s="145">
        <f>SUM(H101:H102)</f>
        <v>9766</v>
      </c>
      <c r="I103" s="144"/>
      <c r="J103" s="145">
        <f>SUM(J101:J102)</f>
        <v>0</v>
      </c>
      <c r="K103" s="144"/>
      <c r="L103" s="145">
        <f>SUM(L101:L102)</f>
        <v>0</v>
      </c>
      <c r="M103" s="146"/>
      <c r="N103" s="146">
        <f>H103+J103+L103</f>
        <v>9766</v>
      </c>
      <c r="O103" s="147"/>
      <c r="P103" s="193"/>
    </row>
    <row r="104" spans="2:16" s="196" customFormat="1" ht="20.100000000000001" customHeight="1">
      <c r="B104" s="148"/>
      <c r="C104" s="149"/>
      <c r="D104" s="149"/>
      <c r="E104" s="150"/>
      <c r="F104" s="150"/>
      <c r="G104" s="151"/>
      <c r="H104" s="152"/>
      <c r="I104" s="151"/>
      <c r="J104" s="152"/>
      <c r="K104" s="151"/>
      <c r="L104" s="152"/>
      <c r="M104" s="153"/>
      <c r="N104" s="153"/>
      <c r="O104" s="154"/>
      <c r="P104" s="193"/>
    </row>
    <row r="105" spans="2:16" s="196" customFormat="1" ht="20.100000000000001" customHeight="1">
      <c r="B105" s="131">
        <f>B100+1</f>
        <v>13</v>
      </c>
      <c r="C105" s="155" t="s">
        <v>792</v>
      </c>
      <c r="D105" s="133">
        <v>700</v>
      </c>
      <c r="E105" s="134">
        <v>1</v>
      </c>
      <c r="F105" s="135" t="s">
        <v>773</v>
      </c>
      <c r="G105" s="136"/>
      <c r="H105" s="136"/>
      <c r="I105" s="136"/>
      <c r="J105" s="136"/>
      <c r="K105" s="136"/>
      <c r="L105" s="136"/>
      <c r="M105" s="136"/>
      <c r="N105" s="136"/>
      <c r="O105" s="137" t="s">
        <v>0</v>
      </c>
      <c r="P105" s="193"/>
    </row>
    <row r="106" spans="2:16" s="196" customFormat="1" ht="20.100000000000001" customHeight="1">
      <c r="B106" s="117"/>
      <c r="C106" s="156" t="s">
        <v>57</v>
      </c>
      <c r="D106" s="127"/>
      <c r="E106" s="120">
        <v>0.25</v>
      </c>
      <c r="F106" s="121" t="s">
        <v>765</v>
      </c>
      <c r="G106" s="122"/>
      <c r="H106" s="123">
        <f>TRUNC(G106*$E106,0)</f>
        <v>0</v>
      </c>
      <c r="I106" s="122">
        <f>노임!$D$28</f>
        <v>326240</v>
      </c>
      <c r="J106" s="123">
        <f>TRUNC(I106*$E106,0)</f>
        <v>81560</v>
      </c>
      <c r="K106" s="122"/>
      <c r="L106" s="123">
        <f>TRUNC(K106*$E106,0)</f>
        <v>0</v>
      </c>
      <c r="M106" s="124">
        <f t="shared" ref="M106:N108" si="21">G106+I106+K106</f>
        <v>326240</v>
      </c>
      <c r="N106" s="124">
        <f t="shared" si="21"/>
        <v>81560</v>
      </c>
      <c r="O106" s="157"/>
      <c r="P106" s="193"/>
    </row>
    <row r="107" spans="2:16" s="196" customFormat="1" ht="20.100000000000001" customHeight="1">
      <c r="B107" s="117"/>
      <c r="C107" s="156" t="s">
        <v>58</v>
      </c>
      <c r="D107" s="139"/>
      <c r="E107" s="120">
        <v>0.25</v>
      </c>
      <c r="F107" s="121" t="s">
        <v>765</v>
      </c>
      <c r="G107" s="122"/>
      <c r="H107" s="123">
        <f>TRUNC(G107*$E107,0)</f>
        <v>0</v>
      </c>
      <c r="I107" s="122">
        <f>노임!$D$17</f>
        <v>322627</v>
      </c>
      <c r="J107" s="123">
        <f>TRUNC(I107*$E107,0)</f>
        <v>80656</v>
      </c>
      <c r="K107" s="122"/>
      <c r="L107" s="123">
        <f>TRUNC(K107*$E107,0)</f>
        <v>0</v>
      </c>
      <c r="M107" s="124">
        <f t="shared" si="21"/>
        <v>322627</v>
      </c>
      <c r="N107" s="124">
        <f t="shared" si="21"/>
        <v>80656</v>
      </c>
      <c r="O107" s="157"/>
      <c r="P107" s="193"/>
    </row>
    <row r="108" spans="2:16" s="196" customFormat="1" ht="20.100000000000001" customHeight="1">
      <c r="B108" s="117"/>
      <c r="C108" s="156" t="s">
        <v>793</v>
      </c>
      <c r="D108" s="139" t="s">
        <v>794</v>
      </c>
      <c r="E108" s="158">
        <v>0.03</v>
      </c>
      <c r="F108" s="121"/>
      <c r="G108" s="122">
        <v>92464</v>
      </c>
      <c r="H108" s="123">
        <f>TRUNC(G108*$E108,0)</f>
        <v>2773</v>
      </c>
      <c r="I108" s="122"/>
      <c r="J108" s="123">
        <f>TRUNC(I108*$E108,0)</f>
        <v>0</v>
      </c>
      <c r="K108" s="122"/>
      <c r="L108" s="123">
        <f>TRUNC(K108*$E108,0)</f>
        <v>0</v>
      </c>
      <c r="M108" s="124">
        <f t="shared" si="21"/>
        <v>92464</v>
      </c>
      <c r="N108" s="124">
        <f t="shared" si="21"/>
        <v>2773</v>
      </c>
      <c r="O108" s="157"/>
      <c r="P108" s="193"/>
    </row>
    <row r="109" spans="2:16" s="196" customFormat="1" ht="20.100000000000001" customHeight="1">
      <c r="B109" s="140"/>
      <c r="C109" s="141" t="s">
        <v>763</v>
      </c>
      <c r="D109" s="142"/>
      <c r="E109" s="143"/>
      <c r="F109" s="143"/>
      <c r="G109" s="144"/>
      <c r="H109" s="145">
        <f>SUM(H106:H108)</f>
        <v>2773</v>
      </c>
      <c r="I109" s="144"/>
      <c r="J109" s="145">
        <f>SUM(J106:J108)</f>
        <v>162216</v>
      </c>
      <c r="K109" s="144"/>
      <c r="L109" s="145">
        <f>SUM(L106:L108)</f>
        <v>0</v>
      </c>
      <c r="M109" s="146"/>
      <c r="N109" s="146">
        <f>H109+J109+L109</f>
        <v>164989</v>
      </c>
      <c r="O109" s="147"/>
      <c r="P109" s="193"/>
    </row>
    <row r="110" spans="2:16" s="196" customFormat="1" ht="20.100000000000001" customHeight="1">
      <c r="B110" s="148"/>
      <c r="C110" s="149"/>
      <c r="D110" s="149"/>
      <c r="E110" s="150"/>
      <c r="F110" s="150"/>
      <c r="G110" s="151"/>
      <c r="H110" s="152"/>
      <c r="I110" s="151"/>
      <c r="J110" s="152"/>
      <c r="K110" s="151"/>
      <c r="L110" s="152"/>
      <c r="M110" s="153"/>
      <c r="N110" s="153"/>
      <c r="O110" s="154"/>
      <c r="P110" s="193"/>
    </row>
    <row r="111" spans="2:16" s="195" customFormat="1" ht="20.100000000000001" customHeight="1">
      <c r="B111" s="131">
        <f>B105+1</f>
        <v>14</v>
      </c>
      <c r="C111" s="155" t="s">
        <v>795</v>
      </c>
      <c r="D111" s="163">
        <v>600</v>
      </c>
      <c r="E111" s="134">
        <v>1</v>
      </c>
      <c r="F111" s="135" t="s">
        <v>600</v>
      </c>
      <c r="G111" s="136"/>
      <c r="H111" s="136"/>
      <c r="I111" s="136"/>
      <c r="J111" s="136"/>
      <c r="K111" s="136"/>
      <c r="L111" s="136"/>
      <c r="M111" s="136"/>
      <c r="N111" s="136"/>
      <c r="O111" s="137" t="s">
        <v>0</v>
      </c>
      <c r="P111" s="194"/>
    </row>
    <row r="112" spans="2:16" s="196" customFormat="1" ht="20.100000000000001" customHeight="1">
      <c r="B112" s="117"/>
      <c r="C112" s="156" t="s">
        <v>47</v>
      </c>
      <c r="D112" s="139"/>
      <c r="E112" s="120">
        <v>7.0000000000000007E-2</v>
      </c>
      <c r="F112" s="121" t="s">
        <v>765</v>
      </c>
      <c r="G112" s="122"/>
      <c r="H112" s="123">
        <f>TRUNC(G112*$E112,0)</f>
        <v>0</v>
      </c>
      <c r="I112" s="122">
        <f>노임!$D$28</f>
        <v>326240</v>
      </c>
      <c r="J112" s="123">
        <f>TRUNC(I112*$E112,0)</f>
        <v>22836</v>
      </c>
      <c r="K112" s="122"/>
      <c r="L112" s="123">
        <f>TRUNC(K112*$E112,0)</f>
        <v>0</v>
      </c>
      <c r="M112" s="124">
        <f t="shared" ref="M112:N115" si="22">G112+I112+K112</f>
        <v>326240</v>
      </c>
      <c r="N112" s="124">
        <f t="shared" si="22"/>
        <v>22836</v>
      </c>
      <c r="O112" s="157"/>
      <c r="P112" s="193"/>
    </row>
    <row r="113" spans="2:16" s="196" customFormat="1" ht="20.100000000000001" customHeight="1">
      <c r="B113" s="117"/>
      <c r="C113" s="156" t="s">
        <v>609</v>
      </c>
      <c r="D113" s="139"/>
      <c r="E113" s="120">
        <v>0.47</v>
      </c>
      <c r="F113" s="121" t="s">
        <v>765</v>
      </c>
      <c r="G113" s="122"/>
      <c r="H113" s="123">
        <f>TRUNC(G113*$E113,0)</f>
        <v>0</v>
      </c>
      <c r="I113" s="122">
        <f>노임!$D$24</f>
        <v>492337</v>
      </c>
      <c r="J113" s="123">
        <f>TRUNC(I113*$E113,0)</f>
        <v>231398</v>
      </c>
      <c r="K113" s="122"/>
      <c r="L113" s="123">
        <f>TRUNC(K113*$E113,0)</f>
        <v>0</v>
      </c>
      <c r="M113" s="124">
        <f t="shared" si="22"/>
        <v>492337</v>
      </c>
      <c r="N113" s="124">
        <f t="shared" si="22"/>
        <v>231398</v>
      </c>
      <c r="O113" s="157"/>
      <c r="P113" s="193"/>
    </row>
    <row r="114" spans="2:16" s="196" customFormat="1" ht="20.100000000000001" customHeight="1">
      <c r="B114" s="117"/>
      <c r="C114" s="156" t="s">
        <v>58</v>
      </c>
      <c r="D114" s="139"/>
      <c r="E114" s="120">
        <v>0.44</v>
      </c>
      <c r="F114" s="121" t="s">
        <v>765</v>
      </c>
      <c r="G114" s="122"/>
      <c r="H114" s="123">
        <f>TRUNC(G114*$E114,0)</f>
        <v>0</v>
      </c>
      <c r="I114" s="122">
        <f>노임!$D$17</f>
        <v>322627</v>
      </c>
      <c r="J114" s="123">
        <f>TRUNC(I114*$E114,0)</f>
        <v>141955</v>
      </c>
      <c r="K114" s="122"/>
      <c r="L114" s="123">
        <f>TRUNC(K114*$E114,0)</f>
        <v>0</v>
      </c>
      <c r="M114" s="124">
        <f t="shared" si="22"/>
        <v>322627</v>
      </c>
      <c r="N114" s="124">
        <f t="shared" si="22"/>
        <v>141955</v>
      </c>
      <c r="O114" s="157"/>
      <c r="P114" s="193"/>
    </row>
    <row r="115" spans="2:16" s="196" customFormat="1" ht="20.100000000000001" customHeight="1">
      <c r="B115" s="117"/>
      <c r="C115" s="156" t="s">
        <v>627</v>
      </c>
      <c r="D115" s="161">
        <v>5</v>
      </c>
      <c r="E115" s="120">
        <v>1.06</v>
      </c>
      <c r="F115" s="121" t="s">
        <v>773</v>
      </c>
      <c r="G115" s="122"/>
      <c r="H115" s="123">
        <f>TRUNC(G115*$E115,0)</f>
        <v>0</v>
      </c>
      <c r="I115" s="122"/>
      <c r="J115" s="123">
        <f>TRUNC(I115*$E115,0)</f>
        <v>0</v>
      </c>
      <c r="K115" s="122">
        <v>69255</v>
      </c>
      <c r="L115" s="123">
        <f>TRUNC(K115*$E115,0)</f>
        <v>73410</v>
      </c>
      <c r="M115" s="124">
        <f t="shared" si="22"/>
        <v>69255</v>
      </c>
      <c r="N115" s="124">
        <f t="shared" si="22"/>
        <v>73410</v>
      </c>
      <c r="O115" s="157"/>
      <c r="P115" s="193"/>
    </row>
    <row r="116" spans="2:16" s="196" customFormat="1" ht="20.100000000000001" customHeight="1">
      <c r="B116" s="140"/>
      <c r="C116" s="141" t="s">
        <v>763</v>
      </c>
      <c r="D116" s="142"/>
      <c r="E116" s="143"/>
      <c r="F116" s="143"/>
      <c r="G116" s="144"/>
      <c r="H116" s="145">
        <f>SUM(H112:H115)</f>
        <v>0</v>
      </c>
      <c r="I116" s="144"/>
      <c r="J116" s="145">
        <f>SUM(J112:J115)</f>
        <v>396189</v>
      </c>
      <c r="K116" s="144"/>
      <c r="L116" s="145">
        <f>SUM(L112:L115)</f>
        <v>73410</v>
      </c>
      <c r="M116" s="146"/>
      <c r="N116" s="146">
        <f>H116+J116+L116</f>
        <v>469599</v>
      </c>
      <c r="O116" s="147"/>
      <c r="P116" s="193"/>
    </row>
    <row r="117" spans="2:16" s="196" customFormat="1" ht="20.100000000000001" customHeight="1">
      <c r="B117" s="148"/>
      <c r="C117" s="149"/>
      <c r="D117" s="149"/>
      <c r="E117" s="150"/>
      <c r="F117" s="150"/>
      <c r="G117" s="151"/>
      <c r="H117" s="152"/>
      <c r="I117" s="151"/>
      <c r="J117" s="152"/>
      <c r="K117" s="151"/>
      <c r="L117" s="152"/>
      <c r="M117" s="153"/>
      <c r="N117" s="153"/>
      <c r="O117" s="154"/>
      <c r="P117" s="193"/>
    </row>
    <row r="118" spans="2:16" s="195" customFormat="1" ht="20.100000000000001" customHeight="1">
      <c r="B118" s="131">
        <f>B111+1</f>
        <v>15</v>
      </c>
      <c r="C118" s="155" t="s">
        <v>796</v>
      </c>
      <c r="D118" s="163">
        <v>600</v>
      </c>
      <c r="E118" s="134">
        <v>1</v>
      </c>
      <c r="F118" s="135" t="s">
        <v>773</v>
      </c>
      <c r="G118" s="136"/>
      <c r="H118" s="136"/>
      <c r="I118" s="136"/>
      <c r="J118" s="136"/>
      <c r="K118" s="136"/>
      <c r="L118" s="136"/>
      <c r="M118" s="136"/>
      <c r="N118" s="136"/>
      <c r="O118" s="137" t="s">
        <v>0</v>
      </c>
      <c r="P118" s="194"/>
    </row>
    <row r="119" spans="2:16" s="196" customFormat="1" ht="20.100000000000001" customHeight="1">
      <c r="B119" s="117"/>
      <c r="C119" s="156" t="s">
        <v>625</v>
      </c>
      <c r="D119" s="127" t="s">
        <v>712</v>
      </c>
      <c r="E119" s="120">
        <v>5.0999999999999996</v>
      </c>
      <c r="F119" s="121" t="s">
        <v>790</v>
      </c>
      <c r="G119" s="122">
        <v>1596</v>
      </c>
      <c r="H119" s="123">
        <f>TRUNC(G119*$E119,0)</f>
        <v>8139</v>
      </c>
      <c r="I119" s="122"/>
      <c r="J119" s="123">
        <f>TRUNC(I119*$E119,0)</f>
        <v>0</v>
      </c>
      <c r="K119" s="122"/>
      <c r="L119" s="123">
        <f>TRUNC(K119*$E119,0)</f>
        <v>0</v>
      </c>
      <c r="M119" s="124">
        <f>G119+I119+K119</f>
        <v>1596</v>
      </c>
      <c r="N119" s="124">
        <f>H119+J119+L119</f>
        <v>8139</v>
      </c>
      <c r="O119" s="157"/>
      <c r="P119" s="193"/>
    </row>
    <row r="120" spans="2:16" s="196" customFormat="1" ht="20.100000000000001" customHeight="1">
      <c r="B120" s="117"/>
      <c r="C120" s="156" t="s">
        <v>626</v>
      </c>
      <c r="D120" s="139" t="s">
        <v>791</v>
      </c>
      <c r="E120" s="158">
        <v>0.2</v>
      </c>
      <c r="F120" s="121"/>
      <c r="G120" s="122">
        <v>8139</v>
      </c>
      <c r="H120" s="123">
        <f>TRUNC(G120*$E120,0)</f>
        <v>1627</v>
      </c>
      <c r="I120" s="122"/>
      <c r="J120" s="123">
        <f>TRUNC(I120*$E120,0)</f>
        <v>0</v>
      </c>
      <c r="K120" s="122"/>
      <c r="L120" s="123">
        <f>TRUNC(K120*$E120,0)</f>
        <v>0</v>
      </c>
      <c r="M120" s="124">
        <f>G120+I120+K120</f>
        <v>8139</v>
      </c>
      <c r="N120" s="124">
        <f>H120+J120+L120</f>
        <v>1627</v>
      </c>
      <c r="O120" s="157"/>
      <c r="P120" s="193"/>
    </row>
    <row r="121" spans="2:16" s="196" customFormat="1" ht="20.100000000000001" customHeight="1">
      <c r="B121" s="140"/>
      <c r="C121" s="141" t="s">
        <v>763</v>
      </c>
      <c r="D121" s="142"/>
      <c r="E121" s="143"/>
      <c r="F121" s="143"/>
      <c r="G121" s="144"/>
      <c r="H121" s="145">
        <f>SUM(H119:H120)</f>
        <v>9766</v>
      </c>
      <c r="I121" s="144"/>
      <c r="J121" s="145">
        <f>SUM(J119:J120)</f>
        <v>0</v>
      </c>
      <c r="K121" s="144"/>
      <c r="L121" s="145">
        <f>SUM(L119:L120)</f>
        <v>0</v>
      </c>
      <c r="M121" s="146"/>
      <c r="N121" s="146">
        <f>H121+J121+L121</f>
        <v>9766</v>
      </c>
      <c r="O121" s="147"/>
      <c r="P121" s="193"/>
    </row>
    <row r="122" spans="2:16" s="196" customFormat="1" ht="20.100000000000001" customHeight="1">
      <c r="B122" s="148"/>
      <c r="C122" s="149"/>
      <c r="D122" s="149"/>
      <c r="E122" s="150"/>
      <c r="F122" s="150"/>
      <c r="G122" s="151"/>
      <c r="H122" s="152"/>
      <c r="I122" s="151"/>
      <c r="J122" s="152"/>
      <c r="K122" s="151"/>
      <c r="L122" s="152"/>
      <c r="M122" s="153"/>
      <c r="N122" s="153"/>
      <c r="O122" s="154"/>
      <c r="P122" s="193"/>
    </row>
    <row r="123" spans="2:16" s="195" customFormat="1" ht="20.100000000000001" customHeight="1">
      <c r="B123" s="131">
        <f>B118+1</f>
        <v>16</v>
      </c>
      <c r="C123" s="155" t="s">
        <v>797</v>
      </c>
      <c r="D123" s="163">
        <v>600</v>
      </c>
      <c r="E123" s="134">
        <v>1</v>
      </c>
      <c r="F123" s="135" t="s">
        <v>600</v>
      </c>
      <c r="G123" s="136"/>
      <c r="H123" s="136"/>
      <c r="I123" s="136"/>
      <c r="J123" s="136"/>
      <c r="K123" s="136"/>
      <c r="L123" s="136"/>
      <c r="M123" s="136"/>
      <c r="N123" s="136"/>
      <c r="O123" s="137" t="s">
        <v>0</v>
      </c>
      <c r="P123" s="194"/>
    </row>
    <row r="124" spans="2:16" s="196" customFormat="1" ht="20.100000000000001" customHeight="1">
      <c r="B124" s="117"/>
      <c r="C124" s="156" t="s">
        <v>47</v>
      </c>
      <c r="D124" s="139"/>
      <c r="E124" s="120">
        <v>0.09</v>
      </c>
      <c r="F124" s="121" t="s">
        <v>765</v>
      </c>
      <c r="G124" s="122"/>
      <c r="H124" s="123">
        <f>TRUNC(G124*$E124,0)</f>
        <v>0</v>
      </c>
      <c r="I124" s="122">
        <f>노임!$D$28</f>
        <v>326240</v>
      </c>
      <c r="J124" s="123">
        <f>TRUNC(I124*$E124,0)</f>
        <v>29361</v>
      </c>
      <c r="K124" s="122"/>
      <c r="L124" s="123">
        <f>TRUNC(K124*$E124,0)</f>
        <v>0</v>
      </c>
      <c r="M124" s="124">
        <f t="shared" ref="M124:N127" si="23">G124+I124+K124</f>
        <v>326240</v>
      </c>
      <c r="N124" s="124">
        <f t="shared" si="23"/>
        <v>29361</v>
      </c>
      <c r="O124" s="157"/>
      <c r="P124" s="193"/>
    </row>
    <row r="125" spans="2:16" s="196" customFormat="1" ht="20.100000000000001" customHeight="1">
      <c r="B125" s="117"/>
      <c r="C125" s="156" t="s">
        <v>609</v>
      </c>
      <c r="D125" s="139"/>
      <c r="E125" s="120">
        <v>0.63</v>
      </c>
      <c r="F125" s="121" t="s">
        <v>704</v>
      </c>
      <c r="G125" s="122"/>
      <c r="H125" s="123">
        <f>TRUNC(G125*$E125,0)</f>
        <v>0</v>
      </c>
      <c r="I125" s="122">
        <f>노임!$D$24</f>
        <v>492337</v>
      </c>
      <c r="J125" s="123">
        <f>TRUNC(I125*$E125,0)</f>
        <v>310172</v>
      </c>
      <c r="K125" s="122"/>
      <c r="L125" s="123">
        <f>TRUNC(K125*$E125,0)</f>
        <v>0</v>
      </c>
      <c r="M125" s="124">
        <f t="shared" si="23"/>
        <v>492337</v>
      </c>
      <c r="N125" s="124">
        <f t="shared" si="23"/>
        <v>310172</v>
      </c>
      <c r="O125" s="157"/>
      <c r="P125" s="193"/>
    </row>
    <row r="126" spans="2:16" s="196" customFormat="1" ht="20.100000000000001" customHeight="1">
      <c r="B126" s="117"/>
      <c r="C126" s="156" t="s">
        <v>58</v>
      </c>
      <c r="D126" s="139"/>
      <c r="E126" s="120">
        <v>0.57999999999999996</v>
      </c>
      <c r="F126" s="121" t="s">
        <v>765</v>
      </c>
      <c r="G126" s="122"/>
      <c r="H126" s="123">
        <f>TRUNC(G126*$E126,0)</f>
        <v>0</v>
      </c>
      <c r="I126" s="122">
        <f>노임!$D$17</f>
        <v>322627</v>
      </c>
      <c r="J126" s="123">
        <f>TRUNC(I126*$E126,0)</f>
        <v>187123</v>
      </c>
      <c r="K126" s="122"/>
      <c r="L126" s="123">
        <f>TRUNC(K126*$E126,0)</f>
        <v>0</v>
      </c>
      <c r="M126" s="124">
        <f t="shared" si="23"/>
        <v>322627</v>
      </c>
      <c r="N126" s="124">
        <f t="shared" si="23"/>
        <v>187123</v>
      </c>
      <c r="O126" s="157"/>
      <c r="P126" s="193"/>
    </row>
    <row r="127" spans="2:16" s="196" customFormat="1" ht="20.100000000000001" customHeight="1">
      <c r="B127" s="117"/>
      <c r="C127" s="156" t="s">
        <v>772</v>
      </c>
      <c r="D127" s="161">
        <v>5</v>
      </c>
      <c r="E127" s="120">
        <v>1.41</v>
      </c>
      <c r="F127" s="121" t="s">
        <v>773</v>
      </c>
      <c r="G127" s="122"/>
      <c r="H127" s="123">
        <f>TRUNC(G127*$E127,0)</f>
        <v>0</v>
      </c>
      <c r="I127" s="122"/>
      <c r="J127" s="123">
        <f>TRUNC(I127*$E127,0)</f>
        <v>0</v>
      </c>
      <c r="K127" s="122">
        <v>69255</v>
      </c>
      <c r="L127" s="123">
        <f>TRUNC(K127*$E127,0)</f>
        <v>97649</v>
      </c>
      <c r="M127" s="124">
        <f t="shared" si="23"/>
        <v>69255</v>
      </c>
      <c r="N127" s="124">
        <f t="shared" si="23"/>
        <v>97649</v>
      </c>
      <c r="O127" s="157"/>
      <c r="P127" s="193"/>
    </row>
    <row r="128" spans="2:16" s="196" customFormat="1" ht="20.100000000000001" customHeight="1">
      <c r="B128" s="140"/>
      <c r="C128" s="141" t="s">
        <v>763</v>
      </c>
      <c r="D128" s="142"/>
      <c r="E128" s="143"/>
      <c r="F128" s="143"/>
      <c r="G128" s="144"/>
      <c r="H128" s="145">
        <f>SUM(H124:H127)</f>
        <v>0</v>
      </c>
      <c r="I128" s="144"/>
      <c r="J128" s="145">
        <f>SUM(J124:J127)</f>
        <v>526656</v>
      </c>
      <c r="K128" s="144"/>
      <c r="L128" s="145">
        <f>SUM(L124:L127)</f>
        <v>97649</v>
      </c>
      <c r="M128" s="146"/>
      <c r="N128" s="146">
        <f>H128+J128+L128</f>
        <v>624305</v>
      </c>
      <c r="O128" s="147"/>
      <c r="P128" s="193"/>
    </row>
    <row r="129" spans="2:16" ht="20.100000000000001" customHeight="1">
      <c r="B129" s="148"/>
      <c r="C129" s="149"/>
      <c r="D129" s="149"/>
      <c r="E129" s="150"/>
      <c r="F129" s="150"/>
      <c r="G129" s="151"/>
      <c r="H129" s="152"/>
      <c r="I129" s="151"/>
      <c r="J129" s="152"/>
      <c r="K129" s="151"/>
      <c r="L129" s="152"/>
      <c r="M129" s="153"/>
      <c r="N129" s="153"/>
      <c r="O129" s="154"/>
    </row>
    <row r="130" spans="2:16" s="195" customFormat="1" ht="20.100000000000001" customHeight="1">
      <c r="B130" s="131">
        <f>B123+1</f>
        <v>17</v>
      </c>
      <c r="C130" s="155" t="s">
        <v>798</v>
      </c>
      <c r="D130" s="163">
        <v>600</v>
      </c>
      <c r="E130" s="134">
        <v>1</v>
      </c>
      <c r="F130" s="135" t="s">
        <v>600</v>
      </c>
      <c r="G130" s="136"/>
      <c r="H130" s="136"/>
      <c r="I130" s="136"/>
      <c r="J130" s="136"/>
      <c r="K130" s="136"/>
      <c r="L130" s="136"/>
      <c r="M130" s="136"/>
      <c r="N130" s="136"/>
      <c r="O130" s="137" t="s">
        <v>0</v>
      </c>
      <c r="P130" s="194"/>
    </row>
    <row r="131" spans="2:16" s="196" customFormat="1" ht="20.100000000000001" customHeight="1">
      <c r="B131" s="117"/>
      <c r="C131" s="156" t="s">
        <v>47</v>
      </c>
      <c r="D131" s="139"/>
      <c r="E131" s="120">
        <v>0.03</v>
      </c>
      <c r="F131" s="121" t="s">
        <v>765</v>
      </c>
      <c r="G131" s="122"/>
      <c r="H131" s="123">
        <f>TRUNC(G131*$E131,0)</f>
        <v>0</v>
      </c>
      <c r="I131" s="122">
        <f>노임!$D$28</f>
        <v>326240</v>
      </c>
      <c r="J131" s="123">
        <f>TRUNC(I131*$E131,0)</f>
        <v>9787</v>
      </c>
      <c r="K131" s="122"/>
      <c r="L131" s="123">
        <f>TRUNC(K131*$E131,0)</f>
        <v>0</v>
      </c>
      <c r="M131" s="124">
        <f t="shared" ref="M131:N134" si="24">G131+I131+K131</f>
        <v>326240</v>
      </c>
      <c r="N131" s="124">
        <f t="shared" si="24"/>
        <v>9787</v>
      </c>
      <c r="O131" s="157"/>
      <c r="P131" s="193"/>
    </row>
    <row r="132" spans="2:16" s="196" customFormat="1" ht="20.100000000000001" customHeight="1">
      <c r="B132" s="117"/>
      <c r="C132" s="156" t="s">
        <v>609</v>
      </c>
      <c r="D132" s="139"/>
      <c r="E132" s="120">
        <v>0.19</v>
      </c>
      <c r="F132" s="121" t="s">
        <v>765</v>
      </c>
      <c r="G132" s="122"/>
      <c r="H132" s="123">
        <f>TRUNC(G132*$E132,0)</f>
        <v>0</v>
      </c>
      <c r="I132" s="122">
        <f>노임!$D$24</f>
        <v>492337</v>
      </c>
      <c r="J132" s="123">
        <f>TRUNC(I132*$E132,0)</f>
        <v>93544</v>
      </c>
      <c r="K132" s="122"/>
      <c r="L132" s="123">
        <f>TRUNC(K132*$E132,0)</f>
        <v>0</v>
      </c>
      <c r="M132" s="124">
        <f t="shared" si="24"/>
        <v>492337</v>
      </c>
      <c r="N132" s="124">
        <f t="shared" si="24"/>
        <v>93544</v>
      </c>
      <c r="O132" s="157"/>
      <c r="P132" s="193"/>
    </row>
    <row r="133" spans="2:16" s="196" customFormat="1" ht="20.100000000000001" customHeight="1">
      <c r="B133" s="117"/>
      <c r="C133" s="156" t="s">
        <v>58</v>
      </c>
      <c r="D133" s="139"/>
      <c r="E133" s="120">
        <v>0.18</v>
      </c>
      <c r="F133" s="121" t="s">
        <v>704</v>
      </c>
      <c r="G133" s="122"/>
      <c r="H133" s="123">
        <f>TRUNC(G133*$E133,0)</f>
        <v>0</v>
      </c>
      <c r="I133" s="122">
        <f>노임!$D$17</f>
        <v>322627</v>
      </c>
      <c r="J133" s="123">
        <f>TRUNC(I133*$E133,0)</f>
        <v>58072</v>
      </c>
      <c r="K133" s="122"/>
      <c r="L133" s="123">
        <f>TRUNC(K133*$E133,0)</f>
        <v>0</v>
      </c>
      <c r="M133" s="124">
        <f t="shared" si="24"/>
        <v>322627</v>
      </c>
      <c r="N133" s="124">
        <f t="shared" si="24"/>
        <v>58072</v>
      </c>
      <c r="O133" s="157"/>
      <c r="P133" s="193"/>
    </row>
    <row r="134" spans="2:16" s="196" customFormat="1" ht="20.100000000000001" customHeight="1">
      <c r="B134" s="117"/>
      <c r="C134" s="156" t="s">
        <v>627</v>
      </c>
      <c r="D134" s="161">
        <v>5</v>
      </c>
      <c r="E134" s="120">
        <v>0.42</v>
      </c>
      <c r="F134" s="121" t="s">
        <v>706</v>
      </c>
      <c r="G134" s="122"/>
      <c r="H134" s="123">
        <f>TRUNC(G134*$E134,0)</f>
        <v>0</v>
      </c>
      <c r="I134" s="122"/>
      <c r="J134" s="123">
        <f>TRUNC(I134*$E134,0)</f>
        <v>0</v>
      </c>
      <c r="K134" s="122">
        <v>69255</v>
      </c>
      <c r="L134" s="123">
        <f>TRUNC(K134*$E134,0)</f>
        <v>29087</v>
      </c>
      <c r="M134" s="124">
        <f t="shared" si="24"/>
        <v>69255</v>
      </c>
      <c r="N134" s="124">
        <f t="shared" si="24"/>
        <v>29087</v>
      </c>
      <c r="O134" s="157"/>
      <c r="P134" s="193"/>
    </row>
    <row r="135" spans="2:16" s="196" customFormat="1" ht="20.100000000000001" customHeight="1">
      <c r="B135" s="140"/>
      <c r="C135" s="141" t="s">
        <v>763</v>
      </c>
      <c r="D135" s="142"/>
      <c r="E135" s="143"/>
      <c r="F135" s="143"/>
      <c r="G135" s="144"/>
      <c r="H135" s="145">
        <f>SUM(H131:H134)</f>
        <v>0</v>
      </c>
      <c r="I135" s="144"/>
      <c r="J135" s="145">
        <f>SUM(J131:J134)</f>
        <v>161403</v>
      </c>
      <c r="K135" s="144"/>
      <c r="L135" s="145">
        <f>SUM(L131:L134)</f>
        <v>29087</v>
      </c>
      <c r="M135" s="146"/>
      <c r="N135" s="146">
        <f>H135+J135+L135</f>
        <v>190490</v>
      </c>
      <c r="O135" s="147"/>
      <c r="P135" s="193"/>
    </row>
    <row r="136" spans="2:16" ht="20.100000000000001" customHeight="1">
      <c r="B136" s="148"/>
      <c r="C136" s="149"/>
      <c r="D136" s="149"/>
      <c r="E136" s="150"/>
      <c r="F136" s="150"/>
      <c r="G136" s="151"/>
      <c r="H136" s="152"/>
      <c r="I136" s="151"/>
      <c r="J136" s="152"/>
      <c r="K136" s="151"/>
      <c r="L136" s="152"/>
      <c r="M136" s="153"/>
      <c r="N136" s="153"/>
      <c r="O136" s="154"/>
    </row>
    <row r="137" spans="2:16" s="195" customFormat="1" ht="20.100000000000001" customHeight="1">
      <c r="B137" s="131">
        <f>B130+1</f>
        <v>18</v>
      </c>
      <c r="C137" s="155" t="s">
        <v>799</v>
      </c>
      <c r="D137" s="164">
        <v>50</v>
      </c>
      <c r="E137" s="134">
        <v>1</v>
      </c>
      <c r="F137" s="135" t="s">
        <v>600</v>
      </c>
      <c r="G137" s="136"/>
      <c r="H137" s="136"/>
      <c r="I137" s="136"/>
      <c r="J137" s="136"/>
      <c r="K137" s="136"/>
      <c r="L137" s="136"/>
      <c r="M137" s="136"/>
      <c r="N137" s="136"/>
      <c r="O137" s="137" t="s">
        <v>0</v>
      </c>
      <c r="P137" s="194"/>
    </row>
    <row r="138" spans="2:16" s="196" customFormat="1" ht="19.5" customHeight="1">
      <c r="B138" s="117"/>
      <c r="C138" s="118" t="s">
        <v>628</v>
      </c>
      <c r="D138" s="128">
        <v>50</v>
      </c>
      <c r="E138" s="120">
        <v>1</v>
      </c>
      <c r="F138" s="121" t="s">
        <v>700</v>
      </c>
      <c r="G138" s="122">
        <v>0</v>
      </c>
      <c r="H138" s="123">
        <f t="shared" ref="H138:H144" si="25">TRUNC(G138*$E138,0)</f>
        <v>0</v>
      </c>
      <c r="I138" s="122">
        <f>J153</f>
        <v>203057</v>
      </c>
      <c r="J138" s="123">
        <f t="shared" ref="J138:J144" si="26">TRUNC(I138*$E138,0)</f>
        <v>203057</v>
      </c>
      <c r="K138" s="122">
        <v>411</v>
      </c>
      <c r="L138" s="123">
        <f t="shared" ref="L138:L144" si="27">TRUNC(K138*$E138,0)</f>
        <v>411</v>
      </c>
      <c r="M138" s="124">
        <f>G138+I138+K138</f>
        <v>203468</v>
      </c>
      <c r="N138" s="124">
        <f>H138+J138+L138</f>
        <v>203468</v>
      </c>
      <c r="O138" s="125">
        <f>B147</f>
        <v>19</v>
      </c>
      <c r="P138" s="193"/>
    </row>
    <row r="139" spans="2:16" s="196" customFormat="1" ht="20.100000000000001" customHeight="1">
      <c r="B139" s="117"/>
      <c r="C139" s="118" t="s">
        <v>629</v>
      </c>
      <c r="D139" s="128">
        <v>50</v>
      </c>
      <c r="E139" s="120">
        <v>1</v>
      </c>
      <c r="F139" s="121" t="s">
        <v>700</v>
      </c>
      <c r="G139" s="122">
        <v>147</v>
      </c>
      <c r="H139" s="123">
        <f t="shared" si="25"/>
        <v>147</v>
      </c>
      <c r="I139" s="122">
        <f>J160</f>
        <v>37082</v>
      </c>
      <c r="J139" s="123">
        <f t="shared" si="26"/>
        <v>37082</v>
      </c>
      <c r="K139" s="122">
        <v>1677</v>
      </c>
      <c r="L139" s="123">
        <f t="shared" si="27"/>
        <v>1677</v>
      </c>
      <c r="M139" s="124">
        <f t="shared" ref="M139:N145" si="28">G139+I139+K139</f>
        <v>38906</v>
      </c>
      <c r="N139" s="124">
        <f t="shared" si="28"/>
        <v>38906</v>
      </c>
      <c r="O139" s="125">
        <f>B155</f>
        <v>20</v>
      </c>
      <c r="P139" s="193"/>
    </row>
    <row r="140" spans="2:16" s="196" customFormat="1" ht="20.100000000000001" customHeight="1">
      <c r="B140" s="117"/>
      <c r="C140" s="118" t="s">
        <v>630</v>
      </c>
      <c r="D140" s="128">
        <v>50</v>
      </c>
      <c r="E140" s="120">
        <v>1</v>
      </c>
      <c r="F140" s="121" t="s">
        <v>700</v>
      </c>
      <c r="G140" s="122">
        <v>0</v>
      </c>
      <c r="H140" s="123">
        <f t="shared" si="25"/>
        <v>0</v>
      </c>
      <c r="I140" s="122">
        <f>J167</f>
        <v>108847</v>
      </c>
      <c r="J140" s="123">
        <f t="shared" si="26"/>
        <v>108847</v>
      </c>
      <c r="K140" s="122">
        <v>4818</v>
      </c>
      <c r="L140" s="123">
        <f t="shared" si="27"/>
        <v>4818</v>
      </c>
      <c r="M140" s="124">
        <f t="shared" si="28"/>
        <v>113665</v>
      </c>
      <c r="N140" s="124">
        <f t="shared" si="28"/>
        <v>113665</v>
      </c>
      <c r="O140" s="125">
        <f>B162</f>
        <v>21</v>
      </c>
      <c r="P140" s="193"/>
    </row>
    <row r="141" spans="2:16" s="196" customFormat="1" ht="20.100000000000001" customHeight="1">
      <c r="B141" s="117"/>
      <c r="C141" s="156" t="s">
        <v>631</v>
      </c>
      <c r="D141" s="128">
        <v>50</v>
      </c>
      <c r="E141" s="120">
        <v>1</v>
      </c>
      <c r="F141" s="121" t="s">
        <v>700</v>
      </c>
      <c r="G141" s="122">
        <v>150000</v>
      </c>
      <c r="H141" s="123">
        <f t="shared" si="25"/>
        <v>150000</v>
      </c>
      <c r="I141" s="122"/>
      <c r="J141" s="123">
        <f t="shared" si="26"/>
        <v>0</v>
      </c>
      <c r="K141" s="122"/>
      <c r="L141" s="123">
        <f t="shared" si="27"/>
        <v>0</v>
      </c>
      <c r="M141" s="124">
        <f t="shared" si="28"/>
        <v>150000</v>
      </c>
      <c r="N141" s="124">
        <f t="shared" si="28"/>
        <v>150000</v>
      </c>
      <c r="O141" s="125"/>
      <c r="P141" s="193"/>
    </row>
    <row r="142" spans="2:16" s="196" customFormat="1" ht="20.100000000000001" customHeight="1">
      <c r="B142" s="117"/>
      <c r="C142" s="156" t="s">
        <v>632</v>
      </c>
      <c r="D142" s="128">
        <v>50</v>
      </c>
      <c r="E142" s="120">
        <v>1</v>
      </c>
      <c r="F142" s="121" t="s">
        <v>759</v>
      </c>
      <c r="G142" s="122">
        <v>211000</v>
      </c>
      <c r="H142" s="123">
        <f t="shared" si="25"/>
        <v>211000</v>
      </c>
      <c r="I142" s="122"/>
      <c r="J142" s="123">
        <f t="shared" si="26"/>
        <v>0</v>
      </c>
      <c r="K142" s="122"/>
      <c r="L142" s="123">
        <f t="shared" si="27"/>
        <v>0</v>
      </c>
      <c r="M142" s="124">
        <f t="shared" si="28"/>
        <v>211000</v>
      </c>
      <c r="N142" s="124">
        <f t="shared" si="28"/>
        <v>211000</v>
      </c>
      <c r="O142" s="125"/>
      <c r="P142" s="193"/>
    </row>
    <row r="143" spans="2:16" s="196" customFormat="1" ht="20.100000000000001" customHeight="1">
      <c r="B143" s="117"/>
      <c r="C143" s="156" t="s">
        <v>633</v>
      </c>
      <c r="D143" s="128">
        <v>50</v>
      </c>
      <c r="E143" s="120">
        <v>1</v>
      </c>
      <c r="F143" s="121" t="s">
        <v>700</v>
      </c>
      <c r="G143" s="122">
        <v>50000</v>
      </c>
      <c r="H143" s="123">
        <f t="shared" si="25"/>
        <v>50000</v>
      </c>
      <c r="I143" s="122"/>
      <c r="J143" s="123">
        <f t="shared" si="26"/>
        <v>0</v>
      </c>
      <c r="K143" s="122"/>
      <c r="L143" s="123">
        <f t="shared" si="27"/>
        <v>0</v>
      </c>
      <c r="M143" s="124">
        <f t="shared" si="28"/>
        <v>50000</v>
      </c>
      <c r="N143" s="124">
        <f t="shared" si="28"/>
        <v>50000</v>
      </c>
      <c r="O143" s="125"/>
      <c r="P143" s="193"/>
    </row>
    <row r="144" spans="2:16" s="196" customFormat="1" ht="20.100000000000001" customHeight="1">
      <c r="B144" s="117"/>
      <c r="C144" s="156" t="s">
        <v>634</v>
      </c>
      <c r="D144" s="128">
        <v>50</v>
      </c>
      <c r="E144" s="120">
        <v>1</v>
      </c>
      <c r="F144" s="121" t="s">
        <v>759</v>
      </c>
      <c r="G144" s="122">
        <v>30000</v>
      </c>
      <c r="H144" s="123">
        <f t="shared" si="25"/>
        <v>30000</v>
      </c>
      <c r="I144" s="122"/>
      <c r="J144" s="123">
        <f t="shared" si="26"/>
        <v>0</v>
      </c>
      <c r="K144" s="122"/>
      <c r="L144" s="123">
        <f t="shared" si="27"/>
        <v>0</v>
      </c>
      <c r="M144" s="124">
        <f t="shared" si="28"/>
        <v>30000</v>
      </c>
      <c r="N144" s="124">
        <f t="shared" si="28"/>
        <v>30000</v>
      </c>
      <c r="O144" s="125"/>
      <c r="P144" s="193"/>
    </row>
    <row r="145" spans="2:16" s="196" customFormat="1" ht="20.100000000000001" customHeight="1">
      <c r="B145" s="140"/>
      <c r="C145" s="141" t="s">
        <v>698</v>
      </c>
      <c r="D145" s="142"/>
      <c r="E145" s="143"/>
      <c r="F145" s="143"/>
      <c r="G145" s="144"/>
      <c r="H145" s="145">
        <f>SUM(H138:H144)</f>
        <v>441147</v>
      </c>
      <c r="I145" s="144"/>
      <c r="J145" s="145">
        <f>SUM(J138:J144)</f>
        <v>348986</v>
      </c>
      <c r="K145" s="144"/>
      <c r="L145" s="145">
        <f>SUM(L138:L144)</f>
        <v>6906</v>
      </c>
      <c r="M145" s="146"/>
      <c r="N145" s="146">
        <f t="shared" si="28"/>
        <v>797039</v>
      </c>
      <c r="O145" s="147"/>
      <c r="P145" s="193"/>
    </row>
    <row r="146" spans="2:16" s="196" customFormat="1" ht="20.100000000000001" customHeight="1">
      <c r="B146" s="148"/>
      <c r="C146" s="149"/>
      <c r="D146" s="149"/>
      <c r="E146" s="150"/>
      <c r="F146" s="150"/>
      <c r="G146" s="151"/>
      <c r="H146" s="152"/>
      <c r="I146" s="151"/>
      <c r="J146" s="152"/>
      <c r="K146" s="151"/>
      <c r="L146" s="152"/>
      <c r="M146" s="153"/>
      <c r="N146" s="153"/>
      <c r="O146" s="154"/>
      <c r="P146" s="193"/>
    </row>
    <row r="147" spans="2:16" s="195" customFormat="1" ht="20.100000000000001" customHeight="1">
      <c r="B147" s="131">
        <f>B137+1</f>
        <v>19</v>
      </c>
      <c r="C147" s="155" t="s">
        <v>800</v>
      </c>
      <c r="D147" s="164">
        <v>50</v>
      </c>
      <c r="E147" s="134">
        <v>1</v>
      </c>
      <c r="F147" s="135" t="s">
        <v>600</v>
      </c>
      <c r="G147" s="136"/>
      <c r="H147" s="136"/>
      <c r="I147" s="136"/>
      <c r="J147" s="136"/>
      <c r="K147" s="136"/>
      <c r="L147" s="136"/>
      <c r="M147" s="136"/>
      <c r="N147" s="136"/>
      <c r="O147" s="137" t="s">
        <v>0</v>
      </c>
      <c r="P147" s="194"/>
    </row>
    <row r="148" spans="2:16" s="196" customFormat="1" ht="20.100000000000001" customHeight="1">
      <c r="B148" s="117"/>
      <c r="C148" s="156" t="s">
        <v>47</v>
      </c>
      <c r="D148" s="139"/>
      <c r="E148" s="120">
        <v>0.09</v>
      </c>
      <c r="F148" s="121" t="s">
        <v>704</v>
      </c>
      <c r="G148" s="122"/>
      <c r="H148" s="123">
        <f>TRUNC(G148*$E148,0)</f>
        <v>0</v>
      </c>
      <c r="I148" s="122">
        <f>노임!$D$28</f>
        <v>326240</v>
      </c>
      <c r="J148" s="123">
        <f>TRUNC(I148*$E148,0)</f>
        <v>29361</v>
      </c>
      <c r="K148" s="122"/>
      <c r="L148" s="123">
        <f>TRUNC(K148*$E148,0)</f>
        <v>0</v>
      </c>
      <c r="M148" s="124">
        <f t="shared" ref="M148:N152" si="29">G148+I148+K148</f>
        <v>326240</v>
      </c>
      <c r="N148" s="124">
        <f t="shared" si="29"/>
        <v>29361</v>
      </c>
      <c r="O148" s="157"/>
      <c r="P148" s="193"/>
    </row>
    <row r="149" spans="2:16" s="196" customFormat="1" ht="20.100000000000001" customHeight="1">
      <c r="B149" s="117"/>
      <c r="C149" s="156" t="s">
        <v>609</v>
      </c>
      <c r="D149" s="139"/>
      <c r="E149" s="120">
        <v>0.13</v>
      </c>
      <c r="F149" s="121" t="s">
        <v>765</v>
      </c>
      <c r="G149" s="122"/>
      <c r="H149" s="123">
        <f>TRUNC(G149*$E149,0)</f>
        <v>0</v>
      </c>
      <c r="I149" s="122">
        <f>노임!$D$24</f>
        <v>492337</v>
      </c>
      <c r="J149" s="123">
        <f>TRUNC(I149*$E149,0)</f>
        <v>64003</v>
      </c>
      <c r="K149" s="122"/>
      <c r="L149" s="123">
        <f>TRUNC(K149*$E149,0)</f>
        <v>0</v>
      </c>
      <c r="M149" s="124">
        <f t="shared" si="29"/>
        <v>492337</v>
      </c>
      <c r="N149" s="124">
        <f t="shared" si="29"/>
        <v>64003</v>
      </c>
      <c r="O149" s="157"/>
      <c r="P149" s="193"/>
    </row>
    <row r="150" spans="2:16" s="196" customFormat="1" ht="20.100000000000001" customHeight="1">
      <c r="B150" s="117"/>
      <c r="C150" s="156" t="s">
        <v>58</v>
      </c>
      <c r="D150" s="139"/>
      <c r="E150" s="120">
        <v>0.34</v>
      </c>
      <c r="F150" s="121" t="s">
        <v>765</v>
      </c>
      <c r="G150" s="122"/>
      <c r="H150" s="123">
        <f>TRUNC(G150*$E150,0)</f>
        <v>0</v>
      </c>
      <c r="I150" s="122">
        <f>노임!$D$17</f>
        <v>322627</v>
      </c>
      <c r="J150" s="123">
        <f>TRUNC(I150*$E150,0)</f>
        <v>109693</v>
      </c>
      <c r="K150" s="122"/>
      <c r="L150" s="123">
        <f>TRUNC(K150*$E150,0)</f>
        <v>0</v>
      </c>
      <c r="M150" s="124">
        <f t="shared" si="29"/>
        <v>322627</v>
      </c>
      <c r="N150" s="124">
        <f t="shared" si="29"/>
        <v>109693</v>
      </c>
      <c r="O150" s="157"/>
      <c r="P150" s="193"/>
    </row>
    <row r="151" spans="2:16" s="196" customFormat="1" ht="20.100000000000001" customHeight="1">
      <c r="B151" s="117"/>
      <c r="C151" s="156" t="s">
        <v>635</v>
      </c>
      <c r="D151" s="161"/>
      <c r="E151" s="120">
        <v>0.69</v>
      </c>
      <c r="F151" s="121" t="s">
        <v>773</v>
      </c>
      <c r="G151" s="122"/>
      <c r="H151" s="123">
        <f>TRUNC(G151*$E151,0)</f>
        <v>0</v>
      </c>
      <c r="I151" s="122"/>
      <c r="J151" s="123">
        <f>TRUNC(I151*$E151,0)</f>
        <v>0</v>
      </c>
      <c r="K151" s="122">
        <v>597</v>
      </c>
      <c r="L151" s="123">
        <f>TRUNC(K151*$E151,0)</f>
        <v>411</v>
      </c>
      <c r="M151" s="124">
        <f t="shared" si="29"/>
        <v>597</v>
      </c>
      <c r="N151" s="124">
        <f t="shared" si="29"/>
        <v>411</v>
      </c>
      <c r="O151" s="157"/>
      <c r="P151" s="193"/>
    </row>
    <row r="152" spans="2:16" s="196" customFormat="1" ht="20.100000000000001" customHeight="1">
      <c r="B152" s="117"/>
      <c r="C152" s="156" t="s">
        <v>627</v>
      </c>
      <c r="D152" s="161">
        <v>5</v>
      </c>
      <c r="E152" s="120">
        <v>0</v>
      </c>
      <c r="F152" s="121" t="s">
        <v>773</v>
      </c>
      <c r="G152" s="122"/>
      <c r="H152" s="123">
        <f>TRUNC(G152*$E152,0)</f>
        <v>0</v>
      </c>
      <c r="I152" s="122"/>
      <c r="J152" s="123">
        <f>TRUNC(I152*$E152,0)</f>
        <v>0</v>
      </c>
      <c r="K152" s="122">
        <v>69255</v>
      </c>
      <c r="L152" s="123">
        <f>TRUNC(K152*$E152,0)</f>
        <v>0</v>
      </c>
      <c r="M152" s="124">
        <f t="shared" si="29"/>
        <v>69255</v>
      </c>
      <c r="N152" s="124">
        <f t="shared" si="29"/>
        <v>0</v>
      </c>
      <c r="O152" s="157"/>
      <c r="P152" s="193"/>
    </row>
    <row r="153" spans="2:16" s="196" customFormat="1" ht="20.100000000000001" customHeight="1">
      <c r="B153" s="140"/>
      <c r="C153" s="141" t="s">
        <v>698</v>
      </c>
      <c r="D153" s="142"/>
      <c r="E153" s="143"/>
      <c r="F153" s="143"/>
      <c r="G153" s="144"/>
      <c r="H153" s="145">
        <f>SUM(H148:H152)</f>
        <v>0</v>
      </c>
      <c r="I153" s="144"/>
      <c r="J153" s="145">
        <f>SUM(J148:J152)</f>
        <v>203057</v>
      </c>
      <c r="K153" s="144"/>
      <c r="L153" s="145">
        <f>SUM(L148:L152)</f>
        <v>411</v>
      </c>
      <c r="M153" s="146"/>
      <c r="N153" s="146">
        <f>H153+J153+L153</f>
        <v>203468</v>
      </c>
      <c r="O153" s="147"/>
      <c r="P153" s="193"/>
    </row>
    <row r="154" spans="2:16" s="196" customFormat="1" ht="20.100000000000001" customHeight="1">
      <c r="B154" s="148"/>
      <c r="C154" s="149"/>
      <c r="D154" s="149"/>
      <c r="E154" s="150"/>
      <c r="F154" s="150"/>
      <c r="G154" s="151"/>
      <c r="H154" s="152"/>
      <c r="I154" s="151"/>
      <c r="J154" s="152"/>
      <c r="K154" s="151"/>
      <c r="L154" s="152"/>
      <c r="M154" s="153"/>
      <c r="N154" s="153"/>
      <c r="O154" s="154"/>
      <c r="P154" s="193"/>
    </row>
    <row r="155" spans="2:16" s="193" customFormat="1" ht="20.100000000000001" customHeight="1">
      <c r="B155" s="131">
        <f>B147+1</f>
        <v>20</v>
      </c>
      <c r="C155" s="155" t="s">
        <v>801</v>
      </c>
      <c r="D155" s="164">
        <v>50</v>
      </c>
      <c r="E155" s="134">
        <v>1</v>
      </c>
      <c r="F155" s="135" t="s">
        <v>600</v>
      </c>
      <c r="G155" s="136"/>
      <c r="H155" s="136"/>
      <c r="I155" s="136"/>
      <c r="J155" s="136"/>
      <c r="K155" s="136"/>
      <c r="L155" s="136"/>
      <c r="M155" s="136"/>
      <c r="N155" s="136"/>
      <c r="O155" s="137" t="s">
        <v>0</v>
      </c>
    </row>
    <row r="156" spans="2:16" s="193" customFormat="1" ht="19.5" customHeight="1">
      <c r="B156" s="117"/>
      <c r="C156" s="156" t="s">
        <v>610</v>
      </c>
      <c r="D156" s="139"/>
      <c r="E156" s="120">
        <v>7.0000000000000007E-2</v>
      </c>
      <c r="F156" s="121" t="s">
        <v>704</v>
      </c>
      <c r="G156" s="122"/>
      <c r="H156" s="123">
        <f>TRUNC(G156*$E156,0)</f>
        <v>0</v>
      </c>
      <c r="I156" s="122">
        <f>노임!$D$21</f>
        <v>529755</v>
      </c>
      <c r="J156" s="123">
        <f>TRUNC(I156*$E156,0)</f>
        <v>37082</v>
      </c>
      <c r="K156" s="122"/>
      <c r="L156" s="123">
        <f>TRUNC(K156*$E156,0)</f>
        <v>0</v>
      </c>
      <c r="M156" s="124">
        <f t="shared" ref="M156:N159" si="30">G156+I156+K156</f>
        <v>529755</v>
      </c>
      <c r="N156" s="124">
        <f t="shared" si="30"/>
        <v>37082</v>
      </c>
      <c r="O156" s="157"/>
    </row>
    <row r="157" spans="2:16" s="193" customFormat="1" ht="20.100000000000001" customHeight="1">
      <c r="B157" s="117"/>
      <c r="C157" s="156" t="s">
        <v>611</v>
      </c>
      <c r="D157" s="139"/>
      <c r="E157" s="120">
        <v>0.03</v>
      </c>
      <c r="F157" s="121" t="s">
        <v>706</v>
      </c>
      <c r="G157" s="122"/>
      <c r="H157" s="123">
        <f>TRUNC(G157*$E157,0)</f>
        <v>0</v>
      </c>
      <c r="I157" s="122"/>
      <c r="J157" s="123">
        <f>TRUNC(I157*$E157,0)</f>
        <v>0</v>
      </c>
      <c r="K157" s="122">
        <v>55756</v>
      </c>
      <c r="L157" s="123">
        <f>TRUNC(K157*$E157,0)</f>
        <v>1672</v>
      </c>
      <c r="M157" s="124">
        <f t="shared" si="30"/>
        <v>55756</v>
      </c>
      <c r="N157" s="124">
        <f t="shared" si="30"/>
        <v>1672</v>
      </c>
      <c r="O157" s="157"/>
    </row>
    <row r="158" spans="2:16" s="193" customFormat="1" ht="20.100000000000001" customHeight="1">
      <c r="B158" s="117"/>
      <c r="C158" s="156" t="s">
        <v>612</v>
      </c>
      <c r="D158" s="161"/>
      <c r="E158" s="120">
        <v>0.06</v>
      </c>
      <c r="F158" s="121" t="s">
        <v>773</v>
      </c>
      <c r="G158" s="122"/>
      <c r="H158" s="123">
        <f>TRUNC(G158*$E158,0)</f>
        <v>0</v>
      </c>
      <c r="I158" s="122"/>
      <c r="J158" s="123">
        <f>TRUNC(I158*$E158,0)</f>
        <v>0</v>
      </c>
      <c r="K158" s="122">
        <v>92</v>
      </c>
      <c r="L158" s="123">
        <f>TRUNC(K158*$E158,0)</f>
        <v>5</v>
      </c>
      <c r="M158" s="124">
        <f t="shared" si="30"/>
        <v>92</v>
      </c>
      <c r="N158" s="124">
        <f t="shared" si="30"/>
        <v>5</v>
      </c>
      <c r="O158" s="157"/>
    </row>
    <row r="159" spans="2:16" s="193" customFormat="1" ht="20.100000000000001" customHeight="1">
      <c r="B159" s="117"/>
      <c r="C159" s="156" t="s">
        <v>613</v>
      </c>
      <c r="D159" s="161"/>
      <c r="E159" s="120">
        <v>0.03</v>
      </c>
      <c r="F159" s="121" t="s">
        <v>775</v>
      </c>
      <c r="G159" s="122">
        <v>4900</v>
      </c>
      <c r="H159" s="123">
        <f>TRUNC(G159*$E159,0)</f>
        <v>147</v>
      </c>
      <c r="I159" s="122"/>
      <c r="J159" s="123">
        <f>TRUNC(I159*$E159,0)</f>
        <v>0</v>
      </c>
      <c r="K159" s="122"/>
      <c r="L159" s="123">
        <f>TRUNC(K159*$E159,0)</f>
        <v>0</v>
      </c>
      <c r="M159" s="124">
        <f t="shared" si="30"/>
        <v>4900</v>
      </c>
      <c r="N159" s="124">
        <f t="shared" si="30"/>
        <v>147</v>
      </c>
      <c r="O159" s="157"/>
    </row>
    <row r="160" spans="2:16" s="193" customFormat="1" ht="20.100000000000001" customHeight="1">
      <c r="B160" s="140"/>
      <c r="C160" s="141" t="s">
        <v>763</v>
      </c>
      <c r="D160" s="142"/>
      <c r="E160" s="143"/>
      <c r="F160" s="143"/>
      <c r="G160" s="144"/>
      <c r="H160" s="145">
        <f>SUM(H156:H159)</f>
        <v>147</v>
      </c>
      <c r="I160" s="144"/>
      <c r="J160" s="145">
        <f>SUM(J156:J159)</f>
        <v>37082</v>
      </c>
      <c r="K160" s="144"/>
      <c r="L160" s="145">
        <f>SUM(L156:L159)</f>
        <v>1677</v>
      </c>
      <c r="M160" s="146"/>
      <c r="N160" s="146">
        <f>H160+J160+L160</f>
        <v>38906</v>
      </c>
      <c r="O160" s="147"/>
    </row>
    <row r="161" spans="2:15" ht="20.100000000000001" customHeight="1">
      <c r="B161" s="148"/>
      <c r="C161" s="149"/>
      <c r="D161" s="149"/>
      <c r="E161" s="150"/>
      <c r="F161" s="150"/>
      <c r="G161" s="151"/>
      <c r="H161" s="152"/>
      <c r="I161" s="151"/>
      <c r="J161" s="152"/>
      <c r="K161" s="151"/>
      <c r="L161" s="152"/>
      <c r="M161" s="153"/>
      <c r="N161" s="153"/>
      <c r="O161" s="154"/>
    </row>
    <row r="162" spans="2:15" s="194" customFormat="1" ht="20.100000000000001" customHeight="1">
      <c r="B162" s="131">
        <f>B155+1</f>
        <v>21</v>
      </c>
      <c r="C162" s="155" t="s">
        <v>802</v>
      </c>
      <c r="D162" s="164">
        <v>50</v>
      </c>
      <c r="E162" s="134">
        <v>1</v>
      </c>
      <c r="F162" s="135" t="s">
        <v>600</v>
      </c>
      <c r="G162" s="136"/>
      <c r="H162" s="136"/>
      <c r="I162" s="136"/>
      <c r="J162" s="136"/>
      <c r="K162" s="136"/>
      <c r="L162" s="136"/>
      <c r="M162" s="136"/>
      <c r="N162" s="136"/>
      <c r="O162" s="137" t="s">
        <v>0</v>
      </c>
    </row>
    <row r="163" spans="2:15" s="193" customFormat="1" ht="20.100000000000001" customHeight="1">
      <c r="B163" s="117"/>
      <c r="C163" s="156" t="s">
        <v>47</v>
      </c>
      <c r="D163" s="139"/>
      <c r="E163" s="120">
        <v>0.05</v>
      </c>
      <c r="F163" s="121" t="s">
        <v>704</v>
      </c>
      <c r="G163" s="122"/>
      <c r="H163" s="123">
        <f>TRUNC(G163*$E163,0)</f>
        <v>0</v>
      </c>
      <c r="I163" s="122">
        <f>노임!$D$28</f>
        <v>326240</v>
      </c>
      <c r="J163" s="123">
        <f>TRUNC(I163*$E163,0)</f>
        <v>16312</v>
      </c>
      <c r="K163" s="122"/>
      <c r="L163" s="123">
        <f>TRUNC(K163*$E163,0)</f>
        <v>0</v>
      </c>
      <c r="M163" s="124">
        <f t="shared" ref="M163:N166" si="31">G163+I163+K163</f>
        <v>326240</v>
      </c>
      <c r="N163" s="124">
        <f t="shared" si="31"/>
        <v>16312</v>
      </c>
      <c r="O163" s="157"/>
    </row>
    <row r="164" spans="2:15" s="193" customFormat="1" ht="20.100000000000001" customHeight="1">
      <c r="B164" s="117"/>
      <c r="C164" s="156" t="s">
        <v>609</v>
      </c>
      <c r="D164" s="139"/>
      <c r="E164" s="120">
        <v>7.0000000000000007E-2</v>
      </c>
      <c r="F164" s="121" t="s">
        <v>704</v>
      </c>
      <c r="G164" s="122"/>
      <c r="H164" s="123">
        <f>TRUNC(G164*$E164,0)</f>
        <v>0</v>
      </c>
      <c r="I164" s="122">
        <f>노임!$D$24</f>
        <v>492337</v>
      </c>
      <c r="J164" s="123">
        <f>TRUNC(I164*$E164,0)</f>
        <v>34463</v>
      </c>
      <c r="K164" s="122"/>
      <c r="L164" s="123">
        <f>TRUNC(K164*$E164,0)</f>
        <v>0</v>
      </c>
      <c r="M164" s="124">
        <f t="shared" si="31"/>
        <v>492337</v>
      </c>
      <c r="N164" s="124">
        <f t="shared" si="31"/>
        <v>34463</v>
      </c>
      <c r="O164" s="157"/>
    </row>
    <row r="165" spans="2:15" s="193" customFormat="1" ht="20.100000000000001" customHeight="1">
      <c r="B165" s="117"/>
      <c r="C165" s="156" t="s">
        <v>58</v>
      </c>
      <c r="D165" s="139"/>
      <c r="E165" s="120">
        <v>0.18</v>
      </c>
      <c r="F165" s="121" t="s">
        <v>704</v>
      </c>
      <c r="G165" s="122"/>
      <c r="H165" s="123">
        <f>TRUNC(G165*$E165,0)</f>
        <v>0</v>
      </c>
      <c r="I165" s="122">
        <f>노임!$D$17</f>
        <v>322627</v>
      </c>
      <c r="J165" s="123">
        <f>TRUNC(I165*$E165,0)</f>
        <v>58072</v>
      </c>
      <c r="K165" s="122"/>
      <c r="L165" s="123">
        <f>TRUNC(K165*$E165,0)</f>
        <v>0</v>
      </c>
      <c r="M165" s="124">
        <f t="shared" si="31"/>
        <v>322627</v>
      </c>
      <c r="N165" s="124">
        <f t="shared" si="31"/>
        <v>58072</v>
      </c>
      <c r="O165" s="157"/>
    </row>
    <row r="166" spans="2:15" s="193" customFormat="1" ht="20.100000000000001" customHeight="1">
      <c r="B166" s="117"/>
      <c r="C166" s="156" t="s">
        <v>636</v>
      </c>
      <c r="D166" s="128">
        <v>50</v>
      </c>
      <c r="E166" s="120">
        <v>0.35</v>
      </c>
      <c r="F166" s="121" t="s">
        <v>706</v>
      </c>
      <c r="G166" s="122"/>
      <c r="H166" s="123">
        <f>TRUNC(G166*$E166,0)</f>
        <v>0</v>
      </c>
      <c r="I166" s="122"/>
      <c r="J166" s="123">
        <f>TRUNC(I166*$E166,0)</f>
        <v>0</v>
      </c>
      <c r="K166" s="122">
        <v>13768</v>
      </c>
      <c r="L166" s="123">
        <f>TRUNC(K166*$E166,0)</f>
        <v>4818</v>
      </c>
      <c r="M166" s="124">
        <f t="shared" si="31"/>
        <v>13768</v>
      </c>
      <c r="N166" s="124">
        <f t="shared" si="31"/>
        <v>4818</v>
      </c>
      <c r="O166" s="157"/>
    </row>
    <row r="167" spans="2:15" s="193" customFormat="1" ht="20.100000000000001" customHeight="1">
      <c r="B167" s="140"/>
      <c r="C167" s="141" t="s">
        <v>698</v>
      </c>
      <c r="D167" s="142"/>
      <c r="E167" s="143"/>
      <c r="F167" s="143"/>
      <c r="G167" s="144"/>
      <c r="H167" s="145">
        <f>SUM(H163:H166)</f>
        <v>0</v>
      </c>
      <c r="I167" s="144"/>
      <c r="J167" s="145">
        <f>SUM(J163:J166)</f>
        <v>108847</v>
      </c>
      <c r="K167" s="144"/>
      <c r="L167" s="145">
        <f>SUM(L163:L166)</f>
        <v>4818</v>
      </c>
      <c r="M167" s="146"/>
      <c r="N167" s="146">
        <f>H167+J167+L167</f>
        <v>113665</v>
      </c>
      <c r="O167" s="147"/>
    </row>
    <row r="168" spans="2:15" ht="20.100000000000001" customHeight="1">
      <c r="B168" s="148"/>
      <c r="C168" s="149"/>
      <c r="D168" s="149"/>
      <c r="E168" s="150"/>
      <c r="F168" s="150"/>
      <c r="G168" s="151"/>
      <c r="H168" s="152"/>
      <c r="I168" s="151"/>
      <c r="J168" s="152"/>
      <c r="K168" s="151"/>
      <c r="L168" s="152"/>
      <c r="M168" s="153"/>
      <c r="N168" s="153"/>
      <c r="O168" s="154"/>
    </row>
    <row r="169" spans="2:15" s="194" customFormat="1" ht="20.100000000000001" customHeight="1">
      <c r="B169" s="131">
        <f>B162+1</f>
        <v>22</v>
      </c>
      <c r="C169" s="155" t="s">
        <v>803</v>
      </c>
      <c r="D169" s="133">
        <v>700</v>
      </c>
      <c r="E169" s="134">
        <v>1</v>
      </c>
      <c r="F169" s="135" t="s">
        <v>600</v>
      </c>
      <c r="G169" s="136"/>
      <c r="H169" s="136"/>
      <c r="I169" s="136"/>
      <c r="J169" s="136"/>
      <c r="K169" s="136"/>
      <c r="L169" s="136"/>
      <c r="M169" s="136"/>
      <c r="N169" s="136"/>
      <c r="O169" s="137" t="s">
        <v>0</v>
      </c>
    </row>
    <row r="170" spans="2:15" s="193" customFormat="1" ht="19.5" customHeight="1">
      <c r="B170" s="117"/>
      <c r="C170" s="118" t="s">
        <v>637</v>
      </c>
      <c r="D170" s="119">
        <v>700</v>
      </c>
      <c r="E170" s="120">
        <v>1</v>
      </c>
      <c r="F170" s="121" t="s">
        <v>759</v>
      </c>
      <c r="G170" s="122">
        <v>0</v>
      </c>
      <c r="H170" s="123">
        <f t="shared" ref="H170:H176" si="32">TRUNC(G170*$E170,0)</f>
        <v>0</v>
      </c>
      <c r="I170" s="122">
        <f>J184</f>
        <v>1790909</v>
      </c>
      <c r="J170" s="123">
        <f t="shared" ref="J170:J176" si="33">TRUNC(I170*$E170,0)</f>
        <v>1790909</v>
      </c>
      <c r="K170" s="122">
        <v>437298</v>
      </c>
      <c r="L170" s="123">
        <f t="shared" ref="L170:L176" si="34">TRUNC(K170*$E170,0)</f>
        <v>437298</v>
      </c>
      <c r="M170" s="124">
        <f t="shared" ref="M170:N176" si="35">G170+I170+K170</f>
        <v>2228207</v>
      </c>
      <c r="N170" s="124">
        <f t="shared" si="35"/>
        <v>2228207</v>
      </c>
      <c r="O170" s="125">
        <f>B179</f>
        <v>23</v>
      </c>
    </row>
    <row r="171" spans="2:15" s="193" customFormat="1" ht="20.100000000000001" customHeight="1">
      <c r="B171" s="117"/>
      <c r="C171" s="118" t="s">
        <v>804</v>
      </c>
      <c r="D171" s="119">
        <v>700</v>
      </c>
      <c r="E171" s="120">
        <v>37.96</v>
      </c>
      <c r="F171" s="121" t="s">
        <v>706</v>
      </c>
      <c r="G171" s="122"/>
      <c r="H171" s="123">
        <f t="shared" si="32"/>
        <v>0</v>
      </c>
      <c r="I171" s="122"/>
      <c r="J171" s="123">
        <f t="shared" si="33"/>
        <v>0</v>
      </c>
      <c r="K171" s="122">
        <v>44563</v>
      </c>
      <c r="L171" s="123">
        <f t="shared" si="34"/>
        <v>1691611</v>
      </c>
      <c r="M171" s="124">
        <f t="shared" si="35"/>
        <v>44563</v>
      </c>
      <c r="N171" s="124">
        <f t="shared" si="35"/>
        <v>1691611</v>
      </c>
      <c r="O171" s="125"/>
    </row>
    <row r="172" spans="2:15" s="193" customFormat="1" ht="20.100000000000001" customHeight="1">
      <c r="B172" s="117"/>
      <c r="C172" s="118" t="s">
        <v>638</v>
      </c>
      <c r="D172" s="119">
        <v>700</v>
      </c>
      <c r="E172" s="120">
        <v>2.31</v>
      </c>
      <c r="F172" s="121" t="s">
        <v>706</v>
      </c>
      <c r="G172" s="122">
        <v>19725</v>
      </c>
      <c r="H172" s="123">
        <f t="shared" si="32"/>
        <v>45564</v>
      </c>
      <c r="I172" s="122">
        <v>0</v>
      </c>
      <c r="J172" s="123">
        <f t="shared" si="33"/>
        <v>0</v>
      </c>
      <c r="K172" s="122">
        <v>0</v>
      </c>
      <c r="L172" s="123">
        <f t="shared" si="34"/>
        <v>0</v>
      </c>
      <c r="M172" s="124">
        <f t="shared" si="35"/>
        <v>19725</v>
      </c>
      <c r="N172" s="124">
        <f t="shared" si="35"/>
        <v>45564</v>
      </c>
      <c r="O172" s="125">
        <f>B186</f>
        <v>24</v>
      </c>
    </row>
    <row r="173" spans="2:15" s="193" customFormat="1" ht="20.100000000000001" customHeight="1">
      <c r="B173" s="117"/>
      <c r="C173" s="118" t="s">
        <v>639</v>
      </c>
      <c r="D173" s="119">
        <v>700</v>
      </c>
      <c r="E173" s="120">
        <v>14.330000000000002</v>
      </c>
      <c r="F173" s="121" t="s">
        <v>706</v>
      </c>
      <c r="G173" s="122">
        <v>0</v>
      </c>
      <c r="H173" s="123">
        <f t="shared" si="32"/>
        <v>0</v>
      </c>
      <c r="I173" s="122">
        <f>J193</f>
        <v>81560</v>
      </c>
      <c r="J173" s="123">
        <f t="shared" si="33"/>
        <v>1168754</v>
      </c>
      <c r="K173" s="122">
        <v>0</v>
      </c>
      <c r="L173" s="123">
        <f t="shared" si="34"/>
        <v>0</v>
      </c>
      <c r="M173" s="124">
        <f t="shared" si="35"/>
        <v>81560</v>
      </c>
      <c r="N173" s="124">
        <f t="shared" si="35"/>
        <v>1168754</v>
      </c>
      <c r="O173" s="125">
        <f>B191</f>
        <v>25</v>
      </c>
    </row>
    <row r="174" spans="2:15" s="193" customFormat="1" ht="20.100000000000001" customHeight="1">
      <c r="B174" s="117"/>
      <c r="C174" s="118" t="s">
        <v>640</v>
      </c>
      <c r="D174" s="119">
        <v>700</v>
      </c>
      <c r="E174" s="120">
        <v>1</v>
      </c>
      <c r="F174" s="121" t="s">
        <v>700</v>
      </c>
      <c r="G174" s="122">
        <v>0</v>
      </c>
      <c r="H174" s="123">
        <f t="shared" si="32"/>
        <v>0</v>
      </c>
      <c r="I174" s="122">
        <f>J200</f>
        <v>719297</v>
      </c>
      <c r="J174" s="123">
        <f t="shared" si="33"/>
        <v>719297</v>
      </c>
      <c r="K174" s="122">
        <v>174738</v>
      </c>
      <c r="L174" s="123">
        <f t="shared" si="34"/>
        <v>174738</v>
      </c>
      <c r="M174" s="124">
        <f t="shared" si="35"/>
        <v>894035</v>
      </c>
      <c r="N174" s="124">
        <f t="shared" si="35"/>
        <v>894035</v>
      </c>
      <c r="O174" s="125">
        <f>B195</f>
        <v>26</v>
      </c>
    </row>
    <row r="175" spans="2:15" s="193" customFormat="1" ht="20.100000000000001" customHeight="1">
      <c r="B175" s="117"/>
      <c r="C175" s="156" t="s">
        <v>641</v>
      </c>
      <c r="D175" s="119">
        <v>700</v>
      </c>
      <c r="E175" s="120">
        <v>1</v>
      </c>
      <c r="F175" s="121" t="s">
        <v>700</v>
      </c>
      <c r="G175" s="122">
        <v>3209000</v>
      </c>
      <c r="H175" s="123">
        <f t="shared" si="32"/>
        <v>3209000</v>
      </c>
      <c r="I175" s="122"/>
      <c r="J175" s="123">
        <f t="shared" si="33"/>
        <v>0</v>
      </c>
      <c r="K175" s="122"/>
      <c r="L175" s="123">
        <f t="shared" si="34"/>
        <v>0</v>
      </c>
      <c r="M175" s="124">
        <f t="shared" si="35"/>
        <v>3209000</v>
      </c>
      <c r="N175" s="124">
        <f t="shared" si="35"/>
        <v>3209000</v>
      </c>
      <c r="O175" s="157"/>
    </row>
    <row r="176" spans="2:15" s="193" customFormat="1" ht="20.100000000000001" customHeight="1">
      <c r="B176" s="117"/>
      <c r="C176" s="156" t="s">
        <v>530</v>
      </c>
      <c r="D176" s="119">
        <v>700</v>
      </c>
      <c r="E176" s="120">
        <v>1</v>
      </c>
      <c r="F176" s="121" t="s">
        <v>700</v>
      </c>
      <c r="G176" s="122">
        <v>136480</v>
      </c>
      <c r="H176" s="123">
        <f t="shared" si="32"/>
        <v>136480</v>
      </c>
      <c r="I176" s="122"/>
      <c r="J176" s="123">
        <f t="shared" si="33"/>
        <v>0</v>
      </c>
      <c r="K176" s="122"/>
      <c r="L176" s="123">
        <f t="shared" si="34"/>
        <v>0</v>
      </c>
      <c r="M176" s="124">
        <f t="shared" si="35"/>
        <v>136480</v>
      </c>
      <c r="N176" s="124">
        <f t="shared" si="35"/>
        <v>136480</v>
      </c>
      <c r="O176" s="157"/>
    </row>
    <row r="177" spans="2:15" s="193" customFormat="1" ht="20.100000000000001" customHeight="1">
      <c r="B177" s="140"/>
      <c r="C177" s="141" t="s">
        <v>698</v>
      </c>
      <c r="D177" s="142"/>
      <c r="E177" s="143"/>
      <c r="F177" s="143"/>
      <c r="G177" s="144"/>
      <c r="H177" s="145">
        <f>SUM(H170:H176)</f>
        <v>3391044</v>
      </c>
      <c r="I177" s="144"/>
      <c r="J177" s="145">
        <f>SUM(J170:J175)</f>
        <v>3678960</v>
      </c>
      <c r="K177" s="144"/>
      <c r="L177" s="145">
        <f>SUM(L170:L175)</f>
        <v>2303647</v>
      </c>
      <c r="M177" s="146"/>
      <c r="N177" s="146">
        <f>H177+J177+L177</f>
        <v>9373651</v>
      </c>
      <c r="O177" s="147"/>
    </row>
    <row r="178" spans="2:15" s="193" customFormat="1" ht="20.100000000000001" customHeight="1">
      <c r="B178" s="148"/>
      <c r="C178" s="149"/>
      <c r="D178" s="149"/>
      <c r="E178" s="150"/>
      <c r="F178" s="150"/>
      <c r="G178" s="151"/>
      <c r="H178" s="152"/>
      <c r="I178" s="151"/>
      <c r="J178" s="152"/>
      <c r="K178" s="151"/>
      <c r="L178" s="152"/>
      <c r="M178" s="153"/>
      <c r="N178" s="153"/>
      <c r="O178" s="154"/>
    </row>
    <row r="179" spans="2:15" s="194" customFormat="1" ht="20.100000000000001" customHeight="1">
      <c r="B179" s="131">
        <f>B169+1</f>
        <v>23</v>
      </c>
      <c r="C179" s="155" t="s">
        <v>805</v>
      </c>
      <c r="D179" s="133">
        <v>700</v>
      </c>
      <c r="E179" s="134">
        <v>1</v>
      </c>
      <c r="F179" s="135" t="s">
        <v>600</v>
      </c>
      <c r="G179" s="136"/>
      <c r="H179" s="136"/>
      <c r="I179" s="136"/>
      <c r="J179" s="136"/>
      <c r="K179" s="136"/>
      <c r="L179" s="136"/>
      <c r="M179" s="136"/>
      <c r="N179" s="136"/>
      <c r="O179" s="137" t="s">
        <v>0</v>
      </c>
    </row>
    <row r="180" spans="2:15" s="193" customFormat="1" ht="20.100000000000001" customHeight="1">
      <c r="B180" s="117"/>
      <c r="C180" s="156" t="s">
        <v>47</v>
      </c>
      <c r="D180" s="139"/>
      <c r="E180" s="120">
        <v>0.28999999999999998</v>
      </c>
      <c r="F180" s="121" t="s">
        <v>765</v>
      </c>
      <c r="G180" s="122"/>
      <c r="H180" s="123">
        <f>TRUNC(G180*$E180,0)</f>
        <v>0</v>
      </c>
      <c r="I180" s="122">
        <f>노임!$D$28</f>
        <v>326240</v>
      </c>
      <c r="J180" s="123">
        <f>TRUNC(I180*$E180,0)</f>
        <v>94609</v>
      </c>
      <c r="K180" s="122"/>
      <c r="L180" s="123">
        <f>TRUNC(K180*$E180,0)</f>
        <v>0</v>
      </c>
      <c r="M180" s="124">
        <f t="shared" ref="M180:N183" si="36">G180+I180+K180</f>
        <v>326240</v>
      </c>
      <c r="N180" s="124">
        <f t="shared" si="36"/>
        <v>94609</v>
      </c>
      <c r="O180" s="157"/>
    </row>
    <row r="181" spans="2:15" s="193" customFormat="1" ht="20.100000000000001" customHeight="1">
      <c r="B181" s="117"/>
      <c r="C181" s="156" t="s">
        <v>609</v>
      </c>
      <c r="D181" s="139"/>
      <c r="E181" s="120">
        <v>2.2200000000000002</v>
      </c>
      <c r="F181" s="121" t="s">
        <v>765</v>
      </c>
      <c r="G181" s="122"/>
      <c r="H181" s="123">
        <f>TRUNC(G181*$E181,0)</f>
        <v>0</v>
      </c>
      <c r="I181" s="122">
        <f>노임!$D$24</f>
        <v>492337</v>
      </c>
      <c r="J181" s="123">
        <f>TRUNC(I181*$E181,0)</f>
        <v>1092988</v>
      </c>
      <c r="K181" s="122"/>
      <c r="L181" s="123">
        <f>TRUNC(K181*$E181,0)</f>
        <v>0</v>
      </c>
      <c r="M181" s="124">
        <f t="shared" si="36"/>
        <v>492337</v>
      </c>
      <c r="N181" s="124">
        <f t="shared" si="36"/>
        <v>1092988</v>
      </c>
      <c r="O181" s="157"/>
    </row>
    <row r="182" spans="2:15" s="193" customFormat="1" ht="20.100000000000001" customHeight="1">
      <c r="B182" s="117"/>
      <c r="C182" s="156" t="s">
        <v>58</v>
      </c>
      <c r="D182" s="139"/>
      <c r="E182" s="120">
        <v>1.87</v>
      </c>
      <c r="F182" s="121" t="s">
        <v>765</v>
      </c>
      <c r="G182" s="122"/>
      <c r="H182" s="123">
        <f>TRUNC(G182*$E182,0)</f>
        <v>0</v>
      </c>
      <c r="I182" s="122">
        <f>노임!$D$17</f>
        <v>322627</v>
      </c>
      <c r="J182" s="123">
        <f>TRUNC(I182*$E182,0)</f>
        <v>603312</v>
      </c>
      <c r="K182" s="122"/>
      <c r="L182" s="123">
        <f>TRUNC(K182*$E182,0)</f>
        <v>0</v>
      </c>
      <c r="M182" s="124">
        <f t="shared" si="36"/>
        <v>322627</v>
      </c>
      <c r="N182" s="124">
        <f t="shared" si="36"/>
        <v>603312</v>
      </c>
      <c r="O182" s="157"/>
    </row>
    <row r="183" spans="2:15" s="193" customFormat="1" ht="20.100000000000001" customHeight="1">
      <c r="B183" s="117"/>
      <c r="C183" s="156" t="s">
        <v>705</v>
      </c>
      <c r="D183" s="161">
        <v>10</v>
      </c>
      <c r="E183" s="120">
        <v>4.83</v>
      </c>
      <c r="F183" s="121" t="s">
        <v>706</v>
      </c>
      <c r="G183" s="122"/>
      <c r="H183" s="123">
        <f>TRUNC(G183*$E183,0)</f>
        <v>0</v>
      </c>
      <c r="I183" s="122"/>
      <c r="J183" s="123">
        <f>TRUNC(I183*$E183,0)</f>
        <v>0</v>
      </c>
      <c r="K183" s="122">
        <v>90538</v>
      </c>
      <c r="L183" s="123">
        <f>TRUNC(K183*$E183,0)</f>
        <v>437298</v>
      </c>
      <c r="M183" s="124">
        <f t="shared" si="36"/>
        <v>90538</v>
      </c>
      <c r="N183" s="124">
        <f t="shared" si="36"/>
        <v>437298</v>
      </c>
      <c r="O183" s="157"/>
    </row>
    <row r="184" spans="2:15" s="193" customFormat="1" ht="20.100000000000001" customHeight="1">
      <c r="B184" s="140"/>
      <c r="C184" s="141" t="s">
        <v>763</v>
      </c>
      <c r="D184" s="142"/>
      <c r="E184" s="143"/>
      <c r="F184" s="143"/>
      <c r="G184" s="144"/>
      <c r="H184" s="145">
        <f>SUM(H180:H183)</f>
        <v>0</v>
      </c>
      <c r="I184" s="144"/>
      <c r="J184" s="145">
        <f>SUM(J180:J183)</f>
        <v>1790909</v>
      </c>
      <c r="K184" s="144"/>
      <c r="L184" s="145">
        <f>SUM(L180:L183)</f>
        <v>437298</v>
      </c>
      <c r="M184" s="146"/>
      <c r="N184" s="146">
        <f>H184+J184+L184</f>
        <v>2228207</v>
      </c>
      <c r="O184" s="147"/>
    </row>
    <row r="185" spans="2:15" ht="20.100000000000001" customHeight="1">
      <c r="B185" s="148"/>
      <c r="C185" s="149"/>
      <c r="D185" s="149"/>
      <c r="E185" s="150"/>
      <c r="F185" s="150"/>
      <c r="G185" s="151"/>
      <c r="H185" s="152"/>
      <c r="I185" s="151"/>
      <c r="J185" s="152"/>
      <c r="K185" s="151"/>
      <c r="L185" s="152"/>
      <c r="M185" s="153"/>
      <c r="N185" s="153"/>
      <c r="O185" s="154"/>
    </row>
    <row r="186" spans="2:15" s="194" customFormat="1" ht="20.100000000000001" customHeight="1">
      <c r="B186" s="131">
        <f>B179+1</f>
        <v>24</v>
      </c>
      <c r="C186" s="155" t="s">
        <v>806</v>
      </c>
      <c r="D186" s="133">
        <v>700</v>
      </c>
      <c r="E186" s="134">
        <v>1</v>
      </c>
      <c r="F186" s="135" t="s">
        <v>706</v>
      </c>
      <c r="G186" s="136"/>
      <c r="H186" s="136"/>
      <c r="I186" s="136"/>
      <c r="J186" s="136"/>
      <c r="K186" s="136"/>
      <c r="L186" s="136"/>
      <c r="M186" s="136"/>
      <c r="N186" s="136"/>
      <c r="O186" s="137" t="s">
        <v>0</v>
      </c>
    </row>
    <row r="187" spans="2:15" s="193" customFormat="1" ht="20.100000000000001" customHeight="1">
      <c r="B187" s="117"/>
      <c r="C187" s="156" t="s">
        <v>625</v>
      </c>
      <c r="D187" s="127" t="s">
        <v>789</v>
      </c>
      <c r="E187" s="120">
        <v>10.3</v>
      </c>
      <c r="F187" s="121" t="s">
        <v>790</v>
      </c>
      <c r="G187" s="122">
        <v>1596</v>
      </c>
      <c r="H187" s="123">
        <f>TRUNC(G187*$E187,0)</f>
        <v>16438</v>
      </c>
      <c r="I187" s="122"/>
      <c r="J187" s="123">
        <f>TRUNC(I187*$E187,0)</f>
        <v>0</v>
      </c>
      <c r="K187" s="122"/>
      <c r="L187" s="123">
        <f>TRUNC(K187*$E187,0)</f>
        <v>0</v>
      </c>
      <c r="M187" s="124">
        <f>G187+I187+K187</f>
        <v>1596</v>
      </c>
      <c r="N187" s="124">
        <f>H187+J187+L187</f>
        <v>16438</v>
      </c>
      <c r="O187" s="157"/>
    </row>
    <row r="188" spans="2:15" s="193" customFormat="1" ht="20.100000000000001" customHeight="1">
      <c r="B188" s="117"/>
      <c r="C188" s="156" t="s">
        <v>626</v>
      </c>
      <c r="D188" s="139" t="s">
        <v>714</v>
      </c>
      <c r="E188" s="158">
        <v>0.2</v>
      </c>
      <c r="F188" s="121"/>
      <c r="G188" s="122">
        <v>16438</v>
      </c>
      <c r="H188" s="123">
        <f>TRUNC(G188*$E188,0)</f>
        <v>3287</v>
      </c>
      <c r="I188" s="122"/>
      <c r="J188" s="123">
        <f>TRUNC(I188*$E188,0)</f>
        <v>0</v>
      </c>
      <c r="K188" s="122"/>
      <c r="L188" s="123">
        <f>TRUNC(K188*$E188,0)</f>
        <v>0</v>
      </c>
      <c r="M188" s="124">
        <f>G188+I188+K188</f>
        <v>16438</v>
      </c>
      <c r="N188" s="124">
        <f>H188+J188+L188</f>
        <v>3287</v>
      </c>
      <c r="O188" s="157"/>
    </row>
    <row r="189" spans="2:15" s="193" customFormat="1" ht="20.100000000000001" customHeight="1">
      <c r="B189" s="140"/>
      <c r="C189" s="141" t="s">
        <v>698</v>
      </c>
      <c r="D189" s="142"/>
      <c r="E189" s="143"/>
      <c r="F189" s="143"/>
      <c r="G189" s="144"/>
      <c r="H189" s="145">
        <f>SUM(H187:H188)</f>
        <v>19725</v>
      </c>
      <c r="I189" s="144"/>
      <c r="J189" s="145">
        <f>SUM(J187:J188)</f>
        <v>0</v>
      </c>
      <c r="K189" s="144"/>
      <c r="L189" s="145">
        <f>SUM(L187:L188)</f>
        <v>0</v>
      </c>
      <c r="M189" s="146"/>
      <c r="N189" s="146">
        <f>H189+J189+L189</f>
        <v>19725</v>
      </c>
      <c r="O189" s="147"/>
    </row>
    <row r="190" spans="2:15" s="193" customFormat="1" ht="20.100000000000001" customHeight="1">
      <c r="B190" s="148"/>
      <c r="C190" s="149"/>
      <c r="D190" s="149"/>
      <c r="E190" s="150"/>
      <c r="F190" s="150"/>
      <c r="G190" s="151"/>
      <c r="H190" s="152"/>
      <c r="I190" s="151"/>
      <c r="J190" s="152"/>
      <c r="K190" s="151"/>
      <c r="L190" s="152"/>
      <c r="M190" s="153"/>
      <c r="N190" s="153"/>
      <c r="O190" s="154"/>
    </row>
    <row r="191" spans="2:15" s="194" customFormat="1" ht="20.100000000000001" customHeight="1">
      <c r="B191" s="131">
        <f>B186+1</f>
        <v>25</v>
      </c>
      <c r="C191" s="155" t="s">
        <v>807</v>
      </c>
      <c r="D191" s="133">
        <v>700</v>
      </c>
      <c r="E191" s="134">
        <v>1</v>
      </c>
      <c r="F191" s="135" t="s">
        <v>773</v>
      </c>
      <c r="G191" s="136"/>
      <c r="H191" s="136"/>
      <c r="I191" s="136"/>
      <c r="J191" s="136"/>
      <c r="K191" s="136"/>
      <c r="L191" s="136"/>
      <c r="M191" s="136"/>
      <c r="N191" s="136"/>
      <c r="O191" s="137" t="s">
        <v>0</v>
      </c>
    </row>
    <row r="192" spans="2:15" s="193" customFormat="1" ht="20.100000000000001" customHeight="1">
      <c r="B192" s="117"/>
      <c r="C192" s="156" t="s">
        <v>47</v>
      </c>
      <c r="D192" s="139"/>
      <c r="E192" s="120">
        <v>0.25</v>
      </c>
      <c r="F192" s="121" t="s">
        <v>765</v>
      </c>
      <c r="G192" s="122"/>
      <c r="H192" s="123">
        <f>TRUNC(G192*$E192,0)</f>
        <v>0</v>
      </c>
      <c r="I192" s="122">
        <f>노임!$D$28</f>
        <v>326240</v>
      </c>
      <c r="J192" s="123">
        <f>TRUNC(I192*$E192,0)</f>
        <v>81560</v>
      </c>
      <c r="K192" s="122"/>
      <c r="L192" s="123">
        <f>TRUNC(K192*$E192,0)</f>
        <v>0</v>
      </c>
      <c r="M192" s="124">
        <f>G192+I192+K192</f>
        <v>326240</v>
      </c>
      <c r="N192" s="124">
        <f>H192+J192+L192</f>
        <v>81560</v>
      </c>
      <c r="O192" s="157"/>
    </row>
    <row r="193" spans="2:15" s="193" customFormat="1" ht="20.100000000000001" customHeight="1">
      <c r="B193" s="140"/>
      <c r="C193" s="141" t="s">
        <v>763</v>
      </c>
      <c r="D193" s="142"/>
      <c r="E193" s="143"/>
      <c r="F193" s="143"/>
      <c r="G193" s="144"/>
      <c r="H193" s="145">
        <f>SUM(H192:H192)</f>
        <v>0</v>
      </c>
      <c r="I193" s="144"/>
      <c r="J193" s="145">
        <f>SUM(J192:J192)</f>
        <v>81560</v>
      </c>
      <c r="K193" s="144"/>
      <c r="L193" s="145">
        <f>SUM(L192:L192)</f>
        <v>0</v>
      </c>
      <c r="M193" s="146"/>
      <c r="N193" s="146">
        <f>H193+J193+L193</f>
        <v>81560</v>
      </c>
      <c r="O193" s="147"/>
    </row>
    <row r="194" spans="2:15" s="193" customFormat="1" ht="20.100000000000001" customHeight="1">
      <c r="B194" s="148"/>
      <c r="C194" s="149"/>
      <c r="D194" s="149"/>
      <c r="E194" s="150"/>
      <c r="F194" s="150"/>
      <c r="G194" s="151"/>
      <c r="H194" s="152"/>
      <c r="I194" s="151"/>
      <c r="J194" s="152"/>
      <c r="K194" s="151"/>
      <c r="L194" s="152"/>
      <c r="M194" s="153"/>
      <c r="N194" s="153"/>
      <c r="O194" s="154"/>
    </row>
    <row r="195" spans="2:15" s="194" customFormat="1" ht="20.100000000000001" customHeight="1">
      <c r="B195" s="131">
        <f>B191+1</f>
        <v>26</v>
      </c>
      <c r="C195" s="155" t="s">
        <v>808</v>
      </c>
      <c r="D195" s="133">
        <v>700</v>
      </c>
      <c r="E195" s="134">
        <v>1</v>
      </c>
      <c r="F195" s="135" t="s">
        <v>600</v>
      </c>
      <c r="G195" s="136"/>
      <c r="H195" s="136"/>
      <c r="I195" s="136"/>
      <c r="J195" s="136"/>
      <c r="K195" s="136"/>
      <c r="L195" s="136"/>
      <c r="M195" s="136"/>
      <c r="N195" s="136"/>
      <c r="O195" s="137" t="s">
        <v>0</v>
      </c>
    </row>
    <row r="196" spans="2:15" s="193" customFormat="1" ht="20.100000000000001" customHeight="1">
      <c r="B196" s="117"/>
      <c r="C196" s="156" t="s">
        <v>47</v>
      </c>
      <c r="D196" s="139"/>
      <c r="E196" s="120">
        <v>0.12</v>
      </c>
      <c r="F196" s="121" t="s">
        <v>809</v>
      </c>
      <c r="G196" s="122"/>
      <c r="H196" s="123">
        <f>TRUNC(G196*$E196,0)</f>
        <v>0</v>
      </c>
      <c r="I196" s="122">
        <f>노임!$D$28</f>
        <v>326240</v>
      </c>
      <c r="J196" s="123">
        <f>TRUNC(I196*$E196,0)</f>
        <v>39148</v>
      </c>
      <c r="K196" s="122"/>
      <c r="L196" s="123">
        <f>TRUNC(K196*$E196,0)</f>
        <v>0</v>
      </c>
      <c r="M196" s="124">
        <f t="shared" ref="M196:N199" si="37">G196+I196+K196</f>
        <v>326240</v>
      </c>
      <c r="N196" s="124">
        <f t="shared" si="37"/>
        <v>39148</v>
      </c>
      <c r="O196" s="157"/>
    </row>
    <row r="197" spans="2:15" s="193" customFormat="1" ht="20.100000000000001" customHeight="1">
      <c r="B197" s="117"/>
      <c r="C197" s="156" t="s">
        <v>609</v>
      </c>
      <c r="D197" s="139"/>
      <c r="E197" s="120">
        <v>0.89</v>
      </c>
      <c r="F197" s="121" t="s">
        <v>765</v>
      </c>
      <c r="G197" s="122"/>
      <c r="H197" s="123">
        <f>TRUNC(G197*$E197,0)</f>
        <v>0</v>
      </c>
      <c r="I197" s="122">
        <f>노임!$D$24</f>
        <v>492337</v>
      </c>
      <c r="J197" s="123">
        <f>TRUNC(I197*$E197,0)</f>
        <v>438179</v>
      </c>
      <c r="K197" s="122"/>
      <c r="L197" s="123">
        <f>TRUNC(K197*$E197,0)</f>
        <v>0</v>
      </c>
      <c r="M197" s="124">
        <f t="shared" si="37"/>
        <v>492337</v>
      </c>
      <c r="N197" s="124">
        <f t="shared" si="37"/>
        <v>438179</v>
      </c>
      <c r="O197" s="157"/>
    </row>
    <row r="198" spans="2:15" s="193" customFormat="1" ht="20.100000000000001" customHeight="1">
      <c r="B198" s="117"/>
      <c r="C198" s="156" t="s">
        <v>58</v>
      </c>
      <c r="D198" s="139"/>
      <c r="E198" s="120">
        <v>0.75</v>
      </c>
      <c r="F198" s="121" t="s">
        <v>765</v>
      </c>
      <c r="G198" s="122"/>
      <c r="H198" s="123">
        <f>TRUNC(G198*$E198,0)</f>
        <v>0</v>
      </c>
      <c r="I198" s="122">
        <f>노임!$D$17</f>
        <v>322627</v>
      </c>
      <c r="J198" s="123">
        <f>TRUNC(I198*$E198,0)</f>
        <v>241970</v>
      </c>
      <c r="K198" s="122"/>
      <c r="L198" s="123">
        <f>TRUNC(K198*$E198,0)</f>
        <v>0</v>
      </c>
      <c r="M198" s="124">
        <f t="shared" si="37"/>
        <v>322627</v>
      </c>
      <c r="N198" s="124">
        <f t="shared" si="37"/>
        <v>241970</v>
      </c>
      <c r="O198" s="157"/>
    </row>
    <row r="199" spans="2:15" s="193" customFormat="1" ht="20.100000000000001" customHeight="1">
      <c r="B199" s="117"/>
      <c r="C199" s="156" t="s">
        <v>810</v>
      </c>
      <c r="D199" s="161">
        <v>10</v>
      </c>
      <c r="E199" s="120">
        <v>1.93</v>
      </c>
      <c r="F199" s="121" t="s">
        <v>811</v>
      </c>
      <c r="G199" s="122"/>
      <c r="H199" s="123">
        <f>TRUNC(G199*$E199,0)</f>
        <v>0</v>
      </c>
      <c r="I199" s="122"/>
      <c r="J199" s="123">
        <f>TRUNC(I199*$E199,0)</f>
        <v>0</v>
      </c>
      <c r="K199" s="122">
        <v>90538</v>
      </c>
      <c r="L199" s="123">
        <f>TRUNC(K199*$E199,0)</f>
        <v>174738</v>
      </c>
      <c r="M199" s="124">
        <f t="shared" si="37"/>
        <v>90538</v>
      </c>
      <c r="N199" s="124">
        <f t="shared" si="37"/>
        <v>174738</v>
      </c>
      <c r="O199" s="157"/>
    </row>
    <row r="200" spans="2:15" s="193" customFormat="1" ht="20.100000000000001" customHeight="1">
      <c r="B200" s="140"/>
      <c r="C200" s="141" t="s">
        <v>812</v>
      </c>
      <c r="D200" s="142"/>
      <c r="E200" s="143"/>
      <c r="F200" s="143"/>
      <c r="G200" s="144"/>
      <c r="H200" s="145">
        <f>SUM(H196:H199)</f>
        <v>0</v>
      </c>
      <c r="I200" s="144"/>
      <c r="J200" s="145">
        <f>SUM(J196:J199)</f>
        <v>719297</v>
      </c>
      <c r="K200" s="144"/>
      <c r="L200" s="145">
        <f>SUM(L196:L199)</f>
        <v>174738</v>
      </c>
      <c r="M200" s="146"/>
      <c r="N200" s="146">
        <f>H200+J200+L200</f>
        <v>894035</v>
      </c>
      <c r="O200" s="147"/>
    </row>
    <row r="201" spans="2:15" ht="20.100000000000001" customHeight="1">
      <c r="B201" s="148"/>
      <c r="C201" s="149"/>
      <c r="D201" s="149"/>
      <c r="E201" s="150"/>
      <c r="F201" s="150"/>
      <c r="G201" s="151"/>
      <c r="H201" s="152"/>
      <c r="I201" s="151"/>
      <c r="J201" s="152"/>
      <c r="K201" s="151"/>
      <c r="L201" s="152"/>
      <c r="M201" s="153"/>
      <c r="N201" s="153"/>
      <c r="O201" s="154"/>
    </row>
    <row r="202" spans="2:15" s="195" customFormat="1" ht="20.100000000000001" customHeight="1">
      <c r="B202" s="131">
        <f>B195+1</f>
        <v>27</v>
      </c>
      <c r="C202" s="155" t="s">
        <v>813</v>
      </c>
      <c r="D202" s="163">
        <v>600</v>
      </c>
      <c r="E202" s="134">
        <v>1</v>
      </c>
      <c r="F202" s="135" t="s">
        <v>600</v>
      </c>
      <c r="G202" s="136"/>
      <c r="H202" s="136"/>
      <c r="I202" s="136"/>
      <c r="J202" s="136"/>
      <c r="K202" s="136"/>
      <c r="L202" s="136"/>
      <c r="M202" s="136"/>
      <c r="N202" s="136"/>
      <c r="O202" s="137" t="s">
        <v>0</v>
      </c>
    </row>
    <row r="203" spans="2:15" s="196" customFormat="1" ht="19.5" customHeight="1">
      <c r="B203" s="117"/>
      <c r="C203" s="118" t="s">
        <v>642</v>
      </c>
      <c r="D203" s="127">
        <v>600</v>
      </c>
      <c r="E203" s="120">
        <v>1</v>
      </c>
      <c r="F203" s="121" t="s">
        <v>757</v>
      </c>
      <c r="G203" s="122">
        <v>0</v>
      </c>
      <c r="H203" s="123">
        <f t="shared" ref="H203:H208" si="38">TRUNC(G203*$E203,0)</f>
        <v>0</v>
      </c>
      <c r="I203" s="122">
        <f>J216</f>
        <v>663611</v>
      </c>
      <c r="J203" s="123">
        <f t="shared" ref="J203:J208" si="39">TRUNC(I203*$E203,0)</f>
        <v>663611</v>
      </c>
      <c r="K203" s="122">
        <v>122581</v>
      </c>
      <c r="L203" s="123">
        <f t="shared" ref="L203:L208" si="40">TRUNC(K203*$E203,0)</f>
        <v>122581</v>
      </c>
      <c r="M203" s="124">
        <f t="shared" ref="M203:N208" si="41">G203+I203+K203</f>
        <v>786192</v>
      </c>
      <c r="N203" s="124">
        <f t="shared" si="41"/>
        <v>786192</v>
      </c>
      <c r="O203" s="125">
        <f>B211</f>
        <v>28</v>
      </c>
    </row>
    <row r="204" spans="2:15" s="196" customFormat="1" ht="20.100000000000001" customHeight="1">
      <c r="B204" s="117"/>
      <c r="C204" s="118" t="s">
        <v>814</v>
      </c>
      <c r="D204" s="119">
        <v>700</v>
      </c>
      <c r="E204" s="120">
        <v>37.96</v>
      </c>
      <c r="F204" s="121" t="s">
        <v>815</v>
      </c>
      <c r="G204" s="122"/>
      <c r="H204" s="123">
        <f t="shared" si="38"/>
        <v>0</v>
      </c>
      <c r="I204" s="122"/>
      <c r="J204" s="123">
        <f t="shared" si="39"/>
        <v>0</v>
      </c>
      <c r="K204" s="122">
        <v>6111</v>
      </c>
      <c r="L204" s="123">
        <f t="shared" si="40"/>
        <v>231973</v>
      </c>
      <c r="M204" s="124">
        <f t="shared" si="41"/>
        <v>6111</v>
      </c>
      <c r="N204" s="124">
        <f t="shared" si="41"/>
        <v>231973</v>
      </c>
      <c r="O204" s="125"/>
    </row>
    <row r="205" spans="2:15" s="196" customFormat="1" ht="20.100000000000001" customHeight="1">
      <c r="B205" s="117"/>
      <c r="C205" s="118" t="s">
        <v>643</v>
      </c>
      <c r="D205" s="119">
        <v>600</v>
      </c>
      <c r="E205" s="120">
        <v>0.93</v>
      </c>
      <c r="F205" s="121" t="s">
        <v>773</v>
      </c>
      <c r="G205" s="122">
        <v>9766</v>
      </c>
      <c r="H205" s="123">
        <f t="shared" si="38"/>
        <v>9082</v>
      </c>
      <c r="I205" s="122">
        <v>0</v>
      </c>
      <c r="J205" s="123">
        <f t="shared" si="39"/>
        <v>0</v>
      </c>
      <c r="K205" s="122">
        <v>0</v>
      </c>
      <c r="L205" s="123">
        <f t="shared" si="40"/>
        <v>0</v>
      </c>
      <c r="M205" s="124">
        <f t="shared" si="41"/>
        <v>9766</v>
      </c>
      <c r="N205" s="124">
        <f t="shared" si="41"/>
        <v>9082</v>
      </c>
      <c r="O205" s="125">
        <f>B218</f>
        <v>29</v>
      </c>
    </row>
    <row r="206" spans="2:15" s="193" customFormat="1" ht="20.100000000000001" customHeight="1">
      <c r="B206" s="117"/>
      <c r="C206" s="118" t="s">
        <v>644</v>
      </c>
      <c r="D206" s="119">
        <v>600</v>
      </c>
      <c r="E206" s="120">
        <v>1</v>
      </c>
      <c r="F206" s="121" t="s">
        <v>700</v>
      </c>
      <c r="G206" s="122">
        <v>0</v>
      </c>
      <c r="H206" s="123">
        <f t="shared" si="38"/>
        <v>0</v>
      </c>
      <c r="I206" s="122">
        <f>J228</f>
        <v>267420</v>
      </c>
      <c r="J206" s="123">
        <f t="shared" si="39"/>
        <v>267420</v>
      </c>
      <c r="K206" s="122">
        <v>49171</v>
      </c>
      <c r="L206" s="123">
        <f t="shared" si="40"/>
        <v>49171</v>
      </c>
      <c r="M206" s="124">
        <f t="shared" si="41"/>
        <v>316591</v>
      </c>
      <c r="N206" s="124">
        <f t="shared" si="41"/>
        <v>316591</v>
      </c>
      <c r="O206" s="125">
        <f>B223</f>
        <v>30</v>
      </c>
    </row>
    <row r="207" spans="2:15" s="193" customFormat="1" ht="20.100000000000001" customHeight="1">
      <c r="B207" s="117"/>
      <c r="C207" s="156" t="s">
        <v>645</v>
      </c>
      <c r="D207" s="127">
        <v>600</v>
      </c>
      <c r="E207" s="120">
        <v>1</v>
      </c>
      <c r="F207" s="121" t="s">
        <v>757</v>
      </c>
      <c r="G207" s="122">
        <v>2794000</v>
      </c>
      <c r="H207" s="123">
        <f t="shared" si="38"/>
        <v>2794000</v>
      </c>
      <c r="I207" s="122"/>
      <c r="J207" s="123">
        <f t="shared" si="39"/>
        <v>0</v>
      </c>
      <c r="K207" s="122"/>
      <c r="L207" s="123">
        <f t="shared" si="40"/>
        <v>0</v>
      </c>
      <c r="M207" s="124">
        <f t="shared" si="41"/>
        <v>2794000</v>
      </c>
      <c r="N207" s="124">
        <f t="shared" si="41"/>
        <v>2794000</v>
      </c>
      <c r="O207" s="157"/>
    </row>
    <row r="208" spans="2:15" s="193" customFormat="1" ht="20.100000000000001" customHeight="1">
      <c r="B208" s="117"/>
      <c r="C208" s="156" t="s">
        <v>530</v>
      </c>
      <c r="D208" s="127">
        <v>600</v>
      </c>
      <c r="E208" s="120">
        <v>1</v>
      </c>
      <c r="F208" s="121" t="s">
        <v>757</v>
      </c>
      <c r="G208" s="122">
        <v>136480</v>
      </c>
      <c r="H208" s="123">
        <f t="shared" si="38"/>
        <v>136480</v>
      </c>
      <c r="I208" s="122"/>
      <c r="J208" s="123">
        <f t="shared" si="39"/>
        <v>0</v>
      </c>
      <c r="K208" s="122"/>
      <c r="L208" s="123">
        <f t="shared" si="40"/>
        <v>0</v>
      </c>
      <c r="M208" s="124">
        <f t="shared" si="41"/>
        <v>136480</v>
      </c>
      <c r="N208" s="124">
        <f t="shared" si="41"/>
        <v>136480</v>
      </c>
      <c r="O208" s="157"/>
    </row>
    <row r="209" spans="2:15" s="193" customFormat="1" ht="20.100000000000001" customHeight="1">
      <c r="B209" s="140"/>
      <c r="C209" s="141" t="s">
        <v>812</v>
      </c>
      <c r="D209" s="142"/>
      <c r="E209" s="143"/>
      <c r="F209" s="143"/>
      <c r="G209" s="144"/>
      <c r="H209" s="145">
        <f>SUM(H203:H208)</f>
        <v>2939562</v>
      </c>
      <c r="I209" s="144"/>
      <c r="J209" s="145">
        <f>SUM(J203:J208)</f>
        <v>931031</v>
      </c>
      <c r="K209" s="144"/>
      <c r="L209" s="145">
        <f>SUM(L203:L208)</f>
        <v>403725</v>
      </c>
      <c r="M209" s="146"/>
      <c r="N209" s="146">
        <f>H209+J209+L209</f>
        <v>4274318</v>
      </c>
      <c r="O209" s="147"/>
    </row>
    <row r="210" spans="2:15" s="193" customFormat="1" ht="20.100000000000001" customHeight="1">
      <c r="B210" s="148"/>
      <c r="C210" s="149"/>
      <c r="D210" s="149"/>
      <c r="E210" s="150"/>
      <c r="F210" s="150"/>
      <c r="G210" s="151"/>
      <c r="H210" s="152"/>
      <c r="I210" s="151"/>
      <c r="J210" s="152"/>
      <c r="K210" s="151"/>
      <c r="L210" s="152"/>
      <c r="M210" s="153"/>
      <c r="N210" s="153"/>
      <c r="O210" s="154"/>
    </row>
    <row r="211" spans="2:15" s="194" customFormat="1" ht="20.100000000000001" customHeight="1">
      <c r="B211" s="131">
        <f>B202+1</f>
        <v>28</v>
      </c>
      <c r="C211" s="155" t="s">
        <v>816</v>
      </c>
      <c r="D211" s="163">
        <v>600</v>
      </c>
      <c r="E211" s="134">
        <v>1</v>
      </c>
      <c r="F211" s="135" t="s">
        <v>600</v>
      </c>
      <c r="G211" s="136"/>
      <c r="H211" s="136"/>
      <c r="I211" s="136"/>
      <c r="J211" s="136"/>
      <c r="K211" s="136"/>
      <c r="L211" s="136"/>
      <c r="M211" s="136"/>
      <c r="N211" s="136"/>
      <c r="O211" s="137" t="s">
        <v>0</v>
      </c>
    </row>
    <row r="212" spans="2:15" s="193" customFormat="1" ht="20.100000000000001" customHeight="1">
      <c r="B212" s="117"/>
      <c r="C212" s="156" t="s">
        <v>47</v>
      </c>
      <c r="D212" s="139"/>
      <c r="E212" s="120">
        <v>0.12</v>
      </c>
      <c r="F212" s="121" t="s">
        <v>765</v>
      </c>
      <c r="G212" s="122"/>
      <c r="H212" s="123">
        <f>TRUNC(G212*$E212,0)</f>
        <v>0</v>
      </c>
      <c r="I212" s="122">
        <f>노임!$D$28</f>
        <v>326240</v>
      </c>
      <c r="J212" s="123">
        <f>TRUNC(I212*$E212,0)</f>
        <v>39148</v>
      </c>
      <c r="K212" s="122"/>
      <c r="L212" s="123">
        <f>TRUNC(K212*$E212,0)</f>
        <v>0</v>
      </c>
      <c r="M212" s="124">
        <f t="shared" ref="M212:N215" si="42">G212+I212+K212</f>
        <v>326240</v>
      </c>
      <c r="N212" s="124">
        <f t="shared" si="42"/>
        <v>39148</v>
      </c>
      <c r="O212" s="157"/>
    </row>
    <row r="213" spans="2:15" s="193" customFormat="1" ht="20.100000000000001" customHeight="1">
      <c r="B213" s="117"/>
      <c r="C213" s="156" t="s">
        <v>609</v>
      </c>
      <c r="D213" s="139"/>
      <c r="E213" s="120">
        <v>0.79</v>
      </c>
      <c r="F213" s="121" t="s">
        <v>704</v>
      </c>
      <c r="G213" s="122"/>
      <c r="H213" s="123">
        <f>TRUNC(G213*$E213,0)</f>
        <v>0</v>
      </c>
      <c r="I213" s="122">
        <f>노임!$D$24</f>
        <v>492337</v>
      </c>
      <c r="J213" s="123">
        <f>TRUNC(I213*$E213,0)</f>
        <v>388946</v>
      </c>
      <c r="K213" s="122"/>
      <c r="L213" s="123">
        <f>TRUNC(K213*$E213,0)</f>
        <v>0</v>
      </c>
      <c r="M213" s="124">
        <f t="shared" si="42"/>
        <v>492337</v>
      </c>
      <c r="N213" s="124">
        <f t="shared" si="42"/>
        <v>388946</v>
      </c>
      <c r="O213" s="157"/>
    </row>
    <row r="214" spans="2:15" s="193" customFormat="1" ht="20.100000000000001" customHeight="1">
      <c r="B214" s="117"/>
      <c r="C214" s="156" t="s">
        <v>58</v>
      </c>
      <c r="D214" s="139"/>
      <c r="E214" s="120">
        <v>0.73</v>
      </c>
      <c r="F214" s="121" t="s">
        <v>704</v>
      </c>
      <c r="G214" s="122"/>
      <c r="H214" s="123">
        <f>TRUNC(G214*$E214,0)</f>
        <v>0</v>
      </c>
      <c r="I214" s="122">
        <f>노임!$D$17</f>
        <v>322627</v>
      </c>
      <c r="J214" s="123">
        <f>TRUNC(I214*$E214,0)</f>
        <v>235517</v>
      </c>
      <c r="K214" s="122"/>
      <c r="L214" s="123">
        <f>TRUNC(K214*$E214,0)</f>
        <v>0</v>
      </c>
      <c r="M214" s="124">
        <f t="shared" si="42"/>
        <v>322627</v>
      </c>
      <c r="N214" s="124">
        <f t="shared" si="42"/>
        <v>235517</v>
      </c>
      <c r="O214" s="157"/>
    </row>
    <row r="215" spans="2:15" s="193" customFormat="1" ht="20.100000000000001" customHeight="1">
      <c r="B215" s="117"/>
      <c r="C215" s="156" t="s">
        <v>627</v>
      </c>
      <c r="D215" s="161">
        <v>5</v>
      </c>
      <c r="E215" s="120">
        <v>1.77</v>
      </c>
      <c r="F215" s="121" t="s">
        <v>811</v>
      </c>
      <c r="G215" s="122"/>
      <c r="H215" s="123">
        <f>TRUNC(G215*$E215,0)</f>
        <v>0</v>
      </c>
      <c r="I215" s="122"/>
      <c r="J215" s="123">
        <f>TRUNC(I215*$E215,0)</f>
        <v>0</v>
      </c>
      <c r="K215" s="122">
        <v>69255</v>
      </c>
      <c r="L215" s="123">
        <f>TRUNC(K215*$E215,0)</f>
        <v>122581</v>
      </c>
      <c r="M215" s="124">
        <f t="shared" si="42"/>
        <v>69255</v>
      </c>
      <c r="N215" s="124">
        <f t="shared" si="42"/>
        <v>122581</v>
      </c>
      <c r="O215" s="157"/>
    </row>
    <row r="216" spans="2:15" s="193" customFormat="1" ht="20.100000000000001" customHeight="1">
      <c r="B216" s="140"/>
      <c r="C216" s="141" t="s">
        <v>817</v>
      </c>
      <c r="D216" s="142"/>
      <c r="E216" s="143"/>
      <c r="F216" s="143"/>
      <c r="G216" s="144"/>
      <c r="H216" s="145">
        <f>SUM(H212:H215)</f>
        <v>0</v>
      </c>
      <c r="I216" s="144"/>
      <c r="J216" s="145">
        <f>SUM(J212:J215)</f>
        <v>663611</v>
      </c>
      <c r="K216" s="144"/>
      <c r="L216" s="145">
        <f>SUM(L212:L215)</f>
        <v>122581</v>
      </c>
      <c r="M216" s="146"/>
      <c r="N216" s="146">
        <f>H216+J216+L216</f>
        <v>786192</v>
      </c>
      <c r="O216" s="147"/>
    </row>
    <row r="217" spans="2:15" ht="20.100000000000001" customHeight="1">
      <c r="B217" s="148"/>
      <c r="C217" s="149"/>
      <c r="D217" s="149"/>
      <c r="E217" s="150"/>
      <c r="F217" s="150"/>
      <c r="G217" s="151"/>
      <c r="H217" s="152"/>
      <c r="I217" s="151"/>
      <c r="J217" s="152"/>
      <c r="K217" s="151"/>
      <c r="L217" s="152"/>
      <c r="M217" s="153"/>
      <c r="N217" s="153"/>
      <c r="O217" s="154"/>
    </row>
    <row r="218" spans="2:15" s="194" customFormat="1" ht="20.100000000000001" customHeight="1">
      <c r="B218" s="131">
        <f>B211+1</f>
        <v>29</v>
      </c>
      <c r="C218" s="155" t="s">
        <v>818</v>
      </c>
      <c r="D218" s="163">
        <v>600</v>
      </c>
      <c r="E218" s="134">
        <v>1</v>
      </c>
      <c r="F218" s="135" t="s">
        <v>773</v>
      </c>
      <c r="G218" s="136"/>
      <c r="H218" s="136"/>
      <c r="I218" s="136"/>
      <c r="J218" s="136"/>
      <c r="K218" s="136"/>
      <c r="L218" s="136"/>
      <c r="M218" s="136"/>
      <c r="N218" s="136"/>
      <c r="O218" s="137" t="s">
        <v>0</v>
      </c>
    </row>
    <row r="219" spans="2:15" s="193" customFormat="1" ht="20.100000000000001" customHeight="1">
      <c r="B219" s="117"/>
      <c r="C219" s="156" t="s">
        <v>625</v>
      </c>
      <c r="D219" s="127" t="s">
        <v>789</v>
      </c>
      <c r="E219" s="120">
        <v>5.0999999999999996</v>
      </c>
      <c r="F219" s="121" t="s">
        <v>819</v>
      </c>
      <c r="G219" s="122">
        <v>1596</v>
      </c>
      <c r="H219" s="123">
        <f>TRUNC(G219*$E219,0)</f>
        <v>8139</v>
      </c>
      <c r="I219" s="122"/>
      <c r="J219" s="123">
        <f>TRUNC(I219*$E219,0)</f>
        <v>0</v>
      </c>
      <c r="K219" s="122"/>
      <c r="L219" s="123">
        <f>TRUNC(K219*$E219,0)</f>
        <v>0</v>
      </c>
      <c r="M219" s="124">
        <f>G219+I219+K219</f>
        <v>1596</v>
      </c>
      <c r="N219" s="124">
        <f>H219+J219+L219</f>
        <v>8139</v>
      </c>
      <c r="O219" s="157"/>
    </row>
    <row r="220" spans="2:15" s="193" customFormat="1" ht="20.100000000000001" customHeight="1">
      <c r="B220" s="117"/>
      <c r="C220" s="156" t="s">
        <v>626</v>
      </c>
      <c r="D220" s="139" t="s">
        <v>820</v>
      </c>
      <c r="E220" s="158">
        <v>0.2</v>
      </c>
      <c r="F220" s="121"/>
      <c r="G220" s="122">
        <v>8139</v>
      </c>
      <c r="H220" s="123">
        <f>TRUNC(G220*$E220,0)</f>
        <v>1627</v>
      </c>
      <c r="I220" s="122"/>
      <c r="J220" s="123">
        <f>TRUNC(I220*$E220,0)</f>
        <v>0</v>
      </c>
      <c r="K220" s="122"/>
      <c r="L220" s="123">
        <f>TRUNC(K220*$E220,0)</f>
        <v>0</v>
      </c>
      <c r="M220" s="124">
        <f>G220+I220+K220</f>
        <v>8139</v>
      </c>
      <c r="N220" s="124">
        <f>H220+J220+L220</f>
        <v>1627</v>
      </c>
      <c r="O220" s="157"/>
    </row>
    <row r="221" spans="2:15" s="193" customFormat="1" ht="20.100000000000001" customHeight="1">
      <c r="B221" s="140"/>
      <c r="C221" s="141" t="s">
        <v>812</v>
      </c>
      <c r="D221" s="142"/>
      <c r="E221" s="143"/>
      <c r="F221" s="143"/>
      <c r="G221" s="144"/>
      <c r="H221" s="145">
        <f>SUM(H219:H220)</f>
        <v>9766</v>
      </c>
      <c r="I221" s="144"/>
      <c r="J221" s="145">
        <f>SUM(J219:J220)</f>
        <v>0</v>
      </c>
      <c r="K221" s="144"/>
      <c r="L221" s="145">
        <f>SUM(L219:L220)</f>
        <v>0</v>
      </c>
      <c r="M221" s="146"/>
      <c r="N221" s="146">
        <f>H221+J221+L221</f>
        <v>9766</v>
      </c>
      <c r="O221" s="147"/>
    </row>
    <row r="222" spans="2:15" s="193" customFormat="1" ht="20.100000000000001" customHeight="1">
      <c r="B222" s="148"/>
      <c r="C222" s="149"/>
      <c r="D222" s="149"/>
      <c r="E222" s="150"/>
      <c r="F222" s="150"/>
      <c r="G222" s="151"/>
      <c r="H222" s="152"/>
      <c r="I222" s="151"/>
      <c r="J222" s="152"/>
      <c r="K222" s="151"/>
      <c r="L222" s="152"/>
      <c r="M222" s="153"/>
      <c r="N222" s="153"/>
      <c r="O222" s="154"/>
    </row>
    <row r="223" spans="2:15" s="194" customFormat="1" ht="20.100000000000001" customHeight="1">
      <c r="B223" s="131">
        <f>B218+1</f>
        <v>30</v>
      </c>
      <c r="C223" s="155" t="s">
        <v>821</v>
      </c>
      <c r="D223" s="163">
        <v>600</v>
      </c>
      <c r="E223" s="134">
        <v>1</v>
      </c>
      <c r="F223" s="135" t="s">
        <v>600</v>
      </c>
      <c r="G223" s="136"/>
      <c r="H223" s="136"/>
      <c r="I223" s="136"/>
      <c r="J223" s="136"/>
      <c r="K223" s="136"/>
      <c r="L223" s="136"/>
      <c r="M223" s="136"/>
      <c r="N223" s="136"/>
      <c r="O223" s="137" t="s">
        <v>0</v>
      </c>
    </row>
    <row r="224" spans="2:15" s="193" customFormat="1" ht="20.100000000000001" customHeight="1">
      <c r="B224" s="117"/>
      <c r="C224" s="156" t="s">
        <v>47</v>
      </c>
      <c r="D224" s="139"/>
      <c r="E224" s="120">
        <v>0.05</v>
      </c>
      <c r="F224" s="121" t="s">
        <v>809</v>
      </c>
      <c r="G224" s="122"/>
      <c r="H224" s="123">
        <f>TRUNC(G224*$E224,0)</f>
        <v>0</v>
      </c>
      <c r="I224" s="122">
        <f>노임!$D$28</f>
        <v>326240</v>
      </c>
      <c r="J224" s="123">
        <f>TRUNC(I224*$E224,0)</f>
        <v>16312</v>
      </c>
      <c r="K224" s="122"/>
      <c r="L224" s="123">
        <f>TRUNC(K224*$E224,0)</f>
        <v>0</v>
      </c>
      <c r="M224" s="124">
        <f t="shared" ref="M224:N227" si="43">G224+I224+K224</f>
        <v>326240</v>
      </c>
      <c r="N224" s="124">
        <f t="shared" si="43"/>
        <v>16312</v>
      </c>
      <c r="O224" s="157"/>
    </row>
    <row r="225" spans="2:15" s="193" customFormat="1" ht="20.100000000000001" customHeight="1">
      <c r="B225" s="117"/>
      <c r="C225" s="156" t="s">
        <v>609</v>
      </c>
      <c r="D225" s="139"/>
      <c r="E225" s="120">
        <v>0.32</v>
      </c>
      <c r="F225" s="121" t="s">
        <v>704</v>
      </c>
      <c r="G225" s="122"/>
      <c r="H225" s="123">
        <f>TRUNC(G225*$E225,0)</f>
        <v>0</v>
      </c>
      <c r="I225" s="122">
        <f>노임!$D$24</f>
        <v>492337</v>
      </c>
      <c r="J225" s="123">
        <f>TRUNC(I225*$E225,0)</f>
        <v>157547</v>
      </c>
      <c r="K225" s="122"/>
      <c r="L225" s="123">
        <f>TRUNC(K225*$E225,0)</f>
        <v>0</v>
      </c>
      <c r="M225" s="124">
        <f t="shared" si="43"/>
        <v>492337</v>
      </c>
      <c r="N225" s="124">
        <f t="shared" si="43"/>
        <v>157547</v>
      </c>
      <c r="O225" s="157"/>
    </row>
    <row r="226" spans="2:15" s="193" customFormat="1" ht="20.100000000000001" customHeight="1">
      <c r="B226" s="117"/>
      <c r="C226" s="156" t="s">
        <v>58</v>
      </c>
      <c r="D226" s="139"/>
      <c r="E226" s="120">
        <v>0.28999999999999998</v>
      </c>
      <c r="F226" s="121" t="s">
        <v>809</v>
      </c>
      <c r="G226" s="122"/>
      <c r="H226" s="123">
        <f>TRUNC(G226*$E226,0)</f>
        <v>0</v>
      </c>
      <c r="I226" s="122">
        <f>노임!$D$17</f>
        <v>322627</v>
      </c>
      <c r="J226" s="123">
        <f>TRUNC(I226*$E226,0)</f>
        <v>93561</v>
      </c>
      <c r="K226" s="122"/>
      <c r="L226" s="123">
        <f>TRUNC(K226*$E226,0)</f>
        <v>0</v>
      </c>
      <c r="M226" s="124">
        <f t="shared" si="43"/>
        <v>322627</v>
      </c>
      <c r="N226" s="124">
        <f t="shared" si="43"/>
        <v>93561</v>
      </c>
      <c r="O226" s="157"/>
    </row>
    <row r="227" spans="2:15" s="193" customFormat="1" ht="20.100000000000001" customHeight="1">
      <c r="B227" s="117"/>
      <c r="C227" s="156" t="s">
        <v>627</v>
      </c>
      <c r="D227" s="161">
        <v>5</v>
      </c>
      <c r="E227" s="120">
        <v>0.71</v>
      </c>
      <c r="F227" s="121" t="s">
        <v>811</v>
      </c>
      <c r="G227" s="122"/>
      <c r="H227" s="123">
        <f>TRUNC(G227*$E227,0)</f>
        <v>0</v>
      </c>
      <c r="I227" s="122"/>
      <c r="J227" s="123">
        <f>TRUNC(I227*$E227,0)</f>
        <v>0</v>
      </c>
      <c r="K227" s="122">
        <v>69255</v>
      </c>
      <c r="L227" s="123">
        <f>TRUNC(K227*$E227,0)</f>
        <v>49171</v>
      </c>
      <c r="M227" s="124">
        <f t="shared" si="43"/>
        <v>69255</v>
      </c>
      <c r="N227" s="124">
        <f t="shared" si="43"/>
        <v>49171</v>
      </c>
      <c r="O227" s="157"/>
    </row>
    <row r="228" spans="2:15" s="193" customFormat="1" ht="20.100000000000001" customHeight="1">
      <c r="B228" s="140"/>
      <c r="C228" s="141" t="s">
        <v>763</v>
      </c>
      <c r="D228" s="142"/>
      <c r="E228" s="143"/>
      <c r="F228" s="143"/>
      <c r="G228" s="144"/>
      <c r="H228" s="145">
        <f>SUM(H224:H227)</f>
        <v>0</v>
      </c>
      <c r="I228" s="144"/>
      <c r="J228" s="145">
        <f>SUM(J224:J227)</f>
        <v>267420</v>
      </c>
      <c r="K228" s="144"/>
      <c r="L228" s="145">
        <f>SUM(L224:L227)</f>
        <v>49171</v>
      </c>
      <c r="M228" s="146"/>
      <c r="N228" s="146">
        <f>H228+J228+L228</f>
        <v>316591</v>
      </c>
      <c r="O228" s="147"/>
    </row>
    <row r="229" spans="2:15" ht="20.100000000000001" customHeight="1">
      <c r="B229" s="148"/>
      <c r="C229" s="149"/>
      <c r="D229" s="149"/>
      <c r="E229" s="150"/>
      <c r="F229" s="150"/>
      <c r="G229" s="151"/>
      <c r="H229" s="152"/>
      <c r="I229" s="151"/>
      <c r="J229" s="152"/>
      <c r="K229" s="151"/>
      <c r="L229" s="152"/>
      <c r="M229" s="153"/>
      <c r="N229" s="153"/>
      <c r="O229" s="154"/>
    </row>
    <row r="230" spans="2:15" s="194" customFormat="1" ht="20.100000000000001" customHeight="1">
      <c r="B230" s="131">
        <f>B223+1</f>
        <v>31</v>
      </c>
      <c r="C230" s="155" t="s">
        <v>822</v>
      </c>
      <c r="D230" s="163">
        <v>600</v>
      </c>
      <c r="E230" s="134">
        <v>1</v>
      </c>
      <c r="F230" s="135" t="s">
        <v>600</v>
      </c>
      <c r="G230" s="136"/>
      <c r="H230" s="136"/>
      <c r="I230" s="136"/>
      <c r="J230" s="136"/>
      <c r="K230" s="136"/>
      <c r="L230" s="136"/>
      <c r="M230" s="136"/>
      <c r="N230" s="136"/>
      <c r="O230" s="137" t="s">
        <v>0</v>
      </c>
    </row>
    <row r="231" spans="2:15" s="193" customFormat="1" ht="20.100000000000001" customHeight="1">
      <c r="B231" s="117"/>
      <c r="C231" s="156" t="s">
        <v>609</v>
      </c>
      <c r="D231" s="139"/>
      <c r="E231" s="120">
        <v>0.37</v>
      </c>
      <c r="F231" s="121" t="s">
        <v>823</v>
      </c>
      <c r="G231" s="122"/>
      <c r="H231" s="123">
        <f>TRUNC(G231*$E231,0)</f>
        <v>0</v>
      </c>
      <c r="I231" s="122">
        <f>노임!$D$24</f>
        <v>492337</v>
      </c>
      <c r="J231" s="123">
        <f>TRUNC(I231*$E231,0)</f>
        <v>182164</v>
      </c>
      <c r="K231" s="122"/>
      <c r="L231" s="123">
        <f>TRUNC(K231*$E231,0)</f>
        <v>0</v>
      </c>
      <c r="M231" s="124">
        <f t="shared" ref="M231:N233" si="44">G231+I231+K231</f>
        <v>492337</v>
      </c>
      <c r="N231" s="124">
        <f t="shared" si="44"/>
        <v>182164</v>
      </c>
      <c r="O231" s="157"/>
    </row>
    <row r="232" spans="2:15" s="193" customFormat="1" ht="20.100000000000001" customHeight="1">
      <c r="B232" s="117"/>
      <c r="C232" s="156" t="s">
        <v>58</v>
      </c>
      <c r="D232" s="139"/>
      <c r="E232" s="120">
        <v>0.24</v>
      </c>
      <c r="F232" s="121" t="s">
        <v>704</v>
      </c>
      <c r="G232" s="122"/>
      <c r="H232" s="123">
        <f>TRUNC(G232*$E232,0)</f>
        <v>0</v>
      </c>
      <c r="I232" s="122">
        <f>노임!$D$17</f>
        <v>322627</v>
      </c>
      <c r="J232" s="123">
        <f>TRUNC(I232*$E232,0)</f>
        <v>77430</v>
      </c>
      <c r="K232" s="122"/>
      <c r="L232" s="123">
        <f>TRUNC(K232*$E232,0)</f>
        <v>0</v>
      </c>
      <c r="M232" s="124">
        <f t="shared" si="44"/>
        <v>322627</v>
      </c>
      <c r="N232" s="124">
        <f t="shared" si="44"/>
        <v>77430</v>
      </c>
      <c r="O232" s="157"/>
    </row>
    <row r="233" spans="2:15" s="193" customFormat="1" ht="20.100000000000001" customHeight="1">
      <c r="B233" s="117"/>
      <c r="C233" s="156" t="s">
        <v>627</v>
      </c>
      <c r="D233" s="161">
        <v>5</v>
      </c>
      <c r="E233" s="120">
        <v>0.55000000000000004</v>
      </c>
      <c r="F233" s="121" t="s">
        <v>706</v>
      </c>
      <c r="G233" s="122"/>
      <c r="H233" s="123">
        <f>TRUNC(G233*$E233,0)</f>
        <v>0</v>
      </c>
      <c r="I233" s="122"/>
      <c r="J233" s="123">
        <f>TRUNC(I233*$E233,0)</f>
        <v>0</v>
      </c>
      <c r="K233" s="122">
        <v>69255</v>
      </c>
      <c r="L233" s="123">
        <f>TRUNC(K233*$E233,0)</f>
        <v>38090</v>
      </c>
      <c r="M233" s="124">
        <f t="shared" si="44"/>
        <v>69255</v>
      </c>
      <c r="N233" s="124">
        <f t="shared" si="44"/>
        <v>38090</v>
      </c>
      <c r="O233" s="157"/>
    </row>
    <row r="234" spans="2:15" s="193" customFormat="1" ht="20.100000000000001" customHeight="1">
      <c r="B234" s="140"/>
      <c r="C234" s="141" t="s">
        <v>763</v>
      </c>
      <c r="D234" s="142"/>
      <c r="E234" s="143"/>
      <c r="F234" s="143"/>
      <c r="G234" s="144"/>
      <c r="H234" s="145">
        <f>SUM(H231:H233)</f>
        <v>0</v>
      </c>
      <c r="I234" s="144"/>
      <c r="J234" s="145">
        <f>SUM(J231:J233)</f>
        <v>259594</v>
      </c>
      <c r="K234" s="144"/>
      <c r="L234" s="145">
        <f>SUM(L231:L233)</f>
        <v>38090</v>
      </c>
      <c r="M234" s="146"/>
      <c r="N234" s="146">
        <f>H234+J234+L234</f>
        <v>297684</v>
      </c>
      <c r="O234" s="147"/>
    </row>
    <row r="235" spans="2:15" ht="20.100000000000001" customHeight="1">
      <c r="B235" s="148"/>
      <c r="C235" s="149"/>
      <c r="D235" s="149"/>
      <c r="E235" s="150"/>
      <c r="F235" s="150"/>
      <c r="G235" s="151"/>
      <c r="H235" s="152"/>
      <c r="I235" s="151"/>
      <c r="J235" s="152"/>
      <c r="K235" s="151"/>
      <c r="L235" s="152"/>
      <c r="M235" s="153"/>
      <c r="N235" s="153"/>
      <c r="O235" s="154"/>
    </row>
    <row r="236" spans="2:15" s="194" customFormat="1" ht="20.100000000000001" customHeight="1">
      <c r="B236" s="131">
        <f>B230+1</f>
        <v>32</v>
      </c>
      <c r="C236" s="155" t="s">
        <v>824</v>
      </c>
      <c r="D236" s="163">
        <v>600</v>
      </c>
      <c r="E236" s="134">
        <v>1</v>
      </c>
      <c r="F236" s="135" t="s">
        <v>600</v>
      </c>
      <c r="G236" s="136"/>
      <c r="H236" s="136"/>
      <c r="I236" s="136"/>
      <c r="J236" s="136"/>
      <c r="K236" s="136"/>
      <c r="L236" s="136"/>
      <c r="M236" s="136"/>
      <c r="N236" s="136"/>
      <c r="O236" s="137" t="s">
        <v>0</v>
      </c>
    </row>
    <row r="237" spans="2:15" s="193" customFormat="1" ht="19.5" customHeight="1">
      <c r="B237" s="117"/>
      <c r="C237" s="118" t="s">
        <v>646</v>
      </c>
      <c r="D237" s="127">
        <v>600</v>
      </c>
      <c r="E237" s="120">
        <v>1</v>
      </c>
      <c r="F237" s="121" t="s">
        <v>759</v>
      </c>
      <c r="G237" s="122">
        <v>0</v>
      </c>
      <c r="H237" s="123">
        <f>TRUNC(G237*$E237,0)</f>
        <v>0</v>
      </c>
      <c r="I237" s="122">
        <f>J247</f>
        <v>143634</v>
      </c>
      <c r="J237" s="123">
        <f>TRUNC(I237*$E237,0)</f>
        <v>143634</v>
      </c>
      <c r="K237" s="122">
        <v>18006</v>
      </c>
      <c r="L237" s="123">
        <f>TRUNC(K237*$E237,0)</f>
        <v>18006</v>
      </c>
      <c r="M237" s="124">
        <f t="shared" ref="M237:N240" si="45">G237+I237+K237</f>
        <v>161640</v>
      </c>
      <c r="N237" s="124">
        <f t="shared" si="45"/>
        <v>161640</v>
      </c>
      <c r="O237" s="125">
        <f>B243</f>
        <v>33</v>
      </c>
    </row>
    <row r="238" spans="2:15" s="193" customFormat="1" ht="20.100000000000001" customHeight="1">
      <c r="B238" s="117"/>
      <c r="C238" s="118" t="s">
        <v>647</v>
      </c>
      <c r="D238" s="127">
        <v>600</v>
      </c>
      <c r="E238" s="120">
        <v>1</v>
      </c>
      <c r="F238" s="121" t="s">
        <v>825</v>
      </c>
      <c r="G238" s="122">
        <v>0</v>
      </c>
      <c r="H238" s="123">
        <f>TRUNC(G238*$E238,0)</f>
        <v>0</v>
      </c>
      <c r="I238" s="122">
        <f>J252</f>
        <v>156875</v>
      </c>
      <c r="J238" s="123">
        <f>TRUNC(I238*$E238,0)</f>
        <v>156875</v>
      </c>
      <c r="K238" s="122">
        <v>0</v>
      </c>
      <c r="L238" s="123">
        <f>TRUNC(K238*$E238,0)</f>
        <v>0</v>
      </c>
      <c r="M238" s="124">
        <f t="shared" si="45"/>
        <v>156875</v>
      </c>
      <c r="N238" s="124">
        <f t="shared" si="45"/>
        <v>156875</v>
      </c>
      <c r="O238" s="125">
        <f>B249</f>
        <v>34</v>
      </c>
    </row>
    <row r="239" spans="2:15" s="193" customFormat="1" ht="20.100000000000001" customHeight="1">
      <c r="B239" s="117"/>
      <c r="C239" s="156" t="s">
        <v>530</v>
      </c>
      <c r="D239" s="127">
        <v>600</v>
      </c>
      <c r="E239" s="120">
        <v>1</v>
      </c>
      <c r="F239" s="121" t="s">
        <v>700</v>
      </c>
      <c r="G239" s="122">
        <v>136480</v>
      </c>
      <c r="H239" s="123">
        <f>TRUNC(G239*$E239,0)</f>
        <v>136480</v>
      </c>
      <c r="I239" s="122"/>
      <c r="J239" s="123">
        <f>TRUNC(I239*$E239,0)</f>
        <v>0</v>
      </c>
      <c r="K239" s="122"/>
      <c r="L239" s="123">
        <f>TRUNC(K239*$E239,0)</f>
        <v>0</v>
      </c>
      <c r="M239" s="124">
        <f t="shared" si="45"/>
        <v>136480</v>
      </c>
      <c r="N239" s="124">
        <f t="shared" si="45"/>
        <v>136480</v>
      </c>
      <c r="O239" s="125"/>
    </row>
    <row r="240" spans="2:15" s="193" customFormat="1" ht="20.100000000000001" customHeight="1">
      <c r="B240" s="117"/>
      <c r="C240" s="156" t="s">
        <v>648</v>
      </c>
      <c r="D240" s="127">
        <v>600</v>
      </c>
      <c r="E240" s="120">
        <v>1</v>
      </c>
      <c r="F240" s="121" t="s">
        <v>700</v>
      </c>
      <c r="G240" s="122">
        <v>554640</v>
      </c>
      <c r="H240" s="123">
        <f>TRUNC(G240*$E240,0)</f>
        <v>554640</v>
      </c>
      <c r="I240" s="122"/>
      <c r="J240" s="123">
        <f>TRUNC(I240*$E240,0)</f>
        <v>0</v>
      </c>
      <c r="K240" s="122"/>
      <c r="L240" s="123">
        <f>TRUNC(K240*$E240,0)</f>
        <v>0</v>
      </c>
      <c r="M240" s="124">
        <f t="shared" si="45"/>
        <v>554640</v>
      </c>
      <c r="N240" s="124">
        <f t="shared" si="45"/>
        <v>554640</v>
      </c>
      <c r="O240" s="125"/>
    </row>
    <row r="241" spans="2:15" s="193" customFormat="1" ht="20.100000000000001" customHeight="1">
      <c r="B241" s="140"/>
      <c r="C241" s="141" t="s">
        <v>698</v>
      </c>
      <c r="D241" s="142"/>
      <c r="E241" s="143"/>
      <c r="F241" s="143"/>
      <c r="G241" s="144"/>
      <c r="H241" s="145">
        <f>SUM(H237:H240)</f>
        <v>691120</v>
      </c>
      <c r="I241" s="144"/>
      <c r="J241" s="145">
        <f>SUM(J237:J240)</f>
        <v>300509</v>
      </c>
      <c r="K241" s="144"/>
      <c r="L241" s="145">
        <f>SUM(L237:L240)</f>
        <v>18006</v>
      </c>
      <c r="M241" s="146"/>
      <c r="N241" s="146">
        <f>H241+J241+L241</f>
        <v>1009635</v>
      </c>
      <c r="O241" s="147"/>
    </row>
    <row r="242" spans="2:15" ht="20.100000000000001" customHeight="1">
      <c r="B242" s="148"/>
      <c r="C242" s="149"/>
      <c r="D242" s="149"/>
      <c r="E242" s="150"/>
      <c r="F242" s="150"/>
      <c r="G242" s="151"/>
      <c r="H242" s="152"/>
      <c r="I242" s="151"/>
      <c r="J242" s="152"/>
      <c r="K242" s="151"/>
      <c r="L242" s="152"/>
      <c r="M242" s="153"/>
      <c r="N242" s="153"/>
      <c r="O242" s="154"/>
    </row>
    <row r="243" spans="2:15" s="194" customFormat="1" ht="20.100000000000001" customHeight="1">
      <c r="B243" s="131">
        <f>B236+1</f>
        <v>33</v>
      </c>
      <c r="C243" s="155" t="s">
        <v>826</v>
      </c>
      <c r="D243" s="163">
        <v>600</v>
      </c>
      <c r="E243" s="134">
        <v>1</v>
      </c>
      <c r="F243" s="135" t="s">
        <v>600</v>
      </c>
      <c r="G243" s="136"/>
      <c r="H243" s="136"/>
      <c r="I243" s="136"/>
      <c r="J243" s="136"/>
      <c r="K243" s="136"/>
      <c r="L243" s="136"/>
      <c r="M243" s="136"/>
      <c r="N243" s="136"/>
      <c r="O243" s="137" t="s">
        <v>0</v>
      </c>
    </row>
    <row r="244" spans="2:15" s="193" customFormat="1" ht="20.100000000000001" customHeight="1">
      <c r="B244" s="117"/>
      <c r="C244" s="156" t="s">
        <v>609</v>
      </c>
      <c r="D244" s="139"/>
      <c r="E244" s="120">
        <v>0.2</v>
      </c>
      <c r="F244" s="121" t="s">
        <v>823</v>
      </c>
      <c r="G244" s="122"/>
      <c r="H244" s="123">
        <f>TRUNC(G244*$E244,0)</f>
        <v>0</v>
      </c>
      <c r="I244" s="122">
        <f>노임!$D$24</f>
        <v>492337</v>
      </c>
      <c r="J244" s="123">
        <f>TRUNC(I244*$E244,0)</f>
        <v>98467</v>
      </c>
      <c r="K244" s="122"/>
      <c r="L244" s="123">
        <f>TRUNC(K244*$E244,0)</f>
        <v>0</v>
      </c>
      <c r="M244" s="124">
        <f t="shared" ref="M244:N246" si="46">G244+I244+K244</f>
        <v>492337</v>
      </c>
      <c r="N244" s="124">
        <f t="shared" si="46"/>
        <v>98467</v>
      </c>
      <c r="O244" s="157"/>
    </row>
    <row r="245" spans="2:15" s="193" customFormat="1" ht="20.100000000000001" customHeight="1">
      <c r="B245" s="117"/>
      <c r="C245" s="156" t="s">
        <v>58</v>
      </c>
      <c r="D245" s="139"/>
      <c r="E245" s="120">
        <v>0.14000000000000001</v>
      </c>
      <c r="F245" s="121" t="s">
        <v>704</v>
      </c>
      <c r="G245" s="122"/>
      <c r="H245" s="123">
        <f>TRUNC(G245*$E245,0)</f>
        <v>0</v>
      </c>
      <c r="I245" s="122">
        <f>노임!$D$17</f>
        <v>322627</v>
      </c>
      <c r="J245" s="123">
        <f>TRUNC(I245*$E245,0)</f>
        <v>45167</v>
      </c>
      <c r="K245" s="122"/>
      <c r="L245" s="123">
        <f>TRUNC(K245*$E245,0)</f>
        <v>0</v>
      </c>
      <c r="M245" s="124">
        <f t="shared" si="46"/>
        <v>322627</v>
      </c>
      <c r="N245" s="124">
        <f t="shared" si="46"/>
        <v>45167</v>
      </c>
      <c r="O245" s="157"/>
    </row>
    <row r="246" spans="2:15" s="193" customFormat="1" ht="20.100000000000001" customHeight="1">
      <c r="B246" s="117"/>
      <c r="C246" s="156" t="s">
        <v>627</v>
      </c>
      <c r="D246" s="161">
        <v>5</v>
      </c>
      <c r="E246" s="120">
        <v>0.26</v>
      </c>
      <c r="F246" s="121" t="s">
        <v>815</v>
      </c>
      <c r="G246" s="122"/>
      <c r="H246" s="123">
        <f>TRUNC(G246*$E246,0)</f>
        <v>0</v>
      </c>
      <c r="I246" s="122"/>
      <c r="J246" s="123">
        <f>TRUNC(I246*$E246,0)</f>
        <v>0</v>
      </c>
      <c r="K246" s="122">
        <v>69255</v>
      </c>
      <c r="L246" s="123">
        <f>TRUNC(K246*$E246,0)</f>
        <v>18006</v>
      </c>
      <c r="M246" s="124">
        <f t="shared" si="46"/>
        <v>69255</v>
      </c>
      <c r="N246" s="124">
        <f t="shared" si="46"/>
        <v>18006</v>
      </c>
      <c r="O246" s="157"/>
    </row>
    <row r="247" spans="2:15" s="193" customFormat="1" ht="20.100000000000001" customHeight="1">
      <c r="B247" s="140"/>
      <c r="C247" s="141" t="s">
        <v>698</v>
      </c>
      <c r="D247" s="142"/>
      <c r="E247" s="143"/>
      <c r="F247" s="143"/>
      <c r="G247" s="144"/>
      <c r="H247" s="145">
        <f>SUM(H244:H246)</f>
        <v>0</v>
      </c>
      <c r="I247" s="144"/>
      <c r="J247" s="145">
        <f>SUM(J244:J246)</f>
        <v>143634</v>
      </c>
      <c r="K247" s="144"/>
      <c r="L247" s="145">
        <f>SUM(L244:L246)</f>
        <v>18006</v>
      </c>
      <c r="M247" s="146"/>
      <c r="N247" s="146">
        <f>H247+J247+L247</f>
        <v>161640</v>
      </c>
      <c r="O247" s="147"/>
    </row>
    <row r="248" spans="2:15" s="193" customFormat="1" ht="20.100000000000001" customHeight="1">
      <c r="B248" s="148"/>
      <c r="C248" s="149"/>
      <c r="D248" s="149"/>
      <c r="E248" s="150"/>
      <c r="F248" s="150"/>
      <c r="G248" s="151"/>
      <c r="H248" s="152"/>
      <c r="I248" s="151"/>
      <c r="J248" s="152"/>
      <c r="K248" s="151"/>
      <c r="L248" s="152"/>
      <c r="M248" s="153"/>
      <c r="N248" s="153"/>
      <c r="O248" s="154"/>
    </row>
    <row r="249" spans="2:15" s="194" customFormat="1" ht="20.100000000000001" customHeight="1">
      <c r="B249" s="131">
        <f>B243+1</f>
        <v>34</v>
      </c>
      <c r="C249" s="155" t="s">
        <v>827</v>
      </c>
      <c r="D249" s="163">
        <v>600</v>
      </c>
      <c r="E249" s="134">
        <v>1</v>
      </c>
      <c r="F249" s="135" t="s">
        <v>600</v>
      </c>
      <c r="G249" s="136"/>
      <c r="H249" s="136"/>
      <c r="I249" s="136"/>
      <c r="J249" s="136"/>
      <c r="K249" s="136"/>
      <c r="L249" s="136"/>
      <c r="M249" s="136"/>
      <c r="N249" s="136"/>
      <c r="O249" s="137" t="s">
        <v>0</v>
      </c>
    </row>
    <row r="250" spans="2:15" s="193" customFormat="1" ht="20.100000000000001" customHeight="1">
      <c r="B250" s="117"/>
      <c r="C250" s="156" t="s">
        <v>609</v>
      </c>
      <c r="D250" s="139"/>
      <c r="E250" s="120">
        <v>0.24</v>
      </c>
      <c r="F250" s="121" t="s">
        <v>704</v>
      </c>
      <c r="G250" s="122"/>
      <c r="H250" s="123">
        <f>TRUNC(G250*$E250,0)</f>
        <v>0</v>
      </c>
      <c r="I250" s="122">
        <f>노임!$D$24</f>
        <v>492337</v>
      </c>
      <c r="J250" s="123">
        <f>TRUNC(I250*$E250,0)</f>
        <v>118160</v>
      </c>
      <c r="K250" s="122"/>
      <c r="L250" s="123">
        <f>TRUNC(K250*$E250,0)</f>
        <v>0</v>
      </c>
      <c r="M250" s="124">
        <f>G250+I250+K250</f>
        <v>492337</v>
      </c>
      <c r="N250" s="124">
        <f>H250+J250+L250</f>
        <v>118160</v>
      </c>
      <c r="O250" s="157"/>
    </row>
    <row r="251" spans="2:15" s="193" customFormat="1" ht="20.100000000000001" customHeight="1">
      <c r="B251" s="117"/>
      <c r="C251" s="156" t="s">
        <v>58</v>
      </c>
      <c r="D251" s="139"/>
      <c r="E251" s="120">
        <v>0.12</v>
      </c>
      <c r="F251" s="121" t="s">
        <v>704</v>
      </c>
      <c r="G251" s="122"/>
      <c r="H251" s="123">
        <f>TRUNC(G251*$E251,0)</f>
        <v>0</v>
      </c>
      <c r="I251" s="122">
        <f>노임!$D$17</f>
        <v>322627</v>
      </c>
      <c r="J251" s="123">
        <f>TRUNC(I251*$E251,0)</f>
        <v>38715</v>
      </c>
      <c r="K251" s="122"/>
      <c r="L251" s="123">
        <f>TRUNC(K251*$E251,0)</f>
        <v>0</v>
      </c>
      <c r="M251" s="124">
        <f>G251+I251+K251</f>
        <v>322627</v>
      </c>
      <c r="N251" s="124">
        <f>H251+J251+L251</f>
        <v>38715</v>
      </c>
      <c r="O251" s="157"/>
    </row>
    <row r="252" spans="2:15" s="193" customFormat="1" ht="20.100000000000001" customHeight="1">
      <c r="B252" s="140"/>
      <c r="C252" s="141" t="s">
        <v>763</v>
      </c>
      <c r="D252" s="142"/>
      <c r="E252" s="143"/>
      <c r="F252" s="143"/>
      <c r="G252" s="144"/>
      <c r="H252" s="145">
        <f>SUM(H250:H251)</f>
        <v>0</v>
      </c>
      <c r="I252" s="144"/>
      <c r="J252" s="145">
        <f>SUM(J250:J251)</f>
        <v>156875</v>
      </c>
      <c r="K252" s="144"/>
      <c r="L252" s="145">
        <f>SUM(L250:L251)</f>
        <v>0</v>
      </c>
      <c r="M252" s="146"/>
      <c r="N252" s="146">
        <f>H252+J252+L252</f>
        <v>156875</v>
      </c>
      <c r="O252" s="147"/>
    </row>
    <row r="253" spans="2:15" ht="20.100000000000001" customHeight="1">
      <c r="B253" s="148"/>
      <c r="C253" s="149"/>
      <c r="D253" s="149"/>
      <c r="E253" s="150"/>
      <c r="F253" s="150"/>
      <c r="G253" s="151"/>
      <c r="H253" s="152"/>
      <c r="I253" s="151"/>
      <c r="J253" s="152"/>
      <c r="K253" s="151"/>
      <c r="L253" s="152"/>
      <c r="M253" s="153"/>
      <c r="N253" s="153"/>
      <c r="O253" s="154"/>
    </row>
    <row r="254" spans="2:15" s="194" customFormat="1" ht="20.100000000000001" customHeight="1">
      <c r="B254" s="131">
        <f>B249+1</f>
        <v>35</v>
      </c>
      <c r="C254" s="155" t="s">
        <v>828</v>
      </c>
      <c r="D254" s="133">
        <v>700</v>
      </c>
      <c r="E254" s="134">
        <v>1</v>
      </c>
      <c r="F254" s="135" t="s">
        <v>600</v>
      </c>
      <c r="G254" s="136"/>
      <c r="H254" s="136"/>
      <c r="I254" s="136"/>
      <c r="J254" s="136"/>
      <c r="K254" s="136"/>
      <c r="L254" s="136"/>
      <c r="M254" s="136"/>
      <c r="N254" s="136"/>
      <c r="O254" s="137" t="s">
        <v>0</v>
      </c>
    </row>
    <row r="255" spans="2:15" s="193" customFormat="1" ht="20.100000000000001" customHeight="1">
      <c r="B255" s="117"/>
      <c r="C255" s="156" t="s">
        <v>54</v>
      </c>
      <c r="D255" s="139"/>
      <c r="E255" s="120">
        <v>1</v>
      </c>
      <c r="F255" s="121" t="s">
        <v>704</v>
      </c>
      <c r="G255" s="122"/>
      <c r="H255" s="123">
        <f>TRUNC(G255*$E255,0)</f>
        <v>0</v>
      </c>
      <c r="I255" s="122">
        <f>노임!$D$30</f>
        <v>628835</v>
      </c>
      <c r="J255" s="123">
        <f>TRUNC(I255*$E255,0)</f>
        <v>628835</v>
      </c>
      <c r="K255" s="122"/>
      <c r="L255" s="123">
        <f>TRUNC(K255*$E255,0)</f>
        <v>0</v>
      </c>
      <c r="M255" s="124">
        <f>G255+I255+K255</f>
        <v>628835</v>
      </c>
      <c r="N255" s="124">
        <f>H255+J255+L255</f>
        <v>628835</v>
      </c>
      <c r="O255" s="157"/>
    </row>
    <row r="256" spans="2:15" s="193" customFormat="1" ht="20.100000000000001" customHeight="1">
      <c r="B256" s="140"/>
      <c r="C256" s="141" t="s">
        <v>817</v>
      </c>
      <c r="D256" s="142"/>
      <c r="E256" s="143"/>
      <c r="F256" s="143"/>
      <c r="G256" s="144"/>
      <c r="H256" s="145">
        <f>SUM(H255:H255)</f>
        <v>0</v>
      </c>
      <c r="I256" s="144"/>
      <c r="J256" s="145">
        <f>SUM(J255:J255)</f>
        <v>628835</v>
      </c>
      <c r="K256" s="144"/>
      <c r="L256" s="145">
        <f>SUM(L255:L255)</f>
        <v>0</v>
      </c>
      <c r="M256" s="146"/>
      <c r="N256" s="146">
        <f>H256+J256+L256</f>
        <v>628835</v>
      </c>
      <c r="O256" s="147"/>
    </row>
    <row r="257" spans="2:15" ht="20.100000000000001" customHeight="1">
      <c r="B257" s="148"/>
      <c r="C257" s="149"/>
      <c r="D257" s="149"/>
      <c r="E257" s="150"/>
      <c r="F257" s="150"/>
      <c r="G257" s="151"/>
      <c r="H257" s="152"/>
      <c r="I257" s="151"/>
      <c r="J257" s="152"/>
      <c r="K257" s="151"/>
      <c r="L257" s="152"/>
      <c r="M257" s="153"/>
      <c r="N257" s="153"/>
      <c r="O257" s="154"/>
    </row>
    <row r="258" spans="2:15" s="194" customFormat="1" ht="20.100000000000001" customHeight="1">
      <c r="B258" s="131">
        <f>B254+1</f>
        <v>36</v>
      </c>
      <c r="C258" s="155" t="s">
        <v>829</v>
      </c>
      <c r="D258" s="133">
        <v>700</v>
      </c>
      <c r="E258" s="134">
        <v>1</v>
      </c>
      <c r="F258" s="135" t="s">
        <v>600</v>
      </c>
      <c r="G258" s="136"/>
      <c r="H258" s="136"/>
      <c r="I258" s="136"/>
      <c r="J258" s="136"/>
      <c r="K258" s="136"/>
      <c r="L258" s="136"/>
      <c r="M258" s="136"/>
      <c r="N258" s="136"/>
      <c r="O258" s="137" t="s">
        <v>0</v>
      </c>
    </row>
    <row r="259" spans="2:15" s="193" customFormat="1" ht="20.100000000000001" customHeight="1">
      <c r="B259" s="117"/>
      <c r="C259" s="156" t="s">
        <v>830</v>
      </c>
      <c r="D259" s="139"/>
      <c r="E259" s="120">
        <v>1</v>
      </c>
      <c r="F259" s="121" t="s">
        <v>831</v>
      </c>
      <c r="G259" s="122"/>
      <c r="H259" s="123">
        <f>TRUNC(G259*$E259,0)</f>
        <v>0</v>
      </c>
      <c r="I259" s="122"/>
      <c r="J259" s="123">
        <f>TRUNC(I259*$E259,0)</f>
        <v>0</v>
      </c>
      <c r="K259" s="122">
        <v>303354</v>
      </c>
      <c r="L259" s="123">
        <f>TRUNC(K259*$E259,0)</f>
        <v>303354</v>
      </c>
      <c r="M259" s="124">
        <f>G259+I259+K259</f>
        <v>303354</v>
      </c>
      <c r="N259" s="124">
        <f>H259+J259+L259</f>
        <v>303354</v>
      </c>
      <c r="O259" s="157"/>
    </row>
    <row r="260" spans="2:15" s="193" customFormat="1" ht="20.100000000000001" customHeight="1">
      <c r="B260" s="140"/>
      <c r="C260" s="141" t="s">
        <v>698</v>
      </c>
      <c r="D260" s="142"/>
      <c r="E260" s="143"/>
      <c r="F260" s="143"/>
      <c r="G260" s="144"/>
      <c r="H260" s="145">
        <f>SUM(H259:H259)</f>
        <v>0</v>
      </c>
      <c r="I260" s="144"/>
      <c r="J260" s="145">
        <f>SUM(J259:J259)</f>
        <v>0</v>
      </c>
      <c r="K260" s="144"/>
      <c r="L260" s="145">
        <f>SUM(L259:L259)</f>
        <v>303354</v>
      </c>
      <c r="M260" s="146"/>
      <c r="N260" s="146">
        <f>H260+J260+L260</f>
        <v>303354</v>
      </c>
      <c r="O260" s="147"/>
    </row>
    <row r="261" spans="2:15" ht="20.100000000000001" customHeight="1">
      <c r="B261" s="148"/>
      <c r="C261" s="149"/>
      <c r="D261" s="149"/>
      <c r="E261" s="150"/>
      <c r="F261" s="150"/>
      <c r="G261" s="151"/>
      <c r="H261" s="152"/>
      <c r="I261" s="151"/>
      <c r="J261" s="152"/>
      <c r="K261" s="151"/>
      <c r="L261" s="152"/>
      <c r="M261" s="153"/>
      <c r="N261" s="153"/>
      <c r="O261" s="154"/>
    </row>
    <row r="262" spans="2:15" s="194" customFormat="1" ht="20.100000000000001" customHeight="1">
      <c r="B262" s="131">
        <f>B258+1</f>
        <v>37</v>
      </c>
      <c r="C262" s="155" t="s">
        <v>749</v>
      </c>
      <c r="D262" s="163">
        <v>600</v>
      </c>
      <c r="E262" s="134">
        <v>1</v>
      </c>
      <c r="F262" s="135" t="s">
        <v>600</v>
      </c>
      <c r="G262" s="136"/>
      <c r="H262" s="136"/>
      <c r="I262" s="136"/>
      <c r="J262" s="136"/>
      <c r="K262" s="136"/>
      <c r="L262" s="136"/>
      <c r="M262" s="136"/>
      <c r="N262" s="136"/>
      <c r="O262" s="137" t="s">
        <v>0</v>
      </c>
    </row>
    <row r="263" spans="2:15" s="193" customFormat="1" ht="20.100000000000001" customHeight="1">
      <c r="B263" s="117"/>
      <c r="C263" s="156" t="s">
        <v>832</v>
      </c>
      <c r="D263" s="139" t="s">
        <v>58</v>
      </c>
      <c r="E263" s="120">
        <v>8</v>
      </c>
      <c r="F263" s="121" t="s">
        <v>833</v>
      </c>
      <c r="G263" s="122">
        <v>0</v>
      </c>
      <c r="H263" s="123">
        <f>TRUNC(G263*$E263,0)</f>
        <v>0</v>
      </c>
      <c r="I263" s="122">
        <f>J268</f>
        <v>101627</v>
      </c>
      <c r="J263" s="123">
        <f>TRUNC(I263*$E263,0)</f>
        <v>813016</v>
      </c>
      <c r="K263" s="122">
        <v>0</v>
      </c>
      <c r="L263" s="123">
        <f>TRUNC(K263*$E263,0)</f>
        <v>0</v>
      </c>
      <c r="M263" s="124">
        <f>G263+I263+K263</f>
        <v>101627</v>
      </c>
      <c r="N263" s="124">
        <f>H263+J263+L263</f>
        <v>813016</v>
      </c>
      <c r="O263" s="125">
        <f>B266</f>
        <v>38</v>
      </c>
    </row>
    <row r="264" spans="2:15" s="193" customFormat="1" ht="20.100000000000001" customHeight="1">
      <c r="B264" s="140"/>
      <c r="C264" s="141" t="s">
        <v>698</v>
      </c>
      <c r="D264" s="142"/>
      <c r="E264" s="143"/>
      <c r="F264" s="143"/>
      <c r="G264" s="144"/>
      <c r="H264" s="145">
        <f>SUM(H263:H263)</f>
        <v>0</v>
      </c>
      <c r="I264" s="144"/>
      <c r="J264" s="145">
        <f>SUM(J263:J263)</f>
        <v>813016</v>
      </c>
      <c r="K264" s="144"/>
      <c r="L264" s="145">
        <f>SUM(L263:L263)</f>
        <v>0</v>
      </c>
      <c r="M264" s="146"/>
      <c r="N264" s="146">
        <f>H264+J264+L264</f>
        <v>813016</v>
      </c>
      <c r="O264" s="147"/>
    </row>
    <row r="265" spans="2:15" ht="20.100000000000001" customHeight="1">
      <c r="B265" s="148"/>
      <c r="C265" s="149"/>
      <c r="D265" s="149"/>
      <c r="E265" s="150"/>
      <c r="F265" s="150"/>
      <c r="G265" s="151"/>
      <c r="H265" s="152"/>
      <c r="I265" s="151"/>
      <c r="J265" s="152"/>
      <c r="K265" s="151"/>
      <c r="L265" s="152"/>
      <c r="M265" s="153"/>
      <c r="N265" s="153"/>
      <c r="O265" s="154"/>
    </row>
    <row r="266" spans="2:15" s="194" customFormat="1" ht="20.100000000000001" customHeight="1">
      <c r="B266" s="131">
        <f>B262+1</f>
        <v>38</v>
      </c>
      <c r="C266" s="155" t="s">
        <v>834</v>
      </c>
      <c r="D266" s="163">
        <v>600</v>
      </c>
      <c r="E266" s="134">
        <v>1</v>
      </c>
      <c r="F266" s="135" t="s">
        <v>835</v>
      </c>
      <c r="G266" s="136"/>
      <c r="H266" s="136"/>
      <c r="I266" s="136"/>
      <c r="J266" s="136"/>
      <c r="K266" s="136"/>
      <c r="L266" s="136"/>
      <c r="M266" s="136"/>
      <c r="N266" s="136"/>
      <c r="O266" s="137" t="s">
        <v>0</v>
      </c>
    </row>
    <row r="267" spans="2:15" s="193" customFormat="1" ht="20.100000000000001" customHeight="1">
      <c r="B267" s="117"/>
      <c r="C267" s="156" t="s">
        <v>58</v>
      </c>
      <c r="D267" s="139"/>
      <c r="E267" s="120">
        <v>0.315</v>
      </c>
      <c r="F267" s="121" t="s">
        <v>704</v>
      </c>
      <c r="G267" s="122"/>
      <c r="H267" s="123">
        <f>TRUNC(G267*$E267,0)</f>
        <v>0</v>
      </c>
      <c r="I267" s="122">
        <f>노임!$D$17</f>
        <v>322627</v>
      </c>
      <c r="J267" s="123">
        <f>TRUNC(I267*$E267,0)</f>
        <v>101627</v>
      </c>
      <c r="K267" s="122"/>
      <c r="L267" s="123">
        <f>TRUNC(K267*$E267,0)</f>
        <v>0</v>
      </c>
      <c r="M267" s="124">
        <f>G267+I267+K267</f>
        <v>322627</v>
      </c>
      <c r="N267" s="124">
        <f>H267+J267+L267</f>
        <v>101627</v>
      </c>
      <c r="O267" s="157"/>
    </row>
    <row r="268" spans="2:15" s="193" customFormat="1" ht="20.100000000000001" customHeight="1">
      <c r="B268" s="140"/>
      <c r="C268" s="141" t="s">
        <v>698</v>
      </c>
      <c r="D268" s="142"/>
      <c r="E268" s="143"/>
      <c r="F268" s="143"/>
      <c r="G268" s="144"/>
      <c r="H268" s="145">
        <f>SUM(H267:H267)</f>
        <v>0</v>
      </c>
      <c r="I268" s="144"/>
      <c r="J268" s="145">
        <f>SUM(J267:J267)</f>
        <v>101627</v>
      </c>
      <c r="K268" s="144"/>
      <c r="L268" s="145">
        <f>SUM(L267:L267)</f>
        <v>0</v>
      </c>
      <c r="M268" s="146"/>
      <c r="N268" s="146">
        <f>H268+J268+L268</f>
        <v>101627</v>
      </c>
      <c r="O268" s="147"/>
    </row>
    <row r="269" spans="2:15" ht="20.100000000000001" customHeight="1">
      <c r="B269" s="165"/>
      <c r="C269" s="166"/>
      <c r="D269" s="166"/>
      <c r="E269" s="167"/>
      <c r="F269" s="167"/>
      <c r="G269" s="168"/>
      <c r="H269" s="169"/>
      <c r="I269" s="168"/>
      <c r="J269" s="169"/>
      <c r="K269" s="168"/>
      <c r="L269" s="169"/>
      <c r="M269" s="170"/>
      <c r="N269" s="170"/>
      <c r="O269" s="171"/>
    </row>
  </sheetData>
  <sheetProtection selectLockedCells="1" selectUnlockedCells="1"/>
  <mergeCells count="18">
    <mergeCell ref="M20:N20"/>
    <mergeCell ref="O20:O21"/>
    <mergeCell ref="K3:L3"/>
    <mergeCell ref="M3:N3"/>
    <mergeCell ref="O3:O4"/>
    <mergeCell ref="I20:J20"/>
    <mergeCell ref="K20:L20"/>
    <mergeCell ref="B3:C4"/>
    <mergeCell ref="D3:D4"/>
    <mergeCell ref="E3:E4"/>
    <mergeCell ref="F3:F4"/>
    <mergeCell ref="G3:H3"/>
    <mergeCell ref="I3:J3"/>
    <mergeCell ref="B20:C21"/>
    <mergeCell ref="D20:D21"/>
    <mergeCell ref="E20:E21"/>
    <mergeCell ref="F20:F21"/>
    <mergeCell ref="G20:H20"/>
  </mergeCells>
  <phoneticPr fontId="2" type="noConversion"/>
  <printOptions horizontalCentered="1"/>
  <pageMargins left="1.1811023622047245" right="0.39370078740157483" top="0.39370078740157483" bottom="0.39370078740157483" header="0" footer="0"/>
  <pageSetup paperSize="9" scale="6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-0.499984740745262"/>
  </sheetPr>
  <dimension ref="B1:P269"/>
  <sheetViews>
    <sheetView view="pageBreakPreview" zoomScaleNormal="85" zoomScaleSheetLayoutView="100" workbookViewId="0">
      <pane xSplit="6" ySplit="4" topLeftCell="G249" activePane="bottomRight" state="frozen"/>
      <selection activeCell="L18" sqref="L18:M18"/>
      <selection pane="topRight" activeCell="L18" sqref="L18:M18"/>
      <selection pane="bottomLeft" activeCell="L18" sqref="L18:M18"/>
      <selection pane="bottomRight" activeCell="I264" sqref="I264"/>
    </sheetView>
  </sheetViews>
  <sheetFormatPr defaultRowHeight="20.100000000000001" customHeight="1"/>
  <cols>
    <col min="1" max="1" width="6.1640625" style="197" customWidth="1"/>
    <col min="2" max="2" width="8.83203125" style="172" customWidth="1"/>
    <col min="3" max="3" width="48.83203125" style="173" customWidth="1"/>
    <col min="4" max="4" width="30.1640625" style="173" customWidth="1"/>
    <col min="5" max="5" width="11.5" style="173" customWidth="1"/>
    <col min="6" max="6" width="8.83203125" style="173" customWidth="1"/>
    <col min="7" max="13" width="18.1640625" style="173" customWidth="1"/>
    <col min="14" max="14" width="18.1640625" style="197" customWidth="1"/>
    <col min="15" max="15" width="8.83203125" style="173" customWidth="1"/>
    <col min="16" max="256" width="9.33203125" style="197"/>
    <col min="257" max="257" width="6.1640625" style="197" customWidth="1"/>
    <col min="258" max="258" width="8.83203125" style="197" customWidth="1"/>
    <col min="259" max="259" width="48.83203125" style="197" customWidth="1"/>
    <col min="260" max="260" width="30.1640625" style="197" customWidth="1"/>
    <col min="261" max="261" width="11.5" style="197" customWidth="1"/>
    <col min="262" max="262" width="8.83203125" style="197" customWidth="1"/>
    <col min="263" max="270" width="18.1640625" style="197" customWidth="1"/>
    <col min="271" max="271" width="8.83203125" style="197" customWidth="1"/>
    <col min="272" max="512" width="9.33203125" style="197"/>
    <col min="513" max="513" width="6.1640625" style="197" customWidth="1"/>
    <col min="514" max="514" width="8.83203125" style="197" customWidth="1"/>
    <col min="515" max="515" width="48.83203125" style="197" customWidth="1"/>
    <col min="516" max="516" width="30.1640625" style="197" customWidth="1"/>
    <col min="517" max="517" width="11.5" style="197" customWidth="1"/>
    <col min="518" max="518" width="8.83203125" style="197" customWidth="1"/>
    <col min="519" max="526" width="18.1640625" style="197" customWidth="1"/>
    <col min="527" max="527" width="8.83203125" style="197" customWidth="1"/>
    <col min="528" max="768" width="9.33203125" style="197"/>
    <col min="769" max="769" width="6.1640625" style="197" customWidth="1"/>
    <col min="770" max="770" width="8.83203125" style="197" customWidth="1"/>
    <col min="771" max="771" width="48.83203125" style="197" customWidth="1"/>
    <col min="772" max="772" width="30.1640625" style="197" customWidth="1"/>
    <col min="773" max="773" width="11.5" style="197" customWidth="1"/>
    <col min="774" max="774" width="8.83203125" style="197" customWidth="1"/>
    <col min="775" max="782" width="18.1640625" style="197" customWidth="1"/>
    <col min="783" max="783" width="8.83203125" style="197" customWidth="1"/>
    <col min="784" max="1024" width="9.33203125" style="197"/>
    <col min="1025" max="1025" width="6.1640625" style="197" customWidth="1"/>
    <col min="1026" max="1026" width="8.83203125" style="197" customWidth="1"/>
    <col min="1027" max="1027" width="48.83203125" style="197" customWidth="1"/>
    <col min="1028" max="1028" width="30.1640625" style="197" customWidth="1"/>
    <col min="1029" max="1029" width="11.5" style="197" customWidth="1"/>
    <col min="1030" max="1030" width="8.83203125" style="197" customWidth="1"/>
    <col min="1031" max="1038" width="18.1640625" style="197" customWidth="1"/>
    <col min="1039" max="1039" width="8.83203125" style="197" customWidth="1"/>
    <col min="1040" max="1280" width="9.33203125" style="197"/>
    <col min="1281" max="1281" width="6.1640625" style="197" customWidth="1"/>
    <col min="1282" max="1282" width="8.83203125" style="197" customWidth="1"/>
    <col min="1283" max="1283" width="48.83203125" style="197" customWidth="1"/>
    <col min="1284" max="1284" width="30.1640625" style="197" customWidth="1"/>
    <col min="1285" max="1285" width="11.5" style="197" customWidth="1"/>
    <col min="1286" max="1286" width="8.83203125" style="197" customWidth="1"/>
    <col min="1287" max="1294" width="18.1640625" style="197" customWidth="1"/>
    <col min="1295" max="1295" width="8.83203125" style="197" customWidth="1"/>
    <col min="1296" max="1536" width="9.33203125" style="197"/>
    <col min="1537" max="1537" width="6.1640625" style="197" customWidth="1"/>
    <col min="1538" max="1538" width="8.83203125" style="197" customWidth="1"/>
    <col min="1539" max="1539" width="48.83203125" style="197" customWidth="1"/>
    <col min="1540" max="1540" width="30.1640625" style="197" customWidth="1"/>
    <col min="1541" max="1541" width="11.5" style="197" customWidth="1"/>
    <col min="1542" max="1542" width="8.83203125" style="197" customWidth="1"/>
    <col min="1543" max="1550" width="18.1640625" style="197" customWidth="1"/>
    <col min="1551" max="1551" width="8.83203125" style="197" customWidth="1"/>
    <col min="1552" max="1792" width="9.33203125" style="197"/>
    <col min="1793" max="1793" width="6.1640625" style="197" customWidth="1"/>
    <col min="1794" max="1794" width="8.83203125" style="197" customWidth="1"/>
    <col min="1795" max="1795" width="48.83203125" style="197" customWidth="1"/>
    <col min="1796" max="1796" width="30.1640625" style="197" customWidth="1"/>
    <col min="1797" max="1797" width="11.5" style="197" customWidth="1"/>
    <col min="1798" max="1798" width="8.83203125" style="197" customWidth="1"/>
    <col min="1799" max="1806" width="18.1640625" style="197" customWidth="1"/>
    <col min="1807" max="1807" width="8.83203125" style="197" customWidth="1"/>
    <col min="1808" max="2048" width="9.33203125" style="197"/>
    <col min="2049" max="2049" width="6.1640625" style="197" customWidth="1"/>
    <col min="2050" max="2050" width="8.83203125" style="197" customWidth="1"/>
    <col min="2051" max="2051" width="48.83203125" style="197" customWidth="1"/>
    <col min="2052" max="2052" width="30.1640625" style="197" customWidth="1"/>
    <col min="2053" max="2053" width="11.5" style="197" customWidth="1"/>
    <col min="2054" max="2054" width="8.83203125" style="197" customWidth="1"/>
    <col min="2055" max="2062" width="18.1640625" style="197" customWidth="1"/>
    <col min="2063" max="2063" width="8.83203125" style="197" customWidth="1"/>
    <col min="2064" max="2304" width="9.33203125" style="197"/>
    <col min="2305" max="2305" width="6.1640625" style="197" customWidth="1"/>
    <col min="2306" max="2306" width="8.83203125" style="197" customWidth="1"/>
    <col min="2307" max="2307" width="48.83203125" style="197" customWidth="1"/>
    <col min="2308" max="2308" width="30.1640625" style="197" customWidth="1"/>
    <col min="2309" max="2309" width="11.5" style="197" customWidth="1"/>
    <col min="2310" max="2310" width="8.83203125" style="197" customWidth="1"/>
    <col min="2311" max="2318" width="18.1640625" style="197" customWidth="1"/>
    <col min="2319" max="2319" width="8.83203125" style="197" customWidth="1"/>
    <col min="2320" max="2560" width="9.33203125" style="197"/>
    <col min="2561" max="2561" width="6.1640625" style="197" customWidth="1"/>
    <col min="2562" max="2562" width="8.83203125" style="197" customWidth="1"/>
    <col min="2563" max="2563" width="48.83203125" style="197" customWidth="1"/>
    <col min="2564" max="2564" width="30.1640625" style="197" customWidth="1"/>
    <col min="2565" max="2565" width="11.5" style="197" customWidth="1"/>
    <col min="2566" max="2566" width="8.83203125" style="197" customWidth="1"/>
    <col min="2567" max="2574" width="18.1640625" style="197" customWidth="1"/>
    <col min="2575" max="2575" width="8.83203125" style="197" customWidth="1"/>
    <col min="2576" max="2816" width="9.33203125" style="197"/>
    <col min="2817" max="2817" width="6.1640625" style="197" customWidth="1"/>
    <col min="2818" max="2818" width="8.83203125" style="197" customWidth="1"/>
    <col min="2819" max="2819" width="48.83203125" style="197" customWidth="1"/>
    <col min="2820" max="2820" width="30.1640625" style="197" customWidth="1"/>
    <col min="2821" max="2821" width="11.5" style="197" customWidth="1"/>
    <col min="2822" max="2822" width="8.83203125" style="197" customWidth="1"/>
    <col min="2823" max="2830" width="18.1640625" style="197" customWidth="1"/>
    <col min="2831" max="2831" width="8.83203125" style="197" customWidth="1"/>
    <col min="2832" max="3072" width="9.33203125" style="197"/>
    <col min="3073" max="3073" width="6.1640625" style="197" customWidth="1"/>
    <col min="3074" max="3074" width="8.83203125" style="197" customWidth="1"/>
    <col min="3075" max="3075" width="48.83203125" style="197" customWidth="1"/>
    <col min="3076" max="3076" width="30.1640625" style="197" customWidth="1"/>
    <col min="3077" max="3077" width="11.5" style="197" customWidth="1"/>
    <col min="3078" max="3078" width="8.83203125" style="197" customWidth="1"/>
    <col min="3079" max="3086" width="18.1640625" style="197" customWidth="1"/>
    <col min="3087" max="3087" width="8.83203125" style="197" customWidth="1"/>
    <col min="3088" max="3328" width="9.33203125" style="197"/>
    <col min="3329" max="3329" width="6.1640625" style="197" customWidth="1"/>
    <col min="3330" max="3330" width="8.83203125" style="197" customWidth="1"/>
    <col min="3331" max="3331" width="48.83203125" style="197" customWidth="1"/>
    <col min="3332" max="3332" width="30.1640625" style="197" customWidth="1"/>
    <col min="3333" max="3333" width="11.5" style="197" customWidth="1"/>
    <col min="3334" max="3334" width="8.83203125" style="197" customWidth="1"/>
    <col min="3335" max="3342" width="18.1640625" style="197" customWidth="1"/>
    <col min="3343" max="3343" width="8.83203125" style="197" customWidth="1"/>
    <col min="3344" max="3584" width="9.33203125" style="197"/>
    <col min="3585" max="3585" width="6.1640625" style="197" customWidth="1"/>
    <col min="3586" max="3586" width="8.83203125" style="197" customWidth="1"/>
    <col min="3587" max="3587" width="48.83203125" style="197" customWidth="1"/>
    <col min="3588" max="3588" width="30.1640625" style="197" customWidth="1"/>
    <col min="3589" max="3589" width="11.5" style="197" customWidth="1"/>
    <col min="3590" max="3590" width="8.83203125" style="197" customWidth="1"/>
    <col min="3591" max="3598" width="18.1640625" style="197" customWidth="1"/>
    <col min="3599" max="3599" width="8.83203125" style="197" customWidth="1"/>
    <col min="3600" max="3840" width="9.33203125" style="197"/>
    <col min="3841" max="3841" width="6.1640625" style="197" customWidth="1"/>
    <col min="3842" max="3842" width="8.83203125" style="197" customWidth="1"/>
    <col min="3843" max="3843" width="48.83203125" style="197" customWidth="1"/>
    <col min="3844" max="3844" width="30.1640625" style="197" customWidth="1"/>
    <col min="3845" max="3845" width="11.5" style="197" customWidth="1"/>
    <col min="3846" max="3846" width="8.83203125" style="197" customWidth="1"/>
    <col min="3847" max="3854" width="18.1640625" style="197" customWidth="1"/>
    <col min="3855" max="3855" width="8.83203125" style="197" customWidth="1"/>
    <col min="3856" max="4096" width="9.33203125" style="197"/>
    <col min="4097" max="4097" width="6.1640625" style="197" customWidth="1"/>
    <col min="4098" max="4098" width="8.83203125" style="197" customWidth="1"/>
    <col min="4099" max="4099" width="48.83203125" style="197" customWidth="1"/>
    <col min="4100" max="4100" width="30.1640625" style="197" customWidth="1"/>
    <col min="4101" max="4101" width="11.5" style="197" customWidth="1"/>
    <col min="4102" max="4102" width="8.83203125" style="197" customWidth="1"/>
    <col min="4103" max="4110" width="18.1640625" style="197" customWidth="1"/>
    <col min="4111" max="4111" width="8.83203125" style="197" customWidth="1"/>
    <col min="4112" max="4352" width="9.33203125" style="197"/>
    <col min="4353" max="4353" width="6.1640625" style="197" customWidth="1"/>
    <col min="4354" max="4354" width="8.83203125" style="197" customWidth="1"/>
    <col min="4355" max="4355" width="48.83203125" style="197" customWidth="1"/>
    <col min="4356" max="4356" width="30.1640625" style="197" customWidth="1"/>
    <col min="4357" max="4357" width="11.5" style="197" customWidth="1"/>
    <col min="4358" max="4358" width="8.83203125" style="197" customWidth="1"/>
    <col min="4359" max="4366" width="18.1640625" style="197" customWidth="1"/>
    <col min="4367" max="4367" width="8.83203125" style="197" customWidth="1"/>
    <col min="4368" max="4608" width="9.33203125" style="197"/>
    <col min="4609" max="4609" width="6.1640625" style="197" customWidth="1"/>
    <col min="4610" max="4610" width="8.83203125" style="197" customWidth="1"/>
    <col min="4611" max="4611" width="48.83203125" style="197" customWidth="1"/>
    <col min="4612" max="4612" width="30.1640625" style="197" customWidth="1"/>
    <col min="4613" max="4613" width="11.5" style="197" customWidth="1"/>
    <col min="4614" max="4614" width="8.83203125" style="197" customWidth="1"/>
    <col min="4615" max="4622" width="18.1640625" style="197" customWidth="1"/>
    <col min="4623" max="4623" width="8.83203125" style="197" customWidth="1"/>
    <col min="4624" max="4864" width="9.33203125" style="197"/>
    <col min="4865" max="4865" width="6.1640625" style="197" customWidth="1"/>
    <col min="4866" max="4866" width="8.83203125" style="197" customWidth="1"/>
    <col min="4867" max="4867" width="48.83203125" style="197" customWidth="1"/>
    <col min="4868" max="4868" width="30.1640625" style="197" customWidth="1"/>
    <col min="4869" max="4869" width="11.5" style="197" customWidth="1"/>
    <col min="4870" max="4870" width="8.83203125" style="197" customWidth="1"/>
    <col min="4871" max="4878" width="18.1640625" style="197" customWidth="1"/>
    <col min="4879" max="4879" width="8.83203125" style="197" customWidth="1"/>
    <col min="4880" max="5120" width="9.33203125" style="197"/>
    <col min="5121" max="5121" width="6.1640625" style="197" customWidth="1"/>
    <col min="5122" max="5122" width="8.83203125" style="197" customWidth="1"/>
    <col min="5123" max="5123" width="48.83203125" style="197" customWidth="1"/>
    <col min="5124" max="5124" width="30.1640625" style="197" customWidth="1"/>
    <col min="5125" max="5125" width="11.5" style="197" customWidth="1"/>
    <col min="5126" max="5126" width="8.83203125" style="197" customWidth="1"/>
    <col min="5127" max="5134" width="18.1640625" style="197" customWidth="1"/>
    <col min="5135" max="5135" width="8.83203125" style="197" customWidth="1"/>
    <col min="5136" max="5376" width="9.33203125" style="197"/>
    <col min="5377" max="5377" width="6.1640625" style="197" customWidth="1"/>
    <col min="5378" max="5378" width="8.83203125" style="197" customWidth="1"/>
    <col min="5379" max="5379" width="48.83203125" style="197" customWidth="1"/>
    <col min="5380" max="5380" width="30.1640625" style="197" customWidth="1"/>
    <col min="5381" max="5381" width="11.5" style="197" customWidth="1"/>
    <col min="5382" max="5382" width="8.83203125" style="197" customWidth="1"/>
    <col min="5383" max="5390" width="18.1640625" style="197" customWidth="1"/>
    <col min="5391" max="5391" width="8.83203125" style="197" customWidth="1"/>
    <col min="5392" max="5632" width="9.33203125" style="197"/>
    <col min="5633" max="5633" width="6.1640625" style="197" customWidth="1"/>
    <col min="5634" max="5634" width="8.83203125" style="197" customWidth="1"/>
    <col min="5635" max="5635" width="48.83203125" style="197" customWidth="1"/>
    <col min="5636" max="5636" width="30.1640625" style="197" customWidth="1"/>
    <col min="5637" max="5637" width="11.5" style="197" customWidth="1"/>
    <col min="5638" max="5638" width="8.83203125" style="197" customWidth="1"/>
    <col min="5639" max="5646" width="18.1640625" style="197" customWidth="1"/>
    <col min="5647" max="5647" width="8.83203125" style="197" customWidth="1"/>
    <col min="5648" max="5888" width="9.33203125" style="197"/>
    <col min="5889" max="5889" width="6.1640625" style="197" customWidth="1"/>
    <col min="5890" max="5890" width="8.83203125" style="197" customWidth="1"/>
    <col min="5891" max="5891" width="48.83203125" style="197" customWidth="1"/>
    <col min="5892" max="5892" width="30.1640625" style="197" customWidth="1"/>
    <col min="5893" max="5893" width="11.5" style="197" customWidth="1"/>
    <col min="5894" max="5894" width="8.83203125" style="197" customWidth="1"/>
    <col min="5895" max="5902" width="18.1640625" style="197" customWidth="1"/>
    <col min="5903" max="5903" width="8.83203125" style="197" customWidth="1"/>
    <col min="5904" max="6144" width="9.33203125" style="197"/>
    <col min="6145" max="6145" width="6.1640625" style="197" customWidth="1"/>
    <col min="6146" max="6146" width="8.83203125" style="197" customWidth="1"/>
    <col min="6147" max="6147" width="48.83203125" style="197" customWidth="1"/>
    <col min="6148" max="6148" width="30.1640625" style="197" customWidth="1"/>
    <col min="6149" max="6149" width="11.5" style="197" customWidth="1"/>
    <col min="6150" max="6150" width="8.83203125" style="197" customWidth="1"/>
    <col min="6151" max="6158" width="18.1640625" style="197" customWidth="1"/>
    <col min="6159" max="6159" width="8.83203125" style="197" customWidth="1"/>
    <col min="6160" max="6400" width="9.33203125" style="197"/>
    <col min="6401" max="6401" width="6.1640625" style="197" customWidth="1"/>
    <col min="6402" max="6402" width="8.83203125" style="197" customWidth="1"/>
    <col min="6403" max="6403" width="48.83203125" style="197" customWidth="1"/>
    <col min="6404" max="6404" width="30.1640625" style="197" customWidth="1"/>
    <col min="6405" max="6405" width="11.5" style="197" customWidth="1"/>
    <col min="6406" max="6406" width="8.83203125" style="197" customWidth="1"/>
    <col min="6407" max="6414" width="18.1640625" style="197" customWidth="1"/>
    <col min="6415" max="6415" width="8.83203125" style="197" customWidth="1"/>
    <col min="6416" max="6656" width="9.33203125" style="197"/>
    <col min="6657" max="6657" width="6.1640625" style="197" customWidth="1"/>
    <col min="6658" max="6658" width="8.83203125" style="197" customWidth="1"/>
    <col min="6659" max="6659" width="48.83203125" style="197" customWidth="1"/>
    <col min="6660" max="6660" width="30.1640625" style="197" customWidth="1"/>
    <col min="6661" max="6661" width="11.5" style="197" customWidth="1"/>
    <col min="6662" max="6662" width="8.83203125" style="197" customWidth="1"/>
    <col min="6663" max="6670" width="18.1640625" style="197" customWidth="1"/>
    <col min="6671" max="6671" width="8.83203125" style="197" customWidth="1"/>
    <col min="6672" max="6912" width="9.33203125" style="197"/>
    <col min="6913" max="6913" width="6.1640625" style="197" customWidth="1"/>
    <col min="6914" max="6914" width="8.83203125" style="197" customWidth="1"/>
    <col min="6915" max="6915" width="48.83203125" style="197" customWidth="1"/>
    <col min="6916" max="6916" width="30.1640625" style="197" customWidth="1"/>
    <col min="6917" max="6917" width="11.5" style="197" customWidth="1"/>
    <col min="6918" max="6918" width="8.83203125" style="197" customWidth="1"/>
    <col min="6919" max="6926" width="18.1640625" style="197" customWidth="1"/>
    <col min="6927" max="6927" width="8.83203125" style="197" customWidth="1"/>
    <col min="6928" max="7168" width="9.33203125" style="197"/>
    <col min="7169" max="7169" width="6.1640625" style="197" customWidth="1"/>
    <col min="7170" max="7170" width="8.83203125" style="197" customWidth="1"/>
    <col min="7171" max="7171" width="48.83203125" style="197" customWidth="1"/>
    <col min="7172" max="7172" width="30.1640625" style="197" customWidth="1"/>
    <col min="7173" max="7173" width="11.5" style="197" customWidth="1"/>
    <col min="7174" max="7174" width="8.83203125" style="197" customWidth="1"/>
    <col min="7175" max="7182" width="18.1640625" style="197" customWidth="1"/>
    <col min="7183" max="7183" width="8.83203125" style="197" customWidth="1"/>
    <col min="7184" max="7424" width="9.33203125" style="197"/>
    <col min="7425" max="7425" width="6.1640625" style="197" customWidth="1"/>
    <col min="7426" max="7426" width="8.83203125" style="197" customWidth="1"/>
    <col min="7427" max="7427" width="48.83203125" style="197" customWidth="1"/>
    <col min="7428" max="7428" width="30.1640625" style="197" customWidth="1"/>
    <col min="7429" max="7429" width="11.5" style="197" customWidth="1"/>
    <col min="7430" max="7430" width="8.83203125" style="197" customWidth="1"/>
    <col min="7431" max="7438" width="18.1640625" style="197" customWidth="1"/>
    <col min="7439" max="7439" width="8.83203125" style="197" customWidth="1"/>
    <col min="7440" max="7680" width="9.33203125" style="197"/>
    <col min="7681" max="7681" width="6.1640625" style="197" customWidth="1"/>
    <col min="7682" max="7682" width="8.83203125" style="197" customWidth="1"/>
    <col min="7683" max="7683" width="48.83203125" style="197" customWidth="1"/>
    <col min="7684" max="7684" width="30.1640625" style="197" customWidth="1"/>
    <col min="7685" max="7685" width="11.5" style="197" customWidth="1"/>
    <col min="7686" max="7686" width="8.83203125" style="197" customWidth="1"/>
    <col min="7687" max="7694" width="18.1640625" style="197" customWidth="1"/>
    <col min="7695" max="7695" width="8.83203125" style="197" customWidth="1"/>
    <col min="7696" max="7936" width="9.33203125" style="197"/>
    <col min="7937" max="7937" width="6.1640625" style="197" customWidth="1"/>
    <col min="7938" max="7938" width="8.83203125" style="197" customWidth="1"/>
    <col min="7939" max="7939" width="48.83203125" style="197" customWidth="1"/>
    <col min="7940" max="7940" width="30.1640625" style="197" customWidth="1"/>
    <col min="7941" max="7941" width="11.5" style="197" customWidth="1"/>
    <col min="7942" max="7942" width="8.83203125" style="197" customWidth="1"/>
    <col min="7943" max="7950" width="18.1640625" style="197" customWidth="1"/>
    <col min="7951" max="7951" width="8.83203125" style="197" customWidth="1"/>
    <col min="7952" max="8192" width="9.33203125" style="197"/>
    <col min="8193" max="8193" width="6.1640625" style="197" customWidth="1"/>
    <col min="8194" max="8194" width="8.83203125" style="197" customWidth="1"/>
    <col min="8195" max="8195" width="48.83203125" style="197" customWidth="1"/>
    <col min="8196" max="8196" width="30.1640625" style="197" customWidth="1"/>
    <col min="8197" max="8197" width="11.5" style="197" customWidth="1"/>
    <col min="8198" max="8198" width="8.83203125" style="197" customWidth="1"/>
    <col min="8199" max="8206" width="18.1640625" style="197" customWidth="1"/>
    <col min="8207" max="8207" width="8.83203125" style="197" customWidth="1"/>
    <col min="8208" max="8448" width="9.33203125" style="197"/>
    <col min="8449" max="8449" width="6.1640625" style="197" customWidth="1"/>
    <col min="8450" max="8450" width="8.83203125" style="197" customWidth="1"/>
    <col min="8451" max="8451" width="48.83203125" style="197" customWidth="1"/>
    <col min="8452" max="8452" width="30.1640625" style="197" customWidth="1"/>
    <col min="8453" max="8453" width="11.5" style="197" customWidth="1"/>
    <col min="8454" max="8454" width="8.83203125" style="197" customWidth="1"/>
    <col min="8455" max="8462" width="18.1640625" style="197" customWidth="1"/>
    <col min="8463" max="8463" width="8.83203125" style="197" customWidth="1"/>
    <col min="8464" max="8704" width="9.33203125" style="197"/>
    <col min="8705" max="8705" width="6.1640625" style="197" customWidth="1"/>
    <col min="8706" max="8706" width="8.83203125" style="197" customWidth="1"/>
    <col min="8707" max="8707" width="48.83203125" style="197" customWidth="1"/>
    <col min="8708" max="8708" width="30.1640625" style="197" customWidth="1"/>
    <col min="8709" max="8709" width="11.5" style="197" customWidth="1"/>
    <col min="8710" max="8710" width="8.83203125" style="197" customWidth="1"/>
    <col min="8711" max="8718" width="18.1640625" style="197" customWidth="1"/>
    <col min="8719" max="8719" width="8.83203125" style="197" customWidth="1"/>
    <col min="8720" max="8960" width="9.33203125" style="197"/>
    <col min="8961" max="8961" width="6.1640625" style="197" customWidth="1"/>
    <col min="8962" max="8962" width="8.83203125" style="197" customWidth="1"/>
    <col min="8963" max="8963" width="48.83203125" style="197" customWidth="1"/>
    <col min="8964" max="8964" width="30.1640625" style="197" customWidth="1"/>
    <col min="8965" max="8965" width="11.5" style="197" customWidth="1"/>
    <col min="8966" max="8966" width="8.83203125" style="197" customWidth="1"/>
    <col min="8967" max="8974" width="18.1640625" style="197" customWidth="1"/>
    <col min="8975" max="8975" width="8.83203125" style="197" customWidth="1"/>
    <col min="8976" max="9216" width="9.33203125" style="197"/>
    <col min="9217" max="9217" width="6.1640625" style="197" customWidth="1"/>
    <col min="9218" max="9218" width="8.83203125" style="197" customWidth="1"/>
    <col min="9219" max="9219" width="48.83203125" style="197" customWidth="1"/>
    <col min="9220" max="9220" width="30.1640625" style="197" customWidth="1"/>
    <col min="9221" max="9221" width="11.5" style="197" customWidth="1"/>
    <col min="9222" max="9222" width="8.83203125" style="197" customWidth="1"/>
    <col min="9223" max="9230" width="18.1640625" style="197" customWidth="1"/>
    <col min="9231" max="9231" width="8.83203125" style="197" customWidth="1"/>
    <col min="9232" max="9472" width="9.33203125" style="197"/>
    <col min="9473" max="9473" width="6.1640625" style="197" customWidth="1"/>
    <col min="9474" max="9474" width="8.83203125" style="197" customWidth="1"/>
    <col min="9475" max="9475" width="48.83203125" style="197" customWidth="1"/>
    <col min="9476" max="9476" width="30.1640625" style="197" customWidth="1"/>
    <col min="9477" max="9477" width="11.5" style="197" customWidth="1"/>
    <col min="9478" max="9478" width="8.83203125" style="197" customWidth="1"/>
    <col min="9479" max="9486" width="18.1640625" style="197" customWidth="1"/>
    <col min="9487" max="9487" width="8.83203125" style="197" customWidth="1"/>
    <col min="9488" max="9728" width="9.33203125" style="197"/>
    <col min="9729" max="9729" width="6.1640625" style="197" customWidth="1"/>
    <col min="9730" max="9730" width="8.83203125" style="197" customWidth="1"/>
    <col min="9731" max="9731" width="48.83203125" style="197" customWidth="1"/>
    <col min="9732" max="9732" width="30.1640625" style="197" customWidth="1"/>
    <col min="9733" max="9733" width="11.5" style="197" customWidth="1"/>
    <col min="9734" max="9734" width="8.83203125" style="197" customWidth="1"/>
    <col min="9735" max="9742" width="18.1640625" style="197" customWidth="1"/>
    <col min="9743" max="9743" width="8.83203125" style="197" customWidth="1"/>
    <col min="9744" max="9984" width="9.33203125" style="197"/>
    <col min="9985" max="9985" width="6.1640625" style="197" customWidth="1"/>
    <col min="9986" max="9986" width="8.83203125" style="197" customWidth="1"/>
    <col min="9987" max="9987" width="48.83203125" style="197" customWidth="1"/>
    <col min="9988" max="9988" width="30.1640625" style="197" customWidth="1"/>
    <col min="9989" max="9989" width="11.5" style="197" customWidth="1"/>
    <col min="9990" max="9990" width="8.83203125" style="197" customWidth="1"/>
    <col min="9991" max="9998" width="18.1640625" style="197" customWidth="1"/>
    <col min="9999" max="9999" width="8.83203125" style="197" customWidth="1"/>
    <col min="10000" max="10240" width="9.33203125" style="197"/>
    <col min="10241" max="10241" width="6.1640625" style="197" customWidth="1"/>
    <col min="10242" max="10242" width="8.83203125" style="197" customWidth="1"/>
    <col min="10243" max="10243" width="48.83203125" style="197" customWidth="1"/>
    <col min="10244" max="10244" width="30.1640625" style="197" customWidth="1"/>
    <col min="10245" max="10245" width="11.5" style="197" customWidth="1"/>
    <col min="10246" max="10246" width="8.83203125" style="197" customWidth="1"/>
    <col min="10247" max="10254" width="18.1640625" style="197" customWidth="1"/>
    <col min="10255" max="10255" width="8.83203125" style="197" customWidth="1"/>
    <col min="10256" max="10496" width="9.33203125" style="197"/>
    <col min="10497" max="10497" width="6.1640625" style="197" customWidth="1"/>
    <col min="10498" max="10498" width="8.83203125" style="197" customWidth="1"/>
    <col min="10499" max="10499" width="48.83203125" style="197" customWidth="1"/>
    <col min="10500" max="10500" width="30.1640625" style="197" customWidth="1"/>
    <col min="10501" max="10501" width="11.5" style="197" customWidth="1"/>
    <col min="10502" max="10502" width="8.83203125" style="197" customWidth="1"/>
    <col min="10503" max="10510" width="18.1640625" style="197" customWidth="1"/>
    <col min="10511" max="10511" width="8.83203125" style="197" customWidth="1"/>
    <col min="10512" max="10752" width="9.33203125" style="197"/>
    <col min="10753" max="10753" width="6.1640625" style="197" customWidth="1"/>
    <col min="10754" max="10754" width="8.83203125" style="197" customWidth="1"/>
    <col min="10755" max="10755" width="48.83203125" style="197" customWidth="1"/>
    <col min="10756" max="10756" width="30.1640625" style="197" customWidth="1"/>
    <col min="10757" max="10757" width="11.5" style="197" customWidth="1"/>
    <col min="10758" max="10758" width="8.83203125" style="197" customWidth="1"/>
    <col min="10759" max="10766" width="18.1640625" style="197" customWidth="1"/>
    <col min="10767" max="10767" width="8.83203125" style="197" customWidth="1"/>
    <col min="10768" max="11008" width="9.33203125" style="197"/>
    <col min="11009" max="11009" width="6.1640625" style="197" customWidth="1"/>
    <col min="11010" max="11010" width="8.83203125" style="197" customWidth="1"/>
    <col min="11011" max="11011" width="48.83203125" style="197" customWidth="1"/>
    <col min="11012" max="11012" width="30.1640625" style="197" customWidth="1"/>
    <col min="11013" max="11013" width="11.5" style="197" customWidth="1"/>
    <col min="11014" max="11014" width="8.83203125" style="197" customWidth="1"/>
    <col min="11015" max="11022" width="18.1640625" style="197" customWidth="1"/>
    <col min="11023" max="11023" width="8.83203125" style="197" customWidth="1"/>
    <col min="11024" max="11264" width="9.33203125" style="197"/>
    <col min="11265" max="11265" width="6.1640625" style="197" customWidth="1"/>
    <col min="11266" max="11266" width="8.83203125" style="197" customWidth="1"/>
    <col min="11267" max="11267" width="48.83203125" style="197" customWidth="1"/>
    <col min="11268" max="11268" width="30.1640625" style="197" customWidth="1"/>
    <col min="11269" max="11269" width="11.5" style="197" customWidth="1"/>
    <col min="11270" max="11270" width="8.83203125" style="197" customWidth="1"/>
    <col min="11271" max="11278" width="18.1640625" style="197" customWidth="1"/>
    <col min="11279" max="11279" width="8.83203125" style="197" customWidth="1"/>
    <col min="11280" max="11520" width="9.33203125" style="197"/>
    <col min="11521" max="11521" width="6.1640625" style="197" customWidth="1"/>
    <col min="11522" max="11522" width="8.83203125" style="197" customWidth="1"/>
    <col min="11523" max="11523" width="48.83203125" style="197" customWidth="1"/>
    <col min="11524" max="11524" width="30.1640625" style="197" customWidth="1"/>
    <col min="11525" max="11525" width="11.5" style="197" customWidth="1"/>
    <col min="11526" max="11526" width="8.83203125" style="197" customWidth="1"/>
    <col min="11527" max="11534" width="18.1640625" style="197" customWidth="1"/>
    <col min="11535" max="11535" width="8.83203125" style="197" customWidth="1"/>
    <col min="11536" max="11776" width="9.33203125" style="197"/>
    <col min="11777" max="11777" width="6.1640625" style="197" customWidth="1"/>
    <col min="11778" max="11778" width="8.83203125" style="197" customWidth="1"/>
    <col min="11779" max="11779" width="48.83203125" style="197" customWidth="1"/>
    <col min="11780" max="11780" width="30.1640625" style="197" customWidth="1"/>
    <col min="11781" max="11781" width="11.5" style="197" customWidth="1"/>
    <col min="11782" max="11782" width="8.83203125" style="197" customWidth="1"/>
    <col min="11783" max="11790" width="18.1640625" style="197" customWidth="1"/>
    <col min="11791" max="11791" width="8.83203125" style="197" customWidth="1"/>
    <col min="11792" max="12032" width="9.33203125" style="197"/>
    <col min="12033" max="12033" width="6.1640625" style="197" customWidth="1"/>
    <col min="12034" max="12034" width="8.83203125" style="197" customWidth="1"/>
    <col min="12035" max="12035" width="48.83203125" style="197" customWidth="1"/>
    <col min="12036" max="12036" width="30.1640625" style="197" customWidth="1"/>
    <col min="12037" max="12037" width="11.5" style="197" customWidth="1"/>
    <col min="12038" max="12038" width="8.83203125" style="197" customWidth="1"/>
    <col min="12039" max="12046" width="18.1640625" style="197" customWidth="1"/>
    <col min="12047" max="12047" width="8.83203125" style="197" customWidth="1"/>
    <col min="12048" max="12288" width="9.33203125" style="197"/>
    <col min="12289" max="12289" width="6.1640625" style="197" customWidth="1"/>
    <col min="12290" max="12290" width="8.83203125" style="197" customWidth="1"/>
    <col min="12291" max="12291" width="48.83203125" style="197" customWidth="1"/>
    <col min="12292" max="12292" width="30.1640625" style="197" customWidth="1"/>
    <col min="12293" max="12293" width="11.5" style="197" customWidth="1"/>
    <col min="12294" max="12294" width="8.83203125" style="197" customWidth="1"/>
    <col min="12295" max="12302" width="18.1640625" style="197" customWidth="1"/>
    <col min="12303" max="12303" width="8.83203125" style="197" customWidth="1"/>
    <col min="12304" max="12544" width="9.33203125" style="197"/>
    <col min="12545" max="12545" width="6.1640625" style="197" customWidth="1"/>
    <col min="12546" max="12546" width="8.83203125" style="197" customWidth="1"/>
    <col min="12547" max="12547" width="48.83203125" style="197" customWidth="1"/>
    <col min="12548" max="12548" width="30.1640625" style="197" customWidth="1"/>
    <col min="12549" max="12549" width="11.5" style="197" customWidth="1"/>
    <col min="12550" max="12550" width="8.83203125" style="197" customWidth="1"/>
    <col min="12551" max="12558" width="18.1640625" style="197" customWidth="1"/>
    <col min="12559" max="12559" width="8.83203125" style="197" customWidth="1"/>
    <col min="12560" max="12800" width="9.33203125" style="197"/>
    <col min="12801" max="12801" width="6.1640625" style="197" customWidth="1"/>
    <col min="12802" max="12802" width="8.83203125" style="197" customWidth="1"/>
    <col min="12803" max="12803" width="48.83203125" style="197" customWidth="1"/>
    <col min="12804" max="12804" width="30.1640625" style="197" customWidth="1"/>
    <col min="12805" max="12805" width="11.5" style="197" customWidth="1"/>
    <col min="12806" max="12806" width="8.83203125" style="197" customWidth="1"/>
    <col min="12807" max="12814" width="18.1640625" style="197" customWidth="1"/>
    <col min="12815" max="12815" width="8.83203125" style="197" customWidth="1"/>
    <col min="12816" max="13056" width="9.33203125" style="197"/>
    <col min="13057" max="13057" width="6.1640625" style="197" customWidth="1"/>
    <col min="13058" max="13058" width="8.83203125" style="197" customWidth="1"/>
    <col min="13059" max="13059" width="48.83203125" style="197" customWidth="1"/>
    <col min="13060" max="13060" width="30.1640625" style="197" customWidth="1"/>
    <col min="13061" max="13061" width="11.5" style="197" customWidth="1"/>
    <col min="13062" max="13062" width="8.83203125" style="197" customWidth="1"/>
    <col min="13063" max="13070" width="18.1640625" style="197" customWidth="1"/>
    <col min="13071" max="13071" width="8.83203125" style="197" customWidth="1"/>
    <col min="13072" max="13312" width="9.33203125" style="197"/>
    <col min="13313" max="13313" width="6.1640625" style="197" customWidth="1"/>
    <col min="13314" max="13314" width="8.83203125" style="197" customWidth="1"/>
    <col min="13315" max="13315" width="48.83203125" style="197" customWidth="1"/>
    <col min="13316" max="13316" width="30.1640625" style="197" customWidth="1"/>
    <col min="13317" max="13317" width="11.5" style="197" customWidth="1"/>
    <col min="13318" max="13318" width="8.83203125" style="197" customWidth="1"/>
    <col min="13319" max="13326" width="18.1640625" style="197" customWidth="1"/>
    <col min="13327" max="13327" width="8.83203125" style="197" customWidth="1"/>
    <col min="13328" max="13568" width="9.33203125" style="197"/>
    <col min="13569" max="13569" width="6.1640625" style="197" customWidth="1"/>
    <col min="13570" max="13570" width="8.83203125" style="197" customWidth="1"/>
    <col min="13571" max="13571" width="48.83203125" style="197" customWidth="1"/>
    <col min="13572" max="13572" width="30.1640625" style="197" customWidth="1"/>
    <col min="13573" max="13573" width="11.5" style="197" customWidth="1"/>
    <col min="13574" max="13574" width="8.83203125" style="197" customWidth="1"/>
    <col min="13575" max="13582" width="18.1640625" style="197" customWidth="1"/>
    <col min="13583" max="13583" width="8.83203125" style="197" customWidth="1"/>
    <col min="13584" max="13824" width="9.33203125" style="197"/>
    <col min="13825" max="13825" width="6.1640625" style="197" customWidth="1"/>
    <col min="13826" max="13826" width="8.83203125" style="197" customWidth="1"/>
    <col min="13827" max="13827" width="48.83203125" style="197" customWidth="1"/>
    <col min="13828" max="13828" width="30.1640625" style="197" customWidth="1"/>
    <col min="13829" max="13829" width="11.5" style="197" customWidth="1"/>
    <col min="13830" max="13830" width="8.83203125" style="197" customWidth="1"/>
    <col min="13831" max="13838" width="18.1640625" style="197" customWidth="1"/>
    <col min="13839" max="13839" width="8.83203125" style="197" customWidth="1"/>
    <col min="13840" max="14080" width="9.33203125" style="197"/>
    <col min="14081" max="14081" width="6.1640625" style="197" customWidth="1"/>
    <col min="14082" max="14082" width="8.83203125" style="197" customWidth="1"/>
    <col min="14083" max="14083" width="48.83203125" style="197" customWidth="1"/>
    <col min="14084" max="14084" width="30.1640625" style="197" customWidth="1"/>
    <col min="14085" max="14085" width="11.5" style="197" customWidth="1"/>
    <col min="14086" max="14086" width="8.83203125" style="197" customWidth="1"/>
    <col min="14087" max="14094" width="18.1640625" style="197" customWidth="1"/>
    <col min="14095" max="14095" width="8.83203125" style="197" customWidth="1"/>
    <col min="14096" max="14336" width="9.33203125" style="197"/>
    <col min="14337" max="14337" width="6.1640625" style="197" customWidth="1"/>
    <col min="14338" max="14338" width="8.83203125" style="197" customWidth="1"/>
    <col min="14339" max="14339" width="48.83203125" style="197" customWidth="1"/>
    <col min="14340" max="14340" width="30.1640625" style="197" customWidth="1"/>
    <col min="14341" max="14341" width="11.5" style="197" customWidth="1"/>
    <col min="14342" max="14342" width="8.83203125" style="197" customWidth="1"/>
    <col min="14343" max="14350" width="18.1640625" style="197" customWidth="1"/>
    <col min="14351" max="14351" width="8.83203125" style="197" customWidth="1"/>
    <col min="14352" max="14592" width="9.33203125" style="197"/>
    <col min="14593" max="14593" width="6.1640625" style="197" customWidth="1"/>
    <col min="14594" max="14594" width="8.83203125" style="197" customWidth="1"/>
    <col min="14595" max="14595" width="48.83203125" style="197" customWidth="1"/>
    <col min="14596" max="14596" width="30.1640625" style="197" customWidth="1"/>
    <col min="14597" max="14597" width="11.5" style="197" customWidth="1"/>
    <col min="14598" max="14598" width="8.83203125" style="197" customWidth="1"/>
    <col min="14599" max="14606" width="18.1640625" style="197" customWidth="1"/>
    <col min="14607" max="14607" width="8.83203125" style="197" customWidth="1"/>
    <col min="14608" max="14848" width="9.33203125" style="197"/>
    <col min="14849" max="14849" width="6.1640625" style="197" customWidth="1"/>
    <col min="14850" max="14850" width="8.83203125" style="197" customWidth="1"/>
    <col min="14851" max="14851" width="48.83203125" style="197" customWidth="1"/>
    <col min="14852" max="14852" width="30.1640625" style="197" customWidth="1"/>
    <col min="14853" max="14853" width="11.5" style="197" customWidth="1"/>
    <col min="14854" max="14854" width="8.83203125" style="197" customWidth="1"/>
    <col min="14855" max="14862" width="18.1640625" style="197" customWidth="1"/>
    <col min="14863" max="14863" width="8.83203125" style="197" customWidth="1"/>
    <col min="14864" max="15104" width="9.33203125" style="197"/>
    <col min="15105" max="15105" width="6.1640625" style="197" customWidth="1"/>
    <col min="15106" max="15106" width="8.83203125" style="197" customWidth="1"/>
    <col min="15107" max="15107" width="48.83203125" style="197" customWidth="1"/>
    <col min="15108" max="15108" width="30.1640625" style="197" customWidth="1"/>
    <col min="15109" max="15109" width="11.5" style="197" customWidth="1"/>
    <col min="15110" max="15110" width="8.83203125" style="197" customWidth="1"/>
    <col min="15111" max="15118" width="18.1640625" style="197" customWidth="1"/>
    <col min="15119" max="15119" width="8.83203125" style="197" customWidth="1"/>
    <col min="15120" max="15360" width="9.33203125" style="197"/>
    <col min="15361" max="15361" width="6.1640625" style="197" customWidth="1"/>
    <col min="15362" max="15362" width="8.83203125" style="197" customWidth="1"/>
    <col min="15363" max="15363" width="48.83203125" style="197" customWidth="1"/>
    <col min="15364" max="15364" width="30.1640625" style="197" customWidth="1"/>
    <col min="15365" max="15365" width="11.5" style="197" customWidth="1"/>
    <col min="15366" max="15366" width="8.83203125" style="197" customWidth="1"/>
    <col min="15367" max="15374" width="18.1640625" style="197" customWidth="1"/>
    <col min="15375" max="15375" width="8.83203125" style="197" customWidth="1"/>
    <col min="15376" max="15616" width="9.33203125" style="197"/>
    <col min="15617" max="15617" width="6.1640625" style="197" customWidth="1"/>
    <col min="15618" max="15618" width="8.83203125" style="197" customWidth="1"/>
    <col min="15619" max="15619" width="48.83203125" style="197" customWidth="1"/>
    <col min="15620" max="15620" width="30.1640625" style="197" customWidth="1"/>
    <col min="15621" max="15621" width="11.5" style="197" customWidth="1"/>
    <col min="15622" max="15622" width="8.83203125" style="197" customWidth="1"/>
    <col min="15623" max="15630" width="18.1640625" style="197" customWidth="1"/>
    <col min="15631" max="15631" width="8.83203125" style="197" customWidth="1"/>
    <col min="15632" max="15872" width="9.33203125" style="197"/>
    <col min="15873" max="15873" width="6.1640625" style="197" customWidth="1"/>
    <col min="15874" max="15874" width="8.83203125" style="197" customWidth="1"/>
    <col min="15875" max="15875" width="48.83203125" style="197" customWidth="1"/>
    <col min="15876" max="15876" width="30.1640625" style="197" customWidth="1"/>
    <col min="15877" max="15877" width="11.5" style="197" customWidth="1"/>
    <col min="15878" max="15878" width="8.83203125" style="197" customWidth="1"/>
    <col min="15879" max="15886" width="18.1640625" style="197" customWidth="1"/>
    <col min="15887" max="15887" width="8.83203125" style="197" customWidth="1"/>
    <col min="15888" max="16128" width="9.33203125" style="197"/>
    <col min="16129" max="16129" width="6.1640625" style="197" customWidth="1"/>
    <col min="16130" max="16130" width="8.83203125" style="197" customWidth="1"/>
    <col min="16131" max="16131" width="48.83203125" style="197" customWidth="1"/>
    <col min="16132" max="16132" width="30.1640625" style="197" customWidth="1"/>
    <col min="16133" max="16133" width="11.5" style="197" customWidth="1"/>
    <col min="16134" max="16134" width="8.83203125" style="197" customWidth="1"/>
    <col min="16135" max="16142" width="18.1640625" style="197" customWidth="1"/>
    <col min="16143" max="16143" width="8.83203125" style="197" customWidth="1"/>
    <col min="16144" max="16384" width="9.33203125" style="197"/>
  </cols>
  <sheetData>
    <row r="1" spans="2:15" s="190" customFormat="1" ht="39.950000000000003" customHeight="1">
      <c r="B1" s="113" t="s">
        <v>663</v>
      </c>
      <c r="C1" s="113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</row>
    <row r="2" spans="2:15" s="192" customFormat="1" ht="20.100000000000001" customHeight="1">
      <c r="B2" s="115" t="s">
        <v>664</v>
      </c>
      <c r="C2" s="115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91"/>
      <c r="O2" s="116"/>
    </row>
    <row r="3" spans="2:15" s="192" customFormat="1" ht="20.100000000000001" customHeight="1">
      <c r="B3" s="198" t="s">
        <v>23</v>
      </c>
      <c r="C3" s="198"/>
      <c r="D3" s="198" t="s">
        <v>46</v>
      </c>
      <c r="E3" s="198" t="s">
        <v>45</v>
      </c>
      <c r="F3" s="198" t="s">
        <v>44</v>
      </c>
      <c r="G3" s="198" t="s">
        <v>18</v>
      </c>
      <c r="H3" s="198" t="s">
        <v>0</v>
      </c>
      <c r="I3" s="198" t="s">
        <v>17</v>
      </c>
      <c r="J3" s="198" t="s">
        <v>0</v>
      </c>
      <c r="K3" s="198" t="s">
        <v>16</v>
      </c>
      <c r="L3" s="198" t="s">
        <v>0</v>
      </c>
      <c r="M3" s="198" t="s">
        <v>19</v>
      </c>
      <c r="N3" s="198" t="s">
        <v>0</v>
      </c>
      <c r="O3" s="199" t="s">
        <v>15</v>
      </c>
    </row>
    <row r="4" spans="2:15" s="193" customFormat="1" ht="20.100000000000001" customHeight="1">
      <c r="B4" s="198"/>
      <c r="C4" s="198"/>
      <c r="D4" s="198" t="s">
        <v>0</v>
      </c>
      <c r="E4" s="198" t="s">
        <v>0</v>
      </c>
      <c r="F4" s="198" t="s">
        <v>0</v>
      </c>
      <c r="G4" s="189" t="s">
        <v>43</v>
      </c>
      <c r="H4" s="189" t="s">
        <v>665</v>
      </c>
      <c r="I4" s="189" t="s">
        <v>43</v>
      </c>
      <c r="J4" s="189" t="s">
        <v>42</v>
      </c>
      <c r="K4" s="189" t="s">
        <v>43</v>
      </c>
      <c r="L4" s="189" t="s">
        <v>42</v>
      </c>
      <c r="M4" s="189" t="s">
        <v>43</v>
      </c>
      <c r="N4" s="189" t="s">
        <v>42</v>
      </c>
      <c r="O4" s="199" t="s">
        <v>0</v>
      </c>
    </row>
    <row r="5" spans="2:15" s="192" customFormat="1" ht="20.100000000000001" customHeight="1">
      <c r="B5" s="117"/>
      <c r="C5" s="118" t="s">
        <v>666</v>
      </c>
      <c r="D5" s="119">
        <v>1350</v>
      </c>
      <c r="E5" s="120"/>
      <c r="F5" s="121"/>
      <c r="G5" s="122"/>
      <c r="H5" s="123">
        <f>SUM(H6:H17)</f>
        <v>42042653</v>
      </c>
      <c r="I5" s="122"/>
      <c r="J5" s="123">
        <f>SUM(J6:J17)</f>
        <v>29448519</v>
      </c>
      <c r="K5" s="122"/>
      <c r="L5" s="123">
        <f>SUM(L6:L17)</f>
        <v>13996950</v>
      </c>
      <c r="M5" s="124"/>
      <c r="N5" s="124">
        <f t="shared" ref="N5:N17" si="0">H5+J5+L5</f>
        <v>85488122</v>
      </c>
      <c r="O5" s="125"/>
    </row>
    <row r="6" spans="2:15" s="192" customFormat="1" ht="20.100000000000001" customHeight="1">
      <c r="B6" s="117">
        <v>1</v>
      </c>
      <c r="C6" s="126" t="s">
        <v>588</v>
      </c>
      <c r="D6" s="119">
        <v>1350</v>
      </c>
      <c r="E6" s="120">
        <v>1</v>
      </c>
      <c r="F6" s="121" t="s">
        <v>667</v>
      </c>
      <c r="G6" s="122">
        <f>H25</f>
        <v>720</v>
      </c>
      <c r="H6" s="123">
        <f t="shared" ref="H6:H17" si="1">TRUNC(G6*$E6,0)</f>
        <v>720</v>
      </c>
      <c r="I6" s="122">
        <f>J25</f>
        <v>362202</v>
      </c>
      <c r="J6" s="123">
        <f t="shared" ref="J6:J17" si="2">TRUNC(I6*$E6,0)</f>
        <v>362202</v>
      </c>
      <c r="K6" s="122">
        <f>L25</f>
        <v>1065</v>
      </c>
      <c r="L6" s="123">
        <f t="shared" ref="L6:L17" si="3">TRUNC(K6*$E6,0)</f>
        <v>1065</v>
      </c>
      <c r="M6" s="124">
        <f t="shared" ref="M6:M17" si="4">G6+I6+K6</f>
        <v>363987</v>
      </c>
      <c r="N6" s="124">
        <f t="shared" si="0"/>
        <v>363987</v>
      </c>
      <c r="O6" s="125">
        <f>B31</f>
        <v>3</v>
      </c>
    </row>
    <row r="7" spans="2:15" s="192" customFormat="1" ht="20.100000000000001" customHeight="1">
      <c r="B7" s="117">
        <v>2</v>
      </c>
      <c r="C7" s="118" t="s">
        <v>589</v>
      </c>
      <c r="D7" s="119">
        <v>1350</v>
      </c>
      <c r="E7" s="120">
        <v>1</v>
      </c>
      <c r="F7" s="121" t="s">
        <v>668</v>
      </c>
      <c r="G7" s="122">
        <f>H42</f>
        <v>14417885</v>
      </c>
      <c r="H7" s="123">
        <f t="shared" si="1"/>
        <v>14417885</v>
      </c>
      <c r="I7" s="122">
        <f>J42</f>
        <v>8598998</v>
      </c>
      <c r="J7" s="123">
        <f t="shared" si="2"/>
        <v>8598998</v>
      </c>
      <c r="K7" s="122">
        <f>L42</f>
        <v>930397</v>
      </c>
      <c r="L7" s="123">
        <f t="shared" si="3"/>
        <v>930397</v>
      </c>
      <c r="M7" s="124">
        <f t="shared" si="4"/>
        <v>23947280</v>
      </c>
      <c r="N7" s="124">
        <f t="shared" si="0"/>
        <v>23947280</v>
      </c>
      <c r="O7" s="125">
        <f>B37</f>
        <v>4</v>
      </c>
    </row>
    <row r="8" spans="2:15" s="192" customFormat="1" ht="20.100000000000001" customHeight="1">
      <c r="B8" s="117">
        <v>3</v>
      </c>
      <c r="C8" s="118" t="s">
        <v>590</v>
      </c>
      <c r="D8" s="127">
        <v>900</v>
      </c>
      <c r="E8" s="120">
        <v>1</v>
      </c>
      <c r="F8" s="121" t="s">
        <v>667</v>
      </c>
      <c r="G8" s="122">
        <f>H70</f>
        <v>303010</v>
      </c>
      <c r="H8" s="123">
        <f t="shared" si="1"/>
        <v>303010</v>
      </c>
      <c r="I8" s="122">
        <f>J70</f>
        <v>933963</v>
      </c>
      <c r="J8" s="123">
        <f t="shared" si="2"/>
        <v>933963</v>
      </c>
      <c r="K8" s="122">
        <f>L70</f>
        <v>1081584</v>
      </c>
      <c r="L8" s="123">
        <f t="shared" si="3"/>
        <v>1081584</v>
      </c>
      <c r="M8" s="124">
        <f t="shared" si="4"/>
        <v>2318557</v>
      </c>
      <c r="N8" s="124">
        <f t="shared" si="0"/>
        <v>2318557</v>
      </c>
      <c r="O8" s="125">
        <f>B66</f>
        <v>8</v>
      </c>
    </row>
    <row r="9" spans="2:15" s="192" customFormat="1" ht="20.100000000000001" customHeight="1">
      <c r="B9" s="117">
        <v>4</v>
      </c>
      <c r="C9" s="118" t="s">
        <v>591</v>
      </c>
      <c r="D9" s="127">
        <v>900</v>
      </c>
      <c r="E9" s="120">
        <v>1</v>
      </c>
      <c r="F9" s="121" t="s">
        <v>667</v>
      </c>
      <c r="G9" s="122">
        <f>H91</f>
        <v>4907155</v>
      </c>
      <c r="H9" s="123">
        <f t="shared" si="1"/>
        <v>4907155</v>
      </c>
      <c r="I9" s="122">
        <f>J91</f>
        <v>4395174</v>
      </c>
      <c r="J9" s="123">
        <f t="shared" si="2"/>
        <v>4395174</v>
      </c>
      <c r="K9" s="122">
        <f>L91</f>
        <v>5766184</v>
      </c>
      <c r="L9" s="123">
        <f t="shared" si="3"/>
        <v>5766184</v>
      </c>
      <c r="M9" s="124">
        <f t="shared" si="4"/>
        <v>15068513</v>
      </c>
      <c r="N9" s="124">
        <f t="shared" si="0"/>
        <v>15068513</v>
      </c>
      <c r="O9" s="125">
        <f>B78</f>
        <v>10</v>
      </c>
    </row>
    <row r="10" spans="2:15" s="192" customFormat="1" ht="20.100000000000001" customHeight="1">
      <c r="B10" s="117">
        <v>5</v>
      </c>
      <c r="C10" s="118" t="s">
        <v>592</v>
      </c>
      <c r="D10" s="128">
        <v>100</v>
      </c>
      <c r="E10" s="120">
        <v>1</v>
      </c>
      <c r="F10" s="121" t="s">
        <v>667</v>
      </c>
      <c r="G10" s="122">
        <f>H145</f>
        <v>441686</v>
      </c>
      <c r="H10" s="123">
        <f t="shared" si="1"/>
        <v>441686</v>
      </c>
      <c r="I10" s="122">
        <f>J145</f>
        <v>441995</v>
      </c>
      <c r="J10" s="123">
        <f t="shared" si="2"/>
        <v>441995</v>
      </c>
      <c r="K10" s="122">
        <f>L145</f>
        <v>84487</v>
      </c>
      <c r="L10" s="123">
        <f t="shared" si="3"/>
        <v>84487</v>
      </c>
      <c r="M10" s="124">
        <f t="shared" si="4"/>
        <v>968168</v>
      </c>
      <c r="N10" s="124">
        <f t="shared" si="0"/>
        <v>968168</v>
      </c>
      <c r="O10" s="125">
        <f>B137</f>
        <v>18</v>
      </c>
    </row>
    <row r="11" spans="2:15" s="192" customFormat="1" ht="20.100000000000001" customHeight="1">
      <c r="B11" s="117">
        <v>6</v>
      </c>
      <c r="C11" s="118" t="s">
        <v>593</v>
      </c>
      <c r="D11" s="119">
        <v>1350</v>
      </c>
      <c r="E11" s="120">
        <v>1</v>
      </c>
      <c r="F11" s="121" t="s">
        <v>668</v>
      </c>
      <c r="G11" s="122">
        <f>H177</f>
        <v>15190577</v>
      </c>
      <c r="H11" s="123">
        <f t="shared" si="1"/>
        <v>15190577</v>
      </c>
      <c r="I11" s="122">
        <f>J177</f>
        <v>10409905</v>
      </c>
      <c r="J11" s="123">
        <f t="shared" si="2"/>
        <v>10409905</v>
      </c>
      <c r="K11" s="122">
        <f>L177</f>
        <v>4556115</v>
      </c>
      <c r="L11" s="123">
        <f t="shared" si="3"/>
        <v>4556115</v>
      </c>
      <c r="M11" s="124">
        <f t="shared" si="4"/>
        <v>30156597</v>
      </c>
      <c r="N11" s="124">
        <f t="shared" si="0"/>
        <v>30156597</v>
      </c>
      <c r="O11" s="125">
        <f>B169</f>
        <v>22</v>
      </c>
    </row>
    <row r="12" spans="2:15" s="192" customFormat="1" ht="20.100000000000001" customHeight="1">
      <c r="B12" s="117">
        <v>7</v>
      </c>
      <c r="C12" s="118" t="s">
        <v>594</v>
      </c>
      <c r="D12" s="127">
        <v>900</v>
      </c>
      <c r="E12" s="120">
        <v>1</v>
      </c>
      <c r="F12" s="121" t="s">
        <v>667</v>
      </c>
      <c r="G12" s="122">
        <f>H209</f>
        <v>5485950</v>
      </c>
      <c r="H12" s="123">
        <f t="shared" si="1"/>
        <v>5485950</v>
      </c>
      <c r="I12" s="122">
        <f>J209</f>
        <v>1982079</v>
      </c>
      <c r="J12" s="123">
        <f t="shared" si="2"/>
        <v>1982079</v>
      </c>
      <c r="K12" s="122">
        <f>L209</f>
        <v>733729</v>
      </c>
      <c r="L12" s="123">
        <f t="shared" si="3"/>
        <v>733729</v>
      </c>
      <c r="M12" s="124">
        <f t="shared" si="4"/>
        <v>8201758</v>
      </c>
      <c r="N12" s="124">
        <f t="shared" si="0"/>
        <v>8201758</v>
      </c>
      <c r="O12" s="125">
        <f>B202</f>
        <v>27</v>
      </c>
    </row>
    <row r="13" spans="2:15" s="192" customFormat="1" ht="20.100000000000001" customHeight="1">
      <c r="B13" s="117">
        <v>8</v>
      </c>
      <c r="C13" s="118" t="s">
        <v>595</v>
      </c>
      <c r="D13" s="127">
        <v>900</v>
      </c>
      <c r="E13" s="120">
        <v>1</v>
      </c>
      <c r="F13" s="121" t="s">
        <v>667</v>
      </c>
      <c r="G13" s="122">
        <f>H234</f>
        <v>0</v>
      </c>
      <c r="H13" s="123">
        <f t="shared" si="1"/>
        <v>0</v>
      </c>
      <c r="I13" s="122">
        <f>J234</f>
        <v>375554</v>
      </c>
      <c r="J13" s="123">
        <f t="shared" si="2"/>
        <v>375554</v>
      </c>
      <c r="K13" s="122">
        <f>L234</f>
        <v>69460</v>
      </c>
      <c r="L13" s="123">
        <f t="shared" si="3"/>
        <v>69460</v>
      </c>
      <c r="M13" s="124">
        <f t="shared" si="4"/>
        <v>445014</v>
      </c>
      <c r="N13" s="124">
        <f t="shared" si="0"/>
        <v>445014</v>
      </c>
      <c r="O13" s="125">
        <f>B230</f>
        <v>31</v>
      </c>
    </row>
    <row r="14" spans="2:15" s="192" customFormat="1" ht="20.100000000000001" customHeight="1">
      <c r="B14" s="117">
        <v>9</v>
      </c>
      <c r="C14" s="118" t="s">
        <v>596</v>
      </c>
      <c r="D14" s="127">
        <v>900</v>
      </c>
      <c r="E14" s="120">
        <v>1</v>
      </c>
      <c r="F14" s="121" t="s">
        <v>667</v>
      </c>
      <c r="G14" s="122">
        <f>H241</f>
        <v>1295670</v>
      </c>
      <c r="H14" s="123">
        <f t="shared" si="1"/>
        <v>1295670</v>
      </c>
      <c r="I14" s="122">
        <f>J241</f>
        <v>475046</v>
      </c>
      <c r="J14" s="123">
        <f t="shared" si="2"/>
        <v>475046</v>
      </c>
      <c r="K14" s="122">
        <f>L241</f>
        <v>22854</v>
      </c>
      <c r="L14" s="123">
        <f t="shared" si="3"/>
        <v>22854</v>
      </c>
      <c r="M14" s="124">
        <f t="shared" si="4"/>
        <v>1793570</v>
      </c>
      <c r="N14" s="124">
        <f t="shared" si="0"/>
        <v>1793570</v>
      </c>
      <c r="O14" s="125">
        <f>B236</f>
        <v>32</v>
      </c>
    </row>
    <row r="15" spans="2:15" s="192" customFormat="1" ht="20.100000000000001" customHeight="1">
      <c r="B15" s="117">
        <v>10</v>
      </c>
      <c r="C15" s="118" t="s">
        <v>597</v>
      </c>
      <c r="D15" s="119">
        <v>1350</v>
      </c>
      <c r="E15" s="120">
        <v>1</v>
      </c>
      <c r="F15" s="121" t="s">
        <v>667</v>
      </c>
      <c r="G15" s="122">
        <f>H256</f>
        <v>0</v>
      </c>
      <c r="H15" s="123">
        <f t="shared" si="1"/>
        <v>0</v>
      </c>
      <c r="I15" s="122">
        <f>J256</f>
        <v>335379</v>
      </c>
      <c r="J15" s="123">
        <f t="shared" si="2"/>
        <v>335379</v>
      </c>
      <c r="K15" s="122">
        <f>L256</f>
        <v>0</v>
      </c>
      <c r="L15" s="123">
        <f t="shared" si="3"/>
        <v>0</v>
      </c>
      <c r="M15" s="124">
        <f t="shared" si="4"/>
        <v>335379</v>
      </c>
      <c r="N15" s="124">
        <f t="shared" si="0"/>
        <v>335379</v>
      </c>
      <c r="O15" s="125">
        <f>B254</f>
        <v>35</v>
      </c>
    </row>
    <row r="16" spans="2:15" s="192" customFormat="1" ht="20.100000000000001" customHeight="1">
      <c r="B16" s="117">
        <v>11</v>
      </c>
      <c r="C16" s="118" t="s">
        <v>598</v>
      </c>
      <c r="D16" s="119">
        <v>1350</v>
      </c>
      <c r="E16" s="120">
        <v>1</v>
      </c>
      <c r="F16" s="121" t="s">
        <v>669</v>
      </c>
      <c r="G16" s="122">
        <f>H260</f>
        <v>0</v>
      </c>
      <c r="H16" s="123">
        <f t="shared" si="1"/>
        <v>0</v>
      </c>
      <c r="I16" s="122">
        <f>J260</f>
        <v>0</v>
      </c>
      <c r="J16" s="123">
        <f t="shared" si="2"/>
        <v>0</v>
      </c>
      <c r="K16" s="122">
        <f>L260</f>
        <v>751075</v>
      </c>
      <c r="L16" s="123">
        <f t="shared" si="3"/>
        <v>751075</v>
      </c>
      <c r="M16" s="124">
        <f t="shared" si="4"/>
        <v>751075</v>
      </c>
      <c r="N16" s="124">
        <f t="shared" si="0"/>
        <v>751075</v>
      </c>
      <c r="O16" s="125">
        <f>B258</f>
        <v>36</v>
      </c>
    </row>
    <row r="17" spans="2:15" s="192" customFormat="1" ht="20.100000000000001" customHeight="1">
      <c r="B17" s="117">
        <v>12</v>
      </c>
      <c r="C17" s="118" t="s">
        <v>599</v>
      </c>
      <c r="D17" s="127">
        <v>900</v>
      </c>
      <c r="E17" s="120">
        <v>1</v>
      </c>
      <c r="F17" s="121" t="s">
        <v>667</v>
      </c>
      <c r="G17" s="122">
        <f>H264</f>
        <v>0</v>
      </c>
      <c r="H17" s="123">
        <f t="shared" si="1"/>
        <v>0</v>
      </c>
      <c r="I17" s="122">
        <f>J264</f>
        <v>1138224</v>
      </c>
      <c r="J17" s="123">
        <f t="shared" si="2"/>
        <v>1138224</v>
      </c>
      <c r="K17" s="122">
        <f>L264</f>
        <v>0</v>
      </c>
      <c r="L17" s="123">
        <f t="shared" si="3"/>
        <v>0</v>
      </c>
      <c r="M17" s="124">
        <f t="shared" si="4"/>
        <v>1138224</v>
      </c>
      <c r="N17" s="124">
        <f t="shared" si="0"/>
        <v>1138224</v>
      </c>
      <c r="O17" s="125">
        <f>B262</f>
        <v>37</v>
      </c>
    </row>
    <row r="18" spans="2:15" s="192" customFormat="1" ht="20.100000000000001" customHeight="1">
      <c r="B18" s="129"/>
      <c r="C18" s="129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O18" s="130"/>
    </row>
    <row r="19" spans="2:15" s="192" customFormat="1" ht="20.100000000000001" customHeight="1">
      <c r="B19" s="115" t="s">
        <v>670</v>
      </c>
      <c r="C19" s="115"/>
      <c r="D19" s="116"/>
      <c r="E19" s="116"/>
      <c r="F19" s="116"/>
      <c r="G19" s="116"/>
      <c r="H19" s="116"/>
      <c r="I19" s="116"/>
      <c r="J19" s="116"/>
      <c r="K19" s="116"/>
      <c r="L19" s="116"/>
      <c r="M19" s="116"/>
      <c r="N19" s="191"/>
      <c r="O19" s="116"/>
    </row>
    <row r="20" spans="2:15" s="192" customFormat="1" ht="20.100000000000001" customHeight="1">
      <c r="B20" s="198" t="s">
        <v>23</v>
      </c>
      <c r="C20" s="198"/>
      <c r="D20" s="198" t="s">
        <v>46</v>
      </c>
      <c r="E20" s="198" t="s">
        <v>45</v>
      </c>
      <c r="F20" s="198" t="s">
        <v>44</v>
      </c>
      <c r="G20" s="198" t="s">
        <v>18</v>
      </c>
      <c r="H20" s="198" t="s">
        <v>0</v>
      </c>
      <c r="I20" s="198" t="s">
        <v>17</v>
      </c>
      <c r="J20" s="198" t="s">
        <v>0</v>
      </c>
      <c r="K20" s="198" t="s">
        <v>16</v>
      </c>
      <c r="L20" s="198" t="s">
        <v>0</v>
      </c>
      <c r="M20" s="198" t="s">
        <v>19</v>
      </c>
      <c r="N20" s="198" t="s">
        <v>0</v>
      </c>
      <c r="O20" s="199" t="s">
        <v>15</v>
      </c>
    </row>
    <row r="21" spans="2:15" s="193" customFormat="1" ht="20.100000000000001" customHeight="1">
      <c r="B21" s="198"/>
      <c r="C21" s="198"/>
      <c r="D21" s="198" t="s">
        <v>0</v>
      </c>
      <c r="E21" s="198" t="s">
        <v>0</v>
      </c>
      <c r="F21" s="198" t="s">
        <v>0</v>
      </c>
      <c r="G21" s="189" t="s">
        <v>43</v>
      </c>
      <c r="H21" s="189" t="s">
        <v>42</v>
      </c>
      <c r="I21" s="189" t="s">
        <v>43</v>
      </c>
      <c r="J21" s="189" t="s">
        <v>42</v>
      </c>
      <c r="K21" s="189" t="s">
        <v>43</v>
      </c>
      <c r="L21" s="189" t="s">
        <v>42</v>
      </c>
      <c r="M21" s="189" t="s">
        <v>43</v>
      </c>
      <c r="N21" s="189" t="s">
        <v>42</v>
      </c>
      <c r="O21" s="199" t="s">
        <v>0</v>
      </c>
    </row>
    <row r="22" spans="2:15" s="194" customFormat="1" ht="20.100000000000001" customHeight="1">
      <c r="B22" s="131">
        <v>1</v>
      </c>
      <c r="C22" s="132" t="s">
        <v>671</v>
      </c>
      <c r="D22" s="133">
        <v>1350</v>
      </c>
      <c r="E22" s="134">
        <v>1</v>
      </c>
      <c r="F22" s="135" t="s">
        <v>600</v>
      </c>
      <c r="G22" s="136"/>
      <c r="H22" s="136"/>
      <c r="I22" s="136"/>
      <c r="J22" s="136"/>
      <c r="K22" s="136"/>
      <c r="L22" s="136"/>
      <c r="M22" s="136"/>
      <c r="N22" s="136"/>
      <c r="O22" s="137" t="s">
        <v>0</v>
      </c>
    </row>
    <row r="23" spans="2:15" s="193" customFormat="1" ht="20.100000000000001" customHeight="1">
      <c r="B23" s="117"/>
      <c r="C23" s="118" t="s">
        <v>601</v>
      </c>
      <c r="D23" s="138"/>
      <c r="E23" s="120">
        <v>1</v>
      </c>
      <c r="F23" s="121" t="s">
        <v>667</v>
      </c>
      <c r="G23" s="122">
        <f>H29</f>
        <v>0</v>
      </c>
      <c r="H23" s="123">
        <f>TRUNC(G23*$E23,0)</f>
        <v>0</v>
      </c>
      <c r="I23" s="122">
        <f>J29</f>
        <v>290686</v>
      </c>
      <c r="J23" s="123">
        <f>TRUNC(I23*$E23,0)</f>
        <v>290686</v>
      </c>
      <c r="K23" s="122">
        <f>L29</f>
        <v>0</v>
      </c>
      <c r="L23" s="123">
        <f>TRUNC(K23*$E23,0)</f>
        <v>0</v>
      </c>
      <c r="M23" s="124">
        <f>G23+I23+K23</f>
        <v>290686</v>
      </c>
      <c r="N23" s="124">
        <f>H23+J23+L23</f>
        <v>290686</v>
      </c>
      <c r="O23" s="125">
        <f>B27</f>
        <v>2</v>
      </c>
    </row>
    <row r="24" spans="2:15" s="193" customFormat="1" ht="20.100000000000001" customHeight="1">
      <c r="B24" s="117"/>
      <c r="C24" s="118" t="s">
        <v>602</v>
      </c>
      <c r="D24" s="139" t="s">
        <v>672</v>
      </c>
      <c r="E24" s="120">
        <v>1</v>
      </c>
      <c r="F24" s="121" t="s">
        <v>667</v>
      </c>
      <c r="G24" s="122">
        <v>720</v>
      </c>
      <c r="H24" s="123">
        <f>TRUNC(G24*$E24,0)</f>
        <v>720</v>
      </c>
      <c r="I24" s="122">
        <f>J35</f>
        <v>71516</v>
      </c>
      <c r="J24" s="123">
        <f>TRUNC(I24*$E24,0)</f>
        <v>71516</v>
      </c>
      <c r="K24" s="122">
        <v>1065</v>
      </c>
      <c r="L24" s="123">
        <f>TRUNC(K24*$E24,0)</f>
        <v>1065</v>
      </c>
      <c r="M24" s="124">
        <f>G24+I24+K24</f>
        <v>73301</v>
      </c>
      <c r="N24" s="124">
        <f>H24+J24+L24</f>
        <v>73301</v>
      </c>
      <c r="O24" s="125">
        <f>B31</f>
        <v>3</v>
      </c>
    </row>
    <row r="25" spans="2:15" s="193" customFormat="1" ht="20.100000000000001" customHeight="1">
      <c r="B25" s="140"/>
      <c r="C25" s="141" t="s">
        <v>673</v>
      </c>
      <c r="D25" s="142"/>
      <c r="E25" s="143"/>
      <c r="F25" s="143"/>
      <c r="G25" s="144"/>
      <c r="H25" s="145">
        <f>SUM(H23:H24)</f>
        <v>720</v>
      </c>
      <c r="I25" s="144"/>
      <c r="J25" s="145">
        <f>SUM(J23:J24)</f>
        <v>362202</v>
      </c>
      <c r="K25" s="144"/>
      <c r="L25" s="145">
        <f>SUM(L23:L24)</f>
        <v>1065</v>
      </c>
      <c r="M25" s="146"/>
      <c r="N25" s="146">
        <f>H25+J25+L25</f>
        <v>363987</v>
      </c>
      <c r="O25" s="147"/>
    </row>
    <row r="26" spans="2:15" s="193" customFormat="1" ht="20.100000000000001" customHeight="1">
      <c r="B26" s="148"/>
      <c r="C26" s="149"/>
      <c r="D26" s="149"/>
      <c r="E26" s="150"/>
      <c r="F26" s="150"/>
      <c r="G26" s="151"/>
      <c r="H26" s="152"/>
      <c r="I26" s="151"/>
      <c r="J26" s="152"/>
      <c r="K26" s="151"/>
      <c r="L26" s="152"/>
      <c r="M26" s="153"/>
      <c r="N26" s="153"/>
      <c r="O26" s="154"/>
    </row>
    <row r="27" spans="2:15" s="193" customFormat="1" ht="20.100000000000001" customHeight="1">
      <c r="B27" s="131">
        <f>B22+1</f>
        <v>2</v>
      </c>
      <c r="C27" s="155" t="s">
        <v>674</v>
      </c>
      <c r="D27" s="133">
        <v>1350</v>
      </c>
      <c r="E27" s="134">
        <v>1</v>
      </c>
      <c r="F27" s="135" t="s">
        <v>600</v>
      </c>
      <c r="G27" s="136"/>
      <c r="H27" s="136"/>
      <c r="I27" s="136"/>
      <c r="J27" s="136"/>
      <c r="K27" s="136"/>
      <c r="L27" s="136"/>
      <c r="M27" s="136"/>
      <c r="N27" s="136"/>
      <c r="O27" s="137" t="s">
        <v>0</v>
      </c>
    </row>
    <row r="28" spans="2:15" s="193" customFormat="1" ht="20.100000000000001" customHeight="1">
      <c r="B28" s="117"/>
      <c r="C28" s="156" t="s">
        <v>58</v>
      </c>
      <c r="D28" s="138"/>
      <c r="E28" s="120">
        <v>0.90100000000000002</v>
      </c>
      <c r="F28" s="121" t="s">
        <v>675</v>
      </c>
      <c r="G28" s="122"/>
      <c r="H28" s="123">
        <f>TRUNC(G28*$E28,0)</f>
        <v>0</v>
      </c>
      <c r="I28" s="122">
        <f>노임!$D$17</f>
        <v>322627</v>
      </c>
      <c r="J28" s="123">
        <f>TRUNC(I28*$E28,0)</f>
        <v>290686</v>
      </c>
      <c r="K28" s="122"/>
      <c r="L28" s="123">
        <f>TRUNC(K28*$E28,0)</f>
        <v>0</v>
      </c>
      <c r="M28" s="124">
        <f>G28+I28+K28</f>
        <v>322627</v>
      </c>
      <c r="N28" s="124">
        <f>H28+J28+L28</f>
        <v>290686</v>
      </c>
      <c r="O28" s="157"/>
    </row>
    <row r="29" spans="2:15" s="193" customFormat="1" ht="20.100000000000001" customHeight="1">
      <c r="B29" s="140"/>
      <c r="C29" s="141" t="s">
        <v>676</v>
      </c>
      <c r="D29" s="142"/>
      <c r="E29" s="143"/>
      <c r="F29" s="143"/>
      <c r="G29" s="144"/>
      <c r="H29" s="145">
        <f>SUM(H28:H28)</f>
        <v>0</v>
      </c>
      <c r="I29" s="144"/>
      <c r="J29" s="145">
        <f>SUM(J28:J28)</f>
        <v>290686</v>
      </c>
      <c r="K29" s="144"/>
      <c r="L29" s="145">
        <f>SUM(L28:L28)</f>
        <v>0</v>
      </c>
      <c r="M29" s="146"/>
      <c r="N29" s="146">
        <f>H29+J29+L29</f>
        <v>290686</v>
      </c>
      <c r="O29" s="147"/>
    </row>
    <row r="30" spans="2:15" s="193" customFormat="1" ht="20.100000000000001" customHeight="1">
      <c r="B30" s="148"/>
      <c r="C30" s="149"/>
      <c r="D30" s="149"/>
      <c r="E30" s="150"/>
      <c r="F30" s="150"/>
      <c r="G30" s="151"/>
      <c r="H30" s="152"/>
      <c r="I30" s="151"/>
      <c r="J30" s="152"/>
      <c r="K30" s="151"/>
      <c r="L30" s="152"/>
      <c r="M30" s="153"/>
      <c r="N30" s="153"/>
      <c r="O30" s="154"/>
    </row>
    <row r="31" spans="2:15" s="194" customFormat="1" ht="20.100000000000001" customHeight="1">
      <c r="B31" s="131">
        <f>B27+1</f>
        <v>3</v>
      </c>
      <c r="C31" s="155" t="s">
        <v>677</v>
      </c>
      <c r="D31" s="133">
        <v>1350</v>
      </c>
      <c r="E31" s="134">
        <v>1</v>
      </c>
      <c r="F31" s="135" t="s">
        <v>600</v>
      </c>
      <c r="G31" s="136"/>
      <c r="H31" s="136"/>
      <c r="I31" s="136"/>
      <c r="J31" s="136"/>
      <c r="K31" s="136"/>
      <c r="L31" s="136"/>
      <c r="M31" s="136"/>
      <c r="N31" s="136"/>
      <c r="O31" s="137" t="s">
        <v>0</v>
      </c>
    </row>
    <row r="32" spans="2:15" s="193" customFormat="1" ht="20.100000000000001" customHeight="1">
      <c r="B32" s="117"/>
      <c r="C32" s="156" t="s">
        <v>603</v>
      </c>
      <c r="D32" s="138"/>
      <c r="E32" s="120">
        <v>0.13500000000000001</v>
      </c>
      <c r="F32" s="121" t="s">
        <v>678</v>
      </c>
      <c r="G32" s="122"/>
      <c r="H32" s="123">
        <f>TRUNC(G32*$E32,0)</f>
        <v>0</v>
      </c>
      <c r="I32" s="122">
        <f>노임!$D$21</f>
        <v>529755</v>
      </c>
      <c r="J32" s="123">
        <f>TRUNC(I32*$E32,0)</f>
        <v>71516</v>
      </c>
      <c r="K32" s="122"/>
      <c r="L32" s="123">
        <f>TRUNC(K32*$E32,0)</f>
        <v>0</v>
      </c>
      <c r="M32" s="124">
        <f>G32+I32+K32</f>
        <v>529755</v>
      </c>
      <c r="N32" s="124">
        <f>H32+J32+L32</f>
        <v>71516</v>
      </c>
      <c r="O32" s="157"/>
    </row>
    <row r="33" spans="2:15" s="193" customFormat="1" ht="20.100000000000001" customHeight="1">
      <c r="B33" s="117"/>
      <c r="C33" s="156" t="s">
        <v>604</v>
      </c>
      <c r="D33" s="139" t="s">
        <v>679</v>
      </c>
      <c r="E33" s="120">
        <v>2.25</v>
      </c>
      <c r="F33" s="121" t="s">
        <v>680</v>
      </c>
      <c r="G33" s="122">
        <v>320</v>
      </c>
      <c r="H33" s="123">
        <f>TRUNC(G33*$E33,0)</f>
        <v>720</v>
      </c>
      <c r="I33" s="122"/>
      <c r="J33" s="123">
        <f>TRUNC(I33*$E33,0)</f>
        <v>0</v>
      </c>
      <c r="K33" s="122"/>
      <c r="L33" s="123">
        <f>TRUNC(K33*$E33,0)</f>
        <v>0</v>
      </c>
      <c r="M33" s="124">
        <f>G33+I33+K33</f>
        <v>320</v>
      </c>
      <c r="N33" s="124">
        <f>H33+J33+L33</f>
        <v>720</v>
      </c>
      <c r="O33" s="157"/>
    </row>
    <row r="34" spans="2:15" s="193" customFormat="1" ht="20.100000000000001" customHeight="1">
      <c r="B34" s="117"/>
      <c r="C34" s="156" t="s">
        <v>605</v>
      </c>
      <c r="D34" s="139" t="s">
        <v>681</v>
      </c>
      <c r="E34" s="158">
        <v>0.03</v>
      </c>
      <c r="F34" s="121"/>
      <c r="G34" s="122"/>
      <c r="H34" s="123">
        <f>TRUNC(G34*$E34,0)</f>
        <v>0</v>
      </c>
      <c r="I34" s="122"/>
      <c r="J34" s="123">
        <f>TRUNC(I34*$E34,0)</f>
        <v>0</v>
      </c>
      <c r="K34" s="122">
        <v>35507</v>
      </c>
      <c r="L34" s="123">
        <f>TRUNC(K34*$E34,0)</f>
        <v>1065</v>
      </c>
      <c r="M34" s="124">
        <f>G34+I34+K34</f>
        <v>35507</v>
      </c>
      <c r="N34" s="124">
        <f>H34+J34+L34</f>
        <v>1065</v>
      </c>
      <c r="O34" s="157"/>
    </row>
    <row r="35" spans="2:15" s="193" customFormat="1" ht="20.100000000000001" customHeight="1">
      <c r="B35" s="140"/>
      <c r="C35" s="141" t="s">
        <v>682</v>
      </c>
      <c r="D35" s="142"/>
      <c r="E35" s="143"/>
      <c r="F35" s="143"/>
      <c r="G35" s="144"/>
      <c r="H35" s="145">
        <f>SUM(H32:H34)</f>
        <v>720</v>
      </c>
      <c r="I35" s="144"/>
      <c r="J35" s="145">
        <f>SUM(J32:J34)</f>
        <v>71516</v>
      </c>
      <c r="K35" s="144"/>
      <c r="L35" s="145">
        <f>SUM(L32:L34)</f>
        <v>1065</v>
      </c>
      <c r="M35" s="146"/>
      <c r="N35" s="146">
        <f>H35+J35+L35</f>
        <v>73301</v>
      </c>
      <c r="O35" s="147"/>
    </row>
    <row r="36" spans="2:15" s="193" customFormat="1" ht="20.100000000000001" customHeight="1">
      <c r="B36" s="148"/>
      <c r="C36" s="149"/>
      <c r="D36" s="149"/>
      <c r="E36" s="150"/>
      <c r="F36" s="150"/>
      <c r="G36" s="151"/>
      <c r="H36" s="152"/>
      <c r="I36" s="151"/>
      <c r="J36" s="152"/>
      <c r="K36" s="151"/>
      <c r="L36" s="152"/>
      <c r="M36" s="153"/>
      <c r="N36" s="153"/>
      <c r="O36" s="154"/>
    </row>
    <row r="37" spans="2:15" s="194" customFormat="1" ht="20.100000000000001" customHeight="1">
      <c r="B37" s="131">
        <f>B31+1</f>
        <v>4</v>
      </c>
      <c r="C37" s="155" t="s">
        <v>683</v>
      </c>
      <c r="D37" s="133">
        <v>1350</v>
      </c>
      <c r="E37" s="134">
        <v>1</v>
      </c>
      <c r="F37" s="135" t="s">
        <v>600</v>
      </c>
      <c r="G37" s="136"/>
      <c r="H37" s="136"/>
      <c r="I37" s="136"/>
      <c r="J37" s="136"/>
      <c r="K37" s="136"/>
      <c r="L37" s="136"/>
      <c r="M37" s="136"/>
      <c r="N37" s="136"/>
      <c r="O37" s="137" t="s">
        <v>0</v>
      </c>
    </row>
    <row r="38" spans="2:15" s="193" customFormat="1" ht="19.5" customHeight="1">
      <c r="B38" s="117"/>
      <c r="C38" s="118" t="s">
        <v>606</v>
      </c>
      <c r="D38" s="159">
        <v>1350</v>
      </c>
      <c r="E38" s="120">
        <v>1</v>
      </c>
      <c r="F38" s="121" t="s">
        <v>684</v>
      </c>
      <c r="G38" s="122">
        <v>0</v>
      </c>
      <c r="H38" s="123">
        <f>TRUNC(G38*$E38,0)</f>
        <v>0</v>
      </c>
      <c r="I38" s="122">
        <f>J48</f>
        <v>2819403</v>
      </c>
      <c r="J38" s="123">
        <f>TRUNC(I38*$E38,0)</f>
        <v>2819403</v>
      </c>
      <c r="K38" s="122">
        <v>143882</v>
      </c>
      <c r="L38" s="123">
        <f>TRUNC(K38*$E38,0)</f>
        <v>143882</v>
      </c>
      <c r="M38" s="124">
        <f>G38+I38+K38</f>
        <v>2963285</v>
      </c>
      <c r="N38" s="124">
        <f>H38+J38+L38</f>
        <v>2963285</v>
      </c>
      <c r="O38" s="125">
        <f>B44</f>
        <v>5</v>
      </c>
    </row>
    <row r="39" spans="2:15" s="193" customFormat="1" ht="20.100000000000001" customHeight="1">
      <c r="B39" s="117"/>
      <c r="C39" s="118" t="s">
        <v>607</v>
      </c>
      <c r="D39" s="159">
        <v>1350</v>
      </c>
      <c r="E39" s="120">
        <v>1</v>
      </c>
      <c r="F39" s="121" t="s">
        <v>684</v>
      </c>
      <c r="G39" s="122">
        <v>103929</v>
      </c>
      <c r="H39" s="123">
        <f>TRUNC(G39*$E39,0)</f>
        <v>103929</v>
      </c>
      <c r="I39" s="122">
        <f>J55</f>
        <v>5212789</v>
      </c>
      <c r="J39" s="123">
        <f>TRUNC(I39*$E39,0)</f>
        <v>5212789</v>
      </c>
      <c r="K39" s="122">
        <v>786515</v>
      </c>
      <c r="L39" s="123">
        <f>TRUNC(K39*$E39,0)</f>
        <v>786515</v>
      </c>
      <c r="M39" s="124">
        <f>G39+I39+K39</f>
        <v>6103233</v>
      </c>
      <c r="N39" s="124">
        <f>H39+J39+L39</f>
        <v>6103233</v>
      </c>
      <c r="O39" s="125">
        <f>B50</f>
        <v>6</v>
      </c>
    </row>
    <row r="40" spans="2:15" s="193" customFormat="1" ht="20.100000000000001" customHeight="1">
      <c r="B40" s="117"/>
      <c r="C40" s="160" t="s">
        <v>608</v>
      </c>
      <c r="D40" s="159">
        <v>1350</v>
      </c>
      <c r="E40" s="120">
        <v>1</v>
      </c>
      <c r="F40" s="121" t="s">
        <v>684</v>
      </c>
      <c r="G40" s="122">
        <v>59956</v>
      </c>
      <c r="H40" s="123">
        <f>TRUNC(G40*$E40,0)</f>
        <v>59956</v>
      </c>
      <c r="I40" s="122">
        <f>J64</f>
        <v>566806</v>
      </c>
      <c r="J40" s="123">
        <f>TRUNC(I40*$E40,0)</f>
        <v>566806</v>
      </c>
      <c r="K40" s="122">
        <v>0</v>
      </c>
      <c r="L40" s="123">
        <f>TRUNC(K40*$E40,0)</f>
        <v>0</v>
      </c>
      <c r="M40" s="124">
        <f>G40+I40+K40</f>
        <v>626762</v>
      </c>
      <c r="N40" s="124">
        <f>H40+J40+L40</f>
        <v>626762</v>
      </c>
      <c r="O40" s="125">
        <f>B57</f>
        <v>7</v>
      </c>
    </row>
    <row r="41" spans="2:15" s="193" customFormat="1" ht="20.100000000000001" customHeight="1">
      <c r="B41" s="117"/>
      <c r="C41" s="156" t="s">
        <v>685</v>
      </c>
      <c r="D41" s="159">
        <v>1350</v>
      </c>
      <c r="E41" s="120">
        <v>1</v>
      </c>
      <c r="F41" s="121" t="s">
        <v>684</v>
      </c>
      <c r="G41" s="122">
        <v>14254000</v>
      </c>
      <c r="H41" s="123">
        <f>TRUNC(G41*$E41,0)</f>
        <v>14254000</v>
      </c>
      <c r="I41" s="122"/>
      <c r="J41" s="123">
        <f>TRUNC(I41*$E41,0)</f>
        <v>0</v>
      </c>
      <c r="K41" s="122"/>
      <c r="L41" s="123">
        <f>TRUNC(K41*$E41,0)</f>
        <v>0</v>
      </c>
      <c r="M41" s="124">
        <f>G41+I41+K41</f>
        <v>14254000</v>
      </c>
      <c r="N41" s="124">
        <f>H41+J41+L41</f>
        <v>14254000</v>
      </c>
      <c r="O41" s="157"/>
    </row>
    <row r="42" spans="2:15" s="193" customFormat="1" ht="20.100000000000001" customHeight="1">
      <c r="B42" s="140"/>
      <c r="C42" s="141" t="s">
        <v>682</v>
      </c>
      <c r="D42" s="142"/>
      <c r="E42" s="143"/>
      <c r="F42" s="143"/>
      <c r="G42" s="144"/>
      <c r="H42" s="145">
        <f>SUM(H38:H41)</f>
        <v>14417885</v>
      </c>
      <c r="I42" s="144"/>
      <c r="J42" s="145">
        <f>SUM(J38:J41)</f>
        <v>8598998</v>
      </c>
      <c r="K42" s="144"/>
      <c r="L42" s="145">
        <f>SUM(L38:L41)</f>
        <v>930397</v>
      </c>
      <c r="M42" s="146"/>
      <c r="N42" s="146">
        <f>H42+J42+L42</f>
        <v>23947280</v>
      </c>
      <c r="O42" s="147"/>
    </row>
    <row r="43" spans="2:15" s="193" customFormat="1" ht="20.100000000000001" customHeight="1">
      <c r="B43" s="148"/>
      <c r="C43" s="149"/>
      <c r="D43" s="149"/>
      <c r="E43" s="150"/>
      <c r="F43" s="150"/>
      <c r="G43" s="151"/>
      <c r="H43" s="152"/>
      <c r="I43" s="151"/>
      <c r="J43" s="152"/>
      <c r="K43" s="151"/>
      <c r="L43" s="152"/>
      <c r="M43" s="153"/>
      <c r="N43" s="153"/>
      <c r="O43" s="154"/>
    </row>
    <row r="44" spans="2:15" s="194" customFormat="1" ht="20.100000000000001" customHeight="1">
      <c r="B44" s="131">
        <f>B37+1</f>
        <v>5</v>
      </c>
      <c r="C44" s="155" t="s">
        <v>686</v>
      </c>
      <c r="D44" s="133">
        <v>1350</v>
      </c>
      <c r="E44" s="134">
        <v>1</v>
      </c>
      <c r="F44" s="135" t="s">
        <v>600</v>
      </c>
      <c r="G44" s="136"/>
      <c r="H44" s="136"/>
      <c r="I44" s="136"/>
      <c r="J44" s="136"/>
      <c r="K44" s="136"/>
      <c r="L44" s="136"/>
      <c r="M44" s="136"/>
      <c r="N44" s="136"/>
      <c r="O44" s="137" t="s">
        <v>0</v>
      </c>
    </row>
    <row r="45" spans="2:15" s="193" customFormat="1" ht="20.100000000000001" customHeight="1">
      <c r="B45" s="117"/>
      <c r="C45" s="156" t="s">
        <v>609</v>
      </c>
      <c r="D45" s="139"/>
      <c r="E45" s="120">
        <v>3.8</v>
      </c>
      <c r="F45" s="121" t="s">
        <v>678</v>
      </c>
      <c r="G45" s="122"/>
      <c r="H45" s="123">
        <f>TRUNC(G45*$E45,0)</f>
        <v>0</v>
      </c>
      <c r="I45" s="122">
        <f>노임!$D$24</f>
        <v>492337</v>
      </c>
      <c r="J45" s="123">
        <f>TRUNC(I45*$E45,0)</f>
        <v>1870880</v>
      </c>
      <c r="K45" s="122"/>
      <c r="L45" s="123">
        <f>TRUNC(K45*$E45,0)</f>
        <v>0</v>
      </c>
      <c r="M45" s="124">
        <f>G45+I45+K45</f>
        <v>492337</v>
      </c>
      <c r="N45" s="124">
        <f>H45+J45+L45</f>
        <v>1870880</v>
      </c>
      <c r="O45" s="157"/>
    </row>
    <row r="46" spans="2:15" s="193" customFormat="1" ht="20.100000000000001" customHeight="1">
      <c r="B46" s="117"/>
      <c r="C46" s="156" t="s">
        <v>58</v>
      </c>
      <c r="D46" s="139"/>
      <c r="E46" s="120">
        <v>2.94</v>
      </c>
      <c r="F46" s="121" t="s">
        <v>678</v>
      </c>
      <c r="G46" s="122"/>
      <c r="H46" s="123">
        <f>TRUNC(G46*$E46,0)</f>
        <v>0</v>
      </c>
      <c r="I46" s="122">
        <f>노임!$D$17</f>
        <v>322627</v>
      </c>
      <c r="J46" s="123">
        <f>TRUNC(I46*$E46,0)</f>
        <v>948523</v>
      </c>
      <c r="K46" s="122"/>
      <c r="L46" s="123">
        <f>TRUNC(K46*$E46,0)</f>
        <v>0</v>
      </c>
      <c r="M46" s="124">
        <f>G46+I46+K46</f>
        <v>322627</v>
      </c>
      <c r="N46" s="124">
        <f>H46+J46+L46</f>
        <v>948523</v>
      </c>
      <c r="O46" s="157"/>
    </row>
    <row r="47" spans="2:15" s="193" customFormat="1" ht="20.100000000000001" customHeight="1">
      <c r="B47" s="117"/>
      <c r="C47" s="156" t="s">
        <v>687</v>
      </c>
      <c r="D47" s="161">
        <v>15</v>
      </c>
      <c r="E47" s="120">
        <v>1.45</v>
      </c>
      <c r="F47" s="121" t="s">
        <v>688</v>
      </c>
      <c r="G47" s="122"/>
      <c r="H47" s="123">
        <f>TRUNC(G47*$E47,0)</f>
        <v>0</v>
      </c>
      <c r="I47" s="122"/>
      <c r="J47" s="123">
        <f>TRUNC(I47*$E47,0)</f>
        <v>0</v>
      </c>
      <c r="K47" s="122">
        <v>99229</v>
      </c>
      <c r="L47" s="123">
        <f>TRUNC(K47*$E47,0)</f>
        <v>143882</v>
      </c>
      <c r="M47" s="124">
        <f>G47+I47+K47</f>
        <v>99229</v>
      </c>
      <c r="N47" s="124">
        <f>H47+J47+L47</f>
        <v>143882</v>
      </c>
      <c r="O47" s="157"/>
    </row>
    <row r="48" spans="2:15" s="193" customFormat="1" ht="20.100000000000001" customHeight="1">
      <c r="B48" s="140"/>
      <c r="C48" s="141" t="s">
        <v>682</v>
      </c>
      <c r="D48" s="142"/>
      <c r="E48" s="143"/>
      <c r="F48" s="143"/>
      <c r="G48" s="144"/>
      <c r="H48" s="145">
        <f>SUM(H45:H47)</f>
        <v>0</v>
      </c>
      <c r="I48" s="144"/>
      <c r="J48" s="145">
        <f>SUM(J45:J47)</f>
        <v>2819403</v>
      </c>
      <c r="K48" s="144"/>
      <c r="L48" s="145">
        <f>SUM(L45:L47)</f>
        <v>143882</v>
      </c>
      <c r="M48" s="146"/>
      <c r="N48" s="146">
        <f>H48+J48+L48</f>
        <v>2963285</v>
      </c>
      <c r="O48" s="147"/>
    </row>
    <row r="49" spans="2:15" s="193" customFormat="1" ht="20.100000000000001" customHeight="1">
      <c r="B49" s="148"/>
      <c r="C49" s="149"/>
      <c r="D49" s="149"/>
      <c r="E49" s="150"/>
      <c r="F49" s="150"/>
      <c r="G49" s="151"/>
      <c r="H49" s="152"/>
      <c r="I49" s="151"/>
      <c r="J49" s="152"/>
      <c r="K49" s="151"/>
      <c r="L49" s="152"/>
      <c r="M49" s="153"/>
      <c r="N49" s="153"/>
      <c r="O49" s="154"/>
    </row>
    <row r="50" spans="2:15" s="193" customFormat="1" ht="20.100000000000001" customHeight="1">
      <c r="B50" s="131">
        <f>B44+1</f>
        <v>6</v>
      </c>
      <c r="C50" s="155" t="s">
        <v>689</v>
      </c>
      <c r="D50" s="133">
        <v>1350</v>
      </c>
      <c r="E50" s="134">
        <v>1</v>
      </c>
      <c r="F50" s="135" t="s">
        <v>600</v>
      </c>
      <c r="G50" s="136"/>
      <c r="H50" s="136"/>
      <c r="I50" s="136"/>
      <c r="J50" s="136"/>
      <c r="K50" s="136"/>
      <c r="L50" s="136"/>
      <c r="M50" s="136"/>
      <c r="N50" s="136"/>
      <c r="O50" s="137" t="s">
        <v>0</v>
      </c>
    </row>
    <row r="51" spans="2:15" s="193" customFormat="1" ht="19.5" customHeight="1">
      <c r="B51" s="117"/>
      <c r="C51" s="156" t="s">
        <v>610</v>
      </c>
      <c r="D51" s="139"/>
      <c r="E51" s="120">
        <v>9.84</v>
      </c>
      <c r="F51" s="121" t="s">
        <v>678</v>
      </c>
      <c r="G51" s="122"/>
      <c r="H51" s="123">
        <f>TRUNC(G51*$E51,0)</f>
        <v>0</v>
      </c>
      <c r="I51" s="122">
        <f>노임!$D$21</f>
        <v>529755</v>
      </c>
      <c r="J51" s="123">
        <f>TRUNC(I51*$E51,0)</f>
        <v>5212789</v>
      </c>
      <c r="K51" s="122"/>
      <c r="L51" s="123">
        <f>TRUNC(K51*$E51,0)</f>
        <v>0</v>
      </c>
      <c r="M51" s="124">
        <f>G51+I51+K51</f>
        <v>529755</v>
      </c>
      <c r="N51" s="124">
        <f>H51+J51+L51</f>
        <v>5212789</v>
      </c>
      <c r="O51" s="157"/>
    </row>
    <row r="52" spans="2:15" s="193" customFormat="1" ht="20.100000000000001" customHeight="1">
      <c r="B52" s="117"/>
      <c r="C52" s="156" t="s">
        <v>611</v>
      </c>
      <c r="D52" s="139"/>
      <c r="E52" s="120">
        <v>14.06</v>
      </c>
      <c r="F52" s="121" t="s">
        <v>688</v>
      </c>
      <c r="G52" s="122"/>
      <c r="H52" s="123">
        <f>TRUNC(G52*$E52,0)</f>
        <v>0</v>
      </c>
      <c r="I52" s="122"/>
      <c r="J52" s="123">
        <f>TRUNC(I52*$E52,0)</f>
        <v>0</v>
      </c>
      <c r="K52" s="122">
        <v>55756</v>
      </c>
      <c r="L52" s="123">
        <f>TRUNC(K52*$E52,0)</f>
        <v>783929</v>
      </c>
      <c r="M52" s="124">
        <f>G52+I52+K52</f>
        <v>55756</v>
      </c>
      <c r="N52" s="124">
        <f>H52+J52+L52</f>
        <v>783929</v>
      </c>
      <c r="O52" s="157"/>
    </row>
    <row r="53" spans="2:15" s="193" customFormat="1" ht="20.100000000000001" customHeight="1">
      <c r="B53" s="117"/>
      <c r="C53" s="156" t="s">
        <v>612</v>
      </c>
      <c r="D53" s="161"/>
      <c r="E53" s="120">
        <v>28.11</v>
      </c>
      <c r="F53" s="121" t="s">
        <v>688</v>
      </c>
      <c r="G53" s="122"/>
      <c r="H53" s="123">
        <f>TRUNC(G53*$E53,0)</f>
        <v>0</v>
      </c>
      <c r="I53" s="122"/>
      <c r="J53" s="123">
        <f>TRUNC(I53*$E53,0)</f>
        <v>0</v>
      </c>
      <c r="K53" s="122">
        <v>92</v>
      </c>
      <c r="L53" s="123">
        <f>TRUNC(K53*$E53,0)</f>
        <v>2586</v>
      </c>
      <c r="M53" s="124">
        <f>G53+I53+K53</f>
        <v>92</v>
      </c>
      <c r="N53" s="124">
        <f>H53+J53+L53</f>
        <v>2586</v>
      </c>
      <c r="O53" s="157"/>
    </row>
    <row r="54" spans="2:15" s="193" customFormat="1" ht="20.100000000000001" customHeight="1">
      <c r="B54" s="117"/>
      <c r="C54" s="156" t="s">
        <v>613</v>
      </c>
      <c r="D54" s="161"/>
      <c r="E54" s="120">
        <v>21.21</v>
      </c>
      <c r="F54" s="121" t="s">
        <v>690</v>
      </c>
      <c r="G54" s="122">
        <v>4900</v>
      </c>
      <c r="H54" s="123">
        <f>TRUNC(G54*$E54,0)</f>
        <v>103929</v>
      </c>
      <c r="I54" s="122"/>
      <c r="J54" s="123">
        <f>TRUNC(I54*$E54,0)</f>
        <v>0</v>
      </c>
      <c r="K54" s="122"/>
      <c r="L54" s="123">
        <f>TRUNC(K54*$E54,0)</f>
        <v>0</v>
      </c>
      <c r="M54" s="124">
        <f>G54+I54+K54</f>
        <v>4900</v>
      </c>
      <c r="N54" s="124">
        <f>H54+J54+L54</f>
        <v>103929</v>
      </c>
      <c r="O54" s="157"/>
    </row>
    <row r="55" spans="2:15" s="193" customFormat="1" ht="20.100000000000001" customHeight="1">
      <c r="B55" s="140"/>
      <c r="C55" s="141" t="s">
        <v>682</v>
      </c>
      <c r="D55" s="142"/>
      <c r="E55" s="143"/>
      <c r="F55" s="143"/>
      <c r="G55" s="144"/>
      <c r="H55" s="145">
        <f>SUM(H51:H54)</f>
        <v>103929</v>
      </c>
      <c r="I55" s="144"/>
      <c r="J55" s="145">
        <f>SUM(J51:J54)</f>
        <v>5212789</v>
      </c>
      <c r="K55" s="144"/>
      <c r="L55" s="145">
        <f>SUM(L51:L54)</f>
        <v>786515</v>
      </c>
      <c r="M55" s="146"/>
      <c r="N55" s="146">
        <f>H55+J55+L55</f>
        <v>6103233</v>
      </c>
      <c r="O55" s="147"/>
    </row>
    <row r="56" spans="2:15" s="193" customFormat="1" ht="20.100000000000001" customHeight="1">
      <c r="B56" s="148"/>
      <c r="C56" s="149"/>
      <c r="D56" s="149"/>
      <c r="E56" s="150"/>
      <c r="F56" s="150"/>
      <c r="G56" s="151"/>
      <c r="H56" s="152"/>
      <c r="I56" s="151"/>
      <c r="J56" s="152"/>
      <c r="K56" s="151"/>
      <c r="L56" s="152"/>
      <c r="M56" s="153"/>
      <c r="N56" s="153"/>
      <c r="O56" s="154"/>
    </row>
    <row r="57" spans="2:15" s="193" customFormat="1" ht="20.100000000000001" customHeight="1">
      <c r="B57" s="131">
        <f>B50+1</f>
        <v>7</v>
      </c>
      <c r="C57" s="155" t="s">
        <v>691</v>
      </c>
      <c r="D57" s="133">
        <v>1350</v>
      </c>
      <c r="E57" s="134">
        <v>1</v>
      </c>
      <c r="F57" s="135" t="s">
        <v>600</v>
      </c>
      <c r="G57" s="136"/>
      <c r="H57" s="136"/>
      <c r="I57" s="136"/>
      <c r="J57" s="136"/>
      <c r="K57" s="136"/>
      <c r="L57" s="136"/>
      <c r="M57" s="136"/>
      <c r="N57" s="136"/>
      <c r="O57" s="137" t="s">
        <v>0</v>
      </c>
    </row>
    <row r="58" spans="2:15" s="193" customFormat="1" ht="19.5" customHeight="1">
      <c r="B58" s="117"/>
      <c r="C58" s="156" t="s">
        <v>603</v>
      </c>
      <c r="D58" s="139"/>
      <c r="E58" s="120">
        <v>0.94</v>
      </c>
      <c r="F58" s="121" t="s">
        <v>678</v>
      </c>
      <c r="G58" s="122"/>
      <c r="H58" s="123">
        <f>TRUNC(G58*$E58,0)</f>
        <v>0</v>
      </c>
      <c r="I58" s="122">
        <f>노임!$D$23</f>
        <v>493156</v>
      </c>
      <c r="J58" s="123">
        <f>TRUNC(I58*$E58,0)</f>
        <v>463566</v>
      </c>
      <c r="K58" s="122"/>
      <c r="L58" s="123">
        <f>TRUNC(K58*$E58,0)</f>
        <v>0</v>
      </c>
      <c r="M58" s="124">
        <f>G58+I58+K58</f>
        <v>493156</v>
      </c>
      <c r="N58" s="124">
        <f>H58+J58+L58</f>
        <v>463566</v>
      </c>
      <c r="O58" s="157"/>
    </row>
    <row r="59" spans="2:15" s="193" customFormat="1" ht="20.100000000000001" customHeight="1">
      <c r="B59" s="117"/>
      <c r="C59" s="156" t="s">
        <v>58</v>
      </c>
      <c r="D59" s="139"/>
      <c r="E59" s="120">
        <v>0.32</v>
      </c>
      <c r="F59" s="121" t="s">
        <v>678</v>
      </c>
      <c r="G59" s="122"/>
      <c r="H59" s="123">
        <f>TRUNC(G59*$E59,0)</f>
        <v>0</v>
      </c>
      <c r="I59" s="122">
        <f>노임!$D$17</f>
        <v>322627</v>
      </c>
      <c r="J59" s="123">
        <f>TRUNC(I59*$E59,0)</f>
        <v>103240</v>
      </c>
      <c r="K59" s="122"/>
      <c r="L59" s="123">
        <f>TRUNC(K59*$E59,0)</f>
        <v>0</v>
      </c>
      <c r="M59" s="124">
        <f>G59+I59+K59</f>
        <v>322627</v>
      </c>
      <c r="N59" s="124">
        <f>H59+J59+L59</f>
        <v>103240</v>
      </c>
      <c r="O59" s="157"/>
    </row>
    <row r="60" spans="2:15" s="193" customFormat="1" ht="20.100000000000001" customHeight="1">
      <c r="B60" s="117"/>
      <c r="C60" s="156" t="s">
        <v>614</v>
      </c>
      <c r="D60" s="161" t="s">
        <v>692</v>
      </c>
      <c r="E60" s="120">
        <v>0.96</v>
      </c>
      <c r="F60" s="121" t="s">
        <v>690</v>
      </c>
      <c r="G60" s="122">
        <v>20747</v>
      </c>
      <c r="H60" s="123">
        <f>TRUNC(G60*$E60,0)</f>
        <v>19917</v>
      </c>
      <c r="I60" s="122"/>
      <c r="J60" s="123">
        <f>TRUNC(I60*$E60,0)</f>
        <v>0</v>
      </c>
      <c r="K60" s="122"/>
      <c r="L60" s="123">
        <f>TRUNC(K60*$E60,0)</f>
        <v>0</v>
      </c>
      <c r="M60" s="124">
        <f>G60+I60+K60</f>
        <v>20747</v>
      </c>
      <c r="N60" s="124">
        <f>H60+J60+L60</f>
        <v>19917</v>
      </c>
      <c r="O60" s="157"/>
    </row>
    <row r="61" spans="2:15" s="193" customFormat="1" ht="20.100000000000001" customHeight="1">
      <c r="B61" s="117"/>
      <c r="C61" s="156" t="s">
        <v>51</v>
      </c>
      <c r="D61" s="161" t="s">
        <v>693</v>
      </c>
      <c r="E61" s="120">
        <v>9.48</v>
      </c>
      <c r="F61" s="121" t="s">
        <v>694</v>
      </c>
      <c r="G61" s="122">
        <v>2800</v>
      </c>
      <c r="H61" s="123">
        <f>TRUNC(G61*$E61,0)</f>
        <v>26544</v>
      </c>
      <c r="I61" s="122"/>
      <c r="J61" s="123">
        <f>TRUNC(I61*$E61,0)</f>
        <v>0</v>
      </c>
      <c r="K61" s="122"/>
      <c r="L61" s="123">
        <f>TRUNC(K61*$E61,0)</f>
        <v>0</v>
      </c>
      <c r="M61" s="124">
        <f>G61+I61+K61</f>
        <v>2800</v>
      </c>
      <c r="N61" s="124">
        <f>H61+J61+L61</f>
        <v>26544</v>
      </c>
      <c r="O61" s="157"/>
    </row>
    <row r="62" spans="2:15" s="193" customFormat="1" ht="20.100000000000001" customHeight="1">
      <c r="B62" s="117"/>
      <c r="C62" s="156" t="s">
        <v>50</v>
      </c>
      <c r="D62" s="161" t="s">
        <v>695</v>
      </c>
      <c r="E62" s="120">
        <v>8.92</v>
      </c>
      <c r="F62" s="121" t="s">
        <v>696</v>
      </c>
      <c r="G62" s="122">
        <v>773</v>
      </c>
      <c r="H62" s="123">
        <f>TRUNC(G62*$E62,0)</f>
        <v>6895</v>
      </c>
      <c r="I62" s="122"/>
      <c r="J62" s="123">
        <f>TRUNC(I62*$E62,0)</f>
        <v>0</v>
      </c>
      <c r="K62" s="122"/>
      <c r="L62" s="123">
        <f>TRUNC(K62*$E62,0)</f>
        <v>0</v>
      </c>
      <c r="M62" s="124">
        <f>G62+I62+K62</f>
        <v>773</v>
      </c>
      <c r="N62" s="124">
        <f>H62+J62+L62</f>
        <v>6895</v>
      </c>
      <c r="O62" s="157"/>
    </row>
    <row r="63" spans="2:15" s="193" customFormat="1" ht="20.100000000000001" customHeight="1">
      <c r="B63" s="117"/>
      <c r="C63" s="156" t="s">
        <v>49</v>
      </c>
      <c r="D63" s="162" t="s">
        <v>697</v>
      </c>
      <c r="E63" s="120">
        <v>8.92</v>
      </c>
      <c r="F63" s="121" t="s">
        <v>696</v>
      </c>
      <c r="G63" s="122">
        <v>740</v>
      </c>
      <c r="H63" s="123">
        <f>TRUNC(G63*$E63,0)</f>
        <v>6600</v>
      </c>
      <c r="I63" s="122"/>
      <c r="J63" s="123">
        <f>TRUNC(I63*$E63,0)</f>
        <v>0</v>
      </c>
      <c r="K63" s="122"/>
      <c r="L63" s="123">
        <f>TRUNC(K63*$E63,0)</f>
        <v>0</v>
      </c>
      <c r="M63" s="124">
        <f>G63+I63+K63</f>
        <v>740</v>
      </c>
      <c r="N63" s="124">
        <f>H63+J63+L63</f>
        <v>6600</v>
      </c>
      <c r="O63" s="157"/>
    </row>
    <row r="64" spans="2:15" s="193" customFormat="1" ht="20.100000000000001" customHeight="1">
      <c r="B64" s="140"/>
      <c r="C64" s="141" t="s">
        <v>698</v>
      </c>
      <c r="D64" s="142"/>
      <c r="E64" s="143"/>
      <c r="F64" s="143"/>
      <c r="G64" s="144"/>
      <c r="H64" s="145">
        <f>SUM(H58:H63)</f>
        <v>59956</v>
      </c>
      <c r="I64" s="144"/>
      <c r="J64" s="145">
        <f>SUM(J58:J63)</f>
        <v>566806</v>
      </c>
      <c r="K64" s="144"/>
      <c r="L64" s="145">
        <f>SUM(L58:L63)</f>
        <v>0</v>
      </c>
      <c r="M64" s="146"/>
      <c r="N64" s="146">
        <f>H64+J64+L64</f>
        <v>626762</v>
      </c>
      <c r="O64" s="147"/>
    </row>
    <row r="65" spans="2:16" s="193" customFormat="1" ht="20.100000000000001" customHeight="1">
      <c r="B65" s="148"/>
      <c r="C65" s="149"/>
      <c r="D65" s="149"/>
      <c r="E65" s="150"/>
      <c r="F65" s="150"/>
      <c r="G65" s="151"/>
      <c r="H65" s="152"/>
      <c r="I65" s="151"/>
      <c r="J65" s="152"/>
      <c r="K65" s="151"/>
      <c r="L65" s="152"/>
      <c r="M65" s="153"/>
      <c r="N65" s="153"/>
      <c r="O65" s="154"/>
    </row>
    <row r="66" spans="2:16" s="194" customFormat="1" ht="20.100000000000001" customHeight="1">
      <c r="B66" s="131">
        <f>B57+1</f>
        <v>8</v>
      </c>
      <c r="C66" s="155" t="s">
        <v>699</v>
      </c>
      <c r="D66" s="163">
        <v>900</v>
      </c>
      <c r="E66" s="134">
        <v>1</v>
      </c>
      <c r="F66" s="135" t="s">
        <v>600</v>
      </c>
      <c r="G66" s="136"/>
      <c r="H66" s="136"/>
      <c r="I66" s="136"/>
      <c r="J66" s="136"/>
      <c r="K66" s="136"/>
      <c r="L66" s="136"/>
      <c r="M66" s="136"/>
      <c r="N66" s="136"/>
      <c r="O66" s="137" t="s">
        <v>0</v>
      </c>
    </row>
    <row r="67" spans="2:16" s="193" customFormat="1" ht="19.5" customHeight="1">
      <c r="B67" s="117"/>
      <c r="C67" s="118" t="s">
        <v>615</v>
      </c>
      <c r="D67" s="127">
        <v>900</v>
      </c>
      <c r="E67" s="120">
        <v>1</v>
      </c>
      <c r="F67" s="121" t="s">
        <v>700</v>
      </c>
      <c r="G67" s="122">
        <v>0</v>
      </c>
      <c r="H67" s="123">
        <f>TRUNC(G67*$E67,0)</f>
        <v>0</v>
      </c>
      <c r="I67" s="122">
        <f>J76</f>
        <v>933963</v>
      </c>
      <c r="J67" s="123">
        <f>TRUNC(I67*$E67,0)</f>
        <v>933963</v>
      </c>
      <c r="K67" s="122">
        <v>84344</v>
      </c>
      <c r="L67" s="123">
        <f>TRUNC(K67*$E67,0)</f>
        <v>84344</v>
      </c>
      <c r="M67" s="124">
        <f>G67+I67+K67</f>
        <v>1018307</v>
      </c>
      <c r="N67" s="124">
        <f>H67+J67+L67</f>
        <v>1018307</v>
      </c>
      <c r="O67" s="125">
        <f>B72</f>
        <v>9</v>
      </c>
    </row>
    <row r="68" spans="2:16" s="193" customFormat="1" ht="20.100000000000001" customHeight="1">
      <c r="B68" s="117"/>
      <c r="C68" s="118" t="s">
        <v>701</v>
      </c>
      <c r="D68" s="119">
        <v>1350</v>
      </c>
      <c r="E68" s="120">
        <v>65.41</v>
      </c>
      <c r="F68" s="121" t="s">
        <v>688</v>
      </c>
      <c r="G68" s="122"/>
      <c r="H68" s="123">
        <f>TRUNC(G68*$E68,0)</f>
        <v>0</v>
      </c>
      <c r="I68" s="122"/>
      <c r="J68" s="123">
        <f>TRUNC(I68*$E68,0)</f>
        <v>0</v>
      </c>
      <c r="K68" s="122">
        <v>15246</v>
      </c>
      <c r="L68" s="123">
        <f>TRUNC(K68*$E68,0)</f>
        <v>997240</v>
      </c>
      <c r="M68" s="124">
        <f>G68+I68+K68</f>
        <v>15246</v>
      </c>
      <c r="N68" s="124">
        <f>H68+J68+L68</f>
        <v>997240</v>
      </c>
      <c r="O68" s="125"/>
    </row>
    <row r="69" spans="2:16" s="193" customFormat="1" ht="20.100000000000001" customHeight="1">
      <c r="B69" s="117"/>
      <c r="C69" s="156" t="s">
        <v>702</v>
      </c>
      <c r="D69" s="127">
        <v>900</v>
      </c>
      <c r="E69" s="120">
        <v>1</v>
      </c>
      <c r="F69" s="121" t="s">
        <v>684</v>
      </c>
      <c r="G69" s="122">
        <v>303010</v>
      </c>
      <c r="H69" s="123">
        <f>TRUNC(G69*$E69,0)</f>
        <v>303010</v>
      </c>
      <c r="I69" s="122"/>
      <c r="J69" s="123">
        <f>TRUNC(I69*$E69,0)</f>
        <v>0</v>
      </c>
      <c r="K69" s="122"/>
      <c r="L69" s="123">
        <f>TRUNC(K69*$E69,0)</f>
        <v>0</v>
      </c>
      <c r="M69" s="124">
        <f>G69+I69+K69</f>
        <v>303010</v>
      </c>
      <c r="N69" s="124">
        <f>H69+J69+L69</f>
        <v>303010</v>
      </c>
      <c r="O69" s="157"/>
    </row>
    <row r="70" spans="2:16" s="193" customFormat="1" ht="20.100000000000001" customHeight="1">
      <c r="B70" s="140"/>
      <c r="C70" s="141" t="s">
        <v>698</v>
      </c>
      <c r="D70" s="142"/>
      <c r="E70" s="143"/>
      <c r="F70" s="143"/>
      <c r="G70" s="144"/>
      <c r="H70" s="145">
        <f>SUM(H67:H69)</f>
        <v>303010</v>
      </c>
      <c r="I70" s="144"/>
      <c r="J70" s="145">
        <f>SUM(J67:J69)</f>
        <v>933963</v>
      </c>
      <c r="K70" s="144"/>
      <c r="L70" s="145">
        <f>SUM(L67:L69)</f>
        <v>1081584</v>
      </c>
      <c r="M70" s="146"/>
      <c r="N70" s="146">
        <f>H70+J70+L70</f>
        <v>2318557</v>
      </c>
      <c r="O70" s="147"/>
    </row>
    <row r="71" spans="2:16" s="193" customFormat="1" ht="20.100000000000001" customHeight="1">
      <c r="B71" s="148"/>
      <c r="C71" s="149"/>
      <c r="D71" s="149"/>
      <c r="E71" s="150"/>
      <c r="F71" s="150"/>
      <c r="G71" s="151"/>
      <c r="H71" s="152"/>
      <c r="I71" s="151"/>
      <c r="J71" s="152"/>
      <c r="K71" s="151"/>
      <c r="L71" s="152"/>
      <c r="M71" s="153"/>
      <c r="N71" s="153"/>
      <c r="O71" s="154"/>
    </row>
    <row r="72" spans="2:16" s="194" customFormat="1" ht="20.100000000000001" customHeight="1">
      <c r="B72" s="131">
        <f>B66+1</f>
        <v>9</v>
      </c>
      <c r="C72" s="155" t="s">
        <v>703</v>
      </c>
      <c r="D72" s="163">
        <v>900</v>
      </c>
      <c r="E72" s="134">
        <v>1</v>
      </c>
      <c r="F72" s="135" t="s">
        <v>600</v>
      </c>
      <c r="G72" s="136"/>
      <c r="H72" s="136"/>
      <c r="I72" s="136"/>
      <c r="J72" s="136"/>
      <c r="K72" s="136"/>
      <c r="L72" s="136"/>
      <c r="M72" s="136"/>
      <c r="N72" s="136"/>
      <c r="O72" s="137" t="s">
        <v>0</v>
      </c>
    </row>
    <row r="73" spans="2:16" s="193" customFormat="1" ht="20.100000000000001" customHeight="1">
      <c r="B73" s="117"/>
      <c r="C73" s="156" t="s">
        <v>609</v>
      </c>
      <c r="D73" s="139"/>
      <c r="E73" s="120">
        <v>1.34</v>
      </c>
      <c r="F73" s="121" t="s">
        <v>678</v>
      </c>
      <c r="G73" s="122"/>
      <c r="H73" s="123">
        <f>TRUNC(G73*$E73,0)</f>
        <v>0</v>
      </c>
      <c r="I73" s="122">
        <f>노임!$D$24</f>
        <v>492337</v>
      </c>
      <c r="J73" s="123">
        <f>TRUNC(I73*$E73,0)</f>
        <v>659731</v>
      </c>
      <c r="K73" s="122"/>
      <c r="L73" s="123">
        <f>TRUNC(K73*$E73,0)</f>
        <v>0</v>
      </c>
      <c r="M73" s="124">
        <f>G73+I73+K73</f>
        <v>492337</v>
      </c>
      <c r="N73" s="124">
        <f>H73+J73+L73</f>
        <v>659731</v>
      </c>
      <c r="O73" s="157"/>
    </row>
    <row r="74" spans="2:16" s="193" customFormat="1" ht="20.100000000000001" customHeight="1">
      <c r="B74" s="117"/>
      <c r="C74" s="156" t="s">
        <v>58</v>
      </c>
      <c r="D74" s="139"/>
      <c r="E74" s="120">
        <v>0.85</v>
      </c>
      <c r="F74" s="121" t="s">
        <v>704</v>
      </c>
      <c r="G74" s="122"/>
      <c r="H74" s="123">
        <f>TRUNC(G74*$E74,0)</f>
        <v>0</v>
      </c>
      <c r="I74" s="122">
        <f>노임!$D$17</f>
        <v>322627</v>
      </c>
      <c r="J74" s="123">
        <f>TRUNC(I74*$E74,0)</f>
        <v>274232</v>
      </c>
      <c r="K74" s="122"/>
      <c r="L74" s="123">
        <f>TRUNC(K74*$E74,0)</f>
        <v>0</v>
      </c>
      <c r="M74" s="124">
        <f>G74+I74+K74</f>
        <v>322627</v>
      </c>
      <c r="N74" s="124">
        <f>H74+J74+L74</f>
        <v>274232</v>
      </c>
      <c r="O74" s="157"/>
    </row>
    <row r="75" spans="2:16" s="193" customFormat="1" ht="20.100000000000001" customHeight="1">
      <c r="B75" s="117"/>
      <c r="C75" s="156" t="s">
        <v>705</v>
      </c>
      <c r="D75" s="161">
        <v>15</v>
      </c>
      <c r="E75" s="120">
        <v>0.85</v>
      </c>
      <c r="F75" s="121" t="s">
        <v>706</v>
      </c>
      <c r="G75" s="122"/>
      <c r="H75" s="123">
        <f>TRUNC(G75*$E75,0)</f>
        <v>0</v>
      </c>
      <c r="I75" s="122"/>
      <c r="J75" s="123">
        <f>TRUNC(I75*$E75,0)</f>
        <v>0</v>
      </c>
      <c r="K75" s="122">
        <v>99229</v>
      </c>
      <c r="L75" s="123">
        <f>TRUNC(K75*$E75,0)</f>
        <v>84344</v>
      </c>
      <c r="M75" s="124">
        <f>G75+I75+K75</f>
        <v>99229</v>
      </c>
      <c r="N75" s="124">
        <f>H75+J75+L75</f>
        <v>84344</v>
      </c>
      <c r="O75" s="157"/>
    </row>
    <row r="76" spans="2:16" s="193" customFormat="1" ht="20.100000000000001" customHeight="1">
      <c r="B76" s="140"/>
      <c r="C76" s="141" t="s">
        <v>698</v>
      </c>
      <c r="D76" s="142"/>
      <c r="E76" s="143"/>
      <c r="F76" s="143"/>
      <c r="G76" s="144"/>
      <c r="H76" s="145">
        <f>SUM(H73:H75)</f>
        <v>0</v>
      </c>
      <c r="I76" s="144"/>
      <c r="J76" s="145">
        <f>SUM(J73:J75)</f>
        <v>933963</v>
      </c>
      <c r="K76" s="144"/>
      <c r="L76" s="145">
        <f>SUM(L73:L75)</f>
        <v>84344</v>
      </c>
      <c r="M76" s="146"/>
      <c r="N76" s="146">
        <f>H76+J76+L76</f>
        <v>1018307</v>
      </c>
      <c r="O76" s="147"/>
    </row>
    <row r="77" spans="2:16" s="193" customFormat="1" ht="20.100000000000001" customHeight="1">
      <c r="B77" s="148"/>
      <c r="C77" s="149"/>
      <c r="D77" s="149"/>
      <c r="E77" s="150"/>
      <c r="F77" s="150"/>
      <c r="G77" s="151"/>
      <c r="H77" s="152"/>
      <c r="I77" s="151"/>
      <c r="J77" s="152"/>
      <c r="K77" s="151"/>
      <c r="L77" s="152"/>
      <c r="M77" s="153"/>
      <c r="N77" s="153"/>
      <c r="O77" s="154"/>
    </row>
    <row r="78" spans="2:16" s="195" customFormat="1" ht="20.100000000000001" customHeight="1">
      <c r="B78" s="131">
        <f>B72+1</f>
        <v>10</v>
      </c>
      <c r="C78" s="155" t="s">
        <v>707</v>
      </c>
      <c r="D78" s="163">
        <v>900</v>
      </c>
      <c r="E78" s="134">
        <v>1</v>
      </c>
      <c r="F78" s="135" t="s">
        <v>600</v>
      </c>
      <c r="G78" s="136"/>
      <c r="H78" s="136"/>
      <c r="I78" s="136"/>
      <c r="J78" s="136"/>
      <c r="K78" s="136"/>
      <c r="L78" s="136"/>
      <c r="M78" s="136"/>
      <c r="N78" s="136"/>
      <c r="O78" s="137" t="s">
        <v>0</v>
      </c>
      <c r="P78" s="194"/>
    </row>
    <row r="79" spans="2:16" s="196" customFormat="1" ht="19.5" customHeight="1">
      <c r="B79" s="117"/>
      <c r="C79" s="118" t="s">
        <v>616</v>
      </c>
      <c r="D79" s="127">
        <v>900</v>
      </c>
      <c r="E79" s="120">
        <v>1</v>
      </c>
      <c r="F79" s="121" t="s">
        <v>684</v>
      </c>
      <c r="G79" s="122">
        <v>0</v>
      </c>
      <c r="H79" s="123">
        <f>TRUNC(G79*$E79,0)</f>
        <v>0</v>
      </c>
      <c r="I79" s="122">
        <f>J98</f>
        <v>2319695</v>
      </c>
      <c r="J79" s="123">
        <f>TRUNC(I79*$E79,0)</f>
        <v>2319695</v>
      </c>
      <c r="K79" s="122">
        <v>592118</v>
      </c>
      <c r="L79" s="123">
        <f>TRUNC(K79*$E79,0)</f>
        <v>592118</v>
      </c>
      <c r="M79" s="124">
        <f>G79+I79+K79</f>
        <v>2911813</v>
      </c>
      <c r="N79" s="124">
        <f>H79+J79+L79</f>
        <v>2911813</v>
      </c>
      <c r="O79" s="125">
        <f>B93</f>
        <v>11</v>
      </c>
      <c r="P79" s="193"/>
    </row>
    <row r="80" spans="2:16" s="196" customFormat="1" ht="20.100000000000001" customHeight="1">
      <c r="B80" s="117"/>
      <c r="C80" s="118" t="s">
        <v>708</v>
      </c>
      <c r="D80" s="119">
        <v>1350</v>
      </c>
      <c r="E80" s="120">
        <v>65.41</v>
      </c>
      <c r="F80" s="121" t="s">
        <v>706</v>
      </c>
      <c r="G80" s="122"/>
      <c r="H80" s="123">
        <f>TRUNC(G80*$E80,0)</f>
        <v>0</v>
      </c>
      <c r="I80" s="122"/>
      <c r="J80" s="123">
        <f>TRUNC(I80*$E80,0)</f>
        <v>0</v>
      </c>
      <c r="K80" s="122">
        <v>68191</v>
      </c>
      <c r="L80" s="123">
        <f>TRUNC(K80*$E80,0)</f>
        <v>4460373</v>
      </c>
      <c r="M80" s="124">
        <f>G80+I80+K80</f>
        <v>68191</v>
      </c>
      <c r="N80" s="124">
        <f>H80+J80+L80</f>
        <v>4460373</v>
      </c>
      <c r="O80" s="125"/>
      <c r="P80" s="193"/>
    </row>
    <row r="81" spans="2:16" s="196" customFormat="1" ht="20.100000000000001" customHeight="1">
      <c r="B81" s="117"/>
      <c r="C81" s="118" t="s">
        <v>617</v>
      </c>
      <c r="D81" s="127">
        <v>900</v>
      </c>
      <c r="E81" s="120">
        <v>2.9</v>
      </c>
      <c r="F81" s="121" t="s">
        <v>688</v>
      </c>
      <c r="G81" s="122">
        <v>19725</v>
      </c>
      <c r="H81" s="123">
        <f>TRUNC(G81*$E81,0)</f>
        <v>57202</v>
      </c>
      <c r="I81" s="122">
        <v>0</v>
      </c>
      <c r="J81" s="123">
        <f>TRUNC(I81*$E81,0)</f>
        <v>0</v>
      </c>
      <c r="K81" s="122">
        <v>0</v>
      </c>
      <c r="L81" s="123">
        <f>TRUNC(K81*$E81,0)</f>
        <v>0</v>
      </c>
      <c r="M81" s="124">
        <f>G81+I81+K81</f>
        <v>19725</v>
      </c>
      <c r="N81" s="124">
        <f>H81+J81+L81</f>
        <v>57202</v>
      </c>
      <c r="O81" s="125">
        <f>B100</f>
        <v>12</v>
      </c>
      <c r="P81" s="193"/>
    </row>
    <row r="82" spans="2:16" s="196" customFormat="1" ht="20.100000000000001" customHeight="1">
      <c r="B82" s="117"/>
      <c r="C82" s="118" t="s">
        <v>618</v>
      </c>
      <c r="D82" s="119">
        <v>1350</v>
      </c>
      <c r="E82" s="120">
        <v>1</v>
      </c>
      <c r="F82" s="121" t="s">
        <v>684</v>
      </c>
      <c r="G82" s="122">
        <v>2773</v>
      </c>
      <c r="H82" s="123">
        <f>TRUNC(G82*$E82,0)</f>
        <v>2773</v>
      </c>
      <c r="I82" s="122">
        <f>J109</f>
        <v>173369</v>
      </c>
      <c r="J82" s="123">
        <f>TRUNC(I82*$E82,0)</f>
        <v>173369</v>
      </c>
      <c r="K82" s="122">
        <v>0</v>
      </c>
      <c r="L82" s="123">
        <f>TRUNC(K82*$E82,0)</f>
        <v>0</v>
      </c>
      <c r="M82" s="124">
        <f>G82+I82+K82</f>
        <v>176142</v>
      </c>
      <c r="N82" s="124">
        <f>H82+J82+L82</f>
        <v>176142</v>
      </c>
      <c r="O82" s="125">
        <f>B105</f>
        <v>13</v>
      </c>
      <c r="P82" s="193"/>
    </row>
    <row r="83" spans="2:16" s="196" customFormat="1" ht="20.100000000000001" customHeight="1">
      <c r="B83" s="117"/>
      <c r="C83" s="118" t="s">
        <v>619</v>
      </c>
      <c r="D83" s="127">
        <v>900</v>
      </c>
      <c r="E83" s="120">
        <v>1</v>
      </c>
      <c r="F83" s="121" t="s">
        <v>684</v>
      </c>
      <c r="G83" s="122">
        <v>0</v>
      </c>
      <c r="H83" s="123">
        <f>TRUNC(G83*$E83,0)</f>
        <v>0</v>
      </c>
      <c r="I83" s="122">
        <f>J116</f>
        <v>698207</v>
      </c>
      <c r="J83" s="123">
        <f>TRUNC(I83*$E83,0)</f>
        <v>698207</v>
      </c>
      <c r="K83" s="122">
        <v>177454</v>
      </c>
      <c r="L83" s="123">
        <f>TRUNC(K83*$E83,0)</f>
        <v>177454</v>
      </c>
      <c r="M83" s="124">
        <f>G83+I83+K83</f>
        <v>875661</v>
      </c>
      <c r="N83" s="124">
        <f>H83+J83+L83</f>
        <v>875661</v>
      </c>
      <c r="O83" s="125">
        <f>B111</f>
        <v>14</v>
      </c>
      <c r="P83" s="193"/>
    </row>
    <row r="84" spans="2:16" s="196" customFormat="1" ht="20.100000000000001" customHeight="1">
      <c r="B84" s="117"/>
      <c r="C84" s="118" t="s">
        <v>709</v>
      </c>
      <c r="D84" s="119">
        <v>1350</v>
      </c>
      <c r="E84" s="120">
        <v>65.41</v>
      </c>
      <c r="F84" s="121" t="s">
        <v>688</v>
      </c>
      <c r="G84" s="122"/>
      <c r="H84" s="123">
        <f>TRUNC(G84*$E84,0)</f>
        <v>0</v>
      </c>
      <c r="I84" s="122"/>
      <c r="J84" s="123">
        <f>TRUNC(I84*$E84,0)</f>
        <v>0</v>
      </c>
      <c r="K84" s="122">
        <v>3492</v>
      </c>
      <c r="L84" s="123">
        <f>TRUNC(K84*$E84,0)</f>
        <v>228411</v>
      </c>
      <c r="M84" s="124">
        <f>G84+I84+K84</f>
        <v>3492</v>
      </c>
      <c r="N84" s="124">
        <f>H84+J84+L84</f>
        <v>228411</v>
      </c>
      <c r="O84" s="125"/>
      <c r="P84" s="193"/>
    </row>
    <row r="85" spans="2:16" s="196" customFormat="1" ht="20.100000000000001" customHeight="1">
      <c r="B85" s="117"/>
      <c r="C85" s="118" t="s">
        <v>620</v>
      </c>
      <c r="D85" s="127">
        <v>900</v>
      </c>
      <c r="E85" s="120">
        <v>0.87</v>
      </c>
      <c r="F85" s="121" t="s">
        <v>688</v>
      </c>
      <c r="G85" s="122">
        <v>19725</v>
      </c>
      <c r="H85" s="123">
        <f>TRUNC(G85*$E85,0)</f>
        <v>17160</v>
      </c>
      <c r="I85" s="122">
        <v>0</v>
      </c>
      <c r="J85" s="123">
        <f>TRUNC(I85*$E85,0)</f>
        <v>0</v>
      </c>
      <c r="K85" s="122">
        <v>0</v>
      </c>
      <c r="L85" s="123">
        <f>TRUNC(K85*$E85,0)</f>
        <v>0</v>
      </c>
      <c r="M85" s="124">
        <f>G85+I85+K85</f>
        <v>19725</v>
      </c>
      <c r="N85" s="124">
        <f>H85+J85+L85</f>
        <v>17160</v>
      </c>
      <c r="O85" s="125">
        <f>B118</f>
        <v>15</v>
      </c>
      <c r="P85" s="193"/>
    </row>
    <row r="86" spans="2:16" s="196" customFormat="1" ht="20.100000000000001" customHeight="1">
      <c r="B86" s="117"/>
      <c r="C86" s="118" t="s">
        <v>621</v>
      </c>
      <c r="D86" s="127">
        <v>900</v>
      </c>
      <c r="E86" s="120">
        <v>1</v>
      </c>
      <c r="F86" s="121" t="s">
        <v>684</v>
      </c>
      <c r="G86" s="122">
        <v>0</v>
      </c>
      <c r="H86" s="123">
        <f>TRUNC(G86*$E86,0)</f>
        <v>0</v>
      </c>
      <c r="I86" s="122">
        <f>J128</f>
        <v>928202</v>
      </c>
      <c r="J86" s="123">
        <f>TRUNC(I86*$E86,0)</f>
        <v>928202</v>
      </c>
      <c r="K86" s="122">
        <v>237209</v>
      </c>
      <c r="L86" s="123">
        <f>TRUNC(K86*$E86,0)</f>
        <v>237209</v>
      </c>
      <c r="M86" s="124">
        <f>G86+I86+K86</f>
        <v>1165411</v>
      </c>
      <c r="N86" s="124">
        <f>H86+J86+L86</f>
        <v>1165411</v>
      </c>
      <c r="O86" s="125">
        <f>B123</f>
        <v>16</v>
      </c>
      <c r="P86" s="193"/>
    </row>
    <row r="87" spans="2:16" s="196" customFormat="1" ht="20.100000000000001" customHeight="1">
      <c r="B87" s="117"/>
      <c r="C87" s="118" t="s">
        <v>622</v>
      </c>
      <c r="D87" s="127">
        <v>900</v>
      </c>
      <c r="E87" s="120">
        <v>1</v>
      </c>
      <c r="F87" s="121" t="s">
        <v>684</v>
      </c>
      <c r="G87" s="122">
        <v>0</v>
      </c>
      <c r="H87" s="123">
        <f>TRUNC(G87*$E87,0)</f>
        <v>0</v>
      </c>
      <c r="I87" s="122">
        <f>J135</f>
        <v>275701</v>
      </c>
      <c r="J87" s="123">
        <f>TRUNC(I87*$E87,0)</f>
        <v>275701</v>
      </c>
      <c r="K87" s="122">
        <v>70619</v>
      </c>
      <c r="L87" s="123">
        <f>TRUNC(K87*$E87,0)</f>
        <v>70619</v>
      </c>
      <c r="M87" s="124">
        <f>G87+I87+K87</f>
        <v>346320</v>
      </c>
      <c r="N87" s="124">
        <f>H87+J87+L87</f>
        <v>346320</v>
      </c>
      <c r="O87" s="125">
        <f>B130</f>
        <v>17</v>
      </c>
      <c r="P87" s="193"/>
    </row>
    <row r="88" spans="2:16" s="196" customFormat="1" ht="20.100000000000001" customHeight="1">
      <c r="B88" s="117"/>
      <c r="C88" s="156" t="s">
        <v>623</v>
      </c>
      <c r="D88" s="127">
        <v>900</v>
      </c>
      <c r="E88" s="120">
        <v>1</v>
      </c>
      <c r="F88" s="121" t="s">
        <v>684</v>
      </c>
      <c r="G88" s="122">
        <v>3600000</v>
      </c>
      <c r="H88" s="123">
        <f>TRUNC(G88*$E88,0)</f>
        <v>3600000</v>
      </c>
      <c r="I88" s="122"/>
      <c r="J88" s="123">
        <f>TRUNC(I88*$E88,0)</f>
        <v>0</v>
      </c>
      <c r="K88" s="122"/>
      <c r="L88" s="123">
        <f>TRUNC(K88*$E88,0)</f>
        <v>0</v>
      </c>
      <c r="M88" s="124">
        <f>G88+I88+K88</f>
        <v>3600000</v>
      </c>
      <c r="N88" s="124">
        <f>H88+J88+L88</f>
        <v>3600000</v>
      </c>
      <c r="O88" s="157"/>
      <c r="P88" s="193"/>
    </row>
    <row r="89" spans="2:16" s="196" customFormat="1" ht="20.100000000000001" customHeight="1">
      <c r="B89" s="117"/>
      <c r="C89" s="156" t="s">
        <v>624</v>
      </c>
      <c r="D89" s="127">
        <v>900</v>
      </c>
      <c r="E89" s="120">
        <v>1</v>
      </c>
      <c r="F89" s="121" t="s">
        <v>684</v>
      </c>
      <c r="G89" s="122">
        <v>624000</v>
      </c>
      <c r="H89" s="123">
        <f>TRUNC(G89*$E89,0)</f>
        <v>624000</v>
      </c>
      <c r="I89" s="122"/>
      <c r="J89" s="123">
        <f>TRUNC(I89*$E89,0)</f>
        <v>0</v>
      </c>
      <c r="K89" s="122"/>
      <c r="L89" s="123">
        <f>TRUNC(K89*$E89,0)</f>
        <v>0</v>
      </c>
      <c r="M89" s="124">
        <f>G89+I89+K89</f>
        <v>624000</v>
      </c>
      <c r="N89" s="124">
        <f>H89+J89+L89</f>
        <v>624000</v>
      </c>
      <c r="O89" s="157"/>
      <c r="P89" s="193"/>
    </row>
    <row r="90" spans="2:16" s="196" customFormat="1" ht="20.100000000000001" customHeight="1">
      <c r="B90" s="117"/>
      <c r="C90" s="156" t="s">
        <v>530</v>
      </c>
      <c r="D90" s="127">
        <v>900</v>
      </c>
      <c r="E90" s="120">
        <v>2</v>
      </c>
      <c r="F90" s="121" t="s">
        <v>700</v>
      </c>
      <c r="G90" s="122">
        <v>303010</v>
      </c>
      <c r="H90" s="123">
        <f>TRUNC(G90*$E90,0)</f>
        <v>606020</v>
      </c>
      <c r="I90" s="122"/>
      <c r="J90" s="123">
        <f>TRUNC(I90*$E90,0)</f>
        <v>0</v>
      </c>
      <c r="K90" s="122"/>
      <c r="L90" s="123">
        <f>TRUNC(K90*$E90,0)</f>
        <v>0</v>
      </c>
      <c r="M90" s="124">
        <f>G90+I90+K90</f>
        <v>303010</v>
      </c>
      <c r="N90" s="124">
        <f>H90+J90+L90</f>
        <v>606020</v>
      </c>
      <c r="O90" s="157"/>
      <c r="P90" s="193"/>
    </row>
    <row r="91" spans="2:16" s="196" customFormat="1" ht="20.100000000000001" customHeight="1">
      <c r="B91" s="140"/>
      <c r="C91" s="141" t="s">
        <v>682</v>
      </c>
      <c r="D91" s="142"/>
      <c r="E91" s="143"/>
      <c r="F91" s="143"/>
      <c r="G91" s="144"/>
      <c r="H91" s="145">
        <f>SUM(H79:H90)</f>
        <v>4907155</v>
      </c>
      <c r="I91" s="144"/>
      <c r="J91" s="145">
        <f>SUM(J79:J88)</f>
        <v>4395174</v>
      </c>
      <c r="K91" s="144"/>
      <c r="L91" s="145">
        <f>SUM(L79:L88)</f>
        <v>5766184</v>
      </c>
      <c r="M91" s="146"/>
      <c r="N91" s="146">
        <f>H91+J91+L91</f>
        <v>15068513</v>
      </c>
      <c r="O91" s="147"/>
      <c r="P91" s="193"/>
    </row>
    <row r="92" spans="2:16" s="196" customFormat="1" ht="20.100000000000001" customHeight="1">
      <c r="B92" s="148"/>
      <c r="C92" s="149"/>
      <c r="D92" s="149"/>
      <c r="E92" s="150"/>
      <c r="F92" s="150"/>
      <c r="G92" s="151"/>
      <c r="H92" s="152"/>
      <c r="I92" s="151"/>
      <c r="J92" s="152"/>
      <c r="K92" s="151"/>
      <c r="L92" s="152"/>
      <c r="M92" s="153"/>
      <c r="N92" s="153"/>
      <c r="O92" s="154"/>
      <c r="P92" s="193"/>
    </row>
    <row r="93" spans="2:16" s="195" customFormat="1" ht="20.100000000000001" customHeight="1">
      <c r="B93" s="131">
        <f>B78+1</f>
        <v>11</v>
      </c>
      <c r="C93" s="155" t="s">
        <v>710</v>
      </c>
      <c r="D93" s="163">
        <v>900</v>
      </c>
      <c r="E93" s="134">
        <v>1</v>
      </c>
      <c r="F93" s="135" t="s">
        <v>600</v>
      </c>
      <c r="G93" s="136"/>
      <c r="H93" s="136"/>
      <c r="I93" s="136"/>
      <c r="J93" s="136"/>
      <c r="K93" s="136"/>
      <c r="L93" s="136"/>
      <c r="M93" s="136"/>
      <c r="N93" s="136"/>
      <c r="O93" s="137" t="s">
        <v>0</v>
      </c>
      <c r="P93" s="194"/>
    </row>
    <row r="94" spans="2:16" s="196" customFormat="1" ht="20.100000000000001" customHeight="1">
      <c r="B94" s="117"/>
      <c r="C94" s="156" t="s">
        <v>47</v>
      </c>
      <c r="D94" s="139"/>
      <c r="E94" s="120">
        <v>0.36</v>
      </c>
      <c r="F94" s="121" t="s">
        <v>678</v>
      </c>
      <c r="G94" s="122"/>
      <c r="H94" s="123">
        <f>TRUNC(G94*$E94,0)</f>
        <v>0</v>
      </c>
      <c r="I94" s="122">
        <f>노임!$D$28</f>
        <v>326240</v>
      </c>
      <c r="J94" s="123">
        <f>TRUNC(I94*$E94,0)</f>
        <v>117446</v>
      </c>
      <c r="K94" s="122"/>
      <c r="L94" s="123">
        <f>TRUNC(K94*$E94,0)</f>
        <v>0</v>
      </c>
      <c r="M94" s="124">
        <f>G94+I94+K94</f>
        <v>326240</v>
      </c>
      <c r="N94" s="124">
        <f>H94+J94+L94</f>
        <v>117446</v>
      </c>
      <c r="O94" s="157"/>
      <c r="P94" s="193"/>
    </row>
    <row r="95" spans="2:16" s="196" customFormat="1" ht="20.100000000000001" customHeight="1">
      <c r="B95" s="117"/>
      <c r="C95" s="156" t="s">
        <v>609</v>
      </c>
      <c r="D95" s="139"/>
      <c r="E95" s="120">
        <v>2.92</v>
      </c>
      <c r="F95" s="121" t="s">
        <v>704</v>
      </c>
      <c r="G95" s="122"/>
      <c r="H95" s="123">
        <f>TRUNC(G95*$E95,0)</f>
        <v>0</v>
      </c>
      <c r="I95" s="122">
        <f>노임!$D$24</f>
        <v>492337</v>
      </c>
      <c r="J95" s="123">
        <f>TRUNC(I95*$E95,0)</f>
        <v>1437624</v>
      </c>
      <c r="K95" s="122"/>
      <c r="L95" s="123">
        <f>TRUNC(K95*$E95,0)</f>
        <v>0</v>
      </c>
      <c r="M95" s="124">
        <f>G95+I95+K95</f>
        <v>492337</v>
      </c>
      <c r="N95" s="124">
        <f>H95+J95+L95</f>
        <v>1437624</v>
      </c>
      <c r="O95" s="157"/>
      <c r="P95" s="193"/>
    </row>
    <row r="96" spans="2:16" s="196" customFormat="1" ht="20.100000000000001" customHeight="1">
      <c r="B96" s="117"/>
      <c r="C96" s="156" t="s">
        <v>58</v>
      </c>
      <c r="D96" s="139"/>
      <c r="E96" s="120">
        <v>2.37</v>
      </c>
      <c r="F96" s="121" t="s">
        <v>678</v>
      </c>
      <c r="G96" s="122"/>
      <c r="H96" s="123">
        <f>TRUNC(G96*$E96,0)</f>
        <v>0</v>
      </c>
      <c r="I96" s="122">
        <f>노임!$D$17</f>
        <v>322627</v>
      </c>
      <c r="J96" s="123">
        <f>TRUNC(I96*$E96,0)</f>
        <v>764625</v>
      </c>
      <c r="K96" s="122"/>
      <c r="L96" s="123">
        <f>TRUNC(K96*$E96,0)</f>
        <v>0</v>
      </c>
      <c r="M96" s="124">
        <f>G96+I96+K96</f>
        <v>322627</v>
      </c>
      <c r="N96" s="124">
        <f>H96+J96+L96</f>
        <v>764625</v>
      </c>
      <c r="O96" s="157"/>
      <c r="P96" s="193"/>
    </row>
    <row r="97" spans="2:16" s="196" customFormat="1" ht="20.100000000000001" customHeight="1">
      <c r="B97" s="117"/>
      <c r="C97" s="156" t="s">
        <v>705</v>
      </c>
      <c r="D97" s="161">
        <v>10</v>
      </c>
      <c r="E97" s="120">
        <v>6.54</v>
      </c>
      <c r="F97" s="121" t="s">
        <v>688</v>
      </c>
      <c r="G97" s="122"/>
      <c r="H97" s="123">
        <f>TRUNC(G97*$E97,0)</f>
        <v>0</v>
      </c>
      <c r="I97" s="122"/>
      <c r="J97" s="123">
        <f>TRUNC(I97*$E97,0)</f>
        <v>0</v>
      </c>
      <c r="K97" s="122">
        <v>90538</v>
      </c>
      <c r="L97" s="123">
        <f>TRUNC(K97*$E97,0)</f>
        <v>592118</v>
      </c>
      <c r="M97" s="124">
        <f>G97+I97+K97</f>
        <v>90538</v>
      </c>
      <c r="N97" s="124">
        <f>H97+J97+L97</f>
        <v>592118</v>
      </c>
      <c r="O97" s="157"/>
      <c r="P97" s="193"/>
    </row>
    <row r="98" spans="2:16" s="196" customFormat="1" ht="20.100000000000001" customHeight="1">
      <c r="B98" s="140"/>
      <c r="C98" s="141" t="s">
        <v>682</v>
      </c>
      <c r="D98" s="142"/>
      <c r="E98" s="143"/>
      <c r="F98" s="143"/>
      <c r="G98" s="144"/>
      <c r="H98" s="145">
        <f>SUM(H94:H97)</f>
        <v>0</v>
      </c>
      <c r="I98" s="144"/>
      <c r="J98" s="145">
        <f>SUM(J94:J97)</f>
        <v>2319695</v>
      </c>
      <c r="K98" s="144"/>
      <c r="L98" s="145">
        <f>SUM(L94:L97)</f>
        <v>592118</v>
      </c>
      <c r="M98" s="146"/>
      <c r="N98" s="146">
        <f>H98+J98+L98</f>
        <v>2911813</v>
      </c>
      <c r="O98" s="147"/>
      <c r="P98" s="193"/>
    </row>
    <row r="99" spans="2:16" ht="20.100000000000001" customHeight="1">
      <c r="B99" s="148"/>
      <c r="C99" s="149"/>
      <c r="D99" s="149"/>
      <c r="E99" s="150"/>
      <c r="F99" s="150"/>
      <c r="G99" s="151"/>
      <c r="H99" s="152"/>
      <c r="I99" s="151"/>
      <c r="J99" s="152"/>
      <c r="K99" s="151"/>
      <c r="L99" s="152"/>
      <c r="M99" s="153"/>
      <c r="N99" s="153"/>
      <c r="O99" s="154"/>
    </row>
    <row r="100" spans="2:16" s="195" customFormat="1" ht="20.100000000000001" customHeight="1">
      <c r="B100" s="131">
        <f>B93+1</f>
        <v>12</v>
      </c>
      <c r="C100" s="155" t="s">
        <v>711</v>
      </c>
      <c r="D100" s="163">
        <v>900</v>
      </c>
      <c r="E100" s="134">
        <v>1</v>
      </c>
      <c r="F100" s="135" t="s">
        <v>706</v>
      </c>
      <c r="G100" s="136"/>
      <c r="H100" s="136"/>
      <c r="I100" s="136"/>
      <c r="J100" s="136"/>
      <c r="K100" s="136"/>
      <c r="L100" s="136"/>
      <c r="M100" s="136"/>
      <c r="N100" s="136"/>
      <c r="O100" s="137" t="s">
        <v>0</v>
      </c>
      <c r="P100" s="194"/>
    </row>
    <row r="101" spans="2:16" s="196" customFormat="1" ht="20.100000000000001" customHeight="1">
      <c r="B101" s="117"/>
      <c r="C101" s="156" t="s">
        <v>625</v>
      </c>
      <c r="D101" s="127" t="s">
        <v>712</v>
      </c>
      <c r="E101" s="120">
        <v>10.3</v>
      </c>
      <c r="F101" s="121" t="s">
        <v>713</v>
      </c>
      <c r="G101" s="122">
        <v>1596</v>
      </c>
      <c r="H101" s="123">
        <f>TRUNC(G101*$E101,0)</f>
        <v>16438</v>
      </c>
      <c r="I101" s="122"/>
      <c r="J101" s="123">
        <f>TRUNC(I101*$E101,0)</f>
        <v>0</v>
      </c>
      <c r="K101" s="122"/>
      <c r="L101" s="123">
        <f>TRUNC(K101*$E101,0)</f>
        <v>0</v>
      </c>
      <c r="M101" s="124">
        <f>G101+I101+K101</f>
        <v>1596</v>
      </c>
      <c r="N101" s="124">
        <f>H101+J101+L101</f>
        <v>16438</v>
      </c>
      <c r="O101" s="157"/>
      <c r="P101" s="193"/>
    </row>
    <row r="102" spans="2:16" s="196" customFormat="1" ht="20.100000000000001" customHeight="1">
      <c r="B102" s="117"/>
      <c r="C102" s="156" t="s">
        <v>626</v>
      </c>
      <c r="D102" s="139" t="s">
        <v>714</v>
      </c>
      <c r="E102" s="158">
        <v>0.2</v>
      </c>
      <c r="F102" s="121"/>
      <c r="G102" s="122">
        <v>16438</v>
      </c>
      <c r="H102" s="123">
        <f>TRUNC(G102*$E102,0)</f>
        <v>3287</v>
      </c>
      <c r="I102" s="122"/>
      <c r="J102" s="123">
        <f>TRUNC(I102*$E102,0)</f>
        <v>0</v>
      </c>
      <c r="K102" s="122"/>
      <c r="L102" s="123">
        <f>TRUNC(K102*$E102,0)</f>
        <v>0</v>
      </c>
      <c r="M102" s="124">
        <f>G102+I102+K102</f>
        <v>16438</v>
      </c>
      <c r="N102" s="124">
        <f>H102+J102+L102</f>
        <v>3287</v>
      </c>
      <c r="O102" s="157"/>
      <c r="P102" s="193"/>
    </row>
    <row r="103" spans="2:16" s="196" customFormat="1" ht="20.100000000000001" customHeight="1">
      <c r="B103" s="140"/>
      <c r="C103" s="141" t="s">
        <v>698</v>
      </c>
      <c r="D103" s="142"/>
      <c r="E103" s="143"/>
      <c r="F103" s="143"/>
      <c r="G103" s="144"/>
      <c r="H103" s="145">
        <f>SUM(H101:H102)</f>
        <v>19725</v>
      </c>
      <c r="I103" s="144"/>
      <c r="J103" s="145">
        <f>SUM(J101:J102)</f>
        <v>0</v>
      </c>
      <c r="K103" s="144"/>
      <c r="L103" s="145">
        <f>SUM(L101:L102)</f>
        <v>0</v>
      </c>
      <c r="M103" s="146"/>
      <c r="N103" s="146">
        <f>H103+J103+L103</f>
        <v>19725</v>
      </c>
      <c r="O103" s="147"/>
      <c r="P103" s="193"/>
    </row>
    <row r="104" spans="2:16" s="196" customFormat="1" ht="20.100000000000001" customHeight="1">
      <c r="B104" s="148"/>
      <c r="C104" s="149"/>
      <c r="D104" s="149"/>
      <c r="E104" s="150"/>
      <c r="F104" s="150"/>
      <c r="G104" s="151"/>
      <c r="H104" s="152"/>
      <c r="I104" s="151"/>
      <c r="J104" s="152"/>
      <c r="K104" s="151"/>
      <c r="L104" s="152"/>
      <c r="M104" s="153"/>
      <c r="N104" s="153"/>
      <c r="O104" s="154"/>
      <c r="P104" s="193"/>
    </row>
    <row r="105" spans="2:16" s="196" customFormat="1" ht="20.100000000000001" customHeight="1">
      <c r="B105" s="131">
        <f>B100+1</f>
        <v>13</v>
      </c>
      <c r="C105" s="155" t="s">
        <v>715</v>
      </c>
      <c r="D105" s="133">
        <v>1350</v>
      </c>
      <c r="E105" s="134">
        <v>1</v>
      </c>
      <c r="F105" s="135" t="s">
        <v>706</v>
      </c>
      <c r="G105" s="136"/>
      <c r="H105" s="136"/>
      <c r="I105" s="136"/>
      <c r="J105" s="136"/>
      <c r="K105" s="136"/>
      <c r="L105" s="136"/>
      <c r="M105" s="136"/>
      <c r="N105" s="136"/>
      <c r="O105" s="137" t="s">
        <v>0</v>
      </c>
      <c r="P105" s="193"/>
    </row>
    <row r="106" spans="2:16" s="196" customFormat="1" ht="20.100000000000001" customHeight="1">
      <c r="B106" s="117"/>
      <c r="C106" s="156" t="s">
        <v>57</v>
      </c>
      <c r="D106" s="127"/>
      <c r="E106" s="120">
        <v>0.25</v>
      </c>
      <c r="F106" s="121" t="s">
        <v>704</v>
      </c>
      <c r="G106" s="122"/>
      <c r="H106" s="123">
        <f>TRUNC(G106*$E106,0)</f>
        <v>0</v>
      </c>
      <c r="I106" s="122">
        <f>노임!$D$29</f>
        <v>370852</v>
      </c>
      <c r="J106" s="123">
        <f>TRUNC(I106*$E106,0)</f>
        <v>92713</v>
      </c>
      <c r="K106" s="122"/>
      <c r="L106" s="123">
        <f>TRUNC(K106*$E106,0)</f>
        <v>0</v>
      </c>
      <c r="M106" s="124">
        <f>G106+I106+K106</f>
        <v>370852</v>
      </c>
      <c r="N106" s="124">
        <f>H106+J106+L106</f>
        <v>92713</v>
      </c>
      <c r="O106" s="157"/>
      <c r="P106" s="193"/>
    </row>
    <row r="107" spans="2:16" s="196" customFormat="1" ht="20.100000000000001" customHeight="1">
      <c r="B107" s="117"/>
      <c r="C107" s="156" t="s">
        <v>58</v>
      </c>
      <c r="D107" s="139"/>
      <c r="E107" s="120">
        <v>0.25</v>
      </c>
      <c r="F107" s="121" t="s">
        <v>704</v>
      </c>
      <c r="G107" s="122"/>
      <c r="H107" s="123">
        <f>TRUNC(G107*$E107,0)</f>
        <v>0</v>
      </c>
      <c r="I107" s="122">
        <f>노임!$D$17</f>
        <v>322627</v>
      </c>
      <c r="J107" s="123">
        <f>TRUNC(I107*$E107,0)</f>
        <v>80656</v>
      </c>
      <c r="K107" s="122"/>
      <c r="L107" s="123">
        <f>TRUNC(K107*$E107,0)</f>
        <v>0</v>
      </c>
      <c r="M107" s="124">
        <f>G107+I107+K107</f>
        <v>322627</v>
      </c>
      <c r="N107" s="124">
        <f>H107+J107+L107</f>
        <v>80656</v>
      </c>
      <c r="O107" s="157"/>
      <c r="P107" s="193"/>
    </row>
    <row r="108" spans="2:16" s="196" customFormat="1" ht="20.100000000000001" customHeight="1">
      <c r="B108" s="117"/>
      <c r="C108" s="156" t="s">
        <v>716</v>
      </c>
      <c r="D108" s="139" t="s">
        <v>717</v>
      </c>
      <c r="E108" s="158">
        <v>0.03</v>
      </c>
      <c r="F108" s="121"/>
      <c r="G108" s="122">
        <v>92464</v>
      </c>
      <c r="H108" s="123">
        <f>TRUNC(G108*$E108,0)</f>
        <v>2773</v>
      </c>
      <c r="I108" s="122"/>
      <c r="J108" s="123">
        <f>TRUNC(I108*$E108,0)</f>
        <v>0</v>
      </c>
      <c r="K108" s="122"/>
      <c r="L108" s="123">
        <f>TRUNC(K108*$E108,0)</f>
        <v>0</v>
      </c>
      <c r="M108" s="124">
        <f>G108+I108+K108</f>
        <v>92464</v>
      </c>
      <c r="N108" s="124">
        <f>H108+J108+L108</f>
        <v>2773</v>
      </c>
      <c r="O108" s="157"/>
      <c r="P108" s="193"/>
    </row>
    <row r="109" spans="2:16" s="196" customFormat="1" ht="20.100000000000001" customHeight="1">
      <c r="B109" s="140"/>
      <c r="C109" s="141" t="s">
        <v>698</v>
      </c>
      <c r="D109" s="142"/>
      <c r="E109" s="143"/>
      <c r="F109" s="143"/>
      <c r="G109" s="144"/>
      <c r="H109" s="145">
        <f>SUM(H106:H108)</f>
        <v>2773</v>
      </c>
      <c r="I109" s="144"/>
      <c r="J109" s="145">
        <f>SUM(J106:J108)</f>
        <v>173369</v>
      </c>
      <c r="K109" s="144"/>
      <c r="L109" s="145">
        <f>SUM(L106:L108)</f>
        <v>0</v>
      </c>
      <c r="M109" s="146"/>
      <c r="N109" s="146">
        <f>H109+J109+L109</f>
        <v>176142</v>
      </c>
      <c r="O109" s="147"/>
      <c r="P109" s="193"/>
    </row>
    <row r="110" spans="2:16" s="196" customFormat="1" ht="20.100000000000001" customHeight="1">
      <c r="B110" s="148"/>
      <c r="C110" s="149"/>
      <c r="D110" s="149"/>
      <c r="E110" s="150"/>
      <c r="F110" s="150"/>
      <c r="G110" s="151"/>
      <c r="H110" s="152"/>
      <c r="I110" s="151"/>
      <c r="J110" s="152"/>
      <c r="K110" s="151"/>
      <c r="L110" s="152"/>
      <c r="M110" s="153"/>
      <c r="N110" s="153"/>
      <c r="O110" s="154"/>
      <c r="P110" s="193"/>
    </row>
    <row r="111" spans="2:16" s="195" customFormat="1" ht="20.100000000000001" customHeight="1">
      <c r="B111" s="131">
        <f>B105+1</f>
        <v>14</v>
      </c>
      <c r="C111" s="155" t="s">
        <v>718</v>
      </c>
      <c r="D111" s="163">
        <v>900</v>
      </c>
      <c r="E111" s="134">
        <v>1</v>
      </c>
      <c r="F111" s="135" t="s">
        <v>600</v>
      </c>
      <c r="G111" s="136"/>
      <c r="H111" s="136"/>
      <c r="I111" s="136"/>
      <c r="J111" s="136"/>
      <c r="K111" s="136"/>
      <c r="L111" s="136"/>
      <c r="M111" s="136"/>
      <c r="N111" s="136"/>
      <c r="O111" s="137" t="s">
        <v>0</v>
      </c>
      <c r="P111" s="194"/>
    </row>
    <row r="112" spans="2:16" s="196" customFormat="1" ht="20.100000000000001" customHeight="1">
      <c r="B112" s="117"/>
      <c r="C112" s="156" t="s">
        <v>47</v>
      </c>
      <c r="D112" s="139"/>
      <c r="E112" s="120">
        <v>0.11</v>
      </c>
      <c r="F112" s="121" t="s">
        <v>678</v>
      </c>
      <c r="G112" s="122"/>
      <c r="H112" s="123">
        <f>TRUNC(G112*$E112,0)</f>
        <v>0</v>
      </c>
      <c r="I112" s="122">
        <f>노임!$D$28</f>
        <v>326240</v>
      </c>
      <c r="J112" s="123">
        <f>TRUNC(I112*$E112,0)</f>
        <v>35886</v>
      </c>
      <c r="K112" s="122"/>
      <c r="L112" s="123">
        <f>TRUNC(K112*$E112,0)</f>
        <v>0</v>
      </c>
      <c r="M112" s="124">
        <f>G112+I112+K112</f>
        <v>326240</v>
      </c>
      <c r="N112" s="124">
        <f>H112+J112+L112</f>
        <v>35886</v>
      </c>
      <c r="O112" s="157"/>
      <c r="P112" s="193"/>
    </row>
    <row r="113" spans="2:16" s="196" customFormat="1" ht="20.100000000000001" customHeight="1">
      <c r="B113" s="117"/>
      <c r="C113" s="156" t="s">
        <v>609</v>
      </c>
      <c r="D113" s="139"/>
      <c r="E113" s="120">
        <v>0.88</v>
      </c>
      <c r="F113" s="121" t="s">
        <v>678</v>
      </c>
      <c r="G113" s="122"/>
      <c r="H113" s="123">
        <f>TRUNC(G113*$E113,0)</f>
        <v>0</v>
      </c>
      <c r="I113" s="122">
        <f>노임!$D$24</f>
        <v>492337</v>
      </c>
      <c r="J113" s="123">
        <f>TRUNC(I113*$E113,0)</f>
        <v>433256</v>
      </c>
      <c r="K113" s="122"/>
      <c r="L113" s="123">
        <f>TRUNC(K113*$E113,0)</f>
        <v>0</v>
      </c>
      <c r="M113" s="124">
        <f>G113+I113+K113</f>
        <v>492337</v>
      </c>
      <c r="N113" s="124">
        <f>H113+J113+L113</f>
        <v>433256</v>
      </c>
      <c r="O113" s="157"/>
      <c r="P113" s="193"/>
    </row>
    <row r="114" spans="2:16" s="196" customFormat="1" ht="20.100000000000001" customHeight="1">
      <c r="B114" s="117"/>
      <c r="C114" s="156" t="s">
        <v>58</v>
      </c>
      <c r="D114" s="139"/>
      <c r="E114" s="120">
        <v>0.71</v>
      </c>
      <c r="F114" s="121" t="s">
        <v>678</v>
      </c>
      <c r="G114" s="122"/>
      <c r="H114" s="123">
        <f>TRUNC(G114*$E114,0)</f>
        <v>0</v>
      </c>
      <c r="I114" s="122">
        <f>노임!$D$17</f>
        <v>322627</v>
      </c>
      <c r="J114" s="123">
        <f>TRUNC(I114*$E114,0)</f>
        <v>229065</v>
      </c>
      <c r="K114" s="122"/>
      <c r="L114" s="123">
        <f>TRUNC(K114*$E114,0)</f>
        <v>0</v>
      </c>
      <c r="M114" s="124">
        <f>G114+I114+K114</f>
        <v>322627</v>
      </c>
      <c r="N114" s="124">
        <f>H114+J114+L114</f>
        <v>229065</v>
      </c>
      <c r="O114" s="157"/>
      <c r="P114" s="193"/>
    </row>
    <row r="115" spans="2:16" s="196" customFormat="1" ht="20.100000000000001" customHeight="1">
      <c r="B115" s="117"/>
      <c r="C115" s="156" t="s">
        <v>627</v>
      </c>
      <c r="D115" s="161">
        <v>10</v>
      </c>
      <c r="E115" s="120">
        <v>1.96</v>
      </c>
      <c r="F115" s="121" t="s">
        <v>706</v>
      </c>
      <c r="G115" s="122"/>
      <c r="H115" s="123">
        <f>TRUNC(G115*$E115,0)</f>
        <v>0</v>
      </c>
      <c r="I115" s="122"/>
      <c r="J115" s="123">
        <f>TRUNC(I115*$E115,0)</f>
        <v>0</v>
      </c>
      <c r="K115" s="122">
        <v>90538</v>
      </c>
      <c r="L115" s="123">
        <f>TRUNC(K115*$E115,0)</f>
        <v>177454</v>
      </c>
      <c r="M115" s="124">
        <f>G115+I115+K115</f>
        <v>90538</v>
      </c>
      <c r="N115" s="124">
        <f>H115+J115+L115</f>
        <v>177454</v>
      </c>
      <c r="O115" s="157"/>
      <c r="P115" s="193"/>
    </row>
    <row r="116" spans="2:16" s="196" customFormat="1" ht="20.100000000000001" customHeight="1">
      <c r="B116" s="140"/>
      <c r="C116" s="141" t="s">
        <v>682</v>
      </c>
      <c r="D116" s="142"/>
      <c r="E116" s="143"/>
      <c r="F116" s="143"/>
      <c r="G116" s="144"/>
      <c r="H116" s="145">
        <f>SUM(H112:H115)</f>
        <v>0</v>
      </c>
      <c r="I116" s="144"/>
      <c r="J116" s="145">
        <f>SUM(J112:J115)</f>
        <v>698207</v>
      </c>
      <c r="K116" s="144"/>
      <c r="L116" s="145">
        <f>SUM(L112:L115)</f>
        <v>177454</v>
      </c>
      <c r="M116" s="146"/>
      <c r="N116" s="146">
        <f>H116+J116+L116</f>
        <v>875661</v>
      </c>
      <c r="O116" s="147"/>
      <c r="P116" s="193"/>
    </row>
    <row r="117" spans="2:16" s="196" customFormat="1" ht="20.100000000000001" customHeight="1">
      <c r="B117" s="148"/>
      <c r="C117" s="149"/>
      <c r="D117" s="149"/>
      <c r="E117" s="150"/>
      <c r="F117" s="150"/>
      <c r="G117" s="151"/>
      <c r="H117" s="152"/>
      <c r="I117" s="151"/>
      <c r="J117" s="152"/>
      <c r="K117" s="151"/>
      <c r="L117" s="152"/>
      <c r="M117" s="153"/>
      <c r="N117" s="153"/>
      <c r="O117" s="154"/>
      <c r="P117" s="193"/>
    </row>
    <row r="118" spans="2:16" s="195" customFormat="1" ht="20.100000000000001" customHeight="1">
      <c r="B118" s="131">
        <f>B111+1</f>
        <v>15</v>
      </c>
      <c r="C118" s="155" t="s">
        <v>719</v>
      </c>
      <c r="D118" s="163">
        <v>900</v>
      </c>
      <c r="E118" s="134">
        <v>1</v>
      </c>
      <c r="F118" s="135" t="s">
        <v>688</v>
      </c>
      <c r="G118" s="136"/>
      <c r="H118" s="136"/>
      <c r="I118" s="136"/>
      <c r="J118" s="136"/>
      <c r="K118" s="136"/>
      <c r="L118" s="136"/>
      <c r="M118" s="136"/>
      <c r="N118" s="136"/>
      <c r="O118" s="137" t="s">
        <v>0</v>
      </c>
      <c r="P118" s="194"/>
    </row>
    <row r="119" spans="2:16" s="196" customFormat="1" ht="20.100000000000001" customHeight="1">
      <c r="B119" s="117"/>
      <c r="C119" s="156" t="s">
        <v>625</v>
      </c>
      <c r="D119" s="127" t="s">
        <v>720</v>
      </c>
      <c r="E119" s="120">
        <v>10.3</v>
      </c>
      <c r="F119" s="121" t="s">
        <v>713</v>
      </c>
      <c r="G119" s="122">
        <v>1596</v>
      </c>
      <c r="H119" s="123">
        <f>TRUNC(G119*$E119,0)</f>
        <v>16438</v>
      </c>
      <c r="I119" s="122"/>
      <c r="J119" s="123">
        <f>TRUNC(I119*$E119,0)</f>
        <v>0</v>
      </c>
      <c r="K119" s="122"/>
      <c r="L119" s="123">
        <f>TRUNC(K119*$E119,0)</f>
        <v>0</v>
      </c>
      <c r="M119" s="124">
        <f>G119+I119+K119</f>
        <v>1596</v>
      </c>
      <c r="N119" s="124">
        <f>H119+J119+L119</f>
        <v>16438</v>
      </c>
      <c r="O119" s="157"/>
      <c r="P119" s="193"/>
    </row>
    <row r="120" spans="2:16" s="196" customFormat="1" ht="20.100000000000001" customHeight="1">
      <c r="B120" s="117"/>
      <c r="C120" s="156" t="s">
        <v>626</v>
      </c>
      <c r="D120" s="139" t="s">
        <v>721</v>
      </c>
      <c r="E120" s="158">
        <v>0.2</v>
      </c>
      <c r="F120" s="121"/>
      <c r="G120" s="122">
        <v>16438</v>
      </c>
      <c r="H120" s="123">
        <f>TRUNC(G120*$E120,0)</f>
        <v>3287</v>
      </c>
      <c r="I120" s="122"/>
      <c r="J120" s="123">
        <f>TRUNC(I120*$E120,0)</f>
        <v>0</v>
      </c>
      <c r="K120" s="122"/>
      <c r="L120" s="123">
        <f>TRUNC(K120*$E120,0)</f>
        <v>0</v>
      </c>
      <c r="M120" s="124">
        <f>G120+I120+K120</f>
        <v>16438</v>
      </c>
      <c r="N120" s="124">
        <f>H120+J120+L120</f>
        <v>3287</v>
      </c>
      <c r="O120" s="157"/>
      <c r="P120" s="193"/>
    </row>
    <row r="121" spans="2:16" s="196" customFormat="1" ht="20.100000000000001" customHeight="1">
      <c r="B121" s="140"/>
      <c r="C121" s="141" t="s">
        <v>682</v>
      </c>
      <c r="D121" s="142"/>
      <c r="E121" s="143"/>
      <c r="F121" s="143"/>
      <c r="G121" s="144"/>
      <c r="H121" s="145">
        <f>SUM(H119:H120)</f>
        <v>19725</v>
      </c>
      <c r="I121" s="144"/>
      <c r="J121" s="145">
        <f>SUM(J119:J120)</f>
        <v>0</v>
      </c>
      <c r="K121" s="144"/>
      <c r="L121" s="145">
        <f>SUM(L119:L120)</f>
        <v>0</v>
      </c>
      <c r="M121" s="146"/>
      <c r="N121" s="146">
        <f>H121+J121+L121</f>
        <v>19725</v>
      </c>
      <c r="O121" s="147"/>
      <c r="P121" s="193"/>
    </row>
    <row r="122" spans="2:16" s="196" customFormat="1" ht="20.100000000000001" customHeight="1">
      <c r="B122" s="148"/>
      <c r="C122" s="149"/>
      <c r="D122" s="149"/>
      <c r="E122" s="150"/>
      <c r="F122" s="150"/>
      <c r="G122" s="151"/>
      <c r="H122" s="152"/>
      <c r="I122" s="151"/>
      <c r="J122" s="152"/>
      <c r="K122" s="151"/>
      <c r="L122" s="152"/>
      <c r="M122" s="153"/>
      <c r="N122" s="153"/>
      <c r="O122" s="154"/>
      <c r="P122" s="193"/>
    </row>
    <row r="123" spans="2:16" s="195" customFormat="1" ht="20.100000000000001" customHeight="1">
      <c r="B123" s="131">
        <f>B118+1</f>
        <v>16</v>
      </c>
      <c r="C123" s="155" t="s">
        <v>722</v>
      </c>
      <c r="D123" s="163">
        <v>900</v>
      </c>
      <c r="E123" s="134">
        <v>1</v>
      </c>
      <c r="F123" s="135" t="s">
        <v>600</v>
      </c>
      <c r="G123" s="136"/>
      <c r="H123" s="136"/>
      <c r="I123" s="136"/>
      <c r="J123" s="136"/>
      <c r="K123" s="136"/>
      <c r="L123" s="136"/>
      <c r="M123" s="136"/>
      <c r="N123" s="136"/>
      <c r="O123" s="137" t="s">
        <v>0</v>
      </c>
      <c r="P123" s="194"/>
    </row>
    <row r="124" spans="2:16" s="196" customFormat="1" ht="20.100000000000001" customHeight="1">
      <c r="B124" s="117"/>
      <c r="C124" s="156" t="s">
        <v>47</v>
      </c>
      <c r="D124" s="139"/>
      <c r="E124" s="120">
        <v>0.14000000000000001</v>
      </c>
      <c r="F124" s="121" t="s">
        <v>678</v>
      </c>
      <c r="G124" s="122"/>
      <c r="H124" s="123">
        <f>TRUNC(G124*$E124,0)</f>
        <v>0</v>
      </c>
      <c r="I124" s="122">
        <f>노임!$D$28</f>
        <v>326240</v>
      </c>
      <c r="J124" s="123">
        <f>TRUNC(I124*$E124,0)</f>
        <v>45673</v>
      </c>
      <c r="K124" s="122"/>
      <c r="L124" s="123">
        <f>TRUNC(K124*$E124,0)</f>
        <v>0</v>
      </c>
      <c r="M124" s="124">
        <f>G124+I124+K124</f>
        <v>326240</v>
      </c>
      <c r="N124" s="124">
        <f>H124+J124+L124</f>
        <v>45673</v>
      </c>
      <c r="O124" s="157"/>
      <c r="P124" s="193"/>
    </row>
    <row r="125" spans="2:16" s="196" customFormat="1" ht="20.100000000000001" customHeight="1">
      <c r="B125" s="117"/>
      <c r="C125" s="156" t="s">
        <v>609</v>
      </c>
      <c r="D125" s="139"/>
      <c r="E125" s="120">
        <v>1.17</v>
      </c>
      <c r="F125" s="121" t="s">
        <v>678</v>
      </c>
      <c r="G125" s="122"/>
      <c r="H125" s="123">
        <f>TRUNC(G125*$E125,0)</f>
        <v>0</v>
      </c>
      <c r="I125" s="122">
        <f>노임!$D$24</f>
        <v>492337</v>
      </c>
      <c r="J125" s="123">
        <f>TRUNC(I125*$E125,0)</f>
        <v>576034</v>
      </c>
      <c r="K125" s="122"/>
      <c r="L125" s="123">
        <f>TRUNC(K125*$E125,0)</f>
        <v>0</v>
      </c>
      <c r="M125" s="124">
        <f>G125+I125+K125</f>
        <v>492337</v>
      </c>
      <c r="N125" s="124">
        <f>H125+J125+L125</f>
        <v>576034</v>
      </c>
      <c r="O125" s="157"/>
      <c r="P125" s="193"/>
    </row>
    <row r="126" spans="2:16" s="196" customFormat="1" ht="20.100000000000001" customHeight="1">
      <c r="B126" s="117"/>
      <c r="C126" s="156" t="s">
        <v>58</v>
      </c>
      <c r="D126" s="139"/>
      <c r="E126" s="120">
        <v>0.95</v>
      </c>
      <c r="F126" s="121" t="s">
        <v>678</v>
      </c>
      <c r="G126" s="122"/>
      <c r="H126" s="123">
        <f>TRUNC(G126*$E126,0)</f>
        <v>0</v>
      </c>
      <c r="I126" s="122">
        <f>노임!$D$17</f>
        <v>322627</v>
      </c>
      <c r="J126" s="123">
        <f>TRUNC(I126*$E126,0)</f>
        <v>306495</v>
      </c>
      <c r="K126" s="122"/>
      <c r="L126" s="123">
        <f>TRUNC(K126*$E126,0)</f>
        <v>0</v>
      </c>
      <c r="M126" s="124">
        <f>G126+I126+K126</f>
        <v>322627</v>
      </c>
      <c r="N126" s="124">
        <f>H126+J126+L126</f>
        <v>306495</v>
      </c>
      <c r="O126" s="157"/>
      <c r="P126" s="193"/>
    </row>
    <row r="127" spans="2:16" s="196" customFormat="1" ht="20.100000000000001" customHeight="1">
      <c r="B127" s="117"/>
      <c r="C127" s="156" t="s">
        <v>687</v>
      </c>
      <c r="D127" s="161">
        <v>10</v>
      </c>
      <c r="E127" s="120">
        <v>2.62</v>
      </c>
      <c r="F127" s="121" t="s">
        <v>706</v>
      </c>
      <c r="G127" s="122"/>
      <c r="H127" s="123">
        <f>TRUNC(G127*$E127,0)</f>
        <v>0</v>
      </c>
      <c r="I127" s="122"/>
      <c r="J127" s="123">
        <f>TRUNC(I127*$E127,0)</f>
        <v>0</v>
      </c>
      <c r="K127" s="122">
        <v>90538</v>
      </c>
      <c r="L127" s="123">
        <f>TRUNC(K127*$E127,0)</f>
        <v>237209</v>
      </c>
      <c r="M127" s="124">
        <f>G127+I127+K127</f>
        <v>90538</v>
      </c>
      <c r="N127" s="124">
        <f>H127+J127+L127</f>
        <v>237209</v>
      </c>
      <c r="O127" s="157"/>
      <c r="P127" s="193"/>
    </row>
    <row r="128" spans="2:16" s="196" customFormat="1" ht="20.100000000000001" customHeight="1">
      <c r="B128" s="140"/>
      <c r="C128" s="141" t="s">
        <v>682</v>
      </c>
      <c r="D128" s="142"/>
      <c r="E128" s="143"/>
      <c r="F128" s="143"/>
      <c r="G128" s="144"/>
      <c r="H128" s="145">
        <f>SUM(H124:H127)</f>
        <v>0</v>
      </c>
      <c r="I128" s="144"/>
      <c r="J128" s="145">
        <f>SUM(J124:J127)</f>
        <v>928202</v>
      </c>
      <c r="K128" s="144"/>
      <c r="L128" s="145">
        <f>SUM(L124:L127)</f>
        <v>237209</v>
      </c>
      <c r="M128" s="146"/>
      <c r="N128" s="146">
        <f>H128+J128+L128</f>
        <v>1165411</v>
      </c>
      <c r="O128" s="147"/>
      <c r="P128" s="193"/>
    </row>
    <row r="129" spans="2:16" ht="20.100000000000001" customHeight="1">
      <c r="B129" s="148"/>
      <c r="C129" s="149"/>
      <c r="D129" s="149"/>
      <c r="E129" s="150"/>
      <c r="F129" s="150"/>
      <c r="G129" s="151"/>
      <c r="H129" s="152"/>
      <c r="I129" s="151"/>
      <c r="J129" s="152"/>
      <c r="K129" s="151"/>
      <c r="L129" s="152"/>
      <c r="M129" s="153"/>
      <c r="N129" s="153"/>
      <c r="O129" s="154"/>
    </row>
    <row r="130" spans="2:16" s="195" customFormat="1" ht="20.100000000000001" customHeight="1">
      <c r="B130" s="131">
        <f>B123+1</f>
        <v>17</v>
      </c>
      <c r="C130" s="155" t="s">
        <v>723</v>
      </c>
      <c r="D130" s="163">
        <v>900</v>
      </c>
      <c r="E130" s="134">
        <v>1</v>
      </c>
      <c r="F130" s="135" t="s">
        <v>600</v>
      </c>
      <c r="G130" s="136"/>
      <c r="H130" s="136"/>
      <c r="I130" s="136"/>
      <c r="J130" s="136"/>
      <c r="K130" s="136"/>
      <c r="L130" s="136"/>
      <c r="M130" s="136"/>
      <c r="N130" s="136"/>
      <c r="O130" s="137" t="s">
        <v>0</v>
      </c>
      <c r="P130" s="194"/>
    </row>
    <row r="131" spans="2:16" s="196" customFormat="1" ht="20.100000000000001" customHeight="1">
      <c r="B131" s="117"/>
      <c r="C131" s="156" t="s">
        <v>47</v>
      </c>
      <c r="D131" s="139"/>
      <c r="E131" s="120">
        <v>0.04</v>
      </c>
      <c r="F131" s="121" t="s">
        <v>704</v>
      </c>
      <c r="G131" s="122"/>
      <c r="H131" s="123">
        <f>TRUNC(G131*$E131,0)</f>
        <v>0</v>
      </c>
      <c r="I131" s="122">
        <f>노임!$D$28</f>
        <v>326240</v>
      </c>
      <c r="J131" s="123">
        <f>TRUNC(I131*$E131,0)</f>
        <v>13049</v>
      </c>
      <c r="K131" s="122"/>
      <c r="L131" s="123">
        <f>TRUNC(K131*$E131,0)</f>
        <v>0</v>
      </c>
      <c r="M131" s="124">
        <f>G131+I131+K131</f>
        <v>326240</v>
      </c>
      <c r="N131" s="124">
        <f>H131+J131+L131</f>
        <v>13049</v>
      </c>
      <c r="O131" s="157"/>
      <c r="P131" s="193"/>
    </row>
    <row r="132" spans="2:16" s="196" customFormat="1" ht="20.100000000000001" customHeight="1">
      <c r="B132" s="117"/>
      <c r="C132" s="156" t="s">
        <v>609</v>
      </c>
      <c r="D132" s="139"/>
      <c r="E132" s="120">
        <v>0.35</v>
      </c>
      <c r="F132" s="121" t="s">
        <v>678</v>
      </c>
      <c r="G132" s="122"/>
      <c r="H132" s="123">
        <f>TRUNC(G132*$E132,0)</f>
        <v>0</v>
      </c>
      <c r="I132" s="122">
        <f>노임!$D$24</f>
        <v>492337</v>
      </c>
      <c r="J132" s="123">
        <f>TRUNC(I132*$E132,0)</f>
        <v>172317</v>
      </c>
      <c r="K132" s="122"/>
      <c r="L132" s="123">
        <f>TRUNC(K132*$E132,0)</f>
        <v>0</v>
      </c>
      <c r="M132" s="124">
        <f>G132+I132+K132</f>
        <v>492337</v>
      </c>
      <c r="N132" s="124">
        <f>H132+J132+L132</f>
        <v>172317</v>
      </c>
      <c r="O132" s="157"/>
      <c r="P132" s="193"/>
    </row>
    <row r="133" spans="2:16" s="196" customFormat="1" ht="20.100000000000001" customHeight="1">
      <c r="B133" s="117"/>
      <c r="C133" s="156" t="s">
        <v>58</v>
      </c>
      <c r="D133" s="139"/>
      <c r="E133" s="120">
        <v>0.28000000000000003</v>
      </c>
      <c r="F133" s="121" t="s">
        <v>678</v>
      </c>
      <c r="G133" s="122"/>
      <c r="H133" s="123">
        <f>TRUNC(G133*$E133,0)</f>
        <v>0</v>
      </c>
      <c r="I133" s="122">
        <f>노임!$D$17</f>
        <v>322627</v>
      </c>
      <c r="J133" s="123">
        <f>TRUNC(I133*$E133,0)</f>
        <v>90335</v>
      </c>
      <c r="K133" s="122"/>
      <c r="L133" s="123">
        <f>TRUNC(K133*$E133,0)</f>
        <v>0</v>
      </c>
      <c r="M133" s="124">
        <f>G133+I133+K133</f>
        <v>322627</v>
      </c>
      <c r="N133" s="124">
        <f>H133+J133+L133</f>
        <v>90335</v>
      </c>
      <c r="O133" s="157"/>
      <c r="P133" s="193"/>
    </row>
    <row r="134" spans="2:16" s="196" customFormat="1" ht="20.100000000000001" customHeight="1">
      <c r="B134" s="117"/>
      <c r="C134" s="156" t="s">
        <v>627</v>
      </c>
      <c r="D134" s="161">
        <v>10</v>
      </c>
      <c r="E134" s="120">
        <v>0.78</v>
      </c>
      <c r="F134" s="121" t="s">
        <v>706</v>
      </c>
      <c r="G134" s="122"/>
      <c r="H134" s="123">
        <f>TRUNC(G134*$E134,0)</f>
        <v>0</v>
      </c>
      <c r="I134" s="122"/>
      <c r="J134" s="123">
        <f>TRUNC(I134*$E134,0)</f>
        <v>0</v>
      </c>
      <c r="K134" s="122">
        <v>90538</v>
      </c>
      <c r="L134" s="123">
        <f>TRUNC(K134*$E134,0)</f>
        <v>70619</v>
      </c>
      <c r="M134" s="124">
        <f>G134+I134+K134</f>
        <v>90538</v>
      </c>
      <c r="N134" s="124">
        <f>H134+J134+L134</f>
        <v>70619</v>
      </c>
      <c r="O134" s="157"/>
      <c r="P134" s="193"/>
    </row>
    <row r="135" spans="2:16" s="196" customFormat="1" ht="20.100000000000001" customHeight="1">
      <c r="B135" s="140"/>
      <c r="C135" s="141" t="s">
        <v>682</v>
      </c>
      <c r="D135" s="142"/>
      <c r="E135" s="143"/>
      <c r="F135" s="143"/>
      <c r="G135" s="144"/>
      <c r="H135" s="145">
        <f>SUM(H131:H134)</f>
        <v>0</v>
      </c>
      <c r="I135" s="144"/>
      <c r="J135" s="145">
        <f>SUM(J131:J134)</f>
        <v>275701</v>
      </c>
      <c r="K135" s="144"/>
      <c r="L135" s="145">
        <f>SUM(L131:L134)</f>
        <v>70619</v>
      </c>
      <c r="M135" s="146"/>
      <c r="N135" s="146">
        <f>H135+J135+L135</f>
        <v>346320</v>
      </c>
      <c r="O135" s="147"/>
      <c r="P135" s="193"/>
    </row>
    <row r="136" spans="2:16" ht="20.100000000000001" customHeight="1">
      <c r="B136" s="148"/>
      <c r="C136" s="149"/>
      <c r="D136" s="149"/>
      <c r="E136" s="150"/>
      <c r="F136" s="150"/>
      <c r="G136" s="151"/>
      <c r="H136" s="152"/>
      <c r="I136" s="151"/>
      <c r="J136" s="152"/>
      <c r="K136" s="151"/>
      <c r="L136" s="152"/>
      <c r="M136" s="153"/>
      <c r="N136" s="153"/>
      <c r="O136" s="154"/>
    </row>
    <row r="137" spans="2:16" s="195" customFormat="1" ht="20.100000000000001" customHeight="1">
      <c r="B137" s="131">
        <f>B130+1</f>
        <v>18</v>
      </c>
      <c r="C137" s="155" t="s">
        <v>724</v>
      </c>
      <c r="D137" s="164">
        <v>100</v>
      </c>
      <c r="E137" s="134">
        <v>1</v>
      </c>
      <c r="F137" s="135" t="s">
        <v>600</v>
      </c>
      <c r="G137" s="136"/>
      <c r="H137" s="136"/>
      <c r="I137" s="136"/>
      <c r="J137" s="136"/>
      <c r="K137" s="136"/>
      <c r="L137" s="136"/>
      <c r="M137" s="136"/>
      <c r="N137" s="136"/>
      <c r="O137" s="137" t="s">
        <v>0</v>
      </c>
      <c r="P137" s="194"/>
    </row>
    <row r="138" spans="2:16" s="196" customFormat="1" ht="19.5" customHeight="1">
      <c r="B138" s="117"/>
      <c r="C138" s="118" t="s">
        <v>628</v>
      </c>
      <c r="D138" s="128">
        <v>100</v>
      </c>
      <c r="E138" s="120">
        <v>1</v>
      </c>
      <c r="F138" s="121" t="s">
        <v>684</v>
      </c>
      <c r="G138" s="122">
        <v>0</v>
      </c>
      <c r="H138" s="123">
        <f>TRUNC(G138*$E138,0)</f>
        <v>0</v>
      </c>
      <c r="I138" s="122">
        <f>J153</f>
        <v>253652</v>
      </c>
      <c r="J138" s="123">
        <f>TRUNC(I138*$E138,0)</f>
        <v>253652</v>
      </c>
      <c r="K138" s="122">
        <v>75242</v>
      </c>
      <c r="L138" s="123">
        <f>TRUNC(K138*$E138,0)</f>
        <v>75242</v>
      </c>
      <c r="M138" s="124">
        <f>G138+I138+K138</f>
        <v>328894</v>
      </c>
      <c r="N138" s="124">
        <f>H138+J138+L138</f>
        <v>328894</v>
      </c>
      <c r="O138" s="125">
        <f>B147</f>
        <v>19</v>
      </c>
      <c r="P138" s="193"/>
    </row>
    <row r="139" spans="2:16" s="196" customFormat="1" ht="20.100000000000001" customHeight="1">
      <c r="B139" s="117"/>
      <c r="C139" s="118" t="s">
        <v>629</v>
      </c>
      <c r="D139" s="128">
        <v>100</v>
      </c>
      <c r="E139" s="120">
        <v>1</v>
      </c>
      <c r="F139" s="121" t="s">
        <v>700</v>
      </c>
      <c r="G139" s="122">
        <v>686</v>
      </c>
      <c r="H139" s="123">
        <f>TRUNC(G139*$E139,0)</f>
        <v>686</v>
      </c>
      <c r="I139" s="122">
        <f>J160</f>
        <v>58273</v>
      </c>
      <c r="J139" s="123">
        <f>TRUNC(I139*$E139,0)</f>
        <v>58273</v>
      </c>
      <c r="K139" s="122">
        <v>3914</v>
      </c>
      <c r="L139" s="123">
        <f>TRUNC(K139*$E139,0)</f>
        <v>3914</v>
      </c>
      <c r="M139" s="124">
        <f>G139+I139+K139</f>
        <v>62873</v>
      </c>
      <c r="N139" s="124">
        <f>H139+J139+L139</f>
        <v>62873</v>
      </c>
      <c r="O139" s="125">
        <f>B155</f>
        <v>20</v>
      </c>
      <c r="P139" s="193"/>
    </row>
    <row r="140" spans="2:16" s="196" customFormat="1" ht="20.100000000000001" customHeight="1">
      <c r="B140" s="117"/>
      <c r="C140" s="118" t="s">
        <v>630</v>
      </c>
      <c r="D140" s="128">
        <v>100</v>
      </c>
      <c r="E140" s="120">
        <v>1</v>
      </c>
      <c r="F140" s="121" t="s">
        <v>684</v>
      </c>
      <c r="G140" s="122">
        <v>0</v>
      </c>
      <c r="H140" s="123">
        <f>TRUNC(G140*$E140,0)</f>
        <v>0</v>
      </c>
      <c r="I140" s="122">
        <f>J167</f>
        <v>130070</v>
      </c>
      <c r="J140" s="123">
        <f>TRUNC(I140*$E140,0)</f>
        <v>130070</v>
      </c>
      <c r="K140" s="122">
        <v>5331</v>
      </c>
      <c r="L140" s="123">
        <f>TRUNC(K140*$E140,0)</f>
        <v>5331</v>
      </c>
      <c r="M140" s="124">
        <f>G140+I140+K140</f>
        <v>135401</v>
      </c>
      <c r="N140" s="124">
        <f>H140+J140+L140</f>
        <v>135401</v>
      </c>
      <c r="O140" s="125">
        <f>B162</f>
        <v>21</v>
      </c>
      <c r="P140" s="193"/>
    </row>
    <row r="141" spans="2:16" s="196" customFormat="1" ht="20.100000000000001" customHeight="1">
      <c r="B141" s="117"/>
      <c r="C141" s="156" t="s">
        <v>631</v>
      </c>
      <c r="D141" s="128">
        <v>100</v>
      </c>
      <c r="E141" s="120">
        <v>1</v>
      </c>
      <c r="F141" s="121" t="s">
        <v>684</v>
      </c>
      <c r="G141" s="122">
        <v>150000</v>
      </c>
      <c r="H141" s="123">
        <f>TRUNC(G141*$E141,0)</f>
        <v>150000</v>
      </c>
      <c r="I141" s="122"/>
      <c r="J141" s="123">
        <f>TRUNC(I141*$E141,0)</f>
        <v>0</v>
      </c>
      <c r="K141" s="122"/>
      <c r="L141" s="123">
        <f>TRUNC(K141*$E141,0)</f>
        <v>0</v>
      </c>
      <c r="M141" s="124">
        <f>G141+I141+K141</f>
        <v>150000</v>
      </c>
      <c r="N141" s="124">
        <f>H141+J141+L141</f>
        <v>150000</v>
      </c>
      <c r="O141" s="125"/>
      <c r="P141" s="193"/>
    </row>
    <row r="142" spans="2:16" s="196" customFormat="1" ht="20.100000000000001" customHeight="1">
      <c r="B142" s="117"/>
      <c r="C142" s="156" t="s">
        <v>632</v>
      </c>
      <c r="D142" s="128">
        <v>100</v>
      </c>
      <c r="E142" s="120">
        <v>1</v>
      </c>
      <c r="F142" s="121" t="s">
        <v>684</v>
      </c>
      <c r="G142" s="122">
        <v>211000</v>
      </c>
      <c r="H142" s="123">
        <f>TRUNC(G142*$E142,0)</f>
        <v>211000</v>
      </c>
      <c r="I142" s="122"/>
      <c r="J142" s="123">
        <f>TRUNC(I142*$E142,0)</f>
        <v>0</v>
      </c>
      <c r="K142" s="122"/>
      <c r="L142" s="123">
        <f>TRUNC(K142*$E142,0)</f>
        <v>0</v>
      </c>
      <c r="M142" s="124">
        <f>G142+I142+K142</f>
        <v>211000</v>
      </c>
      <c r="N142" s="124">
        <f>H142+J142+L142</f>
        <v>211000</v>
      </c>
      <c r="O142" s="125"/>
      <c r="P142" s="193"/>
    </row>
    <row r="143" spans="2:16" s="196" customFormat="1" ht="20.100000000000001" customHeight="1">
      <c r="B143" s="117"/>
      <c r="C143" s="156" t="s">
        <v>633</v>
      </c>
      <c r="D143" s="128">
        <v>100</v>
      </c>
      <c r="E143" s="120">
        <v>1</v>
      </c>
      <c r="F143" s="121" t="s">
        <v>684</v>
      </c>
      <c r="G143" s="122">
        <v>50000</v>
      </c>
      <c r="H143" s="123">
        <f>TRUNC(G143*$E143,0)</f>
        <v>50000</v>
      </c>
      <c r="I143" s="122"/>
      <c r="J143" s="123">
        <f>TRUNC(I143*$E143,0)</f>
        <v>0</v>
      </c>
      <c r="K143" s="122"/>
      <c r="L143" s="123">
        <f>TRUNC(K143*$E143,0)</f>
        <v>0</v>
      </c>
      <c r="M143" s="124">
        <f>G143+I143+K143</f>
        <v>50000</v>
      </c>
      <c r="N143" s="124">
        <f>H143+J143+L143</f>
        <v>50000</v>
      </c>
      <c r="O143" s="125"/>
      <c r="P143" s="193"/>
    </row>
    <row r="144" spans="2:16" s="196" customFormat="1" ht="20.100000000000001" customHeight="1">
      <c r="B144" s="117"/>
      <c r="C144" s="156" t="s">
        <v>634</v>
      </c>
      <c r="D144" s="128">
        <v>100</v>
      </c>
      <c r="E144" s="120">
        <v>1</v>
      </c>
      <c r="F144" s="121" t="s">
        <v>684</v>
      </c>
      <c r="G144" s="122">
        <v>30000</v>
      </c>
      <c r="H144" s="123">
        <f>TRUNC(G144*$E144,0)</f>
        <v>30000</v>
      </c>
      <c r="I144" s="122"/>
      <c r="J144" s="123">
        <f>TRUNC(I144*$E144,0)</f>
        <v>0</v>
      </c>
      <c r="K144" s="122"/>
      <c r="L144" s="123">
        <f>TRUNC(K144*$E144,0)</f>
        <v>0</v>
      </c>
      <c r="M144" s="124">
        <f>G144+I144+K144</f>
        <v>30000</v>
      </c>
      <c r="N144" s="124">
        <f>H144+J144+L144</f>
        <v>30000</v>
      </c>
      <c r="O144" s="125"/>
      <c r="P144" s="193"/>
    </row>
    <row r="145" spans="2:16" s="196" customFormat="1" ht="20.100000000000001" customHeight="1">
      <c r="B145" s="140"/>
      <c r="C145" s="141" t="s">
        <v>682</v>
      </c>
      <c r="D145" s="142"/>
      <c r="E145" s="143"/>
      <c r="F145" s="143"/>
      <c r="G145" s="144"/>
      <c r="H145" s="145">
        <f>SUM(H138:H144)</f>
        <v>441686</v>
      </c>
      <c r="I145" s="144"/>
      <c r="J145" s="145">
        <f>SUM(J138:J144)</f>
        <v>441995</v>
      </c>
      <c r="K145" s="144"/>
      <c r="L145" s="145">
        <f>SUM(L138:L144)</f>
        <v>84487</v>
      </c>
      <c r="M145" s="146"/>
      <c r="N145" s="146">
        <f>H145+J145+L145</f>
        <v>968168</v>
      </c>
      <c r="O145" s="147"/>
      <c r="P145" s="193"/>
    </row>
    <row r="146" spans="2:16" s="196" customFormat="1" ht="20.100000000000001" customHeight="1">
      <c r="B146" s="148"/>
      <c r="C146" s="149"/>
      <c r="D146" s="149"/>
      <c r="E146" s="150"/>
      <c r="F146" s="150"/>
      <c r="G146" s="151"/>
      <c r="H146" s="152"/>
      <c r="I146" s="151"/>
      <c r="J146" s="152"/>
      <c r="K146" s="151"/>
      <c r="L146" s="152"/>
      <c r="M146" s="153"/>
      <c r="N146" s="153"/>
      <c r="O146" s="154"/>
      <c r="P146" s="193"/>
    </row>
    <row r="147" spans="2:16" s="195" customFormat="1" ht="20.100000000000001" customHeight="1">
      <c r="B147" s="131">
        <f>B137+1</f>
        <v>19</v>
      </c>
      <c r="C147" s="155" t="s">
        <v>725</v>
      </c>
      <c r="D147" s="164">
        <v>100</v>
      </c>
      <c r="E147" s="134">
        <v>1</v>
      </c>
      <c r="F147" s="135" t="s">
        <v>600</v>
      </c>
      <c r="G147" s="136"/>
      <c r="H147" s="136"/>
      <c r="I147" s="136"/>
      <c r="J147" s="136"/>
      <c r="K147" s="136"/>
      <c r="L147" s="136"/>
      <c r="M147" s="136"/>
      <c r="N147" s="136"/>
      <c r="O147" s="137" t="s">
        <v>0</v>
      </c>
      <c r="P147" s="194"/>
    </row>
    <row r="148" spans="2:16" s="196" customFormat="1" ht="20.100000000000001" customHeight="1">
      <c r="B148" s="117"/>
      <c r="C148" s="156" t="s">
        <v>47</v>
      </c>
      <c r="D148" s="139"/>
      <c r="E148" s="120">
        <v>0.09</v>
      </c>
      <c r="F148" s="121" t="s">
        <v>704</v>
      </c>
      <c r="G148" s="122"/>
      <c r="H148" s="123">
        <f>TRUNC(G148*$E148,0)</f>
        <v>0</v>
      </c>
      <c r="I148" s="122">
        <f>노임!$D$28</f>
        <v>326240</v>
      </c>
      <c r="J148" s="123">
        <f>TRUNC(I148*$E148,0)</f>
        <v>29361</v>
      </c>
      <c r="K148" s="122"/>
      <c r="L148" s="123">
        <f>TRUNC(K148*$E148,0)</f>
        <v>0</v>
      </c>
      <c r="M148" s="124">
        <f>G148+I148+K148</f>
        <v>326240</v>
      </c>
      <c r="N148" s="124">
        <f>H148+J148+L148</f>
        <v>29361</v>
      </c>
      <c r="O148" s="157"/>
      <c r="P148" s="193"/>
    </row>
    <row r="149" spans="2:16" s="196" customFormat="1" ht="20.100000000000001" customHeight="1">
      <c r="B149" s="117"/>
      <c r="C149" s="156" t="s">
        <v>609</v>
      </c>
      <c r="D149" s="139"/>
      <c r="E149" s="120">
        <v>0.2</v>
      </c>
      <c r="F149" s="121" t="s">
        <v>678</v>
      </c>
      <c r="G149" s="122"/>
      <c r="H149" s="123">
        <f>TRUNC(G149*$E149,0)</f>
        <v>0</v>
      </c>
      <c r="I149" s="122">
        <f>노임!$D$24</f>
        <v>492337</v>
      </c>
      <c r="J149" s="123">
        <f>TRUNC(I149*$E149,0)</f>
        <v>98467</v>
      </c>
      <c r="K149" s="122"/>
      <c r="L149" s="123">
        <f>TRUNC(K149*$E149,0)</f>
        <v>0</v>
      </c>
      <c r="M149" s="124">
        <f>G149+I149+K149</f>
        <v>492337</v>
      </c>
      <c r="N149" s="124">
        <f>H149+J149+L149</f>
        <v>98467</v>
      </c>
      <c r="O149" s="157"/>
      <c r="P149" s="193"/>
    </row>
    <row r="150" spans="2:16" s="196" customFormat="1" ht="20.100000000000001" customHeight="1">
      <c r="B150" s="117"/>
      <c r="C150" s="156" t="s">
        <v>58</v>
      </c>
      <c r="D150" s="139"/>
      <c r="E150" s="120">
        <v>0.39</v>
      </c>
      <c r="F150" s="121" t="s">
        <v>704</v>
      </c>
      <c r="G150" s="122"/>
      <c r="H150" s="123">
        <f>TRUNC(G150*$E150,0)</f>
        <v>0</v>
      </c>
      <c r="I150" s="122">
        <f>노임!$D$17</f>
        <v>322627</v>
      </c>
      <c r="J150" s="123">
        <f>TRUNC(I150*$E150,0)</f>
        <v>125824</v>
      </c>
      <c r="K150" s="122"/>
      <c r="L150" s="123">
        <f>TRUNC(K150*$E150,0)</f>
        <v>0</v>
      </c>
      <c r="M150" s="124">
        <f>G150+I150+K150</f>
        <v>322627</v>
      </c>
      <c r="N150" s="124">
        <f>H150+J150+L150</f>
        <v>125824</v>
      </c>
      <c r="O150" s="157"/>
      <c r="P150" s="193"/>
    </row>
    <row r="151" spans="2:16" s="196" customFormat="1" ht="20.100000000000001" customHeight="1">
      <c r="B151" s="117"/>
      <c r="C151" s="156" t="s">
        <v>635</v>
      </c>
      <c r="D151" s="161"/>
      <c r="E151" s="120">
        <v>0.75</v>
      </c>
      <c r="F151" s="121" t="s">
        <v>706</v>
      </c>
      <c r="G151" s="122"/>
      <c r="H151" s="123">
        <f>TRUNC(G151*$E151,0)</f>
        <v>0</v>
      </c>
      <c r="I151" s="122"/>
      <c r="J151" s="123">
        <f>TRUNC(I151*$E151,0)</f>
        <v>0</v>
      </c>
      <c r="K151" s="122">
        <v>597</v>
      </c>
      <c r="L151" s="123">
        <f>TRUNC(K151*$E151,0)</f>
        <v>447</v>
      </c>
      <c r="M151" s="124">
        <f>G151+I151+K151</f>
        <v>597</v>
      </c>
      <c r="N151" s="124">
        <f>H151+J151+L151</f>
        <v>447</v>
      </c>
      <c r="O151" s="157"/>
      <c r="P151" s="193"/>
    </row>
    <row r="152" spans="2:16" s="196" customFormat="1" ht="20.100000000000001" customHeight="1">
      <c r="B152" s="117"/>
      <c r="C152" s="156" t="s">
        <v>627</v>
      </c>
      <c r="D152" s="161">
        <v>5</v>
      </c>
      <c r="E152" s="120">
        <v>1.08</v>
      </c>
      <c r="F152" s="121" t="s">
        <v>706</v>
      </c>
      <c r="G152" s="122"/>
      <c r="H152" s="123">
        <f>TRUNC(G152*$E152,0)</f>
        <v>0</v>
      </c>
      <c r="I152" s="122"/>
      <c r="J152" s="123">
        <f>TRUNC(I152*$E152,0)</f>
        <v>0</v>
      </c>
      <c r="K152" s="122">
        <v>69255</v>
      </c>
      <c r="L152" s="123">
        <f>TRUNC(K152*$E152,0)</f>
        <v>74795</v>
      </c>
      <c r="M152" s="124">
        <f>G152+I152+K152</f>
        <v>69255</v>
      </c>
      <c r="N152" s="124">
        <f>H152+J152+L152</f>
        <v>74795</v>
      </c>
      <c r="O152" s="157"/>
      <c r="P152" s="193"/>
    </row>
    <row r="153" spans="2:16" s="196" customFormat="1" ht="20.100000000000001" customHeight="1">
      <c r="B153" s="140"/>
      <c r="C153" s="141" t="s">
        <v>682</v>
      </c>
      <c r="D153" s="142"/>
      <c r="E153" s="143"/>
      <c r="F153" s="143"/>
      <c r="G153" s="144"/>
      <c r="H153" s="145">
        <f>SUM(H148:H152)</f>
        <v>0</v>
      </c>
      <c r="I153" s="144"/>
      <c r="J153" s="145">
        <f>SUM(J148:J152)</f>
        <v>253652</v>
      </c>
      <c r="K153" s="144"/>
      <c r="L153" s="145">
        <f>SUM(L148:L152)</f>
        <v>75242</v>
      </c>
      <c r="M153" s="146"/>
      <c r="N153" s="146">
        <f>H153+J153+L153</f>
        <v>328894</v>
      </c>
      <c r="O153" s="147"/>
      <c r="P153" s="193"/>
    </row>
    <row r="154" spans="2:16" s="196" customFormat="1" ht="20.100000000000001" customHeight="1">
      <c r="B154" s="148"/>
      <c r="C154" s="149"/>
      <c r="D154" s="149"/>
      <c r="E154" s="150"/>
      <c r="F154" s="150"/>
      <c r="G154" s="151"/>
      <c r="H154" s="152"/>
      <c r="I154" s="151"/>
      <c r="J154" s="152"/>
      <c r="K154" s="151"/>
      <c r="L154" s="152"/>
      <c r="M154" s="153"/>
      <c r="N154" s="153"/>
      <c r="O154" s="154"/>
      <c r="P154" s="193"/>
    </row>
    <row r="155" spans="2:16" s="193" customFormat="1" ht="20.100000000000001" customHeight="1">
      <c r="B155" s="131">
        <f>B147+1</f>
        <v>20</v>
      </c>
      <c r="C155" s="155" t="s">
        <v>726</v>
      </c>
      <c r="D155" s="164">
        <v>100</v>
      </c>
      <c r="E155" s="134">
        <v>1</v>
      </c>
      <c r="F155" s="135" t="s">
        <v>600</v>
      </c>
      <c r="G155" s="136"/>
      <c r="H155" s="136"/>
      <c r="I155" s="136"/>
      <c r="J155" s="136"/>
      <c r="K155" s="136"/>
      <c r="L155" s="136"/>
      <c r="M155" s="136"/>
      <c r="N155" s="136"/>
      <c r="O155" s="137" t="s">
        <v>0</v>
      </c>
    </row>
    <row r="156" spans="2:16" s="193" customFormat="1" ht="19.5" customHeight="1">
      <c r="B156" s="117"/>
      <c r="C156" s="156" t="s">
        <v>610</v>
      </c>
      <c r="D156" s="139"/>
      <c r="E156" s="120">
        <v>0.11</v>
      </c>
      <c r="F156" s="121" t="s">
        <v>704</v>
      </c>
      <c r="G156" s="122"/>
      <c r="H156" s="123">
        <f>TRUNC(G156*$E156,0)</f>
        <v>0</v>
      </c>
      <c r="I156" s="122">
        <f>노임!$D$21</f>
        <v>529755</v>
      </c>
      <c r="J156" s="123">
        <f>TRUNC(I156*$E156,0)</f>
        <v>58273</v>
      </c>
      <c r="K156" s="122"/>
      <c r="L156" s="123">
        <f>TRUNC(K156*$E156,0)</f>
        <v>0</v>
      </c>
      <c r="M156" s="124">
        <f>G156+I156+K156</f>
        <v>529755</v>
      </c>
      <c r="N156" s="124">
        <f>H156+J156+L156</f>
        <v>58273</v>
      </c>
      <c r="O156" s="157"/>
    </row>
    <row r="157" spans="2:16" s="193" customFormat="1" ht="20.100000000000001" customHeight="1">
      <c r="B157" s="117"/>
      <c r="C157" s="156" t="s">
        <v>611</v>
      </c>
      <c r="D157" s="139"/>
      <c r="E157" s="120">
        <v>7.0000000000000007E-2</v>
      </c>
      <c r="F157" s="121" t="s">
        <v>688</v>
      </c>
      <c r="G157" s="122"/>
      <c r="H157" s="123">
        <f>TRUNC(G157*$E157,0)</f>
        <v>0</v>
      </c>
      <c r="I157" s="122"/>
      <c r="J157" s="123">
        <f>TRUNC(I157*$E157,0)</f>
        <v>0</v>
      </c>
      <c r="K157" s="122">
        <v>55756</v>
      </c>
      <c r="L157" s="123">
        <f>TRUNC(K157*$E157,0)</f>
        <v>3902</v>
      </c>
      <c r="M157" s="124">
        <f>G157+I157+K157</f>
        <v>55756</v>
      </c>
      <c r="N157" s="124">
        <f>H157+J157+L157</f>
        <v>3902</v>
      </c>
      <c r="O157" s="157"/>
    </row>
    <row r="158" spans="2:16" s="193" customFormat="1" ht="20.100000000000001" customHeight="1">
      <c r="B158" s="117"/>
      <c r="C158" s="156" t="s">
        <v>612</v>
      </c>
      <c r="D158" s="161"/>
      <c r="E158" s="120">
        <v>0.14000000000000001</v>
      </c>
      <c r="F158" s="121" t="s">
        <v>706</v>
      </c>
      <c r="G158" s="122"/>
      <c r="H158" s="123">
        <f>TRUNC(G158*$E158,0)</f>
        <v>0</v>
      </c>
      <c r="I158" s="122"/>
      <c r="J158" s="123">
        <f>TRUNC(I158*$E158,0)</f>
        <v>0</v>
      </c>
      <c r="K158" s="122">
        <v>92</v>
      </c>
      <c r="L158" s="123">
        <f>TRUNC(K158*$E158,0)</f>
        <v>12</v>
      </c>
      <c r="M158" s="124">
        <f>G158+I158+K158</f>
        <v>92</v>
      </c>
      <c r="N158" s="124">
        <f>H158+J158+L158</f>
        <v>12</v>
      </c>
      <c r="O158" s="157"/>
    </row>
    <row r="159" spans="2:16" s="193" customFormat="1" ht="20.100000000000001" customHeight="1">
      <c r="B159" s="117"/>
      <c r="C159" s="156" t="s">
        <v>613</v>
      </c>
      <c r="D159" s="161"/>
      <c r="E159" s="120">
        <v>0.14000000000000001</v>
      </c>
      <c r="F159" s="121" t="s">
        <v>727</v>
      </c>
      <c r="G159" s="122">
        <v>4900</v>
      </c>
      <c r="H159" s="123">
        <f>TRUNC(G159*$E159,0)</f>
        <v>686</v>
      </c>
      <c r="I159" s="122"/>
      <c r="J159" s="123">
        <f>TRUNC(I159*$E159,0)</f>
        <v>0</v>
      </c>
      <c r="K159" s="122"/>
      <c r="L159" s="123">
        <f>TRUNC(K159*$E159,0)</f>
        <v>0</v>
      </c>
      <c r="M159" s="124">
        <f>G159+I159+K159</f>
        <v>4900</v>
      </c>
      <c r="N159" s="124">
        <f>H159+J159+L159</f>
        <v>686</v>
      </c>
      <c r="O159" s="157"/>
    </row>
    <row r="160" spans="2:16" s="193" customFormat="1" ht="20.100000000000001" customHeight="1">
      <c r="B160" s="140"/>
      <c r="C160" s="141" t="s">
        <v>698</v>
      </c>
      <c r="D160" s="142"/>
      <c r="E160" s="143"/>
      <c r="F160" s="143"/>
      <c r="G160" s="144"/>
      <c r="H160" s="145">
        <f>SUM(H156:H159)</f>
        <v>686</v>
      </c>
      <c r="I160" s="144"/>
      <c r="J160" s="145">
        <f>SUM(J156:J159)</f>
        <v>58273</v>
      </c>
      <c r="K160" s="144"/>
      <c r="L160" s="145">
        <f>SUM(L156:L159)</f>
        <v>3914</v>
      </c>
      <c r="M160" s="146"/>
      <c r="N160" s="146">
        <f>H160+J160+L160</f>
        <v>62873</v>
      </c>
      <c r="O160" s="147"/>
    </row>
    <row r="161" spans="2:15" ht="20.100000000000001" customHeight="1">
      <c r="B161" s="148"/>
      <c r="C161" s="149"/>
      <c r="D161" s="149"/>
      <c r="E161" s="150"/>
      <c r="F161" s="150"/>
      <c r="G161" s="151"/>
      <c r="H161" s="152"/>
      <c r="I161" s="151"/>
      <c r="J161" s="152"/>
      <c r="K161" s="151"/>
      <c r="L161" s="152"/>
      <c r="M161" s="153"/>
      <c r="N161" s="153"/>
      <c r="O161" s="154"/>
    </row>
    <row r="162" spans="2:15" s="194" customFormat="1" ht="20.100000000000001" customHeight="1">
      <c r="B162" s="131">
        <f>B155+1</f>
        <v>21</v>
      </c>
      <c r="C162" s="155" t="s">
        <v>728</v>
      </c>
      <c r="D162" s="164">
        <v>100</v>
      </c>
      <c r="E162" s="134">
        <v>1</v>
      </c>
      <c r="F162" s="135" t="s">
        <v>600</v>
      </c>
      <c r="G162" s="136"/>
      <c r="H162" s="136"/>
      <c r="I162" s="136"/>
      <c r="J162" s="136"/>
      <c r="K162" s="136"/>
      <c r="L162" s="136"/>
      <c r="M162" s="136"/>
      <c r="N162" s="136"/>
      <c r="O162" s="137" t="s">
        <v>0</v>
      </c>
    </row>
    <row r="163" spans="2:15" s="193" customFormat="1" ht="20.100000000000001" customHeight="1">
      <c r="B163" s="117"/>
      <c r="C163" s="156" t="s">
        <v>47</v>
      </c>
      <c r="D163" s="139"/>
      <c r="E163" s="120">
        <v>0.05</v>
      </c>
      <c r="F163" s="121" t="s">
        <v>678</v>
      </c>
      <c r="G163" s="122"/>
      <c r="H163" s="123">
        <f>TRUNC(G163*$E163,0)</f>
        <v>0</v>
      </c>
      <c r="I163" s="122">
        <f>노임!$D$28</f>
        <v>326240</v>
      </c>
      <c r="J163" s="123">
        <f>TRUNC(I163*$E163,0)</f>
        <v>16312</v>
      </c>
      <c r="K163" s="122"/>
      <c r="L163" s="123">
        <f>TRUNC(K163*$E163,0)</f>
        <v>0</v>
      </c>
      <c r="M163" s="124">
        <f>G163+I163+K163</f>
        <v>326240</v>
      </c>
      <c r="N163" s="124">
        <f>H163+J163+L163</f>
        <v>16312</v>
      </c>
      <c r="O163" s="157"/>
    </row>
    <row r="164" spans="2:15" s="193" customFormat="1" ht="20.100000000000001" customHeight="1">
      <c r="B164" s="117"/>
      <c r="C164" s="156" t="s">
        <v>609</v>
      </c>
      <c r="D164" s="139"/>
      <c r="E164" s="120">
        <v>0.1</v>
      </c>
      <c r="F164" s="121" t="s">
        <v>704</v>
      </c>
      <c r="G164" s="122"/>
      <c r="H164" s="123">
        <f>TRUNC(G164*$E164,0)</f>
        <v>0</v>
      </c>
      <c r="I164" s="122">
        <f>노임!$D$24</f>
        <v>492337</v>
      </c>
      <c r="J164" s="123">
        <f>TRUNC(I164*$E164,0)</f>
        <v>49233</v>
      </c>
      <c r="K164" s="122"/>
      <c r="L164" s="123">
        <f>TRUNC(K164*$E164,0)</f>
        <v>0</v>
      </c>
      <c r="M164" s="124">
        <f>G164+I164+K164</f>
        <v>492337</v>
      </c>
      <c r="N164" s="124">
        <f>H164+J164+L164</f>
        <v>49233</v>
      </c>
      <c r="O164" s="157"/>
    </row>
    <row r="165" spans="2:15" s="193" customFormat="1" ht="20.100000000000001" customHeight="1">
      <c r="B165" s="117"/>
      <c r="C165" s="156" t="s">
        <v>58</v>
      </c>
      <c r="D165" s="139"/>
      <c r="E165" s="120">
        <v>0.2</v>
      </c>
      <c r="F165" s="121" t="s">
        <v>678</v>
      </c>
      <c r="G165" s="122"/>
      <c r="H165" s="123">
        <f>TRUNC(G165*$E165,0)</f>
        <v>0</v>
      </c>
      <c r="I165" s="122">
        <f>노임!$D$17</f>
        <v>322627</v>
      </c>
      <c r="J165" s="123">
        <f>TRUNC(I165*$E165,0)</f>
        <v>64525</v>
      </c>
      <c r="K165" s="122"/>
      <c r="L165" s="123">
        <f>TRUNC(K165*$E165,0)</f>
        <v>0</v>
      </c>
      <c r="M165" s="124">
        <f>G165+I165+K165</f>
        <v>322627</v>
      </c>
      <c r="N165" s="124">
        <f>H165+J165+L165</f>
        <v>64525</v>
      </c>
      <c r="O165" s="157"/>
    </row>
    <row r="166" spans="2:15" s="193" customFormat="1" ht="20.100000000000001" customHeight="1">
      <c r="B166" s="117"/>
      <c r="C166" s="156" t="s">
        <v>636</v>
      </c>
      <c r="D166" s="128">
        <v>100</v>
      </c>
      <c r="E166" s="120">
        <v>0.38</v>
      </c>
      <c r="F166" s="121" t="s">
        <v>706</v>
      </c>
      <c r="G166" s="122"/>
      <c r="H166" s="123">
        <f>TRUNC(G166*$E166,0)</f>
        <v>0</v>
      </c>
      <c r="I166" s="122"/>
      <c r="J166" s="123">
        <f>TRUNC(I166*$E166,0)</f>
        <v>0</v>
      </c>
      <c r="K166" s="122">
        <v>14030</v>
      </c>
      <c r="L166" s="123">
        <f>TRUNC(K166*$E166,0)</f>
        <v>5331</v>
      </c>
      <c r="M166" s="124">
        <f>G166+I166+K166</f>
        <v>14030</v>
      </c>
      <c r="N166" s="124">
        <f>H166+J166+L166</f>
        <v>5331</v>
      </c>
      <c r="O166" s="157"/>
    </row>
    <row r="167" spans="2:15" s="193" customFormat="1" ht="20.100000000000001" customHeight="1">
      <c r="B167" s="140"/>
      <c r="C167" s="141" t="s">
        <v>698</v>
      </c>
      <c r="D167" s="142"/>
      <c r="E167" s="143"/>
      <c r="F167" s="143"/>
      <c r="G167" s="144"/>
      <c r="H167" s="145">
        <f>SUM(H163:H166)</f>
        <v>0</v>
      </c>
      <c r="I167" s="144"/>
      <c r="J167" s="145">
        <f>SUM(J163:J166)</f>
        <v>130070</v>
      </c>
      <c r="K167" s="144"/>
      <c r="L167" s="145">
        <f>SUM(L163:L166)</f>
        <v>5331</v>
      </c>
      <c r="M167" s="146"/>
      <c r="N167" s="146">
        <f>H167+J167+L167</f>
        <v>135401</v>
      </c>
      <c r="O167" s="147"/>
    </row>
    <row r="168" spans="2:15" ht="20.100000000000001" customHeight="1">
      <c r="B168" s="148"/>
      <c r="C168" s="149"/>
      <c r="D168" s="149"/>
      <c r="E168" s="150"/>
      <c r="F168" s="150"/>
      <c r="G168" s="151"/>
      <c r="H168" s="152"/>
      <c r="I168" s="151"/>
      <c r="J168" s="152"/>
      <c r="K168" s="151"/>
      <c r="L168" s="152"/>
      <c r="M168" s="153"/>
      <c r="N168" s="153"/>
      <c r="O168" s="154"/>
    </row>
    <row r="169" spans="2:15" s="194" customFormat="1" ht="20.100000000000001" customHeight="1">
      <c r="B169" s="131">
        <f>B162+1</f>
        <v>22</v>
      </c>
      <c r="C169" s="155" t="s">
        <v>729</v>
      </c>
      <c r="D169" s="133">
        <v>1350</v>
      </c>
      <c r="E169" s="134">
        <v>1</v>
      </c>
      <c r="F169" s="135" t="s">
        <v>600</v>
      </c>
      <c r="G169" s="136"/>
      <c r="H169" s="136"/>
      <c r="I169" s="136"/>
      <c r="J169" s="136"/>
      <c r="K169" s="136"/>
      <c r="L169" s="136"/>
      <c r="M169" s="136"/>
      <c r="N169" s="136"/>
      <c r="O169" s="137" t="s">
        <v>0</v>
      </c>
    </row>
    <row r="170" spans="2:15" s="193" customFormat="1" ht="19.5" customHeight="1">
      <c r="B170" s="117"/>
      <c r="C170" s="118" t="s">
        <v>637</v>
      </c>
      <c r="D170" s="119">
        <v>1350</v>
      </c>
      <c r="E170" s="120">
        <v>1</v>
      </c>
      <c r="F170" s="121" t="s">
        <v>684</v>
      </c>
      <c r="G170" s="122">
        <v>0</v>
      </c>
      <c r="H170" s="123">
        <f>TRUNC(G170*$E170,0)</f>
        <v>0</v>
      </c>
      <c r="I170" s="122">
        <f>J184</f>
        <v>6098892</v>
      </c>
      <c r="J170" s="123">
        <f>TRUNC(I170*$E170,0)</f>
        <v>6098892</v>
      </c>
      <c r="K170" s="122">
        <v>1376306</v>
      </c>
      <c r="L170" s="123">
        <f>TRUNC(K170*$E170,0)</f>
        <v>1376306</v>
      </c>
      <c r="M170" s="124">
        <f>G170+I170+K170</f>
        <v>7475198</v>
      </c>
      <c r="N170" s="124">
        <f>H170+J170+L170</f>
        <v>7475198</v>
      </c>
      <c r="O170" s="125">
        <f>B179</f>
        <v>23</v>
      </c>
    </row>
    <row r="171" spans="2:15" s="193" customFormat="1" ht="20.100000000000001" customHeight="1">
      <c r="B171" s="117"/>
      <c r="C171" s="118" t="s">
        <v>730</v>
      </c>
      <c r="D171" s="119">
        <v>1350</v>
      </c>
      <c r="E171" s="120">
        <v>65.41</v>
      </c>
      <c r="F171" s="121" t="s">
        <v>688</v>
      </c>
      <c r="G171" s="122"/>
      <c r="H171" s="123">
        <f>TRUNC(G171*$E171,0)</f>
        <v>0</v>
      </c>
      <c r="I171" s="122"/>
      <c r="J171" s="123">
        <f>TRUNC(I171*$E171,0)</f>
        <v>0</v>
      </c>
      <c r="K171" s="122">
        <v>40194</v>
      </c>
      <c r="L171" s="123">
        <f>TRUNC(K171*$E171,0)</f>
        <v>2629089</v>
      </c>
      <c r="M171" s="124">
        <f>G171+I171+K171</f>
        <v>40194</v>
      </c>
      <c r="N171" s="124">
        <f>H171+J171+L171</f>
        <v>2629089</v>
      </c>
      <c r="O171" s="125"/>
    </row>
    <row r="172" spans="2:15" s="193" customFormat="1" ht="20.100000000000001" customHeight="1">
      <c r="B172" s="117"/>
      <c r="C172" s="118" t="s">
        <v>638</v>
      </c>
      <c r="D172" s="119">
        <v>1350</v>
      </c>
      <c r="E172" s="120">
        <v>6.53</v>
      </c>
      <c r="F172" s="121" t="s">
        <v>688</v>
      </c>
      <c r="G172" s="122">
        <v>21067</v>
      </c>
      <c r="H172" s="123">
        <f>TRUNC(G172*$E172,0)</f>
        <v>137567</v>
      </c>
      <c r="I172" s="122">
        <v>0</v>
      </c>
      <c r="J172" s="123">
        <f>TRUNC(I172*$E172,0)</f>
        <v>0</v>
      </c>
      <c r="K172" s="122">
        <v>0</v>
      </c>
      <c r="L172" s="123">
        <f>TRUNC(K172*$E172,0)</f>
        <v>0</v>
      </c>
      <c r="M172" s="124">
        <f>G172+I172+K172</f>
        <v>21067</v>
      </c>
      <c r="N172" s="124">
        <f>H172+J172+L172</f>
        <v>137567</v>
      </c>
      <c r="O172" s="125">
        <f>B186</f>
        <v>24</v>
      </c>
    </row>
    <row r="173" spans="2:15" s="193" customFormat="1" ht="20.100000000000001" customHeight="1">
      <c r="B173" s="117"/>
      <c r="C173" s="118" t="s">
        <v>639</v>
      </c>
      <c r="D173" s="119">
        <v>1350</v>
      </c>
      <c r="E173" s="120">
        <v>22.97</v>
      </c>
      <c r="F173" s="121" t="s">
        <v>688</v>
      </c>
      <c r="G173" s="122">
        <v>0</v>
      </c>
      <c r="H173" s="123">
        <f>TRUNC(G173*$E173,0)</f>
        <v>0</v>
      </c>
      <c r="I173" s="122">
        <f>J193</f>
        <v>81560</v>
      </c>
      <c r="J173" s="123">
        <f>TRUNC(I173*$E173,0)</f>
        <v>1873433</v>
      </c>
      <c r="K173" s="122">
        <v>0</v>
      </c>
      <c r="L173" s="123">
        <f>TRUNC(K173*$E173,0)</f>
        <v>0</v>
      </c>
      <c r="M173" s="124">
        <f>G173+I173+K173</f>
        <v>81560</v>
      </c>
      <c r="N173" s="124">
        <f>H173+J173+L173</f>
        <v>1873433</v>
      </c>
      <c r="O173" s="125">
        <f>B191</f>
        <v>25</v>
      </c>
    </row>
    <row r="174" spans="2:15" s="193" customFormat="1" ht="20.100000000000001" customHeight="1">
      <c r="B174" s="117"/>
      <c r="C174" s="118" t="s">
        <v>640</v>
      </c>
      <c r="D174" s="119">
        <v>1350</v>
      </c>
      <c r="E174" s="120">
        <v>1</v>
      </c>
      <c r="F174" s="121" t="s">
        <v>684</v>
      </c>
      <c r="G174" s="122">
        <v>0</v>
      </c>
      <c r="H174" s="123">
        <f>TRUNC(G174*$E174,0)</f>
        <v>0</v>
      </c>
      <c r="I174" s="122">
        <f>J200</f>
        <v>2437580</v>
      </c>
      <c r="J174" s="123">
        <f>TRUNC(I174*$E174,0)</f>
        <v>2437580</v>
      </c>
      <c r="K174" s="122">
        <v>550720</v>
      </c>
      <c r="L174" s="123">
        <f>TRUNC(K174*$E174,0)</f>
        <v>550720</v>
      </c>
      <c r="M174" s="124">
        <f>G174+I174+K174</f>
        <v>2988300</v>
      </c>
      <c r="N174" s="124">
        <f>H174+J174+L174</f>
        <v>2988300</v>
      </c>
      <c r="O174" s="125">
        <f>B195</f>
        <v>26</v>
      </c>
    </row>
    <row r="175" spans="2:15" s="193" customFormat="1" ht="20.100000000000001" customHeight="1">
      <c r="B175" s="117"/>
      <c r="C175" s="156" t="s">
        <v>641</v>
      </c>
      <c r="D175" s="119">
        <v>1350</v>
      </c>
      <c r="E175" s="120">
        <v>1</v>
      </c>
      <c r="F175" s="121" t="s">
        <v>684</v>
      </c>
      <c r="G175" s="122">
        <v>14750000</v>
      </c>
      <c r="H175" s="123">
        <f>TRUNC(G175*$E175,0)</f>
        <v>14750000</v>
      </c>
      <c r="I175" s="122"/>
      <c r="J175" s="123">
        <f>TRUNC(I175*$E175,0)</f>
        <v>0</v>
      </c>
      <c r="K175" s="122"/>
      <c r="L175" s="123">
        <f>TRUNC(K175*$E175,0)</f>
        <v>0</v>
      </c>
      <c r="M175" s="124">
        <f>G175+I175+K175</f>
        <v>14750000</v>
      </c>
      <c r="N175" s="124">
        <f>H175+J175+L175</f>
        <v>14750000</v>
      </c>
      <c r="O175" s="157"/>
    </row>
    <row r="176" spans="2:15" s="193" customFormat="1" ht="20.100000000000001" customHeight="1">
      <c r="B176" s="117"/>
      <c r="C176" s="156" t="s">
        <v>530</v>
      </c>
      <c r="D176" s="119">
        <v>1350</v>
      </c>
      <c r="E176" s="120">
        <v>1</v>
      </c>
      <c r="F176" s="121" t="s">
        <v>700</v>
      </c>
      <c r="G176" s="122">
        <v>303010</v>
      </c>
      <c r="H176" s="123">
        <f>TRUNC(G176*$E176,0)</f>
        <v>303010</v>
      </c>
      <c r="I176" s="122"/>
      <c r="J176" s="123">
        <f>TRUNC(I176*$E176,0)</f>
        <v>0</v>
      </c>
      <c r="K176" s="122"/>
      <c r="L176" s="123">
        <f>TRUNC(K176*$E176,0)</f>
        <v>0</v>
      </c>
      <c r="M176" s="124">
        <f>G176+I176+K176</f>
        <v>303010</v>
      </c>
      <c r="N176" s="124">
        <f>H176+J176+L176</f>
        <v>303010</v>
      </c>
      <c r="O176" s="157"/>
    </row>
    <row r="177" spans="2:15" s="193" customFormat="1" ht="20.100000000000001" customHeight="1">
      <c r="B177" s="140"/>
      <c r="C177" s="141" t="s">
        <v>682</v>
      </c>
      <c r="D177" s="142"/>
      <c r="E177" s="143"/>
      <c r="F177" s="143"/>
      <c r="G177" s="144"/>
      <c r="H177" s="145">
        <f>SUM(H170:H176)</f>
        <v>15190577</v>
      </c>
      <c r="I177" s="144"/>
      <c r="J177" s="145">
        <f>SUM(J170:J175)</f>
        <v>10409905</v>
      </c>
      <c r="K177" s="144"/>
      <c r="L177" s="145">
        <f>SUM(L170:L175)</f>
        <v>4556115</v>
      </c>
      <c r="M177" s="146"/>
      <c r="N177" s="146">
        <f>H177+J177+L177</f>
        <v>30156597</v>
      </c>
      <c r="O177" s="147"/>
    </row>
    <row r="178" spans="2:15" s="193" customFormat="1" ht="20.100000000000001" customHeight="1">
      <c r="B178" s="148"/>
      <c r="C178" s="149"/>
      <c r="D178" s="149"/>
      <c r="E178" s="150"/>
      <c r="F178" s="150"/>
      <c r="G178" s="151"/>
      <c r="H178" s="152"/>
      <c r="I178" s="151"/>
      <c r="J178" s="152"/>
      <c r="K178" s="151"/>
      <c r="L178" s="152"/>
      <c r="M178" s="153"/>
      <c r="N178" s="153"/>
      <c r="O178" s="154"/>
    </row>
    <row r="179" spans="2:15" s="194" customFormat="1" ht="20.100000000000001" customHeight="1">
      <c r="B179" s="131">
        <f>B169+1</f>
        <v>23</v>
      </c>
      <c r="C179" s="155" t="s">
        <v>731</v>
      </c>
      <c r="D179" s="133">
        <v>1350</v>
      </c>
      <c r="E179" s="134">
        <v>1</v>
      </c>
      <c r="F179" s="135" t="s">
        <v>600</v>
      </c>
      <c r="G179" s="136"/>
      <c r="H179" s="136"/>
      <c r="I179" s="136"/>
      <c r="J179" s="136"/>
      <c r="K179" s="136"/>
      <c r="L179" s="136"/>
      <c r="M179" s="136"/>
      <c r="N179" s="136"/>
      <c r="O179" s="137" t="s">
        <v>0</v>
      </c>
    </row>
    <row r="180" spans="2:15" s="193" customFormat="1" ht="20.100000000000001" customHeight="1">
      <c r="B180" s="117"/>
      <c r="C180" s="156" t="s">
        <v>47</v>
      </c>
      <c r="D180" s="139"/>
      <c r="E180" s="120">
        <v>0.83</v>
      </c>
      <c r="F180" s="121" t="s">
        <v>704</v>
      </c>
      <c r="G180" s="122"/>
      <c r="H180" s="123">
        <f>TRUNC(G180*$E180,0)</f>
        <v>0</v>
      </c>
      <c r="I180" s="122">
        <f>노임!$D$28</f>
        <v>326240</v>
      </c>
      <c r="J180" s="123">
        <f>TRUNC(I180*$E180,0)</f>
        <v>270779</v>
      </c>
      <c r="K180" s="122"/>
      <c r="L180" s="123">
        <f>TRUNC(K180*$E180,0)</f>
        <v>0</v>
      </c>
      <c r="M180" s="124">
        <f>G180+I180+K180</f>
        <v>326240</v>
      </c>
      <c r="N180" s="124">
        <f>H180+J180+L180</f>
        <v>270779</v>
      </c>
      <c r="O180" s="157"/>
    </row>
    <row r="181" spans="2:15" s="193" customFormat="1" ht="20.100000000000001" customHeight="1">
      <c r="B181" s="117"/>
      <c r="C181" s="156" t="s">
        <v>609</v>
      </c>
      <c r="D181" s="139"/>
      <c r="E181" s="120">
        <v>7.86</v>
      </c>
      <c r="F181" s="121" t="s">
        <v>678</v>
      </c>
      <c r="G181" s="122"/>
      <c r="H181" s="123">
        <f>TRUNC(G181*$E181,0)</f>
        <v>0</v>
      </c>
      <c r="I181" s="122">
        <f>노임!$D$24</f>
        <v>492337</v>
      </c>
      <c r="J181" s="123">
        <f>TRUNC(I181*$E181,0)</f>
        <v>3869768</v>
      </c>
      <c r="K181" s="122"/>
      <c r="L181" s="123">
        <f>TRUNC(K181*$E181,0)</f>
        <v>0</v>
      </c>
      <c r="M181" s="124">
        <f>G181+I181+K181</f>
        <v>492337</v>
      </c>
      <c r="N181" s="124">
        <f>H181+J181+L181</f>
        <v>3869768</v>
      </c>
      <c r="O181" s="157"/>
    </row>
    <row r="182" spans="2:15" s="193" customFormat="1" ht="20.100000000000001" customHeight="1">
      <c r="B182" s="117"/>
      <c r="C182" s="156" t="s">
        <v>58</v>
      </c>
      <c r="D182" s="139"/>
      <c r="E182" s="120">
        <v>6.07</v>
      </c>
      <c r="F182" s="121" t="s">
        <v>704</v>
      </c>
      <c r="G182" s="122"/>
      <c r="H182" s="123">
        <f>TRUNC(G182*$E182,0)</f>
        <v>0</v>
      </c>
      <c r="I182" s="122">
        <f>노임!$D$17</f>
        <v>322627</v>
      </c>
      <c r="J182" s="123">
        <f>TRUNC(I182*$E182,0)</f>
        <v>1958345</v>
      </c>
      <c r="K182" s="122"/>
      <c r="L182" s="123">
        <f>TRUNC(K182*$E182,0)</f>
        <v>0</v>
      </c>
      <c r="M182" s="124">
        <f>G182+I182+K182</f>
        <v>322627</v>
      </c>
      <c r="N182" s="124">
        <f>H182+J182+L182</f>
        <v>1958345</v>
      </c>
      <c r="O182" s="157"/>
    </row>
    <row r="183" spans="2:15" s="193" customFormat="1" ht="20.100000000000001" customHeight="1">
      <c r="B183" s="117"/>
      <c r="C183" s="156" t="s">
        <v>705</v>
      </c>
      <c r="D183" s="161">
        <v>15</v>
      </c>
      <c r="E183" s="120">
        <v>13.87</v>
      </c>
      <c r="F183" s="121" t="s">
        <v>706</v>
      </c>
      <c r="G183" s="122"/>
      <c r="H183" s="123">
        <f>TRUNC(G183*$E183,0)</f>
        <v>0</v>
      </c>
      <c r="I183" s="122"/>
      <c r="J183" s="123">
        <f>TRUNC(I183*$E183,0)</f>
        <v>0</v>
      </c>
      <c r="K183" s="122">
        <v>99229</v>
      </c>
      <c r="L183" s="123">
        <f>TRUNC(K183*$E183,0)</f>
        <v>1376306</v>
      </c>
      <c r="M183" s="124">
        <f>G183+I183+K183</f>
        <v>99229</v>
      </c>
      <c r="N183" s="124">
        <f>H183+J183+L183</f>
        <v>1376306</v>
      </c>
      <c r="O183" s="157"/>
    </row>
    <row r="184" spans="2:15" s="193" customFormat="1" ht="20.100000000000001" customHeight="1">
      <c r="B184" s="140"/>
      <c r="C184" s="141" t="s">
        <v>682</v>
      </c>
      <c r="D184" s="142"/>
      <c r="E184" s="143"/>
      <c r="F184" s="143"/>
      <c r="G184" s="144"/>
      <c r="H184" s="145">
        <f>SUM(H180:H183)</f>
        <v>0</v>
      </c>
      <c r="I184" s="144"/>
      <c r="J184" s="145">
        <f>SUM(J180:J183)</f>
        <v>6098892</v>
      </c>
      <c r="K184" s="144"/>
      <c r="L184" s="145">
        <f>SUM(L180:L183)</f>
        <v>1376306</v>
      </c>
      <c r="M184" s="146"/>
      <c r="N184" s="146">
        <f>H184+J184+L184</f>
        <v>7475198</v>
      </c>
      <c r="O184" s="147"/>
    </row>
    <row r="185" spans="2:15" ht="20.100000000000001" customHeight="1">
      <c r="B185" s="148"/>
      <c r="C185" s="149"/>
      <c r="D185" s="149"/>
      <c r="E185" s="150"/>
      <c r="F185" s="150"/>
      <c r="G185" s="151"/>
      <c r="H185" s="152"/>
      <c r="I185" s="151"/>
      <c r="J185" s="152"/>
      <c r="K185" s="151"/>
      <c r="L185" s="152"/>
      <c r="M185" s="153"/>
      <c r="N185" s="153"/>
      <c r="O185" s="154"/>
    </row>
    <row r="186" spans="2:15" s="194" customFormat="1" ht="20.100000000000001" customHeight="1">
      <c r="B186" s="131">
        <f>B179+1</f>
        <v>24</v>
      </c>
      <c r="C186" s="155" t="s">
        <v>732</v>
      </c>
      <c r="D186" s="133">
        <v>1350</v>
      </c>
      <c r="E186" s="134">
        <v>1</v>
      </c>
      <c r="F186" s="135" t="s">
        <v>706</v>
      </c>
      <c r="G186" s="136"/>
      <c r="H186" s="136"/>
      <c r="I186" s="136"/>
      <c r="J186" s="136"/>
      <c r="K186" s="136"/>
      <c r="L186" s="136"/>
      <c r="M186" s="136"/>
      <c r="N186" s="136"/>
      <c r="O186" s="137" t="s">
        <v>0</v>
      </c>
    </row>
    <row r="187" spans="2:15" s="193" customFormat="1" ht="20.100000000000001" customHeight="1">
      <c r="B187" s="117"/>
      <c r="C187" s="156" t="s">
        <v>625</v>
      </c>
      <c r="D187" s="127" t="s">
        <v>720</v>
      </c>
      <c r="E187" s="120">
        <v>11</v>
      </c>
      <c r="F187" s="121" t="s">
        <v>733</v>
      </c>
      <c r="G187" s="122">
        <v>1596</v>
      </c>
      <c r="H187" s="123">
        <f>TRUNC(G187*$E187,0)</f>
        <v>17556</v>
      </c>
      <c r="I187" s="122"/>
      <c r="J187" s="123">
        <f>TRUNC(I187*$E187,0)</f>
        <v>0</v>
      </c>
      <c r="K187" s="122"/>
      <c r="L187" s="123">
        <f>TRUNC(K187*$E187,0)</f>
        <v>0</v>
      </c>
      <c r="M187" s="124">
        <f>G187+I187+K187</f>
        <v>1596</v>
      </c>
      <c r="N187" s="124">
        <f>H187+J187+L187</f>
        <v>17556</v>
      </c>
      <c r="O187" s="157"/>
    </row>
    <row r="188" spans="2:15" s="193" customFormat="1" ht="20.100000000000001" customHeight="1">
      <c r="B188" s="117"/>
      <c r="C188" s="156" t="s">
        <v>626</v>
      </c>
      <c r="D188" s="139" t="s">
        <v>714</v>
      </c>
      <c r="E188" s="158">
        <v>0.2</v>
      </c>
      <c r="F188" s="121"/>
      <c r="G188" s="122">
        <v>17556</v>
      </c>
      <c r="H188" s="123">
        <f>TRUNC(G188*$E188,0)</f>
        <v>3511</v>
      </c>
      <c r="I188" s="122"/>
      <c r="J188" s="123">
        <f>TRUNC(I188*$E188,0)</f>
        <v>0</v>
      </c>
      <c r="K188" s="122"/>
      <c r="L188" s="123">
        <f>TRUNC(K188*$E188,0)</f>
        <v>0</v>
      </c>
      <c r="M188" s="124">
        <f>G188+I188+K188</f>
        <v>17556</v>
      </c>
      <c r="N188" s="124">
        <f>H188+J188+L188</f>
        <v>3511</v>
      </c>
      <c r="O188" s="157"/>
    </row>
    <row r="189" spans="2:15" s="193" customFormat="1" ht="20.100000000000001" customHeight="1">
      <c r="B189" s="140"/>
      <c r="C189" s="141" t="s">
        <v>682</v>
      </c>
      <c r="D189" s="142"/>
      <c r="E189" s="143"/>
      <c r="F189" s="143"/>
      <c r="G189" s="144"/>
      <c r="H189" s="145">
        <f>SUM(H187:H188)</f>
        <v>21067</v>
      </c>
      <c r="I189" s="144"/>
      <c r="J189" s="145">
        <f>SUM(J187:J188)</f>
        <v>0</v>
      </c>
      <c r="K189" s="144"/>
      <c r="L189" s="145">
        <f>SUM(L187:L188)</f>
        <v>0</v>
      </c>
      <c r="M189" s="146"/>
      <c r="N189" s="146">
        <f>H189+J189+L189</f>
        <v>21067</v>
      </c>
      <c r="O189" s="147"/>
    </row>
    <row r="190" spans="2:15" s="193" customFormat="1" ht="20.100000000000001" customHeight="1">
      <c r="B190" s="148"/>
      <c r="C190" s="149"/>
      <c r="D190" s="149"/>
      <c r="E190" s="150"/>
      <c r="F190" s="150"/>
      <c r="G190" s="151"/>
      <c r="H190" s="152"/>
      <c r="I190" s="151"/>
      <c r="J190" s="152"/>
      <c r="K190" s="151"/>
      <c r="L190" s="152"/>
      <c r="M190" s="153"/>
      <c r="N190" s="153"/>
      <c r="O190" s="154"/>
    </row>
    <row r="191" spans="2:15" s="194" customFormat="1" ht="20.100000000000001" customHeight="1">
      <c r="B191" s="131">
        <f>B186+1</f>
        <v>25</v>
      </c>
      <c r="C191" s="155" t="s">
        <v>734</v>
      </c>
      <c r="D191" s="133">
        <v>1350</v>
      </c>
      <c r="E191" s="134">
        <v>1</v>
      </c>
      <c r="F191" s="135" t="s">
        <v>706</v>
      </c>
      <c r="G191" s="136"/>
      <c r="H191" s="136"/>
      <c r="I191" s="136"/>
      <c r="J191" s="136"/>
      <c r="K191" s="136"/>
      <c r="L191" s="136"/>
      <c r="M191" s="136"/>
      <c r="N191" s="136"/>
      <c r="O191" s="137" t="s">
        <v>0</v>
      </c>
    </row>
    <row r="192" spans="2:15" s="193" customFormat="1" ht="20.100000000000001" customHeight="1">
      <c r="B192" s="117"/>
      <c r="C192" s="156" t="s">
        <v>47</v>
      </c>
      <c r="D192" s="139"/>
      <c r="E192" s="120">
        <v>0.25</v>
      </c>
      <c r="F192" s="121" t="s">
        <v>704</v>
      </c>
      <c r="G192" s="122"/>
      <c r="H192" s="123">
        <f>TRUNC(G192*$E192,0)</f>
        <v>0</v>
      </c>
      <c r="I192" s="122">
        <f>노임!$D$28</f>
        <v>326240</v>
      </c>
      <c r="J192" s="123">
        <f>TRUNC(I192*$E192,0)</f>
        <v>81560</v>
      </c>
      <c r="K192" s="122"/>
      <c r="L192" s="123">
        <f>TRUNC(K192*$E192,0)</f>
        <v>0</v>
      </c>
      <c r="M192" s="124">
        <f>G192+I192+K192</f>
        <v>326240</v>
      </c>
      <c r="N192" s="124">
        <f>H192+J192+L192</f>
        <v>81560</v>
      </c>
      <c r="O192" s="157"/>
    </row>
    <row r="193" spans="2:15" s="193" customFormat="1" ht="20.100000000000001" customHeight="1">
      <c r="B193" s="140"/>
      <c r="C193" s="141" t="s">
        <v>698</v>
      </c>
      <c r="D193" s="142"/>
      <c r="E193" s="143"/>
      <c r="F193" s="143"/>
      <c r="G193" s="144"/>
      <c r="H193" s="145">
        <f>SUM(H192:H192)</f>
        <v>0</v>
      </c>
      <c r="I193" s="144"/>
      <c r="J193" s="145">
        <f>SUM(J192:J192)</f>
        <v>81560</v>
      </c>
      <c r="K193" s="144"/>
      <c r="L193" s="145">
        <f>SUM(L192:L192)</f>
        <v>0</v>
      </c>
      <c r="M193" s="146"/>
      <c r="N193" s="146">
        <f>H193+J193+L193</f>
        <v>81560</v>
      </c>
      <c r="O193" s="147"/>
    </row>
    <row r="194" spans="2:15" s="193" customFormat="1" ht="20.100000000000001" customHeight="1">
      <c r="B194" s="148"/>
      <c r="C194" s="149"/>
      <c r="D194" s="149"/>
      <c r="E194" s="150"/>
      <c r="F194" s="150"/>
      <c r="G194" s="151"/>
      <c r="H194" s="152"/>
      <c r="I194" s="151"/>
      <c r="J194" s="152"/>
      <c r="K194" s="151"/>
      <c r="L194" s="152"/>
      <c r="M194" s="153"/>
      <c r="N194" s="153"/>
      <c r="O194" s="154"/>
    </row>
    <row r="195" spans="2:15" s="194" customFormat="1" ht="20.100000000000001" customHeight="1">
      <c r="B195" s="131">
        <f>B191+1</f>
        <v>26</v>
      </c>
      <c r="C195" s="155" t="s">
        <v>735</v>
      </c>
      <c r="D195" s="133">
        <v>1350</v>
      </c>
      <c r="E195" s="134">
        <v>1</v>
      </c>
      <c r="F195" s="135" t="s">
        <v>600</v>
      </c>
      <c r="G195" s="136"/>
      <c r="H195" s="136"/>
      <c r="I195" s="136"/>
      <c r="J195" s="136"/>
      <c r="K195" s="136"/>
      <c r="L195" s="136"/>
      <c r="M195" s="136"/>
      <c r="N195" s="136"/>
      <c r="O195" s="137" t="s">
        <v>0</v>
      </c>
    </row>
    <row r="196" spans="2:15" s="193" customFormat="1" ht="20.100000000000001" customHeight="1">
      <c r="B196" s="117"/>
      <c r="C196" s="156" t="s">
        <v>47</v>
      </c>
      <c r="D196" s="139"/>
      <c r="E196" s="120">
        <v>0.33</v>
      </c>
      <c r="F196" s="121" t="s">
        <v>678</v>
      </c>
      <c r="G196" s="122"/>
      <c r="H196" s="123">
        <f>TRUNC(G196*$E196,0)</f>
        <v>0</v>
      </c>
      <c r="I196" s="122">
        <f>노임!$D$28</f>
        <v>326240</v>
      </c>
      <c r="J196" s="123">
        <f>TRUNC(I196*$E196,0)</f>
        <v>107659</v>
      </c>
      <c r="K196" s="122"/>
      <c r="L196" s="123">
        <f>TRUNC(K196*$E196,0)</f>
        <v>0</v>
      </c>
      <c r="M196" s="124">
        <f>G196+I196+K196</f>
        <v>326240</v>
      </c>
      <c r="N196" s="124">
        <f>H196+J196+L196</f>
        <v>107659</v>
      </c>
      <c r="O196" s="157"/>
    </row>
    <row r="197" spans="2:15" s="193" customFormat="1" ht="20.100000000000001" customHeight="1">
      <c r="B197" s="117"/>
      <c r="C197" s="156" t="s">
        <v>609</v>
      </c>
      <c r="D197" s="139"/>
      <c r="E197" s="120">
        <v>3.14</v>
      </c>
      <c r="F197" s="121" t="s">
        <v>678</v>
      </c>
      <c r="G197" s="122"/>
      <c r="H197" s="123">
        <f>TRUNC(G197*$E197,0)</f>
        <v>0</v>
      </c>
      <c r="I197" s="122">
        <f>노임!$D$24</f>
        <v>492337</v>
      </c>
      <c r="J197" s="123">
        <f>TRUNC(I197*$E197,0)</f>
        <v>1545938</v>
      </c>
      <c r="K197" s="122"/>
      <c r="L197" s="123">
        <f>TRUNC(K197*$E197,0)</f>
        <v>0</v>
      </c>
      <c r="M197" s="124">
        <f>G197+I197+K197</f>
        <v>492337</v>
      </c>
      <c r="N197" s="124">
        <f>H197+J197+L197</f>
        <v>1545938</v>
      </c>
      <c r="O197" s="157"/>
    </row>
    <row r="198" spans="2:15" s="193" customFormat="1" ht="20.100000000000001" customHeight="1">
      <c r="B198" s="117"/>
      <c r="C198" s="156" t="s">
        <v>58</v>
      </c>
      <c r="D198" s="139"/>
      <c r="E198" s="120">
        <v>2.4300000000000002</v>
      </c>
      <c r="F198" s="121" t="s">
        <v>678</v>
      </c>
      <c r="G198" s="122"/>
      <c r="H198" s="123">
        <f>TRUNC(G198*$E198,0)</f>
        <v>0</v>
      </c>
      <c r="I198" s="122">
        <f>노임!$D$17</f>
        <v>322627</v>
      </c>
      <c r="J198" s="123">
        <f>TRUNC(I198*$E198,0)</f>
        <v>783983</v>
      </c>
      <c r="K198" s="122"/>
      <c r="L198" s="123">
        <f>TRUNC(K198*$E198,0)</f>
        <v>0</v>
      </c>
      <c r="M198" s="124">
        <f>G198+I198+K198</f>
        <v>322627</v>
      </c>
      <c r="N198" s="124">
        <f>H198+J198+L198</f>
        <v>783983</v>
      </c>
      <c r="O198" s="157"/>
    </row>
    <row r="199" spans="2:15" s="193" customFormat="1" ht="20.100000000000001" customHeight="1">
      <c r="B199" s="117"/>
      <c r="C199" s="156" t="s">
        <v>687</v>
      </c>
      <c r="D199" s="161">
        <v>15</v>
      </c>
      <c r="E199" s="120">
        <v>5.55</v>
      </c>
      <c r="F199" s="121" t="s">
        <v>688</v>
      </c>
      <c r="G199" s="122"/>
      <c r="H199" s="123">
        <f>TRUNC(G199*$E199,0)</f>
        <v>0</v>
      </c>
      <c r="I199" s="122"/>
      <c r="J199" s="123">
        <f>TRUNC(I199*$E199,0)</f>
        <v>0</v>
      </c>
      <c r="K199" s="122">
        <v>99229</v>
      </c>
      <c r="L199" s="123">
        <f>TRUNC(K199*$E199,0)</f>
        <v>550720</v>
      </c>
      <c r="M199" s="124">
        <f>G199+I199+K199</f>
        <v>99229</v>
      </c>
      <c r="N199" s="124">
        <f>H199+J199+L199</f>
        <v>550720</v>
      </c>
      <c r="O199" s="157"/>
    </row>
    <row r="200" spans="2:15" s="193" customFormat="1" ht="20.100000000000001" customHeight="1">
      <c r="B200" s="140"/>
      <c r="C200" s="141" t="s">
        <v>682</v>
      </c>
      <c r="D200" s="142"/>
      <c r="E200" s="143"/>
      <c r="F200" s="143"/>
      <c r="G200" s="144"/>
      <c r="H200" s="145">
        <f>SUM(H196:H199)</f>
        <v>0</v>
      </c>
      <c r="I200" s="144"/>
      <c r="J200" s="145">
        <f>SUM(J196:J199)</f>
        <v>2437580</v>
      </c>
      <c r="K200" s="144"/>
      <c r="L200" s="145">
        <f>SUM(L196:L199)</f>
        <v>550720</v>
      </c>
      <c r="M200" s="146"/>
      <c r="N200" s="146">
        <f>H200+J200+L200</f>
        <v>2988300</v>
      </c>
      <c r="O200" s="147"/>
    </row>
    <row r="201" spans="2:15" ht="20.100000000000001" customHeight="1">
      <c r="B201" s="148"/>
      <c r="C201" s="149"/>
      <c r="D201" s="149"/>
      <c r="E201" s="150"/>
      <c r="F201" s="150"/>
      <c r="G201" s="151"/>
      <c r="H201" s="152"/>
      <c r="I201" s="151"/>
      <c r="J201" s="152"/>
      <c r="K201" s="151"/>
      <c r="L201" s="152"/>
      <c r="M201" s="153"/>
      <c r="N201" s="153"/>
      <c r="O201" s="154"/>
    </row>
    <row r="202" spans="2:15" s="195" customFormat="1" ht="20.100000000000001" customHeight="1">
      <c r="B202" s="131">
        <f>B195+1</f>
        <v>27</v>
      </c>
      <c r="C202" s="155" t="s">
        <v>736</v>
      </c>
      <c r="D202" s="163">
        <v>900</v>
      </c>
      <c r="E202" s="134">
        <v>1</v>
      </c>
      <c r="F202" s="135" t="s">
        <v>600</v>
      </c>
      <c r="G202" s="136"/>
      <c r="H202" s="136"/>
      <c r="I202" s="136"/>
      <c r="J202" s="136"/>
      <c r="K202" s="136"/>
      <c r="L202" s="136"/>
      <c r="M202" s="136"/>
      <c r="N202" s="136"/>
      <c r="O202" s="137" t="s">
        <v>0</v>
      </c>
    </row>
    <row r="203" spans="2:15" s="196" customFormat="1" ht="19.5" customHeight="1">
      <c r="B203" s="117"/>
      <c r="C203" s="118" t="s">
        <v>642</v>
      </c>
      <c r="D203" s="127">
        <v>900</v>
      </c>
      <c r="E203" s="120">
        <v>1</v>
      </c>
      <c r="F203" s="121" t="s">
        <v>684</v>
      </c>
      <c r="G203" s="122">
        <v>0</v>
      </c>
      <c r="H203" s="123">
        <f>TRUNC(G203*$E203,0)</f>
        <v>0</v>
      </c>
      <c r="I203" s="122">
        <f>J216</f>
        <v>1414375</v>
      </c>
      <c r="J203" s="123">
        <f>TRUNC(I203*$E203,0)</f>
        <v>1414375</v>
      </c>
      <c r="K203" s="122">
        <v>316883</v>
      </c>
      <c r="L203" s="123">
        <f>TRUNC(K203*$E203,0)</f>
        <v>316883</v>
      </c>
      <c r="M203" s="124">
        <f>G203+I203+K203</f>
        <v>1731258</v>
      </c>
      <c r="N203" s="124">
        <f>H203+J203+L203</f>
        <v>1731258</v>
      </c>
      <c r="O203" s="125">
        <f>B211</f>
        <v>28</v>
      </c>
    </row>
    <row r="204" spans="2:15" s="196" customFormat="1" ht="20.100000000000001" customHeight="1">
      <c r="B204" s="117"/>
      <c r="C204" s="118" t="s">
        <v>737</v>
      </c>
      <c r="D204" s="119">
        <v>1350</v>
      </c>
      <c r="E204" s="120">
        <v>65.41</v>
      </c>
      <c r="F204" s="121" t="s">
        <v>706</v>
      </c>
      <c r="G204" s="122"/>
      <c r="H204" s="123">
        <f>TRUNC(G204*$E204,0)</f>
        <v>0</v>
      </c>
      <c r="I204" s="122"/>
      <c r="J204" s="123">
        <f>TRUNC(I204*$E204,0)</f>
        <v>0</v>
      </c>
      <c r="K204" s="122">
        <v>4435</v>
      </c>
      <c r="L204" s="123">
        <f>TRUNC(K204*$E204,0)</f>
        <v>290093</v>
      </c>
      <c r="M204" s="124">
        <f>G204+I204+K204</f>
        <v>4435</v>
      </c>
      <c r="N204" s="124">
        <f>H204+J204+L204</f>
        <v>290093</v>
      </c>
      <c r="O204" s="125"/>
    </row>
    <row r="205" spans="2:15" s="196" customFormat="1" ht="20.100000000000001" customHeight="1">
      <c r="B205" s="117"/>
      <c r="C205" s="118" t="s">
        <v>643</v>
      </c>
      <c r="D205" s="119">
        <v>900</v>
      </c>
      <c r="E205" s="120">
        <v>1.67</v>
      </c>
      <c r="F205" s="121" t="s">
        <v>706</v>
      </c>
      <c r="G205" s="122">
        <v>19725</v>
      </c>
      <c r="H205" s="123">
        <f>TRUNC(G205*$E205,0)</f>
        <v>32940</v>
      </c>
      <c r="I205" s="122">
        <v>0</v>
      </c>
      <c r="J205" s="123">
        <f>TRUNC(I205*$E205,0)</f>
        <v>0</v>
      </c>
      <c r="K205" s="122">
        <v>0</v>
      </c>
      <c r="L205" s="123">
        <f>TRUNC(K205*$E205,0)</f>
        <v>0</v>
      </c>
      <c r="M205" s="124">
        <f>G205+I205+K205</f>
        <v>19725</v>
      </c>
      <c r="N205" s="124">
        <f>H205+J205+L205</f>
        <v>32940</v>
      </c>
      <c r="O205" s="125">
        <f>B218</f>
        <v>29</v>
      </c>
    </row>
    <row r="206" spans="2:15" s="193" customFormat="1" ht="20.100000000000001" customHeight="1">
      <c r="B206" s="117"/>
      <c r="C206" s="118" t="s">
        <v>644</v>
      </c>
      <c r="D206" s="119">
        <v>900</v>
      </c>
      <c r="E206" s="120">
        <v>1</v>
      </c>
      <c r="F206" s="121" t="s">
        <v>684</v>
      </c>
      <c r="G206" s="122">
        <v>0</v>
      </c>
      <c r="H206" s="123">
        <f>TRUNC(G206*$E206,0)</f>
        <v>0</v>
      </c>
      <c r="I206" s="122">
        <f>J228</f>
        <v>567704</v>
      </c>
      <c r="J206" s="123">
        <f>TRUNC(I206*$E206,0)</f>
        <v>567704</v>
      </c>
      <c r="K206" s="122">
        <v>126753</v>
      </c>
      <c r="L206" s="123">
        <f>TRUNC(K206*$E206,0)</f>
        <v>126753</v>
      </c>
      <c r="M206" s="124">
        <f>G206+I206+K206</f>
        <v>694457</v>
      </c>
      <c r="N206" s="124">
        <f>H206+J206+L206</f>
        <v>694457</v>
      </c>
      <c r="O206" s="125">
        <f>B223</f>
        <v>30</v>
      </c>
    </row>
    <row r="207" spans="2:15" s="193" customFormat="1" ht="20.100000000000001" customHeight="1">
      <c r="B207" s="117"/>
      <c r="C207" s="156" t="s">
        <v>645</v>
      </c>
      <c r="D207" s="127">
        <v>900</v>
      </c>
      <c r="E207" s="120">
        <v>1</v>
      </c>
      <c r="F207" s="121" t="s">
        <v>700</v>
      </c>
      <c r="G207" s="122">
        <v>5150000</v>
      </c>
      <c r="H207" s="123">
        <f>TRUNC(G207*$E207,0)</f>
        <v>5150000</v>
      </c>
      <c r="I207" s="122"/>
      <c r="J207" s="123">
        <f>TRUNC(I207*$E207,0)</f>
        <v>0</v>
      </c>
      <c r="K207" s="122"/>
      <c r="L207" s="123">
        <f>TRUNC(K207*$E207,0)</f>
        <v>0</v>
      </c>
      <c r="M207" s="124">
        <f>G207+I207+K207</f>
        <v>5150000</v>
      </c>
      <c r="N207" s="124">
        <f>H207+J207+L207</f>
        <v>5150000</v>
      </c>
      <c r="O207" s="157"/>
    </row>
    <row r="208" spans="2:15" s="193" customFormat="1" ht="20.100000000000001" customHeight="1">
      <c r="B208" s="117"/>
      <c r="C208" s="156" t="s">
        <v>530</v>
      </c>
      <c r="D208" s="127">
        <v>900</v>
      </c>
      <c r="E208" s="120">
        <v>1</v>
      </c>
      <c r="F208" s="121" t="s">
        <v>684</v>
      </c>
      <c r="G208" s="122">
        <v>303010</v>
      </c>
      <c r="H208" s="123">
        <f>TRUNC(G208*$E208,0)</f>
        <v>303010</v>
      </c>
      <c r="I208" s="122"/>
      <c r="J208" s="123">
        <f>TRUNC(I208*$E208,0)</f>
        <v>0</v>
      </c>
      <c r="K208" s="122"/>
      <c r="L208" s="123">
        <f>TRUNC(K208*$E208,0)</f>
        <v>0</v>
      </c>
      <c r="M208" s="124">
        <f>G208+I208+K208</f>
        <v>303010</v>
      </c>
      <c r="N208" s="124">
        <f>H208+J208+L208</f>
        <v>303010</v>
      </c>
      <c r="O208" s="157"/>
    </row>
    <row r="209" spans="2:15" s="193" customFormat="1" ht="20.100000000000001" customHeight="1">
      <c r="B209" s="140"/>
      <c r="C209" s="141" t="s">
        <v>682</v>
      </c>
      <c r="D209" s="142"/>
      <c r="E209" s="143"/>
      <c r="F209" s="143"/>
      <c r="G209" s="144"/>
      <c r="H209" s="145">
        <f>SUM(H203:H208)</f>
        <v>5485950</v>
      </c>
      <c r="I209" s="144"/>
      <c r="J209" s="145">
        <f>SUM(J203:J208)</f>
        <v>1982079</v>
      </c>
      <c r="K209" s="144"/>
      <c r="L209" s="145">
        <f>SUM(L203:L208)</f>
        <v>733729</v>
      </c>
      <c r="M209" s="146"/>
      <c r="N209" s="146">
        <f>H209+J209+L209</f>
        <v>8201758</v>
      </c>
      <c r="O209" s="147"/>
    </row>
    <row r="210" spans="2:15" s="193" customFormat="1" ht="20.100000000000001" customHeight="1">
      <c r="B210" s="148"/>
      <c r="C210" s="149"/>
      <c r="D210" s="149"/>
      <c r="E210" s="150"/>
      <c r="F210" s="150"/>
      <c r="G210" s="151"/>
      <c r="H210" s="152"/>
      <c r="I210" s="151"/>
      <c r="J210" s="152"/>
      <c r="K210" s="151"/>
      <c r="L210" s="152"/>
      <c r="M210" s="153"/>
      <c r="N210" s="153"/>
      <c r="O210" s="154"/>
    </row>
    <row r="211" spans="2:15" s="194" customFormat="1" ht="20.100000000000001" customHeight="1">
      <c r="B211" s="131">
        <f>B202+1</f>
        <v>28</v>
      </c>
      <c r="C211" s="155" t="s">
        <v>738</v>
      </c>
      <c r="D211" s="163">
        <v>900</v>
      </c>
      <c r="E211" s="134">
        <v>1</v>
      </c>
      <c r="F211" s="135" t="s">
        <v>600</v>
      </c>
      <c r="G211" s="136"/>
      <c r="H211" s="136"/>
      <c r="I211" s="136"/>
      <c r="J211" s="136"/>
      <c r="K211" s="136"/>
      <c r="L211" s="136"/>
      <c r="M211" s="136"/>
      <c r="N211" s="136"/>
      <c r="O211" s="137" t="s">
        <v>0</v>
      </c>
    </row>
    <row r="212" spans="2:15" s="193" customFormat="1" ht="20.100000000000001" customHeight="1">
      <c r="B212" s="117"/>
      <c r="C212" s="156" t="s">
        <v>47</v>
      </c>
      <c r="D212" s="139"/>
      <c r="E212" s="120">
        <v>0.21</v>
      </c>
      <c r="F212" s="121" t="s">
        <v>678</v>
      </c>
      <c r="G212" s="122"/>
      <c r="H212" s="123">
        <f>TRUNC(G212*$E212,0)</f>
        <v>0</v>
      </c>
      <c r="I212" s="122">
        <f>노임!$D$28</f>
        <v>326240</v>
      </c>
      <c r="J212" s="123">
        <f>TRUNC(I212*$E212,0)</f>
        <v>68510</v>
      </c>
      <c r="K212" s="122"/>
      <c r="L212" s="123">
        <f>TRUNC(K212*$E212,0)</f>
        <v>0</v>
      </c>
      <c r="M212" s="124">
        <f>G212+I212+K212</f>
        <v>326240</v>
      </c>
      <c r="N212" s="124">
        <f>H212+J212+L212</f>
        <v>68510</v>
      </c>
      <c r="O212" s="157"/>
    </row>
    <row r="213" spans="2:15" s="193" customFormat="1" ht="20.100000000000001" customHeight="1">
      <c r="B213" s="117"/>
      <c r="C213" s="156" t="s">
        <v>609</v>
      </c>
      <c r="D213" s="139"/>
      <c r="E213" s="120">
        <v>1.79</v>
      </c>
      <c r="F213" s="121" t="s">
        <v>678</v>
      </c>
      <c r="G213" s="122"/>
      <c r="H213" s="123">
        <f>TRUNC(G213*$E213,0)</f>
        <v>0</v>
      </c>
      <c r="I213" s="122">
        <f>노임!$D$24</f>
        <v>492337</v>
      </c>
      <c r="J213" s="123">
        <f>TRUNC(I213*$E213,0)</f>
        <v>881283</v>
      </c>
      <c r="K213" s="122"/>
      <c r="L213" s="123">
        <f>TRUNC(K213*$E213,0)</f>
        <v>0</v>
      </c>
      <c r="M213" s="124">
        <f>G213+I213+K213</f>
        <v>492337</v>
      </c>
      <c r="N213" s="124">
        <f>H213+J213+L213</f>
        <v>881283</v>
      </c>
      <c r="O213" s="157"/>
    </row>
    <row r="214" spans="2:15" s="193" customFormat="1" ht="20.100000000000001" customHeight="1">
      <c r="B214" s="117"/>
      <c r="C214" s="156" t="s">
        <v>58</v>
      </c>
      <c r="D214" s="139"/>
      <c r="E214" s="120">
        <v>1.44</v>
      </c>
      <c r="F214" s="121" t="s">
        <v>678</v>
      </c>
      <c r="G214" s="122"/>
      <c r="H214" s="123">
        <f>TRUNC(G214*$E214,0)</f>
        <v>0</v>
      </c>
      <c r="I214" s="122">
        <f>노임!$D$17</f>
        <v>322627</v>
      </c>
      <c r="J214" s="123">
        <f>TRUNC(I214*$E214,0)</f>
        <v>464582</v>
      </c>
      <c r="K214" s="122"/>
      <c r="L214" s="123">
        <f>TRUNC(K214*$E214,0)</f>
        <v>0</v>
      </c>
      <c r="M214" s="124">
        <f>G214+I214+K214</f>
        <v>322627</v>
      </c>
      <c r="N214" s="124">
        <f>H214+J214+L214</f>
        <v>464582</v>
      </c>
      <c r="O214" s="157"/>
    </row>
    <row r="215" spans="2:15" s="193" customFormat="1" ht="20.100000000000001" customHeight="1">
      <c r="B215" s="117"/>
      <c r="C215" s="156" t="s">
        <v>627</v>
      </c>
      <c r="D215" s="161">
        <v>10</v>
      </c>
      <c r="E215" s="120">
        <v>3.5</v>
      </c>
      <c r="F215" s="121" t="s">
        <v>706</v>
      </c>
      <c r="G215" s="122"/>
      <c r="H215" s="123">
        <f>TRUNC(G215*$E215,0)</f>
        <v>0</v>
      </c>
      <c r="I215" s="122"/>
      <c r="J215" s="123">
        <f>TRUNC(I215*$E215,0)</f>
        <v>0</v>
      </c>
      <c r="K215" s="122">
        <v>90538</v>
      </c>
      <c r="L215" s="123">
        <f>TRUNC(K215*$E215,0)</f>
        <v>316883</v>
      </c>
      <c r="M215" s="124">
        <f>G215+I215+K215</f>
        <v>90538</v>
      </c>
      <c r="N215" s="124">
        <f>H215+J215+L215</f>
        <v>316883</v>
      </c>
      <c r="O215" s="157"/>
    </row>
    <row r="216" spans="2:15" s="193" customFormat="1" ht="20.100000000000001" customHeight="1">
      <c r="B216" s="140"/>
      <c r="C216" s="141" t="s">
        <v>682</v>
      </c>
      <c r="D216" s="142"/>
      <c r="E216" s="143"/>
      <c r="F216" s="143"/>
      <c r="G216" s="144"/>
      <c r="H216" s="145">
        <f>SUM(H212:H215)</f>
        <v>0</v>
      </c>
      <c r="I216" s="144"/>
      <c r="J216" s="145">
        <f>SUM(J212:J215)</f>
        <v>1414375</v>
      </c>
      <c r="K216" s="144"/>
      <c r="L216" s="145">
        <f>SUM(L212:L215)</f>
        <v>316883</v>
      </c>
      <c r="M216" s="146"/>
      <c r="N216" s="146">
        <f>H216+J216+L216</f>
        <v>1731258</v>
      </c>
      <c r="O216" s="147"/>
    </row>
    <row r="217" spans="2:15" ht="20.100000000000001" customHeight="1">
      <c r="B217" s="148"/>
      <c r="C217" s="149"/>
      <c r="D217" s="149"/>
      <c r="E217" s="150"/>
      <c r="F217" s="150"/>
      <c r="G217" s="151"/>
      <c r="H217" s="152"/>
      <c r="I217" s="151"/>
      <c r="J217" s="152"/>
      <c r="K217" s="151"/>
      <c r="L217" s="152"/>
      <c r="M217" s="153"/>
      <c r="N217" s="153"/>
      <c r="O217" s="154"/>
    </row>
    <row r="218" spans="2:15" s="194" customFormat="1" ht="20.100000000000001" customHeight="1">
      <c r="B218" s="131">
        <f>B211+1</f>
        <v>29</v>
      </c>
      <c r="C218" s="155" t="s">
        <v>739</v>
      </c>
      <c r="D218" s="163">
        <v>900</v>
      </c>
      <c r="E218" s="134">
        <v>1</v>
      </c>
      <c r="F218" s="135" t="s">
        <v>688</v>
      </c>
      <c r="G218" s="136"/>
      <c r="H218" s="136"/>
      <c r="I218" s="136"/>
      <c r="J218" s="136"/>
      <c r="K218" s="136"/>
      <c r="L218" s="136"/>
      <c r="M218" s="136"/>
      <c r="N218" s="136"/>
      <c r="O218" s="137" t="s">
        <v>0</v>
      </c>
    </row>
    <row r="219" spans="2:15" s="193" customFormat="1" ht="20.100000000000001" customHeight="1">
      <c r="B219" s="117"/>
      <c r="C219" s="156" t="s">
        <v>625</v>
      </c>
      <c r="D219" s="127" t="s">
        <v>720</v>
      </c>
      <c r="E219" s="120">
        <v>10.3</v>
      </c>
      <c r="F219" s="121" t="s">
        <v>713</v>
      </c>
      <c r="G219" s="122">
        <v>1596</v>
      </c>
      <c r="H219" s="123">
        <f>TRUNC(G219*$E219,0)</f>
        <v>16438</v>
      </c>
      <c r="I219" s="122"/>
      <c r="J219" s="123">
        <f>TRUNC(I219*$E219,0)</f>
        <v>0</v>
      </c>
      <c r="K219" s="122"/>
      <c r="L219" s="123">
        <f>TRUNC(K219*$E219,0)</f>
        <v>0</v>
      </c>
      <c r="M219" s="124">
        <f>G219+I219+K219</f>
        <v>1596</v>
      </c>
      <c r="N219" s="124">
        <f>H219+J219+L219</f>
        <v>16438</v>
      </c>
      <c r="O219" s="157"/>
    </row>
    <row r="220" spans="2:15" s="193" customFormat="1" ht="20.100000000000001" customHeight="1">
      <c r="B220" s="117"/>
      <c r="C220" s="156" t="s">
        <v>626</v>
      </c>
      <c r="D220" s="139" t="s">
        <v>721</v>
      </c>
      <c r="E220" s="158">
        <v>0.2</v>
      </c>
      <c r="F220" s="121"/>
      <c r="G220" s="122">
        <v>16438</v>
      </c>
      <c r="H220" s="123">
        <f>TRUNC(G220*$E220,0)</f>
        <v>3287</v>
      </c>
      <c r="I220" s="122"/>
      <c r="J220" s="123">
        <f>TRUNC(I220*$E220,0)</f>
        <v>0</v>
      </c>
      <c r="K220" s="122"/>
      <c r="L220" s="123">
        <f>TRUNC(K220*$E220,0)</f>
        <v>0</v>
      </c>
      <c r="M220" s="124">
        <f>G220+I220+K220</f>
        <v>16438</v>
      </c>
      <c r="N220" s="124">
        <f>H220+J220+L220</f>
        <v>3287</v>
      </c>
      <c r="O220" s="157"/>
    </row>
    <row r="221" spans="2:15" s="193" customFormat="1" ht="20.100000000000001" customHeight="1">
      <c r="B221" s="140"/>
      <c r="C221" s="141" t="s">
        <v>682</v>
      </c>
      <c r="D221" s="142"/>
      <c r="E221" s="143"/>
      <c r="F221" s="143"/>
      <c r="G221" s="144"/>
      <c r="H221" s="145">
        <f>SUM(H219:H220)</f>
        <v>19725</v>
      </c>
      <c r="I221" s="144"/>
      <c r="J221" s="145">
        <f>SUM(J219:J220)</f>
        <v>0</v>
      </c>
      <c r="K221" s="144"/>
      <c r="L221" s="145">
        <f>SUM(L219:L220)</f>
        <v>0</v>
      </c>
      <c r="M221" s="146"/>
      <c r="N221" s="146">
        <f>H221+J221+L221</f>
        <v>19725</v>
      </c>
      <c r="O221" s="147"/>
    </row>
    <row r="222" spans="2:15" s="193" customFormat="1" ht="20.100000000000001" customHeight="1">
      <c r="B222" s="148"/>
      <c r="C222" s="149"/>
      <c r="D222" s="149"/>
      <c r="E222" s="150"/>
      <c r="F222" s="150"/>
      <c r="G222" s="151"/>
      <c r="H222" s="152"/>
      <c r="I222" s="151"/>
      <c r="J222" s="152"/>
      <c r="K222" s="151"/>
      <c r="L222" s="152"/>
      <c r="M222" s="153"/>
      <c r="N222" s="153"/>
      <c r="O222" s="154"/>
    </row>
    <row r="223" spans="2:15" s="194" customFormat="1" ht="20.100000000000001" customHeight="1">
      <c r="B223" s="131">
        <f>B218+1</f>
        <v>30</v>
      </c>
      <c r="C223" s="155" t="s">
        <v>740</v>
      </c>
      <c r="D223" s="163">
        <v>900</v>
      </c>
      <c r="E223" s="134">
        <v>1</v>
      </c>
      <c r="F223" s="135" t="s">
        <v>600</v>
      </c>
      <c r="G223" s="136"/>
      <c r="H223" s="136"/>
      <c r="I223" s="136"/>
      <c r="J223" s="136"/>
      <c r="K223" s="136"/>
      <c r="L223" s="136"/>
      <c r="M223" s="136"/>
      <c r="N223" s="136"/>
      <c r="O223" s="137" t="s">
        <v>0</v>
      </c>
    </row>
    <row r="224" spans="2:15" s="193" customFormat="1" ht="20.100000000000001" customHeight="1">
      <c r="B224" s="117"/>
      <c r="C224" s="156" t="s">
        <v>47</v>
      </c>
      <c r="D224" s="139"/>
      <c r="E224" s="120">
        <v>0.08</v>
      </c>
      <c r="F224" s="121" t="s">
        <v>678</v>
      </c>
      <c r="G224" s="122"/>
      <c r="H224" s="123">
        <f>TRUNC(G224*$E224,0)</f>
        <v>0</v>
      </c>
      <c r="I224" s="122">
        <f>노임!$D$28</f>
        <v>326240</v>
      </c>
      <c r="J224" s="123">
        <f>TRUNC(I224*$E224,0)</f>
        <v>26099</v>
      </c>
      <c r="K224" s="122"/>
      <c r="L224" s="123">
        <f>TRUNC(K224*$E224,0)</f>
        <v>0</v>
      </c>
      <c r="M224" s="124">
        <f>G224+I224+K224</f>
        <v>326240</v>
      </c>
      <c r="N224" s="124">
        <f>H224+J224+L224</f>
        <v>26099</v>
      </c>
      <c r="O224" s="157"/>
    </row>
    <row r="225" spans="2:15" s="193" customFormat="1" ht="20.100000000000001" customHeight="1">
      <c r="B225" s="117"/>
      <c r="C225" s="156" t="s">
        <v>609</v>
      </c>
      <c r="D225" s="139"/>
      <c r="E225" s="120">
        <v>0.72</v>
      </c>
      <c r="F225" s="121" t="s">
        <v>678</v>
      </c>
      <c r="G225" s="122"/>
      <c r="H225" s="123">
        <f>TRUNC(G225*$E225,0)</f>
        <v>0</v>
      </c>
      <c r="I225" s="122">
        <f>노임!$D$24</f>
        <v>492337</v>
      </c>
      <c r="J225" s="123">
        <f>TRUNC(I225*$E225,0)</f>
        <v>354482</v>
      </c>
      <c r="K225" s="122"/>
      <c r="L225" s="123">
        <f>TRUNC(K225*$E225,0)</f>
        <v>0</v>
      </c>
      <c r="M225" s="124">
        <f>G225+I225+K225</f>
        <v>492337</v>
      </c>
      <c r="N225" s="124">
        <f>H225+J225+L225</f>
        <v>354482</v>
      </c>
      <c r="O225" s="157"/>
    </row>
    <row r="226" spans="2:15" s="193" customFormat="1" ht="20.100000000000001" customHeight="1">
      <c r="B226" s="117"/>
      <c r="C226" s="156" t="s">
        <v>58</v>
      </c>
      <c r="D226" s="139"/>
      <c r="E226" s="120">
        <v>0.57999999999999996</v>
      </c>
      <c r="F226" s="121" t="s">
        <v>678</v>
      </c>
      <c r="G226" s="122"/>
      <c r="H226" s="123">
        <f>TRUNC(G226*$E226,0)</f>
        <v>0</v>
      </c>
      <c r="I226" s="122">
        <f>노임!$D$17</f>
        <v>322627</v>
      </c>
      <c r="J226" s="123">
        <f>TRUNC(I226*$E226,0)</f>
        <v>187123</v>
      </c>
      <c r="K226" s="122"/>
      <c r="L226" s="123">
        <f>TRUNC(K226*$E226,0)</f>
        <v>0</v>
      </c>
      <c r="M226" s="124">
        <f>G226+I226+K226</f>
        <v>322627</v>
      </c>
      <c r="N226" s="124">
        <f>H226+J226+L226</f>
        <v>187123</v>
      </c>
      <c r="O226" s="157"/>
    </row>
    <row r="227" spans="2:15" s="193" customFormat="1" ht="20.100000000000001" customHeight="1">
      <c r="B227" s="117"/>
      <c r="C227" s="156" t="s">
        <v>627</v>
      </c>
      <c r="D227" s="161">
        <v>10</v>
      </c>
      <c r="E227" s="120">
        <v>1.4</v>
      </c>
      <c r="F227" s="121" t="s">
        <v>706</v>
      </c>
      <c r="G227" s="122"/>
      <c r="H227" s="123">
        <f>TRUNC(G227*$E227,0)</f>
        <v>0</v>
      </c>
      <c r="I227" s="122"/>
      <c r="J227" s="123">
        <f>TRUNC(I227*$E227,0)</f>
        <v>0</v>
      </c>
      <c r="K227" s="122">
        <v>90538</v>
      </c>
      <c r="L227" s="123">
        <f>TRUNC(K227*$E227,0)</f>
        <v>126753</v>
      </c>
      <c r="M227" s="124">
        <f>G227+I227+K227</f>
        <v>90538</v>
      </c>
      <c r="N227" s="124">
        <f>H227+J227+L227</f>
        <v>126753</v>
      </c>
      <c r="O227" s="157"/>
    </row>
    <row r="228" spans="2:15" s="193" customFormat="1" ht="20.100000000000001" customHeight="1">
      <c r="B228" s="140"/>
      <c r="C228" s="141" t="s">
        <v>682</v>
      </c>
      <c r="D228" s="142"/>
      <c r="E228" s="143"/>
      <c r="F228" s="143"/>
      <c r="G228" s="144"/>
      <c r="H228" s="145">
        <f>SUM(H224:H227)</f>
        <v>0</v>
      </c>
      <c r="I228" s="144"/>
      <c r="J228" s="145">
        <f>SUM(J224:J227)</f>
        <v>567704</v>
      </c>
      <c r="K228" s="144"/>
      <c r="L228" s="145">
        <f>SUM(L224:L227)</f>
        <v>126753</v>
      </c>
      <c r="M228" s="146"/>
      <c r="N228" s="146">
        <f>H228+J228+L228</f>
        <v>694457</v>
      </c>
      <c r="O228" s="147"/>
    </row>
    <row r="229" spans="2:15" ht="20.100000000000001" customHeight="1">
      <c r="B229" s="148"/>
      <c r="C229" s="149"/>
      <c r="D229" s="149"/>
      <c r="E229" s="150"/>
      <c r="F229" s="150"/>
      <c r="G229" s="151"/>
      <c r="H229" s="152"/>
      <c r="I229" s="151"/>
      <c r="J229" s="152"/>
      <c r="K229" s="151"/>
      <c r="L229" s="152"/>
      <c r="M229" s="153"/>
      <c r="N229" s="153"/>
      <c r="O229" s="154"/>
    </row>
    <row r="230" spans="2:15" s="194" customFormat="1" ht="20.100000000000001" customHeight="1">
      <c r="B230" s="131">
        <f>B223+1</f>
        <v>31</v>
      </c>
      <c r="C230" s="155" t="s">
        <v>741</v>
      </c>
      <c r="D230" s="163">
        <v>900</v>
      </c>
      <c r="E230" s="134">
        <v>1</v>
      </c>
      <c r="F230" s="135" t="s">
        <v>600</v>
      </c>
      <c r="G230" s="136"/>
      <c r="H230" s="136"/>
      <c r="I230" s="136"/>
      <c r="J230" s="136"/>
      <c r="K230" s="136"/>
      <c r="L230" s="136"/>
      <c r="M230" s="136"/>
      <c r="N230" s="136"/>
      <c r="O230" s="137" t="s">
        <v>0</v>
      </c>
    </row>
    <row r="231" spans="2:15" s="193" customFormat="1" ht="20.100000000000001" customHeight="1">
      <c r="B231" s="117"/>
      <c r="C231" s="156" t="s">
        <v>609</v>
      </c>
      <c r="D231" s="139"/>
      <c r="E231" s="120">
        <v>0.54</v>
      </c>
      <c r="F231" s="121" t="s">
        <v>678</v>
      </c>
      <c r="G231" s="122"/>
      <c r="H231" s="123">
        <f>TRUNC(G231*$E231,0)</f>
        <v>0</v>
      </c>
      <c r="I231" s="122">
        <f>노임!$D$24</f>
        <v>492337</v>
      </c>
      <c r="J231" s="123">
        <f>TRUNC(I231*$E231,0)</f>
        <v>265861</v>
      </c>
      <c r="K231" s="122"/>
      <c r="L231" s="123">
        <f>TRUNC(K231*$E231,0)</f>
        <v>0</v>
      </c>
      <c r="M231" s="124">
        <f>G231+I231+K231</f>
        <v>492337</v>
      </c>
      <c r="N231" s="124">
        <f>H231+J231+L231</f>
        <v>265861</v>
      </c>
      <c r="O231" s="157"/>
    </row>
    <row r="232" spans="2:15" s="193" customFormat="1" ht="20.100000000000001" customHeight="1">
      <c r="B232" s="117"/>
      <c r="C232" s="156" t="s">
        <v>58</v>
      </c>
      <c r="D232" s="139"/>
      <c r="E232" s="120">
        <v>0.34</v>
      </c>
      <c r="F232" s="121" t="s">
        <v>678</v>
      </c>
      <c r="G232" s="122"/>
      <c r="H232" s="123">
        <f>TRUNC(G232*$E232,0)</f>
        <v>0</v>
      </c>
      <c r="I232" s="122">
        <f>노임!$D$17</f>
        <v>322627</v>
      </c>
      <c r="J232" s="123">
        <f>TRUNC(I232*$E232,0)</f>
        <v>109693</v>
      </c>
      <c r="K232" s="122"/>
      <c r="L232" s="123">
        <f>TRUNC(K232*$E232,0)</f>
        <v>0</v>
      </c>
      <c r="M232" s="124">
        <f>G232+I232+K232</f>
        <v>322627</v>
      </c>
      <c r="N232" s="124">
        <f>H232+J232+L232</f>
        <v>109693</v>
      </c>
      <c r="O232" s="157"/>
    </row>
    <row r="233" spans="2:15" s="193" customFormat="1" ht="20.100000000000001" customHeight="1">
      <c r="B233" s="117"/>
      <c r="C233" s="156" t="s">
        <v>627</v>
      </c>
      <c r="D233" s="161">
        <v>15</v>
      </c>
      <c r="E233" s="120">
        <v>0.7</v>
      </c>
      <c r="F233" s="121" t="s">
        <v>688</v>
      </c>
      <c r="G233" s="122"/>
      <c r="H233" s="123">
        <f>TRUNC(G233*$E233,0)</f>
        <v>0</v>
      </c>
      <c r="I233" s="122"/>
      <c r="J233" s="123">
        <f>TRUNC(I233*$E233,0)</f>
        <v>0</v>
      </c>
      <c r="K233" s="122">
        <v>99229</v>
      </c>
      <c r="L233" s="123">
        <f>TRUNC(K233*$E233,0)</f>
        <v>69460</v>
      </c>
      <c r="M233" s="124">
        <f>G233+I233+K233</f>
        <v>99229</v>
      </c>
      <c r="N233" s="124">
        <f>H233+J233+L233</f>
        <v>69460</v>
      </c>
      <c r="O233" s="157"/>
    </row>
    <row r="234" spans="2:15" s="193" customFormat="1" ht="20.100000000000001" customHeight="1">
      <c r="B234" s="140"/>
      <c r="C234" s="141" t="s">
        <v>682</v>
      </c>
      <c r="D234" s="142"/>
      <c r="E234" s="143"/>
      <c r="F234" s="143"/>
      <c r="G234" s="144"/>
      <c r="H234" s="145">
        <f>SUM(H231:H233)</f>
        <v>0</v>
      </c>
      <c r="I234" s="144"/>
      <c r="J234" s="145">
        <f>SUM(J231:J233)</f>
        <v>375554</v>
      </c>
      <c r="K234" s="144"/>
      <c r="L234" s="145">
        <f>SUM(L231:L233)</f>
        <v>69460</v>
      </c>
      <c r="M234" s="146"/>
      <c r="N234" s="146">
        <f>H234+J234+L234</f>
        <v>445014</v>
      </c>
      <c r="O234" s="147"/>
    </row>
    <row r="235" spans="2:15" ht="20.100000000000001" customHeight="1">
      <c r="B235" s="148"/>
      <c r="C235" s="149"/>
      <c r="D235" s="149"/>
      <c r="E235" s="150"/>
      <c r="F235" s="150"/>
      <c r="G235" s="151"/>
      <c r="H235" s="152"/>
      <c r="I235" s="151"/>
      <c r="J235" s="152"/>
      <c r="K235" s="151"/>
      <c r="L235" s="152"/>
      <c r="M235" s="153"/>
      <c r="N235" s="153"/>
      <c r="O235" s="154"/>
    </row>
    <row r="236" spans="2:15" s="194" customFormat="1" ht="20.100000000000001" customHeight="1">
      <c r="B236" s="131">
        <f>B230+1</f>
        <v>32</v>
      </c>
      <c r="C236" s="155" t="s">
        <v>742</v>
      </c>
      <c r="D236" s="163">
        <v>900</v>
      </c>
      <c r="E236" s="134">
        <v>1</v>
      </c>
      <c r="F236" s="135" t="s">
        <v>600</v>
      </c>
      <c r="G236" s="136"/>
      <c r="H236" s="136"/>
      <c r="I236" s="136"/>
      <c r="J236" s="136"/>
      <c r="K236" s="136"/>
      <c r="L236" s="136"/>
      <c r="M236" s="136"/>
      <c r="N236" s="136"/>
      <c r="O236" s="137" t="s">
        <v>0</v>
      </c>
    </row>
    <row r="237" spans="2:15" s="193" customFormat="1" ht="19.5" customHeight="1">
      <c r="B237" s="117"/>
      <c r="C237" s="118" t="s">
        <v>646</v>
      </c>
      <c r="D237" s="127">
        <v>900</v>
      </c>
      <c r="E237" s="120">
        <v>1</v>
      </c>
      <c r="F237" s="121" t="s">
        <v>684</v>
      </c>
      <c r="G237" s="122">
        <v>0</v>
      </c>
      <c r="H237" s="123">
        <f>TRUNC(G237*$E237,0)</f>
        <v>0</v>
      </c>
      <c r="I237" s="122">
        <f>J247</f>
        <v>272499</v>
      </c>
      <c r="J237" s="123">
        <f>TRUNC(I237*$E237,0)</f>
        <v>272499</v>
      </c>
      <c r="K237" s="122">
        <v>22854</v>
      </c>
      <c r="L237" s="123">
        <f>TRUNC(K237*$E237,0)</f>
        <v>22854</v>
      </c>
      <c r="M237" s="124">
        <f>G237+I237+K237</f>
        <v>295353</v>
      </c>
      <c r="N237" s="124">
        <f>H237+J237+L237</f>
        <v>295353</v>
      </c>
      <c r="O237" s="125">
        <f>B243</f>
        <v>33</v>
      </c>
    </row>
    <row r="238" spans="2:15" s="193" customFormat="1" ht="20.100000000000001" customHeight="1">
      <c r="B238" s="117"/>
      <c r="C238" s="118" t="s">
        <v>647</v>
      </c>
      <c r="D238" s="127">
        <v>900</v>
      </c>
      <c r="E238" s="120">
        <v>1</v>
      </c>
      <c r="F238" s="121" t="s">
        <v>684</v>
      </c>
      <c r="G238" s="122">
        <v>0</v>
      </c>
      <c r="H238" s="123">
        <f>TRUNC(G238*$E238,0)</f>
        <v>0</v>
      </c>
      <c r="I238" s="122">
        <f>J252</f>
        <v>202547</v>
      </c>
      <c r="J238" s="123">
        <f>TRUNC(I238*$E238,0)</f>
        <v>202547</v>
      </c>
      <c r="K238" s="122">
        <v>0</v>
      </c>
      <c r="L238" s="123">
        <f>TRUNC(K238*$E238,0)</f>
        <v>0</v>
      </c>
      <c r="M238" s="124">
        <f>G238+I238+K238</f>
        <v>202547</v>
      </c>
      <c r="N238" s="124">
        <f>H238+J238+L238</f>
        <v>202547</v>
      </c>
      <c r="O238" s="125">
        <f>B249</f>
        <v>34</v>
      </c>
    </row>
    <row r="239" spans="2:15" s="193" customFormat="1" ht="20.100000000000001" customHeight="1">
      <c r="B239" s="117"/>
      <c r="C239" s="156" t="s">
        <v>530</v>
      </c>
      <c r="D239" s="127">
        <v>900</v>
      </c>
      <c r="E239" s="120">
        <v>1</v>
      </c>
      <c r="F239" s="121" t="s">
        <v>684</v>
      </c>
      <c r="G239" s="122">
        <v>303010</v>
      </c>
      <c r="H239" s="123">
        <f>TRUNC(G239*$E239,0)</f>
        <v>303010</v>
      </c>
      <c r="I239" s="122"/>
      <c r="J239" s="123">
        <f>TRUNC(I239*$E239,0)</f>
        <v>0</v>
      </c>
      <c r="K239" s="122"/>
      <c r="L239" s="123">
        <f>TRUNC(K239*$E239,0)</f>
        <v>0</v>
      </c>
      <c r="M239" s="124">
        <f>G239+I239+K239</f>
        <v>303010</v>
      </c>
      <c r="N239" s="124">
        <f>H239+J239+L239</f>
        <v>303010</v>
      </c>
      <c r="O239" s="125"/>
    </row>
    <row r="240" spans="2:15" s="193" customFormat="1" ht="20.100000000000001" customHeight="1">
      <c r="B240" s="117"/>
      <c r="C240" s="156" t="s">
        <v>648</v>
      </c>
      <c r="D240" s="127">
        <v>900</v>
      </c>
      <c r="E240" s="120">
        <v>1</v>
      </c>
      <c r="F240" s="121" t="s">
        <v>684</v>
      </c>
      <c r="G240" s="122">
        <v>992660</v>
      </c>
      <c r="H240" s="123">
        <f>TRUNC(G240*$E240,0)</f>
        <v>992660</v>
      </c>
      <c r="I240" s="122"/>
      <c r="J240" s="123">
        <f>TRUNC(I240*$E240,0)</f>
        <v>0</v>
      </c>
      <c r="K240" s="122"/>
      <c r="L240" s="123">
        <f>TRUNC(K240*$E240,0)</f>
        <v>0</v>
      </c>
      <c r="M240" s="124">
        <f>G240+I240+K240</f>
        <v>992660</v>
      </c>
      <c r="N240" s="124">
        <f>H240+J240+L240</f>
        <v>992660</v>
      </c>
      <c r="O240" s="125"/>
    </row>
    <row r="241" spans="2:15" s="193" customFormat="1" ht="20.100000000000001" customHeight="1">
      <c r="B241" s="140"/>
      <c r="C241" s="141" t="s">
        <v>698</v>
      </c>
      <c r="D241" s="142"/>
      <c r="E241" s="143"/>
      <c r="F241" s="143"/>
      <c r="G241" s="144"/>
      <c r="H241" s="145">
        <f>SUM(H237:H240)</f>
        <v>1295670</v>
      </c>
      <c r="I241" s="144"/>
      <c r="J241" s="145">
        <f>SUM(J237:J240)</f>
        <v>475046</v>
      </c>
      <c r="K241" s="144"/>
      <c r="L241" s="145">
        <f>SUM(L237:L240)</f>
        <v>22854</v>
      </c>
      <c r="M241" s="146"/>
      <c r="N241" s="146">
        <f>H241+J241+L241</f>
        <v>1793570</v>
      </c>
      <c r="O241" s="147"/>
    </row>
    <row r="242" spans="2:15" ht="20.100000000000001" customHeight="1">
      <c r="B242" s="148"/>
      <c r="C242" s="149"/>
      <c r="D242" s="149"/>
      <c r="E242" s="150"/>
      <c r="F242" s="150"/>
      <c r="G242" s="151"/>
      <c r="H242" s="152"/>
      <c r="I242" s="151"/>
      <c r="J242" s="152"/>
      <c r="K242" s="151"/>
      <c r="L242" s="152"/>
      <c r="M242" s="153"/>
      <c r="N242" s="153"/>
      <c r="O242" s="154"/>
    </row>
    <row r="243" spans="2:15" s="194" customFormat="1" ht="20.100000000000001" customHeight="1">
      <c r="B243" s="131">
        <f>B236+1</f>
        <v>33</v>
      </c>
      <c r="C243" s="155" t="s">
        <v>743</v>
      </c>
      <c r="D243" s="163">
        <v>900</v>
      </c>
      <c r="E243" s="134">
        <v>1</v>
      </c>
      <c r="F243" s="135" t="s">
        <v>600</v>
      </c>
      <c r="G243" s="136"/>
      <c r="H243" s="136"/>
      <c r="I243" s="136"/>
      <c r="J243" s="136"/>
      <c r="K243" s="136"/>
      <c r="L243" s="136"/>
      <c r="M243" s="136"/>
      <c r="N243" s="136"/>
      <c r="O243" s="137" t="s">
        <v>0</v>
      </c>
    </row>
    <row r="244" spans="2:15" s="193" customFormat="1" ht="20.100000000000001" customHeight="1">
      <c r="B244" s="117"/>
      <c r="C244" s="156" t="s">
        <v>609</v>
      </c>
      <c r="D244" s="139"/>
      <c r="E244" s="120">
        <v>0.37</v>
      </c>
      <c r="F244" s="121" t="s">
        <v>678</v>
      </c>
      <c r="G244" s="122"/>
      <c r="H244" s="123">
        <f>TRUNC(G244*$E244,0)</f>
        <v>0</v>
      </c>
      <c r="I244" s="122">
        <f>노임!$D$24</f>
        <v>492337</v>
      </c>
      <c r="J244" s="123">
        <f>TRUNC(I244*$E244,0)</f>
        <v>182164</v>
      </c>
      <c r="K244" s="122"/>
      <c r="L244" s="123">
        <f>TRUNC(K244*$E244,0)</f>
        <v>0</v>
      </c>
      <c r="M244" s="124">
        <f>G244+I244+K244</f>
        <v>492337</v>
      </c>
      <c r="N244" s="124">
        <f>H244+J244+L244</f>
        <v>182164</v>
      </c>
      <c r="O244" s="157"/>
    </row>
    <row r="245" spans="2:15" s="193" customFormat="1" ht="20.100000000000001" customHeight="1">
      <c r="B245" s="117"/>
      <c r="C245" s="156" t="s">
        <v>58</v>
      </c>
      <c r="D245" s="139"/>
      <c r="E245" s="120">
        <v>0.28000000000000003</v>
      </c>
      <c r="F245" s="121" t="s">
        <v>678</v>
      </c>
      <c r="G245" s="122"/>
      <c r="H245" s="123">
        <f>TRUNC(G245*$E245,0)</f>
        <v>0</v>
      </c>
      <c r="I245" s="122">
        <f>노임!$D$17</f>
        <v>322627</v>
      </c>
      <c r="J245" s="123">
        <f>TRUNC(I245*$E245,0)</f>
        <v>90335</v>
      </c>
      <c r="K245" s="122"/>
      <c r="L245" s="123">
        <f>TRUNC(K245*$E245,0)</f>
        <v>0</v>
      </c>
      <c r="M245" s="124">
        <f>G245+I245+K245</f>
        <v>322627</v>
      </c>
      <c r="N245" s="124">
        <f>H245+J245+L245</f>
        <v>90335</v>
      </c>
      <c r="O245" s="157"/>
    </row>
    <row r="246" spans="2:15" s="193" customFormat="1" ht="20.100000000000001" customHeight="1">
      <c r="B246" s="117"/>
      <c r="C246" s="156" t="s">
        <v>627</v>
      </c>
      <c r="D246" s="161">
        <v>5</v>
      </c>
      <c r="E246" s="120">
        <v>0.33</v>
      </c>
      <c r="F246" s="121" t="s">
        <v>688</v>
      </c>
      <c r="G246" s="122"/>
      <c r="H246" s="123">
        <f>TRUNC(G246*$E246,0)</f>
        <v>0</v>
      </c>
      <c r="I246" s="122"/>
      <c r="J246" s="123">
        <f>TRUNC(I246*$E246,0)</f>
        <v>0</v>
      </c>
      <c r="K246" s="122">
        <v>69255</v>
      </c>
      <c r="L246" s="123">
        <f>TRUNC(K246*$E246,0)</f>
        <v>22854</v>
      </c>
      <c r="M246" s="124">
        <f>G246+I246+K246</f>
        <v>69255</v>
      </c>
      <c r="N246" s="124">
        <f>H246+J246+L246</f>
        <v>22854</v>
      </c>
      <c r="O246" s="157"/>
    </row>
    <row r="247" spans="2:15" s="193" customFormat="1" ht="20.100000000000001" customHeight="1">
      <c r="B247" s="140"/>
      <c r="C247" s="141" t="s">
        <v>682</v>
      </c>
      <c r="D247" s="142"/>
      <c r="E247" s="143"/>
      <c r="F247" s="143"/>
      <c r="G247" s="144"/>
      <c r="H247" s="145">
        <f>SUM(H244:H246)</f>
        <v>0</v>
      </c>
      <c r="I247" s="144"/>
      <c r="J247" s="145">
        <f>SUM(J244:J246)</f>
        <v>272499</v>
      </c>
      <c r="K247" s="144"/>
      <c r="L247" s="145">
        <f>SUM(L244:L246)</f>
        <v>22854</v>
      </c>
      <c r="M247" s="146"/>
      <c r="N247" s="146">
        <f>H247+J247+L247</f>
        <v>295353</v>
      </c>
      <c r="O247" s="147"/>
    </row>
    <row r="248" spans="2:15" s="193" customFormat="1" ht="20.100000000000001" customHeight="1">
      <c r="B248" s="148"/>
      <c r="C248" s="149"/>
      <c r="D248" s="149"/>
      <c r="E248" s="150"/>
      <c r="F248" s="150"/>
      <c r="G248" s="151"/>
      <c r="H248" s="152"/>
      <c r="I248" s="151"/>
      <c r="J248" s="152"/>
      <c r="K248" s="151"/>
      <c r="L248" s="152"/>
      <c r="M248" s="153"/>
      <c r="N248" s="153"/>
      <c r="O248" s="154"/>
    </row>
    <row r="249" spans="2:15" s="194" customFormat="1" ht="20.100000000000001" customHeight="1">
      <c r="B249" s="131">
        <f>B243+1</f>
        <v>34</v>
      </c>
      <c r="C249" s="155" t="s">
        <v>744</v>
      </c>
      <c r="D249" s="163">
        <v>900</v>
      </c>
      <c r="E249" s="134">
        <v>1</v>
      </c>
      <c r="F249" s="135" t="s">
        <v>600</v>
      </c>
      <c r="G249" s="136"/>
      <c r="H249" s="136"/>
      <c r="I249" s="136"/>
      <c r="J249" s="136"/>
      <c r="K249" s="136"/>
      <c r="L249" s="136"/>
      <c r="M249" s="136"/>
      <c r="N249" s="136"/>
      <c r="O249" s="137" t="s">
        <v>0</v>
      </c>
    </row>
    <row r="250" spans="2:15" s="193" customFormat="1" ht="20.100000000000001" customHeight="1">
      <c r="B250" s="117"/>
      <c r="C250" s="156" t="s">
        <v>609</v>
      </c>
      <c r="D250" s="139"/>
      <c r="E250" s="120">
        <v>0.3</v>
      </c>
      <c r="F250" s="121" t="s">
        <v>678</v>
      </c>
      <c r="G250" s="122"/>
      <c r="H250" s="123">
        <f>TRUNC(G250*$E250,0)</f>
        <v>0</v>
      </c>
      <c r="I250" s="122">
        <f>노임!$D$24</f>
        <v>492337</v>
      </c>
      <c r="J250" s="123">
        <f>TRUNC(I250*$E250,0)</f>
        <v>147701</v>
      </c>
      <c r="K250" s="122"/>
      <c r="L250" s="123">
        <f>TRUNC(K250*$E250,0)</f>
        <v>0</v>
      </c>
      <c r="M250" s="124">
        <f>G250+I250+K250</f>
        <v>492337</v>
      </c>
      <c r="N250" s="124">
        <f>H250+J250+L250</f>
        <v>147701</v>
      </c>
      <c r="O250" s="157"/>
    </row>
    <row r="251" spans="2:15" s="193" customFormat="1" ht="20.100000000000001" customHeight="1">
      <c r="B251" s="117"/>
      <c r="C251" s="156" t="s">
        <v>58</v>
      </c>
      <c r="D251" s="139"/>
      <c r="E251" s="120">
        <v>0.17</v>
      </c>
      <c r="F251" s="121" t="s">
        <v>678</v>
      </c>
      <c r="G251" s="122"/>
      <c r="H251" s="123">
        <f>TRUNC(G251*$E251,0)</f>
        <v>0</v>
      </c>
      <c r="I251" s="122">
        <f>노임!$D$17</f>
        <v>322627</v>
      </c>
      <c r="J251" s="123">
        <f>TRUNC(I251*$E251,0)</f>
        <v>54846</v>
      </c>
      <c r="K251" s="122"/>
      <c r="L251" s="123">
        <f>TRUNC(K251*$E251,0)</f>
        <v>0</v>
      </c>
      <c r="M251" s="124">
        <f>G251+I251+K251</f>
        <v>322627</v>
      </c>
      <c r="N251" s="124">
        <f>H251+J251+L251</f>
        <v>54846</v>
      </c>
      <c r="O251" s="157"/>
    </row>
    <row r="252" spans="2:15" s="193" customFormat="1" ht="20.100000000000001" customHeight="1">
      <c r="B252" s="140"/>
      <c r="C252" s="141" t="s">
        <v>682</v>
      </c>
      <c r="D252" s="142"/>
      <c r="E252" s="143"/>
      <c r="F252" s="143"/>
      <c r="G252" s="144"/>
      <c r="H252" s="145">
        <f>SUM(H250:H251)</f>
        <v>0</v>
      </c>
      <c r="I252" s="144"/>
      <c r="J252" s="145">
        <f>SUM(J250:J251)</f>
        <v>202547</v>
      </c>
      <c r="K252" s="144"/>
      <c r="L252" s="145">
        <f>SUM(L250:L251)</f>
        <v>0</v>
      </c>
      <c r="M252" s="146"/>
      <c r="N252" s="146">
        <f>H252+J252+L252</f>
        <v>202547</v>
      </c>
      <c r="O252" s="147"/>
    </row>
    <row r="253" spans="2:15" ht="20.100000000000001" customHeight="1">
      <c r="B253" s="148"/>
      <c r="C253" s="149"/>
      <c r="D253" s="149"/>
      <c r="E253" s="150"/>
      <c r="F253" s="150"/>
      <c r="G253" s="151"/>
      <c r="H253" s="152"/>
      <c r="I253" s="151"/>
      <c r="J253" s="152"/>
      <c r="K253" s="151"/>
      <c r="L253" s="152"/>
      <c r="M253" s="153"/>
      <c r="N253" s="153"/>
      <c r="O253" s="154"/>
    </row>
    <row r="254" spans="2:15" s="194" customFormat="1" ht="20.100000000000001" customHeight="1">
      <c r="B254" s="131">
        <f>B249+1</f>
        <v>35</v>
      </c>
      <c r="C254" s="155" t="s">
        <v>745</v>
      </c>
      <c r="D254" s="133">
        <v>1350</v>
      </c>
      <c r="E254" s="134">
        <v>1</v>
      </c>
      <c r="F254" s="135" t="s">
        <v>600</v>
      </c>
      <c r="G254" s="136"/>
      <c r="H254" s="136"/>
      <c r="I254" s="136"/>
      <c r="J254" s="136"/>
      <c r="K254" s="136"/>
      <c r="L254" s="136"/>
      <c r="M254" s="136"/>
      <c r="N254" s="136"/>
      <c r="O254" s="137" t="s">
        <v>0</v>
      </c>
    </row>
    <row r="255" spans="2:15" s="193" customFormat="1" ht="20.100000000000001" customHeight="1">
      <c r="B255" s="117"/>
      <c r="C255" s="156" t="s">
        <v>54</v>
      </c>
      <c r="D255" s="139"/>
      <c r="E255" s="120">
        <v>1</v>
      </c>
      <c r="F255" s="121" t="s">
        <v>678</v>
      </c>
      <c r="G255" s="122"/>
      <c r="H255" s="123">
        <f>TRUNC(G255*$E255,0)</f>
        <v>0</v>
      </c>
      <c r="I255" s="122">
        <v>335379</v>
      </c>
      <c r="J255" s="123">
        <f>TRUNC(I255*$E255,0)</f>
        <v>335379</v>
      </c>
      <c r="K255" s="122"/>
      <c r="L255" s="123">
        <f>TRUNC(K255*$E255,0)</f>
        <v>0</v>
      </c>
      <c r="M255" s="124">
        <f>G255+I255+K255</f>
        <v>335379</v>
      </c>
      <c r="N255" s="124">
        <f>H255+J255+L255</f>
        <v>335379</v>
      </c>
      <c r="O255" s="157"/>
    </row>
    <row r="256" spans="2:15" s="193" customFormat="1" ht="20.100000000000001" customHeight="1">
      <c r="B256" s="140"/>
      <c r="C256" s="141" t="s">
        <v>682</v>
      </c>
      <c r="D256" s="142"/>
      <c r="E256" s="143"/>
      <c r="F256" s="143"/>
      <c r="G256" s="144"/>
      <c r="H256" s="145">
        <f>SUM(H255:H255)</f>
        <v>0</v>
      </c>
      <c r="I256" s="144"/>
      <c r="J256" s="145">
        <f>SUM(J255:J255)</f>
        <v>335379</v>
      </c>
      <c r="K256" s="144"/>
      <c r="L256" s="145">
        <f>SUM(L255:L255)</f>
        <v>0</v>
      </c>
      <c r="M256" s="146"/>
      <c r="N256" s="146">
        <f>H256+J256+L256</f>
        <v>335379</v>
      </c>
      <c r="O256" s="147"/>
    </row>
    <row r="257" spans="2:15" ht="20.100000000000001" customHeight="1">
      <c r="B257" s="148"/>
      <c r="C257" s="149"/>
      <c r="D257" s="149"/>
      <c r="E257" s="150"/>
      <c r="F257" s="150"/>
      <c r="G257" s="151"/>
      <c r="H257" s="152"/>
      <c r="I257" s="151"/>
      <c r="J257" s="152"/>
      <c r="K257" s="151"/>
      <c r="L257" s="152"/>
      <c r="M257" s="153"/>
      <c r="N257" s="153"/>
      <c r="O257" s="154"/>
    </row>
    <row r="258" spans="2:15" s="194" customFormat="1" ht="20.100000000000001" customHeight="1">
      <c r="B258" s="131">
        <f>B254+1</f>
        <v>36</v>
      </c>
      <c r="C258" s="155" t="s">
        <v>746</v>
      </c>
      <c r="D258" s="133">
        <v>1350</v>
      </c>
      <c r="E258" s="134">
        <v>1</v>
      </c>
      <c r="F258" s="135" t="s">
        <v>600</v>
      </c>
      <c r="G258" s="136"/>
      <c r="H258" s="136"/>
      <c r="I258" s="136"/>
      <c r="J258" s="136"/>
      <c r="K258" s="136"/>
      <c r="L258" s="136"/>
      <c r="M258" s="136"/>
      <c r="N258" s="136"/>
      <c r="O258" s="137" t="s">
        <v>0</v>
      </c>
    </row>
    <row r="259" spans="2:15" s="193" customFormat="1" ht="20.100000000000001" customHeight="1">
      <c r="B259" s="117"/>
      <c r="C259" s="156" t="s">
        <v>747</v>
      </c>
      <c r="D259" s="139"/>
      <c r="E259" s="120">
        <v>1</v>
      </c>
      <c r="F259" s="121" t="s">
        <v>748</v>
      </c>
      <c r="G259" s="122"/>
      <c r="H259" s="123">
        <f>TRUNC(G259*$E259,0)</f>
        <v>0</v>
      </c>
      <c r="I259" s="122"/>
      <c r="J259" s="123">
        <f>TRUNC(I259*$E259,0)</f>
        <v>0</v>
      </c>
      <c r="K259" s="122">
        <v>751075</v>
      </c>
      <c r="L259" s="123">
        <f>TRUNC(K259*$E259,0)</f>
        <v>751075</v>
      </c>
      <c r="M259" s="124">
        <f>G259+I259+K259</f>
        <v>751075</v>
      </c>
      <c r="N259" s="124">
        <f>H259+J259+L259</f>
        <v>751075</v>
      </c>
      <c r="O259" s="157"/>
    </row>
    <row r="260" spans="2:15" s="193" customFormat="1" ht="20.100000000000001" customHeight="1">
      <c r="B260" s="140"/>
      <c r="C260" s="141" t="s">
        <v>682</v>
      </c>
      <c r="D260" s="142"/>
      <c r="E260" s="143"/>
      <c r="F260" s="143"/>
      <c r="G260" s="144"/>
      <c r="H260" s="145">
        <f>SUM(H259:H259)</f>
        <v>0</v>
      </c>
      <c r="I260" s="144"/>
      <c r="J260" s="145">
        <f>SUM(J259:J259)</f>
        <v>0</v>
      </c>
      <c r="K260" s="144"/>
      <c r="L260" s="145">
        <f>SUM(L259:L259)</f>
        <v>751075</v>
      </c>
      <c r="M260" s="146"/>
      <c r="N260" s="146">
        <f>H260+J260+L260</f>
        <v>751075</v>
      </c>
      <c r="O260" s="147"/>
    </row>
    <row r="261" spans="2:15" ht="20.100000000000001" customHeight="1">
      <c r="B261" s="148"/>
      <c r="C261" s="149"/>
      <c r="D261" s="149"/>
      <c r="E261" s="150"/>
      <c r="F261" s="150"/>
      <c r="G261" s="151"/>
      <c r="H261" s="152"/>
      <c r="I261" s="151"/>
      <c r="J261" s="152"/>
      <c r="K261" s="151"/>
      <c r="L261" s="152"/>
      <c r="M261" s="153"/>
      <c r="N261" s="153"/>
      <c r="O261" s="154"/>
    </row>
    <row r="262" spans="2:15" s="194" customFormat="1" ht="20.100000000000001" customHeight="1">
      <c r="B262" s="131">
        <f>B258+1</f>
        <v>37</v>
      </c>
      <c r="C262" s="155" t="s">
        <v>749</v>
      </c>
      <c r="D262" s="163">
        <v>900</v>
      </c>
      <c r="E262" s="134">
        <v>1</v>
      </c>
      <c r="F262" s="135" t="s">
        <v>600</v>
      </c>
      <c r="G262" s="136"/>
      <c r="H262" s="136"/>
      <c r="I262" s="136"/>
      <c r="J262" s="136"/>
      <c r="K262" s="136"/>
      <c r="L262" s="136"/>
      <c r="M262" s="136"/>
      <c r="N262" s="136"/>
      <c r="O262" s="137" t="s">
        <v>0</v>
      </c>
    </row>
    <row r="263" spans="2:15" s="193" customFormat="1" ht="20.100000000000001" customHeight="1">
      <c r="B263" s="117"/>
      <c r="C263" s="156" t="s">
        <v>750</v>
      </c>
      <c r="D263" s="139" t="s">
        <v>58</v>
      </c>
      <c r="E263" s="120">
        <v>8</v>
      </c>
      <c r="F263" s="121" t="s">
        <v>751</v>
      </c>
      <c r="G263" s="122">
        <v>0</v>
      </c>
      <c r="H263" s="123">
        <f>TRUNC(G263*$E263,0)</f>
        <v>0</v>
      </c>
      <c r="I263" s="122">
        <f>J268</f>
        <v>142278</v>
      </c>
      <c r="J263" s="123">
        <f>TRUNC(I263*$E263,0)</f>
        <v>1138224</v>
      </c>
      <c r="K263" s="122">
        <v>0</v>
      </c>
      <c r="L263" s="123">
        <f>TRUNC(K263*$E263,0)</f>
        <v>0</v>
      </c>
      <c r="M263" s="124">
        <f>G263+I263+K263</f>
        <v>142278</v>
      </c>
      <c r="N263" s="124">
        <f>H263+J263+L263</f>
        <v>1138224</v>
      </c>
      <c r="O263" s="125">
        <f>B266</f>
        <v>38</v>
      </c>
    </row>
    <row r="264" spans="2:15" s="193" customFormat="1" ht="20.100000000000001" customHeight="1">
      <c r="B264" s="140"/>
      <c r="C264" s="141" t="s">
        <v>682</v>
      </c>
      <c r="D264" s="142"/>
      <c r="E264" s="143"/>
      <c r="F264" s="143"/>
      <c r="G264" s="144"/>
      <c r="H264" s="145">
        <f>SUM(H263:H263)</f>
        <v>0</v>
      </c>
      <c r="I264" s="144"/>
      <c r="J264" s="145">
        <f>SUM(J263:J263)</f>
        <v>1138224</v>
      </c>
      <c r="K264" s="144"/>
      <c r="L264" s="145">
        <f>SUM(L263:L263)</f>
        <v>0</v>
      </c>
      <c r="M264" s="146"/>
      <c r="N264" s="146">
        <f>H264+J264+L264</f>
        <v>1138224</v>
      </c>
      <c r="O264" s="147"/>
    </row>
    <row r="265" spans="2:15" ht="20.100000000000001" customHeight="1">
      <c r="B265" s="148"/>
      <c r="C265" s="149"/>
      <c r="D265" s="149"/>
      <c r="E265" s="150"/>
      <c r="F265" s="150"/>
      <c r="G265" s="151"/>
      <c r="H265" s="152"/>
      <c r="I265" s="151"/>
      <c r="J265" s="152"/>
      <c r="K265" s="151"/>
      <c r="L265" s="152"/>
      <c r="M265" s="153"/>
      <c r="N265" s="153"/>
      <c r="O265" s="154"/>
    </row>
    <row r="266" spans="2:15" s="194" customFormat="1" ht="20.100000000000001" customHeight="1">
      <c r="B266" s="131">
        <f>B262+1</f>
        <v>38</v>
      </c>
      <c r="C266" s="155" t="s">
        <v>752</v>
      </c>
      <c r="D266" s="163">
        <v>900</v>
      </c>
      <c r="E266" s="134">
        <v>1</v>
      </c>
      <c r="F266" s="135" t="s">
        <v>751</v>
      </c>
      <c r="G266" s="136"/>
      <c r="H266" s="136"/>
      <c r="I266" s="136"/>
      <c r="J266" s="136"/>
      <c r="K266" s="136"/>
      <c r="L266" s="136"/>
      <c r="M266" s="136"/>
      <c r="N266" s="136"/>
      <c r="O266" s="137" t="s">
        <v>0</v>
      </c>
    </row>
    <row r="267" spans="2:15" s="193" customFormat="1" ht="20.100000000000001" customHeight="1">
      <c r="B267" s="117"/>
      <c r="C267" s="156" t="s">
        <v>58</v>
      </c>
      <c r="D267" s="139"/>
      <c r="E267" s="120">
        <v>0.441</v>
      </c>
      <c r="F267" s="121" t="s">
        <v>678</v>
      </c>
      <c r="G267" s="122"/>
      <c r="H267" s="123">
        <f>TRUNC(G267*$E267,0)</f>
        <v>0</v>
      </c>
      <c r="I267" s="122">
        <f>노임!$D$17</f>
        <v>322627</v>
      </c>
      <c r="J267" s="123">
        <f>TRUNC(I267*$E267,0)</f>
        <v>142278</v>
      </c>
      <c r="K267" s="122"/>
      <c r="L267" s="123">
        <f>TRUNC(K267*$E267,0)</f>
        <v>0</v>
      </c>
      <c r="M267" s="124">
        <f>G267+I267+K267</f>
        <v>322627</v>
      </c>
      <c r="N267" s="124">
        <f>H267+J267+L267</f>
        <v>142278</v>
      </c>
      <c r="O267" s="157"/>
    </row>
    <row r="268" spans="2:15" s="193" customFormat="1" ht="20.100000000000001" customHeight="1">
      <c r="B268" s="140"/>
      <c r="C268" s="141" t="s">
        <v>698</v>
      </c>
      <c r="D268" s="142"/>
      <c r="E268" s="143"/>
      <c r="F268" s="143"/>
      <c r="G268" s="144"/>
      <c r="H268" s="145">
        <f>SUM(H267:H267)</f>
        <v>0</v>
      </c>
      <c r="I268" s="144"/>
      <c r="J268" s="145">
        <f>SUM(J267:J267)</f>
        <v>142278</v>
      </c>
      <c r="K268" s="144"/>
      <c r="L268" s="145">
        <f>SUM(L267:L267)</f>
        <v>0</v>
      </c>
      <c r="M268" s="146"/>
      <c r="N268" s="146">
        <f>H268+J268+L268</f>
        <v>142278</v>
      </c>
      <c r="O268" s="147"/>
    </row>
    <row r="269" spans="2:15" ht="20.100000000000001" customHeight="1">
      <c r="B269" s="165"/>
      <c r="C269" s="166"/>
      <c r="D269" s="166"/>
      <c r="E269" s="167"/>
      <c r="F269" s="167"/>
      <c r="G269" s="168"/>
      <c r="H269" s="169"/>
      <c r="I269" s="168"/>
      <c r="J269" s="169"/>
      <c r="K269" s="168"/>
      <c r="L269" s="169"/>
      <c r="M269" s="170"/>
      <c r="N269" s="170"/>
      <c r="O269" s="171"/>
    </row>
  </sheetData>
  <sheetProtection selectLockedCells="1" selectUnlockedCells="1"/>
  <mergeCells count="18">
    <mergeCell ref="M20:N20"/>
    <mergeCell ref="O20:O21"/>
    <mergeCell ref="K3:L3"/>
    <mergeCell ref="M3:N3"/>
    <mergeCell ref="O3:O4"/>
    <mergeCell ref="I20:J20"/>
    <mergeCell ref="K20:L20"/>
    <mergeCell ref="B3:C4"/>
    <mergeCell ref="D3:D4"/>
    <mergeCell ref="E3:E4"/>
    <mergeCell ref="F3:F4"/>
    <mergeCell ref="G3:H3"/>
    <mergeCell ref="I3:J3"/>
    <mergeCell ref="B20:C21"/>
    <mergeCell ref="D20:D21"/>
    <mergeCell ref="E20:E21"/>
    <mergeCell ref="F20:F21"/>
    <mergeCell ref="G20:H20"/>
  </mergeCells>
  <phoneticPr fontId="2" type="noConversion"/>
  <printOptions horizontalCentered="1"/>
  <pageMargins left="1.1811023622047245" right="0.39370078740157483" top="0.39370078740157483" bottom="0.39370078740157483" header="0" footer="0"/>
  <pageSetup paperSize="9" scale="6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N212"/>
  <sheetViews>
    <sheetView zoomScaleNormal="100" workbookViewId="0">
      <pane ySplit="2" topLeftCell="A114" activePane="bottomLeft" state="frozen"/>
      <selection activeCell="N21" sqref="N21"/>
      <selection pane="bottomLeft" activeCell="N21" sqref="N21"/>
    </sheetView>
  </sheetViews>
  <sheetFormatPr defaultRowHeight="12.75" customHeight="1"/>
  <cols>
    <col min="1" max="1" width="8.83203125" customWidth="1"/>
    <col min="2" max="3" width="35.83203125" customWidth="1"/>
    <col min="4" max="4" width="10.83203125" customWidth="1"/>
    <col min="5" max="5" width="8.83203125" style="11" customWidth="1"/>
    <col min="6" max="6" width="12.83203125" style="11" hidden="1" customWidth="1"/>
    <col min="7" max="7" width="14.83203125" customWidth="1"/>
    <col min="8" max="8" width="12.83203125" hidden="1" customWidth="1"/>
    <col min="9" max="9" width="14.83203125" customWidth="1"/>
    <col min="10" max="10" width="12.83203125" hidden="1" customWidth="1"/>
    <col min="11" max="11" width="14.83203125" customWidth="1"/>
    <col min="12" max="12" width="12.83203125" hidden="1" customWidth="1"/>
    <col min="13" max="13" width="14.83203125" customWidth="1"/>
    <col min="14" max="14" width="15.83203125" style="11" customWidth="1"/>
  </cols>
  <sheetData>
    <row r="1" spans="1:14" ht="18" customHeight="1">
      <c r="A1" s="71" t="s">
        <v>305</v>
      </c>
    </row>
    <row r="2" spans="1:14" ht="18" customHeight="1">
      <c r="A2" s="339" t="s">
        <v>23</v>
      </c>
      <c r="B2" s="340"/>
      <c r="C2" s="2" t="s">
        <v>22</v>
      </c>
      <c r="D2" s="2" t="s">
        <v>21</v>
      </c>
      <c r="E2" s="2" t="s">
        <v>20</v>
      </c>
      <c r="F2" s="2"/>
      <c r="G2" s="2" t="s">
        <v>19</v>
      </c>
      <c r="H2" s="2"/>
      <c r="I2" s="2" t="s">
        <v>18</v>
      </c>
      <c r="J2" s="2"/>
      <c r="K2" s="2" t="s">
        <v>17</v>
      </c>
      <c r="L2" s="2"/>
      <c r="M2" s="2" t="s">
        <v>16</v>
      </c>
      <c r="N2" s="2" t="s">
        <v>15</v>
      </c>
    </row>
    <row r="3" spans="1:14" ht="18" customHeight="1">
      <c r="A3" s="13"/>
      <c r="B3" s="14"/>
      <c r="C3" s="1"/>
      <c r="D3" s="1"/>
      <c r="E3" s="2"/>
      <c r="F3" s="2"/>
      <c r="G3" s="5"/>
      <c r="H3" s="5"/>
      <c r="I3" s="5"/>
      <c r="J3" s="5"/>
      <c r="K3" s="5"/>
      <c r="L3" s="5"/>
      <c r="M3" s="5"/>
      <c r="N3" s="2"/>
    </row>
    <row r="4" spans="1:14" ht="18" customHeight="1">
      <c r="A4" s="39">
        <v>1</v>
      </c>
      <c r="B4" s="53" t="str">
        <f>'강관부설 및 철거'!B5</f>
        <v>강관부설(인력)</v>
      </c>
      <c r="C4" s="3" t="str">
        <f>'강관부설 및 철거'!C5</f>
        <v>D80㎜</v>
      </c>
      <c r="D4" s="1">
        <v>1</v>
      </c>
      <c r="E4" s="2" t="s">
        <v>253</v>
      </c>
      <c r="F4" s="2"/>
      <c r="G4" s="34" t="e">
        <f t="shared" ref="G4" si="0">I4+K4+M4</f>
        <v>#REF!</v>
      </c>
      <c r="H4" s="34"/>
      <c r="I4" s="34" t="e">
        <f>'강관부설 및 철거'!I5</f>
        <v>#REF!</v>
      </c>
      <c r="J4" s="34"/>
      <c r="K4" s="34" t="e">
        <f>'강관부설 및 철거'!K5</f>
        <v>#REF!</v>
      </c>
      <c r="L4" s="34"/>
      <c r="M4" s="34" t="e">
        <f>'강관부설 및 철거'!M5</f>
        <v>#REF!</v>
      </c>
      <c r="N4" s="2"/>
    </row>
    <row r="5" spans="1:14" ht="18" customHeight="1">
      <c r="A5" s="39">
        <v>2</v>
      </c>
      <c r="B5" s="53" t="str">
        <f>'강관부설 및 철거'!B11</f>
        <v>강관부설(인력)</v>
      </c>
      <c r="C5" s="3" t="str">
        <f>'강관부설 및 철거'!C11</f>
        <v>D100㎜</v>
      </c>
      <c r="D5" s="1">
        <v>1</v>
      </c>
      <c r="E5" s="2" t="s">
        <v>253</v>
      </c>
      <c r="F5" s="2"/>
      <c r="G5" s="34" t="e">
        <f t="shared" ref="G5:G68" si="1">I5+K5+M5</f>
        <v>#REF!</v>
      </c>
      <c r="H5" s="34"/>
      <c r="I5" s="34" t="e">
        <f>'강관부설 및 철거'!I11</f>
        <v>#REF!</v>
      </c>
      <c r="J5" s="34"/>
      <c r="K5" s="34" t="e">
        <f>'강관부설 및 철거'!K11</f>
        <v>#REF!</v>
      </c>
      <c r="L5" s="34"/>
      <c r="M5" s="34" t="e">
        <f>'강관부설 및 철거'!M11</f>
        <v>#REF!</v>
      </c>
      <c r="N5" s="2"/>
    </row>
    <row r="6" spans="1:14" ht="18" customHeight="1">
      <c r="A6" s="39">
        <v>3</v>
      </c>
      <c r="B6" s="53" t="str">
        <f>'강관부설 및 철거'!B17</f>
        <v>강관부설(기계)</v>
      </c>
      <c r="C6" s="3" t="str">
        <f>'강관부설 및 철거'!C17</f>
        <v>D100㎜ 이하</v>
      </c>
      <c r="D6" s="1">
        <v>1</v>
      </c>
      <c r="E6" s="2" t="s">
        <v>253</v>
      </c>
      <c r="F6" s="2"/>
      <c r="G6" s="34" t="e">
        <f t="shared" si="1"/>
        <v>#REF!</v>
      </c>
      <c r="H6" s="34"/>
      <c r="I6" s="34" t="e">
        <f>'강관부설 및 철거'!I17</f>
        <v>#REF!</v>
      </c>
      <c r="J6" s="34"/>
      <c r="K6" s="34" t="e">
        <f>'강관부설 및 철거'!K17</f>
        <v>#REF!</v>
      </c>
      <c r="L6" s="34"/>
      <c r="M6" s="34" t="e">
        <f>'강관부설 및 철거'!M17</f>
        <v>#REF!</v>
      </c>
      <c r="N6" s="2"/>
    </row>
    <row r="7" spans="1:14" ht="18" customHeight="1">
      <c r="A7" s="39">
        <v>4</v>
      </c>
      <c r="B7" s="53" t="str">
        <f>'강관부설 및 철거'!B23</f>
        <v>강관부설(인력)</v>
      </c>
      <c r="C7" s="3" t="str">
        <f>'강관부설 및 철거'!C23</f>
        <v>D150㎜</v>
      </c>
      <c r="D7" s="1">
        <v>1</v>
      </c>
      <c r="E7" s="2" t="s">
        <v>253</v>
      </c>
      <c r="F7" s="2"/>
      <c r="G7" s="34" t="e">
        <f t="shared" si="1"/>
        <v>#REF!</v>
      </c>
      <c r="H7" s="34"/>
      <c r="I7" s="34" t="e">
        <f>'강관부설 및 철거'!I23</f>
        <v>#REF!</v>
      </c>
      <c r="J7" s="34"/>
      <c r="K7" s="34" t="e">
        <f>'강관부설 및 철거'!K23</f>
        <v>#REF!</v>
      </c>
      <c r="L7" s="34"/>
      <c r="M7" s="34" t="e">
        <f>'강관부설 및 철거'!M23</f>
        <v>#REF!</v>
      </c>
      <c r="N7" s="2"/>
    </row>
    <row r="8" spans="1:14" ht="18" customHeight="1">
      <c r="A8" s="39">
        <v>5</v>
      </c>
      <c r="B8" s="53" t="str">
        <f>'강관부설 및 철거'!B29</f>
        <v>강관부설(기계)</v>
      </c>
      <c r="C8" s="3" t="str">
        <f>'강관부설 및 철거'!C29</f>
        <v>D150㎜</v>
      </c>
      <c r="D8" s="1">
        <v>1</v>
      </c>
      <c r="E8" s="2" t="s">
        <v>253</v>
      </c>
      <c r="F8" s="2"/>
      <c r="G8" s="34" t="e">
        <f t="shared" si="1"/>
        <v>#REF!</v>
      </c>
      <c r="H8" s="34"/>
      <c r="I8" s="34" t="e">
        <f>'강관부설 및 철거'!I29</f>
        <v>#REF!</v>
      </c>
      <c r="J8" s="34"/>
      <c r="K8" s="34" t="e">
        <f>'강관부설 및 철거'!K29</f>
        <v>#REF!</v>
      </c>
      <c r="L8" s="34"/>
      <c r="M8" s="34" t="e">
        <f>'강관부설 및 철거'!M29</f>
        <v>#REF!</v>
      </c>
      <c r="N8" s="2"/>
    </row>
    <row r="9" spans="1:14" ht="18" customHeight="1">
      <c r="A9" s="39">
        <v>6</v>
      </c>
      <c r="B9" s="53" t="str">
        <f>'강관부설 및 철거'!B35</f>
        <v>강관부설(인력)</v>
      </c>
      <c r="C9" s="3" t="str">
        <f>'강관부설 및 철거'!C35</f>
        <v>D200㎜</v>
      </c>
      <c r="D9" s="1">
        <v>1</v>
      </c>
      <c r="E9" s="2" t="s">
        <v>253</v>
      </c>
      <c r="F9" s="2"/>
      <c r="G9" s="34" t="e">
        <f t="shared" si="1"/>
        <v>#REF!</v>
      </c>
      <c r="H9" s="34"/>
      <c r="I9" s="34" t="e">
        <f>'강관부설 및 철거'!I35</f>
        <v>#REF!</v>
      </c>
      <c r="J9" s="34"/>
      <c r="K9" s="34" t="e">
        <f>'강관부설 및 철거'!K35</f>
        <v>#REF!</v>
      </c>
      <c r="L9" s="34"/>
      <c r="M9" s="34" t="e">
        <f>'강관부설 및 철거'!M35</f>
        <v>#REF!</v>
      </c>
      <c r="N9" s="2"/>
    </row>
    <row r="10" spans="1:14" ht="18" customHeight="1">
      <c r="A10" s="39">
        <v>7</v>
      </c>
      <c r="B10" s="53" t="str">
        <f>'강관부설 및 철거'!B41</f>
        <v>강관부설(기계)</v>
      </c>
      <c r="C10" s="3" t="str">
        <f>'강관부설 및 철거'!C41</f>
        <v>D200㎜</v>
      </c>
      <c r="D10" s="1">
        <v>1</v>
      </c>
      <c r="E10" s="2" t="s">
        <v>253</v>
      </c>
      <c r="F10" s="2"/>
      <c r="G10" s="34" t="e">
        <f t="shared" si="1"/>
        <v>#REF!</v>
      </c>
      <c r="H10" s="34"/>
      <c r="I10" s="34" t="e">
        <f>'강관부설 및 철거'!I41</f>
        <v>#REF!</v>
      </c>
      <c r="J10" s="34"/>
      <c r="K10" s="34" t="e">
        <f>'강관부설 및 철거'!K41</f>
        <v>#REF!</v>
      </c>
      <c r="L10" s="34"/>
      <c r="M10" s="34" t="e">
        <f>'강관부설 및 철거'!M41</f>
        <v>#REF!</v>
      </c>
      <c r="N10" s="2"/>
    </row>
    <row r="11" spans="1:14" ht="18" customHeight="1">
      <c r="A11" s="39">
        <v>8</v>
      </c>
      <c r="B11" s="53" t="str">
        <f>'강관부설 및 철거'!B47</f>
        <v>강관부설(인력)</v>
      </c>
      <c r="C11" s="3" t="str">
        <f>'강관부설 및 철거'!C47</f>
        <v>D250㎜</v>
      </c>
      <c r="D11" s="1">
        <v>1</v>
      </c>
      <c r="E11" s="2" t="s">
        <v>253</v>
      </c>
      <c r="F11" s="2"/>
      <c r="G11" s="34" t="e">
        <f t="shared" si="1"/>
        <v>#REF!</v>
      </c>
      <c r="H11" s="34"/>
      <c r="I11" s="34" t="e">
        <f>'강관부설 및 철거'!I47</f>
        <v>#REF!</v>
      </c>
      <c r="J11" s="34"/>
      <c r="K11" s="34" t="e">
        <f>'강관부설 및 철거'!K47</f>
        <v>#REF!</v>
      </c>
      <c r="L11" s="34"/>
      <c r="M11" s="34" t="e">
        <f>'강관부설 및 철거'!M47</f>
        <v>#REF!</v>
      </c>
      <c r="N11" s="2"/>
    </row>
    <row r="12" spans="1:14" ht="18" customHeight="1">
      <c r="A12" s="39">
        <v>9</v>
      </c>
      <c r="B12" s="53" t="str">
        <f>'강관부설 및 철거'!B53</f>
        <v>강관부설(기계)</v>
      </c>
      <c r="C12" s="3" t="str">
        <f>'강관부설 및 철거'!C53</f>
        <v>D250㎜</v>
      </c>
      <c r="D12" s="1">
        <v>1</v>
      </c>
      <c r="E12" s="2" t="s">
        <v>253</v>
      </c>
      <c r="F12" s="2"/>
      <c r="G12" s="34" t="e">
        <f t="shared" si="1"/>
        <v>#REF!</v>
      </c>
      <c r="H12" s="34"/>
      <c r="I12" s="34" t="e">
        <f>'강관부설 및 철거'!I53</f>
        <v>#REF!</v>
      </c>
      <c r="J12" s="34"/>
      <c r="K12" s="34" t="e">
        <f>'강관부설 및 철거'!K53</f>
        <v>#REF!</v>
      </c>
      <c r="L12" s="34"/>
      <c r="M12" s="34" t="e">
        <f>'강관부설 및 철거'!M53</f>
        <v>#REF!</v>
      </c>
      <c r="N12" s="2"/>
    </row>
    <row r="13" spans="1:14" ht="18" customHeight="1">
      <c r="A13" s="39">
        <v>10</v>
      </c>
      <c r="B13" s="53" t="str">
        <f>'강관부설 및 철거'!B59</f>
        <v>강관부설(기계)</v>
      </c>
      <c r="C13" s="3" t="str">
        <f>'강관부설 및 철거'!C59</f>
        <v>D300㎜</v>
      </c>
      <c r="D13" s="1">
        <v>1</v>
      </c>
      <c r="E13" s="2" t="s">
        <v>253</v>
      </c>
      <c r="F13" s="2"/>
      <c r="G13" s="34" t="e">
        <f t="shared" si="1"/>
        <v>#REF!</v>
      </c>
      <c r="H13" s="34"/>
      <c r="I13" s="34" t="e">
        <f>'강관부설 및 철거'!I59</f>
        <v>#REF!</v>
      </c>
      <c r="J13" s="34"/>
      <c r="K13" s="34" t="e">
        <f>'강관부설 및 철거'!K59</f>
        <v>#REF!</v>
      </c>
      <c r="L13" s="34"/>
      <c r="M13" s="34" t="e">
        <f>'강관부설 및 철거'!M59</f>
        <v>#REF!</v>
      </c>
      <c r="N13" s="2"/>
    </row>
    <row r="14" spans="1:14" ht="18" customHeight="1">
      <c r="A14" s="39">
        <v>11</v>
      </c>
      <c r="B14" s="53" t="str">
        <f>'강관부설 및 철거'!B65</f>
        <v>강관부설(기계)</v>
      </c>
      <c r="C14" s="3" t="str">
        <f>'강관부설 및 철거'!C65</f>
        <v>D350㎜</v>
      </c>
      <c r="D14" s="1">
        <v>1</v>
      </c>
      <c r="E14" s="2" t="s">
        <v>253</v>
      </c>
      <c r="F14" s="2"/>
      <c r="G14" s="34" t="e">
        <f t="shared" si="1"/>
        <v>#REF!</v>
      </c>
      <c r="H14" s="34"/>
      <c r="I14" s="34" t="e">
        <f>'강관부설 및 철거'!I65</f>
        <v>#REF!</v>
      </c>
      <c r="J14" s="34"/>
      <c r="K14" s="34" t="e">
        <f>'강관부설 및 철거'!K65</f>
        <v>#REF!</v>
      </c>
      <c r="L14" s="34"/>
      <c r="M14" s="34" t="e">
        <f>'강관부설 및 철거'!M65</f>
        <v>#REF!</v>
      </c>
      <c r="N14" s="2"/>
    </row>
    <row r="15" spans="1:14" ht="18" customHeight="1">
      <c r="A15" s="39">
        <v>12</v>
      </c>
      <c r="B15" s="53" t="str">
        <f>'강관부설 및 철거'!B71</f>
        <v>강관부설(기계)</v>
      </c>
      <c r="C15" s="3" t="str">
        <f>'강관부설 및 철거'!C71</f>
        <v>D400㎜</v>
      </c>
      <c r="D15" s="1">
        <v>1</v>
      </c>
      <c r="E15" s="2" t="s">
        <v>253</v>
      </c>
      <c r="F15" s="2"/>
      <c r="G15" s="34" t="e">
        <f t="shared" si="1"/>
        <v>#REF!</v>
      </c>
      <c r="H15" s="34"/>
      <c r="I15" s="34" t="e">
        <f>'강관부설 및 철거'!I71</f>
        <v>#REF!</v>
      </c>
      <c r="J15" s="34"/>
      <c r="K15" s="34" t="e">
        <f>'강관부설 및 철거'!K71</f>
        <v>#REF!</v>
      </c>
      <c r="L15" s="34"/>
      <c r="M15" s="34" t="e">
        <f>'강관부설 및 철거'!M71</f>
        <v>#REF!</v>
      </c>
      <c r="N15" s="2"/>
    </row>
    <row r="16" spans="1:14" ht="18" customHeight="1">
      <c r="A16" s="39">
        <v>13</v>
      </c>
      <c r="B16" s="53" t="str">
        <f>'강관부설 및 철거'!B77</f>
        <v>강관부설(기계)</v>
      </c>
      <c r="C16" s="3" t="str">
        <f>'강관부설 및 철거'!C77</f>
        <v>D450㎜</v>
      </c>
      <c r="D16" s="1">
        <v>1</v>
      </c>
      <c r="E16" s="2" t="s">
        <v>253</v>
      </c>
      <c r="F16" s="2"/>
      <c r="G16" s="34" t="e">
        <f t="shared" si="1"/>
        <v>#REF!</v>
      </c>
      <c r="H16" s="34"/>
      <c r="I16" s="34" t="e">
        <f>'강관부설 및 철거'!I77</f>
        <v>#REF!</v>
      </c>
      <c r="J16" s="34"/>
      <c r="K16" s="34" t="e">
        <f>'강관부설 및 철거'!K77</f>
        <v>#REF!</v>
      </c>
      <c r="L16" s="34"/>
      <c r="M16" s="34" t="e">
        <f>'강관부설 및 철거'!M77</f>
        <v>#REF!</v>
      </c>
      <c r="N16" s="2"/>
    </row>
    <row r="17" spans="1:14" ht="18" customHeight="1">
      <c r="A17" s="39">
        <v>14</v>
      </c>
      <c r="B17" s="53" t="str">
        <f>'강관부설 및 철거'!B83</f>
        <v>강관부설(기계)</v>
      </c>
      <c r="C17" s="3" t="str">
        <f>'강관부설 및 철거'!C83</f>
        <v>D500㎜</v>
      </c>
      <c r="D17" s="1">
        <v>1</v>
      </c>
      <c r="E17" s="2" t="s">
        <v>253</v>
      </c>
      <c r="F17" s="2"/>
      <c r="G17" s="34" t="e">
        <f t="shared" si="1"/>
        <v>#REF!</v>
      </c>
      <c r="H17" s="34"/>
      <c r="I17" s="34" t="e">
        <f>'강관부설 및 철거'!I83</f>
        <v>#REF!</v>
      </c>
      <c r="J17" s="34"/>
      <c r="K17" s="34" t="e">
        <f>'강관부설 및 철거'!K83</f>
        <v>#REF!</v>
      </c>
      <c r="L17" s="34"/>
      <c r="M17" s="34" t="e">
        <f>'강관부설 및 철거'!M83</f>
        <v>#REF!</v>
      </c>
      <c r="N17" s="2"/>
    </row>
    <row r="18" spans="1:14" ht="18" customHeight="1">
      <c r="A18" s="39">
        <v>15</v>
      </c>
      <c r="B18" s="53" t="str">
        <f>'강관부설 및 철거'!B89</f>
        <v>강관부설(기계)</v>
      </c>
      <c r="C18" s="3" t="str">
        <f>'강관부설 및 철거'!C89</f>
        <v>D600㎜</v>
      </c>
      <c r="D18" s="1">
        <v>1</v>
      </c>
      <c r="E18" s="2" t="s">
        <v>253</v>
      </c>
      <c r="F18" s="2"/>
      <c r="G18" s="34" t="e">
        <f t="shared" si="1"/>
        <v>#REF!</v>
      </c>
      <c r="H18" s="34"/>
      <c r="I18" s="34" t="e">
        <f>'강관부설 및 철거'!I89</f>
        <v>#REF!</v>
      </c>
      <c r="J18" s="34"/>
      <c r="K18" s="34" t="e">
        <f>'강관부설 및 철거'!K89</f>
        <v>#REF!</v>
      </c>
      <c r="L18" s="34"/>
      <c r="M18" s="34" t="e">
        <f>'강관부설 및 철거'!M89</f>
        <v>#REF!</v>
      </c>
      <c r="N18" s="2"/>
    </row>
    <row r="19" spans="1:14" ht="18" customHeight="1">
      <c r="A19" s="39">
        <v>16</v>
      </c>
      <c r="B19" s="53" t="str">
        <f>'강관부설 및 철거'!B95</f>
        <v>강관부설(기계)</v>
      </c>
      <c r="C19" s="3" t="str">
        <f>'강관부설 및 철거'!C95</f>
        <v>D700㎜</v>
      </c>
      <c r="D19" s="1">
        <v>1</v>
      </c>
      <c r="E19" s="2" t="s">
        <v>253</v>
      </c>
      <c r="F19" s="2"/>
      <c r="G19" s="34" t="e">
        <f t="shared" si="1"/>
        <v>#REF!</v>
      </c>
      <c r="H19" s="34"/>
      <c r="I19" s="34" t="e">
        <f>'강관부설 및 철거'!I95</f>
        <v>#REF!</v>
      </c>
      <c r="J19" s="34"/>
      <c r="K19" s="34" t="e">
        <f>'강관부설 및 철거'!K95</f>
        <v>#REF!</v>
      </c>
      <c r="L19" s="34"/>
      <c r="M19" s="34" t="e">
        <f>'강관부설 및 철거'!M95</f>
        <v>#REF!</v>
      </c>
      <c r="N19" s="2"/>
    </row>
    <row r="20" spans="1:14" ht="18" customHeight="1">
      <c r="A20" s="39">
        <v>17</v>
      </c>
      <c r="B20" s="53" t="str">
        <f>'강관부설 및 철거'!B101</f>
        <v>강관부설(기계)</v>
      </c>
      <c r="C20" s="3" t="str">
        <f>'강관부설 및 철거'!C101</f>
        <v>D800㎜</v>
      </c>
      <c r="D20" s="1">
        <v>1</v>
      </c>
      <c r="E20" s="2" t="s">
        <v>253</v>
      </c>
      <c r="F20" s="2"/>
      <c r="G20" s="34" t="e">
        <f t="shared" si="1"/>
        <v>#REF!</v>
      </c>
      <c r="H20" s="34"/>
      <c r="I20" s="34" t="e">
        <f>'강관부설 및 철거'!I101</f>
        <v>#REF!</v>
      </c>
      <c r="J20" s="34"/>
      <c r="K20" s="34" t="e">
        <f>'강관부설 및 철거'!K101</f>
        <v>#REF!</v>
      </c>
      <c r="L20" s="34"/>
      <c r="M20" s="34" t="e">
        <f>'강관부설 및 철거'!M101</f>
        <v>#REF!</v>
      </c>
      <c r="N20" s="2"/>
    </row>
    <row r="21" spans="1:14" ht="18" customHeight="1">
      <c r="A21" s="39">
        <v>18</v>
      </c>
      <c r="B21" s="53" t="str">
        <f>'강관부설 및 철거'!B107</f>
        <v>강관부설(기계)</v>
      </c>
      <c r="C21" s="3" t="str">
        <f>'강관부설 및 철거'!C107</f>
        <v>D900㎜</v>
      </c>
      <c r="D21" s="1">
        <v>1</v>
      </c>
      <c r="E21" s="2" t="s">
        <v>253</v>
      </c>
      <c r="F21" s="2"/>
      <c r="G21" s="34" t="e">
        <f t="shared" si="1"/>
        <v>#REF!</v>
      </c>
      <c r="H21" s="34"/>
      <c r="I21" s="34" t="e">
        <f>'강관부설 및 철거'!I107</f>
        <v>#REF!</v>
      </c>
      <c r="J21" s="34"/>
      <c r="K21" s="34" t="e">
        <f>'강관부설 및 철거'!K107</f>
        <v>#REF!</v>
      </c>
      <c r="L21" s="34"/>
      <c r="M21" s="34" t="e">
        <f>'강관부설 및 철거'!M107</f>
        <v>#REF!</v>
      </c>
      <c r="N21" s="2"/>
    </row>
    <row r="22" spans="1:14" ht="18" customHeight="1">
      <c r="A22" s="39">
        <v>19</v>
      </c>
      <c r="B22" s="53" t="str">
        <f>'강관부설 및 철거'!B113</f>
        <v>강관부설(기계)</v>
      </c>
      <c r="C22" s="3" t="str">
        <f>'강관부설 및 철거'!C113</f>
        <v>D1000㎜</v>
      </c>
      <c r="D22" s="1">
        <v>1</v>
      </c>
      <c r="E22" s="2" t="s">
        <v>253</v>
      </c>
      <c r="F22" s="2"/>
      <c r="G22" s="34" t="e">
        <f t="shared" si="1"/>
        <v>#REF!</v>
      </c>
      <c r="H22" s="34"/>
      <c r="I22" s="34" t="e">
        <f>'강관부설 및 철거'!I113</f>
        <v>#REF!</v>
      </c>
      <c r="J22" s="34"/>
      <c r="K22" s="34" t="e">
        <f>'강관부설 및 철거'!K113</f>
        <v>#REF!</v>
      </c>
      <c r="L22" s="34"/>
      <c r="M22" s="34" t="e">
        <f>'강관부설 및 철거'!M113</f>
        <v>#REF!</v>
      </c>
      <c r="N22" s="2"/>
    </row>
    <row r="23" spans="1:14" ht="18" customHeight="1">
      <c r="A23" s="39">
        <v>20</v>
      </c>
      <c r="B23" s="53" t="str">
        <f>'강관부설 및 철거'!B119</f>
        <v>강관부설(기계)</v>
      </c>
      <c r="C23" s="3" t="str">
        <f>'강관부설 및 철거'!C119</f>
        <v>D1100㎜</v>
      </c>
      <c r="D23" s="1">
        <v>1</v>
      </c>
      <c r="E23" s="2" t="s">
        <v>253</v>
      </c>
      <c r="F23" s="2"/>
      <c r="G23" s="34" t="e">
        <f t="shared" si="1"/>
        <v>#REF!</v>
      </c>
      <c r="H23" s="34"/>
      <c r="I23" s="34" t="e">
        <f>'강관부설 및 철거'!I119</f>
        <v>#REF!</v>
      </c>
      <c r="J23" s="34"/>
      <c r="K23" s="34" t="e">
        <f>'강관부설 및 철거'!K119</f>
        <v>#REF!</v>
      </c>
      <c r="L23" s="34"/>
      <c r="M23" s="34" t="e">
        <f>'강관부설 및 철거'!M119</f>
        <v>#REF!</v>
      </c>
      <c r="N23" s="2"/>
    </row>
    <row r="24" spans="1:14" ht="18" customHeight="1">
      <c r="A24" s="39">
        <v>21</v>
      </c>
      <c r="B24" s="53" t="str">
        <f>'강관부설 및 철거'!B125</f>
        <v>강관부설(기계)</v>
      </c>
      <c r="C24" s="3" t="str">
        <f>'강관부설 및 철거'!C125</f>
        <v>D1200㎜</v>
      </c>
      <c r="D24" s="1">
        <v>1</v>
      </c>
      <c r="E24" s="2" t="s">
        <v>253</v>
      </c>
      <c r="F24" s="2"/>
      <c r="G24" s="34" t="e">
        <f t="shared" si="1"/>
        <v>#REF!</v>
      </c>
      <c r="H24" s="34"/>
      <c r="I24" s="34" t="e">
        <f>'강관부설 및 철거'!I125</f>
        <v>#REF!</v>
      </c>
      <c r="J24" s="34"/>
      <c r="K24" s="34" t="e">
        <f>'강관부설 및 철거'!K125</f>
        <v>#REF!</v>
      </c>
      <c r="L24" s="34"/>
      <c r="M24" s="34" t="e">
        <f>'강관부설 및 철거'!M125</f>
        <v>#REF!</v>
      </c>
      <c r="N24" s="2"/>
    </row>
    <row r="25" spans="1:14" ht="18" customHeight="1">
      <c r="A25" s="39">
        <v>22</v>
      </c>
      <c r="B25" s="53" t="str">
        <f>'강관부설 및 철거'!B131</f>
        <v>강관부설(기계)</v>
      </c>
      <c r="C25" s="3" t="str">
        <f>'강관부설 및 철거'!C131</f>
        <v>D1350㎜</v>
      </c>
      <c r="D25" s="1">
        <v>1</v>
      </c>
      <c r="E25" s="2" t="s">
        <v>253</v>
      </c>
      <c r="F25" s="2"/>
      <c r="G25" s="34" t="e">
        <f t="shared" si="1"/>
        <v>#REF!</v>
      </c>
      <c r="H25" s="34"/>
      <c r="I25" s="34" t="e">
        <f>'강관부설 및 철거'!I131</f>
        <v>#REF!</v>
      </c>
      <c r="J25" s="34"/>
      <c r="K25" s="34" t="e">
        <f>'강관부설 및 철거'!K131</f>
        <v>#REF!</v>
      </c>
      <c r="L25" s="34"/>
      <c r="M25" s="34" t="e">
        <f>'강관부설 및 철거'!M131</f>
        <v>#REF!</v>
      </c>
      <c r="N25" s="2"/>
    </row>
    <row r="26" spans="1:14" ht="18" customHeight="1">
      <c r="A26" s="39">
        <v>23</v>
      </c>
      <c r="B26" s="53" t="str">
        <f>'강관부설 및 철거'!B137</f>
        <v>강관부설(기계)</v>
      </c>
      <c r="C26" s="3" t="str">
        <f>'강관부설 및 철거'!C137</f>
        <v>D1500㎜</v>
      </c>
      <c r="D26" s="1">
        <v>1</v>
      </c>
      <c r="E26" s="2" t="s">
        <v>253</v>
      </c>
      <c r="F26" s="2"/>
      <c r="G26" s="34" t="e">
        <f t="shared" si="1"/>
        <v>#REF!</v>
      </c>
      <c r="H26" s="34"/>
      <c r="I26" s="34" t="e">
        <f>'강관부설 및 철거'!I137</f>
        <v>#REF!</v>
      </c>
      <c r="J26" s="34"/>
      <c r="K26" s="34" t="e">
        <f>'강관부설 및 철거'!K137</f>
        <v>#REF!</v>
      </c>
      <c r="L26" s="34"/>
      <c r="M26" s="34" t="e">
        <f>'강관부설 및 철거'!M137</f>
        <v>#REF!</v>
      </c>
      <c r="N26" s="2"/>
    </row>
    <row r="27" spans="1:14" ht="18" customHeight="1">
      <c r="A27" s="39">
        <v>24</v>
      </c>
      <c r="B27" s="53" t="str">
        <f>'강관부설 및 철거'!B143</f>
        <v>강관부설(기계)</v>
      </c>
      <c r="C27" s="3" t="str">
        <f>'강관부설 및 철거'!C143</f>
        <v>D1650㎜</v>
      </c>
      <c r="D27" s="1">
        <v>1</v>
      </c>
      <c r="E27" s="2" t="s">
        <v>253</v>
      </c>
      <c r="F27" s="2"/>
      <c r="G27" s="34" t="e">
        <f t="shared" si="1"/>
        <v>#REF!</v>
      </c>
      <c r="H27" s="34"/>
      <c r="I27" s="34" t="e">
        <f>'강관부설 및 철거'!I143</f>
        <v>#REF!</v>
      </c>
      <c r="J27" s="34"/>
      <c r="K27" s="34" t="e">
        <f>'강관부설 및 철거'!K143</f>
        <v>#REF!</v>
      </c>
      <c r="L27" s="34"/>
      <c r="M27" s="34" t="e">
        <f>'강관부설 및 철거'!M143</f>
        <v>#REF!</v>
      </c>
      <c r="N27" s="2"/>
    </row>
    <row r="28" spans="1:14" ht="18" customHeight="1">
      <c r="A28" s="39">
        <v>25</v>
      </c>
      <c r="B28" s="53" t="str">
        <f>'강관부설 및 철거'!B149</f>
        <v>강관부설(기계)</v>
      </c>
      <c r="C28" s="3" t="str">
        <f>'강관부설 및 철거'!C149</f>
        <v>D1800㎜</v>
      </c>
      <c r="D28" s="1">
        <v>1</v>
      </c>
      <c r="E28" s="2" t="s">
        <v>253</v>
      </c>
      <c r="F28" s="2"/>
      <c r="G28" s="34" t="e">
        <f t="shared" si="1"/>
        <v>#REF!</v>
      </c>
      <c r="H28" s="34"/>
      <c r="I28" s="34" t="e">
        <f>'강관부설 및 철거'!I149</f>
        <v>#REF!</v>
      </c>
      <c r="J28" s="34"/>
      <c r="K28" s="34" t="e">
        <f>'강관부설 및 철거'!K149</f>
        <v>#REF!</v>
      </c>
      <c r="L28" s="34"/>
      <c r="M28" s="34" t="e">
        <f>'강관부설 및 철거'!M149</f>
        <v>#REF!</v>
      </c>
      <c r="N28" s="2"/>
    </row>
    <row r="29" spans="1:14" ht="18" customHeight="1">
      <c r="A29" s="39">
        <v>26</v>
      </c>
      <c r="B29" s="53" t="str">
        <f>'강관부설 및 철거'!B155</f>
        <v>강관부설(기계)</v>
      </c>
      <c r="C29" s="3" t="str">
        <f>'강관부설 및 철거'!C155</f>
        <v>D2000㎜</v>
      </c>
      <c r="D29" s="1">
        <v>1</v>
      </c>
      <c r="E29" s="2" t="s">
        <v>253</v>
      </c>
      <c r="F29" s="2"/>
      <c r="G29" s="34" t="e">
        <f t="shared" si="1"/>
        <v>#REF!</v>
      </c>
      <c r="H29" s="34"/>
      <c r="I29" s="34" t="e">
        <f>'강관부설 및 철거'!I155</f>
        <v>#REF!</v>
      </c>
      <c r="J29" s="34"/>
      <c r="K29" s="34" t="e">
        <f>'강관부설 및 철거'!K155</f>
        <v>#REF!</v>
      </c>
      <c r="L29" s="34"/>
      <c r="M29" s="34" t="e">
        <f>'강관부설 및 철거'!M155</f>
        <v>#REF!</v>
      </c>
      <c r="N29" s="2"/>
    </row>
    <row r="30" spans="1:14" ht="18" customHeight="1">
      <c r="A30" s="39">
        <v>27</v>
      </c>
      <c r="B30" s="53" t="str">
        <f>'강관부설 및 철거'!B161</f>
        <v>강관부설(기계)</v>
      </c>
      <c r="C30" s="3" t="str">
        <f>'강관부설 및 철거'!C161</f>
        <v>D2200㎜</v>
      </c>
      <c r="D30" s="1">
        <v>1</v>
      </c>
      <c r="E30" s="2" t="s">
        <v>253</v>
      </c>
      <c r="F30" s="2"/>
      <c r="G30" s="34" t="e">
        <f t="shared" si="1"/>
        <v>#REF!</v>
      </c>
      <c r="H30" s="34"/>
      <c r="I30" s="34" t="e">
        <f>'강관부설 및 철거'!I161</f>
        <v>#REF!</v>
      </c>
      <c r="J30" s="34"/>
      <c r="K30" s="34" t="e">
        <f>'강관부설 및 철거'!K161</f>
        <v>#REF!</v>
      </c>
      <c r="L30" s="34"/>
      <c r="M30" s="34" t="e">
        <f>'강관부설 및 철거'!M161</f>
        <v>#REF!</v>
      </c>
      <c r="N30" s="2"/>
    </row>
    <row r="31" spans="1:14" ht="18" customHeight="1">
      <c r="A31" s="39">
        <v>28</v>
      </c>
      <c r="B31" s="53" t="str">
        <f>'강관부설 및 철거'!B167</f>
        <v>강관부설(기계)</v>
      </c>
      <c r="C31" s="3" t="str">
        <f>'강관부설 및 철거'!C167</f>
        <v>D2400㎜</v>
      </c>
      <c r="D31" s="1">
        <v>1</v>
      </c>
      <c r="E31" s="2" t="s">
        <v>253</v>
      </c>
      <c r="F31" s="2"/>
      <c r="G31" s="34" t="e">
        <f t="shared" si="1"/>
        <v>#REF!</v>
      </c>
      <c r="H31" s="34"/>
      <c r="I31" s="34" t="e">
        <f>'강관부설 및 철거'!I167</f>
        <v>#REF!</v>
      </c>
      <c r="J31" s="34"/>
      <c r="K31" s="34" t="e">
        <f>'강관부설 및 철거'!K167</f>
        <v>#REF!</v>
      </c>
      <c r="L31" s="34"/>
      <c r="M31" s="34" t="e">
        <f>'강관부설 및 철거'!M167</f>
        <v>#REF!</v>
      </c>
      <c r="N31" s="2"/>
    </row>
    <row r="32" spans="1:14" ht="18" customHeight="1">
      <c r="A32" s="39">
        <v>29</v>
      </c>
      <c r="B32" s="54" t="str">
        <f>강관용접!B5</f>
        <v>강관접합(A종)</v>
      </c>
      <c r="C32" s="33" t="str">
        <f>강관용접!C5</f>
        <v>D80㎜</v>
      </c>
      <c r="D32" s="1">
        <v>1</v>
      </c>
      <c r="E32" s="2" t="s">
        <v>3</v>
      </c>
      <c r="F32" s="2"/>
      <c r="G32" s="34" t="e">
        <f t="shared" si="1"/>
        <v>#REF!</v>
      </c>
      <c r="H32" s="34"/>
      <c r="I32" s="34" t="e">
        <f>강관용접!I5</f>
        <v>#REF!</v>
      </c>
      <c r="J32" s="34"/>
      <c r="K32" s="34">
        <f>강관용접!K5</f>
        <v>25682.5</v>
      </c>
      <c r="L32" s="34"/>
      <c r="M32" s="34">
        <f>강관용접!M5</f>
        <v>1540.9</v>
      </c>
      <c r="N32" s="2" t="s">
        <v>259</v>
      </c>
    </row>
    <row r="33" spans="1:14" ht="18" customHeight="1">
      <c r="A33" s="39">
        <v>30</v>
      </c>
      <c r="B33" s="54" t="str">
        <f>강관용접!B11</f>
        <v>강관접합(A종)</v>
      </c>
      <c r="C33" s="33" t="str">
        <f>강관용접!C11</f>
        <v>D100㎜ 이하, 외부용접</v>
      </c>
      <c r="D33" s="1">
        <v>1</v>
      </c>
      <c r="E33" s="2" t="s">
        <v>3</v>
      </c>
      <c r="F33" s="2"/>
      <c r="G33" s="34" t="e">
        <f t="shared" si="1"/>
        <v>#REF!</v>
      </c>
      <c r="H33" s="34"/>
      <c r="I33" s="34" t="e">
        <f>강관용접!I11</f>
        <v>#REF!</v>
      </c>
      <c r="J33" s="34"/>
      <c r="K33" s="34">
        <f>강관용접!K11</f>
        <v>25682.5</v>
      </c>
      <c r="L33" s="34"/>
      <c r="M33" s="34">
        <f>강관용접!M11</f>
        <v>1540.9</v>
      </c>
      <c r="N33" s="2"/>
    </row>
    <row r="34" spans="1:14" ht="18" customHeight="1">
      <c r="A34" s="39">
        <v>31</v>
      </c>
      <c r="B34" s="54" t="str">
        <f>강관용접!B17</f>
        <v>강관접합(A종)</v>
      </c>
      <c r="C34" s="33" t="str">
        <f>강관용접!C17</f>
        <v>D125㎜, 외부용접</v>
      </c>
      <c r="D34" s="1">
        <v>1</v>
      </c>
      <c r="E34" s="2" t="s">
        <v>3</v>
      </c>
      <c r="F34" s="2"/>
      <c r="G34" s="34" t="e">
        <f t="shared" si="1"/>
        <v>#REF!</v>
      </c>
      <c r="H34" s="34"/>
      <c r="I34" s="35" t="e">
        <f>강관용접!I17</f>
        <v>#REF!</v>
      </c>
      <c r="J34" s="34"/>
      <c r="K34" s="35">
        <f>강관용접!K17</f>
        <v>25682.5</v>
      </c>
      <c r="L34" s="34"/>
      <c r="M34" s="35">
        <f>강관용접!M17</f>
        <v>1540.9</v>
      </c>
      <c r="N34" s="2"/>
    </row>
    <row r="35" spans="1:14" ht="18" customHeight="1">
      <c r="A35" s="39">
        <v>32</v>
      </c>
      <c r="B35" s="54" t="str">
        <f>강관용접!B23</f>
        <v>강관접합(A종)</v>
      </c>
      <c r="C35" s="33" t="str">
        <f>강관용접!C23</f>
        <v>D150㎜, 외부용접</v>
      </c>
      <c r="D35" s="1">
        <v>1</v>
      </c>
      <c r="E35" s="2" t="s">
        <v>3</v>
      </c>
      <c r="F35" s="2"/>
      <c r="G35" s="34" t="e">
        <f t="shared" si="1"/>
        <v>#REF!</v>
      </c>
      <c r="H35" s="34"/>
      <c r="I35" s="34" t="e">
        <f>강관용접!I23</f>
        <v>#REF!</v>
      </c>
      <c r="J35" s="34"/>
      <c r="K35" s="34">
        <f>강관용접!K23</f>
        <v>28253.599999999999</v>
      </c>
      <c r="L35" s="34"/>
      <c r="M35" s="34">
        <f>강관용접!M23</f>
        <v>1695.2</v>
      </c>
      <c r="N35" s="2"/>
    </row>
    <row r="36" spans="1:14" ht="18" customHeight="1">
      <c r="A36" s="39">
        <v>33</v>
      </c>
      <c r="B36" s="54" t="str">
        <f>강관용접!B29</f>
        <v>강관접합(A종)</v>
      </c>
      <c r="C36" s="33" t="str">
        <f>강관용접!C29</f>
        <v>D200㎜, 외부용접</v>
      </c>
      <c r="D36" s="1">
        <v>1</v>
      </c>
      <c r="E36" s="2" t="s">
        <v>3</v>
      </c>
      <c r="F36" s="2"/>
      <c r="G36" s="34" t="e">
        <f t="shared" si="1"/>
        <v>#REF!</v>
      </c>
      <c r="H36" s="34"/>
      <c r="I36" s="34" t="e">
        <f>강관용접!I29</f>
        <v>#REF!</v>
      </c>
      <c r="J36" s="34"/>
      <c r="K36" s="34">
        <f>강관용접!K29</f>
        <v>31389.7</v>
      </c>
      <c r="L36" s="34"/>
      <c r="M36" s="34">
        <f>강관용접!M29</f>
        <v>1883.3</v>
      </c>
      <c r="N36" s="2"/>
    </row>
    <row r="37" spans="1:14" ht="18" customHeight="1">
      <c r="A37" s="39">
        <v>34</v>
      </c>
      <c r="B37" s="54" t="str">
        <f>강관용접!B35</f>
        <v>강관접합(A종)</v>
      </c>
      <c r="C37" s="33" t="str">
        <f>강관용접!C35</f>
        <v>D250㎜, 외부용접</v>
      </c>
      <c r="D37" s="1">
        <v>1</v>
      </c>
      <c r="E37" s="2" t="s">
        <v>3</v>
      </c>
      <c r="F37" s="2"/>
      <c r="G37" s="34" t="e">
        <f t="shared" si="1"/>
        <v>#REF!</v>
      </c>
      <c r="H37" s="34"/>
      <c r="I37" s="34" t="e">
        <f>강관용접!I35</f>
        <v>#REF!</v>
      </c>
      <c r="J37" s="34"/>
      <c r="K37" s="34">
        <f>강관용접!K35</f>
        <v>37662</v>
      </c>
      <c r="L37" s="34"/>
      <c r="M37" s="34">
        <f>강관용접!M35</f>
        <v>2259.6999999999998</v>
      </c>
      <c r="N37" s="2"/>
    </row>
    <row r="38" spans="1:14" ht="18" customHeight="1">
      <c r="A38" s="39">
        <v>35</v>
      </c>
      <c r="B38" s="54" t="str">
        <f>강관용접!B41</f>
        <v>강관접합(A종)</v>
      </c>
      <c r="C38" s="33" t="str">
        <f>강관용접!C41</f>
        <v>D300㎜, 외부용접</v>
      </c>
      <c r="D38" s="1">
        <v>1</v>
      </c>
      <c r="E38" s="2" t="s">
        <v>3</v>
      </c>
      <c r="F38" s="2"/>
      <c r="G38" s="34" t="e">
        <f t="shared" si="1"/>
        <v>#REF!</v>
      </c>
      <c r="H38" s="34"/>
      <c r="I38" s="34" t="e">
        <f>강관용접!I41</f>
        <v>#REF!</v>
      </c>
      <c r="J38" s="34"/>
      <c r="K38" s="34">
        <f>강관용접!K41</f>
        <v>43454</v>
      </c>
      <c r="L38" s="34"/>
      <c r="M38" s="34">
        <f>강관용접!M41</f>
        <v>2607.1999999999998</v>
      </c>
      <c r="N38" s="2"/>
    </row>
    <row r="39" spans="1:14" ht="18" customHeight="1">
      <c r="A39" s="39">
        <v>36</v>
      </c>
      <c r="B39" s="54" t="str">
        <f>강관용접!B47</f>
        <v>강관접합(A종)</v>
      </c>
      <c r="C39" s="33" t="str">
        <f>강관용접!C47</f>
        <v>D350㎜, 외부용접</v>
      </c>
      <c r="D39" s="1">
        <v>1</v>
      </c>
      <c r="E39" s="2" t="s">
        <v>3</v>
      </c>
      <c r="F39" s="2"/>
      <c r="G39" s="34" t="e">
        <f t="shared" si="1"/>
        <v>#REF!</v>
      </c>
      <c r="H39" s="34"/>
      <c r="I39" s="34" t="e">
        <f>강관용접!I47</f>
        <v>#REF!</v>
      </c>
      <c r="J39" s="34"/>
      <c r="K39" s="34">
        <f>강관용접!K47</f>
        <v>51365</v>
      </c>
      <c r="L39" s="34"/>
      <c r="M39" s="34">
        <f>강관용접!M47</f>
        <v>3081.8</v>
      </c>
      <c r="N39" s="2"/>
    </row>
    <row r="40" spans="1:14" ht="18" customHeight="1">
      <c r="A40" s="39">
        <v>37</v>
      </c>
      <c r="B40" s="54" t="str">
        <f>강관용접!B53</f>
        <v>강관접합(A종)</v>
      </c>
      <c r="C40" s="33" t="str">
        <f>강관용접!C53</f>
        <v>D400㎜, 외부용접</v>
      </c>
      <c r="D40" s="1">
        <v>1</v>
      </c>
      <c r="E40" s="2" t="s">
        <v>3</v>
      </c>
      <c r="F40" s="2"/>
      <c r="G40" s="34" t="e">
        <f t="shared" si="1"/>
        <v>#REF!</v>
      </c>
      <c r="H40" s="34"/>
      <c r="I40" s="34" t="e">
        <f>강관용접!I53</f>
        <v>#REF!</v>
      </c>
      <c r="J40" s="34"/>
      <c r="K40" s="34">
        <f>강관용접!K53</f>
        <v>59502</v>
      </c>
      <c r="L40" s="34"/>
      <c r="M40" s="34">
        <f>강관용접!M53</f>
        <v>3570.1</v>
      </c>
      <c r="N40" s="2"/>
    </row>
    <row r="41" spans="1:14" ht="18" customHeight="1">
      <c r="A41" s="39">
        <v>38</v>
      </c>
      <c r="B41" s="54" t="str">
        <f>강관용접!B59</f>
        <v>강관접합(A종)</v>
      </c>
      <c r="C41" s="33" t="str">
        <f>강관용접!C59</f>
        <v>D450㎜, 외부용접</v>
      </c>
      <c r="D41" s="1">
        <v>1</v>
      </c>
      <c r="E41" s="2" t="s">
        <v>3</v>
      </c>
      <c r="F41" s="2"/>
      <c r="G41" s="34" t="e">
        <f t="shared" si="1"/>
        <v>#REF!</v>
      </c>
      <c r="H41" s="34"/>
      <c r="I41" s="34" t="e">
        <f>강관용접!I59</f>
        <v>#REF!</v>
      </c>
      <c r="J41" s="34"/>
      <c r="K41" s="34">
        <f>강관용접!K59</f>
        <v>70634</v>
      </c>
      <c r="L41" s="34"/>
      <c r="M41" s="34">
        <f>강관용접!M59</f>
        <v>4238</v>
      </c>
      <c r="N41" s="2"/>
    </row>
    <row r="42" spans="1:14" ht="18" customHeight="1">
      <c r="A42" s="39">
        <v>39</v>
      </c>
      <c r="B42" s="54" t="str">
        <f>강관용접!B65</f>
        <v>강관접합(A종)</v>
      </c>
      <c r="C42" s="33" t="str">
        <f>강관용접!C65</f>
        <v>D500㎜, 외부용접</v>
      </c>
      <c r="D42" s="1">
        <v>1</v>
      </c>
      <c r="E42" s="2" t="s">
        <v>3</v>
      </c>
      <c r="F42" s="2"/>
      <c r="G42" s="34" t="e">
        <f t="shared" si="1"/>
        <v>#REF!</v>
      </c>
      <c r="H42" s="34"/>
      <c r="I42" s="34" t="e">
        <f>강관용접!I65</f>
        <v>#REF!</v>
      </c>
      <c r="J42" s="34"/>
      <c r="K42" s="34">
        <f>강관용접!K65</f>
        <v>86908</v>
      </c>
      <c r="L42" s="34"/>
      <c r="M42" s="34">
        <f>강관용접!M65</f>
        <v>5214.3999999999996</v>
      </c>
      <c r="N42" s="2"/>
    </row>
    <row r="43" spans="1:14" ht="18" customHeight="1">
      <c r="A43" s="39">
        <v>40</v>
      </c>
      <c r="B43" s="54" t="str">
        <f>강관용접!B71</f>
        <v>강관접합(A종)</v>
      </c>
      <c r="C43" s="33" t="str">
        <f>강관용접!C71</f>
        <v>D600㎜, 외부용접</v>
      </c>
      <c r="D43" s="1">
        <v>1</v>
      </c>
      <c r="E43" s="2" t="s">
        <v>3</v>
      </c>
      <c r="F43" s="2"/>
      <c r="G43" s="34" t="e">
        <f t="shared" si="1"/>
        <v>#REF!</v>
      </c>
      <c r="H43" s="34"/>
      <c r="I43" s="34" t="e">
        <f>강관용접!I71</f>
        <v>#REF!</v>
      </c>
      <c r="J43" s="34"/>
      <c r="K43" s="34">
        <f>강관용접!K71</f>
        <v>113014.39999999999</v>
      </c>
      <c r="L43" s="34"/>
      <c r="M43" s="34">
        <f>강관용접!M71</f>
        <v>6780.8</v>
      </c>
      <c r="N43" s="2"/>
    </row>
    <row r="44" spans="1:14" ht="18" customHeight="1">
      <c r="A44" s="39">
        <v>41</v>
      </c>
      <c r="B44" s="54" t="str">
        <f>강관용접!B77</f>
        <v>강관접합(A종)</v>
      </c>
      <c r="C44" s="33" t="str">
        <f>강관용접!C77</f>
        <v>D700㎜, 외부용접</v>
      </c>
      <c r="D44" s="1">
        <v>1</v>
      </c>
      <c r="E44" s="2" t="s">
        <v>3</v>
      </c>
      <c r="F44" s="2"/>
      <c r="G44" s="34" t="e">
        <f t="shared" si="1"/>
        <v>#REF!</v>
      </c>
      <c r="H44" s="34"/>
      <c r="I44" s="34" t="e">
        <f>강관용접!I77</f>
        <v>#REF!</v>
      </c>
      <c r="J44" s="34"/>
      <c r="K44" s="34">
        <f>강관용접!K77</f>
        <v>161441</v>
      </c>
      <c r="L44" s="34"/>
      <c r="M44" s="34">
        <f>강관용접!M77</f>
        <v>9686.4</v>
      </c>
      <c r="N44" s="2"/>
    </row>
    <row r="45" spans="1:14" ht="18" customHeight="1">
      <c r="A45" s="39">
        <v>42</v>
      </c>
      <c r="B45" s="54" t="str">
        <f>강관용접!B83</f>
        <v>강관접합(B종)</v>
      </c>
      <c r="C45" s="33" t="str">
        <f>강관용접!C83</f>
        <v>D700㎜, 외부용접</v>
      </c>
      <c r="D45" s="1">
        <v>1</v>
      </c>
      <c r="E45" s="2" t="s">
        <v>3</v>
      </c>
      <c r="F45" s="2"/>
      <c r="G45" s="34" t="e">
        <f t="shared" si="1"/>
        <v>#REF!</v>
      </c>
      <c r="H45" s="34"/>
      <c r="I45" s="34" t="e">
        <f>강관용접!I83</f>
        <v>#REF!</v>
      </c>
      <c r="J45" s="34"/>
      <c r="K45" s="34">
        <f>강관용접!K83</f>
        <v>0</v>
      </c>
      <c r="L45" s="34"/>
      <c r="M45" s="34">
        <f>강관용접!M83</f>
        <v>0</v>
      </c>
      <c r="N45" s="2" t="s">
        <v>259</v>
      </c>
    </row>
    <row r="46" spans="1:14" ht="18" customHeight="1">
      <c r="A46" s="39">
        <v>43</v>
      </c>
      <c r="B46" s="54" t="str">
        <f>강관용접!B89</f>
        <v>강관접합(A종)</v>
      </c>
      <c r="C46" s="33" t="str">
        <f>강관용접!C89</f>
        <v>D800㎜, 내·외부용접</v>
      </c>
      <c r="D46" s="1">
        <v>1</v>
      </c>
      <c r="E46" s="2" t="s">
        <v>3</v>
      </c>
      <c r="F46" s="2"/>
      <c r="G46" s="34" t="e">
        <f t="shared" si="1"/>
        <v>#REF!</v>
      </c>
      <c r="H46" s="34"/>
      <c r="I46" s="34" t="e">
        <f>강관용접!I89</f>
        <v>#REF!</v>
      </c>
      <c r="J46" s="34"/>
      <c r="K46" s="34">
        <f>강관용접!K89</f>
        <v>339043.2</v>
      </c>
      <c r="L46" s="34"/>
      <c r="M46" s="34">
        <f>강관용접!M89</f>
        <v>20342.5</v>
      </c>
      <c r="N46" s="2"/>
    </row>
    <row r="47" spans="1:14" ht="18" customHeight="1">
      <c r="A47" s="39">
        <v>44</v>
      </c>
      <c r="B47" s="54" t="str">
        <f>강관용접!B95</f>
        <v>강관접합(B종)</v>
      </c>
      <c r="C47" s="33" t="str">
        <f>강관용접!C95</f>
        <v>D800㎜, 내·외부용접</v>
      </c>
      <c r="D47" s="1">
        <v>1</v>
      </c>
      <c r="E47" s="2" t="s">
        <v>3</v>
      </c>
      <c r="F47" s="2"/>
      <c r="G47" s="34" t="e">
        <f t="shared" si="1"/>
        <v>#REF!</v>
      </c>
      <c r="H47" s="34"/>
      <c r="I47" s="34" t="e">
        <f>강관용접!I95</f>
        <v>#REF!</v>
      </c>
      <c r="J47" s="34"/>
      <c r="K47" s="34">
        <f>강관용접!K95</f>
        <v>211902</v>
      </c>
      <c r="L47" s="34"/>
      <c r="M47" s="34">
        <f>강관용접!M95</f>
        <v>12714.1</v>
      </c>
      <c r="N47" s="2"/>
    </row>
    <row r="48" spans="1:14" ht="18" customHeight="1">
      <c r="A48" s="39">
        <v>45</v>
      </c>
      <c r="B48" s="54" t="str">
        <f>강관용접!B101</f>
        <v>강관접합(A종)</v>
      </c>
      <c r="C48" s="33" t="str">
        <f>강관용접!C101</f>
        <v>D900㎜, 내·외부용접</v>
      </c>
      <c r="D48" s="1">
        <v>1</v>
      </c>
      <c r="E48" s="2" t="s">
        <v>3</v>
      </c>
      <c r="F48" s="2"/>
      <c r="G48" s="34" t="e">
        <f t="shared" si="1"/>
        <v>#REF!</v>
      </c>
      <c r="H48" s="34"/>
      <c r="I48" s="34" t="e">
        <f>강관용접!I101</f>
        <v>#REF!</v>
      </c>
      <c r="J48" s="34"/>
      <c r="K48" s="34">
        <f>강관용접!K101</f>
        <v>423804</v>
      </c>
      <c r="L48" s="34"/>
      <c r="M48" s="34">
        <f>강관용접!M101</f>
        <v>25428.2</v>
      </c>
      <c r="N48" s="2"/>
    </row>
    <row r="49" spans="1:14" ht="18" customHeight="1">
      <c r="A49" s="39">
        <v>46</v>
      </c>
      <c r="B49" s="54" t="str">
        <f>강관용접!B107</f>
        <v>강관접합(B종)</v>
      </c>
      <c r="C49" s="33" t="str">
        <f>강관용접!C107</f>
        <v>D900㎜, 내·외부용접</v>
      </c>
      <c r="D49" s="1">
        <v>1</v>
      </c>
      <c r="E49" s="2" t="s">
        <v>3</v>
      </c>
      <c r="F49" s="2"/>
      <c r="G49" s="34" t="e">
        <f t="shared" si="1"/>
        <v>#REF!</v>
      </c>
      <c r="H49" s="34"/>
      <c r="I49" s="34" t="e">
        <f>강관용접!I107</f>
        <v>#REF!</v>
      </c>
      <c r="J49" s="34"/>
      <c r="K49" s="34">
        <f>강관용접!K107</f>
        <v>282507.7</v>
      </c>
      <c r="L49" s="34"/>
      <c r="M49" s="34">
        <f>강관용접!M107</f>
        <v>16950.400000000001</v>
      </c>
      <c r="N49" s="2"/>
    </row>
    <row r="50" spans="1:14" ht="18" customHeight="1">
      <c r="A50" s="39">
        <v>47</v>
      </c>
      <c r="B50" s="54" t="str">
        <f>강관용접!B113</f>
        <v>강관접합(A종)</v>
      </c>
      <c r="C50" s="33" t="str">
        <f>강관용접!C113</f>
        <v>D1000㎜, 내·외부용접</v>
      </c>
      <c r="D50" s="1">
        <v>1</v>
      </c>
      <c r="E50" s="2" t="s">
        <v>3</v>
      </c>
      <c r="F50" s="2"/>
      <c r="G50" s="34" t="e">
        <f t="shared" si="1"/>
        <v>#REF!</v>
      </c>
      <c r="H50" s="34"/>
      <c r="I50" s="34" t="e">
        <f>강관용접!I113</f>
        <v>#REF!</v>
      </c>
      <c r="J50" s="34"/>
      <c r="K50" s="34">
        <f>강관용접!K113</f>
        <v>565100.19999999995</v>
      </c>
      <c r="L50" s="34"/>
      <c r="M50" s="34">
        <f>강관용접!M113</f>
        <v>33905.9</v>
      </c>
      <c r="N50" s="2"/>
    </row>
    <row r="51" spans="1:14" ht="18" customHeight="1">
      <c r="A51" s="39">
        <v>48</v>
      </c>
      <c r="B51" s="54" t="str">
        <f>강관용접!B119</f>
        <v>강관접합(B종)</v>
      </c>
      <c r="C51" s="33" t="str">
        <f>강관용접!C119</f>
        <v>D1000㎜, 내·외부용접</v>
      </c>
      <c r="D51" s="1">
        <v>1</v>
      </c>
      <c r="E51" s="2" t="s">
        <v>3</v>
      </c>
      <c r="F51" s="2"/>
      <c r="G51" s="34" t="e">
        <f t="shared" si="1"/>
        <v>#REF!</v>
      </c>
      <c r="H51" s="34"/>
      <c r="I51" s="34" t="e">
        <f>강관용접!I119</f>
        <v>#REF!</v>
      </c>
      <c r="J51" s="34"/>
      <c r="K51" s="34">
        <f>강관용접!K119</f>
        <v>339043.2</v>
      </c>
      <c r="L51" s="34"/>
      <c r="M51" s="34">
        <f>강관용접!M119</f>
        <v>20342.5</v>
      </c>
      <c r="N51" s="2"/>
    </row>
    <row r="52" spans="1:14" ht="18" customHeight="1">
      <c r="A52" s="39">
        <v>49</v>
      </c>
      <c r="B52" s="54" t="str">
        <f>강관용접!B125</f>
        <v>강관접합(A종)</v>
      </c>
      <c r="C52" s="33" t="str">
        <f>강관용접!C125</f>
        <v>D1100㎜, 내·외부용접</v>
      </c>
      <c r="D52" s="1">
        <v>1</v>
      </c>
      <c r="E52" s="2" t="s">
        <v>3</v>
      </c>
      <c r="F52" s="2"/>
      <c r="G52" s="34" t="e">
        <f t="shared" si="1"/>
        <v>#REF!</v>
      </c>
      <c r="H52" s="34"/>
      <c r="I52" s="34" t="e">
        <f>강관용접!I125</f>
        <v>#REF!</v>
      </c>
      <c r="J52" s="34"/>
      <c r="K52" s="34">
        <f>강관용접!K125</f>
        <v>565100.19999999995</v>
      </c>
      <c r="L52" s="34"/>
      <c r="M52" s="34">
        <f>강관용접!M125</f>
        <v>33905.9</v>
      </c>
      <c r="N52" s="2"/>
    </row>
    <row r="53" spans="1:14" ht="18" customHeight="1">
      <c r="A53" s="39">
        <v>50</v>
      </c>
      <c r="B53" s="54" t="str">
        <f>강관용접!B131</f>
        <v>강관접합(B종)</v>
      </c>
      <c r="C53" s="33" t="str">
        <f>강관용접!C131</f>
        <v>D1100㎜, 내·외부용접</v>
      </c>
      <c r="D53" s="1">
        <v>1</v>
      </c>
      <c r="E53" s="2" t="s">
        <v>3</v>
      </c>
      <c r="F53" s="2"/>
      <c r="G53" s="34" t="e">
        <f t="shared" si="1"/>
        <v>#REF!</v>
      </c>
      <c r="H53" s="34"/>
      <c r="I53" s="34" t="e">
        <f>강관용접!I131</f>
        <v>#REF!</v>
      </c>
      <c r="J53" s="34"/>
      <c r="K53" s="34">
        <f>강관용접!K131</f>
        <v>423804</v>
      </c>
      <c r="L53" s="34"/>
      <c r="M53" s="34">
        <f>강관용접!M131</f>
        <v>25428.2</v>
      </c>
      <c r="N53" s="2"/>
    </row>
    <row r="54" spans="1:14" ht="18" customHeight="1">
      <c r="A54" s="39">
        <v>51</v>
      </c>
      <c r="B54" s="54" t="str">
        <f>강관용접!B137</f>
        <v>강관접합(A종)</v>
      </c>
      <c r="C54" s="33" t="str">
        <f>강관용접!C137</f>
        <v>D1200㎜, 내·외부용접</v>
      </c>
      <c r="D54" s="1">
        <v>1</v>
      </c>
      <c r="E54" s="2" t="s">
        <v>3</v>
      </c>
      <c r="F54" s="2"/>
      <c r="G54" s="34" t="e">
        <f t="shared" si="1"/>
        <v>#REF!</v>
      </c>
      <c r="H54" s="34"/>
      <c r="I54" s="34" t="e">
        <f>강관용접!I137</f>
        <v>#REF!</v>
      </c>
      <c r="J54" s="34"/>
      <c r="K54" s="34">
        <f>강관용접!K137</f>
        <v>847608</v>
      </c>
      <c r="L54" s="34"/>
      <c r="M54" s="34">
        <f>강관용접!M137</f>
        <v>50856.4</v>
      </c>
      <c r="N54" s="2"/>
    </row>
    <row r="55" spans="1:14" ht="18" customHeight="1">
      <c r="A55" s="39">
        <v>52</v>
      </c>
      <c r="B55" s="54" t="str">
        <f>강관용접!B143</f>
        <v>강관접합(B종)</v>
      </c>
      <c r="C55" s="33" t="str">
        <f>강관용접!C143</f>
        <v>D1200㎜, 내·외부용접</v>
      </c>
      <c r="D55" s="1">
        <v>1</v>
      </c>
      <c r="E55" s="2" t="s">
        <v>3</v>
      </c>
      <c r="F55" s="2"/>
      <c r="G55" s="34" t="e">
        <f t="shared" si="1"/>
        <v>#REF!</v>
      </c>
      <c r="H55" s="34"/>
      <c r="I55" s="34" t="e">
        <f>강관용접!I143</f>
        <v>#REF!</v>
      </c>
      <c r="J55" s="34"/>
      <c r="K55" s="34">
        <f>강관용접!K143</f>
        <v>423804</v>
      </c>
      <c r="L55" s="34"/>
      <c r="M55" s="34">
        <f>강관용접!M143</f>
        <v>25428.2</v>
      </c>
      <c r="N55" s="2"/>
    </row>
    <row r="56" spans="1:14" ht="18" customHeight="1">
      <c r="A56" s="39">
        <v>53</v>
      </c>
      <c r="B56" s="54" t="str">
        <f>강관용접!B149</f>
        <v>강관접합(A종)</v>
      </c>
      <c r="C56" s="33" t="str">
        <f>강관용접!C149</f>
        <v>D1350㎜, 내·외부용접</v>
      </c>
      <c r="D56" s="1">
        <v>1</v>
      </c>
      <c r="E56" s="2" t="s">
        <v>3</v>
      </c>
      <c r="F56" s="2"/>
      <c r="G56" s="34" t="e">
        <f t="shared" si="1"/>
        <v>#REF!</v>
      </c>
      <c r="H56" s="34"/>
      <c r="I56" s="34" t="e">
        <f>강관용접!I149</f>
        <v>#REF!</v>
      </c>
      <c r="J56" s="34"/>
      <c r="K56" s="34">
        <f>강관용접!K149</f>
        <v>847608</v>
      </c>
      <c r="L56" s="34"/>
      <c r="M56" s="34">
        <f>강관용접!M149</f>
        <v>50856.4</v>
      </c>
      <c r="N56" s="2"/>
    </row>
    <row r="57" spans="1:14" ht="18" customHeight="1">
      <c r="A57" s="39">
        <v>54</v>
      </c>
      <c r="B57" s="54" t="str">
        <f>강관용접!B155</f>
        <v>강관접합(B종)</v>
      </c>
      <c r="C57" s="33" t="str">
        <f>강관용접!C155</f>
        <v>D1350㎜, 내·외부용접</v>
      </c>
      <c r="D57" s="1">
        <v>1</v>
      </c>
      <c r="E57" s="2" t="s">
        <v>3</v>
      </c>
      <c r="F57" s="2"/>
      <c r="G57" s="34" t="e">
        <f t="shared" si="1"/>
        <v>#REF!</v>
      </c>
      <c r="H57" s="34"/>
      <c r="I57" s="34" t="e">
        <f>강관용접!I155</f>
        <v>#REF!</v>
      </c>
      <c r="J57" s="34"/>
      <c r="K57" s="34">
        <f>강관용접!K155</f>
        <v>565100.19999999995</v>
      </c>
      <c r="L57" s="34"/>
      <c r="M57" s="34">
        <f>강관용접!M155</f>
        <v>33905.9</v>
      </c>
      <c r="N57" s="2"/>
    </row>
    <row r="58" spans="1:14" ht="18" customHeight="1">
      <c r="A58" s="39">
        <v>55</v>
      </c>
      <c r="B58" s="54" t="str">
        <f>강관용접!B161</f>
        <v>강관접합(A종)</v>
      </c>
      <c r="C58" s="33" t="str">
        <f>강관용접!C161</f>
        <v>D1500㎜, 내·외부용접</v>
      </c>
      <c r="D58" s="1">
        <v>1</v>
      </c>
      <c r="E58" s="2" t="s">
        <v>3</v>
      </c>
      <c r="F58" s="2"/>
      <c r="G58" s="34" t="e">
        <f t="shared" si="1"/>
        <v>#REF!</v>
      </c>
      <c r="H58" s="34"/>
      <c r="I58" s="34" t="e">
        <f>강관용접!I161</f>
        <v>#REF!</v>
      </c>
      <c r="J58" s="34"/>
      <c r="K58" s="34">
        <f>강관용접!K161</f>
        <v>847608</v>
      </c>
      <c r="L58" s="34"/>
      <c r="M58" s="34">
        <f>강관용접!M161</f>
        <v>50856.4</v>
      </c>
      <c r="N58" s="2"/>
    </row>
    <row r="59" spans="1:14" ht="18" customHeight="1">
      <c r="A59" s="39">
        <v>56</v>
      </c>
      <c r="B59" s="54" t="str">
        <f>강관용접!B167</f>
        <v>강관접합(B종)</v>
      </c>
      <c r="C59" s="33" t="str">
        <f>강관용접!C167</f>
        <v>D1500㎜, 내·외부용접</v>
      </c>
      <c r="D59" s="1">
        <v>1</v>
      </c>
      <c r="E59" s="2" t="s">
        <v>3</v>
      </c>
      <c r="F59" s="2"/>
      <c r="G59" s="34" t="e">
        <f t="shared" si="1"/>
        <v>#REF!</v>
      </c>
      <c r="H59" s="34"/>
      <c r="I59" s="34" t="e">
        <f>강관용접!I167</f>
        <v>#REF!</v>
      </c>
      <c r="J59" s="34"/>
      <c r="K59" s="34">
        <f>강관용접!K167</f>
        <v>565100.19999999995</v>
      </c>
      <c r="L59" s="34"/>
      <c r="M59" s="34">
        <f>강관용접!M167</f>
        <v>33905.9</v>
      </c>
      <c r="N59" s="2"/>
    </row>
    <row r="60" spans="1:14" ht="18" customHeight="1">
      <c r="A60" s="39">
        <v>57</v>
      </c>
      <c r="B60" s="54" t="str">
        <f>강관용접!B173</f>
        <v>강관접합(A종)</v>
      </c>
      <c r="C60" s="33" t="str">
        <f>강관용접!C173</f>
        <v>D1650㎜, 내·외부용접</v>
      </c>
      <c r="D60" s="1">
        <v>1</v>
      </c>
      <c r="E60" s="2" t="s">
        <v>3</v>
      </c>
      <c r="F60" s="2"/>
      <c r="G60" s="34" t="e">
        <f t="shared" si="1"/>
        <v>#REF!</v>
      </c>
      <c r="H60" s="34"/>
      <c r="I60" s="34" t="e">
        <f>강관용접!I173</f>
        <v>#REF!</v>
      </c>
      <c r="J60" s="34"/>
      <c r="K60" s="34">
        <f>강관용접!K173</f>
        <v>847608</v>
      </c>
      <c r="L60" s="34"/>
      <c r="M60" s="34">
        <f>강관용접!M173</f>
        <v>50856.4</v>
      </c>
      <c r="N60" s="2"/>
    </row>
    <row r="61" spans="1:14" ht="18" customHeight="1">
      <c r="A61" s="39">
        <v>58</v>
      </c>
      <c r="B61" s="54" t="str">
        <f>강관용접!B179</f>
        <v>강관접합(B종)</v>
      </c>
      <c r="C61" s="33" t="str">
        <f>강관용접!C179</f>
        <v>D1650㎜, 내·외부용접</v>
      </c>
      <c r="D61" s="1">
        <v>1</v>
      </c>
      <c r="E61" s="2" t="s">
        <v>3</v>
      </c>
      <c r="F61" s="2"/>
      <c r="G61" s="34" t="e">
        <f t="shared" si="1"/>
        <v>#REF!</v>
      </c>
      <c r="H61" s="34"/>
      <c r="I61" s="34" t="e">
        <f>강관용접!I179</f>
        <v>#REF!</v>
      </c>
      <c r="J61" s="34"/>
      <c r="K61" s="34">
        <f>강관용접!K179</f>
        <v>565100.19999999995</v>
      </c>
      <c r="L61" s="34"/>
      <c r="M61" s="34">
        <f>강관용접!M179</f>
        <v>33905.9</v>
      </c>
      <c r="N61" s="2"/>
    </row>
    <row r="62" spans="1:14" ht="18" customHeight="1">
      <c r="A62" s="39">
        <v>59</v>
      </c>
      <c r="B62" s="54" t="str">
        <f>강관용접!B185</f>
        <v>강관접합(A종)</v>
      </c>
      <c r="C62" s="33" t="str">
        <f>강관용접!C185</f>
        <v>D1800㎜, 내·외부용접</v>
      </c>
      <c r="D62" s="1">
        <v>1</v>
      </c>
      <c r="E62" s="2" t="s">
        <v>3</v>
      </c>
      <c r="F62" s="2"/>
      <c r="G62" s="34" t="e">
        <f t="shared" si="1"/>
        <v>#REF!</v>
      </c>
      <c r="H62" s="34"/>
      <c r="I62" s="34" t="e">
        <f>강관용접!I185</f>
        <v>#REF!</v>
      </c>
      <c r="J62" s="34"/>
      <c r="K62" s="34">
        <f>강관용접!K185</f>
        <v>1130144</v>
      </c>
      <c r="L62" s="34"/>
      <c r="M62" s="34">
        <f>강관용접!M185</f>
        <v>67808.600000000006</v>
      </c>
      <c r="N62" s="2"/>
    </row>
    <row r="63" spans="1:14" ht="18" customHeight="1">
      <c r="A63" s="39">
        <v>60</v>
      </c>
      <c r="B63" s="54" t="str">
        <f>강관용접!B191</f>
        <v>강관접합(B종)</v>
      </c>
      <c r="C63" s="33" t="str">
        <f>강관용접!C191</f>
        <v>D1800㎜, 내·외부용접</v>
      </c>
      <c r="D63" s="1">
        <v>1</v>
      </c>
      <c r="E63" s="2" t="s">
        <v>3</v>
      </c>
      <c r="F63" s="2"/>
      <c r="G63" s="34" t="e">
        <f t="shared" si="1"/>
        <v>#REF!</v>
      </c>
      <c r="H63" s="34"/>
      <c r="I63" s="34" t="e">
        <f>강관용접!I191</f>
        <v>#REF!</v>
      </c>
      <c r="J63" s="34"/>
      <c r="K63" s="34">
        <f>강관용접!K191</f>
        <v>753467</v>
      </c>
      <c r="L63" s="34"/>
      <c r="M63" s="34">
        <f>강관용접!M191</f>
        <v>45207.9</v>
      </c>
      <c r="N63" s="2"/>
    </row>
    <row r="64" spans="1:14" ht="18" customHeight="1">
      <c r="A64" s="39">
        <v>61</v>
      </c>
      <c r="B64" s="54" t="str">
        <f>강관용접!B197</f>
        <v>강관접합(A종)</v>
      </c>
      <c r="C64" s="33" t="str">
        <f>강관용접!C197</f>
        <v>D2000㎜, 내·외부용접</v>
      </c>
      <c r="D64" s="1">
        <v>1</v>
      </c>
      <c r="E64" s="2" t="s">
        <v>3</v>
      </c>
      <c r="F64" s="2"/>
      <c r="G64" s="34" t="e">
        <f t="shared" si="1"/>
        <v>#REF!</v>
      </c>
      <c r="H64" s="34"/>
      <c r="I64" s="34" t="e">
        <f>강관용접!I197</f>
        <v>#REF!</v>
      </c>
      <c r="J64" s="34"/>
      <c r="K64" s="34">
        <f>강관용접!K197</f>
        <v>1130144</v>
      </c>
      <c r="L64" s="34"/>
      <c r="M64" s="34">
        <f>강관용접!M197</f>
        <v>67808.600000000006</v>
      </c>
      <c r="N64" s="2"/>
    </row>
    <row r="65" spans="1:14" ht="18" customHeight="1">
      <c r="A65" s="39">
        <v>62</v>
      </c>
      <c r="B65" s="54" t="str">
        <f>강관용접!B203</f>
        <v>강관접합(B종)</v>
      </c>
      <c r="C65" s="33" t="str">
        <f>강관용접!C203</f>
        <v>D2000㎜, 내·외부용접</v>
      </c>
      <c r="D65" s="1">
        <v>1</v>
      </c>
      <c r="E65" s="2" t="s">
        <v>3</v>
      </c>
      <c r="F65" s="2"/>
      <c r="G65" s="34" t="e">
        <f t="shared" si="1"/>
        <v>#REF!</v>
      </c>
      <c r="H65" s="34"/>
      <c r="I65" s="34" t="e">
        <f>강관용접!I203</f>
        <v>#REF!</v>
      </c>
      <c r="J65" s="34"/>
      <c r="K65" s="34">
        <f>강관용접!K203</f>
        <v>753467</v>
      </c>
      <c r="L65" s="34"/>
      <c r="M65" s="34">
        <f>강관용접!M203</f>
        <v>45207.9</v>
      </c>
      <c r="N65" s="2"/>
    </row>
    <row r="66" spans="1:14" ht="18" customHeight="1">
      <c r="A66" s="39">
        <v>63</v>
      </c>
      <c r="B66" s="54" t="str">
        <f>강관용접!B209</f>
        <v>강관접합(A종)</v>
      </c>
      <c r="C66" s="33" t="str">
        <f>강관용접!C209</f>
        <v>D2200㎜, 내·외부용접</v>
      </c>
      <c r="D66" s="1">
        <v>1</v>
      </c>
      <c r="E66" s="2" t="s">
        <v>3</v>
      </c>
      <c r="F66" s="2"/>
      <c r="G66" s="34" t="e">
        <f t="shared" si="1"/>
        <v>#REF!</v>
      </c>
      <c r="H66" s="34"/>
      <c r="I66" s="34" t="e">
        <f>강관용접!I209</f>
        <v>#REF!</v>
      </c>
      <c r="J66" s="34"/>
      <c r="K66" s="34">
        <f>강관용접!K209</f>
        <v>1130144</v>
      </c>
      <c r="L66" s="34"/>
      <c r="M66" s="34">
        <f>강관용접!M209</f>
        <v>67808.600000000006</v>
      </c>
      <c r="N66" s="2"/>
    </row>
    <row r="67" spans="1:14" ht="18" customHeight="1">
      <c r="A67" s="39">
        <v>64</v>
      </c>
      <c r="B67" s="54" t="str">
        <f>강관용접!B215</f>
        <v>강관접합(B종)</v>
      </c>
      <c r="C67" s="33" t="str">
        <f>강관용접!C215</f>
        <v>D2200㎜, 내·외부용접</v>
      </c>
      <c r="D67" s="1">
        <v>1</v>
      </c>
      <c r="E67" s="2" t="s">
        <v>3</v>
      </c>
      <c r="F67" s="2"/>
      <c r="G67" s="34" t="e">
        <f t="shared" si="1"/>
        <v>#REF!</v>
      </c>
      <c r="H67" s="34"/>
      <c r="I67" s="34" t="e">
        <f>강관용접!I215</f>
        <v>#REF!</v>
      </c>
      <c r="J67" s="34"/>
      <c r="K67" s="34">
        <f>강관용접!K215</f>
        <v>753467</v>
      </c>
      <c r="L67" s="34"/>
      <c r="M67" s="34">
        <f>강관용접!M215</f>
        <v>45207.9</v>
      </c>
      <c r="N67" s="2"/>
    </row>
    <row r="68" spans="1:14" ht="18" customHeight="1">
      <c r="A68" s="39">
        <v>65</v>
      </c>
      <c r="B68" s="54" t="str">
        <f>강관용접!B221</f>
        <v>강관접합(A종)</v>
      </c>
      <c r="C68" s="33" t="str">
        <f>강관용접!C221</f>
        <v>D2400㎜, 내·외부용접</v>
      </c>
      <c r="D68" s="1">
        <v>1</v>
      </c>
      <c r="E68" s="2" t="s">
        <v>3</v>
      </c>
      <c r="F68" s="2"/>
      <c r="G68" s="34" t="e">
        <f t="shared" si="1"/>
        <v>#REF!</v>
      </c>
      <c r="H68" s="34"/>
      <c r="I68" s="34" t="e">
        <f>강관용접!I221</f>
        <v>#REF!</v>
      </c>
      <c r="J68" s="34"/>
      <c r="K68" s="34">
        <f>강관용접!K221</f>
        <v>1130144</v>
      </c>
      <c r="L68" s="34"/>
      <c r="M68" s="34">
        <f>강관용접!M221</f>
        <v>67808.600000000006</v>
      </c>
      <c r="N68" s="2"/>
    </row>
    <row r="69" spans="1:14" ht="18" customHeight="1">
      <c r="A69" s="39">
        <v>66</v>
      </c>
      <c r="B69" s="54" t="str">
        <f>강관용접!B227</f>
        <v>강관접합(B종)</v>
      </c>
      <c r="C69" s="33" t="str">
        <f>강관용접!C227</f>
        <v>D2400㎜, 내·외부용접</v>
      </c>
      <c r="D69" s="1">
        <v>1</v>
      </c>
      <c r="E69" s="2" t="s">
        <v>3</v>
      </c>
      <c r="F69" s="2"/>
      <c r="G69" s="34" t="e">
        <f t="shared" ref="G69:G105" si="2">I69+K69+M69</f>
        <v>#REF!</v>
      </c>
      <c r="H69" s="34"/>
      <c r="I69" s="34" t="e">
        <f>강관용접!I227</f>
        <v>#REF!</v>
      </c>
      <c r="J69" s="34"/>
      <c r="K69" s="34">
        <f>강관용접!K227</f>
        <v>1130144</v>
      </c>
      <c r="L69" s="34"/>
      <c r="M69" s="34">
        <f>강관용접!M227</f>
        <v>67808.600000000006</v>
      </c>
      <c r="N69" s="2"/>
    </row>
    <row r="70" spans="1:14" ht="18" customHeight="1">
      <c r="A70" s="39">
        <v>67</v>
      </c>
      <c r="B70" s="54" t="str">
        <f>강관용접!B233</f>
        <v>발전기(1대)+용접기(2대)조합</v>
      </c>
      <c r="C70" s="33" t="str">
        <f>강관용접!C233</f>
        <v>발전기(50kw)+용접기(200Amp)</v>
      </c>
      <c r="D70" s="1">
        <v>1</v>
      </c>
      <c r="E70" s="2" t="s">
        <v>3</v>
      </c>
      <c r="F70" s="2"/>
      <c r="G70" s="34" t="e">
        <f t="shared" si="2"/>
        <v>#REF!</v>
      </c>
      <c r="H70" s="34"/>
      <c r="I70" s="34" t="e">
        <f>강관용접!I233</f>
        <v>#REF!</v>
      </c>
      <c r="J70" s="34"/>
      <c r="K70" s="34" t="e">
        <f>강관용접!K233</f>
        <v>#REF!</v>
      </c>
      <c r="L70" s="34"/>
      <c r="M70" s="34" t="e">
        <f>강관용접!M233</f>
        <v>#REF!</v>
      </c>
      <c r="N70" s="2"/>
    </row>
    <row r="71" spans="1:14" ht="18" customHeight="1">
      <c r="A71" s="39">
        <v>68</v>
      </c>
      <c r="B71" s="53" t="str">
        <f>강관용접!B237</f>
        <v>강관용접부 산소압축시험</v>
      </c>
      <c r="C71" s="3" t="str">
        <f>강관용접!C237</f>
        <v>D1500㎜이하</v>
      </c>
      <c r="D71" s="1">
        <v>1</v>
      </c>
      <c r="E71" s="2" t="s">
        <v>3</v>
      </c>
      <c r="F71" s="2"/>
      <c r="G71" s="34" t="e">
        <f t="shared" si="2"/>
        <v>#REF!</v>
      </c>
      <c r="H71" s="34"/>
      <c r="I71" s="34" t="e">
        <f>강관용접!I237</f>
        <v>#REF!</v>
      </c>
      <c r="J71" s="34"/>
      <c r="K71" s="34">
        <f>강관용접!K237</f>
        <v>92464</v>
      </c>
      <c r="L71" s="34"/>
      <c r="M71" s="34">
        <f>강관용접!M237</f>
        <v>0</v>
      </c>
      <c r="N71" s="2"/>
    </row>
    <row r="72" spans="1:14" ht="18" customHeight="1">
      <c r="A72" s="39">
        <v>69</v>
      </c>
      <c r="B72" s="54" t="str">
        <f>강관용접!B245</f>
        <v>강관용접부 산소압축시험</v>
      </c>
      <c r="C72" s="33" t="str">
        <f>강관용접!C245</f>
        <v>D1650㎜이상</v>
      </c>
      <c r="D72" s="1">
        <v>1</v>
      </c>
      <c r="E72" s="2" t="s">
        <v>3</v>
      </c>
      <c r="F72" s="2"/>
      <c r="G72" s="34" t="e">
        <f t="shared" si="2"/>
        <v>#REF!</v>
      </c>
      <c r="H72" s="34"/>
      <c r="I72" s="34" t="e">
        <f>강관용접!I245</f>
        <v>#REF!</v>
      </c>
      <c r="J72" s="34"/>
      <c r="K72" s="34">
        <f>강관용접!K245</f>
        <v>110956</v>
      </c>
      <c r="L72" s="34">
        <f>강관용접!L245</f>
        <v>0</v>
      </c>
      <c r="M72" s="34">
        <f>강관용접!M245</f>
        <v>0</v>
      </c>
      <c r="N72" s="2"/>
    </row>
    <row r="73" spans="1:14" ht="18" customHeight="1">
      <c r="A73" s="39">
        <v>70</v>
      </c>
      <c r="B73" s="54" t="str">
        <f>강관도장!B5</f>
        <v>강관도장(외부)</v>
      </c>
      <c r="C73" s="33" t="str">
        <f>강관도장!C5</f>
        <v>D80㎜</v>
      </c>
      <c r="D73" s="1">
        <v>1</v>
      </c>
      <c r="E73" s="2" t="s">
        <v>3</v>
      </c>
      <c r="F73" s="2"/>
      <c r="G73" s="34" t="e">
        <f t="shared" si="2"/>
        <v>#REF!</v>
      </c>
      <c r="H73" s="34"/>
      <c r="I73" s="34" t="e">
        <f>강관도장!I5</f>
        <v>#REF!</v>
      </c>
      <c r="J73" s="34"/>
      <c r="K73" s="34">
        <f>강관도장!K5</f>
        <v>14460</v>
      </c>
      <c r="L73" s="34"/>
      <c r="M73" s="34">
        <f>강관도장!M5</f>
        <v>0</v>
      </c>
      <c r="N73" s="2"/>
    </row>
    <row r="74" spans="1:14" ht="18" customHeight="1">
      <c r="A74" s="39">
        <v>71</v>
      </c>
      <c r="B74" s="54" t="str">
        <f>강관도장!B8</f>
        <v>강관도장(외부)</v>
      </c>
      <c r="C74" s="33" t="str">
        <f>강관도장!C8</f>
        <v>D100㎜</v>
      </c>
      <c r="D74" s="1">
        <v>1</v>
      </c>
      <c r="E74" s="2" t="s">
        <v>3</v>
      </c>
      <c r="F74" s="2"/>
      <c r="G74" s="34" t="e">
        <f t="shared" si="2"/>
        <v>#REF!</v>
      </c>
      <c r="H74" s="34"/>
      <c r="I74" s="34" t="e">
        <f>강관도장!I8</f>
        <v>#REF!</v>
      </c>
      <c r="J74" s="34"/>
      <c r="K74" s="34">
        <f>강관도장!K8</f>
        <v>18075</v>
      </c>
      <c r="L74" s="34"/>
      <c r="M74" s="34">
        <f>강관도장!M8</f>
        <v>0</v>
      </c>
      <c r="N74" s="2"/>
    </row>
    <row r="75" spans="1:14" ht="18" customHeight="1">
      <c r="A75" s="39">
        <v>72</v>
      </c>
      <c r="B75" s="54" t="str">
        <f>강관도장!B11</f>
        <v>강관도장(외부)</v>
      </c>
      <c r="C75" s="33" t="str">
        <f>강관도장!C11</f>
        <v>D150㎜</v>
      </c>
      <c r="D75" s="1">
        <v>1</v>
      </c>
      <c r="E75" s="2" t="s">
        <v>3</v>
      </c>
      <c r="F75" s="2"/>
      <c r="G75" s="34" t="e">
        <f t="shared" si="2"/>
        <v>#REF!</v>
      </c>
      <c r="H75" s="34"/>
      <c r="I75" s="34" t="e">
        <f>강관도장!I11</f>
        <v>#REF!</v>
      </c>
      <c r="J75" s="34"/>
      <c r="K75" s="34">
        <f>강관도장!K11</f>
        <v>27112</v>
      </c>
      <c r="L75" s="34"/>
      <c r="M75" s="34">
        <f>강관도장!M11</f>
        <v>0</v>
      </c>
      <c r="N75" s="2"/>
    </row>
    <row r="76" spans="1:14" ht="18" customHeight="1">
      <c r="A76" s="39">
        <v>73</v>
      </c>
      <c r="B76" s="54" t="str">
        <f>강관도장!B14</f>
        <v>강관도장(외부)</v>
      </c>
      <c r="C76" s="33" t="str">
        <f>강관도장!C14</f>
        <v>D200㎜</v>
      </c>
      <c r="D76" s="1">
        <v>1</v>
      </c>
      <c r="E76" s="2" t="s">
        <v>3</v>
      </c>
      <c r="F76" s="2"/>
      <c r="G76" s="34" t="e">
        <f t="shared" si="2"/>
        <v>#REF!</v>
      </c>
      <c r="H76" s="34"/>
      <c r="I76" s="34" t="e">
        <f>강관도장!I14</f>
        <v>#REF!</v>
      </c>
      <c r="J76" s="34"/>
      <c r="K76" s="34">
        <f>강관도장!K14</f>
        <v>36150</v>
      </c>
      <c r="L76" s="34"/>
      <c r="M76" s="34">
        <f>강관도장!M14</f>
        <v>0</v>
      </c>
      <c r="N76" s="2"/>
    </row>
    <row r="77" spans="1:14" ht="18" customHeight="1">
      <c r="A77" s="39">
        <v>74</v>
      </c>
      <c r="B77" s="54" t="str">
        <f>강관도장!B17</f>
        <v>강관도장(외부)</v>
      </c>
      <c r="C77" s="33" t="str">
        <f>강관도장!C17</f>
        <v>D250㎜</v>
      </c>
      <c r="D77" s="1">
        <v>1</v>
      </c>
      <c r="E77" s="2" t="s">
        <v>3</v>
      </c>
      <c r="F77" s="2"/>
      <c r="G77" s="34" t="e">
        <f t="shared" si="2"/>
        <v>#REF!</v>
      </c>
      <c r="H77" s="34"/>
      <c r="I77" s="34" t="e">
        <f>강관도장!I17</f>
        <v>#REF!</v>
      </c>
      <c r="J77" s="34"/>
      <c r="K77" s="34">
        <f>강관도장!K17</f>
        <v>45187</v>
      </c>
      <c r="L77" s="34"/>
      <c r="M77" s="34">
        <f>강관도장!M17</f>
        <v>0</v>
      </c>
      <c r="N77" s="2"/>
    </row>
    <row r="78" spans="1:14" ht="18" customHeight="1">
      <c r="A78" s="39">
        <v>75</v>
      </c>
      <c r="B78" s="54" t="str">
        <f>강관도장!B20</f>
        <v>강관도장(외부)</v>
      </c>
      <c r="C78" s="33" t="str">
        <f>강관도장!C20</f>
        <v>D300㎜</v>
      </c>
      <c r="D78" s="1">
        <v>1</v>
      </c>
      <c r="E78" s="2" t="s">
        <v>3</v>
      </c>
      <c r="F78" s="2"/>
      <c r="G78" s="34" t="e">
        <f t="shared" si="2"/>
        <v>#REF!</v>
      </c>
      <c r="H78" s="34"/>
      <c r="I78" s="34" t="e">
        <f>강관도장!I20</f>
        <v>#REF!</v>
      </c>
      <c r="J78" s="34"/>
      <c r="K78" s="34">
        <f>강관도장!K20</f>
        <v>54225</v>
      </c>
      <c r="L78" s="34">
        <f>강관도장!L20</f>
        <v>0</v>
      </c>
      <c r="M78" s="34">
        <f>강관도장!M20</f>
        <v>0</v>
      </c>
      <c r="N78" s="2"/>
    </row>
    <row r="79" spans="1:14" ht="18" customHeight="1">
      <c r="A79" s="39">
        <v>76</v>
      </c>
      <c r="B79" s="54" t="str">
        <f>강관도장!B28</f>
        <v>강관도장(외부)</v>
      </c>
      <c r="C79" s="33" t="str">
        <f>강관도장!C28</f>
        <v>D350㎜</v>
      </c>
      <c r="D79" s="1">
        <v>1</v>
      </c>
      <c r="E79" s="2" t="s">
        <v>3</v>
      </c>
      <c r="F79" s="2"/>
      <c r="G79" s="34" t="e">
        <f t="shared" si="2"/>
        <v>#REF!</v>
      </c>
      <c r="H79" s="34"/>
      <c r="I79" s="34" t="e">
        <f>강관도장!I28</f>
        <v>#REF!</v>
      </c>
      <c r="J79" s="34"/>
      <c r="K79" s="34">
        <f>강관도장!K28</f>
        <v>63836</v>
      </c>
      <c r="L79" s="34"/>
      <c r="M79" s="34">
        <f>강관도장!M28</f>
        <v>0</v>
      </c>
      <c r="N79" s="2"/>
    </row>
    <row r="80" spans="1:14" ht="18" customHeight="1">
      <c r="A80" s="39">
        <v>77</v>
      </c>
      <c r="B80" s="54" t="str">
        <f>강관도장!B36</f>
        <v>강관도장(외부)</v>
      </c>
      <c r="C80" s="33" t="str">
        <f>강관도장!C36</f>
        <v>D400㎜</v>
      </c>
      <c r="D80" s="1">
        <v>1</v>
      </c>
      <c r="E80" s="2" t="s">
        <v>3</v>
      </c>
      <c r="F80" s="2"/>
      <c r="G80" s="34" t="e">
        <f t="shared" si="2"/>
        <v>#REF!</v>
      </c>
      <c r="H80" s="34"/>
      <c r="I80" s="34" t="e">
        <f>강관도장!I36</f>
        <v>#REF!</v>
      </c>
      <c r="J80" s="34"/>
      <c r="K80" s="34">
        <f>강관도장!K36</f>
        <v>70817</v>
      </c>
      <c r="L80" s="34"/>
      <c r="M80" s="34">
        <f>강관도장!M36</f>
        <v>0</v>
      </c>
      <c r="N80" s="2"/>
    </row>
    <row r="81" spans="1:14" ht="18" customHeight="1">
      <c r="A81" s="39">
        <v>78</v>
      </c>
      <c r="B81" s="54" t="str">
        <f>강관도장!B44</f>
        <v>강관도장(외부)</v>
      </c>
      <c r="C81" s="33" t="str">
        <f>강관도장!C44</f>
        <v>D450㎜</v>
      </c>
      <c r="D81" s="1">
        <v>1</v>
      </c>
      <c r="E81" s="2" t="s">
        <v>3</v>
      </c>
      <c r="F81" s="2"/>
      <c r="G81" s="34" t="e">
        <f t="shared" si="2"/>
        <v>#REF!</v>
      </c>
      <c r="H81" s="34"/>
      <c r="I81" s="34" t="e">
        <f>강관도장!I44</f>
        <v>#REF!</v>
      </c>
      <c r="J81" s="34"/>
      <c r="K81" s="34">
        <f>강관도장!K44</f>
        <v>76078</v>
      </c>
      <c r="L81" s="34"/>
      <c r="M81" s="34">
        <f>강관도장!M44</f>
        <v>0</v>
      </c>
      <c r="N81" s="2"/>
    </row>
    <row r="82" spans="1:14" ht="18" customHeight="1">
      <c r="A82" s="39">
        <v>79</v>
      </c>
      <c r="B82" s="54" t="str">
        <f>강관도장!B52</f>
        <v>강관도장(외부)</v>
      </c>
      <c r="C82" s="33" t="str">
        <f>강관도장!C52</f>
        <v>D500㎜</v>
      </c>
      <c r="D82" s="1">
        <v>1</v>
      </c>
      <c r="E82" s="2" t="s">
        <v>3</v>
      </c>
      <c r="F82" s="2"/>
      <c r="G82" s="34" t="e">
        <f t="shared" si="2"/>
        <v>#REF!</v>
      </c>
      <c r="H82" s="34"/>
      <c r="I82" s="34" t="e">
        <f>강관도장!I52</f>
        <v>#REF!</v>
      </c>
      <c r="J82" s="34"/>
      <c r="K82" s="34">
        <f>강관도장!K52</f>
        <v>83059</v>
      </c>
      <c r="L82" s="34"/>
      <c r="M82" s="34">
        <f>강관도장!M52</f>
        <v>0</v>
      </c>
      <c r="N82" s="2"/>
    </row>
    <row r="83" spans="1:14" ht="18" customHeight="1">
      <c r="A83" s="39">
        <v>80</v>
      </c>
      <c r="B83" s="54" t="str">
        <f>강관도장!B60</f>
        <v>강관도장(외부)</v>
      </c>
      <c r="C83" s="33" t="str">
        <f>강관도장!C60</f>
        <v>D600㎜</v>
      </c>
      <c r="D83" s="1">
        <v>1</v>
      </c>
      <c r="E83" s="2" t="s">
        <v>3</v>
      </c>
      <c r="F83" s="2"/>
      <c r="G83" s="34" t="e">
        <f t="shared" si="2"/>
        <v>#REF!</v>
      </c>
      <c r="H83" s="34"/>
      <c r="I83" s="34" t="e">
        <f>강관도장!I60</f>
        <v>#REF!</v>
      </c>
      <c r="J83" s="34"/>
      <c r="K83" s="34">
        <f>강관도장!K60</f>
        <v>90949</v>
      </c>
      <c r="L83" s="34"/>
      <c r="M83" s="34">
        <f>강관도장!M60</f>
        <v>0</v>
      </c>
      <c r="N83" s="2"/>
    </row>
    <row r="84" spans="1:14" ht="18" customHeight="1">
      <c r="A84" s="39">
        <v>81</v>
      </c>
      <c r="B84" s="54" t="str">
        <f>강관도장!B68</f>
        <v>강관도장(외부)</v>
      </c>
      <c r="C84" s="33" t="str">
        <f>강관도장!C68</f>
        <v>D700㎜</v>
      </c>
      <c r="D84" s="1">
        <v>1</v>
      </c>
      <c r="E84" s="2" t="s">
        <v>3</v>
      </c>
      <c r="F84" s="2"/>
      <c r="G84" s="34" t="e">
        <f t="shared" si="2"/>
        <v>#REF!</v>
      </c>
      <c r="H84" s="34"/>
      <c r="I84" s="34" t="e">
        <f>강관도장!I68</f>
        <v>#REF!</v>
      </c>
      <c r="J84" s="34"/>
      <c r="K84" s="34">
        <f>강관도장!K68</f>
        <v>97930</v>
      </c>
      <c r="L84" s="34"/>
      <c r="M84" s="34">
        <f>강관도장!M68</f>
        <v>0</v>
      </c>
      <c r="N84" s="2"/>
    </row>
    <row r="85" spans="1:14" ht="18" customHeight="1">
      <c r="A85" s="39">
        <v>82</v>
      </c>
      <c r="B85" s="54" t="str">
        <f>강관도장!B81</f>
        <v>강관도장(내,외부)</v>
      </c>
      <c r="C85" s="33" t="str">
        <f>강관도장!C81</f>
        <v>D800㎜</v>
      </c>
      <c r="D85" s="1">
        <v>1</v>
      </c>
      <c r="E85" s="2" t="s">
        <v>3</v>
      </c>
      <c r="F85" s="2"/>
      <c r="G85" s="34" t="e">
        <f t="shared" si="2"/>
        <v>#REF!</v>
      </c>
      <c r="H85" s="34"/>
      <c r="I85" s="34" t="e">
        <f>강관도장!I81</f>
        <v>#REF!</v>
      </c>
      <c r="J85" s="34"/>
      <c r="K85" s="34">
        <f>강관도장!K81</f>
        <v>186250</v>
      </c>
      <c r="L85" s="34"/>
      <c r="M85" s="34">
        <f>강관도장!M81</f>
        <v>0</v>
      </c>
      <c r="N85" s="2"/>
    </row>
    <row r="86" spans="1:14" ht="18" customHeight="1">
      <c r="A86" s="39">
        <v>83</v>
      </c>
      <c r="B86" s="54" t="str">
        <f>강관도장!B94</f>
        <v>강관도장(내,외부)</v>
      </c>
      <c r="C86" s="33" t="str">
        <f>강관도장!C94</f>
        <v>D900㎜</v>
      </c>
      <c r="D86" s="1">
        <v>1</v>
      </c>
      <c r="E86" s="2" t="s">
        <v>3</v>
      </c>
      <c r="F86" s="2"/>
      <c r="G86" s="34" t="e">
        <f t="shared" si="2"/>
        <v>#REF!</v>
      </c>
      <c r="H86" s="34"/>
      <c r="I86" s="34" t="e">
        <f>강관도장!I94</f>
        <v>#REF!</v>
      </c>
      <c r="J86" s="34"/>
      <c r="K86" s="34">
        <f>강관도장!K94</f>
        <v>195861</v>
      </c>
      <c r="L86" s="34"/>
      <c r="M86" s="34">
        <f>강관도장!M94</f>
        <v>0</v>
      </c>
      <c r="N86" s="2"/>
    </row>
    <row r="87" spans="1:14" ht="18" customHeight="1">
      <c r="A87" s="39">
        <v>84</v>
      </c>
      <c r="B87" s="54" t="str">
        <f>강관도장!B107</f>
        <v>강관도장(내,외부)</v>
      </c>
      <c r="C87" s="33" t="str">
        <f>강관도장!C107</f>
        <v>D1000㎜</v>
      </c>
      <c r="D87" s="1">
        <v>1</v>
      </c>
      <c r="E87" s="2" t="s">
        <v>3</v>
      </c>
      <c r="F87" s="2"/>
      <c r="G87" s="34" t="e">
        <f t="shared" si="2"/>
        <v>#REF!</v>
      </c>
      <c r="H87" s="34"/>
      <c r="I87" s="34" t="e">
        <f>강관도장!I107</f>
        <v>#REF!</v>
      </c>
      <c r="J87" s="34"/>
      <c r="K87" s="34">
        <f>강관도장!K107</f>
        <v>206382</v>
      </c>
      <c r="L87" s="34"/>
      <c r="M87" s="34">
        <f>강관도장!M107</f>
        <v>0</v>
      </c>
      <c r="N87" s="2"/>
    </row>
    <row r="88" spans="1:14" ht="18" customHeight="1">
      <c r="A88" s="39">
        <v>85</v>
      </c>
      <c r="B88" s="54" t="str">
        <f>강관도장!B120</f>
        <v>강관도장(내,외부)</v>
      </c>
      <c r="C88" s="33" t="str">
        <f>강관도장!C120</f>
        <v>D1100㎜</v>
      </c>
      <c r="D88" s="1">
        <v>1</v>
      </c>
      <c r="E88" s="2" t="s">
        <v>3</v>
      </c>
      <c r="F88" s="2"/>
      <c r="G88" s="34" t="e">
        <f t="shared" si="2"/>
        <v>#REF!</v>
      </c>
      <c r="H88" s="34"/>
      <c r="I88" s="34" t="e">
        <f>강관도장!I120</f>
        <v>#REF!</v>
      </c>
      <c r="J88" s="34"/>
      <c r="K88" s="34">
        <f>강관도장!K120</f>
        <v>217714</v>
      </c>
      <c r="L88" s="34"/>
      <c r="M88" s="34">
        <f>강관도장!M120</f>
        <v>0</v>
      </c>
      <c r="N88" s="2"/>
    </row>
    <row r="89" spans="1:14" ht="18" customHeight="1">
      <c r="A89" s="39">
        <v>86</v>
      </c>
      <c r="B89" s="54" t="str">
        <f>강관도장!B133</f>
        <v>강관도장(내,외부)</v>
      </c>
      <c r="C89" s="33" t="str">
        <f>강관도장!C133</f>
        <v>D1200㎜</v>
      </c>
      <c r="D89" s="1">
        <v>1</v>
      </c>
      <c r="E89" s="2" t="s">
        <v>3</v>
      </c>
      <c r="F89" s="2"/>
      <c r="G89" s="34" t="e">
        <f t="shared" si="2"/>
        <v>#REF!</v>
      </c>
      <c r="H89" s="34"/>
      <c r="I89" s="34" t="e">
        <f>강관도장!I133</f>
        <v>#REF!</v>
      </c>
      <c r="J89" s="34"/>
      <c r="K89" s="34">
        <f>강관도장!K133</f>
        <v>222974</v>
      </c>
      <c r="L89" s="34"/>
      <c r="M89" s="34">
        <f>강관도장!M133</f>
        <v>0</v>
      </c>
      <c r="N89" s="2"/>
    </row>
    <row r="90" spans="1:14" ht="18" customHeight="1">
      <c r="A90" s="39">
        <v>87</v>
      </c>
      <c r="B90" s="54" t="str">
        <f>강관도장!B146</f>
        <v>강관도장(내,외부)</v>
      </c>
      <c r="C90" s="33" t="str">
        <f>강관도장!C146</f>
        <v>D1350㎜</v>
      </c>
      <c r="D90" s="1">
        <v>1</v>
      </c>
      <c r="E90" s="2" t="s">
        <v>3</v>
      </c>
      <c r="F90" s="2"/>
      <c r="G90" s="34" t="e">
        <f t="shared" si="2"/>
        <v>#REF!</v>
      </c>
      <c r="H90" s="34"/>
      <c r="I90" s="34" t="e">
        <f>강관도장!I146</f>
        <v>#REF!</v>
      </c>
      <c r="J90" s="34"/>
      <c r="K90" s="34">
        <f>강관도장!K146</f>
        <v>232585</v>
      </c>
      <c r="L90" s="34"/>
      <c r="M90" s="34">
        <f>강관도장!M146</f>
        <v>0</v>
      </c>
      <c r="N90" s="2"/>
    </row>
    <row r="91" spans="1:14" ht="18" customHeight="1">
      <c r="A91" s="39">
        <v>88</v>
      </c>
      <c r="B91" s="54" t="str">
        <f>강관도장!B159</f>
        <v>강관도장(내,외부)</v>
      </c>
      <c r="C91" s="33" t="str">
        <f>강관도장!C159</f>
        <v>D1500㎜</v>
      </c>
      <c r="D91" s="1">
        <v>1</v>
      </c>
      <c r="E91" s="2" t="s">
        <v>3</v>
      </c>
      <c r="F91" s="2"/>
      <c r="G91" s="34" t="e">
        <f t="shared" si="2"/>
        <v>#REF!</v>
      </c>
      <c r="H91" s="34"/>
      <c r="I91" s="34" t="e">
        <f>강관도장!I159</f>
        <v>#REF!</v>
      </c>
      <c r="J91" s="34"/>
      <c r="K91" s="34">
        <f>강관도장!K159</f>
        <v>244827</v>
      </c>
      <c r="L91" s="34"/>
      <c r="M91" s="34">
        <f>강관도장!M159</f>
        <v>0</v>
      </c>
      <c r="N91" s="2"/>
    </row>
    <row r="92" spans="1:14" ht="18" customHeight="1">
      <c r="A92" s="39">
        <v>89</v>
      </c>
      <c r="B92" s="54" t="str">
        <f>강관도장!B172</f>
        <v>강관도장(내,외부)</v>
      </c>
      <c r="C92" s="33" t="str">
        <f>강관도장!C172</f>
        <v>D1650㎜</v>
      </c>
      <c r="D92" s="1">
        <v>1</v>
      </c>
      <c r="E92" s="2" t="s">
        <v>3</v>
      </c>
      <c r="F92" s="2"/>
      <c r="G92" s="34" t="e">
        <f t="shared" si="2"/>
        <v>#REF!</v>
      </c>
      <c r="H92" s="34"/>
      <c r="I92" s="34" t="e">
        <f>강관도장!I172</f>
        <v>#REF!</v>
      </c>
      <c r="J92" s="34"/>
      <c r="K92" s="34">
        <f>강관도장!K172</f>
        <v>250087</v>
      </c>
      <c r="L92" s="34"/>
      <c r="M92" s="34">
        <f>강관도장!M172</f>
        <v>0</v>
      </c>
      <c r="N92" s="2"/>
    </row>
    <row r="93" spans="1:14" ht="18" customHeight="1">
      <c r="A93" s="39">
        <v>90</v>
      </c>
      <c r="B93" s="54" t="str">
        <f>강관도장!B185</f>
        <v>강관도장(내,외부)</v>
      </c>
      <c r="C93" s="33" t="str">
        <f>강관도장!C185</f>
        <v>D1800㎜</v>
      </c>
      <c r="D93" s="1">
        <v>1</v>
      </c>
      <c r="E93" s="2" t="s">
        <v>3</v>
      </c>
      <c r="F93" s="2"/>
      <c r="G93" s="34" t="e">
        <f t="shared" si="2"/>
        <v>#REF!</v>
      </c>
      <c r="H93" s="34"/>
      <c r="I93" s="34" t="e">
        <f>강관도장!I185</f>
        <v>#REF!</v>
      </c>
      <c r="J93" s="34"/>
      <c r="K93" s="34">
        <f>강관도장!K185</f>
        <v>259698</v>
      </c>
      <c r="L93" s="34"/>
      <c r="M93" s="34">
        <f>강관도장!M185</f>
        <v>0</v>
      </c>
      <c r="N93" s="2"/>
    </row>
    <row r="94" spans="1:14" ht="18" customHeight="1">
      <c r="A94" s="39">
        <v>91</v>
      </c>
      <c r="B94" s="54" t="str">
        <f>강관도장!B198</f>
        <v>강관도장(내,외부)</v>
      </c>
      <c r="C94" s="33" t="str">
        <f>강관도장!C198</f>
        <v>D2000㎜</v>
      </c>
      <c r="D94" s="1">
        <v>1</v>
      </c>
      <c r="E94" s="2" t="s">
        <v>3</v>
      </c>
      <c r="F94" s="2"/>
      <c r="G94" s="34" t="e">
        <f t="shared" si="2"/>
        <v>#REF!</v>
      </c>
      <c r="H94" s="34"/>
      <c r="I94" s="34" t="e">
        <f>강관도장!I198</f>
        <v>#REF!</v>
      </c>
      <c r="J94" s="34"/>
      <c r="K94" s="34">
        <f>강관도장!K198</f>
        <v>267589</v>
      </c>
      <c r="L94" s="34"/>
      <c r="M94" s="34">
        <f>강관도장!M198</f>
        <v>0</v>
      </c>
      <c r="N94" s="2"/>
    </row>
    <row r="95" spans="1:14" ht="18" customHeight="1">
      <c r="A95" s="39">
        <v>92</v>
      </c>
      <c r="B95" s="54" t="str">
        <f>강관도장!B211</f>
        <v>강관도장(내,외부)</v>
      </c>
      <c r="C95" s="33" t="str">
        <f>강관도장!C211</f>
        <v>D2200㎜</v>
      </c>
      <c r="D95" s="1">
        <v>1</v>
      </c>
      <c r="E95" s="2" t="s">
        <v>3</v>
      </c>
      <c r="F95" s="2"/>
      <c r="G95" s="34" t="e">
        <f t="shared" si="2"/>
        <v>#REF!</v>
      </c>
      <c r="H95" s="34"/>
      <c r="I95" s="34" t="e">
        <f>강관도장!I211</f>
        <v>#REF!</v>
      </c>
      <c r="J95" s="34"/>
      <c r="K95" s="34">
        <f>강관도장!K211</f>
        <v>284181</v>
      </c>
      <c r="L95" s="34"/>
      <c r="M95" s="34">
        <f>강관도장!M211</f>
        <v>0</v>
      </c>
      <c r="N95" s="2"/>
    </row>
    <row r="96" spans="1:14" ht="18" customHeight="1">
      <c r="A96" s="39">
        <v>93</v>
      </c>
      <c r="B96" s="54" t="str">
        <f>강관도장!B224</f>
        <v>강관도장(내,외부)</v>
      </c>
      <c r="C96" s="33" t="str">
        <f>강관도장!C224</f>
        <v>D2400㎜</v>
      </c>
      <c r="D96" s="1">
        <v>1</v>
      </c>
      <c r="E96" s="2" t="s">
        <v>3</v>
      </c>
      <c r="F96" s="2"/>
      <c r="G96" s="34" t="e">
        <f t="shared" si="2"/>
        <v>#REF!</v>
      </c>
      <c r="H96" s="34"/>
      <c r="I96" s="34" t="e">
        <f>강관도장!I224</f>
        <v>#REF!</v>
      </c>
      <c r="J96" s="34"/>
      <c r="K96" s="34">
        <f>강관도장!K224</f>
        <v>286811</v>
      </c>
      <c r="L96" s="34"/>
      <c r="M96" s="34">
        <f>강관도장!M224</f>
        <v>0</v>
      </c>
      <c r="N96" s="2"/>
    </row>
    <row r="97" spans="1:14" ht="18" customHeight="1">
      <c r="A97" s="39">
        <v>94</v>
      </c>
      <c r="B97" s="54" t="str">
        <f>'강관절단 및 절단(철거)'!B5</f>
        <v>강관절단(A종)</v>
      </c>
      <c r="C97" s="33" t="str">
        <f>'강관절단 및 절단(철거)'!C5</f>
        <v>D80㎜</v>
      </c>
      <c r="D97" s="1">
        <v>1</v>
      </c>
      <c r="E97" s="2" t="s">
        <v>3</v>
      </c>
      <c r="F97" s="2"/>
      <c r="G97" s="34" t="e">
        <f t="shared" si="2"/>
        <v>#REF!</v>
      </c>
      <c r="H97" s="34"/>
      <c r="I97" s="34" t="e">
        <f>'강관절단 및 절단(철거)'!I5</f>
        <v>#REF!</v>
      </c>
      <c r="J97" s="34"/>
      <c r="K97" s="34">
        <f>'강관절단 및 절단(철거)'!K5</f>
        <v>22602</v>
      </c>
      <c r="L97" s="34"/>
      <c r="M97" s="34">
        <f>'강관절단 및 절단(철거)'!M5</f>
        <v>0</v>
      </c>
      <c r="N97" s="2"/>
    </row>
    <row r="98" spans="1:14" ht="18" customHeight="1">
      <c r="A98" s="39">
        <v>95</v>
      </c>
      <c r="B98" s="54" t="str">
        <f>'강관절단 및 절단(철거)'!B12</f>
        <v>강관절단(A종)</v>
      </c>
      <c r="C98" s="33" t="str">
        <f>'강관절단 및 절단(철거)'!C12</f>
        <v>D100㎜</v>
      </c>
      <c r="D98" s="1">
        <v>1</v>
      </c>
      <c r="E98" s="2" t="s">
        <v>3</v>
      </c>
      <c r="F98" s="2"/>
      <c r="G98" s="34" t="e">
        <f t="shared" si="2"/>
        <v>#REF!</v>
      </c>
      <c r="H98" s="34"/>
      <c r="I98" s="34" t="e">
        <f>'강관절단 및 절단(철거)'!I12</f>
        <v>#REF!</v>
      </c>
      <c r="J98" s="34"/>
      <c r="K98" s="34">
        <f>'강관절단 및 절단(철거)'!K12</f>
        <v>22602</v>
      </c>
      <c r="L98" s="34"/>
      <c r="M98" s="34">
        <f>'강관절단 및 절단(철거)'!M12</f>
        <v>0</v>
      </c>
      <c r="N98" s="2"/>
    </row>
    <row r="99" spans="1:14" ht="18" customHeight="1">
      <c r="A99" s="39">
        <v>96</v>
      </c>
      <c r="B99" s="54" t="str">
        <f>'강관절단 및 절단(철거)'!B19</f>
        <v>강관절단(A종)</v>
      </c>
      <c r="C99" s="33" t="str">
        <f>'강관절단 및 절단(철거)'!C19</f>
        <v>D125㎜</v>
      </c>
      <c r="D99" s="1">
        <v>1</v>
      </c>
      <c r="E99" s="2" t="s">
        <v>3</v>
      </c>
      <c r="F99" s="2"/>
      <c r="G99" s="34" t="e">
        <f t="shared" si="2"/>
        <v>#REF!</v>
      </c>
      <c r="H99" s="34"/>
      <c r="I99" s="34" t="e">
        <f>'강관절단 및 절단(철거)'!I19</f>
        <v>#REF!</v>
      </c>
      <c r="J99" s="34"/>
      <c r="K99" s="34">
        <f>'강관절단 및 절단(철거)'!K19</f>
        <v>25428</v>
      </c>
      <c r="L99" s="34"/>
      <c r="M99" s="34">
        <f>'강관절단 및 절단(철거)'!M19</f>
        <v>0</v>
      </c>
      <c r="N99" s="2"/>
    </row>
    <row r="100" spans="1:14" ht="18" customHeight="1">
      <c r="A100" s="39">
        <v>97</v>
      </c>
      <c r="B100" s="54" t="str">
        <f>'강관절단 및 절단(철거)'!B26</f>
        <v>강관절단(A종)</v>
      </c>
      <c r="C100" s="33" t="str">
        <f>'강관절단 및 절단(철거)'!C26</f>
        <v>D150㎜</v>
      </c>
      <c r="D100" s="1">
        <v>1</v>
      </c>
      <c r="E100" s="2" t="s">
        <v>3</v>
      </c>
      <c r="F100" s="2"/>
      <c r="G100" s="34" t="e">
        <f t="shared" si="2"/>
        <v>#REF!</v>
      </c>
      <c r="H100" s="34"/>
      <c r="I100" s="34" t="e">
        <f>'강관절단 및 절단(철거)'!I26</f>
        <v>#REF!</v>
      </c>
      <c r="J100" s="34"/>
      <c r="K100" s="34">
        <f>'강관절단 및 절단(철거)'!K26</f>
        <v>28253</v>
      </c>
      <c r="L100" s="34"/>
      <c r="M100" s="34">
        <f>'강관절단 및 절단(철거)'!M26</f>
        <v>0</v>
      </c>
      <c r="N100" s="2"/>
    </row>
    <row r="101" spans="1:14" ht="18" customHeight="1">
      <c r="A101" s="39">
        <v>98</v>
      </c>
      <c r="B101" s="54" t="str">
        <f>'강관절단 및 절단(철거)'!B33</f>
        <v>강관절단(A종)</v>
      </c>
      <c r="C101" s="33" t="str">
        <f>'강관절단 및 절단(철거)'!C33</f>
        <v>D200㎜</v>
      </c>
      <c r="D101" s="1">
        <v>1</v>
      </c>
      <c r="E101" s="2" t="s">
        <v>3</v>
      </c>
      <c r="F101" s="2"/>
      <c r="G101" s="34" t="e">
        <f t="shared" si="2"/>
        <v>#REF!</v>
      </c>
      <c r="H101" s="34"/>
      <c r="I101" s="34" t="e">
        <f>'강관절단 및 절단(철거)'!I33</f>
        <v>#REF!</v>
      </c>
      <c r="J101" s="34"/>
      <c r="K101" s="34">
        <f>'강관절단 및 절단(철거)'!K33</f>
        <v>36729</v>
      </c>
      <c r="L101" s="34"/>
      <c r="M101" s="34">
        <f>'강관절단 및 절단(철거)'!M33</f>
        <v>0</v>
      </c>
      <c r="N101" s="2"/>
    </row>
    <row r="102" spans="1:14" ht="18" customHeight="1">
      <c r="A102" s="39">
        <v>99</v>
      </c>
      <c r="B102" s="54" t="str">
        <f>'강관절단 및 절단(철거)'!B40</f>
        <v>강관절단(A종)</v>
      </c>
      <c r="C102" s="33" t="str">
        <f>'강관절단 및 절단(철거)'!C40</f>
        <v>D250㎜</v>
      </c>
      <c r="D102" s="1">
        <v>1</v>
      </c>
      <c r="E102" s="2" t="s">
        <v>3</v>
      </c>
      <c r="F102" s="2"/>
      <c r="G102" s="34" t="e">
        <f t="shared" si="2"/>
        <v>#REF!</v>
      </c>
      <c r="H102" s="34"/>
      <c r="I102" s="34" t="e">
        <f>'강관절단 및 절단(철거)'!I40</f>
        <v>#REF!</v>
      </c>
      <c r="J102" s="34"/>
      <c r="K102" s="34">
        <f>'강관절단 및 절단(철거)'!K40</f>
        <v>45205</v>
      </c>
      <c r="L102" s="34"/>
      <c r="M102" s="34">
        <f>'강관절단 및 절단(철거)'!M40</f>
        <v>0</v>
      </c>
      <c r="N102" s="2"/>
    </row>
    <row r="103" spans="1:14" ht="18" customHeight="1">
      <c r="A103" s="39">
        <v>100</v>
      </c>
      <c r="B103" s="54" t="str">
        <f>'강관절단 및 절단(철거)'!B47</f>
        <v>강관절단(A종)</v>
      </c>
      <c r="C103" s="33" t="str">
        <f>'강관절단 및 절단(철거)'!C47</f>
        <v>D300㎜</v>
      </c>
      <c r="D103" s="1">
        <v>1</v>
      </c>
      <c r="E103" s="2" t="s">
        <v>3</v>
      </c>
      <c r="F103" s="2"/>
      <c r="G103" s="34" t="e">
        <f t="shared" si="2"/>
        <v>#REF!</v>
      </c>
      <c r="H103" s="34"/>
      <c r="I103" s="34" t="e">
        <f>'강관절단 및 절단(철거)'!I47</f>
        <v>#REF!</v>
      </c>
      <c r="J103" s="34"/>
      <c r="K103" s="34">
        <f>'강관절단 및 절단(철거)'!K47</f>
        <v>56507</v>
      </c>
      <c r="L103" s="34"/>
      <c r="M103" s="34">
        <f>'강관절단 및 절단(철거)'!M47</f>
        <v>0</v>
      </c>
      <c r="N103" s="2"/>
    </row>
    <row r="104" spans="1:14" ht="18" customHeight="1">
      <c r="A104" s="39">
        <v>101</v>
      </c>
      <c r="B104" s="54" t="str">
        <f>'강관절단 및 절단(철거)'!B54</f>
        <v>강관절단(A종)</v>
      </c>
      <c r="C104" s="33" t="str">
        <f>'강관절단 및 절단(철거)'!C54</f>
        <v>D350㎜</v>
      </c>
      <c r="D104" s="1">
        <v>1</v>
      </c>
      <c r="E104" s="2" t="s">
        <v>3</v>
      </c>
      <c r="F104" s="2"/>
      <c r="G104" s="34" t="e">
        <f t="shared" si="2"/>
        <v>#REF!</v>
      </c>
      <c r="H104" s="34"/>
      <c r="I104" s="34" t="e">
        <f>'강관절단 및 절단(철거)'!I54</f>
        <v>#REF!</v>
      </c>
      <c r="J104" s="34"/>
      <c r="K104" s="34">
        <f>'강관절단 및 절단(철거)'!K54</f>
        <v>73459</v>
      </c>
      <c r="L104" s="34"/>
      <c r="M104" s="34">
        <f>'강관절단 및 절단(철거)'!M54</f>
        <v>0</v>
      </c>
      <c r="N104" s="2"/>
    </row>
    <row r="105" spans="1:14" ht="18" customHeight="1">
      <c r="A105" s="39">
        <v>102</v>
      </c>
      <c r="B105" s="54" t="str">
        <f>'강관절단 및 절단(철거)'!B61</f>
        <v>강관절단(A종)</v>
      </c>
      <c r="C105" s="33" t="str">
        <f>'강관절단 및 절단(철거)'!C61</f>
        <v>D400㎜</v>
      </c>
      <c r="D105" s="1">
        <v>1</v>
      </c>
      <c r="E105" s="2" t="s">
        <v>3</v>
      </c>
      <c r="F105" s="2"/>
      <c r="G105" s="34" t="e">
        <f t="shared" si="2"/>
        <v>#REF!</v>
      </c>
      <c r="H105" s="34"/>
      <c r="I105" s="34" t="e">
        <f>'강관절단 및 절단(철거)'!I61</f>
        <v>#REF!</v>
      </c>
      <c r="J105" s="34"/>
      <c r="K105" s="34">
        <f>'강관절단 및 절단(철거)'!K61</f>
        <v>87586</v>
      </c>
      <c r="L105" s="34"/>
      <c r="M105" s="34">
        <f>'강관절단 및 절단(철거)'!M61</f>
        <v>0</v>
      </c>
      <c r="N105" s="2"/>
    </row>
    <row r="106" spans="1:14" ht="18" customHeight="1">
      <c r="A106" s="39">
        <v>103</v>
      </c>
      <c r="B106" s="54" t="str">
        <f>'강관절단 및 절단(철거)'!B68</f>
        <v>강관절단(A종)</v>
      </c>
      <c r="C106" s="33" t="str">
        <f>'강관절단 및 절단(철거)'!C68</f>
        <v>D450㎜</v>
      </c>
      <c r="D106" s="1">
        <v>1</v>
      </c>
      <c r="E106" s="2" t="s">
        <v>3</v>
      </c>
      <c r="F106" s="2"/>
      <c r="G106" s="34" t="e">
        <f t="shared" ref="G106" si="3">I106+K106+M106</f>
        <v>#REF!</v>
      </c>
      <c r="H106" s="34"/>
      <c r="I106" s="34" t="e">
        <f>'강관절단 및 절단(철거)'!I68</f>
        <v>#REF!</v>
      </c>
      <c r="J106" s="34"/>
      <c r="K106" s="34">
        <f>'강관절단 및 절단(철거)'!K68</f>
        <v>101712</v>
      </c>
      <c r="L106" s="34"/>
      <c r="M106" s="34">
        <f>'강관절단 및 절단(철거)'!M68</f>
        <v>0</v>
      </c>
      <c r="N106" s="2"/>
    </row>
    <row r="107" spans="1:14" ht="18" customHeight="1">
      <c r="A107" s="39">
        <v>104</v>
      </c>
      <c r="B107" s="54" t="str">
        <f>'강관절단 및 절단(철거)'!B75</f>
        <v>강관절단(A종)</v>
      </c>
      <c r="C107" s="33" t="str">
        <f>'강관절단 및 절단(철거)'!C75</f>
        <v>D500㎜</v>
      </c>
      <c r="D107" s="1">
        <v>1</v>
      </c>
      <c r="E107" s="2" t="s">
        <v>3</v>
      </c>
      <c r="F107" s="2"/>
      <c r="G107" s="34" t="e">
        <f t="shared" ref="G107:G134" si="4">I107+K107+M107</f>
        <v>#REF!</v>
      </c>
      <c r="H107" s="34"/>
      <c r="I107" s="34" t="e">
        <f>'강관절단 및 절단(철거)'!I75</f>
        <v>#REF!</v>
      </c>
      <c r="J107" s="34"/>
      <c r="K107" s="34">
        <f>'강관절단 및 절단(철거)'!K75</f>
        <v>115839</v>
      </c>
      <c r="L107" s="34"/>
      <c r="M107" s="34">
        <f>'강관절단 및 절단(철거)'!M75</f>
        <v>0</v>
      </c>
      <c r="N107" s="2"/>
    </row>
    <row r="108" spans="1:14" ht="18" customHeight="1">
      <c r="A108" s="39">
        <v>105</v>
      </c>
      <c r="B108" s="54" t="str">
        <f>'강관절단 및 절단(철거)'!B82</f>
        <v>강관절단(A종)</v>
      </c>
      <c r="C108" s="33" t="str">
        <f>'강관절단 및 절단(철거)'!C82</f>
        <v>D600㎜</v>
      </c>
      <c r="D108" s="1">
        <v>1</v>
      </c>
      <c r="E108" s="2" t="s">
        <v>3</v>
      </c>
      <c r="F108" s="2"/>
      <c r="G108" s="34" t="e">
        <f t="shared" si="4"/>
        <v>#REF!</v>
      </c>
      <c r="H108" s="34"/>
      <c r="I108" s="34" t="e">
        <f>'강관절단 및 절단(철거)'!I82</f>
        <v>#REF!</v>
      </c>
      <c r="J108" s="34"/>
      <c r="K108" s="34">
        <f>'강관절단 및 절단(철거)'!K82</f>
        <v>129966</v>
      </c>
      <c r="L108" s="34"/>
      <c r="M108" s="34">
        <f>'강관절단 및 절단(철거)'!M82</f>
        <v>0</v>
      </c>
      <c r="N108" s="2"/>
    </row>
    <row r="109" spans="1:14" ht="18" customHeight="1">
      <c r="A109" s="39">
        <v>106</v>
      </c>
      <c r="B109" s="54" t="str">
        <f>'강관절단 및 절단(철거)'!B89</f>
        <v>강관절단(A종)</v>
      </c>
      <c r="C109" s="33" t="str">
        <f>'강관절단 및 절단(철거)'!C89</f>
        <v>D700㎜</v>
      </c>
      <c r="D109" s="1">
        <v>1</v>
      </c>
      <c r="E109" s="2" t="s">
        <v>3</v>
      </c>
      <c r="F109" s="2"/>
      <c r="G109" s="34" t="e">
        <f t="shared" si="4"/>
        <v>#REF!</v>
      </c>
      <c r="H109" s="34"/>
      <c r="I109" s="34" t="e">
        <f>'강관절단 및 절단(철거)'!I89</f>
        <v>#REF!</v>
      </c>
      <c r="J109" s="34"/>
      <c r="K109" s="34">
        <f>'강관절단 및 절단(철거)'!K89</f>
        <v>175172</v>
      </c>
      <c r="L109" s="34"/>
      <c r="M109" s="34">
        <f>'강관절단 및 절단(철거)'!M89</f>
        <v>0</v>
      </c>
      <c r="N109" s="2"/>
    </row>
    <row r="110" spans="1:14" ht="18" customHeight="1">
      <c r="A110" s="39">
        <v>107</v>
      </c>
      <c r="B110" s="54" t="str">
        <f>'강관절단 및 절단(철거)'!B96</f>
        <v>강관절단(B종)</v>
      </c>
      <c r="C110" s="33" t="str">
        <f>'강관절단 및 절단(철거)'!C96</f>
        <v>D700㎜</v>
      </c>
      <c r="D110" s="1">
        <v>1</v>
      </c>
      <c r="E110" s="2" t="s">
        <v>3</v>
      </c>
      <c r="F110" s="2"/>
      <c r="G110" s="34" t="e">
        <f t="shared" si="4"/>
        <v>#REF!</v>
      </c>
      <c r="H110" s="34"/>
      <c r="I110" s="34" t="e">
        <f>'강관절단 및 절단(철거)'!I96</f>
        <v>#REF!</v>
      </c>
      <c r="J110" s="34"/>
      <c r="K110" s="34">
        <f>'강관절단 및 절단(철거)'!K96</f>
        <v>152569</v>
      </c>
      <c r="L110" s="34"/>
      <c r="M110" s="34">
        <f>'강관절단 및 절단(철거)'!M96</f>
        <v>0</v>
      </c>
      <c r="N110" s="2"/>
    </row>
    <row r="111" spans="1:14" ht="18" customHeight="1">
      <c r="A111" s="39">
        <v>108</v>
      </c>
      <c r="B111" s="54" t="str">
        <f>'강관절단 및 절단(철거)'!B103</f>
        <v>강관절단(A종)</v>
      </c>
      <c r="C111" s="33" t="str">
        <f>'강관절단 및 절단(철거)'!C103</f>
        <v>D800㎜</v>
      </c>
      <c r="D111" s="1">
        <v>1</v>
      </c>
      <c r="E111" s="2" t="s">
        <v>3</v>
      </c>
      <c r="F111" s="2"/>
      <c r="G111" s="34" t="e">
        <f t="shared" si="4"/>
        <v>#REF!</v>
      </c>
      <c r="H111" s="34"/>
      <c r="I111" s="34" t="e">
        <f>'강관절단 및 절단(철거)'!I103</f>
        <v>#REF!</v>
      </c>
      <c r="J111" s="34"/>
      <c r="K111" s="34">
        <f>'강관절단 및 절단(철거)'!K103</f>
        <v>200600</v>
      </c>
      <c r="L111" s="34"/>
      <c r="M111" s="34">
        <f>'강관절단 및 절단(철거)'!M103</f>
        <v>0</v>
      </c>
      <c r="N111" s="2"/>
    </row>
    <row r="112" spans="1:14" ht="18" customHeight="1">
      <c r="A112" s="39">
        <v>109</v>
      </c>
      <c r="B112" s="54" t="str">
        <f>'강관절단 및 절단(철거)'!B110</f>
        <v>강관절단(B종)</v>
      </c>
      <c r="C112" s="33" t="str">
        <f>'강관절단 및 절단(철거)'!C110</f>
        <v>D800㎜</v>
      </c>
      <c r="D112" s="1">
        <v>1</v>
      </c>
      <c r="E112" s="2" t="s">
        <v>3</v>
      </c>
      <c r="F112" s="2"/>
      <c r="G112" s="34" t="e">
        <f t="shared" si="4"/>
        <v>#REF!</v>
      </c>
      <c r="H112" s="34"/>
      <c r="I112" s="34" t="e">
        <f>'강관절단 및 절단(철거)'!I110</f>
        <v>#REF!</v>
      </c>
      <c r="J112" s="34"/>
      <c r="K112" s="34">
        <f>'강관절단 및 절단(철거)'!K110</f>
        <v>183648</v>
      </c>
      <c r="L112" s="34"/>
      <c r="M112" s="34">
        <f>'강관절단 및 절단(철거)'!M110</f>
        <v>0</v>
      </c>
      <c r="N112" s="2"/>
    </row>
    <row r="113" spans="1:14" ht="18" customHeight="1">
      <c r="A113" s="39">
        <v>110</v>
      </c>
      <c r="B113" s="54" t="str">
        <f>'강관절단 및 절단(철거)'!B117</f>
        <v>강관절단(A종)</v>
      </c>
      <c r="C113" s="33" t="str">
        <f>'강관절단 및 절단(철거)'!C117</f>
        <v>D900㎜</v>
      </c>
      <c r="D113" s="1">
        <v>1</v>
      </c>
      <c r="E113" s="2" t="s">
        <v>3</v>
      </c>
      <c r="F113" s="2"/>
      <c r="G113" s="34" t="e">
        <f t="shared" si="4"/>
        <v>#REF!</v>
      </c>
      <c r="H113" s="34"/>
      <c r="I113" s="34" t="e">
        <f>'강관절단 및 절단(철거)'!I117</f>
        <v>#REF!</v>
      </c>
      <c r="J113" s="34"/>
      <c r="K113" s="34">
        <f>'강관절단 및 절단(철거)'!K117</f>
        <v>223203</v>
      </c>
      <c r="L113" s="34"/>
      <c r="M113" s="34">
        <f>'강관절단 및 절단(철거)'!M117</f>
        <v>0</v>
      </c>
      <c r="N113" s="2"/>
    </row>
    <row r="114" spans="1:14" ht="18" customHeight="1">
      <c r="A114" s="39">
        <v>111</v>
      </c>
      <c r="B114" s="54" t="str">
        <f>'강관절단 및 절단(철거)'!B124</f>
        <v>강관절단(B종)</v>
      </c>
      <c r="C114" s="33" t="str">
        <f>'강관절단 및 절단(철거)'!C124</f>
        <v>D900㎜</v>
      </c>
      <c r="D114" s="1">
        <v>1</v>
      </c>
      <c r="E114" s="2" t="s">
        <v>3</v>
      </c>
      <c r="F114" s="2"/>
      <c r="G114" s="34" t="e">
        <f t="shared" si="4"/>
        <v>#REF!</v>
      </c>
      <c r="H114" s="34"/>
      <c r="I114" s="34" t="e">
        <f>'강관절단 및 절단(철거)'!I124</f>
        <v>#REF!</v>
      </c>
      <c r="J114" s="34"/>
      <c r="K114" s="34">
        <f>'강관절단 및 절단(철거)'!K124</f>
        <v>197775</v>
      </c>
      <c r="L114" s="34"/>
      <c r="M114" s="34">
        <f>'강관절단 및 절단(철거)'!M124</f>
        <v>0</v>
      </c>
      <c r="N114" s="2"/>
    </row>
    <row r="115" spans="1:14" ht="18" customHeight="1">
      <c r="A115" s="39">
        <v>112</v>
      </c>
      <c r="B115" s="54" t="str">
        <f>'강관절단 및 절단(철거)'!B131</f>
        <v>강관절단(A종)</v>
      </c>
      <c r="C115" s="33" t="str">
        <f>'강관절단 및 절단(철거)'!C131</f>
        <v>D1000㎜</v>
      </c>
      <c r="D115" s="1">
        <v>1</v>
      </c>
      <c r="E115" s="2" t="s">
        <v>3</v>
      </c>
      <c r="F115" s="2"/>
      <c r="G115" s="34" t="e">
        <f t="shared" si="4"/>
        <v>#REF!</v>
      </c>
      <c r="H115" s="34"/>
      <c r="I115" s="34" t="e">
        <f>'강관절단 및 절단(철거)'!I131</f>
        <v>#REF!</v>
      </c>
      <c r="J115" s="34"/>
      <c r="K115" s="34">
        <f>'강관절단 및 절단(철거)'!K131</f>
        <v>271234</v>
      </c>
      <c r="L115" s="34"/>
      <c r="M115" s="34">
        <f>'강관절단 및 절단(철거)'!M131</f>
        <v>0</v>
      </c>
      <c r="N115" s="2"/>
    </row>
    <row r="116" spans="1:14" ht="18" customHeight="1">
      <c r="A116" s="39">
        <v>113</v>
      </c>
      <c r="B116" s="54" t="str">
        <f>'강관절단 및 절단(철거)'!B138</f>
        <v>강관절단(B종)</v>
      </c>
      <c r="C116" s="33" t="str">
        <f>'강관절단 및 절단(철거)'!C138</f>
        <v>D1000㎜</v>
      </c>
      <c r="D116" s="1">
        <v>1</v>
      </c>
      <c r="E116" s="2" t="s">
        <v>3</v>
      </c>
      <c r="F116" s="2"/>
      <c r="G116" s="34" t="e">
        <f t="shared" si="4"/>
        <v>#REF!</v>
      </c>
      <c r="H116" s="34"/>
      <c r="I116" s="34" t="e">
        <f>'강관절단 및 절단(철거)'!I138</f>
        <v>#REF!</v>
      </c>
      <c r="J116" s="34"/>
      <c r="K116" s="34">
        <f>'강관절단 및 절단(철거)'!K138</f>
        <v>240155</v>
      </c>
      <c r="L116" s="34"/>
      <c r="M116" s="34">
        <f>'강관절단 및 절단(철거)'!M138</f>
        <v>0</v>
      </c>
      <c r="N116" s="2"/>
    </row>
    <row r="117" spans="1:14" ht="18" customHeight="1">
      <c r="A117" s="39">
        <v>114</v>
      </c>
      <c r="B117" s="54" t="str">
        <f>'강관절단 및 절단(철거)'!B145</f>
        <v>강관절단(A종)</v>
      </c>
      <c r="C117" s="33" t="str">
        <f>'강관절단 및 절단(철거)'!C145</f>
        <v>D1100㎜</v>
      </c>
      <c r="D117" s="1">
        <v>1</v>
      </c>
      <c r="E117" s="2" t="s">
        <v>3</v>
      </c>
      <c r="F117" s="2"/>
      <c r="G117" s="34" t="e">
        <f t="shared" si="4"/>
        <v>#REF!</v>
      </c>
      <c r="H117" s="34"/>
      <c r="I117" s="34" t="e">
        <f>'강관절단 및 절단(철거)'!I145</f>
        <v>#REF!</v>
      </c>
      <c r="J117" s="34"/>
      <c r="K117" s="34">
        <f>'강관절단 및 절단(철거)'!K145</f>
        <v>293837</v>
      </c>
      <c r="L117" s="34"/>
      <c r="M117" s="34">
        <f>'강관절단 및 절단(철거)'!M145</f>
        <v>0</v>
      </c>
      <c r="N117" s="2"/>
    </row>
    <row r="118" spans="1:14" ht="18" customHeight="1">
      <c r="A118" s="39">
        <v>115</v>
      </c>
      <c r="B118" s="54" t="str">
        <f>'강관절단 및 절단(철거)'!B152</f>
        <v>강관절단(B종)</v>
      </c>
      <c r="C118" s="33" t="str">
        <f>'강관절단 및 절단(철거)'!C152</f>
        <v>D1100㎜</v>
      </c>
      <c r="D118" s="1">
        <v>1</v>
      </c>
      <c r="E118" s="2" t="s">
        <v>3</v>
      </c>
      <c r="F118" s="2"/>
      <c r="G118" s="34" t="e">
        <f t="shared" si="4"/>
        <v>#REF!</v>
      </c>
      <c r="H118" s="34"/>
      <c r="I118" s="34" t="e">
        <f>'강관절단 및 절단(철거)'!I152</f>
        <v>#REF!</v>
      </c>
      <c r="J118" s="34"/>
      <c r="K118" s="34">
        <f>'강관절단 및 절단(철거)'!K152</f>
        <v>245806</v>
      </c>
      <c r="L118" s="34"/>
      <c r="M118" s="34">
        <f>'강관절단 및 절단(철거)'!M152</f>
        <v>0</v>
      </c>
      <c r="N118" s="2"/>
    </row>
    <row r="119" spans="1:14" ht="18" customHeight="1">
      <c r="A119" s="39">
        <v>116</v>
      </c>
      <c r="B119" s="54" t="str">
        <f>'강관절단 및 절단(철거)'!B159</f>
        <v>강관절단(A종)</v>
      </c>
      <c r="C119" s="33" t="str">
        <f>'강관절단 및 절단(철거)'!C159</f>
        <v>D1200㎜</v>
      </c>
      <c r="D119" s="1">
        <v>1</v>
      </c>
      <c r="E119" s="2" t="s">
        <v>3</v>
      </c>
      <c r="F119" s="2"/>
      <c r="G119" s="34" t="e">
        <f t="shared" si="4"/>
        <v>#REF!</v>
      </c>
      <c r="H119" s="34"/>
      <c r="I119" s="34" t="e">
        <f>'강관절단 및 절단(철거)'!I159</f>
        <v>#REF!</v>
      </c>
      <c r="J119" s="34"/>
      <c r="K119" s="34">
        <f>'강관절단 및 절단(철거)'!K159</f>
        <v>339043</v>
      </c>
      <c r="L119" s="34"/>
      <c r="M119" s="34">
        <f>'강관절단 및 절단(철거)'!M159</f>
        <v>0</v>
      </c>
      <c r="N119" s="2"/>
    </row>
    <row r="120" spans="1:14" ht="18" customHeight="1">
      <c r="A120" s="39">
        <v>117</v>
      </c>
      <c r="B120" s="54" t="str">
        <f>'강관절단 및 절단(철거)'!B166</f>
        <v>강관절단(B종)</v>
      </c>
      <c r="C120" s="33" t="str">
        <f>'강관절단 및 절단(철거)'!C166</f>
        <v>D1200㎜</v>
      </c>
      <c r="D120" s="1">
        <v>1</v>
      </c>
      <c r="E120" s="2" t="s">
        <v>3</v>
      </c>
      <c r="F120" s="2"/>
      <c r="G120" s="34" t="e">
        <f t="shared" si="4"/>
        <v>#REF!</v>
      </c>
      <c r="H120" s="34"/>
      <c r="I120" s="34" t="e">
        <f>'강관절단 및 절단(철거)'!I166</f>
        <v>#REF!</v>
      </c>
      <c r="J120" s="34"/>
      <c r="K120" s="34">
        <f>'강관절단 및 절단(철거)'!K166</f>
        <v>279710</v>
      </c>
      <c r="L120" s="34"/>
      <c r="M120" s="34">
        <f>'강관절단 및 절단(철거)'!M166</f>
        <v>0</v>
      </c>
      <c r="N120" s="2"/>
    </row>
    <row r="121" spans="1:14" ht="18" customHeight="1">
      <c r="A121" s="39">
        <v>118</v>
      </c>
      <c r="B121" s="54" t="str">
        <f>'강관절단 및 절단(철거)'!B173</f>
        <v>강관절단(A종)</v>
      </c>
      <c r="C121" s="33" t="str">
        <f>'강관절단 및 절단(철거)'!C173</f>
        <v>D1350㎜</v>
      </c>
      <c r="D121" s="1">
        <v>1</v>
      </c>
      <c r="E121" s="2" t="s">
        <v>3</v>
      </c>
      <c r="F121" s="2"/>
      <c r="G121" s="34" t="e">
        <f t="shared" si="4"/>
        <v>#REF!</v>
      </c>
      <c r="H121" s="34"/>
      <c r="I121" s="34" t="e">
        <f>'강관절단 및 절단(철거)'!I173</f>
        <v>#REF!</v>
      </c>
      <c r="J121" s="34"/>
      <c r="K121" s="34">
        <f>'강관절단 및 절단(철거)'!K173</f>
        <v>415327</v>
      </c>
      <c r="L121" s="34"/>
      <c r="M121" s="34">
        <f>'강관절단 및 절단(철거)'!M173</f>
        <v>0</v>
      </c>
      <c r="N121" s="2"/>
    </row>
    <row r="122" spans="1:14" ht="18" customHeight="1">
      <c r="A122" s="39">
        <v>119</v>
      </c>
      <c r="B122" s="54" t="str">
        <f>'강관절단 및 절단(철거)'!B180</f>
        <v>강관절단(B종)</v>
      </c>
      <c r="C122" s="33" t="str">
        <f>'강관절단 및 절단(철거)'!C180</f>
        <v>D1350㎜</v>
      </c>
      <c r="D122" s="1">
        <v>1</v>
      </c>
      <c r="E122" s="2" t="s">
        <v>3</v>
      </c>
      <c r="F122" s="2"/>
      <c r="G122" s="34" t="e">
        <f t="shared" si="4"/>
        <v>#REF!</v>
      </c>
      <c r="H122" s="34"/>
      <c r="I122" s="34" t="e">
        <f>'강관절단 및 절단(철거)'!I180</f>
        <v>#REF!</v>
      </c>
      <c r="J122" s="34"/>
      <c r="K122" s="34">
        <f>'강관절단 및 절단(철거)'!K180</f>
        <v>347519</v>
      </c>
      <c r="L122" s="34"/>
      <c r="M122" s="34">
        <f>'강관절단 및 절단(철거)'!M180</f>
        <v>0</v>
      </c>
      <c r="N122" s="2"/>
    </row>
    <row r="123" spans="1:14" ht="18" customHeight="1">
      <c r="A123" s="39">
        <v>120</v>
      </c>
      <c r="B123" s="54" t="str">
        <f>'강관절단 및 절단(철거)'!B187</f>
        <v>강관절단(A종)</v>
      </c>
      <c r="C123" s="33" t="str">
        <f>'강관절단 및 절단(철거)'!C187</f>
        <v>D1500㎜</v>
      </c>
      <c r="D123" s="1">
        <v>1</v>
      </c>
      <c r="E123" s="2" t="s">
        <v>3</v>
      </c>
      <c r="F123" s="2"/>
      <c r="G123" s="34" t="e">
        <f t="shared" si="4"/>
        <v>#REF!</v>
      </c>
      <c r="H123" s="34"/>
      <c r="I123" s="34" t="e">
        <f>'강관절단 및 절단(철거)'!I187</f>
        <v>#REF!</v>
      </c>
      <c r="J123" s="34"/>
      <c r="K123" s="34">
        <f>'강관절단 및 절단(철거)'!K187</f>
        <v>531167</v>
      </c>
      <c r="L123" s="34"/>
      <c r="M123" s="34">
        <f>'강관절단 및 절단(철거)'!M187</f>
        <v>0</v>
      </c>
      <c r="N123" s="2"/>
    </row>
    <row r="124" spans="1:14" ht="18" customHeight="1">
      <c r="A124" s="39">
        <v>121</v>
      </c>
      <c r="B124" s="54" t="str">
        <f>'강관절단 및 절단(철거)'!B194</f>
        <v>강관절단(B종)</v>
      </c>
      <c r="C124" s="33" t="str">
        <f>'강관절단 및 절단(철거)'!C194</f>
        <v>D1500㎜</v>
      </c>
      <c r="D124" s="1">
        <v>1</v>
      </c>
      <c r="E124" s="2" t="s">
        <v>3</v>
      </c>
      <c r="F124" s="2"/>
      <c r="G124" s="34" t="e">
        <f t="shared" si="4"/>
        <v>#REF!</v>
      </c>
      <c r="H124" s="34"/>
      <c r="I124" s="34" t="e">
        <f>'강관절단 및 절단(철거)'!I194</f>
        <v>#REF!</v>
      </c>
      <c r="J124" s="34"/>
      <c r="K124" s="34">
        <f>'강관절단 및 절단(철거)'!K194</f>
        <v>418153</v>
      </c>
      <c r="L124" s="34"/>
      <c r="M124" s="34">
        <f>'강관절단 및 절단(철거)'!M194</f>
        <v>0</v>
      </c>
      <c r="N124" s="2"/>
    </row>
    <row r="125" spans="1:14" ht="18" customHeight="1">
      <c r="A125" s="39">
        <v>122</v>
      </c>
      <c r="B125" s="54" t="str">
        <f>'강관절단 및 절단(철거)'!B201</f>
        <v>강관절단(A종)</v>
      </c>
      <c r="C125" s="33" t="str">
        <f>'강관절단 및 절단(철거)'!C201</f>
        <v>D1650㎜</v>
      </c>
      <c r="D125" s="1">
        <v>1</v>
      </c>
      <c r="E125" s="2" t="s">
        <v>3</v>
      </c>
      <c r="F125" s="2"/>
      <c r="G125" s="34" t="e">
        <f t="shared" si="4"/>
        <v>#REF!</v>
      </c>
      <c r="H125" s="34"/>
      <c r="I125" s="34" t="e">
        <f>'강관절단 및 절단(철거)'!I201</f>
        <v>#REF!</v>
      </c>
      <c r="J125" s="34"/>
      <c r="K125" s="34">
        <f>'강관절단 및 절단(철거)'!K201</f>
        <v>604627</v>
      </c>
      <c r="L125" s="34"/>
      <c r="M125" s="34">
        <f>'강관절단 및 절단(철거)'!M201</f>
        <v>0</v>
      </c>
      <c r="N125" s="2"/>
    </row>
    <row r="126" spans="1:14" ht="18" customHeight="1">
      <c r="A126" s="39">
        <v>123</v>
      </c>
      <c r="B126" s="54" t="str">
        <f>'강관절단 및 절단(철거)'!B208</f>
        <v>강관절단(B종)</v>
      </c>
      <c r="C126" s="33" t="str">
        <f>'강관절단 및 절단(철거)'!C208</f>
        <v>D1650㎜</v>
      </c>
      <c r="D126" s="1">
        <v>1</v>
      </c>
      <c r="E126" s="2" t="s">
        <v>3</v>
      </c>
      <c r="F126" s="2"/>
      <c r="G126" s="34" t="e">
        <f t="shared" si="4"/>
        <v>#REF!</v>
      </c>
      <c r="H126" s="34"/>
      <c r="I126" s="34" t="e">
        <f>'강관절단 및 절단(철거)'!I208</f>
        <v>#REF!</v>
      </c>
      <c r="J126" s="34"/>
      <c r="K126" s="34">
        <f>'강관절단 및 절단(철거)'!K208</f>
        <v>483136</v>
      </c>
      <c r="L126" s="34"/>
      <c r="M126" s="34">
        <f>'강관절단 및 절단(철거)'!M208</f>
        <v>0</v>
      </c>
      <c r="N126" s="2"/>
    </row>
    <row r="127" spans="1:14" ht="18" customHeight="1">
      <c r="A127" s="39">
        <v>124</v>
      </c>
      <c r="B127" s="54" t="str">
        <f>'강관절단 및 절단(철거)'!B215</f>
        <v>강관절단(A종)</v>
      </c>
      <c r="C127" s="33" t="str">
        <f>'강관절단 및 절단(철거)'!C215</f>
        <v>D1800㎜</v>
      </c>
      <c r="D127" s="1">
        <v>1</v>
      </c>
      <c r="E127" s="2" t="s">
        <v>3</v>
      </c>
      <c r="F127" s="2"/>
      <c r="G127" s="34" t="e">
        <f t="shared" si="4"/>
        <v>#REF!</v>
      </c>
      <c r="H127" s="34"/>
      <c r="I127" s="34" t="e">
        <f>'강관절단 및 절단(철거)'!I215</f>
        <v>#REF!</v>
      </c>
      <c r="J127" s="34"/>
      <c r="K127" s="34">
        <f>'강관절단 및 절단(철거)'!K215</f>
        <v>638531</v>
      </c>
      <c r="L127" s="34"/>
      <c r="M127" s="34">
        <f>'강관절단 및 절단(철거)'!M215</f>
        <v>0</v>
      </c>
      <c r="N127" s="2"/>
    </row>
    <row r="128" spans="1:14" ht="18" customHeight="1">
      <c r="A128" s="39">
        <v>125</v>
      </c>
      <c r="B128" s="54" t="str">
        <f>'강관절단 및 절단(철거)'!B222</f>
        <v>강관절단(B종)</v>
      </c>
      <c r="C128" s="33" t="str">
        <f>'강관절단 및 절단(철거)'!C222</f>
        <v>D1800㎜</v>
      </c>
      <c r="D128" s="1">
        <v>1</v>
      </c>
      <c r="E128" s="2" t="s">
        <v>3</v>
      </c>
      <c r="F128" s="2"/>
      <c r="G128" s="34" t="e">
        <f t="shared" si="4"/>
        <v>#REF!</v>
      </c>
      <c r="H128" s="34"/>
      <c r="I128" s="34" t="e">
        <f>'강관절단 및 절단(철거)'!I222</f>
        <v>#REF!</v>
      </c>
      <c r="J128" s="34"/>
      <c r="K128" s="34">
        <f>'강관절단 및 절단(철거)'!K222</f>
        <v>519866</v>
      </c>
      <c r="L128" s="34"/>
      <c r="M128" s="34">
        <f>'강관절단 및 절단(철거)'!M222</f>
        <v>0</v>
      </c>
      <c r="N128" s="2"/>
    </row>
    <row r="129" spans="1:14" ht="18" customHeight="1">
      <c r="A129" s="39">
        <v>126</v>
      </c>
      <c r="B129" s="54" t="str">
        <f>'강관절단 및 절단(철거)'!B229</f>
        <v>강관절단(A종)</v>
      </c>
      <c r="C129" s="33" t="str">
        <f>'강관절단 및 절단(철거)'!C229</f>
        <v>D2000㎜</v>
      </c>
      <c r="D129" s="1">
        <v>1</v>
      </c>
      <c r="E129" s="2" t="s">
        <v>3</v>
      </c>
      <c r="F129" s="2"/>
      <c r="G129" s="34" t="e">
        <f t="shared" si="4"/>
        <v>#REF!</v>
      </c>
      <c r="H129" s="34"/>
      <c r="I129" s="34" t="e">
        <f>'강관절단 및 절단(철거)'!I229</f>
        <v>#REF!</v>
      </c>
      <c r="J129" s="34"/>
      <c r="K129" s="34">
        <f>'강관절단 및 절단(철거)'!K229</f>
        <v>720466</v>
      </c>
      <c r="L129" s="34"/>
      <c r="M129" s="34">
        <f>'강관절단 및 절단(철거)'!M229</f>
        <v>0</v>
      </c>
      <c r="N129" s="2"/>
    </row>
    <row r="130" spans="1:14" ht="18" customHeight="1">
      <c r="A130" s="39">
        <v>127</v>
      </c>
      <c r="B130" s="54" t="str">
        <f>'강관절단 및 절단(철거)'!B236</f>
        <v>강관절단(B종)</v>
      </c>
      <c r="C130" s="33" t="str">
        <f>'강관절단 및 절단(철거)'!C236</f>
        <v>D2000㎜</v>
      </c>
      <c r="D130" s="1">
        <v>1</v>
      </c>
      <c r="E130" s="2" t="s">
        <v>3</v>
      </c>
      <c r="F130" s="2"/>
      <c r="G130" s="34" t="e">
        <f t="shared" si="4"/>
        <v>#REF!</v>
      </c>
      <c r="H130" s="34"/>
      <c r="I130" s="34" t="e">
        <f>'강관절단 및 절단(철거)'!I236</f>
        <v>#REF!</v>
      </c>
      <c r="J130" s="34"/>
      <c r="K130" s="34">
        <f>'강관절단 및 절단(철거)'!K236</f>
        <v>655483</v>
      </c>
      <c r="L130" s="34"/>
      <c r="M130" s="34">
        <f>'강관절단 및 절단(철거)'!M236</f>
        <v>0</v>
      </c>
      <c r="N130" s="2"/>
    </row>
    <row r="131" spans="1:14" ht="18" customHeight="1">
      <c r="A131" s="39">
        <v>128</v>
      </c>
      <c r="B131" s="54" t="str">
        <f>'강관절단 및 절단(철거)'!B243</f>
        <v>강관절단(A종)</v>
      </c>
      <c r="C131" s="33" t="str">
        <f>'강관절단 및 절단(철거)'!C243</f>
        <v>D2200㎜</v>
      </c>
      <c r="D131" s="1">
        <v>1</v>
      </c>
      <c r="E131" s="2" t="s">
        <v>3</v>
      </c>
      <c r="F131" s="2"/>
      <c r="G131" s="34" t="e">
        <f t="shared" si="4"/>
        <v>#REF!</v>
      </c>
      <c r="H131" s="34"/>
      <c r="I131" s="34" t="e">
        <f>'강관절단 및 절단(철거)'!I243</f>
        <v>#REF!</v>
      </c>
      <c r="J131" s="34"/>
      <c r="K131" s="34">
        <f>'강관절단 및 절단(철거)'!K243</f>
        <v>785450</v>
      </c>
      <c r="L131" s="34"/>
      <c r="M131" s="34">
        <f>'강관절단 및 절단(철거)'!M243</f>
        <v>0</v>
      </c>
      <c r="N131" s="2"/>
    </row>
    <row r="132" spans="1:14" ht="18" customHeight="1">
      <c r="A132" s="39">
        <v>129</v>
      </c>
      <c r="B132" s="54" t="str">
        <f>'강관절단 및 절단(철거)'!B250</f>
        <v>강관절단(B종)</v>
      </c>
      <c r="C132" s="33" t="str">
        <f>'강관절단 및 절단(철거)'!C250</f>
        <v>D2200㎜</v>
      </c>
      <c r="D132" s="1">
        <v>1</v>
      </c>
      <c r="E132" s="2" t="s">
        <v>3</v>
      </c>
      <c r="F132" s="2"/>
      <c r="G132" s="34" t="e">
        <f t="shared" si="4"/>
        <v>#REF!</v>
      </c>
      <c r="H132" s="34"/>
      <c r="I132" s="34" t="e">
        <f>'강관절단 및 절단(철거)'!I250</f>
        <v>#REF!</v>
      </c>
      <c r="J132" s="34"/>
      <c r="K132" s="34">
        <f>'강관절단 및 절단(철거)'!K250</f>
        <v>678086</v>
      </c>
      <c r="L132" s="34"/>
      <c r="M132" s="34">
        <f>'강관절단 및 절단(철거)'!M250</f>
        <v>0</v>
      </c>
      <c r="N132" s="2"/>
    </row>
    <row r="133" spans="1:14" ht="18" customHeight="1">
      <c r="A133" s="39">
        <v>130</v>
      </c>
      <c r="B133" s="54" t="str">
        <f>'강관절단 및 절단(철거)'!B257</f>
        <v>강관절단(A종)</v>
      </c>
      <c r="C133" s="33" t="str">
        <f>'강관절단 및 절단(철거)'!C257</f>
        <v>D2400㎜</v>
      </c>
      <c r="D133" s="1">
        <v>1</v>
      </c>
      <c r="E133" s="2" t="s">
        <v>3</v>
      </c>
      <c r="F133" s="2"/>
      <c r="G133" s="34" t="e">
        <f t="shared" si="4"/>
        <v>#REF!</v>
      </c>
      <c r="H133" s="34"/>
      <c r="I133" s="34" t="e">
        <f>'강관절단 및 절단(철거)'!I257</f>
        <v>#REF!</v>
      </c>
      <c r="J133" s="34"/>
      <c r="K133" s="34">
        <f>'강관절단 및 절단(철거)'!K257</f>
        <v>864560</v>
      </c>
      <c r="L133" s="34"/>
      <c r="M133" s="34">
        <f>'강관절단 및 절단(철거)'!M257</f>
        <v>0</v>
      </c>
      <c r="N133" s="2"/>
    </row>
    <row r="134" spans="1:14" ht="18" customHeight="1">
      <c r="A134" s="39">
        <v>131</v>
      </c>
      <c r="B134" s="54" t="str">
        <f>'강관절단 및 절단(철거)'!B264</f>
        <v>강관절단(B종)</v>
      </c>
      <c r="C134" s="33" t="str">
        <f>'강관절단 및 절단(철거)'!C264</f>
        <v>D2400㎜</v>
      </c>
      <c r="D134" s="1">
        <v>1</v>
      </c>
      <c r="E134" s="2" t="s">
        <v>3</v>
      </c>
      <c r="F134" s="2"/>
      <c r="G134" s="34" t="e">
        <f t="shared" si="4"/>
        <v>#REF!</v>
      </c>
      <c r="H134" s="34"/>
      <c r="I134" s="34" t="e">
        <f>'강관절단 및 절단(철거)'!I264</f>
        <v>#REF!</v>
      </c>
      <c r="J134" s="34"/>
      <c r="K134" s="34">
        <f>'강관절단 및 절단(철거)'!K264</f>
        <v>751545</v>
      </c>
      <c r="L134" s="34"/>
      <c r="M134" s="34">
        <f>'강관절단 및 절단(철거)'!M264</f>
        <v>0</v>
      </c>
      <c r="N134" s="2"/>
    </row>
    <row r="135" spans="1:14" ht="18" customHeight="1">
      <c r="A135" s="39">
        <v>132</v>
      </c>
      <c r="B135" s="54" t="str">
        <f>플랜지!B5</f>
        <v>플랜지조인트접합</v>
      </c>
      <c r="C135" s="39" t="str">
        <f>플랜지!C5</f>
        <v>D80㎜</v>
      </c>
      <c r="D135" s="1">
        <v>1</v>
      </c>
      <c r="E135" s="2" t="s">
        <v>3</v>
      </c>
      <c r="F135" s="2"/>
      <c r="G135" s="34" t="e">
        <f t="shared" ref="G135:G198" si="5">I135+K135+M135</f>
        <v>#REF!</v>
      </c>
      <c r="H135" s="34"/>
      <c r="I135" s="34" t="e">
        <f>플랜지!I5</f>
        <v>#REF!</v>
      </c>
      <c r="J135" s="34"/>
      <c r="K135" s="34">
        <f>플랜지!K5</f>
        <v>16570</v>
      </c>
      <c r="L135" s="34"/>
      <c r="M135" s="34">
        <f>플랜지!M5</f>
        <v>331</v>
      </c>
      <c r="N135" s="77" t="e">
        <f>IF(I135=0,"접합부속 제외","")</f>
        <v>#REF!</v>
      </c>
    </row>
    <row r="136" spans="1:14" ht="18" customHeight="1">
      <c r="A136" s="39">
        <v>133</v>
      </c>
      <c r="B136" s="54" t="str">
        <f>플랜지!B11</f>
        <v>플랜지조인트접합</v>
      </c>
      <c r="C136" s="39" t="str">
        <f>플랜지!C11</f>
        <v>D100㎜</v>
      </c>
      <c r="D136" s="1">
        <v>1</v>
      </c>
      <c r="E136" s="2" t="s">
        <v>3</v>
      </c>
      <c r="F136" s="2"/>
      <c r="G136" s="34" t="e">
        <f t="shared" si="5"/>
        <v>#REF!</v>
      </c>
      <c r="H136" s="34"/>
      <c r="I136" s="34" t="e">
        <f>플랜지!I11</f>
        <v>#REF!</v>
      </c>
      <c r="J136" s="34"/>
      <c r="K136" s="34">
        <f>플랜지!K11</f>
        <v>25263</v>
      </c>
      <c r="L136" s="34"/>
      <c r="M136" s="34">
        <f>플랜지!M11</f>
        <v>505</v>
      </c>
      <c r="N136" s="77" t="e">
        <f t="shared" ref="N136:N158" si="6">IF(I136=0,"접합부속 제외","")</f>
        <v>#REF!</v>
      </c>
    </row>
    <row r="137" spans="1:14" ht="18" customHeight="1">
      <c r="A137" s="39">
        <v>134</v>
      </c>
      <c r="B137" s="54" t="str">
        <f>플랜지!B17</f>
        <v>플랜지조인트접합</v>
      </c>
      <c r="C137" s="39" t="str">
        <f>플랜지!C17</f>
        <v>D150㎜</v>
      </c>
      <c r="D137" s="1">
        <v>1</v>
      </c>
      <c r="E137" s="2" t="s">
        <v>3</v>
      </c>
      <c r="F137" s="2"/>
      <c r="G137" s="34" t="e">
        <f t="shared" si="5"/>
        <v>#REF!</v>
      </c>
      <c r="H137" s="34"/>
      <c r="I137" s="34" t="e">
        <f>플랜지!I17</f>
        <v>#REF!</v>
      </c>
      <c r="J137" s="34"/>
      <c r="K137" s="34">
        <f>플랜지!K17</f>
        <v>32235</v>
      </c>
      <c r="L137" s="34"/>
      <c r="M137" s="34">
        <f>플랜지!M17</f>
        <v>644</v>
      </c>
      <c r="N137" s="77" t="e">
        <f t="shared" si="6"/>
        <v>#REF!</v>
      </c>
    </row>
    <row r="138" spans="1:14" ht="18" customHeight="1">
      <c r="A138" s="39">
        <v>135</v>
      </c>
      <c r="B138" s="54" t="str">
        <f>플랜지!B23</f>
        <v>플랜지조인트접합</v>
      </c>
      <c r="C138" s="39" t="str">
        <f>플랜지!C23</f>
        <v>D200㎜</v>
      </c>
      <c r="D138" s="1">
        <v>1</v>
      </c>
      <c r="E138" s="2" t="s">
        <v>3</v>
      </c>
      <c r="F138" s="2"/>
      <c r="G138" s="34" t="e">
        <f t="shared" si="5"/>
        <v>#REF!</v>
      </c>
      <c r="H138" s="34"/>
      <c r="I138" s="34" t="e">
        <f>플랜지!I23</f>
        <v>#REF!</v>
      </c>
      <c r="J138" s="34"/>
      <c r="K138" s="34">
        <f>플랜지!K23</f>
        <v>39207</v>
      </c>
      <c r="L138" s="34"/>
      <c r="M138" s="34">
        <f>플랜지!M23</f>
        <v>784</v>
      </c>
      <c r="N138" s="77" t="e">
        <f t="shared" si="6"/>
        <v>#REF!</v>
      </c>
    </row>
    <row r="139" spans="1:14" ht="18" customHeight="1">
      <c r="A139" s="39">
        <v>136</v>
      </c>
      <c r="B139" s="54" t="str">
        <f>플랜지!B29</f>
        <v>플랜지조인트접합</v>
      </c>
      <c r="C139" s="39" t="str">
        <f>플랜지!C29</f>
        <v>D250㎜</v>
      </c>
      <c r="D139" s="1">
        <v>1</v>
      </c>
      <c r="E139" s="2" t="s">
        <v>3</v>
      </c>
      <c r="F139" s="2"/>
      <c r="G139" s="34" t="e">
        <f t="shared" si="5"/>
        <v>#REF!</v>
      </c>
      <c r="H139" s="34"/>
      <c r="I139" s="34" t="e">
        <f>플랜지!I29</f>
        <v>#REF!</v>
      </c>
      <c r="J139" s="34"/>
      <c r="K139" s="34">
        <f>플랜지!K29</f>
        <v>48805</v>
      </c>
      <c r="L139" s="34"/>
      <c r="M139" s="34">
        <f>플랜지!M29</f>
        <v>976</v>
      </c>
      <c r="N139" s="77" t="e">
        <f t="shared" si="6"/>
        <v>#REF!</v>
      </c>
    </row>
    <row r="140" spans="1:14" ht="18" customHeight="1">
      <c r="A140" s="39">
        <v>137</v>
      </c>
      <c r="B140" s="54" t="str">
        <f>플랜지!B35</f>
        <v>플랜지조인트접합</v>
      </c>
      <c r="C140" s="39" t="str">
        <f>플랜지!C35</f>
        <v>D300㎜</v>
      </c>
      <c r="D140" s="1">
        <v>1</v>
      </c>
      <c r="E140" s="2" t="s">
        <v>3</v>
      </c>
      <c r="F140" s="2"/>
      <c r="G140" s="34" t="e">
        <f t="shared" si="5"/>
        <v>#REF!</v>
      </c>
      <c r="H140" s="34"/>
      <c r="I140" s="34" t="e">
        <f>플랜지!I35</f>
        <v>#REF!</v>
      </c>
      <c r="J140" s="34"/>
      <c r="K140" s="34">
        <f>플랜지!K35</f>
        <v>48805</v>
      </c>
      <c r="L140" s="34"/>
      <c r="M140" s="34">
        <f>플랜지!M35</f>
        <v>976</v>
      </c>
      <c r="N140" s="77" t="e">
        <f t="shared" si="6"/>
        <v>#REF!</v>
      </c>
    </row>
    <row r="141" spans="1:14" ht="18" customHeight="1">
      <c r="A141" s="39">
        <v>138</v>
      </c>
      <c r="B141" s="54" t="str">
        <f>플랜지!B41</f>
        <v>플랜지조인트접합</v>
      </c>
      <c r="C141" s="39" t="str">
        <f>플랜지!C41</f>
        <v>D350㎜</v>
      </c>
      <c r="D141" s="1">
        <v>1</v>
      </c>
      <c r="E141" s="2" t="s">
        <v>3</v>
      </c>
      <c r="F141" s="2"/>
      <c r="G141" s="34" t="e">
        <f t="shared" si="5"/>
        <v>#REF!</v>
      </c>
      <c r="H141" s="34"/>
      <c r="I141" s="34" t="e">
        <f>플랜지!I41</f>
        <v>#REF!</v>
      </c>
      <c r="J141" s="34"/>
      <c r="K141" s="34">
        <f>플랜지!K41</f>
        <v>55778</v>
      </c>
      <c r="L141" s="34"/>
      <c r="M141" s="34">
        <f>플랜지!M41</f>
        <v>1115</v>
      </c>
      <c r="N141" s="77" t="e">
        <f t="shared" si="6"/>
        <v>#REF!</v>
      </c>
    </row>
    <row r="142" spans="1:14" ht="18" customHeight="1">
      <c r="A142" s="39">
        <v>139</v>
      </c>
      <c r="B142" s="54" t="str">
        <f>플랜지!B47</f>
        <v>플랜지조인트접합</v>
      </c>
      <c r="C142" s="39" t="str">
        <f>플랜지!C47</f>
        <v>D400㎜</v>
      </c>
      <c r="D142" s="1">
        <v>1</v>
      </c>
      <c r="E142" s="2" t="s">
        <v>3</v>
      </c>
      <c r="F142" s="2"/>
      <c r="G142" s="34" t="e">
        <f t="shared" si="5"/>
        <v>#REF!</v>
      </c>
      <c r="H142" s="34"/>
      <c r="I142" s="34" t="e">
        <f>플랜지!I47</f>
        <v>#REF!</v>
      </c>
      <c r="J142" s="34"/>
      <c r="K142" s="34">
        <f>플랜지!K47</f>
        <v>62750</v>
      </c>
      <c r="L142" s="34"/>
      <c r="M142" s="34">
        <f>플랜지!M47</f>
        <v>1255</v>
      </c>
      <c r="N142" s="77" t="e">
        <f t="shared" si="6"/>
        <v>#REF!</v>
      </c>
    </row>
    <row r="143" spans="1:14" ht="18" customHeight="1">
      <c r="A143" s="39">
        <v>140</v>
      </c>
      <c r="B143" s="54" t="str">
        <f>플랜지!B53</f>
        <v>플랜지조인트접합</v>
      </c>
      <c r="C143" s="39" t="str">
        <f>플랜지!C53</f>
        <v>D450㎜</v>
      </c>
      <c r="D143" s="1">
        <v>1</v>
      </c>
      <c r="E143" s="2" t="s">
        <v>3</v>
      </c>
      <c r="F143" s="2"/>
      <c r="G143" s="34" t="e">
        <f t="shared" si="5"/>
        <v>#REF!</v>
      </c>
      <c r="H143" s="34"/>
      <c r="I143" s="34" t="e">
        <f>플랜지!I53</f>
        <v>#REF!</v>
      </c>
      <c r="J143" s="34"/>
      <c r="K143" s="34">
        <f>플랜지!K53</f>
        <v>69722</v>
      </c>
      <c r="L143" s="34"/>
      <c r="M143" s="34">
        <f>플랜지!M53</f>
        <v>1394</v>
      </c>
      <c r="N143" s="77" t="e">
        <f t="shared" si="6"/>
        <v>#REF!</v>
      </c>
    </row>
    <row r="144" spans="1:14" ht="18" customHeight="1">
      <c r="A144" s="39">
        <v>141</v>
      </c>
      <c r="B144" s="54" t="str">
        <f>플랜지!B59</f>
        <v>플랜지조인트접합</v>
      </c>
      <c r="C144" s="39" t="str">
        <f>플랜지!C59</f>
        <v>D500㎜</v>
      </c>
      <c r="D144" s="1">
        <v>1</v>
      </c>
      <c r="E144" s="2" t="s">
        <v>3</v>
      </c>
      <c r="F144" s="2"/>
      <c r="G144" s="34" t="e">
        <f t="shared" si="5"/>
        <v>#REF!</v>
      </c>
      <c r="H144" s="34"/>
      <c r="I144" s="34" t="e">
        <f>플랜지!I59</f>
        <v>#REF!</v>
      </c>
      <c r="J144" s="34"/>
      <c r="K144" s="34">
        <f>플랜지!K59</f>
        <v>76695</v>
      </c>
      <c r="L144" s="34"/>
      <c r="M144" s="34">
        <f>플랜지!M59</f>
        <v>1533</v>
      </c>
      <c r="N144" s="77" t="e">
        <f t="shared" si="6"/>
        <v>#REF!</v>
      </c>
    </row>
    <row r="145" spans="1:14" ht="18" customHeight="1">
      <c r="A145" s="39">
        <v>142</v>
      </c>
      <c r="B145" s="54" t="str">
        <f>플랜지!B65</f>
        <v>플랜지조인트접합</v>
      </c>
      <c r="C145" s="39" t="str">
        <f>플랜지!C65</f>
        <v>D600㎜</v>
      </c>
      <c r="D145" s="1">
        <v>1</v>
      </c>
      <c r="E145" s="2" t="s">
        <v>3</v>
      </c>
      <c r="F145" s="2"/>
      <c r="G145" s="34" t="e">
        <f t="shared" si="5"/>
        <v>#REF!</v>
      </c>
      <c r="H145" s="34"/>
      <c r="I145" s="34" t="e">
        <f>플랜지!I65</f>
        <v>#REF!</v>
      </c>
      <c r="J145" s="34"/>
      <c r="K145" s="34">
        <f>플랜지!K65</f>
        <v>83667</v>
      </c>
      <c r="L145" s="34"/>
      <c r="M145" s="34">
        <f>플랜지!M65</f>
        <v>1673</v>
      </c>
      <c r="N145" s="77" t="e">
        <f t="shared" si="6"/>
        <v>#REF!</v>
      </c>
    </row>
    <row r="146" spans="1:14" ht="18" customHeight="1">
      <c r="A146" s="39">
        <v>143</v>
      </c>
      <c r="B146" s="54" t="str">
        <f>플랜지!B71</f>
        <v>플랜지조인트접합</v>
      </c>
      <c r="C146" s="39" t="str">
        <f>플랜지!C71</f>
        <v>D700㎜</v>
      </c>
      <c r="D146" s="1">
        <v>1</v>
      </c>
      <c r="E146" s="2" t="s">
        <v>3</v>
      </c>
      <c r="F146" s="2"/>
      <c r="G146" s="34" t="e">
        <f t="shared" si="5"/>
        <v>#REF!</v>
      </c>
      <c r="H146" s="34"/>
      <c r="I146" s="34" t="e">
        <f>플랜지!I71</f>
        <v>#REF!</v>
      </c>
      <c r="J146" s="34"/>
      <c r="K146" s="34">
        <f>플랜지!K71</f>
        <v>94986</v>
      </c>
      <c r="L146" s="34"/>
      <c r="M146" s="34">
        <f>플랜지!M71</f>
        <v>1899</v>
      </c>
      <c r="N146" s="77" t="e">
        <f t="shared" si="6"/>
        <v>#REF!</v>
      </c>
    </row>
    <row r="147" spans="1:14" ht="18" customHeight="1">
      <c r="A147" s="39">
        <v>144</v>
      </c>
      <c r="B147" s="54" t="str">
        <f>플랜지!B77</f>
        <v>플랜지조인트접합</v>
      </c>
      <c r="C147" s="39" t="str">
        <f>플랜지!C77</f>
        <v>D800㎜</v>
      </c>
      <c r="D147" s="1">
        <v>1</v>
      </c>
      <c r="E147" s="2" t="s">
        <v>3</v>
      </c>
      <c r="F147" s="2"/>
      <c r="G147" s="34" t="e">
        <f t="shared" si="5"/>
        <v>#REF!</v>
      </c>
      <c r="H147" s="34"/>
      <c r="I147" s="34" t="e">
        <f>플랜지!I77</f>
        <v>#REF!</v>
      </c>
      <c r="J147" s="34"/>
      <c r="K147" s="34">
        <f>플랜지!K77</f>
        <v>100237</v>
      </c>
      <c r="L147" s="34"/>
      <c r="M147" s="34">
        <f>플랜지!M77</f>
        <v>2004</v>
      </c>
      <c r="N147" s="77" t="e">
        <f t="shared" si="6"/>
        <v>#REF!</v>
      </c>
    </row>
    <row r="148" spans="1:14" ht="18" customHeight="1">
      <c r="A148" s="39">
        <v>145</v>
      </c>
      <c r="B148" s="54" t="str">
        <f>플랜지!B83</f>
        <v>플랜지조인트접합</v>
      </c>
      <c r="C148" s="39" t="str">
        <f>플랜지!C83</f>
        <v>D900㎜</v>
      </c>
      <c r="D148" s="1">
        <v>1</v>
      </c>
      <c r="E148" s="2" t="s">
        <v>3</v>
      </c>
      <c r="F148" s="2"/>
      <c r="G148" s="34" t="e">
        <f t="shared" si="5"/>
        <v>#REF!</v>
      </c>
      <c r="H148" s="34"/>
      <c r="I148" s="34" t="e">
        <f>플랜지!I83</f>
        <v>#REF!</v>
      </c>
      <c r="J148" s="34"/>
      <c r="K148" s="34">
        <f>플랜지!K83</f>
        <v>107210</v>
      </c>
      <c r="L148" s="34"/>
      <c r="M148" s="34">
        <f>플랜지!M83</f>
        <v>2144</v>
      </c>
      <c r="N148" s="77" t="e">
        <f t="shared" si="6"/>
        <v>#REF!</v>
      </c>
    </row>
    <row r="149" spans="1:14" ht="18" customHeight="1">
      <c r="A149" s="39">
        <v>146</v>
      </c>
      <c r="B149" s="54" t="str">
        <f>플랜지!B89</f>
        <v>플랜지조인트접합</v>
      </c>
      <c r="C149" s="39" t="str">
        <f>플랜지!C89</f>
        <v>D1000㎜</v>
      </c>
      <c r="D149" s="1">
        <v>1</v>
      </c>
      <c r="E149" s="2" t="s">
        <v>3</v>
      </c>
      <c r="F149" s="2"/>
      <c r="G149" s="34" t="e">
        <f t="shared" si="5"/>
        <v>#REF!</v>
      </c>
      <c r="H149" s="34"/>
      <c r="I149" s="34" t="e">
        <f>플랜지!I89</f>
        <v>#REF!</v>
      </c>
      <c r="J149" s="34"/>
      <c r="K149" s="34">
        <f>플랜지!K89</f>
        <v>121154</v>
      </c>
      <c r="L149" s="34"/>
      <c r="M149" s="34">
        <f>플랜지!M89</f>
        <v>2423</v>
      </c>
      <c r="N149" s="77" t="e">
        <f t="shared" si="6"/>
        <v>#REF!</v>
      </c>
    </row>
    <row r="150" spans="1:14" ht="18" customHeight="1">
      <c r="A150" s="39">
        <v>147</v>
      </c>
      <c r="B150" s="54" t="str">
        <f>플랜지!B95</f>
        <v>플랜지조인트접합</v>
      </c>
      <c r="C150" s="39" t="str">
        <f>플랜지!C95</f>
        <v>D1100㎜</v>
      </c>
      <c r="D150" s="1">
        <v>1</v>
      </c>
      <c r="E150" s="2" t="s">
        <v>3</v>
      </c>
      <c r="F150" s="2"/>
      <c r="G150" s="34" t="e">
        <f t="shared" si="5"/>
        <v>#REF!</v>
      </c>
      <c r="H150" s="34"/>
      <c r="I150" s="34" t="e">
        <f>플랜지!I95</f>
        <v>#REF!</v>
      </c>
      <c r="J150" s="34"/>
      <c r="K150" s="34">
        <f>플랜지!K95</f>
        <v>130300</v>
      </c>
      <c r="L150" s="34"/>
      <c r="M150" s="34">
        <f>플랜지!M95</f>
        <v>2606</v>
      </c>
      <c r="N150" s="77" t="e">
        <f t="shared" si="6"/>
        <v>#REF!</v>
      </c>
    </row>
    <row r="151" spans="1:14" ht="18" customHeight="1">
      <c r="A151" s="39">
        <v>148</v>
      </c>
      <c r="B151" s="54" t="str">
        <f>플랜지!B101</f>
        <v>플랜지조인트접합</v>
      </c>
      <c r="C151" s="39" t="str">
        <f>플랜지!C101</f>
        <v>D1200㎜</v>
      </c>
      <c r="D151" s="1">
        <v>1</v>
      </c>
      <c r="E151" s="2" t="s">
        <v>3</v>
      </c>
      <c r="F151" s="2"/>
      <c r="G151" s="34" t="e">
        <f t="shared" si="5"/>
        <v>#REF!</v>
      </c>
      <c r="H151" s="34"/>
      <c r="I151" s="34" t="e">
        <f>플랜지!I101</f>
        <v>#REF!</v>
      </c>
      <c r="J151" s="34"/>
      <c r="K151" s="34">
        <f>플랜지!K101</f>
        <v>139445</v>
      </c>
      <c r="L151" s="34"/>
      <c r="M151" s="34">
        <f>플랜지!M101</f>
        <v>2788</v>
      </c>
      <c r="N151" s="77" t="e">
        <f t="shared" si="6"/>
        <v>#REF!</v>
      </c>
    </row>
    <row r="152" spans="1:14" ht="18" customHeight="1">
      <c r="A152" s="39">
        <v>149</v>
      </c>
      <c r="B152" s="54" t="str">
        <f>플랜지!B107</f>
        <v>플랜지조인트접합</v>
      </c>
      <c r="C152" s="39" t="str">
        <f>플랜지!C107</f>
        <v>D1350㎜</v>
      </c>
      <c r="D152" s="1">
        <v>1</v>
      </c>
      <c r="E152" s="2" t="s">
        <v>3</v>
      </c>
      <c r="F152" s="2"/>
      <c r="G152" s="34">
        <f t="shared" si="5"/>
        <v>146667</v>
      </c>
      <c r="H152" s="34"/>
      <c r="I152" s="34">
        <f>플랜지!I107</f>
        <v>0</v>
      </c>
      <c r="J152" s="34"/>
      <c r="K152" s="34">
        <f>플랜지!K107</f>
        <v>143792</v>
      </c>
      <c r="L152" s="34"/>
      <c r="M152" s="34">
        <f>플랜지!M107</f>
        <v>2875</v>
      </c>
      <c r="N152" s="77" t="str">
        <f t="shared" si="6"/>
        <v>접합부속 제외</v>
      </c>
    </row>
    <row r="153" spans="1:14" ht="18" customHeight="1">
      <c r="A153" s="39">
        <v>150</v>
      </c>
      <c r="B153" s="54" t="str">
        <f>플랜지!B113</f>
        <v>플랜지조인트접합</v>
      </c>
      <c r="C153" s="39" t="str">
        <f>플랜지!C113</f>
        <v>D1500㎜</v>
      </c>
      <c r="D153" s="1">
        <v>1</v>
      </c>
      <c r="E153" s="2" t="s">
        <v>3</v>
      </c>
      <c r="F153" s="2"/>
      <c r="G153" s="34">
        <f t="shared" si="5"/>
        <v>163569</v>
      </c>
      <c r="H153" s="34"/>
      <c r="I153" s="34">
        <f>플랜지!I113</f>
        <v>0</v>
      </c>
      <c r="J153" s="34"/>
      <c r="K153" s="34">
        <f>플랜지!K113</f>
        <v>160362</v>
      </c>
      <c r="L153" s="34"/>
      <c r="M153" s="34">
        <f>플랜지!M113</f>
        <v>3207</v>
      </c>
      <c r="N153" s="77" t="str">
        <f t="shared" si="6"/>
        <v>접합부속 제외</v>
      </c>
    </row>
    <row r="154" spans="1:14" ht="18" customHeight="1">
      <c r="A154" s="39">
        <v>151</v>
      </c>
      <c r="B154" s="54" t="str">
        <f>플랜지!B119</f>
        <v>플랜지조인트접합</v>
      </c>
      <c r="C154" s="39" t="str">
        <f>플랜지!C119</f>
        <v>D1650㎜</v>
      </c>
      <c r="D154" s="1">
        <v>1</v>
      </c>
      <c r="E154" s="2" t="s">
        <v>3</v>
      </c>
      <c r="F154" s="2"/>
      <c r="G154" s="34">
        <f t="shared" si="5"/>
        <v>184904</v>
      </c>
      <c r="H154" s="34"/>
      <c r="I154" s="34">
        <f>플랜지!I119</f>
        <v>0</v>
      </c>
      <c r="J154" s="34"/>
      <c r="K154" s="34">
        <f>플랜지!K119</f>
        <v>181279</v>
      </c>
      <c r="L154" s="34"/>
      <c r="M154" s="34">
        <f>플랜지!M119</f>
        <v>3625</v>
      </c>
      <c r="N154" s="77" t="str">
        <f t="shared" si="6"/>
        <v>접합부속 제외</v>
      </c>
    </row>
    <row r="155" spans="1:14" ht="18" customHeight="1">
      <c r="A155" s="39">
        <v>152</v>
      </c>
      <c r="B155" s="54" t="str">
        <f>플랜지!B125</f>
        <v>플랜지조인트접합</v>
      </c>
      <c r="C155" s="39" t="str">
        <f>플랜지!C125</f>
        <v>D1800㎜</v>
      </c>
      <c r="D155" s="1">
        <v>1</v>
      </c>
      <c r="E155" s="2" t="s">
        <v>3</v>
      </c>
      <c r="F155" s="2"/>
      <c r="G155" s="34">
        <f t="shared" si="5"/>
        <v>203561</v>
      </c>
      <c r="H155" s="34"/>
      <c r="I155" s="34">
        <f>플랜지!I125</f>
        <v>0</v>
      </c>
      <c r="J155" s="34"/>
      <c r="K155" s="34">
        <f>플랜지!K125</f>
        <v>199570</v>
      </c>
      <c r="L155" s="34"/>
      <c r="M155" s="34">
        <f>플랜지!M125</f>
        <v>3991</v>
      </c>
      <c r="N155" s="77" t="str">
        <f t="shared" si="6"/>
        <v>접합부속 제외</v>
      </c>
    </row>
    <row r="156" spans="1:14" ht="18" customHeight="1">
      <c r="A156" s="39">
        <v>153</v>
      </c>
      <c r="B156" s="54" t="str">
        <f>플랜지!B131</f>
        <v>플랜지조인트접합</v>
      </c>
      <c r="C156" s="39" t="str">
        <f>플랜지!C131</f>
        <v>D2000㎜</v>
      </c>
      <c r="D156" s="1">
        <v>1</v>
      </c>
      <c r="E156" s="2" t="s">
        <v>3</v>
      </c>
      <c r="F156" s="2"/>
      <c r="G156" s="34">
        <f t="shared" si="5"/>
        <v>224896</v>
      </c>
      <c r="H156" s="34"/>
      <c r="I156" s="34">
        <f>플랜지!I131</f>
        <v>0</v>
      </c>
      <c r="J156" s="34"/>
      <c r="K156" s="34">
        <f>플랜지!K131</f>
        <v>220487</v>
      </c>
      <c r="L156" s="34"/>
      <c r="M156" s="34">
        <f>플랜지!M131</f>
        <v>4409</v>
      </c>
      <c r="N156" s="77" t="str">
        <f t="shared" si="6"/>
        <v>접합부속 제외</v>
      </c>
    </row>
    <row r="157" spans="1:14" ht="18" customHeight="1">
      <c r="A157" s="39">
        <v>154</v>
      </c>
      <c r="B157" s="54" t="str">
        <f>플랜지!B137</f>
        <v>플랜지조인트접합</v>
      </c>
      <c r="C157" s="39" t="str">
        <f>플랜지!C137</f>
        <v>D2200㎜</v>
      </c>
      <c r="D157" s="1">
        <v>1</v>
      </c>
      <c r="E157" s="2" t="s">
        <v>3</v>
      </c>
      <c r="F157" s="2"/>
      <c r="G157" s="34">
        <f t="shared" si="5"/>
        <v>244476</v>
      </c>
      <c r="H157" s="34"/>
      <c r="I157" s="34">
        <f>플랜지!I137</f>
        <v>0</v>
      </c>
      <c r="J157" s="34"/>
      <c r="K157" s="34">
        <f>플랜지!K137</f>
        <v>239683</v>
      </c>
      <c r="L157" s="34"/>
      <c r="M157" s="34">
        <f>플랜지!M137</f>
        <v>4793</v>
      </c>
      <c r="N157" s="77" t="str">
        <f t="shared" si="6"/>
        <v>접합부속 제외</v>
      </c>
    </row>
    <row r="158" spans="1:14" ht="18" customHeight="1">
      <c r="A158" s="39">
        <v>155</v>
      </c>
      <c r="B158" s="54" t="str">
        <f>플랜지!B143</f>
        <v>플랜지조인트접합</v>
      </c>
      <c r="C158" s="39" t="str">
        <f>플랜지!C143</f>
        <v>D2400㎜</v>
      </c>
      <c r="D158" s="1">
        <v>1</v>
      </c>
      <c r="E158" s="2" t="s">
        <v>3</v>
      </c>
      <c r="F158" s="2"/>
      <c r="G158" s="34">
        <f t="shared" si="5"/>
        <v>263133</v>
      </c>
      <c r="H158" s="34"/>
      <c r="I158" s="34">
        <f>플랜지!I143</f>
        <v>0</v>
      </c>
      <c r="J158" s="34"/>
      <c r="K158" s="34">
        <f>플랜지!K143</f>
        <v>257974</v>
      </c>
      <c r="L158" s="34"/>
      <c r="M158" s="34">
        <f>플랜지!M143</f>
        <v>5159</v>
      </c>
      <c r="N158" s="77" t="str">
        <f t="shared" si="6"/>
        <v>접합부속 제외</v>
      </c>
    </row>
    <row r="159" spans="1:14" ht="18" customHeight="1">
      <c r="A159" s="39">
        <v>156</v>
      </c>
      <c r="B159" s="54" t="s">
        <v>411</v>
      </c>
      <c r="C159" s="39" t="s">
        <v>414</v>
      </c>
      <c r="D159" s="1">
        <v>1</v>
      </c>
      <c r="E159" s="2" t="s">
        <v>3</v>
      </c>
      <c r="F159" s="2"/>
      <c r="G159" s="34" t="e">
        <f t="shared" si="5"/>
        <v>#REF!</v>
      </c>
      <c r="H159" s="34"/>
      <c r="I159" s="34" t="e">
        <f>'강관부설 및 철거'!I173</f>
        <v>#REF!</v>
      </c>
      <c r="J159" s="34"/>
      <c r="K159" s="34" t="e">
        <f>'강관부설 및 철거'!K173</f>
        <v>#REF!</v>
      </c>
      <c r="L159" s="34"/>
      <c r="M159" s="34" t="e">
        <f>'강관부설 및 철거'!M173</f>
        <v>#REF!</v>
      </c>
      <c r="N159" s="2"/>
    </row>
    <row r="160" spans="1:14" ht="18" customHeight="1">
      <c r="A160" s="39">
        <v>157</v>
      </c>
      <c r="B160" s="54" t="s">
        <v>411</v>
      </c>
      <c r="C160" s="39" t="s">
        <v>415</v>
      </c>
      <c r="D160" s="1">
        <v>1</v>
      </c>
      <c r="E160" s="2" t="s">
        <v>3</v>
      </c>
      <c r="F160" s="2"/>
      <c r="G160" s="34" t="e">
        <f t="shared" si="5"/>
        <v>#REF!</v>
      </c>
      <c r="H160" s="34"/>
      <c r="I160" s="34" t="e">
        <f>'강관부설 및 철거'!I177</f>
        <v>#REF!</v>
      </c>
      <c r="J160" s="34"/>
      <c r="K160" s="34" t="e">
        <f>'강관부설 및 철거'!K177</f>
        <v>#REF!</v>
      </c>
      <c r="L160" s="34"/>
      <c r="M160" s="34" t="e">
        <f>'강관부설 및 철거'!M177</f>
        <v>#REF!</v>
      </c>
      <c r="N160" s="2"/>
    </row>
    <row r="161" spans="1:14" ht="18" customHeight="1">
      <c r="A161" s="39">
        <v>158</v>
      </c>
      <c r="B161" s="54" t="s">
        <v>411</v>
      </c>
      <c r="C161" s="39" t="s">
        <v>416</v>
      </c>
      <c r="D161" s="1">
        <v>1</v>
      </c>
      <c r="E161" s="2" t="s">
        <v>3</v>
      </c>
      <c r="F161" s="2"/>
      <c r="G161" s="34" t="e">
        <f t="shared" si="5"/>
        <v>#REF!</v>
      </c>
      <c r="H161" s="34"/>
      <c r="I161" s="34" t="e">
        <f>'강관부설 및 철거'!I181</f>
        <v>#REF!</v>
      </c>
      <c r="J161" s="34"/>
      <c r="K161" s="34" t="e">
        <f>'강관부설 및 철거'!K181</f>
        <v>#REF!</v>
      </c>
      <c r="L161" s="34"/>
      <c r="M161" s="34" t="e">
        <f>'강관부설 및 철거'!M181</f>
        <v>#REF!</v>
      </c>
      <c r="N161" s="2"/>
    </row>
    <row r="162" spans="1:14" ht="18" customHeight="1">
      <c r="A162" s="39">
        <v>159</v>
      </c>
      <c r="B162" s="54" t="s">
        <v>411</v>
      </c>
      <c r="C162" s="39" t="s">
        <v>417</v>
      </c>
      <c r="D162" s="1">
        <v>1</v>
      </c>
      <c r="E162" s="2" t="s">
        <v>3</v>
      </c>
      <c r="F162" s="2"/>
      <c r="G162" s="34" t="e">
        <f t="shared" si="5"/>
        <v>#REF!</v>
      </c>
      <c r="H162" s="34"/>
      <c r="I162" s="34" t="e">
        <f>'강관부설 및 철거'!I185</f>
        <v>#REF!</v>
      </c>
      <c r="J162" s="34"/>
      <c r="K162" s="34" t="e">
        <f>'강관부설 및 철거'!K185</f>
        <v>#REF!</v>
      </c>
      <c r="L162" s="34"/>
      <c r="M162" s="34" t="e">
        <f>'강관부설 및 철거'!M185</f>
        <v>#REF!</v>
      </c>
      <c r="N162" s="2"/>
    </row>
    <row r="163" spans="1:14" ht="18" customHeight="1">
      <c r="A163" s="39">
        <v>160</v>
      </c>
      <c r="B163" s="54" t="s">
        <v>411</v>
      </c>
      <c r="C163" s="39" t="s">
        <v>418</v>
      </c>
      <c r="D163" s="1">
        <v>1</v>
      </c>
      <c r="E163" s="2" t="s">
        <v>3</v>
      </c>
      <c r="F163" s="2"/>
      <c r="G163" s="34" t="e">
        <f t="shared" si="5"/>
        <v>#REF!</v>
      </c>
      <c r="H163" s="34"/>
      <c r="I163" s="34" t="e">
        <f>'강관부설 및 철거'!I189</f>
        <v>#REF!</v>
      </c>
      <c r="J163" s="34"/>
      <c r="K163" s="34" t="e">
        <f>'강관부설 및 철거'!K189</f>
        <v>#REF!</v>
      </c>
      <c r="L163" s="34"/>
      <c r="M163" s="34" t="e">
        <f>'강관부설 및 철거'!M189</f>
        <v>#REF!</v>
      </c>
      <c r="N163" s="2"/>
    </row>
    <row r="164" spans="1:14" ht="18" customHeight="1">
      <c r="A164" s="39">
        <v>161</v>
      </c>
      <c r="B164" s="54" t="s">
        <v>411</v>
      </c>
      <c r="C164" s="39" t="s">
        <v>419</v>
      </c>
      <c r="D164" s="1">
        <v>1</v>
      </c>
      <c r="E164" s="2" t="s">
        <v>3</v>
      </c>
      <c r="F164" s="2"/>
      <c r="G164" s="34" t="e">
        <f t="shared" si="5"/>
        <v>#REF!</v>
      </c>
      <c r="H164" s="34"/>
      <c r="I164" s="34" t="e">
        <f>'강관부설 및 철거'!I193</f>
        <v>#REF!</v>
      </c>
      <c r="J164" s="34"/>
      <c r="K164" s="34" t="e">
        <f>'강관부설 및 철거'!K193</f>
        <v>#REF!</v>
      </c>
      <c r="L164" s="34"/>
      <c r="M164" s="34" t="e">
        <f>'강관부설 및 철거'!M193</f>
        <v>#REF!</v>
      </c>
      <c r="N164" s="2"/>
    </row>
    <row r="165" spans="1:14" ht="18" customHeight="1">
      <c r="A165" s="39">
        <v>162</v>
      </c>
      <c r="B165" s="54" t="s">
        <v>411</v>
      </c>
      <c r="C165" s="39" t="s">
        <v>420</v>
      </c>
      <c r="D165" s="1">
        <v>1</v>
      </c>
      <c r="E165" s="2" t="s">
        <v>3</v>
      </c>
      <c r="F165" s="2"/>
      <c r="G165" s="34" t="e">
        <f t="shared" si="5"/>
        <v>#REF!</v>
      </c>
      <c r="H165" s="34"/>
      <c r="I165" s="34" t="e">
        <f>'강관부설 및 철거'!I197</f>
        <v>#REF!</v>
      </c>
      <c r="J165" s="34"/>
      <c r="K165" s="34" t="e">
        <f>'강관부설 및 철거'!K197</f>
        <v>#REF!</v>
      </c>
      <c r="L165" s="34"/>
      <c r="M165" s="34" t="e">
        <f>'강관부설 및 철거'!M197</f>
        <v>#REF!</v>
      </c>
      <c r="N165" s="2"/>
    </row>
    <row r="166" spans="1:14" ht="18" customHeight="1">
      <c r="A166" s="39">
        <v>163</v>
      </c>
      <c r="B166" s="54" t="s">
        <v>411</v>
      </c>
      <c r="C166" s="39" t="s">
        <v>421</v>
      </c>
      <c r="D166" s="1">
        <v>1</v>
      </c>
      <c r="E166" s="2" t="s">
        <v>3</v>
      </c>
      <c r="F166" s="2"/>
      <c r="G166" s="34" t="e">
        <f t="shared" si="5"/>
        <v>#REF!</v>
      </c>
      <c r="H166" s="34"/>
      <c r="I166" s="34" t="e">
        <f>'강관부설 및 철거'!I201</f>
        <v>#REF!</v>
      </c>
      <c r="J166" s="34"/>
      <c r="K166" s="34" t="e">
        <f>'강관부설 및 철거'!K201</f>
        <v>#REF!</v>
      </c>
      <c r="L166" s="34"/>
      <c r="M166" s="34" t="e">
        <f>'강관부설 및 철거'!M201</f>
        <v>#REF!</v>
      </c>
      <c r="N166" s="2"/>
    </row>
    <row r="167" spans="1:14" ht="18" customHeight="1">
      <c r="A167" s="39">
        <v>164</v>
      </c>
      <c r="B167" s="54" t="s">
        <v>411</v>
      </c>
      <c r="C167" s="39" t="s">
        <v>422</v>
      </c>
      <c r="D167" s="1">
        <v>1</v>
      </c>
      <c r="E167" s="2" t="s">
        <v>3</v>
      </c>
      <c r="F167" s="2"/>
      <c r="G167" s="34" t="e">
        <f t="shared" si="5"/>
        <v>#REF!</v>
      </c>
      <c r="H167" s="34"/>
      <c r="I167" s="34" t="e">
        <f>'강관부설 및 철거'!I205</f>
        <v>#REF!</v>
      </c>
      <c r="J167" s="34"/>
      <c r="K167" s="34" t="e">
        <f>'강관부설 및 철거'!K205</f>
        <v>#REF!</v>
      </c>
      <c r="L167" s="34"/>
      <c r="M167" s="34" t="e">
        <f>'강관부설 및 철거'!M205</f>
        <v>#REF!</v>
      </c>
      <c r="N167" s="2"/>
    </row>
    <row r="168" spans="1:14" ht="18" customHeight="1">
      <c r="A168" s="39">
        <v>165</v>
      </c>
      <c r="B168" s="54" t="s">
        <v>411</v>
      </c>
      <c r="C168" s="39" t="s">
        <v>423</v>
      </c>
      <c r="D168" s="1">
        <v>1</v>
      </c>
      <c r="E168" s="2" t="s">
        <v>3</v>
      </c>
      <c r="F168" s="2"/>
      <c r="G168" s="34" t="e">
        <f t="shared" si="5"/>
        <v>#REF!</v>
      </c>
      <c r="H168" s="34"/>
      <c r="I168" s="34" t="e">
        <f>'강관부설 및 철거'!I209</f>
        <v>#REF!</v>
      </c>
      <c r="J168" s="34"/>
      <c r="K168" s="34" t="e">
        <f>'강관부설 및 철거'!K209</f>
        <v>#REF!</v>
      </c>
      <c r="L168" s="34"/>
      <c r="M168" s="34" t="e">
        <f>'강관부설 및 철거'!M209</f>
        <v>#REF!</v>
      </c>
      <c r="N168" s="2"/>
    </row>
    <row r="169" spans="1:14" ht="18" customHeight="1">
      <c r="A169" s="39">
        <v>166</v>
      </c>
      <c r="B169" s="54" t="s">
        <v>411</v>
      </c>
      <c r="C169" s="39" t="s">
        <v>424</v>
      </c>
      <c r="D169" s="1">
        <v>1</v>
      </c>
      <c r="E169" s="2" t="s">
        <v>3</v>
      </c>
      <c r="F169" s="2"/>
      <c r="G169" s="34" t="e">
        <f t="shared" si="5"/>
        <v>#REF!</v>
      </c>
      <c r="H169" s="34"/>
      <c r="I169" s="34" t="e">
        <f>'강관부설 및 철거'!I213</f>
        <v>#REF!</v>
      </c>
      <c r="J169" s="34"/>
      <c r="K169" s="34" t="e">
        <f>'강관부설 및 철거'!K213</f>
        <v>#REF!</v>
      </c>
      <c r="L169" s="34"/>
      <c r="M169" s="34" t="e">
        <f>'강관부설 및 철거'!M213</f>
        <v>#REF!</v>
      </c>
      <c r="N169" s="2"/>
    </row>
    <row r="170" spans="1:14" ht="18" customHeight="1">
      <c r="A170" s="39">
        <v>167</v>
      </c>
      <c r="B170" s="54" t="s">
        <v>411</v>
      </c>
      <c r="C170" s="39" t="s">
        <v>425</v>
      </c>
      <c r="D170" s="1">
        <v>1</v>
      </c>
      <c r="E170" s="2" t="s">
        <v>3</v>
      </c>
      <c r="F170" s="2"/>
      <c r="G170" s="34" t="e">
        <f t="shared" si="5"/>
        <v>#REF!</v>
      </c>
      <c r="H170" s="34"/>
      <c r="I170" s="34" t="e">
        <f>'강관부설 및 철거'!I217</f>
        <v>#REF!</v>
      </c>
      <c r="J170" s="34"/>
      <c r="K170" s="34" t="e">
        <f>'강관부설 및 철거'!K217</f>
        <v>#REF!</v>
      </c>
      <c r="L170" s="34"/>
      <c r="M170" s="34" t="e">
        <f>'강관부설 및 철거'!M217</f>
        <v>#REF!</v>
      </c>
      <c r="N170" s="2"/>
    </row>
    <row r="171" spans="1:14" ht="18" customHeight="1">
      <c r="A171" s="39">
        <v>168</v>
      </c>
      <c r="B171" s="54" t="s">
        <v>411</v>
      </c>
      <c r="C171" s="39" t="s">
        <v>426</v>
      </c>
      <c r="D171" s="1">
        <v>1</v>
      </c>
      <c r="E171" s="2" t="s">
        <v>3</v>
      </c>
      <c r="F171" s="2"/>
      <c r="G171" s="34" t="e">
        <f t="shared" si="5"/>
        <v>#REF!</v>
      </c>
      <c r="H171" s="34"/>
      <c r="I171" s="34" t="e">
        <f>'강관부설 및 철거'!I221</f>
        <v>#REF!</v>
      </c>
      <c r="J171" s="34"/>
      <c r="K171" s="34" t="e">
        <f>'강관부설 및 철거'!K221</f>
        <v>#REF!</v>
      </c>
      <c r="L171" s="34"/>
      <c r="M171" s="34" t="e">
        <f>'강관부설 및 철거'!M221</f>
        <v>#REF!</v>
      </c>
      <c r="N171" s="2"/>
    </row>
    <row r="172" spans="1:14" ht="18" customHeight="1">
      <c r="A172" s="39">
        <v>169</v>
      </c>
      <c r="B172" s="54" t="s">
        <v>411</v>
      </c>
      <c r="C172" s="39" t="s">
        <v>427</v>
      </c>
      <c r="D172" s="1">
        <v>1</v>
      </c>
      <c r="E172" s="2" t="s">
        <v>3</v>
      </c>
      <c r="F172" s="2"/>
      <c r="G172" s="34" t="e">
        <f t="shared" si="5"/>
        <v>#REF!</v>
      </c>
      <c r="H172" s="34"/>
      <c r="I172" s="34" t="e">
        <f>'강관부설 및 철거'!I225</f>
        <v>#REF!</v>
      </c>
      <c r="J172" s="34"/>
      <c r="K172" s="34" t="e">
        <f>'강관부설 및 철거'!K225</f>
        <v>#REF!</v>
      </c>
      <c r="L172" s="34"/>
      <c r="M172" s="34" t="e">
        <f>'강관부설 및 철거'!M225</f>
        <v>#REF!</v>
      </c>
      <c r="N172" s="2"/>
    </row>
    <row r="173" spans="1:14" ht="18" customHeight="1">
      <c r="A173" s="39">
        <v>170</v>
      </c>
      <c r="B173" s="54" t="s">
        <v>411</v>
      </c>
      <c r="C173" s="39" t="s">
        <v>428</v>
      </c>
      <c r="D173" s="1">
        <v>1</v>
      </c>
      <c r="E173" s="2" t="s">
        <v>3</v>
      </c>
      <c r="F173" s="2"/>
      <c r="G173" s="34" t="e">
        <f t="shared" si="5"/>
        <v>#REF!</v>
      </c>
      <c r="H173" s="34"/>
      <c r="I173" s="34" t="e">
        <f>'강관부설 및 철거'!I229</f>
        <v>#REF!</v>
      </c>
      <c r="J173" s="34"/>
      <c r="K173" s="34" t="e">
        <f>'강관부설 및 철거'!K229</f>
        <v>#REF!</v>
      </c>
      <c r="L173" s="34"/>
      <c r="M173" s="34" t="e">
        <f>'강관부설 및 철거'!M229</f>
        <v>#REF!</v>
      </c>
      <c r="N173" s="2"/>
    </row>
    <row r="174" spans="1:14" ht="18" customHeight="1">
      <c r="A174" s="39">
        <v>171</v>
      </c>
      <c r="B174" s="54" t="s">
        <v>411</v>
      </c>
      <c r="C174" s="39" t="s">
        <v>429</v>
      </c>
      <c r="D174" s="1">
        <v>1</v>
      </c>
      <c r="E174" s="2" t="s">
        <v>3</v>
      </c>
      <c r="F174" s="2"/>
      <c r="G174" s="34" t="e">
        <f t="shared" si="5"/>
        <v>#REF!</v>
      </c>
      <c r="H174" s="34"/>
      <c r="I174" s="34" t="e">
        <f>'강관부설 및 철거'!I233</f>
        <v>#REF!</v>
      </c>
      <c r="J174" s="34"/>
      <c r="K174" s="34" t="e">
        <f>'강관부설 및 철거'!K233</f>
        <v>#REF!</v>
      </c>
      <c r="L174" s="34"/>
      <c r="M174" s="34" t="e">
        <f>'강관부설 및 철거'!M233</f>
        <v>#REF!</v>
      </c>
      <c r="N174" s="2"/>
    </row>
    <row r="175" spans="1:14" ht="18" customHeight="1">
      <c r="A175" s="39">
        <v>172</v>
      </c>
      <c r="B175" s="54" t="s">
        <v>411</v>
      </c>
      <c r="C175" s="39" t="s">
        <v>430</v>
      </c>
      <c r="D175" s="1">
        <v>1</v>
      </c>
      <c r="E175" s="2" t="s">
        <v>3</v>
      </c>
      <c r="F175" s="2"/>
      <c r="G175" s="34" t="e">
        <f t="shared" si="5"/>
        <v>#REF!</v>
      </c>
      <c r="H175" s="34"/>
      <c r="I175" s="34" t="e">
        <f>'강관부설 및 철거'!I237</f>
        <v>#REF!</v>
      </c>
      <c r="J175" s="34"/>
      <c r="K175" s="34" t="e">
        <f>'강관부설 및 철거'!K237</f>
        <v>#REF!</v>
      </c>
      <c r="L175" s="34"/>
      <c r="M175" s="34" t="e">
        <f>'강관부설 및 철거'!M237</f>
        <v>#REF!</v>
      </c>
      <c r="N175" s="2"/>
    </row>
    <row r="176" spans="1:14" ht="18" customHeight="1">
      <c r="A176" s="39">
        <v>173</v>
      </c>
      <c r="B176" s="54" t="s">
        <v>411</v>
      </c>
      <c r="C176" s="39" t="s">
        <v>431</v>
      </c>
      <c r="D176" s="1">
        <v>1</v>
      </c>
      <c r="E176" s="2" t="s">
        <v>3</v>
      </c>
      <c r="F176" s="2"/>
      <c r="G176" s="34" t="e">
        <f t="shared" si="5"/>
        <v>#REF!</v>
      </c>
      <c r="H176" s="34"/>
      <c r="I176" s="34" t="e">
        <f>'강관부설 및 철거'!I241</f>
        <v>#REF!</v>
      </c>
      <c r="J176" s="34"/>
      <c r="K176" s="34" t="e">
        <f>'강관부설 및 철거'!K241</f>
        <v>#REF!</v>
      </c>
      <c r="L176" s="34"/>
      <c r="M176" s="34" t="e">
        <f>'강관부설 및 철거'!M241</f>
        <v>#REF!</v>
      </c>
      <c r="N176" s="2"/>
    </row>
    <row r="177" spans="1:14" ht="18" customHeight="1">
      <c r="A177" s="39">
        <v>174</v>
      </c>
      <c r="B177" s="54" t="s">
        <v>411</v>
      </c>
      <c r="C177" s="39" t="s">
        <v>432</v>
      </c>
      <c r="D177" s="1">
        <v>1</v>
      </c>
      <c r="E177" s="2" t="s">
        <v>3</v>
      </c>
      <c r="F177" s="2"/>
      <c r="G177" s="34" t="e">
        <f t="shared" si="5"/>
        <v>#REF!</v>
      </c>
      <c r="H177" s="34"/>
      <c r="I177" s="34" t="e">
        <f>'강관부설 및 철거'!I245</f>
        <v>#REF!</v>
      </c>
      <c r="J177" s="34"/>
      <c r="K177" s="34" t="e">
        <f>'강관부설 및 철거'!K245</f>
        <v>#REF!</v>
      </c>
      <c r="L177" s="34"/>
      <c r="M177" s="34" t="e">
        <f>'강관부설 및 철거'!M245</f>
        <v>#REF!</v>
      </c>
      <c r="N177" s="2"/>
    </row>
    <row r="178" spans="1:14" ht="18" customHeight="1">
      <c r="A178" s="39">
        <v>175</v>
      </c>
      <c r="B178" s="54" t="s">
        <v>411</v>
      </c>
      <c r="C178" s="39" t="s">
        <v>433</v>
      </c>
      <c r="D178" s="1">
        <v>1</v>
      </c>
      <c r="E178" s="2" t="s">
        <v>3</v>
      </c>
      <c r="F178" s="2"/>
      <c r="G178" s="34" t="e">
        <f t="shared" si="5"/>
        <v>#REF!</v>
      </c>
      <c r="H178" s="34"/>
      <c r="I178" s="34" t="e">
        <f>'강관부설 및 철거'!I249</f>
        <v>#REF!</v>
      </c>
      <c r="J178" s="34"/>
      <c r="K178" s="34" t="e">
        <f>'강관부설 및 철거'!K249</f>
        <v>#REF!</v>
      </c>
      <c r="L178" s="34"/>
      <c r="M178" s="34" t="e">
        <f>'강관부설 및 철거'!M249</f>
        <v>#REF!</v>
      </c>
      <c r="N178" s="2"/>
    </row>
    <row r="179" spans="1:14" ht="18" customHeight="1">
      <c r="A179" s="39">
        <v>176</v>
      </c>
      <c r="B179" s="54" t="s">
        <v>411</v>
      </c>
      <c r="C179" s="39" t="s">
        <v>434</v>
      </c>
      <c r="D179" s="1">
        <v>1</v>
      </c>
      <c r="E179" s="2" t="s">
        <v>3</v>
      </c>
      <c r="F179" s="2"/>
      <c r="G179" s="34" t="e">
        <f t="shared" si="5"/>
        <v>#REF!</v>
      </c>
      <c r="H179" s="34"/>
      <c r="I179" s="34" t="e">
        <f>'강관부설 및 철거'!I253</f>
        <v>#REF!</v>
      </c>
      <c r="J179" s="34"/>
      <c r="K179" s="34" t="e">
        <f>'강관부설 및 철거'!K253</f>
        <v>#REF!</v>
      </c>
      <c r="L179" s="34"/>
      <c r="M179" s="34" t="e">
        <f>'강관부설 및 철거'!M253</f>
        <v>#REF!</v>
      </c>
      <c r="N179" s="2"/>
    </row>
    <row r="180" spans="1:14" ht="18" customHeight="1">
      <c r="A180" s="39">
        <v>177</v>
      </c>
      <c r="B180" s="54" t="s">
        <v>411</v>
      </c>
      <c r="C180" s="39" t="s">
        <v>435</v>
      </c>
      <c r="D180" s="1">
        <v>1</v>
      </c>
      <c r="E180" s="2" t="s">
        <v>3</v>
      </c>
      <c r="F180" s="2"/>
      <c r="G180" s="34" t="e">
        <f t="shared" si="5"/>
        <v>#REF!</v>
      </c>
      <c r="H180" s="34"/>
      <c r="I180" s="34" t="e">
        <f>'강관부설 및 철거'!I257</f>
        <v>#REF!</v>
      </c>
      <c r="J180" s="34"/>
      <c r="K180" s="34" t="e">
        <f>'강관부설 및 철거'!K257</f>
        <v>#REF!</v>
      </c>
      <c r="L180" s="34"/>
      <c r="M180" s="34" t="e">
        <f>'강관부설 및 철거'!M257</f>
        <v>#REF!</v>
      </c>
      <c r="N180" s="2"/>
    </row>
    <row r="181" spans="1:14" ht="18" customHeight="1">
      <c r="A181" s="39">
        <v>178</v>
      </c>
      <c r="B181" s="54" t="s">
        <v>411</v>
      </c>
      <c r="C181" s="39" t="s">
        <v>436</v>
      </c>
      <c r="D181" s="1">
        <v>1</v>
      </c>
      <c r="E181" s="2" t="s">
        <v>3</v>
      </c>
      <c r="F181" s="2"/>
      <c r="G181" s="34" t="e">
        <f t="shared" si="5"/>
        <v>#REF!</v>
      </c>
      <c r="H181" s="34"/>
      <c r="I181" s="34" t="e">
        <f>'강관부설 및 철거'!I261</f>
        <v>#REF!</v>
      </c>
      <c r="J181" s="34"/>
      <c r="K181" s="34" t="e">
        <f>'강관부설 및 철거'!K261</f>
        <v>#REF!</v>
      </c>
      <c r="L181" s="34"/>
      <c r="M181" s="34" t="e">
        <f>'강관부설 및 철거'!M261</f>
        <v>#REF!</v>
      </c>
      <c r="N181" s="2"/>
    </row>
    <row r="182" spans="1:14" ht="18" customHeight="1">
      <c r="A182" s="39">
        <v>179</v>
      </c>
      <c r="B182" s="54" t="s">
        <v>412</v>
      </c>
      <c r="C182" s="39" t="s">
        <v>413</v>
      </c>
      <c r="D182" s="1">
        <v>1</v>
      </c>
      <c r="E182" s="2" t="s">
        <v>3</v>
      </c>
      <c r="F182" s="2"/>
      <c r="G182" s="34" t="e">
        <f t="shared" si="5"/>
        <v>#REF!</v>
      </c>
      <c r="H182" s="34"/>
      <c r="I182" s="34" t="e">
        <f>'강관절단 및 절단(철거)'!I271</f>
        <v>#REF!</v>
      </c>
      <c r="J182" s="34"/>
      <c r="K182" s="34">
        <f>'강관절단 및 절단(철거)'!K271</f>
        <v>15822</v>
      </c>
      <c r="L182" s="34"/>
      <c r="M182" s="34">
        <f>'강관절단 및 절단(철거)'!M271</f>
        <v>0</v>
      </c>
      <c r="N182" s="2"/>
    </row>
    <row r="183" spans="1:14" ht="18" customHeight="1">
      <c r="A183" s="39">
        <v>180</v>
      </c>
      <c r="B183" s="54" t="s">
        <v>412</v>
      </c>
      <c r="C183" s="39" t="s">
        <v>414</v>
      </c>
      <c r="D183" s="1">
        <v>1</v>
      </c>
      <c r="E183" s="2" t="s">
        <v>3</v>
      </c>
      <c r="F183" s="2"/>
      <c r="G183" s="34" t="e">
        <f t="shared" si="5"/>
        <v>#REF!</v>
      </c>
      <c r="H183" s="34"/>
      <c r="I183" s="34" t="e">
        <f>'강관절단 및 절단(철거)'!I278</f>
        <v>#REF!</v>
      </c>
      <c r="J183" s="34"/>
      <c r="K183" s="34">
        <f>'강관절단 및 절단(철거)'!K278</f>
        <v>15822</v>
      </c>
      <c r="L183" s="34"/>
      <c r="M183" s="34">
        <f>'강관절단 및 절단(철거)'!M278</f>
        <v>0</v>
      </c>
      <c r="N183" s="2"/>
    </row>
    <row r="184" spans="1:14" ht="18" customHeight="1">
      <c r="A184" s="39">
        <v>181</v>
      </c>
      <c r="B184" s="54" t="s">
        <v>412</v>
      </c>
      <c r="C184" s="39" t="s">
        <v>415</v>
      </c>
      <c r="D184" s="1">
        <v>1</v>
      </c>
      <c r="E184" s="2" t="s">
        <v>3</v>
      </c>
      <c r="F184" s="2"/>
      <c r="G184" s="34" t="e">
        <f t="shared" si="5"/>
        <v>#REF!</v>
      </c>
      <c r="H184" s="34"/>
      <c r="I184" s="34" t="e">
        <f>'강관절단 및 절단(철거)'!I292</f>
        <v>#REF!</v>
      </c>
      <c r="J184" s="34"/>
      <c r="K184" s="34">
        <f>'강관절단 및 절단(철거)'!K292</f>
        <v>19777</v>
      </c>
      <c r="L184" s="34"/>
      <c r="M184" s="34">
        <f>'강관절단 및 절단(철거)'!M292</f>
        <v>0</v>
      </c>
      <c r="N184" s="2"/>
    </row>
    <row r="185" spans="1:14" ht="18" customHeight="1">
      <c r="A185" s="39">
        <v>182</v>
      </c>
      <c r="B185" s="54" t="s">
        <v>412</v>
      </c>
      <c r="C185" s="39" t="s">
        <v>416</v>
      </c>
      <c r="D185" s="1">
        <v>1</v>
      </c>
      <c r="E185" s="2" t="s">
        <v>3</v>
      </c>
      <c r="F185" s="2"/>
      <c r="G185" s="34" t="e">
        <f t="shared" si="5"/>
        <v>#REF!</v>
      </c>
      <c r="H185" s="34"/>
      <c r="I185" s="34" t="e">
        <f>'강관절단 및 절단(철거)'!I299</f>
        <v>#REF!</v>
      </c>
      <c r="J185" s="34"/>
      <c r="K185" s="34">
        <f>'강관절단 및 절단(철거)'!K299</f>
        <v>25710</v>
      </c>
      <c r="L185" s="34"/>
      <c r="M185" s="34">
        <f>'강관절단 및 절단(철거)'!M299</f>
        <v>0</v>
      </c>
      <c r="N185" s="2"/>
    </row>
    <row r="186" spans="1:14" ht="18" customHeight="1">
      <c r="A186" s="39">
        <v>183</v>
      </c>
      <c r="B186" s="54" t="s">
        <v>412</v>
      </c>
      <c r="C186" s="39" t="s">
        <v>417</v>
      </c>
      <c r="D186" s="1">
        <v>1</v>
      </c>
      <c r="E186" s="2" t="s">
        <v>3</v>
      </c>
      <c r="F186" s="2"/>
      <c r="G186" s="34" t="e">
        <f t="shared" si="5"/>
        <v>#REF!</v>
      </c>
      <c r="H186" s="34"/>
      <c r="I186" s="34" t="e">
        <f>'강관절단 및 절단(철거)'!I306</f>
        <v>#REF!</v>
      </c>
      <c r="J186" s="34"/>
      <c r="K186" s="34">
        <f>'강관절단 및 절단(철거)'!K306</f>
        <v>31644</v>
      </c>
      <c r="L186" s="34"/>
      <c r="M186" s="34">
        <f>'강관절단 및 절단(철거)'!M306</f>
        <v>0</v>
      </c>
      <c r="N186" s="2"/>
    </row>
    <row r="187" spans="1:14" ht="18" customHeight="1">
      <c r="A187" s="39">
        <v>184</v>
      </c>
      <c r="B187" s="54" t="s">
        <v>412</v>
      </c>
      <c r="C187" s="39" t="s">
        <v>418</v>
      </c>
      <c r="D187" s="1">
        <v>1</v>
      </c>
      <c r="E187" s="2" t="s">
        <v>3</v>
      </c>
      <c r="F187" s="2"/>
      <c r="G187" s="34" t="e">
        <f t="shared" si="5"/>
        <v>#REF!</v>
      </c>
      <c r="H187" s="34"/>
      <c r="I187" s="34" t="e">
        <f>'강관절단 및 절단(철거)'!I313</f>
        <v>#REF!</v>
      </c>
      <c r="J187" s="34"/>
      <c r="K187" s="34">
        <f>'강관절단 및 절단(철거)'!K313</f>
        <v>39555</v>
      </c>
      <c r="L187" s="34"/>
      <c r="M187" s="34">
        <f>'강관절단 및 절단(철거)'!M313</f>
        <v>0</v>
      </c>
      <c r="N187" s="2"/>
    </row>
    <row r="188" spans="1:14" ht="18" customHeight="1">
      <c r="A188" s="39">
        <v>185</v>
      </c>
      <c r="B188" s="54" t="s">
        <v>412</v>
      </c>
      <c r="C188" s="39" t="s">
        <v>419</v>
      </c>
      <c r="D188" s="1">
        <v>1</v>
      </c>
      <c r="E188" s="2" t="s">
        <v>3</v>
      </c>
      <c r="F188" s="2"/>
      <c r="G188" s="34" t="e">
        <f t="shared" si="5"/>
        <v>#REF!</v>
      </c>
      <c r="H188" s="34"/>
      <c r="I188" s="34" t="e">
        <f>'강관절단 및 절단(철거)'!I320</f>
        <v>#REF!</v>
      </c>
      <c r="J188" s="34"/>
      <c r="K188" s="34">
        <f>'강관절단 및 절단(철거)'!K320</f>
        <v>51421</v>
      </c>
      <c r="L188" s="34"/>
      <c r="M188" s="34">
        <f>'강관절단 및 절단(철거)'!M320</f>
        <v>0</v>
      </c>
      <c r="N188" s="2"/>
    </row>
    <row r="189" spans="1:14" ht="18" customHeight="1">
      <c r="A189" s="39">
        <v>186</v>
      </c>
      <c r="B189" s="54" t="s">
        <v>412</v>
      </c>
      <c r="C189" s="39" t="s">
        <v>420</v>
      </c>
      <c r="D189" s="1">
        <v>1</v>
      </c>
      <c r="E189" s="2" t="s">
        <v>3</v>
      </c>
      <c r="F189" s="2"/>
      <c r="G189" s="34" t="e">
        <f t="shared" si="5"/>
        <v>#REF!</v>
      </c>
      <c r="H189" s="34"/>
      <c r="I189" s="34" t="e">
        <f>'강관절단 및 절단(철거)'!I327</f>
        <v>#REF!</v>
      </c>
      <c r="J189" s="34"/>
      <c r="K189" s="34">
        <f>'강관절단 및 절단(철거)'!K327</f>
        <v>61310</v>
      </c>
      <c r="L189" s="34"/>
      <c r="M189" s="34">
        <f>'강관절단 및 절단(철거)'!M327</f>
        <v>0</v>
      </c>
      <c r="N189" s="2"/>
    </row>
    <row r="190" spans="1:14" ht="18" customHeight="1">
      <c r="A190" s="39">
        <v>187</v>
      </c>
      <c r="B190" s="54" t="s">
        <v>412</v>
      </c>
      <c r="C190" s="39" t="s">
        <v>421</v>
      </c>
      <c r="D190" s="1">
        <v>1</v>
      </c>
      <c r="E190" s="2" t="s">
        <v>3</v>
      </c>
      <c r="F190" s="2"/>
      <c r="G190" s="34" t="e">
        <f t="shared" si="5"/>
        <v>#REF!</v>
      </c>
      <c r="H190" s="34"/>
      <c r="I190" s="34" t="e">
        <f>'강관절단 및 절단(철거)'!I334</f>
        <v>#REF!</v>
      </c>
      <c r="J190" s="34"/>
      <c r="K190" s="34">
        <f>'강관절단 및 절단(철거)'!K334</f>
        <v>71199</v>
      </c>
      <c r="L190" s="34"/>
      <c r="M190" s="34">
        <f>'강관절단 및 절단(철거)'!M334</f>
        <v>0</v>
      </c>
      <c r="N190" s="2"/>
    </row>
    <row r="191" spans="1:14" ht="18" customHeight="1">
      <c r="A191" s="39">
        <v>188</v>
      </c>
      <c r="B191" s="54" t="s">
        <v>412</v>
      </c>
      <c r="C191" s="39" t="s">
        <v>422</v>
      </c>
      <c r="D191" s="1">
        <v>1</v>
      </c>
      <c r="E191" s="2" t="s">
        <v>3</v>
      </c>
      <c r="F191" s="2"/>
      <c r="G191" s="34" t="e">
        <f t="shared" si="5"/>
        <v>#REF!</v>
      </c>
      <c r="H191" s="34"/>
      <c r="I191" s="34" t="e">
        <f>'강관절단 및 절단(철거)'!I341</f>
        <v>#REF!</v>
      </c>
      <c r="J191" s="34"/>
      <c r="K191" s="34">
        <f>'강관절단 및 절단(철거)'!K341</f>
        <v>81087</v>
      </c>
      <c r="L191" s="34"/>
      <c r="M191" s="34">
        <f>'강관절단 및 절단(철거)'!M341</f>
        <v>0</v>
      </c>
      <c r="N191" s="2"/>
    </row>
    <row r="192" spans="1:14" ht="18" customHeight="1">
      <c r="A192" s="39">
        <v>189</v>
      </c>
      <c r="B192" s="54" t="s">
        <v>412</v>
      </c>
      <c r="C192" s="39" t="s">
        <v>423</v>
      </c>
      <c r="D192" s="1">
        <v>1</v>
      </c>
      <c r="E192" s="2" t="s">
        <v>3</v>
      </c>
      <c r="F192" s="2"/>
      <c r="G192" s="34" t="e">
        <f t="shared" si="5"/>
        <v>#REF!</v>
      </c>
      <c r="H192" s="34"/>
      <c r="I192" s="34" t="e">
        <f>'강관절단 및 절단(철거)'!I348</f>
        <v>#REF!</v>
      </c>
      <c r="J192" s="34"/>
      <c r="K192" s="34">
        <f>'강관절단 및 절단(철거)'!K348</f>
        <v>90976</v>
      </c>
      <c r="L192" s="34"/>
      <c r="M192" s="34">
        <f>'강관절단 및 절단(철거)'!M348</f>
        <v>0</v>
      </c>
      <c r="N192" s="2"/>
    </row>
    <row r="193" spans="1:14" ht="18" customHeight="1">
      <c r="A193" s="39">
        <v>190</v>
      </c>
      <c r="B193" s="54" t="s">
        <v>412</v>
      </c>
      <c r="C193" s="39" t="s">
        <v>424</v>
      </c>
      <c r="D193" s="1">
        <v>1</v>
      </c>
      <c r="E193" s="2" t="s">
        <v>3</v>
      </c>
      <c r="F193" s="2"/>
      <c r="G193" s="34" t="e">
        <f t="shared" si="5"/>
        <v>#REF!</v>
      </c>
      <c r="H193" s="34"/>
      <c r="I193" s="34" t="e">
        <f>'강관절단 및 절단(철거)'!I362</f>
        <v>#REF!</v>
      </c>
      <c r="J193" s="34"/>
      <c r="K193" s="34">
        <f>'강관절단 및 절단(철거)'!K362</f>
        <v>106798</v>
      </c>
      <c r="L193" s="34"/>
      <c r="M193" s="34">
        <f>'강관절단 및 절단(철거)'!M362</f>
        <v>0</v>
      </c>
      <c r="N193" s="2"/>
    </row>
    <row r="194" spans="1:14" ht="18" customHeight="1">
      <c r="A194" s="39">
        <v>191</v>
      </c>
      <c r="B194" s="54" t="s">
        <v>412</v>
      </c>
      <c r="C194" s="39" t="s">
        <v>425</v>
      </c>
      <c r="D194" s="1">
        <v>1</v>
      </c>
      <c r="E194" s="2" t="s">
        <v>3</v>
      </c>
      <c r="F194" s="2"/>
      <c r="G194" s="34" t="e">
        <f t="shared" si="5"/>
        <v>#REF!</v>
      </c>
      <c r="H194" s="34"/>
      <c r="I194" s="34" t="e">
        <f>'강관절단 및 절단(철거)'!I376</f>
        <v>#REF!</v>
      </c>
      <c r="J194" s="34"/>
      <c r="K194" s="34">
        <f>'강관절단 및 절단(철거)'!K376</f>
        <v>128553</v>
      </c>
      <c r="L194" s="34"/>
      <c r="M194" s="34">
        <f>'강관절단 및 절단(철거)'!M376</f>
        <v>0</v>
      </c>
      <c r="N194" s="2"/>
    </row>
    <row r="195" spans="1:14" ht="18" customHeight="1">
      <c r="A195" s="39">
        <v>192</v>
      </c>
      <c r="B195" s="54" t="s">
        <v>412</v>
      </c>
      <c r="C195" s="39" t="s">
        <v>426</v>
      </c>
      <c r="D195" s="1">
        <v>1</v>
      </c>
      <c r="E195" s="2" t="s">
        <v>3</v>
      </c>
      <c r="F195" s="2"/>
      <c r="G195" s="34" t="e">
        <f t="shared" si="5"/>
        <v>#REF!</v>
      </c>
      <c r="H195" s="34"/>
      <c r="I195" s="34" t="e">
        <f>'강관절단 및 절단(철거)'!I390</f>
        <v>#REF!</v>
      </c>
      <c r="J195" s="34"/>
      <c r="K195" s="34">
        <f>'강관절단 및 절단(철거)'!K390</f>
        <v>138442</v>
      </c>
      <c r="L195" s="34"/>
      <c r="M195" s="34">
        <f>'강관절단 및 절단(철거)'!M390</f>
        <v>0</v>
      </c>
      <c r="N195" s="2"/>
    </row>
    <row r="196" spans="1:14" ht="18" customHeight="1">
      <c r="A196" s="39">
        <v>193</v>
      </c>
      <c r="B196" s="54" t="s">
        <v>412</v>
      </c>
      <c r="C196" s="39" t="s">
        <v>427</v>
      </c>
      <c r="D196" s="1">
        <v>1</v>
      </c>
      <c r="E196" s="2" t="s">
        <v>3</v>
      </c>
      <c r="F196" s="2"/>
      <c r="G196" s="34" t="e">
        <f t="shared" si="5"/>
        <v>#REF!</v>
      </c>
      <c r="H196" s="34"/>
      <c r="I196" s="34" t="e">
        <f>'강관절단 및 절단(철거)'!I404</f>
        <v>#REF!</v>
      </c>
      <c r="J196" s="34"/>
      <c r="K196" s="34">
        <f>'강관절단 및 절단(철거)'!K404</f>
        <v>168108</v>
      </c>
      <c r="L196" s="34"/>
      <c r="M196" s="34">
        <f>'강관절단 및 절단(철거)'!M404</f>
        <v>0</v>
      </c>
      <c r="N196" s="2"/>
    </row>
    <row r="197" spans="1:14" ht="18" customHeight="1">
      <c r="A197" s="39">
        <v>194</v>
      </c>
      <c r="B197" s="54" t="s">
        <v>412</v>
      </c>
      <c r="C197" s="39" t="s">
        <v>428</v>
      </c>
      <c r="D197" s="1">
        <v>1</v>
      </c>
      <c r="E197" s="2" t="s">
        <v>3</v>
      </c>
      <c r="F197" s="2"/>
      <c r="G197" s="34" t="e">
        <f t="shared" si="5"/>
        <v>#REF!</v>
      </c>
      <c r="H197" s="34"/>
      <c r="I197" s="34" t="e">
        <f>'강관절단 및 절단(철거)'!I418</f>
        <v>#REF!</v>
      </c>
      <c r="J197" s="34"/>
      <c r="K197" s="34">
        <f>'강관절단 및 절단(철거)'!K418</f>
        <v>172064</v>
      </c>
      <c r="L197" s="34"/>
      <c r="M197" s="34">
        <f>'강관절단 및 절단(철거)'!M418</f>
        <v>0</v>
      </c>
      <c r="N197" s="2"/>
    </row>
    <row r="198" spans="1:14" ht="18" customHeight="1">
      <c r="A198" s="39">
        <v>195</v>
      </c>
      <c r="B198" s="54" t="s">
        <v>412</v>
      </c>
      <c r="C198" s="39" t="s">
        <v>429</v>
      </c>
      <c r="D198" s="1">
        <v>1</v>
      </c>
      <c r="E198" s="2" t="s">
        <v>3</v>
      </c>
      <c r="F198" s="2"/>
      <c r="G198" s="34" t="e">
        <f t="shared" si="5"/>
        <v>#REF!</v>
      </c>
      <c r="H198" s="34"/>
      <c r="I198" s="34" t="e">
        <f>'강관절단 및 절단(철거)'!I432</f>
        <v>#REF!</v>
      </c>
      <c r="J198" s="34"/>
      <c r="K198" s="34">
        <f>'강관절단 및 절단(철거)'!K432</f>
        <v>195797</v>
      </c>
      <c r="L198" s="34"/>
      <c r="M198" s="34">
        <f>'강관절단 및 절단(철거)'!M432</f>
        <v>0</v>
      </c>
      <c r="N198" s="2"/>
    </row>
    <row r="199" spans="1:14" ht="18" customHeight="1">
      <c r="A199" s="39">
        <v>196</v>
      </c>
      <c r="B199" s="54" t="s">
        <v>412</v>
      </c>
      <c r="C199" s="39" t="s">
        <v>430</v>
      </c>
      <c r="D199" s="1">
        <v>1</v>
      </c>
      <c r="E199" s="2" t="s">
        <v>3</v>
      </c>
      <c r="F199" s="2"/>
      <c r="G199" s="34" t="e">
        <f t="shared" ref="G199:G205" si="7">I199+K199+M199</f>
        <v>#REF!</v>
      </c>
      <c r="H199" s="34"/>
      <c r="I199" s="34" t="e">
        <f>'강관절단 및 절단(철거)'!I446</f>
        <v>#REF!</v>
      </c>
      <c r="J199" s="34"/>
      <c r="K199" s="34">
        <f>'강관절단 및 절단(철거)'!K446</f>
        <v>243263</v>
      </c>
      <c r="L199" s="34"/>
      <c r="M199" s="34">
        <f>'강관절단 및 절단(철거)'!M446</f>
        <v>0</v>
      </c>
      <c r="N199" s="2"/>
    </row>
    <row r="200" spans="1:14" ht="18" customHeight="1">
      <c r="A200" s="39">
        <v>197</v>
      </c>
      <c r="B200" s="54" t="s">
        <v>412</v>
      </c>
      <c r="C200" s="39" t="s">
        <v>431</v>
      </c>
      <c r="D200" s="1">
        <v>1</v>
      </c>
      <c r="E200" s="2" t="s">
        <v>3</v>
      </c>
      <c r="F200" s="2"/>
      <c r="G200" s="34" t="e">
        <f t="shared" si="7"/>
        <v>#REF!</v>
      </c>
      <c r="H200" s="34"/>
      <c r="I200" s="34" t="e">
        <f>'강관절단 및 절단(철거)'!I460</f>
        <v>#REF!</v>
      </c>
      <c r="J200" s="34"/>
      <c r="K200" s="34">
        <f>'강관절단 및 절단(철거)'!K460</f>
        <v>292707</v>
      </c>
      <c r="L200" s="34"/>
      <c r="M200" s="34">
        <f>'강관절단 및 절단(철거)'!M460</f>
        <v>0</v>
      </c>
      <c r="N200" s="2"/>
    </row>
    <row r="201" spans="1:14" ht="18" customHeight="1">
      <c r="A201" s="39">
        <v>198</v>
      </c>
      <c r="B201" s="54" t="s">
        <v>412</v>
      </c>
      <c r="C201" s="39" t="s">
        <v>432</v>
      </c>
      <c r="D201" s="1">
        <v>1</v>
      </c>
      <c r="E201" s="2" t="s">
        <v>3</v>
      </c>
      <c r="F201" s="2"/>
      <c r="G201" s="34" t="e">
        <f t="shared" si="7"/>
        <v>#REF!</v>
      </c>
      <c r="H201" s="34"/>
      <c r="I201" s="34" t="e">
        <f>'강관절단 및 절단(철거)'!I474</f>
        <v>#REF!</v>
      </c>
      <c r="J201" s="34"/>
      <c r="K201" s="34">
        <f>'강관절단 및 절단(철거)'!K474</f>
        <v>338195</v>
      </c>
      <c r="L201" s="34"/>
      <c r="M201" s="34">
        <f>'강관절단 및 절단(철거)'!M474</f>
        <v>0</v>
      </c>
      <c r="N201" s="2"/>
    </row>
    <row r="202" spans="1:14" ht="18" customHeight="1">
      <c r="A202" s="39">
        <v>199</v>
      </c>
      <c r="B202" s="54" t="s">
        <v>412</v>
      </c>
      <c r="C202" s="39" t="s">
        <v>433</v>
      </c>
      <c r="D202" s="1">
        <v>1</v>
      </c>
      <c r="E202" s="2" t="s">
        <v>3</v>
      </c>
      <c r="F202" s="2"/>
      <c r="G202" s="34" t="e">
        <f t="shared" si="7"/>
        <v>#REF!</v>
      </c>
      <c r="H202" s="34"/>
      <c r="I202" s="34" t="e">
        <f>'강관절단 및 절단(철거)'!I488</f>
        <v>#REF!</v>
      </c>
      <c r="J202" s="34"/>
      <c r="K202" s="34">
        <f>'강관절단 및 절단(철거)'!K488</f>
        <v>363906</v>
      </c>
      <c r="L202" s="34"/>
      <c r="M202" s="34">
        <f>'강관절단 및 절단(철거)'!M488</f>
        <v>0</v>
      </c>
      <c r="N202" s="2"/>
    </row>
    <row r="203" spans="1:14" ht="18" customHeight="1">
      <c r="A203" s="39">
        <v>200</v>
      </c>
      <c r="B203" s="54" t="s">
        <v>412</v>
      </c>
      <c r="C203" s="39" t="s">
        <v>434</v>
      </c>
      <c r="D203" s="1">
        <v>1</v>
      </c>
      <c r="E203" s="2" t="s">
        <v>3</v>
      </c>
      <c r="F203" s="2"/>
      <c r="G203" s="34" t="e">
        <f t="shared" si="7"/>
        <v>#REF!</v>
      </c>
      <c r="H203" s="34"/>
      <c r="I203" s="34" t="e">
        <f>'강관절단 및 절단(철거)'!I502</f>
        <v>#REF!</v>
      </c>
      <c r="J203" s="34"/>
      <c r="K203" s="34">
        <f>'강관절단 및 절단(철거)'!K502</f>
        <v>458838</v>
      </c>
      <c r="L203" s="34"/>
      <c r="M203" s="34">
        <f>'강관절단 및 절단(철거)'!M502</f>
        <v>0</v>
      </c>
      <c r="N203" s="2"/>
    </row>
    <row r="204" spans="1:14" ht="18" customHeight="1">
      <c r="A204" s="39">
        <v>201</v>
      </c>
      <c r="B204" s="54" t="s">
        <v>412</v>
      </c>
      <c r="C204" s="39" t="s">
        <v>435</v>
      </c>
      <c r="D204" s="1">
        <v>1</v>
      </c>
      <c r="E204" s="2" t="s">
        <v>3</v>
      </c>
      <c r="F204" s="2"/>
      <c r="G204" s="34" t="e">
        <f t="shared" si="7"/>
        <v>#REF!</v>
      </c>
      <c r="H204" s="34"/>
      <c r="I204" s="34" t="e">
        <f>'강관절단 및 절단(철거)'!I516</f>
        <v>#REF!</v>
      </c>
      <c r="J204" s="34"/>
      <c r="K204" s="34">
        <f>'강관절단 및 절단(철거)'!K516</f>
        <v>474660</v>
      </c>
      <c r="L204" s="34"/>
      <c r="M204" s="34">
        <f>'강관절단 및 절단(철거)'!M516</f>
        <v>0</v>
      </c>
      <c r="N204" s="2"/>
    </row>
    <row r="205" spans="1:14" ht="18" customHeight="1">
      <c r="A205" s="39">
        <v>202</v>
      </c>
      <c r="B205" s="54" t="s">
        <v>412</v>
      </c>
      <c r="C205" s="39" t="s">
        <v>436</v>
      </c>
      <c r="D205" s="1">
        <v>1</v>
      </c>
      <c r="E205" s="2" t="s">
        <v>3</v>
      </c>
      <c r="F205" s="2"/>
      <c r="G205" s="34" t="e">
        <f t="shared" si="7"/>
        <v>#REF!</v>
      </c>
      <c r="H205" s="34"/>
      <c r="I205" s="34" t="e">
        <f>'강관절단 및 절단(철거)'!I530</f>
        <v>#REF!</v>
      </c>
      <c r="J205" s="34"/>
      <c r="K205" s="34">
        <f>'강관절단 및 절단(철거)'!K530</f>
        <v>526082</v>
      </c>
      <c r="L205" s="34"/>
      <c r="M205" s="34">
        <f>'강관절단 및 절단(철거)'!M530</f>
        <v>0</v>
      </c>
      <c r="N205" s="2"/>
    </row>
    <row r="206" spans="1:14" ht="18" customHeight="1">
      <c r="A206" s="39"/>
      <c r="B206" s="54"/>
      <c r="C206" s="39"/>
      <c r="D206" s="1"/>
      <c r="E206" s="2"/>
      <c r="F206" s="2"/>
      <c r="G206" s="34"/>
      <c r="H206" s="34"/>
      <c r="I206" s="34"/>
      <c r="J206" s="34"/>
      <c r="K206" s="34"/>
      <c r="L206" s="34"/>
      <c r="M206" s="34"/>
      <c r="N206" s="2"/>
    </row>
    <row r="207" spans="1:14" ht="18" customHeight="1">
      <c r="A207" s="39"/>
      <c r="B207" s="54"/>
      <c r="C207" s="39"/>
      <c r="D207" s="1"/>
      <c r="E207" s="2"/>
      <c r="F207" s="2"/>
      <c r="G207" s="34"/>
      <c r="H207" s="34"/>
      <c r="I207" s="34"/>
      <c r="J207" s="34"/>
      <c r="K207" s="34"/>
      <c r="L207" s="34"/>
      <c r="M207" s="34"/>
      <c r="N207" s="2"/>
    </row>
    <row r="208" spans="1:14" ht="18" customHeight="1">
      <c r="A208" s="39"/>
      <c r="B208" s="54"/>
      <c r="C208" s="39"/>
      <c r="D208" s="1"/>
      <c r="E208" s="2"/>
      <c r="F208" s="2"/>
      <c r="G208" s="34"/>
      <c r="H208" s="34"/>
      <c r="I208" s="34"/>
      <c r="J208" s="34"/>
      <c r="K208" s="34"/>
      <c r="L208" s="34"/>
      <c r="M208" s="34"/>
      <c r="N208" s="2"/>
    </row>
    <row r="209" spans="1:14" ht="18" customHeight="1">
      <c r="A209" s="39"/>
      <c r="B209" s="54"/>
      <c r="C209" s="39"/>
      <c r="D209" s="1"/>
      <c r="E209" s="2"/>
      <c r="F209" s="2"/>
      <c r="G209" s="34"/>
      <c r="H209" s="34"/>
      <c r="I209" s="34"/>
      <c r="J209" s="34"/>
      <c r="K209" s="34"/>
      <c r="L209" s="34"/>
      <c r="M209" s="34"/>
      <c r="N209" s="2"/>
    </row>
    <row r="210" spans="1:14" ht="18" customHeight="1">
      <c r="A210" s="39"/>
      <c r="B210" s="54"/>
      <c r="C210" s="39"/>
      <c r="D210" s="1"/>
      <c r="E210" s="2"/>
      <c r="F210" s="2"/>
      <c r="G210" s="34"/>
      <c r="H210" s="34"/>
      <c r="I210" s="34"/>
      <c r="J210" s="34"/>
      <c r="K210" s="34"/>
      <c r="L210" s="34"/>
      <c r="M210" s="34"/>
      <c r="N210" s="2"/>
    </row>
    <row r="211" spans="1:14" ht="18" customHeight="1">
      <c r="A211" s="39"/>
      <c r="B211" s="54"/>
      <c r="C211" s="39"/>
      <c r="D211" s="1"/>
      <c r="E211" s="2"/>
      <c r="F211" s="2"/>
      <c r="G211" s="34"/>
      <c r="H211" s="34"/>
      <c r="I211" s="34"/>
      <c r="J211" s="34"/>
      <c r="K211" s="34"/>
      <c r="L211" s="34"/>
      <c r="M211" s="34"/>
      <c r="N211" s="2"/>
    </row>
    <row r="212" spans="1:14" ht="18" customHeight="1">
      <c r="A212" s="39"/>
      <c r="B212" s="54"/>
      <c r="C212" s="33"/>
      <c r="D212" s="1"/>
      <c r="E212" s="2"/>
      <c r="F212" s="2"/>
      <c r="G212" s="34"/>
      <c r="H212" s="34"/>
      <c r="I212" s="34"/>
      <c r="J212" s="34"/>
      <c r="K212" s="34"/>
      <c r="L212" s="34"/>
      <c r="M212" s="34"/>
      <c r="N212" s="2"/>
    </row>
  </sheetData>
  <mergeCells count="1">
    <mergeCell ref="A2:B2"/>
  </mergeCells>
  <phoneticPr fontId="2" type="noConversion"/>
  <pageMargins left="0.31496062992125984" right="0.31496062992125984" top="1" bottom="0.59055118110236215" header="0.5" footer="0.5"/>
  <pageSetup paperSize="9" scale="88" orientation="landscape" r:id="rId1"/>
  <headerFooter alignWithMargins="0">
    <oddHeader>&amp;RPage : &amp;P/&amp;N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N307"/>
  <sheetViews>
    <sheetView workbookViewId="0">
      <pane xSplit="5" ySplit="3" topLeftCell="F151" activePane="bottomRight" state="frozen"/>
      <selection activeCell="N21" sqref="N21"/>
      <selection pane="topRight" activeCell="N21" sqref="N21"/>
      <selection pane="bottomLeft" activeCell="N21" sqref="N21"/>
      <selection pane="bottomRight" activeCell="N21" sqref="N21"/>
    </sheetView>
  </sheetViews>
  <sheetFormatPr defaultRowHeight="11.25"/>
  <cols>
    <col min="1" max="1" width="8.83203125" customWidth="1"/>
    <col min="2" max="3" width="35.83203125" customWidth="1"/>
    <col min="4" max="4" width="10.83203125" customWidth="1"/>
    <col min="5" max="5" width="8.83203125" style="11" customWidth="1"/>
    <col min="6" max="6" width="12.83203125" customWidth="1"/>
    <col min="7" max="7" width="14.83203125" customWidth="1"/>
    <col min="8" max="8" width="12.83203125" customWidth="1"/>
    <col min="9" max="9" width="14.83203125" customWidth="1"/>
    <col min="10" max="10" width="12.83203125" customWidth="1"/>
    <col min="11" max="11" width="14.83203125" customWidth="1"/>
    <col min="12" max="12" width="12.83203125" customWidth="1"/>
    <col min="13" max="13" width="14.83203125" customWidth="1"/>
    <col min="14" max="14" width="15.83203125" style="11" customWidth="1"/>
  </cols>
  <sheetData>
    <row r="1" spans="1:14" ht="15" customHeight="1">
      <c r="A1" s="72" t="s">
        <v>377</v>
      </c>
    </row>
    <row r="2" spans="1:14" ht="15" customHeight="1">
      <c r="A2" s="341" t="s">
        <v>23</v>
      </c>
      <c r="B2" s="342"/>
      <c r="C2" s="343" t="s">
        <v>46</v>
      </c>
      <c r="D2" s="343" t="s">
        <v>45</v>
      </c>
      <c r="E2" s="343" t="s">
        <v>44</v>
      </c>
      <c r="F2" s="343" t="s">
        <v>19</v>
      </c>
      <c r="G2" s="343" t="s">
        <v>0</v>
      </c>
      <c r="H2" s="343" t="s">
        <v>18</v>
      </c>
      <c r="I2" s="343" t="s">
        <v>0</v>
      </c>
      <c r="J2" s="343" t="s">
        <v>17</v>
      </c>
      <c r="K2" s="343" t="s">
        <v>0</v>
      </c>
      <c r="L2" s="343" t="s">
        <v>16</v>
      </c>
      <c r="M2" s="343" t="s">
        <v>0</v>
      </c>
      <c r="N2" s="344" t="s">
        <v>15</v>
      </c>
    </row>
    <row r="3" spans="1:14" ht="15" customHeight="1">
      <c r="A3" s="341"/>
      <c r="B3" s="342"/>
      <c r="C3" s="343" t="s">
        <v>0</v>
      </c>
      <c r="D3" s="343" t="s">
        <v>0</v>
      </c>
      <c r="E3" s="343" t="s">
        <v>0</v>
      </c>
      <c r="F3" s="23" t="s">
        <v>43</v>
      </c>
      <c r="G3" s="23" t="s">
        <v>42</v>
      </c>
      <c r="H3" s="23" t="s">
        <v>43</v>
      </c>
      <c r="I3" s="23" t="s">
        <v>42</v>
      </c>
      <c r="J3" s="23" t="s">
        <v>43</v>
      </c>
      <c r="K3" s="23" t="s">
        <v>42</v>
      </c>
      <c r="L3" s="23" t="s">
        <v>43</v>
      </c>
      <c r="M3" s="23" t="s">
        <v>42</v>
      </c>
      <c r="N3" s="344" t="s">
        <v>0</v>
      </c>
    </row>
    <row r="4" spans="1:14" ht="15" customHeight="1">
      <c r="A4" s="24"/>
      <c r="B4" s="25"/>
      <c r="C4" s="26"/>
      <c r="D4" s="26"/>
      <c r="E4" s="23"/>
      <c r="F4" s="27"/>
      <c r="G4" s="28"/>
      <c r="H4" s="27"/>
      <c r="I4" s="28"/>
      <c r="J4" s="27"/>
      <c r="K4" s="28"/>
      <c r="L4" s="27"/>
      <c r="M4" s="28"/>
      <c r="N4" s="32"/>
    </row>
    <row r="5" spans="1:14" ht="15" customHeight="1">
      <c r="A5" s="45">
        <v>1</v>
      </c>
      <c r="B5" s="41" t="s">
        <v>250</v>
      </c>
      <c r="C5" s="42" t="s">
        <v>200</v>
      </c>
      <c r="D5" s="42">
        <v>1</v>
      </c>
      <c r="E5" s="43" t="s">
        <v>253</v>
      </c>
      <c r="F5" s="73"/>
      <c r="G5" s="44" t="e">
        <f>I5+K5+M5</f>
        <v>#REF!</v>
      </c>
      <c r="H5" s="73"/>
      <c r="I5" s="44" t="e">
        <f>I9</f>
        <v>#REF!</v>
      </c>
      <c r="J5" s="73"/>
      <c r="K5" s="44" t="e">
        <f>K9</f>
        <v>#REF!</v>
      </c>
      <c r="L5" s="73"/>
      <c r="M5" s="44" t="e">
        <f>M9</f>
        <v>#REF!</v>
      </c>
      <c r="N5" s="62" t="s">
        <v>9</v>
      </c>
    </row>
    <row r="6" spans="1:14" ht="15" customHeight="1">
      <c r="A6" s="24"/>
      <c r="B6" s="25" t="s">
        <v>261</v>
      </c>
      <c r="C6" s="26" t="s">
        <v>32</v>
      </c>
      <c r="D6" s="29">
        <v>2</v>
      </c>
      <c r="E6" s="23" t="s">
        <v>24</v>
      </c>
      <c r="F6" s="27">
        <f>H6+J6+L6</f>
        <v>262580</v>
      </c>
      <c r="G6" s="28">
        <f>I6+K6+M6</f>
        <v>525160</v>
      </c>
      <c r="H6" s="27">
        <v>0</v>
      </c>
      <c r="I6" s="28"/>
      <c r="J6" s="27">
        <f>노임!$D$10</f>
        <v>262580</v>
      </c>
      <c r="K6" s="28">
        <f>TRUNC(J6*D6,1)</f>
        <v>525160</v>
      </c>
      <c r="L6" s="27">
        <v>0</v>
      </c>
      <c r="M6" s="28"/>
      <c r="N6" s="32" t="s">
        <v>0</v>
      </c>
    </row>
    <row r="7" spans="1:14" ht="15" customHeight="1">
      <c r="A7" s="24"/>
      <c r="B7" s="25" t="s">
        <v>262</v>
      </c>
      <c r="C7" s="26" t="s">
        <v>0</v>
      </c>
      <c r="D7" s="29">
        <v>1</v>
      </c>
      <c r="E7" s="23" t="s">
        <v>24</v>
      </c>
      <c r="F7" s="27">
        <f>H7+J7+L7</f>
        <v>172068</v>
      </c>
      <c r="G7" s="28">
        <f>I7+K7+M7</f>
        <v>172068</v>
      </c>
      <c r="H7" s="27">
        <v>0</v>
      </c>
      <c r="I7" s="28"/>
      <c r="J7" s="27">
        <f>노임!$D$3</f>
        <v>172068</v>
      </c>
      <c r="K7" s="28">
        <f>TRUNC(J7*D7,1)</f>
        <v>172068</v>
      </c>
      <c r="L7" s="27">
        <v>0</v>
      </c>
      <c r="M7" s="28"/>
      <c r="N7" s="32" t="s">
        <v>0</v>
      </c>
    </row>
    <row r="8" spans="1:14" ht="15" customHeight="1">
      <c r="A8" s="24"/>
      <c r="B8" s="25" t="s">
        <v>263</v>
      </c>
      <c r="C8" s="26" t="s">
        <v>172</v>
      </c>
      <c r="D8" s="29"/>
      <c r="E8" s="23" t="s">
        <v>254</v>
      </c>
      <c r="F8" s="27" t="e">
        <f>H8+J8+L8</f>
        <v>#REF!</v>
      </c>
      <c r="G8" s="28" t="e">
        <f>I8+K8+M8</f>
        <v>#REF!</v>
      </c>
      <c r="H8" s="27" t="e">
        <f>#REF!</f>
        <v>#REF!</v>
      </c>
      <c r="I8" s="28" t="e">
        <f>TRUNC(H8*D8,1)</f>
        <v>#REF!</v>
      </c>
      <c r="J8" s="27" t="e">
        <f>#REF!</f>
        <v>#REF!</v>
      </c>
      <c r="K8" s="28" t="e">
        <f>TRUNC(J8*D8,1)</f>
        <v>#REF!</v>
      </c>
      <c r="L8" s="27" t="e">
        <f>#REF!</f>
        <v>#REF!</v>
      </c>
      <c r="M8" s="28" t="e">
        <f>TRUNC(L8*D8,1)</f>
        <v>#REF!</v>
      </c>
      <c r="N8" s="32" t="s">
        <v>0</v>
      </c>
    </row>
    <row r="9" spans="1:14" ht="15" customHeight="1">
      <c r="A9" s="24"/>
      <c r="B9" s="25" t="s">
        <v>376</v>
      </c>
      <c r="C9" s="78">
        <v>8</v>
      </c>
      <c r="D9" s="29">
        <f>ROUND(1/C9,4)</f>
        <v>0.125</v>
      </c>
      <c r="E9" s="23" t="s">
        <v>375</v>
      </c>
      <c r="F9" s="27"/>
      <c r="G9" s="28" t="e">
        <f>I9+K9+M9</f>
        <v>#REF!</v>
      </c>
      <c r="H9" s="27"/>
      <c r="I9" s="28" t="e">
        <f>TRUNC(SUM(I6:I8)*$D9,1)</f>
        <v>#REF!</v>
      </c>
      <c r="J9" s="27"/>
      <c r="K9" s="28" t="e">
        <f>TRUNC(SUM(K6:K8)*$D9,1)</f>
        <v>#REF!</v>
      </c>
      <c r="L9" s="27"/>
      <c r="M9" s="28" t="e">
        <f>TRUNC(SUM(M6:M8)*$D9,1)</f>
        <v>#REF!</v>
      </c>
      <c r="N9" s="32"/>
    </row>
    <row r="10" spans="1:14" ht="15" customHeight="1">
      <c r="A10" s="30"/>
      <c r="B10" s="31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32"/>
    </row>
    <row r="11" spans="1:14" ht="15" customHeight="1">
      <c r="A11" s="45">
        <f>A5+1</f>
        <v>2</v>
      </c>
      <c r="B11" s="41" t="s">
        <v>250</v>
      </c>
      <c r="C11" s="42" t="s">
        <v>177</v>
      </c>
      <c r="D11" s="42">
        <v>1</v>
      </c>
      <c r="E11" s="43" t="s">
        <v>253</v>
      </c>
      <c r="F11" s="73"/>
      <c r="G11" s="44" t="e">
        <f>I11+K11+M11</f>
        <v>#REF!</v>
      </c>
      <c r="H11" s="73"/>
      <c r="I11" s="44" t="e">
        <f>I15</f>
        <v>#REF!</v>
      </c>
      <c r="J11" s="73"/>
      <c r="K11" s="44" t="e">
        <f>K15</f>
        <v>#REF!</v>
      </c>
      <c r="L11" s="73"/>
      <c r="M11" s="44" t="e">
        <f>M15</f>
        <v>#REF!</v>
      </c>
      <c r="N11" s="62" t="s">
        <v>9</v>
      </c>
    </row>
    <row r="12" spans="1:14" ht="15" customHeight="1">
      <c r="A12" s="24"/>
      <c r="B12" s="25" t="s">
        <v>261</v>
      </c>
      <c r="C12" s="26" t="s">
        <v>32</v>
      </c>
      <c r="D12" s="29">
        <v>2</v>
      </c>
      <c r="E12" s="23" t="s">
        <v>24</v>
      </c>
      <c r="F12" s="27">
        <f>H12+J12+L12</f>
        <v>262580</v>
      </c>
      <c r="G12" s="28">
        <f>I12+K12+M12</f>
        <v>525160</v>
      </c>
      <c r="H12" s="27">
        <v>0</v>
      </c>
      <c r="I12" s="28"/>
      <c r="J12" s="27">
        <f>노임!D10</f>
        <v>262580</v>
      </c>
      <c r="K12" s="28">
        <f>TRUNC(J12*D12,1)</f>
        <v>525160</v>
      </c>
      <c r="L12" s="27">
        <v>0</v>
      </c>
      <c r="M12" s="28"/>
      <c r="N12" s="32" t="s">
        <v>0</v>
      </c>
    </row>
    <row r="13" spans="1:14" ht="15" customHeight="1">
      <c r="A13" s="24"/>
      <c r="B13" s="25" t="s">
        <v>262</v>
      </c>
      <c r="C13" s="26" t="s">
        <v>0</v>
      </c>
      <c r="D13" s="29">
        <v>1</v>
      </c>
      <c r="E13" s="23" t="s">
        <v>24</v>
      </c>
      <c r="F13" s="27">
        <f>H13+J13+L13</f>
        <v>172068</v>
      </c>
      <c r="G13" s="28">
        <f>I13+K13+M13</f>
        <v>172068</v>
      </c>
      <c r="H13" s="27">
        <v>0</v>
      </c>
      <c r="I13" s="28"/>
      <c r="J13" s="27">
        <f>노임!D3</f>
        <v>172068</v>
      </c>
      <c r="K13" s="28">
        <f>TRUNC(J13*D13,1)</f>
        <v>172068</v>
      </c>
      <c r="L13" s="27">
        <v>0</v>
      </c>
      <c r="M13" s="28"/>
      <c r="N13" s="32" t="s">
        <v>0</v>
      </c>
    </row>
    <row r="14" spans="1:14" ht="15" customHeight="1">
      <c r="A14" s="24"/>
      <c r="B14" s="25" t="s">
        <v>263</v>
      </c>
      <c r="C14" s="26" t="s">
        <v>172</v>
      </c>
      <c r="D14" s="29"/>
      <c r="E14" s="23" t="s">
        <v>254</v>
      </c>
      <c r="F14" s="27" t="e">
        <f>H14+J14+L14</f>
        <v>#REF!</v>
      </c>
      <c r="G14" s="28" t="e">
        <f>I14+K14+M14</f>
        <v>#REF!</v>
      </c>
      <c r="H14" s="27" t="e">
        <f>#REF!</f>
        <v>#REF!</v>
      </c>
      <c r="I14" s="28" t="e">
        <f>TRUNC(H14*D14,1)</f>
        <v>#REF!</v>
      </c>
      <c r="J14" s="27" t="e">
        <f>#REF!</f>
        <v>#REF!</v>
      </c>
      <c r="K14" s="28" t="e">
        <f>TRUNC(J14*D14,1)</f>
        <v>#REF!</v>
      </c>
      <c r="L14" s="27" t="e">
        <f>#REF!</f>
        <v>#REF!</v>
      </c>
      <c r="M14" s="28" t="e">
        <f>TRUNC(L14*D14,1)</f>
        <v>#REF!</v>
      </c>
      <c r="N14" s="32" t="s">
        <v>0</v>
      </c>
    </row>
    <row r="15" spans="1:14" ht="15" customHeight="1">
      <c r="A15" s="24"/>
      <c r="B15" s="25" t="s">
        <v>376</v>
      </c>
      <c r="C15" s="78">
        <v>6</v>
      </c>
      <c r="D15" s="29">
        <f>ROUND(1/C15,4)</f>
        <v>0.16669999999999999</v>
      </c>
      <c r="E15" s="23" t="s">
        <v>375</v>
      </c>
      <c r="F15" s="27"/>
      <c r="G15" s="28" t="e">
        <f>I15+K15+M15</f>
        <v>#REF!</v>
      </c>
      <c r="H15" s="27"/>
      <c r="I15" s="28" t="e">
        <f>TRUNC(SUM(I12:I14)*$D15,1)</f>
        <v>#REF!</v>
      </c>
      <c r="J15" s="27"/>
      <c r="K15" s="28" t="e">
        <f>TRUNC(SUM(K12:K14)*$D15,1)</f>
        <v>#REF!</v>
      </c>
      <c r="L15" s="27"/>
      <c r="M15" s="28" t="e">
        <f>TRUNC(SUM(M12:M14)*$D15,1)</f>
        <v>#REF!</v>
      </c>
      <c r="N15" s="32"/>
    </row>
    <row r="16" spans="1:14" ht="15" customHeight="1">
      <c r="A16" s="24"/>
      <c r="B16" s="31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32"/>
    </row>
    <row r="17" spans="1:14" ht="15" customHeight="1">
      <c r="A17" s="45">
        <f>A11+1</f>
        <v>3</v>
      </c>
      <c r="B17" s="41" t="s">
        <v>252</v>
      </c>
      <c r="C17" s="42" t="s">
        <v>489</v>
      </c>
      <c r="D17" s="42">
        <v>1</v>
      </c>
      <c r="E17" s="43" t="s">
        <v>253</v>
      </c>
      <c r="F17" s="73"/>
      <c r="G17" s="44" t="e">
        <f>I17+K17+M17</f>
        <v>#REF!</v>
      </c>
      <c r="H17" s="73"/>
      <c r="I17" s="44" t="e">
        <f>I21</f>
        <v>#REF!</v>
      </c>
      <c r="J17" s="73"/>
      <c r="K17" s="44" t="e">
        <f>K21</f>
        <v>#REF!</v>
      </c>
      <c r="L17" s="73"/>
      <c r="M17" s="44" t="e">
        <f>M21</f>
        <v>#REF!</v>
      </c>
      <c r="N17" s="62" t="s">
        <v>9</v>
      </c>
    </row>
    <row r="18" spans="1:14" ht="15" customHeight="1">
      <c r="A18" s="24"/>
      <c r="B18" s="25" t="s">
        <v>261</v>
      </c>
      <c r="C18" s="26" t="s">
        <v>32</v>
      </c>
      <c r="D18" s="29">
        <v>2</v>
      </c>
      <c r="E18" s="23" t="s">
        <v>24</v>
      </c>
      <c r="F18" s="27">
        <f>H18+J18+L18</f>
        <v>197788</v>
      </c>
      <c r="G18" s="28">
        <f>I18+K18+M18</f>
        <v>395576</v>
      </c>
      <c r="H18" s="27">
        <v>0</v>
      </c>
      <c r="I18" s="28"/>
      <c r="J18" s="27">
        <f>노임!D15</f>
        <v>197788</v>
      </c>
      <c r="K18" s="28">
        <f>TRUNC(J18*D18,1)</f>
        <v>395576</v>
      </c>
      <c r="L18" s="27">
        <v>0</v>
      </c>
      <c r="M18" s="28"/>
      <c r="N18" s="32" t="s">
        <v>0</v>
      </c>
    </row>
    <row r="19" spans="1:14" ht="15" customHeight="1">
      <c r="A19" s="24"/>
      <c r="B19" s="25" t="s">
        <v>262</v>
      </c>
      <c r="C19" s="26" t="s">
        <v>0</v>
      </c>
      <c r="D19" s="29">
        <v>1</v>
      </c>
      <c r="E19" s="23" t="s">
        <v>24</v>
      </c>
      <c r="F19" s="27">
        <f>H19+J19+L19</f>
        <v>282536</v>
      </c>
      <c r="G19" s="28">
        <f>I19+K19+M19</f>
        <v>282536</v>
      </c>
      <c r="H19" s="27">
        <v>0</v>
      </c>
      <c r="I19" s="28"/>
      <c r="J19" s="27">
        <f>노임!D7</f>
        <v>282536</v>
      </c>
      <c r="K19" s="28">
        <f>TRUNC(J19*D19,1)</f>
        <v>282536</v>
      </c>
      <c r="L19" s="27">
        <v>0</v>
      </c>
      <c r="M19" s="28"/>
      <c r="N19" s="32" t="s">
        <v>0</v>
      </c>
    </row>
    <row r="20" spans="1:14" ht="15" customHeight="1">
      <c r="A20" s="24"/>
      <c r="B20" s="25" t="s">
        <v>263</v>
      </c>
      <c r="C20" s="26" t="s">
        <v>172</v>
      </c>
      <c r="D20" s="29">
        <v>8</v>
      </c>
      <c r="E20" s="23" t="s">
        <v>254</v>
      </c>
      <c r="F20" s="27" t="e">
        <f>H20+J20+L20</f>
        <v>#REF!</v>
      </c>
      <c r="G20" s="28" t="e">
        <f>I20+K20+M20</f>
        <v>#REF!</v>
      </c>
      <c r="H20" s="27" t="e">
        <f>#REF!</f>
        <v>#REF!</v>
      </c>
      <c r="I20" s="28" t="e">
        <f>TRUNC(H20*D20,1)</f>
        <v>#REF!</v>
      </c>
      <c r="J20" s="27" t="e">
        <f>#REF!</f>
        <v>#REF!</v>
      </c>
      <c r="K20" s="28" t="e">
        <f>TRUNC(J20*D20,1)</f>
        <v>#REF!</v>
      </c>
      <c r="L20" s="27" t="e">
        <f>#REF!</f>
        <v>#REF!</v>
      </c>
      <c r="M20" s="28" t="e">
        <f>TRUNC(L20*D20,1)</f>
        <v>#REF!</v>
      </c>
      <c r="N20" s="32" t="s">
        <v>0</v>
      </c>
    </row>
    <row r="21" spans="1:14" ht="15" customHeight="1">
      <c r="A21" s="24"/>
      <c r="B21" s="25" t="s">
        <v>376</v>
      </c>
      <c r="C21" s="78">
        <v>14</v>
      </c>
      <c r="D21" s="29">
        <f>ROUND(1/C21,4)</f>
        <v>7.1400000000000005E-2</v>
      </c>
      <c r="E21" s="23" t="s">
        <v>375</v>
      </c>
      <c r="F21" s="27"/>
      <c r="G21" s="28" t="e">
        <f>I21+K21+M21</f>
        <v>#REF!</v>
      </c>
      <c r="H21" s="27"/>
      <c r="I21" s="28" t="e">
        <f>TRUNC(SUM(I18:I20)*$D21,1)</f>
        <v>#REF!</v>
      </c>
      <c r="J21" s="27"/>
      <c r="K21" s="28" t="e">
        <f>TRUNC(SUM(K18:K20)*$D21,1)</f>
        <v>#REF!</v>
      </c>
      <c r="L21" s="27"/>
      <c r="M21" s="28" t="e">
        <f>TRUNC(SUM(M18:M20)*$D21,1)</f>
        <v>#REF!</v>
      </c>
      <c r="N21" s="32"/>
    </row>
    <row r="22" spans="1:14" ht="15" customHeight="1">
      <c r="A22" s="24"/>
      <c r="B22" s="31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32"/>
    </row>
    <row r="23" spans="1:14" ht="15" customHeight="1">
      <c r="A23" s="45">
        <f>A17+1</f>
        <v>4</v>
      </c>
      <c r="B23" s="41" t="s">
        <v>250</v>
      </c>
      <c r="C23" s="42" t="s">
        <v>178</v>
      </c>
      <c r="D23" s="42">
        <v>1</v>
      </c>
      <c r="E23" s="43" t="s">
        <v>253</v>
      </c>
      <c r="F23" s="73"/>
      <c r="G23" s="44" t="e">
        <f>I23+K23+M23</f>
        <v>#REF!</v>
      </c>
      <c r="H23" s="73"/>
      <c r="I23" s="44" t="e">
        <f>I27</f>
        <v>#REF!</v>
      </c>
      <c r="J23" s="73"/>
      <c r="K23" s="44" t="e">
        <f>K27</f>
        <v>#REF!</v>
      </c>
      <c r="L23" s="73"/>
      <c r="M23" s="44" t="e">
        <f>M27</f>
        <v>#REF!</v>
      </c>
      <c r="N23" s="62" t="s">
        <v>9</v>
      </c>
    </row>
    <row r="24" spans="1:14" ht="15" customHeight="1">
      <c r="A24" s="24"/>
      <c r="B24" s="25" t="s">
        <v>261</v>
      </c>
      <c r="C24" s="26" t="s">
        <v>32</v>
      </c>
      <c r="D24" s="29">
        <v>3</v>
      </c>
      <c r="E24" s="23" t="s">
        <v>24</v>
      </c>
      <c r="F24" s="27">
        <f>H24+J24+L24</f>
        <v>262580</v>
      </c>
      <c r="G24" s="28">
        <f>I24+K24+M24</f>
        <v>787740</v>
      </c>
      <c r="H24" s="27">
        <v>0</v>
      </c>
      <c r="I24" s="28"/>
      <c r="J24" s="27">
        <f>노임!$D$10</f>
        <v>262580</v>
      </c>
      <c r="K24" s="28">
        <f>TRUNC(J24*D24,1)</f>
        <v>787740</v>
      </c>
      <c r="L24" s="27">
        <v>0</v>
      </c>
      <c r="M24" s="28"/>
      <c r="N24" s="32" t="s">
        <v>0</v>
      </c>
    </row>
    <row r="25" spans="1:14" ht="15" customHeight="1">
      <c r="A25" s="24"/>
      <c r="B25" s="25" t="s">
        <v>262</v>
      </c>
      <c r="C25" s="26" t="s">
        <v>0</v>
      </c>
      <c r="D25" s="29">
        <v>1</v>
      </c>
      <c r="E25" s="23" t="s">
        <v>24</v>
      </c>
      <c r="F25" s="27">
        <f>H25+J25+L25</f>
        <v>172068</v>
      </c>
      <c r="G25" s="28">
        <f>I25+K25+M25</f>
        <v>172068</v>
      </c>
      <c r="H25" s="27">
        <v>0</v>
      </c>
      <c r="I25" s="28"/>
      <c r="J25" s="27">
        <f>노임!$D$3</f>
        <v>172068</v>
      </c>
      <c r="K25" s="28">
        <f>TRUNC(J25*D25,1)</f>
        <v>172068</v>
      </c>
      <c r="L25" s="27">
        <v>0</v>
      </c>
      <c r="M25" s="28"/>
      <c r="N25" s="32" t="s">
        <v>0</v>
      </c>
    </row>
    <row r="26" spans="1:14" ht="15" customHeight="1">
      <c r="A26" s="24"/>
      <c r="B26" s="25" t="s">
        <v>263</v>
      </c>
      <c r="C26" s="26" t="s">
        <v>172</v>
      </c>
      <c r="D26" s="29"/>
      <c r="E26" s="23" t="s">
        <v>254</v>
      </c>
      <c r="F26" s="27" t="e">
        <f>H26+J26+L26</f>
        <v>#REF!</v>
      </c>
      <c r="G26" s="28" t="e">
        <f>I26+K26+M26</f>
        <v>#REF!</v>
      </c>
      <c r="H26" s="27" t="e">
        <f>#REF!</f>
        <v>#REF!</v>
      </c>
      <c r="I26" s="28" t="e">
        <f>TRUNC(H26*D26,1)</f>
        <v>#REF!</v>
      </c>
      <c r="J26" s="27" t="e">
        <f>#REF!</f>
        <v>#REF!</v>
      </c>
      <c r="K26" s="28" t="e">
        <f>TRUNC(J26*D26,1)</f>
        <v>#REF!</v>
      </c>
      <c r="L26" s="27" t="e">
        <f>#REF!</f>
        <v>#REF!</v>
      </c>
      <c r="M26" s="28" t="e">
        <f>TRUNC(L26*D26,1)</f>
        <v>#REF!</v>
      </c>
      <c r="N26" s="32" t="s">
        <v>0</v>
      </c>
    </row>
    <row r="27" spans="1:14" ht="15" customHeight="1">
      <c r="A27" s="24"/>
      <c r="B27" s="25" t="s">
        <v>376</v>
      </c>
      <c r="C27" s="78">
        <v>6</v>
      </c>
      <c r="D27" s="29">
        <f>ROUND(1/C27,4)</f>
        <v>0.16669999999999999</v>
      </c>
      <c r="E27" s="23" t="s">
        <v>375</v>
      </c>
      <c r="F27" s="27"/>
      <c r="G27" s="28" t="e">
        <f>I27+K27+M27</f>
        <v>#REF!</v>
      </c>
      <c r="H27" s="27"/>
      <c r="I27" s="28" t="e">
        <f>TRUNC(SUM(I24:I26)*$D27,1)</f>
        <v>#REF!</v>
      </c>
      <c r="J27" s="27"/>
      <c r="K27" s="28" t="e">
        <f>TRUNC(SUM(K24:K26)*$D27,1)</f>
        <v>#REF!</v>
      </c>
      <c r="L27" s="27"/>
      <c r="M27" s="28" t="e">
        <f>TRUNC(SUM(M24:M26)*$D27,1)</f>
        <v>#REF!</v>
      </c>
      <c r="N27" s="32"/>
    </row>
    <row r="28" spans="1:14" ht="15" customHeight="1">
      <c r="A28" s="24"/>
      <c r="B28" s="31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32"/>
    </row>
    <row r="29" spans="1:14" ht="15" customHeight="1">
      <c r="A29" s="45">
        <f>A23+1</f>
        <v>5</v>
      </c>
      <c r="B29" s="41" t="s">
        <v>252</v>
      </c>
      <c r="C29" s="42" t="s">
        <v>178</v>
      </c>
      <c r="D29" s="42">
        <v>1</v>
      </c>
      <c r="E29" s="43" t="s">
        <v>253</v>
      </c>
      <c r="F29" s="73"/>
      <c r="G29" s="44" t="e">
        <f>I29+K29+M29</f>
        <v>#REF!</v>
      </c>
      <c r="H29" s="73"/>
      <c r="I29" s="44" t="e">
        <f>I33</f>
        <v>#REF!</v>
      </c>
      <c r="J29" s="73"/>
      <c r="K29" s="44" t="e">
        <f>K33</f>
        <v>#REF!</v>
      </c>
      <c r="L29" s="73"/>
      <c r="M29" s="44" t="e">
        <f>M33</f>
        <v>#REF!</v>
      </c>
      <c r="N29" s="62" t="s">
        <v>9</v>
      </c>
    </row>
    <row r="30" spans="1:14" ht="15" customHeight="1">
      <c r="A30" s="24"/>
      <c r="B30" s="25" t="s">
        <v>261</v>
      </c>
      <c r="C30" s="26" t="s">
        <v>32</v>
      </c>
      <c r="D30" s="29">
        <v>2</v>
      </c>
      <c r="E30" s="23" t="s">
        <v>24</v>
      </c>
      <c r="F30" s="27">
        <f>H30+J30+L30</f>
        <v>262580</v>
      </c>
      <c r="G30" s="28">
        <f>I30+K30+M30</f>
        <v>525160</v>
      </c>
      <c r="H30" s="27">
        <v>0</v>
      </c>
      <c r="I30" s="28"/>
      <c r="J30" s="27">
        <f>노임!$D$10</f>
        <v>262580</v>
      </c>
      <c r="K30" s="28">
        <f>TRUNC(J30*D30,1)</f>
        <v>525160</v>
      </c>
      <c r="L30" s="27">
        <v>0</v>
      </c>
      <c r="M30" s="28"/>
      <c r="N30" s="32" t="s">
        <v>0</v>
      </c>
    </row>
    <row r="31" spans="1:14" ht="15" customHeight="1">
      <c r="A31" s="24"/>
      <c r="B31" s="25" t="s">
        <v>262</v>
      </c>
      <c r="C31" s="26" t="s">
        <v>0</v>
      </c>
      <c r="D31" s="29">
        <v>1</v>
      </c>
      <c r="E31" s="23" t="s">
        <v>24</v>
      </c>
      <c r="F31" s="27">
        <f>H31+J31+L31</f>
        <v>172068</v>
      </c>
      <c r="G31" s="28">
        <f>I31+K31+M31</f>
        <v>172068</v>
      </c>
      <c r="H31" s="27">
        <v>0</v>
      </c>
      <c r="I31" s="28"/>
      <c r="J31" s="27">
        <f>노임!$D$3</f>
        <v>172068</v>
      </c>
      <c r="K31" s="28">
        <f>TRUNC(J31*D31,1)</f>
        <v>172068</v>
      </c>
      <c r="L31" s="27">
        <v>0</v>
      </c>
      <c r="M31" s="28"/>
      <c r="N31" s="32" t="s">
        <v>0</v>
      </c>
    </row>
    <row r="32" spans="1:14" ht="15" customHeight="1">
      <c r="A32" s="24"/>
      <c r="B32" s="25" t="s">
        <v>263</v>
      </c>
      <c r="C32" s="26" t="s">
        <v>172</v>
      </c>
      <c r="D32" s="29">
        <v>8</v>
      </c>
      <c r="E32" s="23" t="s">
        <v>254</v>
      </c>
      <c r="F32" s="27" t="e">
        <f>H32+J32+L32</f>
        <v>#REF!</v>
      </c>
      <c r="G32" s="28" t="e">
        <f>I32+K32+M32</f>
        <v>#REF!</v>
      </c>
      <c r="H32" s="27" t="e">
        <f>#REF!</f>
        <v>#REF!</v>
      </c>
      <c r="I32" s="28" t="e">
        <f>TRUNC(H32*D32,1)</f>
        <v>#REF!</v>
      </c>
      <c r="J32" s="27" t="e">
        <f>#REF!</f>
        <v>#REF!</v>
      </c>
      <c r="K32" s="28" t="e">
        <f>TRUNC(J32*D32,1)</f>
        <v>#REF!</v>
      </c>
      <c r="L32" s="27" t="e">
        <f>#REF!</f>
        <v>#REF!</v>
      </c>
      <c r="M32" s="28" t="e">
        <f>TRUNC(L32*D32,1)</f>
        <v>#REF!</v>
      </c>
      <c r="N32" s="32" t="s">
        <v>0</v>
      </c>
    </row>
    <row r="33" spans="1:14" ht="15" customHeight="1">
      <c r="A33" s="24"/>
      <c r="B33" s="25" t="s">
        <v>376</v>
      </c>
      <c r="C33" s="78">
        <v>13</v>
      </c>
      <c r="D33" s="29">
        <f>ROUND(1/C33,4)</f>
        <v>7.6899999999999996E-2</v>
      </c>
      <c r="E33" s="23" t="s">
        <v>375</v>
      </c>
      <c r="F33" s="27"/>
      <c r="G33" s="28" t="e">
        <f>I33+K33+M33</f>
        <v>#REF!</v>
      </c>
      <c r="H33" s="27"/>
      <c r="I33" s="28" t="e">
        <f>TRUNC(SUM(I30:I32)*$D33,1)</f>
        <v>#REF!</v>
      </c>
      <c r="J33" s="27"/>
      <c r="K33" s="28" t="e">
        <f>TRUNC(SUM(K30:K32)*$D33,1)</f>
        <v>#REF!</v>
      </c>
      <c r="L33" s="27"/>
      <c r="M33" s="28" t="e">
        <f>TRUNC(SUM(M30:M32)*$D33,1)</f>
        <v>#REF!</v>
      </c>
      <c r="N33" s="32"/>
    </row>
    <row r="34" spans="1:14" ht="15" customHeight="1">
      <c r="A34" s="24"/>
      <c r="B34" s="31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32"/>
    </row>
    <row r="35" spans="1:14" ht="15" customHeight="1">
      <c r="A35" s="45">
        <f>A29+1</f>
        <v>6</v>
      </c>
      <c r="B35" s="41" t="s">
        <v>250</v>
      </c>
      <c r="C35" s="42" t="s">
        <v>179</v>
      </c>
      <c r="D35" s="42">
        <v>1</v>
      </c>
      <c r="E35" s="43" t="s">
        <v>253</v>
      </c>
      <c r="F35" s="73"/>
      <c r="G35" s="44" t="e">
        <f>I35+K35+M35</f>
        <v>#REF!</v>
      </c>
      <c r="H35" s="73"/>
      <c r="I35" s="44" t="e">
        <f>I39</f>
        <v>#REF!</v>
      </c>
      <c r="J35" s="73"/>
      <c r="K35" s="44" t="e">
        <f>K39</f>
        <v>#REF!</v>
      </c>
      <c r="L35" s="73"/>
      <c r="M35" s="44" t="e">
        <f>M39</f>
        <v>#REF!</v>
      </c>
      <c r="N35" s="62" t="s">
        <v>9</v>
      </c>
    </row>
    <row r="36" spans="1:14" ht="15" customHeight="1">
      <c r="A36" s="24"/>
      <c r="B36" s="25" t="s">
        <v>261</v>
      </c>
      <c r="C36" s="26" t="s">
        <v>32</v>
      </c>
      <c r="D36" s="29">
        <v>4</v>
      </c>
      <c r="E36" s="23" t="s">
        <v>24</v>
      </c>
      <c r="F36" s="27">
        <f>H36+J36+L36</f>
        <v>262580</v>
      </c>
      <c r="G36" s="28">
        <f>I36+K36+M36</f>
        <v>1050320</v>
      </c>
      <c r="H36" s="27">
        <v>0</v>
      </c>
      <c r="I36" s="28"/>
      <c r="J36" s="27">
        <f>노임!$D$10</f>
        <v>262580</v>
      </c>
      <c r="K36" s="28">
        <f>TRUNC(J36*D36,1)</f>
        <v>1050320</v>
      </c>
      <c r="L36" s="27">
        <v>0</v>
      </c>
      <c r="M36" s="28"/>
      <c r="N36" s="32" t="s">
        <v>0</v>
      </c>
    </row>
    <row r="37" spans="1:14" ht="15" customHeight="1">
      <c r="A37" s="24"/>
      <c r="B37" s="25" t="s">
        <v>262</v>
      </c>
      <c r="C37" s="26" t="s">
        <v>0</v>
      </c>
      <c r="D37" s="29">
        <v>1</v>
      </c>
      <c r="E37" s="23" t="s">
        <v>24</v>
      </c>
      <c r="F37" s="27">
        <f>H37+J37+L37</f>
        <v>172068</v>
      </c>
      <c r="G37" s="28">
        <f>I37+K37+M37</f>
        <v>172068</v>
      </c>
      <c r="H37" s="27">
        <v>0</v>
      </c>
      <c r="I37" s="28"/>
      <c r="J37" s="27">
        <f>노임!$D$3</f>
        <v>172068</v>
      </c>
      <c r="K37" s="28">
        <f>TRUNC(J37*D37,1)</f>
        <v>172068</v>
      </c>
      <c r="L37" s="27">
        <v>0</v>
      </c>
      <c r="M37" s="28"/>
      <c r="N37" s="32" t="s">
        <v>0</v>
      </c>
    </row>
    <row r="38" spans="1:14" ht="15" customHeight="1">
      <c r="A38" s="24"/>
      <c r="B38" s="25" t="s">
        <v>263</v>
      </c>
      <c r="C38" s="26" t="s">
        <v>172</v>
      </c>
      <c r="D38" s="29"/>
      <c r="E38" s="23" t="s">
        <v>254</v>
      </c>
      <c r="F38" s="27" t="e">
        <f>H38+J38+L38</f>
        <v>#REF!</v>
      </c>
      <c r="G38" s="28" t="e">
        <f>I38+K38+M38</f>
        <v>#REF!</v>
      </c>
      <c r="H38" s="27" t="e">
        <f>#REF!</f>
        <v>#REF!</v>
      </c>
      <c r="I38" s="28" t="e">
        <f>TRUNC(H38*D38,1)</f>
        <v>#REF!</v>
      </c>
      <c r="J38" s="27" t="e">
        <f>#REF!</f>
        <v>#REF!</v>
      </c>
      <c r="K38" s="28" t="e">
        <f>TRUNC(J38*D38,1)</f>
        <v>#REF!</v>
      </c>
      <c r="L38" s="27" t="e">
        <f>#REF!</f>
        <v>#REF!</v>
      </c>
      <c r="M38" s="28" t="e">
        <f>TRUNC(L38*D38,1)</f>
        <v>#REF!</v>
      </c>
      <c r="N38" s="32" t="s">
        <v>0</v>
      </c>
    </row>
    <row r="39" spans="1:14" ht="15" customHeight="1">
      <c r="A39" s="24"/>
      <c r="B39" s="25" t="s">
        <v>376</v>
      </c>
      <c r="C39" s="78">
        <v>5</v>
      </c>
      <c r="D39" s="29">
        <f>ROUND(1/C39,4)</f>
        <v>0.2</v>
      </c>
      <c r="E39" s="23" t="s">
        <v>375</v>
      </c>
      <c r="F39" s="27"/>
      <c r="G39" s="28" t="e">
        <f>I39+K39+M39</f>
        <v>#REF!</v>
      </c>
      <c r="H39" s="27"/>
      <c r="I39" s="28" t="e">
        <f>TRUNC(SUM(I36:I38)*$D39,1)</f>
        <v>#REF!</v>
      </c>
      <c r="J39" s="27"/>
      <c r="K39" s="28" t="e">
        <f>TRUNC(SUM(K36:K38)*$D39,1)</f>
        <v>#REF!</v>
      </c>
      <c r="L39" s="27"/>
      <c r="M39" s="28" t="e">
        <f>TRUNC(SUM(M36:M38)*$D39,1)</f>
        <v>#REF!</v>
      </c>
      <c r="N39" s="32"/>
    </row>
    <row r="40" spans="1:14" ht="15" customHeight="1">
      <c r="A40" s="24"/>
      <c r="B40" s="31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32"/>
    </row>
    <row r="41" spans="1:14" ht="15" customHeight="1">
      <c r="A41" s="45">
        <f>A35+1</f>
        <v>7</v>
      </c>
      <c r="B41" s="41" t="s">
        <v>252</v>
      </c>
      <c r="C41" s="42" t="s">
        <v>179</v>
      </c>
      <c r="D41" s="42">
        <v>1</v>
      </c>
      <c r="E41" s="43" t="s">
        <v>253</v>
      </c>
      <c r="F41" s="73"/>
      <c r="G41" s="44" t="e">
        <f>I41+K41+M41</f>
        <v>#REF!</v>
      </c>
      <c r="H41" s="73"/>
      <c r="I41" s="44" t="e">
        <f>I45</f>
        <v>#REF!</v>
      </c>
      <c r="J41" s="73"/>
      <c r="K41" s="44" t="e">
        <f>K45</f>
        <v>#REF!</v>
      </c>
      <c r="L41" s="73"/>
      <c r="M41" s="44" t="e">
        <f>M45</f>
        <v>#REF!</v>
      </c>
      <c r="N41" s="62" t="s">
        <v>9</v>
      </c>
    </row>
    <row r="42" spans="1:14" ht="15" customHeight="1">
      <c r="A42" s="24"/>
      <c r="B42" s="25" t="s">
        <v>261</v>
      </c>
      <c r="C42" s="26" t="s">
        <v>32</v>
      </c>
      <c r="D42" s="29">
        <v>2</v>
      </c>
      <c r="E42" s="23" t="s">
        <v>24</v>
      </c>
      <c r="F42" s="27">
        <f>H42+J42+L42</f>
        <v>262580</v>
      </c>
      <c r="G42" s="28">
        <f>I42+K42+M42</f>
        <v>525160</v>
      </c>
      <c r="H42" s="27">
        <v>0</v>
      </c>
      <c r="I42" s="28"/>
      <c r="J42" s="27">
        <f>노임!$D$10</f>
        <v>262580</v>
      </c>
      <c r="K42" s="28">
        <f>TRUNC(J42*D42,1)</f>
        <v>525160</v>
      </c>
      <c r="L42" s="27">
        <v>0</v>
      </c>
      <c r="M42" s="28"/>
      <c r="N42" s="32" t="s">
        <v>0</v>
      </c>
    </row>
    <row r="43" spans="1:14" ht="15" customHeight="1">
      <c r="A43" s="24"/>
      <c r="B43" s="25" t="s">
        <v>262</v>
      </c>
      <c r="C43" s="26" t="s">
        <v>0</v>
      </c>
      <c r="D43" s="29">
        <v>1</v>
      </c>
      <c r="E43" s="23" t="s">
        <v>24</v>
      </c>
      <c r="F43" s="27">
        <f>H43+J43+L43</f>
        <v>172068</v>
      </c>
      <c r="G43" s="28">
        <f>I43+K43+M43</f>
        <v>172068</v>
      </c>
      <c r="H43" s="27">
        <v>0</v>
      </c>
      <c r="I43" s="28"/>
      <c r="J43" s="27">
        <f>노임!$D$3</f>
        <v>172068</v>
      </c>
      <c r="K43" s="28">
        <f>TRUNC(J43*D43,1)</f>
        <v>172068</v>
      </c>
      <c r="L43" s="27">
        <v>0</v>
      </c>
      <c r="M43" s="28"/>
      <c r="N43" s="32" t="s">
        <v>0</v>
      </c>
    </row>
    <row r="44" spans="1:14" ht="15" customHeight="1">
      <c r="A44" s="24"/>
      <c r="B44" s="25" t="s">
        <v>263</v>
      </c>
      <c r="C44" s="26" t="s">
        <v>172</v>
      </c>
      <c r="D44" s="29">
        <v>8</v>
      </c>
      <c r="E44" s="23" t="s">
        <v>254</v>
      </c>
      <c r="F44" s="27" t="e">
        <f>H44+J44+L44</f>
        <v>#REF!</v>
      </c>
      <c r="G44" s="28" t="e">
        <f>I44+K44+M44</f>
        <v>#REF!</v>
      </c>
      <c r="H44" s="27" t="e">
        <f>#REF!</f>
        <v>#REF!</v>
      </c>
      <c r="I44" s="28" t="e">
        <f>TRUNC(H44*D44,1)</f>
        <v>#REF!</v>
      </c>
      <c r="J44" s="27" t="e">
        <f>#REF!</f>
        <v>#REF!</v>
      </c>
      <c r="K44" s="28" t="e">
        <f>TRUNC(J44*D44,1)</f>
        <v>#REF!</v>
      </c>
      <c r="L44" s="27" t="e">
        <f>#REF!</f>
        <v>#REF!</v>
      </c>
      <c r="M44" s="28" t="e">
        <f>TRUNC(L44*D44,1)</f>
        <v>#REF!</v>
      </c>
      <c r="N44" s="32" t="s">
        <v>0</v>
      </c>
    </row>
    <row r="45" spans="1:14" ht="15" customHeight="1">
      <c r="A45" s="24"/>
      <c r="B45" s="25" t="s">
        <v>376</v>
      </c>
      <c r="C45" s="78">
        <v>12</v>
      </c>
      <c r="D45" s="29">
        <f>ROUND(1/C45,4)</f>
        <v>8.3299999999999999E-2</v>
      </c>
      <c r="E45" s="23" t="s">
        <v>375</v>
      </c>
      <c r="F45" s="27"/>
      <c r="G45" s="28" t="e">
        <f>I45+K45+M45</f>
        <v>#REF!</v>
      </c>
      <c r="H45" s="27"/>
      <c r="I45" s="28" t="e">
        <f>TRUNC(SUM(I42:I44)*$D45,1)</f>
        <v>#REF!</v>
      </c>
      <c r="J45" s="27"/>
      <c r="K45" s="28" t="e">
        <f>TRUNC(SUM(K42:K44)*$D45,1)</f>
        <v>#REF!</v>
      </c>
      <c r="L45" s="27"/>
      <c r="M45" s="28" t="e">
        <f>TRUNC(SUM(M42:M44)*$D45,1)</f>
        <v>#REF!</v>
      </c>
      <c r="N45" s="32"/>
    </row>
    <row r="46" spans="1:14" ht="15" customHeight="1">
      <c r="A46" s="24"/>
      <c r="B46" s="31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32"/>
    </row>
    <row r="47" spans="1:14" ht="15" customHeight="1">
      <c r="A47" s="45">
        <f>A41+1</f>
        <v>8</v>
      </c>
      <c r="B47" s="41" t="s">
        <v>250</v>
      </c>
      <c r="C47" s="42" t="s">
        <v>180</v>
      </c>
      <c r="D47" s="42">
        <v>1</v>
      </c>
      <c r="E47" s="43" t="s">
        <v>253</v>
      </c>
      <c r="F47" s="73"/>
      <c r="G47" s="44" t="e">
        <f>I47+K47+M47</f>
        <v>#REF!</v>
      </c>
      <c r="H47" s="73"/>
      <c r="I47" s="44" t="e">
        <f>I51</f>
        <v>#REF!</v>
      </c>
      <c r="J47" s="73"/>
      <c r="K47" s="44" t="e">
        <f>K51</f>
        <v>#REF!</v>
      </c>
      <c r="L47" s="73"/>
      <c r="M47" s="44" t="e">
        <f>M51</f>
        <v>#REF!</v>
      </c>
      <c r="N47" s="62" t="s">
        <v>9</v>
      </c>
    </row>
    <row r="48" spans="1:14" ht="15" customHeight="1">
      <c r="A48" s="24"/>
      <c r="B48" s="25" t="s">
        <v>261</v>
      </c>
      <c r="C48" s="26" t="s">
        <v>32</v>
      </c>
      <c r="D48" s="29">
        <v>4</v>
      </c>
      <c r="E48" s="23" t="s">
        <v>24</v>
      </c>
      <c r="F48" s="27">
        <f>H48+J48+L48</f>
        <v>262580</v>
      </c>
      <c r="G48" s="28">
        <f>I48+K48+M48</f>
        <v>1050320</v>
      </c>
      <c r="H48" s="27">
        <v>0</v>
      </c>
      <c r="I48" s="28"/>
      <c r="J48" s="27">
        <f>노임!$D$10</f>
        <v>262580</v>
      </c>
      <c r="K48" s="28">
        <f>TRUNC(J48*D48,1)</f>
        <v>1050320</v>
      </c>
      <c r="L48" s="27">
        <v>0</v>
      </c>
      <c r="M48" s="28"/>
      <c r="N48" s="32" t="s">
        <v>0</v>
      </c>
    </row>
    <row r="49" spans="1:14" ht="15" customHeight="1">
      <c r="A49" s="24"/>
      <c r="B49" s="25" t="s">
        <v>262</v>
      </c>
      <c r="C49" s="26" t="s">
        <v>0</v>
      </c>
      <c r="D49" s="29">
        <v>1</v>
      </c>
      <c r="E49" s="23" t="s">
        <v>24</v>
      </c>
      <c r="F49" s="27">
        <f>H49+J49+L49</f>
        <v>172068</v>
      </c>
      <c r="G49" s="28">
        <f>I49+K49+M49</f>
        <v>172068</v>
      </c>
      <c r="H49" s="27">
        <v>0</v>
      </c>
      <c r="I49" s="28"/>
      <c r="J49" s="27">
        <f>노임!$D$3</f>
        <v>172068</v>
      </c>
      <c r="K49" s="28">
        <f>TRUNC(J49*D49,1)</f>
        <v>172068</v>
      </c>
      <c r="L49" s="27">
        <v>0</v>
      </c>
      <c r="M49" s="28"/>
      <c r="N49" s="32" t="s">
        <v>0</v>
      </c>
    </row>
    <row r="50" spans="1:14" ht="15" customHeight="1">
      <c r="A50" s="24"/>
      <c r="B50" s="25" t="s">
        <v>263</v>
      </c>
      <c r="C50" s="26" t="s">
        <v>172</v>
      </c>
      <c r="D50" s="29"/>
      <c r="E50" s="23" t="s">
        <v>254</v>
      </c>
      <c r="F50" s="27" t="e">
        <f>H50+J50+L50</f>
        <v>#REF!</v>
      </c>
      <c r="G50" s="28" t="e">
        <f>I50+K50+M50</f>
        <v>#REF!</v>
      </c>
      <c r="H50" s="27" t="e">
        <f>#REF!</f>
        <v>#REF!</v>
      </c>
      <c r="I50" s="28" t="e">
        <f>TRUNC(H50*D50,1)</f>
        <v>#REF!</v>
      </c>
      <c r="J50" s="27" t="e">
        <f>#REF!</f>
        <v>#REF!</v>
      </c>
      <c r="K50" s="28" t="e">
        <f>TRUNC(J50*D50,1)</f>
        <v>#REF!</v>
      </c>
      <c r="L50" s="27" t="e">
        <f>#REF!</f>
        <v>#REF!</v>
      </c>
      <c r="M50" s="28" t="e">
        <f>TRUNC(L50*D50,1)</f>
        <v>#REF!</v>
      </c>
      <c r="N50" s="32" t="s">
        <v>0</v>
      </c>
    </row>
    <row r="51" spans="1:14" ht="15" customHeight="1">
      <c r="A51" s="24"/>
      <c r="B51" s="25" t="s">
        <v>376</v>
      </c>
      <c r="C51" s="78">
        <v>4</v>
      </c>
      <c r="D51" s="29">
        <f>ROUND(1/C51,4)</f>
        <v>0.25</v>
      </c>
      <c r="E51" s="23" t="s">
        <v>375</v>
      </c>
      <c r="F51" s="27"/>
      <c r="G51" s="28" t="e">
        <f>I51+K51+M51</f>
        <v>#REF!</v>
      </c>
      <c r="H51" s="27"/>
      <c r="I51" s="28" t="e">
        <f>TRUNC(SUM(I48:I50)*$D51,1)</f>
        <v>#REF!</v>
      </c>
      <c r="J51" s="27"/>
      <c r="K51" s="28" t="e">
        <f>TRUNC(SUM(K48:K50)*$D51,1)</f>
        <v>#REF!</v>
      </c>
      <c r="L51" s="27"/>
      <c r="M51" s="28" t="e">
        <f>TRUNC(SUM(M48:M50)*$D51,1)</f>
        <v>#REF!</v>
      </c>
      <c r="N51" s="32"/>
    </row>
    <row r="52" spans="1:14" ht="15" customHeight="1">
      <c r="A52" s="24"/>
      <c r="B52" s="31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32"/>
    </row>
    <row r="53" spans="1:14" ht="15" customHeight="1">
      <c r="A53" s="45">
        <f>A47+1</f>
        <v>9</v>
      </c>
      <c r="B53" s="41" t="s">
        <v>252</v>
      </c>
      <c r="C53" s="42" t="s">
        <v>180</v>
      </c>
      <c r="D53" s="42">
        <v>1</v>
      </c>
      <c r="E53" s="43" t="s">
        <v>253</v>
      </c>
      <c r="F53" s="73"/>
      <c r="G53" s="44" t="e">
        <f>I53+K53+M53</f>
        <v>#REF!</v>
      </c>
      <c r="H53" s="73"/>
      <c r="I53" s="44" t="e">
        <f>I57</f>
        <v>#REF!</v>
      </c>
      <c r="J53" s="73"/>
      <c r="K53" s="44" t="e">
        <f>K57</f>
        <v>#REF!</v>
      </c>
      <c r="L53" s="73"/>
      <c r="M53" s="44" t="e">
        <f>M57</f>
        <v>#REF!</v>
      </c>
      <c r="N53" s="62" t="s">
        <v>9</v>
      </c>
    </row>
    <row r="54" spans="1:14" ht="15" customHeight="1">
      <c r="A54" s="24"/>
      <c r="B54" s="25" t="s">
        <v>261</v>
      </c>
      <c r="C54" s="26" t="s">
        <v>32</v>
      </c>
      <c r="D54" s="29">
        <v>2</v>
      </c>
      <c r="E54" s="23" t="s">
        <v>24</v>
      </c>
      <c r="F54" s="27">
        <f>H54+J54+L54</f>
        <v>262580</v>
      </c>
      <c r="G54" s="28">
        <f>I54+K54+M54</f>
        <v>525160</v>
      </c>
      <c r="H54" s="27">
        <v>0</v>
      </c>
      <c r="I54" s="28"/>
      <c r="J54" s="27">
        <f>노임!$D$10</f>
        <v>262580</v>
      </c>
      <c r="K54" s="28">
        <f>TRUNC(J54*D54,1)</f>
        <v>525160</v>
      </c>
      <c r="L54" s="27">
        <v>0</v>
      </c>
      <c r="M54" s="28"/>
      <c r="N54" s="32" t="s">
        <v>0</v>
      </c>
    </row>
    <row r="55" spans="1:14" ht="15" customHeight="1">
      <c r="A55" s="24"/>
      <c r="B55" s="25" t="s">
        <v>262</v>
      </c>
      <c r="C55" s="26" t="s">
        <v>0</v>
      </c>
      <c r="D55" s="29">
        <v>1</v>
      </c>
      <c r="E55" s="23" t="s">
        <v>24</v>
      </c>
      <c r="F55" s="27">
        <f>H55+J55+L55</f>
        <v>172068</v>
      </c>
      <c r="G55" s="28">
        <f>I55+K55+M55</f>
        <v>172068</v>
      </c>
      <c r="H55" s="27">
        <v>0</v>
      </c>
      <c r="I55" s="28"/>
      <c r="J55" s="27">
        <f>노임!$D$3</f>
        <v>172068</v>
      </c>
      <c r="K55" s="28">
        <f>TRUNC(J55*D55,1)</f>
        <v>172068</v>
      </c>
      <c r="L55" s="27">
        <v>0</v>
      </c>
      <c r="M55" s="28"/>
      <c r="N55" s="32" t="s">
        <v>0</v>
      </c>
    </row>
    <row r="56" spans="1:14" ht="15" customHeight="1">
      <c r="A56" s="24"/>
      <c r="B56" s="25" t="s">
        <v>263</v>
      </c>
      <c r="C56" s="26" t="s">
        <v>172</v>
      </c>
      <c r="D56" s="29">
        <v>8</v>
      </c>
      <c r="E56" s="23" t="s">
        <v>254</v>
      </c>
      <c r="F56" s="27" t="e">
        <f>H56+J56+L56</f>
        <v>#REF!</v>
      </c>
      <c r="G56" s="28" t="e">
        <f>I56+K56+M56</f>
        <v>#REF!</v>
      </c>
      <c r="H56" s="27" t="e">
        <f>#REF!</f>
        <v>#REF!</v>
      </c>
      <c r="I56" s="28" t="e">
        <f>TRUNC(H56*D56,1)</f>
        <v>#REF!</v>
      </c>
      <c r="J56" s="27" t="e">
        <f>#REF!</f>
        <v>#REF!</v>
      </c>
      <c r="K56" s="28" t="e">
        <f>TRUNC(J56*D56,1)</f>
        <v>#REF!</v>
      </c>
      <c r="L56" s="27" t="e">
        <f>#REF!</f>
        <v>#REF!</v>
      </c>
      <c r="M56" s="28" t="e">
        <f>TRUNC(L56*D56,1)</f>
        <v>#REF!</v>
      </c>
      <c r="N56" s="32" t="s">
        <v>0</v>
      </c>
    </row>
    <row r="57" spans="1:14" ht="15" customHeight="1">
      <c r="A57" s="24"/>
      <c r="B57" s="25" t="s">
        <v>376</v>
      </c>
      <c r="C57" s="78">
        <v>11</v>
      </c>
      <c r="D57" s="29">
        <f>ROUND(1/C57,4)</f>
        <v>9.0899999999999995E-2</v>
      </c>
      <c r="E57" s="23" t="s">
        <v>375</v>
      </c>
      <c r="F57" s="27"/>
      <c r="G57" s="28" t="e">
        <f>I57+K57+M57</f>
        <v>#REF!</v>
      </c>
      <c r="H57" s="27"/>
      <c r="I57" s="28" t="e">
        <f>TRUNC(SUM(I54:I56)*$D57,1)</f>
        <v>#REF!</v>
      </c>
      <c r="J57" s="27"/>
      <c r="K57" s="28" t="e">
        <f>TRUNC(SUM(K54:K56)*$D57,1)</f>
        <v>#REF!</v>
      </c>
      <c r="L57" s="27"/>
      <c r="M57" s="28" t="e">
        <f>TRUNC(SUM(M54:M56)*$D57,1)</f>
        <v>#REF!</v>
      </c>
      <c r="N57" s="32"/>
    </row>
    <row r="58" spans="1:14" ht="15" customHeight="1">
      <c r="A58" s="24"/>
      <c r="B58" s="31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32"/>
    </row>
    <row r="59" spans="1:14" ht="15" customHeight="1">
      <c r="A59" s="45">
        <f>A53+1</f>
        <v>10</v>
      </c>
      <c r="B59" s="41" t="s">
        <v>252</v>
      </c>
      <c r="C59" s="42" t="s">
        <v>181</v>
      </c>
      <c r="D59" s="42">
        <v>1</v>
      </c>
      <c r="E59" s="43" t="s">
        <v>253</v>
      </c>
      <c r="F59" s="73"/>
      <c r="G59" s="44" t="e">
        <f>I59+K59+M59</f>
        <v>#REF!</v>
      </c>
      <c r="H59" s="73"/>
      <c r="I59" s="44" t="e">
        <f>I63</f>
        <v>#REF!</v>
      </c>
      <c r="J59" s="73"/>
      <c r="K59" s="44" t="e">
        <f>K63</f>
        <v>#REF!</v>
      </c>
      <c r="L59" s="73"/>
      <c r="M59" s="44" t="e">
        <f>M63</f>
        <v>#REF!</v>
      </c>
      <c r="N59" s="62" t="s">
        <v>9</v>
      </c>
    </row>
    <row r="60" spans="1:14" ht="15" customHeight="1">
      <c r="A60" s="24"/>
      <c r="B60" s="25" t="s">
        <v>261</v>
      </c>
      <c r="C60" s="26" t="s">
        <v>32</v>
      </c>
      <c r="D60" s="29">
        <v>2</v>
      </c>
      <c r="E60" s="23" t="s">
        <v>24</v>
      </c>
      <c r="F60" s="27">
        <f>H60+J60+L60</f>
        <v>262580</v>
      </c>
      <c r="G60" s="28">
        <f>I60+K60+M60</f>
        <v>525160</v>
      </c>
      <c r="H60" s="27">
        <v>0</v>
      </c>
      <c r="I60" s="28"/>
      <c r="J60" s="27">
        <f>노임!$D$10</f>
        <v>262580</v>
      </c>
      <c r="K60" s="28">
        <f>TRUNC(J60*D60,1)</f>
        <v>525160</v>
      </c>
      <c r="L60" s="27">
        <v>0</v>
      </c>
      <c r="M60" s="28"/>
      <c r="N60" s="32" t="s">
        <v>0</v>
      </c>
    </row>
    <row r="61" spans="1:14" ht="15" customHeight="1">
      <c r="A61" s="24"/>
      <c r="B61" s="25" t="s">
        <v>262</v>
      </c>
      <c r="C61" s="26" t="s">
        <v>0</v>
      </c>
      <c r="D61" s="29">
        <v>1</v>
      </c>
      <c r="E61" s="23" t="s">
        <v>24</v>
      </c>
      <c r="F61" s="27">
        <f>H61+J61+L61</f>
        <v>172068</v>
      </c>
      <c r="G61" s="28">
        <f>I61+K61+M61</f>
        <v>172068</v>
      </c>
      <c r="H61" s="27">
        <v>0</v>
      </c>
      <c r="I61" s="28"/>
      <c r="J61" s="27">
        <f>노임!$D$3</f>
        <v>172068</v>
      </c>
      <c r="K61" s="28">
        <f>TRUNC(J61*D61,1)</f>
        <v>172068</v>
      </c>
      <c r="L61" s="27">
        <v>0</v>
      </c>
      <c r="M61" s="28"/>
      <c r="N61" s="32" t="s">
        <v>0</v>
      </c>
    </row>
    <row r="62" spans="1:14" ht="15" customHeight="1">
      <c r="A62" s="24"/>
      <c r="B62" s="25" t="s">
        <v>263</v>
      </c>
      <c r="C62" s="26" t="s">
        <v>172</v>
      </c>
      <c r="D62" s="29">
        <v>8</v>
      </c>
      <c r="E62" s="23" t="s">
        <v>254</v>
      </c>
      <c r="F62" s="27" t="e">
        <f>H62+J62+L62</f>
        <v>#REF!</v>
      </c>
      <c r="G62" s="28" t="e">
        <f>I62+K62+M62</f>
        <v>#REF!</v>
      </c>
      <c r="H62" s="27" t="e">
        <f>#REF!</f>
        <v>#REF!</v>
      </c>
      <c r="I62" s="28" t="e">
        <f>TRUNC(H62*D62,1)</f>
        <v>#REF!</v>
      </c>
      <c r="J62" s="27" t="e">
        <f>#REF!</f>
        <v>#REF!</v>
      </c>
      <c r="K62" s="28" t="e">
        <f>TRUNC(J62*D62,1)</f>
        <v>#REF!</v>
      </c>
      <c r="L62" s="27" t="e">
        <f>#REF!</f>
        <v>#REF!</v>
      </c>
      <c r="M62" s="28" t="e">
        <f>TRUNC(L62*D62,1)</f>
        <v>#REF!</v>
      </c>
      <c r="N62" s="32" t="s">
        <v>0</v>
      </c>
    </row>
    <row r="63" spans="1:14" ht="15" customHeight="1">
      <c r="A63" s="24"/>
      <c r="B63" s="25" t="s">
        <v>376</v>
      </c>
      <c r="C63" s="78">
        <v>10</v>
      </c>
      <c r="D63" s="29">
        <f>ROUND(1/C63,4)</f>
        <v>0.1</v>
      </c>
      <c r="E63" s="23" t="s">
        <v>375</v>
      </c>
      <c r="F63" s="27"/>
      <c r="G63" s="28" t="e">
        <f>I63+K63+M63</f>
        <v>#REF!</v>
      </c>
      <c r="H63" s="27"/>
      <c r="I63" s="28" t="e">
        <f>TRUNC(SUM(I60:I62)*$D63,1)</f>
        <v>#REF!</v>
      </c>
      <c r="J63" s="27"/>
      <c r="K63" s="28" t="e">
        <f>TRUNC(SUM(K60:K62)*$D63,1)</f>
        <v>#REF!</v>
      </c>
      <c r="L63" s="27"/>
      <c r="M63" s="28" t="e">
        <f>TRUNC(SUM(M60:M62)*$D63,1)</f>
        <v>#REF!</v>
      </c>
      <c r="N63" s="32"/>
    </row>
    <row r="64" spans="1:14" ht="15" customHeight="1">
      <c r="A64" s="30"/>
      <c r="B64" s="31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32"/>
    </row>
    <row r="65" spans="1:14" ht="15" customHeight="1">
      <c r="A65" s="45">
        <f>A59+1</f>
        <v>11</v>
      </c>
      <c r="B65" s="41" t="s">
        <v>252</v>
      </c>
      <c r="C65" s="42" t="s">
        <v>182</v>
      </c>
      <c r="D65" s="42">
        <v>1</v>
      </c>
      <c r="E65" s="43" t="s">
        <v>253</v>
      </c>
      <c r="F65" s="73"/>
      <c r="G65" s="44" t="e">
        <f>I65+K65+M65</f>
        <v>#REF!</v>
      </c>
      <c r="H65" s="73"/>
      <c r="I65" s="44" t="e">
        <f>I69</f>
        <v>#REF!</v>
      </c>
      <c r="J65" s="73"/>
      <c r="K65" s="44" t="e">
        <f>K69</f>
        <v>#REF!</v>
      </c>
      <c r="L65" s="73"/>
      <c r="M65" s="44" t="e">
        <f>M69</f>
        <v>#REF!</v>
      </c>
      <c r="N65" s="62" t="s">
        <v>9</v>
      </c>
    </row>
    <row r="66" spans="1:14" ht="15" customHeight="1">
      <c r="A66" s="24"/>
      <c r="B66" s="25" t="s">
        <v>261</v>
      </c>
      <c r="C66" s="26" t="s">
        <v>32</v>
      </c>
      <c r="D66" s="29">
        <v>2</v>
      </c>
      <c r="E66" s="23" t="s">
        <v>24</v>
      </c>
      <c r="F66" s="27">
        <f>H66+J66+L66</f>
        <v>262580</v>
      </c>
      <c r="G66" s="28">
        <f>I66+K66+M66</f>
        <v>525160</v>
      </c>
      <c r="H66" s="27">
        <v>0</v>
      </c>
      <c r="I66" s="28"/>
      <c r="J66" s="27">
        <f>노임!$D$10</f>
        <v>262580</v>
      </c>
      <c r="K66" s="28">
        <f>TRUNC(J66*D66,1)</f>
        <v>525160</v>
      </c>
      <c r="L66" s="27">
        <v>0</v>
      </c>
      <c r="M66" s="28"/>
      <c r="N66" s="32" t="s">
        <v>0</v>
      </c>
    </row>
    <row r="67" spans="1:14" ht="15" customHeight="1">
      <c r="A67" s="24"/>
      <c r="B67" s="25" t="s">
        <v>262</v>
      </c>
      <c r="C67" s="26" t="s">
        <v>0</v>
      </c>
      <c r="D67" s="29">
        <v>1</v>
      </c>
      <c r="E67" s="23" t="s">
        <v>24</v>
      </c>
      <c r="F67" s="27">
        <f>H67+J67+L67</f>
        <v>172068</v>
      </c>
      <c r="G67" s="28">
        <f>I67+K67+M67</f>
        <v>172068</v>
      </c>
      <c r="H67" s="27">
        <v>0</v>
      </c>
      <c r="I67" s="28"/>
      <c r="J67" s="27">
        <f>노임!$D$3</f>
        <v>172068</v>
      </c>
      <c r="K67" s="28">
        <f>TRUNC(J67*D67,1)</f>
        <v>172068</v>
      </c>
      <c r="L67" s="27">
        <v>0</v>
      </c>
      <c r="M67" s="28"/>
      <c r="N67" s="32" t="s">
        <v>0</v>
      </c>
    </row>
    <row r="68" spans="1:14" ht="15" customHeight="1">
      <c r="A68" s="24"/>
      <c r="B68" s="25" t="s">
        <v>263</v>
      </c>
      <c r="C68" s="26" t="s">
        <v>172</v>
      </c>
      <c r="D68" s="29">
        <v>8</v>
      </c>
      <c r="E68" s="23" t="s">
        <v>254</v>
      </c>
      <c r="F68" s="27" t="e">
        <f>H68+J68+L68</f>
        <v>#REF!</v>
      </c>
      <c r="G68" s="28" t="e">
        <f>I68+K68+M68</f>
        <v>#REF!</v>
      </c>
      <c r="H68" s="27" t="e">
        <f>#REF!</f>
        <v>#REF!</v>
      </c>
      <c r="I68" s="28" t="e">
        <f>TRUNC(H68*D68,1)</f>
        <v>#REF!</v>
      </c>
      <c r="J68" s="27" t="e">
        <f>#REF!</f>
        <v>#REF!</v>
      </c>
      <c r="K68" s="28" t="e">
        <f>TRUNC(J68*D68,1)</f>
        <v>#REF!</v>
      </c>
      <c r="L68" s="27" t="e">
        <f>#REF!</f>
        <v>#REF!</v>
      </c>
      <c r="M68" s="28" t="e">
        <f>TRUNC(L68*D68,1)</f>
        <v>#REF!</v>
      </c>
      <c r="N68" s="32" t="s">
        <v>0</v>
      </c>
    </row>
    <row r="69" spans="1:14" ht="15" customHeight="1">
      <c r="A69" s="24"/>
      <c r="B69" s="25" t="s">
        <v>376</v>
      </c>
      <c r="C69" s="78">
        <v>10</v>
      </c>
      <c r="D69" s="29">
        <f>ROUND(1/C69,4)</f>
        <v>0.1</v>
      </c>
      <c r="E69" s="23" t="s">
        <v>375</v>
      </c>
      <c r="F69" s="27"/>
      <c r="G69" s="28" t="e">
        <f>I69+K69+M69</f>
        <v>#REF!</v>
      </c>
      <c r="H69" s="27"/>
      <c r="I69" s="28" t="e">
        <f>TRUNC(SUM(I66:I68)*$D69,1)</f>
        <v>#REF!</v>
      </c>
      <c r="J69" s="27"/>
      <c r="K69" s="28" t="e">
        <f>TRUNC(SUM(K66:K68)*$D69,1)</f>
        <v>#REF!</v>
      </c>
      <c r="L69" s="27"/>
      <c r="M69" s="28" t="e">
        <f>TRUNC(SUM(M66:M68)*$D69,1)</f>
        <v>#REF!</v>
      </c>
      <c r="N69" s="32"/>
    </row>
    <row r="70" spans="1:14" ht="15" customHeight="1">
      <c r="A70" s="30"/>
      <c r="B70" s="31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32"/>
    </row>
    <row r="71" spans="1:14" ht="15" customHeight="1">
      <c r="A71" s="45">
        <f>A65+1</f>
        <v>12</v>
      </c>
      <c r="B71" s="41" t="s">
        <v>252</v>
      </c>
      <c r="C71" s="42" t="s">
        <v>183</v>
      </c>
      <c r="D71" s="42">
        <v>1</v>
      </c>
      <c r="E71" s="43" t="s">
        <v>253</v>
      </c>
      <c r="F71" s="73"/>
      <c r="G71" s="44" t="e">
        <f>I71+K71+M71</f>
        <v>#REF!</v>
      </c>
      <c r="H71" s="73"/>
      <c r="I71" s="44" t="e">
        <f>I75</f>
        <v>#REF!</v>
      </c>
      <c r="J71" s="73"/>
      <c r="K71" s="44" t="e">
        <f>K75</f>
        <v>#REF!</v>
      </c>
      <c r="L71" s="73"/>
      <c r="M71" s="44" t="e">
        <f>M75</f>
        <v>#REF!</v>
      </c>
      <c r="N71" s="62" t="s">
        <v>9</v>
      </c>
    </row>
    <row r="72" spans="1:14" ht="15" customHeight="1">
      <c r="A72" s="24"/>
      <c r="B72" s="25" t="s">
        <v>261</v>
      </c>
      <c r="C72" s="26" t="s">
        <v>32</v>
      </c>
      <c r="D72" s="29">
        <v>2</v>
      </c>
      <c r="E72" s="23" t="s">
        <v>24</v>
      </c>
      <c r="F72" s="27">
        <f>H72+J72+L72</f>
        <v>262580</v>
      </c>
      <c r="G72" s="28">
        <f>I72+K72+M72</f>
        <v>525160</v>
      </c>
      <c r="H72" s="27">
        <v>0</v>
      </c>
      <c r="I72" s="28"/>
      <c r="J72" s="27">
        <f>노임!$D$10</f>
        <v>262580</v>
      </c>
      <c r="K72" s="28">
        <f>TRUNC(J72*D72,1)</f>
        <v>525160</v>
      </c>
      <c r="L72" s="27">
        <v>0</v>
      </c>
      <c r="M72" s="28"/>
      <c r="N72" s="32" t="s">
        <v>0</v>
      </c>
    </row>
    <row r="73" spans="1:14" ht="15" customHeight="1">
      <c r="A73" s="24"/>
      <c r="B73" s="25" t="s">
        <v>262</v>
      </c>
      <c r="C73" s="26" t="s">
        <v>0</v>
      </c>
      <c r="D73" s="29">
        <v>1</v>
      </c>
      <c r="E73" s="23" t="s">
        <v>24</v>
      </c>
      <c r="F73" s="27">
        <f>H73+J73+L73</f>
        <v>172068</v>
      </c>
      <c r="G73" s="28">
        <f>I73+K73+M73</f>
        <v>172068</v>
      </c>
      <c r="H73" s="27">
        <v>0</v>
      </c>
      <c r="I73" s="28"/>
      <c r="J73" s="27">
        <f>노임!$D$3</f>
        <v>172068</v>
      </c>
      <c r="K73" s="28">
        <f>TRUNC(J73*D73,1)</f>
        <v>172068</v>
      </c>
      <c r="L73" s="27">
        <v>0</v>
      </c>
      <c r="M73" s="28"/>
      <c r="N73" s="32" t="s">
        <v>0</v>
      </c>
    </row>
    <row r="74" spans="1:14" ht="15" customHeight="1">
      <c r="A74" s="24"/>
      <c r="B74" s="25" t="s">
        <v>263</v>
      </c>
      <c r="C74" s="26" t="s">
        <v>172</v>
      </c>
      <c r="D74" s="29">
        <v>8</v>
      </c>
      <c r="E74" s="23" t="s">
        <v>254</v>
      </c>
      <c r="F74" s="27" t="e">
        <f>H74+J74+L74</f>
        <v>#REF!</v>
      </c>
      <c r="G74" s="28" t="e">
        <f>I74+K74+M74</f>
        <v>#REF!</v>
      </c>
      <c r="H74" s="27" t="e">
        <f>#REF!</f>
        <v>#REF!</v>
      </c>
      <c r="I74" s="28" t="e">
        <f>TRUNC(H74*D74,1)</f>
        <v>#REF!</v>
      </c>
      <c r="J74" s="27" t="e">
        <f>#REF!</f>
        <v>#REF!</v>
      </c>
      <c r="K74" s="28" t="e">
        <f>TRUNC(J74*D74,1)</f>
        <v>#REF!</v>
      </c>
      <c r="L74" s="27" t="e">
        <f>#REF!</f>
        <v>#REF!</v>
      </c>
      <c r="M74" s="28" t="e">
        <f>TRUNC(L74*D74,1)</f>
        <v>#REF!</v>
      </c>
      <c r="N74" s="32" t="s">
        <v>0</v>
      </c>
    </row>
    <row r="75" spans="1:14" ht="15" customHeight="1">
      <c r="A75" s="24"/>
      <c r="B75" s="25" t="s">
        <v>376</v>
      </c>
      <c r="C75" s="78">
        <v>9</v>
      </c>
      <c r="D75" s="29">
        <f>ROUND(1/C75,4)</f>
        <v>0.1111</v>
      </c>
      <c r="E75" s="23" t="s">
        <v>375</v>
      </c>
      <c r="F75" s="27"/>
      <c r="G75" s="28" t="e">
        <f>I75+K75+M75</f>
        <v>#REF!</v>
      </c>
      <c r="H75" s="27"/>
      <c r="I75" s="28" t="e">
        <f>TRUNC(SUM(I72:I74)*$D75,1)</f>
        <v>#REF!</v>
      </c>
      <c r="J75" s="27"/>
      <c r="K75" s="28" t="e">
        <f>TRUNC(SUM(K72:K74)*$D75,1)</f>
        <v>#REF!</v>
      </c>
      <c r="L75" s="27"/>
      <c r="M75" s="28" t="e">
        <f>TRUNC(SUM(M72:M74)*$D75,1)</f>
        <v>#REF!</v>
      </c>
      <c r="N75" s="32"/>
    </row>
    <row r="76" spans="1:14" ht="15" customHeight="1">
      <c r="A76" s="30"/>
      <c r="B76" s="31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32"/>
    </row>
    <row r="77" spans="1:14" ht="15" customHeight="1">
      <c r="A77" s="45">
        <f>A71+1</f>
        <v>13</v>
      </c>
      <c r="B77" s="41" t="s">
        <v>252</v>
      </c>
      <c r="C77" s="42" t="s">
        <v>185</v>
      </c>
      <c r="D77" s="42">
        <v>1</v>
      </c>
      <c r="E77" s="43" t="s">
        <v>253</v>
      </c>
      <c r="F77" s="73"/>
      <c r="G77" s="44" t="e">
        <f>I77+K77+M77</f>
        <v>#REF!</v>
      </c>
      <c r="H77" s="73"/>
      <c r="I77" s="44" t="e">
        <f>I81</f>
        <v>#REF!</v>
      </c>
      <c r="J77" s="73"/>
      <c r="K77" s="44" t="e">
        <f>K81</f>
        <v>#REF!</v>
      </c>
      <c r="L77" s="73"/>
      <c r="M77" s="44" t="e">
        <f>M81</f>
        <v>#REF!</v>
      </c>
      <c r="N77" s="62" t="s">
        <v>9</v>
      </c>
    </row>
    <row r="78" spans="1:14" ht="15" customHeight="1">
      <c r="A78" s="24"/>
      <c r="B78" s="25" t="s">
        <v>261</v>
      </c>
      <c r="C78" s="26" t="s">
        <v>32</v>
      </c>
      <c r="D78" s="29">
        <v>2</v>
      </c>
      <c r="E78" s="23" t="s">
        <v>24</v>
      </c>
      <c r="F78" s="27">
        <f>H78+J78+L78</f>
        <v>262580</v>
      </c>
      <c r="G78" s="28">
        <f>I78+K78+M78</f>
        <v>525160</v>
      </c>
      <c r="H78" s="27">
        <v>0</v>
      </c>
      <c r="I78" s="28"/>
      <c r="J78" s="27">
        <f>노임!$D$10</f>
        <v>262580</v>
      </c>
      <c r="K78" s="28">
        <f>TRUNC(J78*D78,1)</f>
        <v>525160</v>
      </c>
      <c r="L78" s="27">
        <v>0</v>
      </c>
      <c r="M78" s="28"/>
      <c r="N78" s="32" t="s">
        <v>0</v>
      </c>
    </row>
    <row r="79" spans="1:14" ht="15" customHeight="1">
      <c r="A79" s="24"/>
      <c r="B79" s="25" t="s">
        <v>262</v>
      </c>
      <c r="C79" s="26" t="s">
        <v>0</v>
      </c>
      <c r="D79" s="29">
        <v>1</v>
      </c>
      <c r="E79" s="23" t="s">
        <v>24</v>
      </c>
      <c r="F79" s="27">
        <f>H79+J79+L79</f>
        <v>172068</v>
      </c>
      <c r="G79" s="28">
        <f>I79+K79+M79</f>
        <v>172068</v>
      </c>
      <c r="H79" s="27">
        <v>0</v>
      </c>
      <c r="I79" s="28"/>
      <c r="J79" s="27">
        <f>노임!$D$3</f>
        <v>172068</v>
      </c>
      <c r="K79" s="28">
        <f>TRUNC(J79*D79,1)</f>
        <v>172068</v>
      </c>
      <c r="L79" s="27">
        <v>0</v>
      </c>
      <c r="M79" s="28"/>
      <c r="N79" s="32" t="s">
        <v>0</v>
      </c>
    </row>
    <row r="80" spans="1:14" ht="15" customHeight="1">
      <c r="A80" s="24"/>
      <c r="B80" s="25" t="s">
        <v>263</v>
      </c>
      <c r="C80" s="26" t="s">
        <v>172</v>
      </c>
      <c r="D80" s="29">
        <v>8</v>
      </c>
      <c r="E80" s="23" t="s">
        <v>254</v>
      </c>
      <c r="F80" s="27" t="e">
        <f>H80+J80+L80</f>
        <v>#REF!</v>
      </c>
      <c r="G80" s="28" t="e">
        <f>I80+K80+M80</f>
        <v>#REF!</v>
      </c>
      <c r="H80" s="27" t="e">
        <f>#REF!</f>
        <v>#REF!</v>
      </c>
      <c r="I80" s="28" t="e">
        <f>TRUNC(H80*D80,1)</f>
        <v>#REF!</v>
      </c>
      <c r="J80" s="27" t="e">
        <f>#REF!</f>
        <v>#REF!</v>
      </c>
      <c r="K80" s="28" t="e">
        <f>TRUNC(J80*D80,1)</f>
        <v>#REF!</v>
      </c>
      <c r="L80" s="27" t="e">
        <f>#REF!</f>
        <v>#REF!</v>
      </c>
      <c r="M80" s="28" t="e">
        <f>TRUNC(L80*D80,1)</f>
        <v>#REF!</v>
      </c>
      <c r="N80" s="32" t="s">
        <v>0</v>
      </c>
    </row>
    <row r="81" spans="1:14" ht="15" customHeight="1">
      <c r="A81" s="24"/>
      <c r="B81" s="25" t="s">
        <v>376</v>
      </c>
      <c r="C81" s="78">
        <v>8</v>
      </c>
      <c r="D81" s="29">
        <f>ROUND(1/C81,4)</f>
        <v>0.125</v>
      </c>
      <c r="E81" s="23" t="s">
        <v>375</v>
      </c>
      <c r="F81" s="27"/>
      <c r="G81" s="28" t="e">
        <f>I81+K81+M81</f>
        <v>#REF!</v>
      </c>
      <c r="H81" s="27"/>
      <c r="I81" s="28" t="e">
        <f>TRUNC(SUM(I78:I80)*$D81,1)</f>
        <v>#REF!</v>
      </c>
      <c r="J81" s="27"/>
      <c r="K81" s="28" t="e">
        <f>TRUNC(SUM(K78:K80)*$D81,1)</f>
        <v>#REF!</v>
      </c>
      <c r="L81" s="27"/>
      <c r="M81" s="28" t="e">
        <f>TRUNC(SUM(M78:M80)*$D81,1)</f>
        <v>#REF!</v>
      </c>
      <c r="N81" s="32"/>
    </row>
    <row r="82" spans="1:14" ht="15" customHeight="1">
      <c r="A82" s="30"/>
      <c r="B82" s="31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32"/>
    </row>
    <row r="83" spans="1:14" ht="15" customHeight="1">
      <c r="A83" s="45">
        <f>A77+1</f>
        <v>14</v>
      </c>
      <c r="B83" s="41" t="s">
        <v>252</v>
      </c>
      <c r="C83" s="42" t="s">
        <v>184</v>
      </c>
      <c r="D83" s="42">
        <v>1</v>
      </c>
      <c r="E83" s="43" t="s">
        <v>253</v>
      </c>
      <c r="F83" s="73"/>
      <c r="G83" s="44" t="e">
        <f>I83+K83+M83</f>
        <v>#REF!</v>
      </c>
      <c r="H83" s="73"/>
      <c r="I83" s="44" t="e">
        <f>I87</f>
        <v>#REF!</v>
      </c>
      <c r="J83" s="73"/>
      <c r="K83" s="44" t="e">
        <f>K87</f>
        <v>#REF!</v>
      </c>
      <c r="L83" s="73"/>
      <c r="M83" s="44" t="e">
        <f>M87</f>
        <v>#REF!</v>
      </c>
      <c r="N83" s="62" t="str">
        <f>N77</f>
        <v>토목6-3-1</v>
      </c>
    </row>
    <row r="84" spans="1:14" ht="15" customHeight="1">
      <c r="A84" s="24"/>
      <c r="B84" s="25" t="s">
        <v>261</v>
      </c>
      <c r="C84" s="26" t="s">
        <v>32</v>
      </c>
      <c r="D84" s="29">
        <v>2</v>
      </c>
      <c r="E84" s="23" t="s">
        <v>24</v>
      </c>
      <c r="F84" s="27">
        <f>H84+J84+L84</f>
        <v>262580</v>
      </c>
      <c r="G84" s="28">
        <f>I84+K84+M84</f>
        <v>525160</v>
      </c>
      <c r="H84" s="27">
        <v>0</v>
      </c>
      <c r="I84" s="28"/>
      <c r="J84" s="27">
        <f>노임!$D$10</f>
        <v>262580</v>
      </c>
      <c r="K84" s="28">
        <f>TRUNC(J84*D84,1)</f>
        <v>525160</v>
      </c>
      <c r="L84" s="27">
        <v>0</v>
      </c>
      <c r="M84" s="28"/>
      <c r="N84" s="32" t="s">
        <v>0</v>
      </c>
    </row>
    <row r="85" spans="1:14" ht="15" customHeight="1">
      <c r="A85" s="24"/>
      <c r="B85" s="25" t="s">
        <v>262</v>
      </c>
      <c r="C85" s="26" t="s">
        <v>0</v>
      </c>
      <c r="D85" s="29">
        <v>1</v>
      </c>
      <c r="E85" s="23" t="s">
        <v>24</v>
      </c>
      <c r="F85" s="27">
        <f>H85+J85+L85</f>
        <v>172068</v>
      </c>
      <c r="G85" s="28">
        <f>I85+K85+M85</f>
        <v>172068</v>
      </c>
      <c r="H85" s="27">
        <v>0</v>
      </c>
      <c r="I85" s="28"/>
      <c r="J85" s="27">
        <f>노임!$D$3</f>
        <v>172068</v>
      </c>
      <c r="K85" s="28">
        <f>TRUNC(J85*D85,1)</f>
        <v>172068</v>
      </c>
      <c r="L85" s="27">
        <v>0</v>
      </c>
      <c r="M85" s="28"/>
      <c r="N85" s="32" t="s">
        <v>0</v>
      </c>
    </row>
    <row r="86" spans="1:14" ht="15" customHeight="1">
      <c r="A86" s="24"/>
      <c r="B86" s="25" t="s">
        <v>263</v>
      </c>
      <c r="C86" s="26" t="s">
        <v>172</v>
      </c>
      <c r="D86" s="29">
        <v>8</v>
      </c>
      <c r="E86" s="23" t="s">
        <v>254</v>
      </c>
      <c r="F86" s="27" t="e">
        <f>H86+J86+L86</f>
        <v>#REF!</v>
      </c>
      <c r="G86" s="28" t="e">
        <f>I86+K86+M86</f>
        <v>#REF!</v>
      </c>
      <c r="H86" s="27" t="e">
        <f>#REF!</f>
        <v>#REF!</v>
      </c>
      <c r="I86" s="28" t="e">
        <f>TRUNC(H86*D86,1)</f>
        <v>#REF!</v>
      </c>
      <c r="J86" s="27" t="e">
        <f>#REF!</f>
        <v>#REF!</v>
      </c>
      <c r="K86" s="28" t="e">
        <f>TRUNC(J86*D86,1)</f>
        <v>#REF!</v>
      </c>
      <c r="L86" s="27" t="e">
        <f>#REF!</f>
        <v>#REF!</v>
      </c>
      <c r="M86" s="28" t="e">
        <f>TRUNC(L86*D86,1)</f>
        <v>#REF!</v>
      </c>
      <c r="N86" s="32" t="s">
        <v>0</v>
      </c>
    </row>
    <row r="87" spans="1:14" ht="15" customHeight="1">
      <c r="A87" s="24"/>
      <c r="B87" s="25" t="s">
        <v>376</v>
      </c>
      <c r="C87" s="78">
        <v>7</v>
      </c>
      <c r="D87" s="29">
        <f>ROUND(1/C87,4)</f>
        <v>0.1429</v>
      </c>
      <c r="E87" s="23" t="s">
        <v>375</v>
      </c>
      <c r="F87" s="27"/>
      <c r="G87" s="28" t="e">
        <f>I87+K87+M87</f>
        <v>#REF!</v>
      </c>
      <c r="H87" s="27"/>
      <c r="I87" s="28" t="e">
        <f>TRUNC(SUM(I84:I86)*$D87,1)</f>
        <v>#REF!</v>
      </c>
      <c r="J87" s="27"/>
      <c r="K87" s="28" t="e">
        <f>TRUNC(SUM(K84:K86)*$D87,1)</f>
        <v>#REF!</v>
      </c>
      <c r="L87" s="27"/>
      <c r="M87" s="28" t="e">
        <f>TRUNC(SUM(M84:M86)*$D87,1)</f>
        <v>#REF!</v>
      </c>
      <c r="N87" s="32"/>
    </row>
    <row r="88" spans="1:14" ht="15" customHeight="1">
      <c r="A88" s="30"/>
      <c r="B88" s="31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32"/>
    </row>
    <row r="89" spans="1:14" ht="15" customHeight="1">
      <c r="A89" s="45">
        <f>A83+1</f>
        <v>15</v>
      </c>
      <c r="B89" s="41" t="s">
        <v>251</v>
      </c>
      <c r="C89" s="42" t="s">
        <v>186</v>
      </c>
      <c r="D89" s="42">
        <v>1</v>
      </c>
      <c r="E89" s="43" t="s">
        <v>253</v>
      </c>
      <c r="F89" s="73"/>
      <c r="G89" s="44" t="e">
        <f>I89+K89+M89</f>
        <v>#REF!</v>
      </c>
      <c r="H89" s="73"/>
      <c r="I89" s="44" t="e">
        <f>I93</f>
        <v>#REF!</v>
      </c>
      <c r="J89" s="73"/>
      <c r="K89" s="44" t="e">
        <f>K93</f>
        <v>#REF!</v>
      </c>
      <c r="L89" s="73"/>
      <c r="M89" s="44" t="e">
        <f>M93</f>
        <v>#REF!</v>
      </c>
      <c r="N89" s="62" t="str">
        <f>N83</f>
        <v>토목6-3-1</v>
      </c>
    </row>
    <row r="90" spans="1:14" ht="15" customHeight="1">
      <c r="A90" s="24"/>
      <c r="B90" s="25" t="s">
        <v>261</v>
      </c>
      <c r="C90" s="26" t="s">
        <v>32</v>
      </c>
      <c r="D90" s="29">
        <v>2</v>
      </c>
      <c r="E90" s="23" t="s">
        <v>24</v>
      </c>
      <c r="F90" s="27">
        <f>H90+J90+L90</f>
        <v>262580</v>
      </c>
      <c r="G90" s="28">
        <f>I90+K90+M90</f>
        <v>525160</v>
      </c>
      <c r="H90" s="27">
        <v>0</v>
      </c>
      <c r="I90" s="28"/>
      <c r="J90" s="27">
        <f>노임!$D$10</f>
        <v>262580</v>
      </c>
      <c r="K90" s="28">
        <f>TRUNC(J90*D90,1)</f>
        <v>525160</v>
      </c>
      <c r="L90" s="27">
        <v>0</v>
      </c>
      <c r="M90" s="28"/>
      <c r="N90" s="32" t="s">
        <v>0</v>
      </c>
    </row>
    <row r="91" spans="1:14" ht="15" customHeight="1">
      <c r="A91" s="24"/>
      <c r="B91" s="25" t="s">
        <v>262</v>
      </c>
      <c r="C91" s="26" t="s">
        <v>0</v>
      </c>
      <c r="D91" s="29">
        <v>1</v>
      </c>
      <c r="E91" s="23" t="s">
        <v>24</v>
      </c>
      <c r="F91" s="27">
        <f>H91+J91+L91</f>
        <v>172068</v>
      </c>
      <c r="G91" s="28">
        <f>I91+K91+M91</f>
        <v>172068</v>
      </c>
      <c r="H91" s="27">
        <v>0</v>
      </c>
      <c r="I91" s="28"/>
      <c r="J91" s="27">
        <f>노임!$D$3</f>
        <v>172068</v>
      </c>
      <c r="K91" s="28">
        <f>TRUNC(J91*D91,1)</f>
        <v>172068</v>
      </c>
      <c r="L91" s="27">
        <v>0</v>
      </c>
      <c r="M91" s="28"/>
      <c r="N91" s="32" t="s">
        <v>0</v>
      </c>
    </row>
    <row r="92" spans="1:14" ht="15" customHeight="1">
      <c r="A92" s="24"/>
      <c r="B92" s="25" t="s">
        <v>263</v>
      </c>
      <c r="C92" s="26" t="s">
        <v>172</v>
      </c>
      <c r="D92" s="29">
        <v>8</v>
      </c>
      <c r="E92" s="23" t="s">
        <v>254</v>
      </c>
      <c r="F92" s="27" t="e">
        <f>H92+J92+L92</f>
        <v>#REF!</v>
      </c>
      <c r="G92" s="28" t="e">
        <f>I92+K92+M92</f>
        <v>#REF!</v>
      </c>
      <c r="H92" s="27" t="e">
        <f>#REF!</f>
        <v>#REF!</v>
      </c>
      <c r="I92" s="28" t="e">
        <f>TRUNC(H92*D92,1)</f>
        <v>#REF!</v>
      </c>
      <c r="J92" s="27" t="e">
        <f>#REF!</f>
        <v>#REF!</v>
      </c>
      <c r="K92" s="28" t="e">
        <f>TRUNC(J92*D92,1)</f>
        <v>#REF!</v>
      </c>
      <c r="L92" s="27" t="e">
        <f>#REF!</f>
        <v>#REF!</v>
      </c>
      <c r="M92" s="28" t="e">
        <f>TRUNC(L92*D92,1)</f>
        <v>#REF!</v>
      </c>
      <c r="N92" s="32" t="s">
        <v>0</v>
      </c>
    </row>
    <row r="93" spans="1:14" ht="15" customHeight="1">
      <c r="A93" s="24"/>
      <c r="B93" s="25" t="s">
        <v>376</v>
      </c>
      <c r="C93" s="78">
        <v>6</v>
      </c>
      <c r="D93" s="29">
        <f>ROUND(1/C93,4)</f>
        <v>0.16669999999999999</v>
      </c>
      <c r="E93" s="23" t="s">
        <v>375</v>
      </c>
      <c r="F93" s="27"/>
      <c r="G93" s="28" t="e">
        <f>I93+K93+M93</f>
        <v>#REF!</v>
      </c>
      <c r="H93" s="27"/>
      <c r="I93" s="28" t="e">
        <f>TRUNC(SUM(I90:I92)*$D93,1)</f>
        <v>#REF!</v>
      </c>
      <c r="J93" s="27"/>
      <c r="K93" s="28" t="e">
        <f>TRUNC(SUM(K90:K92)*$D93,1)</f>
        <v>#REF!</v>
      </c>
      <c r="L93" s="27"/>
      <c r="M93" s="28" t="e">
        <f>TRUNC(SUM(M90:M92)*$D93,1)</f>
        <v>#REF!</v>
      </c>
      <c r="N93" s="32"/>
    </row>
    <row r="94" spans="1:14" ht="15" customHeight="1">
      <c r="A94" s="30"/>
      <c r="B94" s="31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32"/>
    </row>
    <row r="95" spans="1:14" ht="15" customHeight="1">
      <c r="A95" s="45">
        <f>A89+1</f>
        <v>16</v>
      </c>
      <c r="B95" s="41" t="s">
        <v>251</v>
      </c>
      <c r="C95" s="42" t="s">
        <v>187</v>
      </c>
      <c r="D95" s="42">
        <v>1</v>
      </c>
      <c r="E95" s="43" t="s">
        <v>253</v>
      </c>
      <c r="F95" s="73"/>
      <c r="G95" s="44" t="e">
        <f>I95+K95+M95</f>
        <v>#REF!</v>
      </c>
      <c r="H95" s="73"/>
      <c r="I95" s="44" t="e">
        <f>I99</f>
        <v>#REF!</v>
      </c>
      <c r="J95" s="73"/>
      <c r="K95" s="44" t="e">
        <f>K99</f>
        <v>#REF!</v>
      </c>
      <c r="L95" s="73"/>
      <c r="M95" s="44" t="e">
        <f>M99</f>
        <v>#REF!</v>
      </c>
      <c r="N95" s="62" t="str">
        <f>N89</f>
        <v>토목6-3-1</v>
      </c>
    </row>
    <row r="96" spans="1:14" ht="15" customHeight="1">
      <c r="A96" s="24"/>
      <c r="B96" s="25" t="s">
        <v>261</v>
      </c>
      <c r="C96" s="26" t="s">
        <v>32</v>
      </c>
      <c r="D96" s="29">
        <v>2</v>
      </c>
      <c r="E96" s="23" t="s">
        <v>24</v>
      </c>
      <c r="F96" s="27">
        <f>H96+J96+L96</f>
        <v>262580</v>
      </c>
      <c r="G96" s="28">
        <f>I96+K96+M96</f>
        <v>525160</v>
      </c>
      <c r="H96" s="27">
        <v>0</v>
      </c>
      <c r="I96" s="28"/>
      <c r="J96" s="27">
        <f>노임!$D$10</f>
        <v>262580</v>
      </c>
      <c r="K96" s="28">
        <f>TRUNC(J96*D96,1)</f>
        <v>525160</v>
      </c>
      <c r="L96" s="27">
        <v>0</v>
      </c>
      <c r="M96" s="28"/>
      <c r="N96" s="32" t="s">
        <v>0</v>
      </c>
    </row>
    <row r="97" spans="1:14" ht="15" customHeight="1">
      <c r="A97" s="24"/>
      <c r="B97" s="25" t="s">
        <v>262</v>
      </c>
      <c r="C97" s="26" t="s">
        <v>0</v>
      </c>
      <c r="D97" s="29">
        <v>1</v>
      </c>
      <c r="E97" s="23" t="s">
        <v>24</v>
      </c>
      <c r="F97" s="27">
        <f>H97+J97+L97</f>
        <v>172068</v>
      </c>
      <c r="G97" s="28">
        <f>I97+K97+M97</f>
        <v>172068</v>
      </c>
      <c r="H97" s="27">
        <v>0</v>
      </c>
      <c r="I97" s="28"/>
      <c r="J97" s="27">
        <f>노임!$D$3</f>
        <v>172068</v>
      </c>
      <c r="K97" s="28">
        <f>TRUNC(J97*D97,1)</f>
        <v>172068</v>
      </c>
      <c r="L97" s="27">
        <v>0</v>
      </c>
      <c r="M97" s="28"/>
      <c r="N97" s="32" t="s">
        <v>0</v>
      </c>
    </row>
    <row r="98" spans="1:14" ht="15" customHeight="1">
      <c r="A98" s="24"/>
      <c r="B98" s="25" t="s">
        <v>263</v>
      </c>
      <c r="C98" s="26" t="s">
        <v>172</v>
      </c>
      <c r="D98" s="29">
        <v>8</v>
      </c>
      <c r="E98" s="23" t="s">
        <v>254</v>
      </c>
      <c r="F98" s="27" t="e">
        <f>H98+J98+L98</f>
        <v>#REF!</v>
      </c>
      <c r="G98" s="28" t="e">
        <f>I98+K98+M98</f>
        <v>#REF!</v>
      </c>
      <c r="H98" s="27" t="e">
        <f>#REF!</f>
        <v>#REF!</v>
      </c>
      <c r="I98" s="28" t="e">
        <f>TRUNC(H98*D98,1)</f>
        <v>#REF!</v>
      </c>
      <c r="J98" s="27" t="e">
        <f>#REF!</f>
        <v>#REF!</v>
      </c>
      <c r="K98" s="28" t="e">
        <f>TRUNC(J98*D98,1)</f>
        <v>#REF!</v>
      </c>
      <c r="L98" s="27" t="e">
        <f>#REF!</f>
        <v>#REF!</v>
      </c>
      <c r="M98" s="28" t="e">
        <f>TRUNC(L98*D98,1)</f>
        <v>#REF!</v>
      </c>
      <c r="N98" s="32" t="s">
        <v>0</v>
      </c>
    </row>
    <row r="99" spans="1:14" ht="15" customHeight="1">
      <c r="A99" s="24"/>
      <c r="B99" s="25" t="s">
        <v>376</v>
      </c>
      <c r="C99" s="78">
        <v>5</v>
      </c>
      <c r="D99" s="29">
        <f>ROUND(1/C99,4)</f>
        <v>0.2</v>
      </c>
      <c r="E99" s="23" t="s">
        <v>375</v>
      </c>
      <c r="F99" s="27"/>
      <c r="G99" s="28" t="e">
        <f>I99+K99+M99</f>
        <v>#REF!</v>
      </c>
      <c r="H99" s="27"/>
      <c r="I99" s="28" t="e">
        <f>TRUNC(SUM(I96:I98)*$D99,1)</f>
        <v>#REF!</v>
      </c>
      <c r="J99" s="27"/>
      <c r="K99" s="28" t="e">
        <f>TRUNC(SUM(K96:K98)*$D99,1)</f>
        <v>#REF!</v>
      </c>
      <c r="L99" s="27"/>
      <c r="M99" s="28" t="e">
        <f>TRUNC(SUM(M96:M98)*$D99,1)</f>
        <v>#REF!</v>
      </c>
      <c r="N99" s="32"/>
    </row>
    <row r="100" spans="1:14" ht="15" customHeight="1">
      <c r="A100" s="30"/>
      <c r="B100" s="31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32"/>
    </row>
    <row r="101" spans="1:14" ht="15" customHeight="1">
      <c r="A101" s="45">
        <f>A95+1</f>
        <v>17</v>
      </c>
      <c r="B101" s="41" t="s">
        <v>252</v>
      </c>
      <c r="C101" s="42" t="s">
        <v>188</v>
      </c>
      <c r="D101" s="42">
        <v>1</v>
      </c>
      <c r="E101" s="43" t="s">
        <v>253</v>
      </c>
      <c r="F101" s="73"/>
      <c r="G101" s="44" t="e">
        <f>I101+K101+M101</f>
        <v>#REF!</v>
      </c>
      <c r="H101" s="73"/>
      <c r="I101" s="44" t="e">
        <f>I105</f>
        <v>#REF!</v>
      </c>
      <c r="J101" s="73"/>
      <c r="K101" s="44" t="e">
        <f>K105</f>
        <v>#REF!</v>
      </c>
      <c r="L101" s="73"/>
      <c r="M101" s="44" t="e">
        <f>M105</f>
        <v>#REF!</v>
      </c>
      <c r="N101" s="62" t="str">
        <f>N95</f>
        <v>토목6-3-1</v>
      </c>
    </row>
    <row r="102" spans="1:14" ht="15" customHeight="1">
      <c r="A102" s="24"/>
      <c r="B102" s="25" t="s">
        <v>261</v>
      </c>
      <c r="C102" s="26" t="s">
        <v>32</v>
      </c>
      <c r="D102" s="29">
        <v>3</v>
      </c>
      <c r="E102" s="23" t="s">
        <v>24</v>
      </c>
      <c r="F102" s="27">
        <f>H102+J102+L102</f>
        <v>262580</v>
      </c>
      <c r="G102" s="28">
        <f>I102+K102+M102</f>
        <v>787740</v>
      </c>
      <c r="H102" s="27">
        <v>0</v>
      </c>
      <c r="I102" s="28"/>
      <c r="J102" s="27">
        <f>노임!$D$10</f>
        <v>262580</v>
      </c>
      <c r="K102" s="28">
        <f>TRUNC(J102*D102,1)</f>
        <v>787740</v>
      </c>
      <c r="L102" s="27">
        <v>0</v>
      </c>
      <c r="M102" s="28"/>
      <c r="N102" s="32" t="s">
        <v>0</v>
      </c>
    </row>
    <row r="103" spans="1:14" ht="15" customHeight="1">
      <c r="A103" s="24"/>
      <c r="B103" s="25" t="s">
        <v>262</v>
      </c>
      <c r="C103" s="26" t="s">
        <v>0</v>
      </c>
      <c r="D103" s="29">
        <v>1</v>
      </c>
      <c r="E103" s="23" t="s">
        <v>24</v>
      </c>
      <c r="F103" s="27">
        <f>H103+J103+L103</f>
        <v>172068</v>
      </c>
      <c r="G103" s="28">
        <f>I103+K103+M103</f>
        <v>172068</v>
      </c>
      <c r="H103" s="27">
        <v>0</v>
      </c>
      <c r="I103" s="28"/>
      <c r="J103" s="27">
        <f>노임!$D$3</f>
        <v>172068</v>
      </c>
      <c r="K103" s="28">
        <f>TRUNC(J103*D103,1)</f>
        <v>172068</v>
      </c>
      <c r="L103" s="27">
        <v>0</v>
      </c>
      <c r="M103" s="28"/>
      <c r="N103" s="32" t="s">
        <v>0</v>
      </c>
    </row>
    <row r="104" spans="1:14" ht="15" customHeight="1">
      <c r="A104" s="24"/>
      <c r="B104" s="25" t="s">
        <v>263</v>
      </c>
      <c r="C104" s="26" t="s">
        <v>172</v>
      </c>
      <c r="D104" s="29">
        <v>8</v>
      </c>
      <c r="E104" s="23" t="s">
        <v>254</v>
      </c>
      <c r="F104" s="27" t="e">
        <f>H104+J104+L104</f>
        <v>#REF!</v>
      </c>
      <c r="G104" s="28" t="e">
        <f>I104+K104+M104</f>
        <v>#REF!</v>
      </c>
      <c r="H104" s="27" t="e">
        <f>#REF!</f>
        <v>#REF!</v>
      </c>
      <c r="I104" s="28" t="e">
        <f>TRUNC(H104*D104,1)</f>
        <v>#REF!</v>
      </c>
      <c r="J104" s="27" t="e">
        <f>#REF!</f>
        <v>#REF!</v>
      </c>
      <c r="K104" s="28" t="e">
        <f>TRUNC(J104*D104,1)</f>
        <v>#REF!</v>
      </c>
      <c r="L104" s="27" t="e">
        <f>#REF!</f>
        <v>#REF!</v>
      </c>
      <c r="M104" s="28" t="e">
        <f>TRUNC(L104*D104,1)</f>
        <v>#REF!</v>
      </c>
      <c r="N104" s="32" t="s">
        <v>0</v>
      </c>
    </row>
    <row r="105" spans="1:14" ht="15" customHeight="1">
      <c r="A105" s="24"/>
      <c r="B105" s="25" t="s">
        <v>376</v>
      </c>
      <c r="C105" s="78">
        <v>5.5</v>
      </c>
      <c r="D105" s="29">
        <f>ROUND(1/C105,4)</f>
        <v>0.18179999999999999</v>
      </c>
      <c r="E105" s="23" t="s">
        <v>375</v>
      </c>
      <c r="F105" s="27"/>
      <c r="G105" s="28" t="e">
        <f>I105+K105+M105</f>
        <v>#REF!</v>
      </c>
      <c r="H105" s="27"/>
      <c r="I105" s="28" t="e">
        <f>TRUNC(SUM(I102:I104)*$D105,1)</f>
        <v>#REF!</v>
      </c>
      <c r="J105" s="27"/>
      <c r="K105" s="28" t="e">
        <f>TRUNC(SUM(K102:K104)*$D105,1)</f>
        <v>#REF!</v>
      </c>
      <c r="L105" s="27"/>
      <c r="M105" s="28" t="e">
        <f>TRUNC(SUM(M102:M104)*$D105,1)</f>
        <v>#REF!</v>
      </c>
      <c r="N105" s="32"/>
    </row>
    <row r="106" spans="1:14" ht="15" customHeight="1">
      <c r="A106" s="30"/>
      <c r="B106" s="31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32"/>
    </row>
    <row r="107" spans="1:14" ht="15" customHeight="1">
      <c r="A107" s="45">
        <f>A101+1</f>
        <v>18</v>
      </c>
      <c r="B107" s="41" t="s">
        <v>252</v>
      </c>
      <c r="C107" s="42" t="s">
        <v>171</v>
      </c>
      <c r="D107" s="42">
        <v>1</v>
      </c>
      <c r="E107" s="43" t="s">
        <v>253</v>
      </c>
      <c r="F107" s="73"/>
      <c r="G107" s="44" t="e">
        <f>I107+K107+M107</f>
        <v>#REF!</v>
      </c>
      <c r="H107" s="73"/>
      <c r="I107" s="44" t="e">
        <f>I111</f>
        <v>#REF!</v>
      </c>
      <c r="J107" s="73"/>
      <c r="K107" s="44" t="e">
        <f>K111</f>
        <v>#REF!</v>
      </c>
      <c r="L107" s="73"/>
      <c r="M107" s="44" t="e">
        <f>M111</f>
        <v>#REF!</v>
      </c>
      <c r="N107" s="62" t="str">
        <f>N101</f>
        <v>토목6-3-1</v>
      </c>
    </row>
    <row r="108" spans="1:14" ht="15" customHeight="1">
      <c r="A108" s="24"/>
      <c r="B108" s="25" t="s">
        <v>261</v>
      </c>
      <c r="C108" s="26" t="s">
        <v>32</v>
      </c>
      <c r="D108" s="29">
        <v>3</v>
      </c>
      <c r="E108" s="23" t="s">
        <v>24</v>
      </c>
      <c r="F108" s="27">
        <f>H108+J108+L108</f>
        <v>262580</v>
      </c>
      <c r="G108" s="28">
        <f>I108+K108+M108</f>
        <v>787740</v>
      </c>
      <c r="H108" s="27">
        <v>0</v>
      </c>
      <c r="I108" s="28"/>
      <c r="J108" s="27">
        <f>노임!$D$10</f>
        <v>262580</v>
      </c>
      <c r="K108" s="28">
        <f>TRUNC(J108*D108,1)</f>
        <v>787740</v>
      </c>
      <c r="L108" s="27">
        <v>0</v>
      </c>
      <c r="M108" s="28"/>
      <c r="N108" s="32" t="s">
        <v>0</v>
      </c>
    </row>
    <row r="109" spans="1:14" ht="15" customHeight="1">
      <c r="A109" s="24"/>
      <c r="B109" s="25" t="s">
        <v>262</v>
      </c>
      <c r="C109" s="26" t="s">
        <v>0</v>
      </c>
      <c r="D109" s="29">
        <v>1</v>
      </c>
      <c r="E109" s="23" t="s">
        <v>24</v>
      </c>
      <c r="F109" s="27">
        <f>H109+J109+L109</f>
        <v>172068</v>
      </c>
      <c r="G109" s="28">
        <f>I109+K109+M109</f>
        <v>172068</v>
      </c>
      <c r="H109" s="27">
        <v>0</v>
      </c>
      <c r="I109" s="28"/>
      <c r="J109" s="27">
        <f>노임!$D$3</f>
        <v>172068</v>
      </c>
      <c r="K109" s="28">
        <f>TRUNC(J109*D109,1)</f>
        <v>172068</v>
      </c>
      <c r="L109" s="27">
        <v>0</v>
      </c>
      <c r="M109" s="28"/>
      <c r="N109" s="32" t="s">
        <v>0</v>
      </c>
    </row>
    <row r="110" spans="1:14" ht="15" customHeight="1">
      <c r="A110" s="24"/>
      <c r="B110" s="25" t="s">
        <v>263</v>
      </c>
      <c r="C110" s="26" t="s">
        <v>172</v>
      </c>
      <c r="D110" s="29">
        <v>8</v>
      </c>
      <c r="E110" s="23" t="s">
        <v>254</v>
      </c>
      <c r="F110" s="27" t="e">
        <f>H110+J110+L110</f>
        <v>#REF!</v>
      </c>
      <c r="G110" s="28" t="e">
        <f>I110+K110+M110</f>
        <v>#REF!</v>
      </c>
      <c r="H110" s="27" t="e">
        <f>#REF!</f>
        <v>#REF!</v>
      </c>
      <c r="I110" s="28" t="e">
        <f>TRUNC(H110*D110,1)</f>
        <v>#REF!</v>
      </c>
      <c r="J110" s="27" t="e">
        <f>#REF!</f>
        <v>#REF!</v>
      </c>
      <c r="K110" s="28" t="e">
        <f>TRUNC(J110*D110,1)</f>
        <v>#REF!</v>
      </c>
      <c r="L110" s="27" t="e">
        <f>#REF!</f>
        <v>#REF!</v>
      </c>
      <c r="M110" s="28" t="e">
        <f>TRUNC(L110*D110,1)</f>
        <v>#REF!</v>
      </c>
      <c r="N110" s="32" t="s">
        <v>0</v>
      </c>
    </row>
    <row r="111" spans="1:14" ht="15" customHeight="1">
      <c r="A111" s="24"/>
      <c r="B111" s="25" t="s">
        <v>376</v>
      </c>
      <c r="C111" s="78">
        <v>4.5</v>
      </c>
      <c r="D111" s="29">
        <f>ROUND(1/C111,4)</f>
        <v>0.22220000000000001</v>
      </c>
      <c r="E111" s="23" t="s">
        <v>375</v>
      </c>
      <c r="F111" s="27"/>
      <c r="G111" s="28" t="e">
        <f>I111+K111+M111</f>
        <v>#REF!</v>
      </c>
      <c r="H111" s="27"/>
      <c r="I111" s="28" t="e">
        <f>TRUNC(SUM(I108:I110)*$D111,1)</f>
        <v>#REF!</v>
      </c>
      <c r="J111" s="27"/>
      <c r="K111" s="28" t="e">
        <f>TRUNC(SUM(K108:K110)*$D111,1)</f>
        <v>#REF!</v>
      </c>
      <c r="L111" s="27"/>
      <c r="M111" s="28" t="e">
        <f>TRUNC(SUM(M108:M110)*$D111,1)</f>
        <v>#REF!</v>
      </c>
      <c r="N111" s="32"/>
    </row>
    <row r="112" spans="1:14" ht="15" customHeight="1">
      <c r="A112" s="30"/>
      <c r="B112" s="31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32"/>
    </row>
    <row r="113" spans="1:14" ht="15" customHeight="1">
      <c r="A113" s="45">
        <f>A107+1</f>
        <v>19</v>
      </c>
      <c r="B113" s="41" t="s">
        <v>251</v>
      </c>
      <c r="C113" s="42" t="s">
        <v>189</v>
      </c>
      <c r="D113" s="42">
        <v>1</v>
      </c>
      <c r="E113" s="43" t="s">
        <v>253</v>
      </c>
      <c r="F113" s="73"/>
      <c r="G113" s="44" t="e">
        <f>I113+K113+M113</f>
        <v>#REF!</v>
      </c>
      <c r="H113" s="73"/>
      <c r="I113" s="44" t="e">
        <f>I117</f>
        <v>#REF!</v>
      </c>
      <c r="J113" s="73"/>
      <c r="K113" s="44" t="e">
        <f>K117</f>
        <v>#REF!</v>
      </c>
      <c r="L113" s="73"/>
      <c r="M113" s="44" t="e">
        <f>M117</f>
        <v>#REF!</v>
      </c>
      <c r="N113" s="62" t="str">
        <f>N107</f>
        <v>토목6-3-1</v>
      </c>
    </row>
    <row r="114" spans="1:14" ht="15" customHeight="1">
      <c r="A114" s="24"/>
      <c r="B114" s="25" t="s">
        <v>261</v>
      </c>
      <c r="C114" s="26" t="s">
        <v>32</v>
      </c>
      <c r="D114" s="29">
        <v>3</v>
      </c>
      <c r="E114" s="23" t="s">
        <v>24</v>
      </c>
      <c r="F114" s="27">
        <f>H114+J114+L114</f>
        <v>262580</v>
      </c>
      <c r="G114" s="28">
        <f>I114+K114+M114</f>
        <v>787740</v>
      </c>
      <c r="H114" s="27">
        <v>0</v>
      </c>
      <c r="I114" s="28"/>
      <c r="J114" s="27">
        <f>노임!$D$10</f>
        <v>262580</v>
      </c>
      <c r="K114" s="28">
        <f>TRUNC(J114*D114,1)</f>
        <v>787740</v>
      </c>
      <c r="L114" s="27">
        <v>0</v>
      </c>
      <c r="M114" s="28"/>
      <c r="N114" s="32" t="s">
        <v>0</v>
      </c>
    </row>
    <row r="115" spans="1:14" ht="15" customHeight="1">
      <c r="A115" s="24"/>
      <c r="B115" s="25" t="s">
        <v>262</v>
      </c>
      <c r="C115" s="26" t="s">
        <v>0</v>
      </c>
      <c r="D115" s="29">
        <v>1</v>
      </c>
      <c r="E115" s="23" t="s">
        <v>24</v>
      </c>
      <c r="F115" s="27">
        <f>H115+J115+L115</f>
        <v>172068</v>
      </c>
      <c r="G115" s="28">
        <f>I115+K115+M115</f>
        <v>172068</v>
      </c>
      <c r="H115" s="27">
        <v>0</v>
      </c>
      <c r="I115" s="28"/>
      <c r="J115" s="27">
        <f>노임!$D$3</f>
        <v>172068</v>
      </c>
      <c r="K115" s="28">
        <f>TRUNC(J115*D115,1)</f>
        <v>172068</v>
      </c>
      <c r="L115" s="27">
        <v>0</v>
      </c>
      <c r="M115" s="28"/>
      <c r="N115" s="32" t="s">
        <v>0</v>
      </c>
    </row>
    <row r="116" spans="1:14" ht="15" customHeight="1">
      <c r="A116" s="24"/>
      <c r="B116" s="25" t="s">
        <v>263</v>
      </c>
      <c r="C116" s="26" t="s">
        <v>199</v>
      </c>
      <c r="D116" s="29">
        <v>8</v>
      </c>
      <c r="E116" s="23" t="s">
        <v>254</v>
      </c>
      <c r="F116" s="27" t="e">
        <f>H116+J116+L116</f>
        <v>#REF!</v>
      </c>
      <c r="G116" s="28" t="e">
        <f>I116+K116+M116</f>
        <v>#REF!</v>
      </c>
      <c r="H116" s="27" t="e">
        <f>#REF!</f>
        <v>#REF!</v>
      </c>
      <c r="I116" s="28" t="e">
        <f>TRUNC(H116*D116,1)</f>
        <v>#REF!</v>
      </c>
      <c r="J116" s="27" t="e">
        <f>#REF!</f>
        <v>#REF!</v>
      </c>
      <c r="K116" s="28" t="e">
        <f>TRUNC(J116*D116,1)</f>
        <v>#REF!</v>
      </c>
      <c r="L116" s="27" t="e">
        <f>#REF!</f>
        <v>#REF!</v>
      </c>
      <c r="M116" s="28" t="e">
        <f>TRUNC(L116*D116,1)</f>
        <v>#REF!</v>
      </c>
      <c r="N116" s="32" t="s">
        <v>0</v>
      </c>
    </row>
    <row r="117" spans="1:14" ht="15" customHeight="1">
      <c r="A117" s="24"/>
      <c r="B117" s="25" t="s">
        <v>376</v>
      </c>
      <c r="C117" s="78">
        <v>3.5</v>
      </c>
      <c r="D117" s="29">
        <f>ROUND(1/C117,4)</f>
        <v>0.28570000000000001</v>
      </c>
      <c r="E117" s="23" t="s">
        <v>375</v>
      </c>
      <c r="F117" s="27"/>
      <c r="G117" s="28" t="e">
        <f>I117+K117+M117</f>
        <v>#REF!</v>
      </c>
      <c r="H117" s="27"/>
      <c r="I117" s="28" t="e">
        <f>TRUNC(SUM(I114:I116)*$D117,1)</f>
        <v>#REF!</v>
      </c>
      <c r="J117" s="27"/>
      <c r="K117" s="28" t="e">
        <f>TRUNC(SUM(K114:K116)*$D117,1)</f>
        <v>#REF!</v>
      </c>
      <c r="L117" s="27"/>
      <c r="M117" s="28" t="e">
        <f>TRUNC(SUM(M114:M116)*$D117,1)</f>
        <v>#REF!</v>
      </c>
      <c r="N117" s="32"/>
    </row>
    <row r="118" spans="1:14" ht="15" customHeight="1">
      <c r="A118" s="30"/>
      <c r="B118" s="31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32"/>
    </row>
    <row r="119" spans="1:14" ht="15" customHeight="1">
      <c r="A119" s="45">
        <f>A113+1</f>
        <v>20</v>
      </c>
      <c r="B119" s="41" t="s">
        <v>251</v>
      </c>
      <c r="C119" s="42" t="s">
        <v>190</v>
      </c>
      <c r="D119" s="42">
        <v>1</v>
      </c>
      <c r="E119" s="43" t="s">
        <v>253</v>
      </c>
      <c r="F119" s="73"/>
      <c r="G119" s="44" t="e">
        <f>I119+K119+M119</f>
        <v>#REF!</v>
      </c>
      <c r="H119" s="73"/>
      <c r="I119" s="44" t="e">
        <f>I123</f>
        <v>#REF!</v>
      </c>
      <c r="J119" s="73"/>
      <c r="K119" s="44" t="e">
        <f>K123</f>
        <v>#REF!</v>
      </c>
      <c r="L119" s="73"/>
      <c r="M119" s="44" t="e">
        <f>M123</f>
        <v>#REF!</v>
      </c>
      <c r="N119" s="62" t="str">
        <f>N113</f>
        <v>토목6-3-1</v>
      </c>
    </row>
    <row r="120" spans="1:14" ht="15" customHeight="1">
      <c r="A120" s="24"/>
      <c r="B120" s="25" t="s">
        <v>261</v>
      </c>
      <c r="C120" s="26" t="s">
        <v>32</v>
      </c>
      <c r="D120" s="29">
        <v>3</v>
      </c>
      <c r="E120" s="23" t="s">
        <v>24</v>
      </c>
      <c r="F120" s="27">
        <f>H120+J120+L120</f>
        <v>262580</v>
      </c>
      <c r="G120" s="28">
        <f>I120+K120+M120</f>
        <v>787740</v>
      </c>
      <c r="H120" s="27">
        <v>0</v>
      </c>
      <c r="I120" s="28"/>
      <c r="J120" s="27">
        <f>노임!$D$10</f>
        <v>262580</v>
      </c>
      <c r="K120" s="28">
        <f>TRUNC(J120*D120,1)</f>
        <v>787740</v>
      </c>
      <c r="L120" s="27">
        <v>0</v>
      </c>
      <c r="M120" s="28"/>
      <c r="N120" s="32" t="s">
        <v>0</v>
      </c>
    </row>
    <row r="121" spans="1:14" ht="15" customHeight="1">
      <c r="A121" s="24"/>
      <c r="B121" s="25" t="s">
        <v>262</v>
      </c>
      <c r="C121" s="26" t="s">
        <v>0</v>
      </c>
      <c r="D121" s="29">
        <v>1</v>
      </c>
      <c r="E121" s="23" t="s">
        <v>24</v>
      </c>
      <c r="F121" s="27">
        <f>H121+J121+L121</f>
        <v>172068</v>
      </c>
      <c r="G121" s="28">
        <f>I121+K121+M121</f>
        <v>172068</v>
      </c>
      <c r="H121" s="27">
        <v>0</v>
      </c>
      <c r="I121" s="28"/>
      <c r="J121" s="27">
        <f>노임!$D$3</f>
        <v>172068</v>
      </c>
      <c r="K121" s="28">
        <f>TRUNC(J121*D121,1)</f>
        <v>172068</v>
      </c>
      <c r="L121" s="27">
        <v>0</v>
      </c>
      <c r="M121" s="28"/>
      <c r="N121" s="32" t="s">
        <v>0</v>
      </c>
    </row>
    <row r="122" spans="1:14" ht="15" customHeight="1">
      <c r="A122" s="24"/>
      <c r="B122" s="25" t="s">
        <v>263</v>
      </c>
      <c r="C122" s="26" t="s">
        <v>199</v>
      </c>
      <c r="D122" s="29">
        <v>8</v>
      </c>
      <c r="E122" s="23" t="s">
        <v>254</v>
      </c>
      <c r="F122" s="27" t="e">
        <f>H122+J122+L122</f>
        <v>#REF!</v>
      </c>
      <c r="G122" s="28" t="e">
        <f>I122+K122+M122</f>
        <v>#REF!</v>
      </c>
      <c r="H122" s="27" t="e">
        <f>#REF!</f>
        <v>#REF!</v>
      </c>
      <c r="I122" s="28" t="e">
        <f>TRUNC(H122*D122,1)</f>
        <v>#REF!</v>
      </c>
      <c r="J122" s="27" t="e">
        <f>#REF!</f>
        <v>#REF!</v>
      </c>
      <c r="K122" s="28" t="e">
        <f>TRUNC(J122*D122,1)</f>
        <v>#REF!</v>
      </c>
      <c r="L122" s="27" t="e">
        <f>#REF!</f>
        <v>#REF!</v>
      </c>
      <c r="M122" s="28" t="e">
        <f>TRUNC(L122*D122,1)</f>
        <v>#REF!</v>
      </c>
      <c r="N122" s="32" t="s">
        <v>0</v>
      </c>
    </row>
    <row r="123" spans="1:14" ht="15" customHeight="1">
      <c r="A123" s="24"/>
      <c r="B123" s="25" t="s">
        <v>376</v>
      </c>
      <c r="C123" s="78">
        <v>3</v>
      </c>
      <c r="D123" s="29">
        <f>ROUND(1/C123,4)</f>
        <v>0.33329999999999999</v>
      </c>
      <c r="E123" s="23" t="s">
        <v>375</v>
      </c>
      <c r="F123" s="27"/>
      <c r="G123" s="28" t="e">
        <f>I123+K123+M123</f>
        <v>#REF!</v>
      </c>
      <c r="H123" s="27"/>
      <c r="I123" s="28" t="e">
        <f>TRUNC(SUM(I120:I122)*$D123,1)</f>
        <v>#REF!</v>
      </c>
      <c r="J123" s="27"/>
      <c r="K123" s="28" t="e">
        <f>TRUNC(SUM(K120:K122)*$D123,1)</f>
        <v>#REF!</v>
      </c>
      <c r="L123" s="27"/>
      <c r="M123" s="28" t="e">
        <f>TRUNC(SUM(M120:M122)*$D123,1)</f>
        <v>#REF!</v>
      </c>
      <c r="N123" s="32"/>
    </row>
    <row r="124" spans="1:14" ht="15" customHeight="1">
      <c r="A124" s="30"/>
      <c r="B124" s="31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32"/>
    </row>
    <row r="125" spans="1:14" ht="15" customHeight="1">
      <c r="A125" s="45">
        <f>A119+1</f>
        <v>21</v>
      </c>
      <c r="B125" s="41" t="s">
        <v>251</v>
      </c>
      <c r="C125" s="42" t="s">
        <v>191</v>
      </c>
      <c r="D125" s="42">
        <v>1</v>
      </c>
      <c r="E125" s="43" t="s">
        <v>253</v>
      </c>
      <c r="F125" s="73"/>
      <c r="G125" s="44" t="e">
        <f>I125+K125+M125</f>
        <v>#REF!</v>
      </c>
      <c r="H125" s="73"/>
      <c r="I125" s="44" t="e">
        <f>I129</f>
        <v>#REF!</v>
      </c>
      <c r="J125" s="73"/>
      <c r="K125" s="44" t="e">
        <f>K129</f>
        <v>#REF!</v>
      </c>
      <c r="L125" s="73"/>
      <c r="M125" s="44" t="e">
        <f>M129</f>
        <v>#REF!</v>
      </c>
      <c r="N125" s="62" t="str">
        <f>N119</f>
        <v>토목6-3-1</v>
      </c>
    </row>
    <row r="126" spans="1:14" ht="15" customHeight="1">
      <c r="A126" s="24"/>
      <c r="B126" s="25" t="s">
        <v>261</v>
      </c>
      <c r="C126" s="26" t="s">
        <v>32</v>
      </c>
      <c r="D126" s="29">
        <v>3</v>
      </c>
      <c r="E126" s="23" t="s">
        <v>24</v>
      </c>
      <c r="F126" s="27">
        <f>H126+J126+L126</f>
        <v>262580</v>
      </c>
      <c r="G126" s="28">
        <f>I126+K126+M126</f>
        <v>787740</v>
      </c>
      <c r="H126" s="27">
        <v>0</v>
      </c>
      <c r="I126" s="28"/>
      <c r="J126" s="27">
        <f>노임!$D$10</f>
        <v>262580</v>
      </c>
      <c r="K126" s="28">
        <f>TRUNC(J126*D126,1)</f>
        <v>787740</v>
      </c>
      <c r="L126" s="27">
        <v>0</v>
      </c>
      <c r="M126" s="28"/>
      <c r="N126" s="32" t="s">
        <v>0</v>
      </c>
    </row>
    <row r="127" spans="1:14" ht="15" customHeight="1">
      <c r="A127" s="24"/>
      <c r="B127" s="25" t="s">
        <v>262</v>
      </c>
      <c r="C127" s="26" t="s">
        <v>0</v>
      </c>
      <c r="D127" s="29">
        <v>1</v>
      </c>
      <c r="E127" s="23" t="s">
        <v>24</v>
      </c>
      <c r="F127" s="27">
        <f>H127+J127+L127</f>
        <v>172068</v>
      </c>
      <c r="G127" s="28">
        <f>I127+K127+M127</f>
        <v>172068</v>
      </c>
      <c r="H127" s="27">
        <v>0</v>
      </c>
      <c r="I127" s="28"/>
      <c r="J127" s="27">
        <f>노임!$D$3</f>
        <v>172068</v>
      </c>
      <c r="K127" s="28">
        <f>TRUNC(J127*D127,1)</f>
        <v>172068</v>
      </c>
      <c r="L127" s="27">
        <v>0</v>
      </c>
      <c r="M127" s="28"/>
      <c r="N127" s="32" t="s">
        <v>0</v>
      </c>
    </row>
    <row r="128" spans="1:14" ht="15" customHeight="1">
      <c r="A128" s="24"/>
      <c r="B128" s="25" t="s">
        <v>263</v>
      </c>
      <c r="C128" s="26" t="s">
        <v>199</v>
      </c>
      <c r="D128" s="29">
        <v>8</v>
      </c>
      <c r="E128" s="23" t="s">
        <v>254</v>
      </c>
      <c r="F128" s="27" t="e">
        <f>H128+J128+L128</f>
        <v>#REF!</v>
      </c>
      <c r="G128" s="28" t="e">
        <f>I128+K128+M128</f>
        <v>#REF!</v>
      </c>
      <c r="H128" s="27" t="e">
        <f>#REF!</f>
        <v>#REF!</v>
      </c>
      <c r="I128" s="28" t="e">
        <f>TRUNC(H128*D128,1)</f>
        <v>#REF!</v>
      </c>
      <c r="J128" s="27" t="e">
        <f>#REF!</f>
        <v>#REF!</v>
      </c>
      <c r="K128" s="28" t="e">
        <f>TRUNC(J128*D128,1)</f>
        <v>#REF!</v>
      </c>
      <c r="L128" s="27" t="e">
        <f>#REF!</f>
        <v>#REF!</v>
      </c>
      <c r="M128" s="28" t="e">
        <f>TRUNC(L128*D128,1)</f>
        <v>#REF!</v>
      </c>
      <c r="N128" s="32" t="s">
        <v>0</v>
      </c>
    </row>
    <row r="129" spans="1:14" ht="15" customHeight="1">
      <c r="A129" s="24"/>
      <c r="B129" s="25" t="s">
        <v>376</v>
      </c>
      <c r="C129" s="78">
        <v>2.5</v>
      </c>
      <c r="D129" s="29">
        <f>ROUND(1/C129,4)</f>
        <v>0.4</v>
      </c>
      <c r="E129" s="23" t="s">
        <v>375</v>
      </c>
      <c r="F129" s="27"/>
      <c r="G129" s="28" t="e">
        <f>I129+K129+M129</f>
        <v>#REF!</v>
      </c>
      <c r="H129" s="27"/>
      <c r="I129" s="28" t="e">
        <f>TRUNC(SUM(I126:I128)*$D129,1)</f>
        <v>#REF!</v>
      </c>
      <c r="J129" s="27"/>
      <c r="K129" s="28" t="e">
        <f>TRUNC(SUM(K126:K128)*$D129,1)</f>
        <v>#REF!</v>
      </c>
      <c r="L129" s="27"/>
      <c r="M129" s="28" t="e">
        <f>TRUNC(SUM(M126:M128)*$D129,1)</f>
        <v>#REF!</v>
      </c>
      <c r="N129" s="32"/>
    </row>
    <row r="130" spans="1:14" ht="15" customHeight="1">
      <c r="A130" s="30"/>
      <c r="B130" s="31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32"/>
    </row>
    <row r="131" spans="1:14" ht="15" customHeight="1">
      <c r="A131" s="45">
        <f>A125+1</f>
        <v>22</v>
      </c>
      <c r="B131" s="41" t="s">
        <v>251</v>
      </c>
      <c r="C131" s="42" t="s">
        <v>192</v>
      </c>
      <c r="D131" s="42">
        <v>1</v>
      </c>
      <c r="E131" s="43" t="s">
        <v>253</v>
      </c>
      <c r="F131" s="73"/>
      <c r="G131" s="44" t="e">
        <f>I131+K131+M131</f>
        <v>#REF!</v>
      </c>
      <c r="H131" s="73"/>
      <c r="I131" s="44" t="e">
        <f>I135</f>
        <v>#REF!</v>
      </c>
      <c r="J131" s="73"/>
      <c r="K131" s="44" t="e">
        <f>K135</f>
        <v>#REF!</v>
      </c>
      <c r="L131" s="73"/>
      <c r="M131" s="44" t="e">
        <f>M135</f>
        <v>#REF!</v>
      </c>
      <c r="N131" s="62" t="str">
        <f>N125</f>
        <v>토목6-3-1</v>
      </c>
    </row>
    <row r="132" spans="1:14" ht="15" customHeight="1">
      <c r="A132" s="24"/>
      <c r="B132" s="25" t="s">
        <v>261</v>
      </c>
      <c r="C132" s="26" t="s">
        <v>32</v>
      </c>
      <c r="D132" s="29">
        <v>3</v>
      </c>
      <c r="E132" s="23" t="s">
        <v>24</v>
      </c>
      <c r="F132" s="27">
        <f>H132+J132+L132</f>
        <v>262580</v>
      </c>
      <c r="G132" s="28">
        <f>I132+K132+M132</f>
        <v>787740</v>
      </c>
      <c r="H132" s="27">
        <v>0</v>
      </c>
      <c r="I132" s="28"/>
      <c r="J132" s="27">
        <f>노임!$D$10</f>
        <v>262580</v>
      </c>
      <c r="K132" s="28">
        <f>TRUNC(J132*D132,1)</f>
        <v>787740</v>
      </c>
      <c r="L132" s="27">
        <v>0</v>
      </c>
      <c r="M132" s="28"/>
      <c r="N132" s="32" t="s">
        <v>0</v>
      </c>
    </row>
    <row r="133" spans="1:14" ht="15" customHeight="1">
      <c r="A133" s="24"/>
      <c r="B133" s="25" t="s">
        <v>262</v>
      </c>
      <c r="C133" s="26" t="s">
        <v>0</v>
      </c>
      <c r="D133" s="29">
        <v>1</v>
      </c>
      <c r="E133" s="23" t="s">
        <v>24</v>
      </c>
      <c r="F133" s="27">
        <f>H133+J133+L133</f>
        <v>172068</v>
      </c>
      <c r="G133" s="28">
        <f>I133+K133+M133</f>
        <v>172068</v>
      </c>
      <c r="H133" s="27">
        <v>0</v>
      </c>
      <c r="I133" s="28"/>
      <c r="J133" s="27">
        <f>노임!$D$3</f>
        <v>172068</v>
      </c>
      <c r="K133" s="28">
        <f>TRUNC(J133*D133,1)</f>
        <v>172068</v>
      </c>
      <c r="L133" s="27">
        <v>0</v>
      </c>
      <c r="M133" s="28"/>
      <c r="N133" s="32" t="s">
        <v>0</v>
      </c>
    </row>
    <row r="134" spans="1:14" ht="15" customHeight="1">
      <c r="A134" s="24"/>
      <c r="B134" s="25" t="s">
        <v>263</v>
      </c>
      <c r="C134" s="26" t="s">
        <v>199</v>
      </c>
      <c r="D134" s="29">
        <v>8</v>
      </c>
      <c r="E134" s="23" t="s">
        <v>254</v>
      </c>
      <c r="F134" s="27" t="e">
        <f>H134+J134+L134</f>
        <v>#REF!</v>
      </c>
      <c r="G134" s="28" t="e">
        <f>I134+K134+M134</f>
        <v>#REF!</v>
      </c>
      <c r="H134" s="27" t="e">
        <f>#REF!</f>
        <v>#REF!</v>
      </c>
      <c r="I134" s="28" t="e">
        <f>TRUNC(H134*D134,1)</f>
        <v>#REF!</v>
      </c>
      <c r="J134" s="27" t="e">
        <f>#REF!</f>
        <v>#REF!</v>
      </c>
      <c r="K134" s="28" t="e">
        <f>TRUNC(J134*D134,1)</f>
        <v>#REF!</v>
      </c>
      <c r="L134" s="27" t="e">
        <f>#REF!</f>
        <v>#REF!</v>
      </c>
      <c r="M134" s="28" t="e">
        <f>TRUNC(L134*D134,1)</f>
        <v>#REF!</v>
      </c>
      <c r="N134" s="32" t="s">
        <v>0</v>
      </c>
    </row>
    <row r="135" spans="1:14" ht="15" customHeight="1">
      <c r="A135" s="24"/>
      <c r="B135" s="25" t="s">
        <v>376</v>
      </c>
      <c r="C135" s="78">
        <v>2</v>
      </c>
      <c r="D135" s="29">
        <f>ROUND(1/C135,4)</f>
        <v>0.5</v>
      </c>
      <c r="E135" s="23" t="s">
        <v>375</v>
      </c>
      <c r="F135" s="27"/>
      <c r="G135" s="28" t="e">
        <f>I135+K135+M135</f>
        <v>#REF!</v>
      </c>
      <c r="H135" s="27"/>
      <c r="I135" s="28" t="e">
        <f>TRUNC(SUM(I132:I134)*$D135,1)</f>
        <v>#REF!</v>
      </c>
      <c r="J135" s="27"/>
      <c r="K135" s="28" t="e">
        <f>TRUNC(SUM(K132:K134)*$D135,1)</f>
        <v>#REF!</v>
      </c>
      <c r="L135" s="27"/>
      <c r="M135" s="28" t="e">
        <f>TRUNC(SUM(M132:M134)*$D135,1)</f>
        <v>#REF!</v>
      </c>
      <c r="N135" s="32"/>
    </row>
    <row r="136" spans="1:14" ht="15" customHeight="1">
      <c r="A136" s="30"/>
      <c r="B136" s="31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32"/>
    </row>
    <row r="137" spans="1:14" ht="15" customHeight="1">
      <c r="A137" s="45">
        <f>A131+1</f>
        <v>23</v>
      </c>
      <c r="B137" s="41" t="s">
        <v>251</v>
      </c>
      <c r="C137" s="42" t="s">
        <v>193</v>
      </c>
      <c r="D137" s="42">
        <v>1</v>
      </c>
      <c r="E137" s="43" t="s">
        <v>253</v>
      </c>
      <c r="F137" s="73"/>
      <c r="G137" s="44" t="e">
        <f>I137+K137+M137</f>
        <v>#REF!</v>
      </c>
      <c r="H137" s="73"/>
      <c r="I137" s="44" t="e">
        <f>I141</f>
        <v>#REF!</v>
      </c>
      <c r="J137" s="73"/>
      <c r="K137" s="44" t="e">
        <f>K141</f>
        <v>#REF!</v>
      </c>
      <c r="L137" s="73"/>
      <c r="M137" s="44" t="e">
        <f>M141</f>
        <v>#REF!</v>
      </c>
      <c r="N137" s="62" t="str">
        <f>N131</f>
        <v>토목6-3-1</v>
      </c>
    </row>
    <row r="138" spans="1:14" ht="15" customHeight="1">
      <c r="A138" s="24"/>
      <c r="B138" s="25" t="s">
        <v>261</v>
      </c>
      <c r="C138" s="26" t="s">
        <v>32</v>
      </c>
      <c r="D138" s="29">
        <v>3</v>
      </c>
      <c r="E138" s="23" t="s">
        <v>24</v>
      </c>
      <c r="F138" s="27">
        <f>H138+J138+L138</f>
        <v>262580</v>
      </c>
      <c r="G138" s="28">
        <f>I138+K138+M138</f>
        <v>787740</v>
      </c>
      <c r="H138" s="27">
        <v>0</v>
      </c>
      <c r="I138" s="28"/>
      <c r="J138" s="27">
        <f>노임!$D$10</f>
        <v>262580</v>
      </c>
      <c r="K138" s="28">
        <f>TRUNC(J138*D138,1)</f>
        <v>787740</v>
      </c>
      <c r="L138" s="27">
        <v>0</v>
      </c>
      <c r="M138" s="28"/>
      <c r="N138" s="32" t="s">
        <v>0</v>
      </c>
    </row>
    <row r="139" spans="1:14" ht="15" customHeight="1">
      <c r="A139" s="24"/>
      <c r="B139" s="25" t="s">
        <v>262</v>
      </c>
      <c r="C139" s="26" t="s">
        <v>0</v>
      </c>
      <c r="D139" s="29">
        <v>1</v>
      </c>
      <c r="E139" s="23" t="s">
        <v>24</v>
      </c>
      <c r="F139" s="27">
        <f>H139+J139+L139</f>
        <v>172068</v>
      </c>
      <c r="G139" s="28">
        <f>I139+K139+M139</f>
        <v>172068</v>
      </c>
      <c r="H139" s="27">
        <v>0</v>
      </c>
      <c r="I139" s="28"/>
      <c r="J139" s="27">
        <f>노임!$D$3</f>
        <v>172068</v>
      </c>
      <c r="K139" s="28">
        <f>TRUNC(J139*D139,1)</f>
        <v>172068</v>
      </c>
      <c r="L139" s="27">
        <v>0</v>
      </c>
      <c r="M139" s="28"/>
      <c r="N139" s="32" t="s">
        <v>0</v>
      </c>
    </row>
    <row r="140" spans="1:14" ht="15" customHeight="1">
      <c r="A140" s="24"/>
      <c r="B140" s="25" t="s">
        <v>263</v>
      </c>
      <c r="C140" s="26" t="s">
        <v>199</v>
      </c>
      <c r="D140" s="29">
        <v>8</v>
      </c>
      <c r="E140" s="23" t="s">
        <v>254</v>
      </c>
      <c r="F140" s="27" t="e">
        <f>H140+J140+L140</f>
        <v>#REF!</v>
      </c>
      <c r="G140" s="28" t="e">
        <f>I140+K140+M140</f>
        <v>#REF!</v>
      </c>
      <c r="H140" s="27" t="e">
        <f>#REF!</f>
        <v>#REF!</v>
      </c>
      <c r="I140" s="28" t="e">
        <f>TRUNC(H140*D140,1)</f>
        <v>#REF!</v>
      </c>
      <c r="J140" s="27" t="e">
        <f>#REF!</f>
        <v>#REF!</v>
      </c>
      <c r="K140" s="28" t="e">
        <f>TRUNC(J140*D140,1)</f>
        <v>#REF!</v>
      </c>
      <c r="L140" s="27" t="e">
        <f>#REF!</f>
        <v>#REF!</v>
      </c>
      <c r="M140" s="28" t="e">
        <f>TRUNC(L140*D140,1)</f>
        <v>#REF!</v>
      </c>
      <c r="N140" s="32" t="s">
        <v>0</v>
      </c>
    </row>
    <row r="141" spans="1:14" ht="15" customHeight="1">
      <c r="A141" s="24"/>
      <c r="B141" s="25" t="s">
        <v>376</v>
      </c>
      <c r="C141" s="78">
        <v>2</v>
      </c>
      <c r="D141" s="29">
        <f>ROUND(1/C141,4)</f>
        <v>0.5</v>
      </c>
      <c r="E141" s="23" t="s">
        <v>375</v>
      </c>
      <c r="F141" s="27"/>
      <c r="G141" s="28" t="e">
        <f>I141+K141+M141</f>
        <v>#REF!</v>
      </c>
      <c r="H141" s="27"/>
      <c r="I141" s="28" t="e">
        <f>TRUNC(SUM(I138:I140)*$D141,1)</f>
        <v>#REF!</v>
      </c>
      <c r="J141" s="27"/>
      <c r="K141" s="28" t="e">
        <f>TRUNC(SUM(K138:K140)*$D141,1)</f>
        <v>#REF!</v>
      </c>
      <c r="L141" s="27"/>
      <c r="M141" s="28" t="e">
        <f>TRUNC(SUM(M138:M140)*$D141,1)</f>
        <v>#REF!</v>
      </c>
      <c r="N141" s="32"/>
    </row>
    <row r="142" spans="1:14" ht="15" customHeight="1">
      <c r="A142" s="30"/>
      <c r="B142" s="31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32"/>
    </row>
    <row r="143" spans="1:14" ht="15" customHeight="1">
      <c r="A143" s="45">
        <f>A137+1</f>
        <v>24</v>
      </c>
      <c r="B143" s="41" t="s">
        <v>251</v>
      </c>
      <c r="C143" s="42" t="s">
        <v>194</v>
      </c>
      <c r="D143" s="42">
        <v>1</v>
      </c>
      <c r="E143" s="43" t="s">
        <v>253</v>
      </c>
      <c r="F143" s="73"/>
      <c r="G143" s="44" t="e">
        <f>I143+K143+M143</f>
        <v>#REF!</v>
      </c>
      <c r="H143" s="73"/>
      <c r="I143" s="44" t="e">
        <f>I147</f>
        <v>#REF!</v>
      </c>
      <c r="J143" s="73"/>
      <c r="K143" s="44" t="e">
        <f>K147</f>
        <v>#REF!</v>
      </c>
      <c r="L143" s="73"/>
      <c r="M143" s="44" t="e">
        <f>M147</f>
        <v>#REF!</v>
      </c>
      <c r="N143" s="62" t="str">
        <f>N137</f>
        <v>토목6-3-1</v>
      </c>
    </row>
    <row r="144" spans="1:14" ht="15" customHeight="1">
      <c r="A144" s="24"/>
      <c r="B144" s="25" t="s">
        <v>261</v>
      </c>
      <c r="C144" s="26" t="s">
        <v>32</v>
      </c>
      <c r="D144" s="29">
        <v>3</v>
      </c>
      <c r="E144" s="23" t="s">
        <v>24</v>
      </c>
      <c r="F144" s="27">
        <f>H144+J144+L144</f>
        <v>262580</v>
      </c>
      <c r="G144" s="28">
        <f>I144+K144+M144</f>
        <v>787740</v>
      </c>
      <c r="H144" s="27">
        <v>0</v>
      </c>
      <c r="I144" s="28"/>
      <c r="J144" s="27">
        <f>노임!$D$10</f>
        <v>262580</v>
      </c>
      <c r="K144" s="28">
        <f>TRUNC(J144*D144,1)</f>
        <v>787740</v>
      </c>
      <c r="L144" s="27">
        <v>0</v>
      </c>
      <c r="M144" s="28"/>
      <c r="N144" s="32" t="s">
        <v>0</v>
      </c>
    </row>
    <row r="145" spans="1:14" ht="15" customHeight="1">
      <c r="A145" s="24"/>
      <c r="B145" s="25" t="s">
        <v>262</v>
      </c>
      <c r="C145" s="26" t="s">
        <v>0</v>
      </c>
      <c r="D145" s="29">
        <v>1</v>
      </c>
      <c r="E145" s="23" t="s">
        <v>24</v>
      </c>
      <c r="F145" s="27">
        <f>H145+J145+L145</f>
        <v>172068</v>
      </c>
      <c r="G145" s="28">
        <f>I145+K145+M145</f>
        <v>172068</v>
      </c>
      <c r="H145" s="27">
        <v>0</v>
      </c>
      <c r="I145" s="28"/>
      <c r="J145" s="27">
        <f>노임!$D$3</f>
        <v>172068</v>
      </c>
      <c r="K145" s="28">
        <f>TRUNC(J145*D145,1)</f>
        <v>172068</v>
      </c>
      <c r="L145" s="27">
        <v>0</v>
      </c>
      <c r="M145" s="28"/>
      <c r="N145" s="32" t="s">
        <v>0</v>
      </c>
    </row>
    <row r="146" spans="1:14" ht="15" customHeight="1">
      <c r="A146" s="24"/>
      <c r="B146" s="25" t="s">
        <v>263</v>
      </c>
      <c r="C146" s="26" t="s">
        <v>199</v>
      </c>
      <c r="D146" s="29">
        <v>8</v>
      </c>
      <c r="E146" s="23" t="s">
        <v>254</v>
      </c>
      <c r="F146" s="27" t="e">
        <f>H146+J146+L146</f>
        <v>#REF!</v>
      </c>
      <c r="G146" s="28" t="e">
        <f>I146+K146+M146</f>
        <v>#REF!</v>
      </c>
      <c r="H146" s="27" t="e">
        <f>#REF!</f>
        <v>#REF!</v>
      </c>
      <c r="I146" s="28" t="e">
        <f>TRUNC(H146*D146,1)</f>
        <v>#REF!</v>
      </c>
      <c r="J146" s="27" t="e">
        <f>#REF!</f>
        <v>#REF!</v>
      </c>
      <c r="K146" s="28" t="e">
        <f>TRUNC(J146*D146,1)</f>
        <v>#REF!</v>
      </c>
      <c r="L146" s="27" t="e">
        <f>#REF!</f>
        <v>#REF!</v>
      </c>
      <c r="M146" s="28" t="e">
        <f>TRUNC(L146*D146,1)</f>
        <v>#REF!</v>
      </c>
      <c r="N146" s="32" t="s">
        <v>0</v>
      </c>
    </row>
    <row r="147" spans="1:14" ht="15" customHeight="1">
      <c r="A147" s="24"/>
      <c r="B147" s="25" t="s">
        <v>376</v>
      </c>
      <c r="C147" s="78">
        <v>1.5</v>
      </c>
      <c r="D147" s="29">
        <f>ROUND(1/C147,4)</f>
        <v>0.66669999999999996</v>
      </c>
      <c r="E147" s="23" t="s">
        <v>375</v>
      </c>
      <c r="F147" s="27"/>
      <c r="G147" s="28" t="e">
        <f>I147+K147+M147</f>
        <v>#REF!</v>
      </c>
      <c r="H147" s="27"/>
      <c r="I147" s="28" t="e">
        <f>TRUNC(SUM(I144:I146)*$D147,1)</f>
        <v>#REF!</v>
      </c>
      <c r="J147" s="27"/>
      <c r="K147" s="28" t="e">
        <f>TRUNC(SUM(K144:K146)*$D147,1)</f>
        <v>#REF!</v>
      </c>
      <c r="L147" s="27"/>
      <c r="M147" s="28" t="e">
        <f>TRUNC(SUM(M144:M146)*$D147,1)</f>
        <v>#REF!</v>
      </c>
      <c r="N147" s="32"/>
    </row>
    <row r="148" spans="1:14" ht="15" customHeight="1">
      <c r="A148" s="30"/>
      <c r="B148" s="31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32"/>
    </row>
    <row r="149" spans="1:14" ht="15" customHeight="1">
      <c r="A149" s="45">
        <f>A143+1</f>
        <v>25</v>
      </c>
      <c r="B149" s="41" t="s">
        <v>251</v>
      </c>
      <c r="C149" s="42" t="s">
        <v>195</v>
      </c>
      <c r="D149" s="42">
        <v>1</v>
      </c>
      <c r="E149" s="43" t="s">
        <v>253</v>
      </c>
      <c r="F149" s="73"/>
      <c r="G149" s="44" t="e">
        <f>I149+K149+M149</f>
        <v>#REF!</v>
      </c>
      <c r="H149" s="73"/>
      <c r="I149" s="44" t="e">
        <f>I153</f>
        <v>#REF!</v>
      </c>
      <c r="J149" s="73"/>
      <c r="K149" s="44" t="e">
        <f>K153</f>
        <v>#REF!</v>
      </c>
      <c r="L149" s="73"/>
      <c r="M149" s="44" t="e">
        <f>M153</f>
        <v>#REF!</v>
      </c>
      <c r="N149" s="62" t="str">
        <f>N143</f>
        <v>토목6-3-1</v>
      </c>
    </row>
    <row r="150" spans="1:14" ht="15" customHeight="1">
      <c r="A150" s="24"/>
      <c r="B150" s="25" t="s">
        <v>261</v>
      </c>
      <c r="C150" s="26" t="s">
        <v>32</v>
      </c>
      <c r="D150" s="29">
        <v>4</v>
      </c>
      <c r="E150" s="23" t="s">
        <v>24</v>
      </c>
      <c r="F150" s="27">
        <f>H150+J150+L150</f>
        <v>262580</v>
      </c>
      <c r="G150" s="28">
        <f>I150+K150+M150</f>
        <v>1050320</v>
      </c>
      <c r="H150" s="27">
        <v>0</v>
      </c>
      <c r="I150" s="28"/>
      <c r="J150" s="27">
        <f>노임!$D$10</f>
        <v>262580</v>
      </c>
      <c r="K150" s="28">
        <f>TRUNC(J150*D150,1)</f>
        <v>1050320</v>
      </c>
      <c r="L150" s="27">
        <v>0</v>
      </c>
      <c r="M150" s="28"/>
      <c r="N150" s="32" t="s">
        <v>0</v>
      </c>
    </row>
    <row r="151" spans="1:14" ht="15" customHeight="1">
      <c r="A151" s="24"/>
      <c r="B151" s="25" t="s">
        <v>262</v>
      </c>
      <c r="C151" s="26" t="s">
        <v>0</v>
      </c>
      <c r="D151" s="29">
        <v>1</v>
      </c>
      <c r="E151" s="23" t="s">
        <v>24</v>
      </c>
      <c r="F151" s="27">
        <f>H151+J151+L151</f>
        <v>172068</v>
      </c>
      <c r="G151" s="28">
        <f>I151+K151+M151</f>
        <v>172068</v>
      </c>
      <c r="H151" s="27">
        <v>0</v>
      </c>
      <c r="I151" s="28"/>
      <c r="J151" s="27">
        <f>노임!$D$3</f>
        <v>172068</v>
      </c>
      <c r="K151" s="28">
        <f>TRUNC(J151*D151,1)</f>
        <v>172068</v>
      </c>
      <c r="L151" s="27">
        <v>0</v>
      </c>
      <c r="M151" s="28"/>
      <c r="N151" s="32" t="s">
        <v>0</v>
      </c>
    </row>
    <row r="152" spans="1:14" ht="15" customHeight="1">
      <c r="A152" s="24"/>
      <c r="B152" s="25" t="s">
        <v>263</v>
      </c>
      <c r="C152" s="26" t="s">
        <v>199</v>
      </c>
      <c r="D152" s="29">
        <v>8</v>
      </c>
      <c r="E152" s="23" t="s">
        <v>254</v>
      </c>
      <c r="F152" s="27" t="e">
        <f>H152+J152+L152</f>
        <v>#REF!</v>
      </c>
      <c r="G152" s="28" t="e">
        <f>I152+K152+M152</f>
        <v>#REF!</v>
      </c>
      <c r="H152" s="27" t="e">
        <f>#REF!</f>
        <v>#REF!</v>
      </c>
      <c r="I152" s="28" t="e">
        <f>TRUNC(H152*D152,1)</f>
        <v>#REF!</v>
      </c>
      <c r="J152" s="27" t="e">
        <f>#REF!</f>
        <v>#REF!</v>
      </c>
      <c r="K152" s="28" t="e">
        <f>TRUNC(J152*D152,1)</f>
        <v>#REF!</v>
      </c>
      <c r="L152" s="27" t="e">
        <f>#REF!</f>
        <v>#REF!</v>
      </c>
      <c r="M152" s="28" t="e">
        <f>TRUNC(L152*D152,1)</f>
        <v>#REF!</v>
      </c>
      <c r="N152" s="32" t="s">
        <v>0</v>
      </c>
    </row>
    <row r="153" spans="1:14" ht="15" customHeight="1">
      <c r="A153" s="24"/>
      <c r="B153" s="25" t="s">
        <v>376</v>
      </c>
      <c r="C153" s="78">
        <v>1.5</v>
      </c>
      <c r="D153" s="29">
        <f>ROUND(1/C153,4)</f>
        <v>0.66669999999999996</v>
      </c>
      <c r="E153" s="23" t="s">
        <v>375</v>
      </c>
      <c r="F153" s="27"/>
      <c r="G153" s="28" t="e">
        <f>I153+K153+M153</f>
        <v>#REF!</v>
      </c>
      <c r="H153" s="27"/>
      <c r="I153" s="28" t="e">
        <f>TRUNC(SUM(I150:I152)*$D153,1)</f>
        <v>#REF!</v>
      </c>
      <c r="J153" s="27"/>
      <c r="K153" s="28" t="e">
        <f>TRUNC(SUM(K150:K152)*$D153,1)</f>
        <v>#REF!</v>
      </c>
      <c r="L153" s="27"/>
      <c r="M153" s="28" t="e">
        <f>TRUNC(SUM(M150:M152)*$D153,1)</f>
        <v>#REF!</v>
      </c>
      <c r="N153" s="32"/>
    </row>
    <row r="154" spans="1:14" ht="15" customHeight="1">
      <c r="A154" s="30"/>
      <c r="B154" s="31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32"/>
    </row>
    <row r="155" spans="1:14" ht="15" customHeight="1">
      <c r="A155" s="45">
        <f>A149+1</f>
        <v>26</v>
      </c>
      <c r="B155" s="41" t="s">
        <v>251</v>
      </c>
      <c r="C155" s="42" t="s">
        <v>196</v>
      </c>
      <c r="D155" s="42">
        <v>1</v>
      </c>
      <c r="E155" s="43" t="s">
        <v>253</v>
      </c>
      <c r="F155" s="73"/>
      <c r="G155" s="44" t="e">
        <f>I155+K155+M155</f>
        <v>#REF!</v>
      </c>
      <c r="H155" s="73"/>
      <c r="I155" s="44" t="e">
        <f>I159</f>
        <v>#REF!</v>
      </c>
      <c r="J155" s="73"/>
      <c r="K155" s="44" t="e">
        <f>K159</f>
        <v>#REF!</v>
      </c>
      <c r="L155" s="73"/>
      <c r="M155" s="44" t="e">
        <f>M159</f>
        <v>#REF!</v>
      </c>
      <c r="N155" s="62" t="str">
        <f>N149</f>
        <v>토목6-3-1</v>
      </c>
    </row>
    <row r="156" spans="1:14" ht="15" customHeight="1">
      <c r="A156" s="24"/>
      <c r="B156" s="25" t="s">
        <v>261</v>
      </c>
      <c r="C156" s="26" t="s">
        <v>32</v>
      </c>
      <c r="D156" s="29">
        <v>4</v>
      </c>
      <c r="E156" s="23" t="s">
        <v>24</v>
      </c>
      <c r="F156" s="27">
        <f>H156+J156+L156</f>
        <v>262580</v>
      </c>
      <c r="G156" s="28">
        <f>I156+K156+M156</f>
        <v>1050320</v>
      </c>
      <c r="H156" s="27">
        <v>0</v>
      </c>
      <c r="I156" s="28"/>
      <c r="J156" s="27">
        <f>노임!$D$10</f>
        <v>262580</v>
      </c>
      <c r="K156" s="28">
        <f>TRUNC(J156*D156,1)</f>
        <v>1050320</v>
      </c>
      <c r="L156" s="27">
        <v>0</v>
      </c>
      <c r="M156" s="28"/>
      <c r="N156" s="32" t="s">
        <v>0</v>
      </c>
    </row>
    <row r="157" spans="1:14" ht="15" customHeight="1">
      <c r="A157" s="24"/>
      <c r="B157" s="25" t="s">
        <v>262</v>
      </c>
      <c r="C157" s="26" t="s">
        <v>0</v>
      </c>
      <c r="D157" s="29">
        <v>1</v>
      </c>
      <c r="E157" s="23" t="s">
        <v>24</v>
      </c>
      <c r="F157" s="27">
        <f>H157+J157+L157</f>
        <v>172068</v>
      </c>
      <c r="G157" s="28">
        <f>I157+K157+M157</f>
        <v>172068</v>
      </c>
      <c r="H157" s="27">
        <v>0</v>
      </c>
      <c r="I157" s="28"/>
      <c r="J157" s="27">
        <f>노임!$D$3</f>
        <v>172068</v>
      </c>
      <c r="K157" s="28">
        <f>TRUNC(J157*D157,1)</f>
        <v>172068</v>
      </c>
      <c r="L157" s="27">
        <v>0</v>
      </c>
      <c r="M157" s="28"/>
      <c r="N157" s="32" t="s">
        <v>0</v>
      </c>
    </row>
    <row r="158" spans="1:14" ht="15" customHeight="1">
      <c r="A158" s="24"/>
      <c r="B158" s="25" t="s">
        <v>263</v>
      </c>
      <c r="C158" s="26" t="s">
        <v>199</v>
      </c>
      <c r="D158" s="29">
        <v>8</v>
      </c>
      <c r="E158" s="23" t="s">
        <v>254</v>
      </c>
      <c r="F158" s="27" t="e">
        <f>H158+J158+L158</f>
        <v>#REF!</v>
      </c>
      <c r="G158" s="28" t="e">
        <f>I158+K158+M158</f>
        <v>#REF!</v>
      </c>
      <c r="H158" s="27" t="e">
        <f>#REF!</f>
        <v>#REF!</v>
      </c>
      <c r="I158" s="28" t="e">
        <f>TRUNC(H158*D158,1)</f>
        <v>#REF!</v>
      </c>
      <c r="J158" s="27" t="e">
        <f>#REF!</f>
        <v>#REF!</v>
      </c>
      <c r="K158" s="28" t="e">
        <f>TRUNC(J158*D158,1)</f>
        <v>#REF!</v>
      </c>
      <c r="L158" s="27" t="e">
        <f>#REF!</f>
        <v>#REF!</v>
      </c>
      <c r="M158" s="28" t="e">
        <f>TRUNC(L158*D158,1)</f>
        <v>#REF!</v>
      </c>
      <c r="N158" s="32" t="s">
        <v>0</v>
      </c>
    </row>
    <row r="159" spans="1:14" ht="15" customHeight="1">
      <c r="A159" s="24"/>
      <c r="B159" s="25" t="s">
        <v>376</v>
      </c>
      <c r="C159" s="78">
        <v>1.5</v>
      </c>
      <c r="D159" s="29">
        <f>ROUND(1/C159,4)</f>
        <v>0.66669999999999996</v>
      </c>
      <c r="E159" s="23" t="s">
        <v>375</v>
      </c>
      <c r="F159" s="27"/>
      <c r="G159" s="28" t="e">
        <f>I159+K159+M159</f>
        <v>#REF!</v>
      </c>
      <c r="H159" s="27"/>
      <c r="I159" s="28" t="e">
        <f>TRUNC(SUM(I156:I158)*$D159,1)</f>
        <v>#REF!</v>
      </c>
      <c r="J159" s="27"/>
      <c r="K159" s="28" t="e">
        <f>TRUNC(SUM(K156:K158)*$D159,1)</f>
        <v>#REF!</v>
      </c>
      <c r="L159" s="27"/>
      <c r="M159" s="28" t="e">
        <f>TRUNC(SUM(M156:M158)*$D159,1)</f>
        <v>#REF!</v>
      </c>
      <c r="N159" s="32"/>
    </row>
    <row r="160" spans="1:14" ht="15" customHeight="1">
      <c r="A160" s="30"/>
      <c r="B160" s="31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32"/>
    </row>
    <row r="161" spans="1:14" ht="15" customHeight="1">
      <c r="A161" s="45">
        <f>A155+1</f>
        <v>27</v>
      </c>
      <c r="B161" s="41" t="s">
        <v>251</v>
      </c>
      <c r="C161" s="42" t="s">
        <v>197</v>
      </c>
      <c r="D161" s="42">
        <v>1</v>
      </c>
      <c r="E161" s="43" t="s">
        <v>253</v>
      </c>
      <c r="F161" s="73"/>
      <c r="G161" s="44" t="e">
        <f>I161+K161+M161</f>
        <v>#REF!</v>
      </c>
      <c r="H161" s="73"/>
      <c r="I161" s="44" t="e">
        <f>I165</f>
        <v>#REF!</v>
      </c>
      <c r="J161" s="73"/>
      <c r="K161" s="44" t="e">
        <f>K165</f>
        <v>#REF!</v>
      </c>
      <c r="L161" s="73"/>
      <c r="M161" s="44" t="e">
        <f>M165</f>
        <v>#REF!</v>
      </c>
      <c r="N161" s="62" t="str">
        <f>N155</f>
        <v>토목6-3-1</v>
      </c>
    </row>
    <row r="162" spans="1:14" ht="15" customHeight="1">
      <c r="A162" s="24"/>
      <c r="B162" s="25" t="s">
        <v>261</v>
      </c>
      <c r="C162" s="26" t="s">
        <v>32</v>
      </c>
      <c r="D162" s="29">
        <v>4</v>
      </c>
      <c r="E162" s="23" t="s">
        <v>24</v>
      </c>
      <c r="F162" s="27">
        <f>H162+J162+L162</f>
        <v>262580</v>
      </c>
      <c r="G162" s="28">
        <f>I162+K162+M162</f>
        <v>1050320</v>
      </c>
      <c r="H162" s="27">
        <v>0</v>
      </c>
      <c r="I162" s="28"/>
      <c r="J162" s="27">
        <f>노임!$D$10</f>
        <v>262580</v>
      </c>
      <c r="K162" s="28">
        <f>TRUNC(J162*D162,1)</f>
        <v>1050320</v>
      </c>
      <c r="L162" s="27">
        <v>0</v>
      </c>
      <c r="M162" s="28"/>
      <c r="N162" s="32" t="s">
        <v>0</v>
      </c>
    </row>
    <row r="163" spans="1:14" ht="15" customHeight="1">
      <c r="A163" s="24"/>
      <c r="B163" s="25" t="s">
        <v>262</v>
      </c>
      <c r="C163" s="26" t="s">
        <v>0</v>
      </c>
      <c r="D163" s="29">
        <v>1</v>
      </c>
      <c r="E163" s="23" t="s">
        <v>24</v>
      </c>
      <c r="F163" s="27">
        <f>H163+J163+L163</f>
        <v>172068</v>
      </c>
      <c r="G163" s="28">
        <f>I163+K163+M163</f>
        <v>172068</v>
      </c>
      <c r="H163" s="27">
        <v>0</v>
      </c>
      <c r="I163" s="28"/>
      <c r="J163" s="27">
        <f>노임!$D$3</f>
        <v>172068</v>
      </c>
      <c r="K163" s="28">
        <f>TRUNC(J163*D163,1)</f>
        <v>172068</v>
      </c>
      <c r="L163" s="27">
        <v>0</v>
      </c>
      <c r="M163" s="28"/>
      <c r="N163" s="32" t="s">
        <v>0</v>
      </c>
    </row>
    <row r="164" spans="1:14" ht="15" customHeight="1">
      <c r="A164" s="24"/>
      <c r="B164" s="25" t="s">
        <v>263</v>
      </c>
      <c r="C164" s="26" t="s">
        <v>199</v>
      </c>
      <c r="D164" s="29">
        <v>8</v>
      </c>
      <c r="E164" s="23" t="s">
        <v>254</v>
      </c>
      <c r="F164" s="27" t="e">
        <f>H164+J164+L164</f>
        <v>#REF!</v>
      </c>
      <c r="G164" s="28" t="e">
        <f>I164+K164+M164</f>
        <v>#REF!</v>
      </c>
      <c r="H164" s="27" t="e">
        <f>#REF!</f>
        <v>#REF!</v>
      </c>
      <c r="I164" s="28" t="e">
        <f>TRUNC(H164*D164,1)</f>
        <v>#REF!</v>
      </c>
      <c r="J164" s="27" t="e">
        <f>#REF!</f>
        <v>#REF!</v>
      </c>
      <c r="K164" s="28" t="e">
        <f>TRUNC(J164*D164,1)</f>
        <v>#REF!</v>
      </c>
      <c r="L164" s="27" t="e">
        <f>#REF!</f>
        <v>#REF!</v>
      </c>
      <c r="M164" s="28" t="e">
        <f>TRUNC(L164*D164,1)</f>
        <v>#REF!</v>
      </c>
      <c r="N164" s="32" t="s">
        <v>0</v>
      </c>
    </row>
    <row r="165" spans="1:14" ht="15" customHeight="1">
      <c r="A165" s="24"/>
      <c r="B165" s="25" t="s">
        <v>376</v>
      </c>
      <c r="C165" s="78">
        <v>1.5</v>
      </c>
      <c r="D165" s="29">
        <f>ROUND(1/C165,4)</f>
        <v>0.66669999999999996</v>
      </c>
      <c r="E165" s="23" t="s">
        <v>375</v>
      </c>
      <c r="F165" s="27"/>
      <c r="G165" s="28" t="e">
        <f>I165+K165+M165</f>
        <v>#REF!</v>
      </c>
      <c r="H165" s="27"/>
      <c r="I165" s="28" t="e">
        <f>TRUNC(SUM(I162:I164)*$D165,1)</f>
        <v>#REF!</v>
      </c>
      <c r="J165" s="27"/>
      <c r="K165" s="28" t="e">
        <f>TRUNC(SUM(K162:K164)*$D165,1)</f>
        <v>#REF!</v>
      </c>
      <c r="L165" s="27"/>
      <c r="M165" s="28" t="e">
        <f>TRUNC(SUM(M162:M164)*$D165,1)</f>
        <v>#REF!</v>
      </c>
      <c r="N165" s="32"/>
    </row>
    <row r="166" spans="1:14" ht="15" customHeight="1">
      <c r="A166" s="30"/>
      <c r="B166" s="31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32"/>
    </row>
    <row r="167" spans="1:14" ht="15" customHeight="1">
      <c r="A167" s="45">
        <f>A161+1</f>
        <v>28</v>
      </c>
      <c r="B167" s="41" t="s">
        <v>251</v>
      </c>
      <c r="C167" s="42" t="s">
        <v>198</v>
      </c>
      <c r="D167" s="42">
        <v>1</v>
      </c>
      <c r="E167" s="43" t="s">
        <v>253</v>
      </c>
      <c r="F167" s="73"/>
      <c r="G167" s="44" t="e">
        <f>I167+K167+M167</f>
        <v>#REF!</v>
      </c>
      <c r="H167" s="73"/>
      <c r="I167" s="44" t="e">
        <f>I171</f>
        <v>#REF!</v>
      </c>
      <c r="J167" s="73"/>
      <c r="K167" s="44" t="e">
        <f>K171</f>
        <v>#REF!</v>
      </c>
      <c r="L167" s="73"/>
      <c r="M167" s="44" t="e">
        <f>M171</f>
        <v>#REF!</v>
      </c>
      <c r="N167" s="62" t="str">
        <f>N161</f>
        <v>토목6-3-1</v>
      </c>
    </row>
    <row r="168" spans="1:14" ht="15" customHeight="1">
      <c r="A168" s="24"/>
      <c r="B168" s="25" t="s">
        <v>261</v>
      </c>
      <c r="C168" s="26" t="s">
        <v>32</v>
      </c>
      <c r="D168" s="29">
        <v>4</v>
      </c>
      <c r="E168" s="23" t="s">
        <v>24</v>
      </c>
      <c r="F168" s="27">
        <f>H168+J168+L168</f>
        <v>262580</v>
      </c>
      <c r="G168" s="28">
        <f>I168+K168+M168</f>
        <v>1050320</v>
      </c>
      <c r="H168" s="27">
        <v>0</v>
      </c>
      <c r="I168" s="28"/>
      <c r="J168" s="27">
        <f>노임!$D$10</f>
        <v>262580</v>
      </c>
      <c r="K168" s="28">
        <f>TRUNC(J168*D168,1)</f>
        <v>1050320</v>
      </c>
      <c r="L168" s="27">
        <v>0</v>
      </c>
      <c r="M168" s="28"/>
      <c r="N168" s="32" t="s">
        <v>0</v>
      </c>
    </row>
    <row r="169" spans="1:14" ht="15" customHeight="1">
      <c r="A169" s="24"/>
      <c r="B169" s="25" t="s">
        <v>262</v>
      </c>
      <c r="C169" s="26" t="s">
        <v>0</v>
      </c>
      <c r="D169" s="29">
        <v>1</v>
      </c>
      <c r="E169" s="23" t="s">
        <v>24</v>
      </c>
      <c r="F169" s="27">
        <f>H169+J169+L169</f>
        <v>172068</v>
      </c>
      <c r="G169" s="28">
        <f>I169+K169+M169</f>
        <v>172068</v>
      </c>
      <c r="H169" s="27">
        <v>0</v>
      </c>
      <c r="I169" s="28"/>
      <c r="J169" s="27">
        <f>노임!$D$3</f>
        <v>172068</v>
      </c>
      <c r="K169" s="28">
        <f>TRUNC(J169*D169,1)</f>
        <v>172068</v>
      </c>
      <c r="L169" s="27">
        <v>0</v>
      </c>
      <c r="M169" s="28"/>
      <c r="N169" s="32" t="s">
        <v>0</v>
      </c>
    </row>
    <row r="170" spans="1:14" ht="15" customHeight="1">
      <c r="A170" s="24"/>
      <c r="B170" s="25" t="s">
        <v>263</v>
      </c>
      <c r="C170" s="26" t="s">
        <v>199</v>
      </c>
      <c r="D170" s="29">
        <v>8</v>
      </c>
      <c r="E170" s="23" t="s">
        <v>254</v>
      </c>
      <c r="F170" s="27" t="e">
        <f>H170+J170+L170</f>
        <v>#REF!</v>
      </c>
      <c r="G170" s="28" t="e">
        <f>I170+K170+M170</f>
        <v>#REF!</v>
      </c>
      <c r="H170" s="27" t="e">
        <f>#REF!</f>
        <v>#REF!</v>
      </c>
      <c r="I170" s="28" t="e">
        <f>TRUNC(H170*D170,1)</f>
        <v>#REF!</v>
      </c>
      <c r="J170" s="27" t="e">
        <f>#REF!</f>
        <v>#REF!</v>
      </c>
      <c r="K170" s="28" t="e">
        <f>TRUNC(J170*D170,1)</f>
        <v>#REF!</v>
      </c>
      <c r="L170" s="27" t="e">
        <f>#REF!</f>
        <v>#REF!</v>
      </c>
      <c r="M170" s="28" t="e">
        <f>TRUNC(L170*D170,1)</f>
        <v>#REF!</v>
      </c>
      <c r="N170" s="32" t="s">
        <v>0</v>
      </c>
    </row>
    <row r="171" spans="1:14" ht="15" customHeight="1">
      <c r="A171" s="24"/>
      <c r="B171" s="25" t="s">
        <v>376</v>
      </c>
      <c r="C171" s="78">
        <v>1</v>
      </c>
      <c r="D171" s="29">
        <f>ROUND(1/C171,4)</f>
        <v>1</v>
      </c>
      <c r="E171" s="23" t="s">
        <v>375</v>
      </c>
      <c r="F171" s="27"/>
      <c r="G171" s="28" t="e">
        <f>I171+K171+M171</f>
        <v>#REF!</v>
      </c>
      <c r="H171" s="27"/>
      <c r="I171" s="28" t="e">
        <f>TRUNC(SUM(I168:I170)*$D171,1)</f>
        <v>#REF!</v>
      </c>
      <c r="J171" s="27"/>
      <c r="K171" s="28" t="e">
        <f>TRUNC(SUM(K168:K170)*$D171,1)</f>
        <v>#REF!</v>
      </c>
      <c r="L171" s="27"/>
      <c r="M171" s="28" t="e">
        <f>TRUNC(SUM(M168:M170)*$D171,1)</f>
        <v>#REF!</v>
      </c>
      <c r="N171" s="32"/>
    </row>
    <row r="172" spans="1:14" ht="15" customHeight="1">
      <c r="A172" s="24"/>
      <c r="B172" s="25"/>
      <c r="C172" s="78"/>
      <c r="D172" s="29"/>
      <c r="E172" s="23"/>
      <c r="F172" s="27"/>
      <c r="G172" s="28"/>
      <c r="H172" s="27"/>
      <c r="I172" s="28"/>
      <c r="J172" s="27"/>
      <c r="K172" s="28"/>
      <c r="L172" s="27"/>
      <c r="M172" s="28"/>
      <c r="N172" s="32"/>
    </row>
    <row r="173" spans="1:14" ht="15" customHeight="1">
      <c r="A173" s="45">
        <f>A167+1</f>
        <v>29</v>
      </c>
      <c r="B173" s="41" t="s">
        <v>437</v>
      </c>
      <c r="C173" s="42" t="s">
        <v>489</v>
      </c>
      <c r="D173" s="42">
        <v>1</v>
      </c>
      <c r="E173" s="43" t="s">
        <v>442</v>
      </c>
      <c r="F173" s="73"/>
      <c r="G173" s="44" t="e">
        <f>I173+K173+M173</f>
        <v>#REF!</v>
      </c>
      <c r="H173" s="73"/>
      <c r="I173" s="44" t="e">
        <f>SUM(I174:I175)</f>
        <v>#REF!</v>
      </c>
      <c r="J173" s="73"/>
      <c r="K173" s="44" t="e">
        <f>SUM(K174:K175)</f>
        <v>#REF!</v>
      </c>
      <c r="L173" s="73"/>
      <c r="M173" s="44" t="e">
        <f>SUM(M174:M175)</f>
        <v>#REF!</v>
      </c>
      <c r="N173" s="62"/>
    </row>
    <row r="174" spans="1:14" ht="15" customHeight="1">
      <c r="A174" s="24"/>
      <c r="B174" s="25" t="s">
        <v>443</v>
      </c>
      <c r="C174" s="26"/>
      <c r="D174" s="29">
        <v>0.5</v>
      </c>
      <c r="E174" s="23" t="s">
        <v>440</v>
      </c>
      <c r="F174" s="27" t="e">
        <f>H174+J174+L174</f>
        <v>#REF!</v>
      </c>
      <c r="G174" s="28" t="e">
        <f>I174+K174+M174</f>
        <v>#REF!</v>
      </c>
      <c r="H174" s="27" t="e">
        <f>I17</f>
        <v>#REF!</v>
      </c>
      <c r="I174" s="28" t="e">
        <f>TRUNC(H174*D174,1)</f>
        <v>#REF!</v>
      </c>
      <c r="J174" s="27" t="e">
        <f>K17</f>
        <v>#REF!</v>
      </c>
      <c r="K174" s="28" t="e">
        <f>TRUNC(J174*D174,1)</f>
        <v>#REF!</v>
      </c>
      <c r="L174" s="27" t="e">
        <f>M17</f>
        <v>#REF!</v>
      </c>
      <c r="M174" s="28" t="e">
        <f>TRUNC(L174*D174,1)</f>
        <v>#REF!</v>
      </c>
      <c r="N174" s="32" t="s">
        <v>0</v>
      </c>
    </row>
    <row r="175" spans="1:14" ht="15" customHeight="1">
      <c r="A175" s="24"/>
      <c r="B175" s="25" t="s">
        <v>444</v>
      </c>
      <c r="C175" s="26" t="s">
        <v>0</v>
      </c>
      <c r="D175" s="29">
        <v>1</v>
      </c>
      <c r="E175" s="23" t="s">
        <v>24</v>
      </c>
      <c r="F175" s="27" t="e">
        <f>H175+J175+L175</f>
        <v>#REF!</v>
      </c>
      <c r="G175" s="28" t="e">
        <f>I175+K175+M175</f>
        <v>#REF!</v>
      </c>
      <c r="H175" s="27" t="e">
        <f>'강관절단 및 절단(철거)'!I278</f>
        <v>#REF!</v>
      </c>
      <c r="I175" s="28" t="e">
        <f>TRUNC(H175*D175,1)</f>
        <v>#REF!</v>
      </c>
      <c r="J175" s="27">
        <f>'강관절단 및 절단(철거)'!K278</f>
        <v>15822</v>
      </c>
      <c r="K175" s="28">
        <f>TRUNC(J175*D175,1)</f>
        <v>15822</v>
      </c>
      <c r="L175" s="27">
        <f>'강관절단 및 절단(철거)'!M278</f>
        <v>0</v>
      </c>
      <c r="M175" s="28">
        <f>TRUNC(L175*D175,1)</f>
        <v>0</v>
      </c>
      <c r="N175" s="32" t="s">
        <v>0</v>
      </c>
    </row>
    <row r="176" spans="1:14" ht="15" customHeight="1">
      <c r="A176" s="24"/>
      <c r="B176" s="25"/>
      <c r="C176" s="78"/>
      <c r="D176" s="29"/>
      <c r="E176" s="23"/>
      <c r="F176" s="27"/>
      <c r="G176" s="28"/>
      <c r="H176" s="27"/>
      <c r="I176" s="28"/>
      <c r="J176" s="27"/>
      <c r="K176" s="28"/>
      <c r="L176" s="27"/>
      <c r="M176" s="28"/>
      <c r="N176" s="32"/>
    </row>
    <row r="177" spans="1:14" ht="15" customHeight="1">
      <c r="A177" s="45">
        <f>A173+1</f>
        <v>30</v>
      </c>
      <c r="B177" s="41" t="s">
        <v>437</v>
      </c>
      <c r="C177" s="47" t="s">
        <v>490</v>
      </c>
      <c r="D177" s="42">
        <v>1</v>
      </c>
      <c r="E177" s="43" t="s">
        <v>445</v>
      </c>
      <c r="F177" s="73"/>
      <c r="G177" s="44" t="e">
        <f>I177+K177+M177</f>
        <v>#REF!</v>
      </c>
      <c r="H177" s="105"/>
      <c r="I177" s="44" t="e">
        <f>SUM(I178:I179)</f>
        <v>#REF!</v>
      </c>
      <c r="J177" s="105"/>
      <c r="K177" s="44" t="e">
        <f>SUM(K178:K179)</f>
        <v>#REF!</v>
      </c>
      <c r="L177" s="105"/>
      <c r="M177" s="44" t="e">
        <f>SUM(M178:M179)</f>
        <v>#REF!</v>
      </c>
      <c r="N177" s="62"/>
    </row>
    <row r="178" spans="1:14" ht="15" customHeight="1">
      <c r="A178" s="24"/>
      <c r="B178" s="25" t="s">
        <v>439</v>
      </c>
      <c r="C178" s="26"/>
      <c r="D178" s="29">
        <v>0.5</v>
      </c>
      <c r="E178" s="23" t="s">
        <v>446</v>
      </c>
      <c r="F178" s="27" t="e">
        <f>H178+J178+L178</f>
        <v>#REF!</v>
      </c>
      <c r="G178" s="28" t="e">
        <f>I178+K178+M178</f>
        <v>#REF!</v>
      </c>
      <c r="H178" s="27" t="e">
        <f>I29</f>
        <v>#REF!</v>
      </c>
      <c r="I178" s="28" t="e">
        <f>TRUNC(H178*D178,1)</f>
        <v>#REF!</v>
      </c>
      <c r="J178" s="27" t="e">
        <f>K29</f>
        <v>#REF!</v>
      </c>
      <c r="K178" s="28" t="e">
        <f>TRUNC(J178*D178,1)</f>
        <v>#REF!</v>
      </c>
      <c r="L178" s="27" t="e">
        <f>M29</f>
        <v>#REF!</v>
      </c>
      <c r="M178" s="28" t="e">
        <f>TRUNC(L178*D178,1)</f>
        <v>#REF!</v>
      </c>
      <c r="N178" s="32" t="s">
        <v>0</v>
      </c>
    </row>
    <row r="179" spans="1:14" ht="15" customHeight="1">
      <c r="A179" s="24"/>
      <c r="B179" s="25" t="s">
        <v>447</v>
      </c>
      <c r="C179" s="26" t="s">
        <v>0</v>
      </c>
      <c r="D179" s="29">
        <v>1</v>
      </c>
      <c r="E179" s="23" t="s">
        <v>24</v>
      </c>
      <c r="F179" s="27" t="e">
        <f>H179+J179+L179</f>
        <v>#REF!</v>
      </c>
      <c r="G179" s="28" t="e">
        <f>I179+K179+M179</f>
        <v>#REF!</v>
      </c>
      <c r="H179" s="27" t="e">
        <f>'강관절단 및 절단(철거)'!I292</f>
        <v>#REF!</v>
      </c>
      <c r="I179" s="28" t="e">
        <f>TRUNC(H179*D179,1)</f>
        <v>#REF!</v>
      </c>
      <c r="J179" s="27">
        <f>'강관절단 및 절단(철거)'!K292</f>
        <v>19777</v>
      </c>
      <c r="K179" s="28">
        <f>TRUNC(J179*D179,1)</f>
        <v>19777</v>
      </c>
      <c r="L179" s="27">
        <f>'강관절단 및 절단(철거)'!M292</f>
        <v>0</v>
      </c>
      <c r="M179" s="28">
        <f>TRUNC(L179*D179,1)</f>
        <v>0</v>
      </c>
      <c r="N179" s="32" t="s">
        <v>0</v>
      </c>
    </row>
    <row r="180" spans="1:14" ht="15" customHeight="1">
      <c r="A180" s="24"/>
      <c r="B180" s="25"/>
      <c r="C180" s="78"/>
      <c r="D180" s="29"/>
      <c r="E180" s="23"/>
      <c r="F180" s="27"/>
      <c r="G180" s="28"/>
      <c r="H180" s="27"/>
      <c r="I180" s="28"/>
      <c r="J180" s="27"/>
      <c r="K180" s="28"/>
      <c r="L180" s="27"/>
      <c r="M180" s="28"/>
      <c r="N180" s="32"/>
    </row>
    <row r="181" spans="1:14" ht="15" customHeight="1">
      <c r="A181" s="45">
        <f>A177+1</f>
        <v>31</v>
      </c>
      <c r="B181" s="41" t="s">
        <v>448</v>
      </c>
      <c r="C181" s="47" t="s">
        <v>491</v>
      </c>
      <c r="D181" s="42">
        <v>1</v>
      </c>
      <c r="E181" s="43" t="s">
        <v>445</v>
      </c>
      <c r="F181" s="73"/>
      <c r="G181" s="44" t="e">
        <f>I181+K181+M181</f>
        <v>#REF!</v>
      </c>
      <c r="H181" s="73"/>
      <c r="I181" s="44" t="e">
        <f>SUM(I182:I183)</f>
        <v>#REF!</v>
      </c>
      <c r="J181" s="73"/>
      <c r="K181" s="44" t="e">
        <f>SUM(K182:K183)</f>
        <v>#REF!</v>
      </c>
      <c r="L181" s="73"/>
      <c r="M181" s="44" t="e">
        <f>SUM(M182:M183)</f>
        <v>#REF!</v>
      </c>
      <c r="N181" s="62"/>
    </row>
    <row r="182" spans="1:14" ht="15" customHeight="1">
      <c r="A182" s="24"/>
      <c r="B182" s="25" t="s">
        <v>439</v>
      </c>
      <c r="C182" s="26"/>
      <c r="D182" s="29">
        <v>0.5</v>
      </c>
      <c r="E182" s="23" t="s">
        <v>449</v>
      </c>
      <c r="F182" s="27" t="e">
        <f>H182+J182+L182</f>
        <v>#REF!</v>
      </c>
      <c r="G182" s="28" t="e">
        <f>I182+K182+M182</f>
        <v>#REF!</v>
      </c>
      <c r="H182" s="27" t="e">
        <f>I41</f>
        <v>#REF!</v>
      </c>
      <c r="I182" s="28" t="e">
        <f>TRUNC(H182*D182,1)</f>
        <v>#REF!</v>
      </c>
      <c r="J182" s="27" t="e">
        <f>K41</f>
        <v>#REF!</v>
      </c>
      <c r="K182" s="28" t="e">
        <f>TRUNC(J182*D182,1)</f>
        <v>#REF!</v>
      </c>
      <c r="L182" s="27" t="e">
        <f>M41</f>
        <v>#REF!</v>
      </c>
      <c r="M182" s="28" t="e">
        <f>TRUNC(L182*D182,1)</f>
        <v>#REF!</v>
      </c>
      <c r="N182" s="32" t="s">
        <v>0</v>
      </c>
    </row>
    <row r="183" spans="1:14" ht="15" customHeight="1">
      <c r="A183" s="24"/>
      <c r="B183" s="25" t="s">
        <v>447</v>
      </c>
      <c r="C183" s="26" t="s">
        <v>0</v>
      </c>
      <c r="D183" s="29">
        <v>1</v>
      </c>
      <c r="E183" s="23" t="s">
        <v>24</v>
      </c>
      <c r="F183" s="27" t="e">
        <f>H183+J183+L183</f>
        <v>#REF!</v>
      </c>
      <c r="G183" s="28" t="e">
        <f>I183+K183+M183</f>
        <v>#REF!</v>
      </c>
      <c r="H183" s="27" t="e">
        <f>'강관절단 및 절단(철거)'!I299</f>
        <v>#REF!</v>
      </c>
      <c r="I183" s="28" t="e">
        <f>TRUNC(H183*D183,1)</f>
        <v>#REF!</v>
      </c>
      <c r="J183" s="27">
        <f>'강관절단 및 절단(철거)'!K299</f>
        <v>25710</v>
      </c>
      <c r="K183" s="28">
        <f>TRUNC(J183*D183,1)</f>
        <v>25710</v>
      </c>
      <c r="L183" s="27">
        <f>'강관절단 및 절단(철거)'!M299</f>
        <v>0</v>
      </c>
      <c r="M183" s="28">
        <f>TRUNC(L183*D183,1)</f>
        <v>0</v>
      </c>
      <c r="N183" s="32" t="s">
        <v>0</v>
      </c>
    </row>
    <row r="184" spans="1:14" ht="15" customHeight="1">
      <c r="A184" s="24"/>
      <c r="B184" s="25"/>
      <c r="C184" s="78"/>
      <c r="D184" s="29"/>
      <c r="E184" s="23"/>
      <c r="F184" s="27"/>
      <c r="G184" s="28"/>
      <c r="H184" s="27"/>
      <c r="I184" s="28"/>
      <c r="J184" s="27"/>
      <c r="K184" s="28"/>
      <c r="L184" s="27"/>
      <c r="M184" s="28"/>
      <c r="N184" s="32"/>
    </row>
    <row r="185" spans="1:14" ht="15" customHeight="1">
      <c r="A185" s="45">
        <f>A181+1</f>
        <v>32</v>
      </c>
      <c r="B185" s="41" t="s">
        <v>450</v>
      </c>
      <c r="C185" s="47" t="s">
        <v>492</v>
      </c>
      <c r="D185" s="42">
        <v>1</v>
      </c>
      <c r="E185" s="43" t="s">
        <v>445</v>
      </c>
      <c r="F185" s="73"/>
      <c r="G185" s="44" t="e">
        <f>I185+K185+M185</f>
        <v>#REF!</v>
      </c>
      <c r="H185" s="105"/>
      <c r="I185" s="44" t="e">
        <f>SUM(I186:I187)</f>
        <v>#REF!</v>
      </c>
      <c r="J185" s="105"/>
      <c r="K185" s="44" t="e">
        <f>SUM(K186:K187)</f>
        <v>#REF!</v>
      </c>
      <c r="L185" s="105"/>
      <c r="M185" s="44" t="e">
        <f>SUM(M186:M187)</f>
        <v>#REF!</v>
      </c>
      <c r="N185" s="62"/>
    </row>
    <row r="186" spans="1:14" ht="15" customHeight="1">
      <c r="A186" s="24"/>
      <c r="B186" s="25" t="s">
        <v>439</v>
      </c>
      <c r="C186" s="26"/>
      <c r="D186" s="29">
        <v>0.5</v>
      </c>
      <c r="E186" s="23" t="s">
        <v>440</v>
      </c>
      <c r="F186" s="27" t="e">
        <f>H186+J186+L186</f>
        <v>#REF!</v>
      </c>
      <c r="G186" s="28" t="e">
        <f>I186+K186+M186</f>
        <v>#REF!</v>
      </c>
      <c r="H186" s="27" t="e">
        <f>I53</f>
        <v>#REF!</v>
      </c>
      <c r="I186" s="28" t="e">
        <f>TRUNC(H186*D186,1)</f>
        <v>#REF!</v>
      </c>
      <c r="J186" s="27" t="e">
        <f>K53</f>
        <v>#REF!</v>
      </c>
      <c r="K186" s="28" t="e">
        <f>TRUNC(J186*D186,1)</f>
        <v>#REF!</v>
      </c>
      <c r="L186" s="27" t="e">
        <f>M53</f>
        <v>#REF!</v>
      </c>
      <c r="M186" s="28" t="e">
        <f>TRUNC(L186*D186,1)</f>
        <v>#REF!</v>
      </c>
      <c r="N186" s="32" t="s">
        <v>0</v>
      </c>
    </row>
    <row r="187" spans="1:14" ht="15" customHeight="1">
      <c r="A187" s="24"/>
      <c r="B187" s="25" t="s">
        <v>447</v>
      </c>
      <c r="C187" s="26" t="s">
        <v>0</v>
      </c>
      <c r="D187" s="29">
        <v>1</v>
      </c>
      <c r="E187" s="23" t="s">
        <v>24</v>
      </c>
      <c r="F187" s="27" t="e">
        <f>H187+J187+L187</f>
        <v>#REF!</v>
      </c>
      <c r="G187" s="28" t="e">
        <f>I187+K187+M187</f>
        <v>#REF!</v>
      </c>
      <c r="H187" s="27" t="e">
        <f>'강관절단 및 절단(철거)'!I306</f>
        <v>#REF!</v>
      </c>
      <c r="I187" s="28" t="e">
        <f>TRUNC(H187*D187,1)</f>
        <v>#REF!</v>
      </c>
      <c r="J187" s="27">
        <f>'강관절단 및 절단(철거)'!K306</f>
        <v>31644</v>
      </c>
      <c r="K187" s="28">
        <f>TRUNC(J187*D187,1)</f>
        <v>31644</v>
      </c>
      <c r="L187" s="27">
        <f>'강관절단 및 절단(철거)'!M306</f>
        <v>0</v>
      </c>
      <c r="M187" s="28">
        <f>TRUNC(L187*D187,1)</f>
        <v>0</v>
      </c>
      <c r="N187" s="32" t="s">
        <v>0</v>
      </c>
    </row>
    <row r="188" spans="1:14" ht="15" customHeight="1">
      <c r="A188" s="24"/>
      <c r="B188" s="25"/>
      <c r="C188" s="78"/>
      <c r="D188" s="29"/>
      <c r="E188" s="23"/>
      <c r="F188" s="27"/>
      <c r="G188" s="28"/>
      <c r="H188" s="27"/>
      <c r="I188" s="28"/>
      <c r="J188" s="27"/>
      <c r="K188" s="28"/>
      <c r="L188" s="27"/>
      <c r="M188" s="28"/>
      <c r="N188" s="32"/>
    </row>
    <row r="189" spans="1:14" ht="15" customHeight="1">
      <c r="A189" s="45">
        <f>A185+1</f>
        <v>33</v>
      </c>
      <c r="B189" s="41" t="s">
        <v>450</v>
      </c>
      <c r="C189" s="47" t="s">
        <v>493</v>
      </c>
      <c r="D189" s="42">
        <v>1</v>
      </c>
      <c r="E189" s="43" t="s">
        <v>438</v>
      </c>
      <c r="F189" s="73"/>
      <c r="G189" s="44" t="e">
        <f>I189+K189+M189</f>
        <v>#REF!</v>
      </c>
      <c r="H189" s="73"/>
      <c r="I189" s="44" t="e">
        <f>SUM(I190:I191)</f>
        <v>#REF!</v>
      </c>
      <c r="J189" s="73"/>
      <c r="K189" s="44" t="e">
        <f>SUM(K190:K191)</f>
        <v>#REF!</v>
      </c>
      <c r="L189" s="73"/>
      <c r="M189" s="44" t="e">
        <f>SUM(M190:M191)</f>
        <v>#REF!</v>
      </c>
      <c r="N189" s="62"/>
    </row>
    <row r="190" spans="1:14" ht="15" customHeight="1">
      <c r="A190" s="24"/>
      <c r="B190" s="25" t="s">
        <v>451</v>
      </c>
      <c r="C190" s="26"/>
      <c r="D190" s="29">
        <v>0.5</v>
      </c>
      <c r="E190" s="23" t="s">
        <v>449</v>
      </c>
      <c r="F190" s="27" t="e">
        <f>H190+J190+L190</f>
        <v>#REF!</v>
      </c>
      <c r="G190" s="28" t="e">
        <f>I190+K190+M190</f>
        <v>#REF!</v>
      </c>
      <c r="H190" s="27" t="e">
        <f>I59</f>
        <v>#REF!</v>
      </c>
      <c r="I190" s="28" t="e">
        <f>TRUNC(H190*D190,1)</f>
        <v>#REF!</v>
      </c>
      <c r="J190" s="27" t="e">
        <f>K59</f>
        <v>#REF!</v>
      </c>
      <c r="K190" s="28" t="e">
        <f>TRUNC(J190*D190,1)</f>
        <v>#REF!</v>
      </c>
      <c r="L190" s="27" t="e">
        <f>M59</f>
        <v>#REF!</v>
      </c>
      <c r="M190" s="28" t="e">
        <f>TRUNC(L190*D190,1)</f>
        <v>#REF!</v>
      </c>
      <c r="N190" s="32" t="s">
        <v>0</v>
      </c>
    </row>
    <row r="191" spans="1:14" ht="15" customHeight="1">
      <c r="A191" s="24"/>
      <c r="B191" s="25" t="s">
        <v>444</v>
      </c>
      <c r="C191" s="26" t="s">
        <v>0</v>
      </c>
      <c r="D191" s="29">
        <v>1</v>
      </c>
      <c r="E191" s="23" t="s">
        <v>24</v>
      </c>
      <c r="F191" s="27" t="e">
        <f>H191+J191+L191</f>
        <v>#REF!</v>
      </c>
      <c r="G191" s="28" t="e">
        <f>I191+K191+M191</f>
        <v>#REF!</v>
      </c>
      <c r="H191" s="27" t="e">
        <f>'강관절단 및 절단(철거)'!I313</f>
        <v>#REF!</v>
      </c>
      <c r="I191" s="28" t="e">
        <f>TRUNC(H191*D191,1)</f>
        <v>#REF!</v>
      </c>
      <c r="J191" s="27">
        <f>'강관절단 및 절단(철거)'!K313</f>
        <v>39555</v>
      </c>
      <c r="K191" s="28">
        <f>TRUNC(J191*D191,1)</f>
        <v>39555</v>
      </c>
      <c r="L191" s="27">
        <f>'강관절단 및 절단(철거)'!M313</f>
        <v>0</v>
      </c>
      <c r="M191" s="28">
        <f>TRUNC(L191*D191,1)</f>
        <v>0</v>
      </c>
      <c r="N191" s="32" t="s">
        <v>0</v>
      </c>
    </row>
    <row r="192" spans="1:14" ht="15" customHeight="1">
      <c r="A192" s="24"/>
      <c r="B192" s="25"/>
      <c r="C192" s="78"/>
      <c r="D192" s="29"/>
      <c r="E192" s="23"/>
      <c r="F192" s="27"/>
      <c r="G192" s="28"/>
      <c r="H192" s="27"/>
      <c r="I192" s="28"/>
      <c r="J192" s="27"/>
      <c r="K192" s="28"/>
      <c r="L192" s="27"/>
      <c r="M192" s="28"/>
      <c r="N192" s="32"/>
    </row>
    <row r="193" spans="1:14" ht="15" customHeight="1">
      <c r="A193" s="45">
        <f>A189+1</f>
        <v>34</v>
      </c>
      <c r="B193" s="41" t="s">
        <v>452</v>
      </c>
      <c r="C193" s="47" t="s">
        <v>494</v>
      </c>
      <c r="D193" s="42">
        <v>1</v>
      </c>
      <c r="E193" s="43" t="s">
        <v>442</v>
      </c>
      <c r="F193" s="73"/>
      <c r="G193" s="44" t="e">
        <f>I193+K193+M193</f>
        <v>#REF!</v>
      </c>
      <c r="H193" s="73"/>
      <c r="I193" s="44" t="e">
        <f>SUM(I194:I195)</f>
        <v>#REF!</v>
      </c>
      <c r="J193" s="73"/>
      <c r="K193" s="44" t="e">
        <f>SUM(K194:K195)</f>
        <v>#REF!</v>
      </c>
      <c r="L193" s="73"/>
      <c r="M193" s="44" t="e">
        <f>SUM(M194:M195)</f>
        <v>#REF!</v>
      </c>
      <c r="N193" s="62"/>
    </row>
    <row r="194" spans="1:14" ht="15" customHeight="1">
      <c r="A194" s="24"/>
      <c r="B194" s="25" t="s">
        <v>439</v>
      </c>
      <c r="C194" s="26"/>
      <c r="D194" s="29">
        <v>0.5</v>
      </c>
      <c r="E194" s="23" t="s">
        <v>453</v>
      </c>
      <c r="F194" s="27" t="e">
        <f>H194+J194+L194</f>
        <v>#REF!</v>
      </c>
      <c r="G194" s="28" t="e">
        <f>I194+K194+M194</f>
        <v>#REF!</v>
      </c>
      <c r="H194" s="27" t="e">
        <f>I65</f>
        <v>#REF!</v>
      </c>
      <c r="I194" s="28" t="e">
        <f>TRUNC(H194*D194,1)</f>
        <v>#REF!</v>
      </c>
      <c r="J194" s="27" t="e">
        <f>K65</f>
        <v>#REF!</v>
      </c>
      <c r="K194" s="28" t="e">
        <f>TRUNC(J194*D194,1)</f>
        <v>#REF!</v>
      </c>
      <c r="L194" s="27" t="e">
        <f>M65</f>
        <v>#REF!</v>
      </c>
      <c r="M194" s="28" t="e">
        <f>TRUNC(L194*D194,1)</f>
        <v>#REF!</v>
      </c>
      <c r="N194" s="32" t="s">
        <v>0</v>
      </c>
    </row>
    <row r="195" spans="1:14" ht="15" customHeight="1">
      <c r="A195" s="24"/>
      <c r="B195" s="25" t="s">
        <v>444</v>
      </c>
      <c r="C195" s="26" t="s">
        <v>0</v>
      </c>
      <c r="D195" s="29">
        <v>1</v>
      </c>
      <c r="E195" s="23" t="s">
        <v>24</v>
      </c>
      <c r="F195" s="27" t="e">
        <f>H195+J195+L195</f>
        <v>#REF!</v>
      </c>
      <c r="G195" s="28" t="e">
        <f>I195+K195+M195</f>
        <v>#REF!</v>
      </c>
      <c r="H195" s="27" t="e">
        <f>'강관절단 및 절단(철거)'!I320</f>
        <v>#REF!</v>
      </c>
      <c r="I195" s="28" t="e">
        <f>TRUNC(H195*D195,1)</f>
        <v>#REF!</v>
      </c>
      <c r="J195" s="27">
        <f>'강관절단 및 절단(철거)'!K320</f>
        <v>51421</v>
      </c>
      <c r="K195" s="28">
        <f>TRUNC(J195*D195,1)</f>
        <v>51421</v>
      </c>
      <c r="L195" s="27">
        <f>'강관절단 및 절단(철거)'!M320</f>
        <v>0</v>
      </c>
      <c r="M195" s="28">
        <f>TRUNC(L195*D195,1)</f>
        <v>0</v>
      </c>
      <c r="N195" s="32" t="s">
        <v>0</v>
      </c>
    </row>
    <row r="196" spans="1:14" ht="15" customHeight="1">
      <c r="A196" s="24"/>
      <c r="B196" s="25"/>
      <c r="C196" s="78"/>
      <c r="D196" s="29"/>
      <c r="E196" s="23"/>
      <c r="F196" s="27"/>
      <c r="G196" s="28"/>
      <c r="H196" s="27"/>
      <c r="I196" s="28"/>
      <c r="J196" s="27"/>
      <c r="K196" s="28"/>
      <c r="L196" s="27"/>
      <c r="M196" s="28"/>
      <c r="N196" s="32"/>
    </row>
    <row r="197" spans="1:14" ht="15" customHeight="1">
      <c r="A197" s="45">
        <f>A193+1</f>
        <v>35</v>
      </c>
      <c r="B197" s="41" t="s">
        <v>454</v>
      </c>
      <c r="C197" s="47" t="s">
        <v>495</v>
      </c>
      <c r="D197" s="42">
        <v>1</v>
      </c>
      <c r="E197" s="43" t="s">
        <v>455</v>
      </c>
      <c r="F197" s="73"/>
      <c r="G197" s="44" t="e">
        <f>I197+K197+M197</f>
        <v>#REF!</v>
      </c>
      <c r="H197" s="73"/>
      <c r="I197" s="44" t="e">
        <f>SUM(I198:I199)</f>
        <v>#REF!</v>
      </c>
      <c r="J197" s="73"/>
      <c r="K197" s="44" t="e">
        <f>SUM(K198:K199)</f>
        <v>#REF!</v>
      </c>
      <c r="L197" s="73"/>
      <c r="M197" s="44" t="e">
        <f>SUM(M198:M199)</f>
        <v>#REF!</v>
      </c>
      <c r="N197" s="62"/>
    </row>
    <row r="198" spans="1:14" ht="15" customHeight="1">
      <c r="A198" s="24"/>
      <c r="B198" s="25" t="s">
        <v>456</v>
      </c>
      <c r="C198" s="26"/>
      <c r="D198" s="29">
        <v>0.5</v>
      </c>
      <c r="E198" s="23" t="s">
        <v>457</v>
      </c>
      <c r="F198" s="27" t="e">
        <f>H198+J198+L198</f>
        <v>#REF!</v>
      </c>
      <c r="G198" s="28" t="e">
        <f>I198+K198+M198</f>
        <v>#REF!</v>
      </c>
      <c r="H198" s="27" t="e">
        <f>I71</f>
        <v>#REF!</v>
      </c>
      <c r="I198" s="28" t="e">
        <f>TRUNC(H198*D198,1)</f>
        <v>#REF!</v>
      </c>
      <c r="J198" s="27" t="e">
        <f>K71</f>
        <v>#REF!</v>
      </c>
      <c r="K198" s="28" t="e">
        <f>TRUNC(J198*D198,1)</f>
        <v>#REF!</v>
      </c>
      <c r="L198" s="27" t="e">
        <f>M71</f>
        <v>#REF!</v>
      </c>
      <c r="M198" s="28" t="e">
        <f>TRUNC(L198*D198,1)</f>
        <v>#REF!</v>
      </c>
      <c r="N198" s="32" t="s">
        <v>0</v>
      </c>
    </row>
    <row r="199" spans="1:14" ht="15" customHeight="1">
      <c r="A199" s="24"/>
      <c r="B199" s="25" t="s">
        <v>458</v>
      </c>
      <c r="C199" s="26" t="s">
        <v>0</v>
      </c>
      <c r="D199" s="29">
        <v>1</v>
      </c>
      <c r="E199" s="23" t="s">
        <v>24</v>
      </c>
      <c r="F199" s="27" t="e">
        <f>H199+J199+L199</f>
        <v>#REF!</v>
      </c>
      <c r="G199" s="28" t="e">
        <f>I199+K199+M199</f>
        <v>#REF!</v>
      </c>
      <c r="H199" s="27" t="e">
        <f>'강관절단 및 절단(철거)'!I327</f>
        <v>#REF!</v>
      </c>
      <c r="I199" s="28" t="e">
        <f>TRUNC(H199*D199,1)</f>
        <v>#REF!</v>
      </c>
      <c r="J199" s="27">
        <f>'강관절단 및 절단(철거)'!K327</f>
        <v>61310</v>
      </c>
      <c r="K199" s="28">
        <f>TRUNC(J199*D199,1)</f>
        <v>61310</v>
      </c>
      <c r="L199" s="27">
        <f>'강관절단 및 절단(철거)'!M327</f>
        <v>0</v>
      </c>
      <c r="M199" s="28">
        <f>TRUNC(L199*D199,1)</f>
        <v>0</v>
      </c>
      <c r="N199" s="32" t="s">
        <v>0</v>
      </c>
    </row>
    <row r="200" spans="1:14" ht="15" customHeight="1">
      <c r="A200" s="24"/>
      <c r="B200" s="25"/>
      <c r="C200" s="78"/>
      <c r="D200" s="29"/>
      <c r="E200" s="23"/>
      <c r="F200" s="27"/>
      <c r="G200" s="28"/>
      <c r="H200" s="27"/>
      <c r="I200" s="28"/>
      <c r="J200" s="27"/>
      <c r="K200" s="28"/>
      <c r="L200" s="27"/>
      <c r="M200" s="28"/>
      <c r="N200" s="32"/>
    </row>
    <row r="201" spans="1:14" ht="15" customHeight="1">
      <c r="A201" s="45">
        <f>A197+1</f>
        <v>36</v>
      </c>
      <c r="B201" s="41" t="s">
        <v>437</v>
      </c>
      <c r="C201" s="47" t="s">
        <v>496</v>
      </c>
      <c r="D201" s="42">
        <v>1</v>
      </c>
      <c r="E201" s="43" t="s">
        <v>442</v>
      </c>
      <c r="F201" s="73"/>
      <c r="G201" s="44" t="e">
        <f>I201+K201+M201</f>
        <v>#REF!</v>
      </c>
      <c r="H201" s="73"/>
      <c r="I201" s="44" t="e">
        <f>SUM(I202:I203)</f>
        <v>#REF!</v>
      </c>
      <c r="J201" s="73"/>
      <c r="K201" s="44" t="e">
        <f>SUM(K202:K203)</f>
        <v>#REF!</v>
      </c>
      <c r="L201" s="73"/>
      <c r="M201" s="44" t="e">
        <f>SUM(M202:M203)</f>
        <v>#REF!</v>
      </c>
      <c r="N201" s="62"/>
    </row>
    <row r="202" spans="1:14" ht="15" customHeight="1">
      <c r="A202" s="24"/>
      <c r="B202" s="25" t="s">
        <v>459</v>
      </c>
      <c r="C202" s="26"/>
      <c r="D202" s="29">
        <v>0.5</v>
      </c>
      <c r="E202" s="23" t="s">
        <v>453</v>
      </c>
      <c r="F202" s="27" t="e">
        <f>H202+J202+L202</f>
        <v>#REF!</v>
      </c>
      <c r="G202" s="28" t="e">
        <f>I202+K202+M202</f>
        <v>#REF!</v>
      </c>
      <c r="H202" s="27" t="e">
        <f>I77</f>
        <v>#REF!</v>
      </c>
      <c r="I202" s="28" t="e">
        <f>TRUNC(H202*D202,1)</f>
        <v>#REF!</v>
      </c>
      <c r="J202" s="27" t="e">
        <f>K77</f>
        <v>#REF!</v>
      </c>
      <c r="K202" s="28" t="e">
        <f>TRUNC(J202*D202,1)</f>
        <v>#REF!</v>
      </c>
      <c r="L202" s="27" t="e">
        <f>M77</f>
        <v>#REF!</v>
      </c>
      <c r="M202" s="28" t="e">
        <f>TRUNC(L202*D202,1)</f>
        <v>#REF!</v>
      </c>
      <c r="N202" s="32" t="s">
        <v>0</v>
      </c>
    </row>
    <row r="203" spans="1:14" ht="15" customHeight="1">
      <c r="A203" s="24"/>
      <c r="B203" s="25" t="s">
        <v>444</v>
      </c>
      <c r="C203" s="26" t="s">
        <v>0</v>
      </c>
      <c r="D203" s="29">
        <v>1</v>
      </c>
      <c r="E203" s="23" t="s">
        <v>24</v>
      </c>
      <c r="F203" s="27" t="e">
        <f>H203+J203+L203</f>
        <v>#REF!</v>
      </c>
      <c r="G203" s="28" t="e">
        <f>I203+K203+M203</f>
        <v>#REF!</v>
      </c>
      <c r="H203" s="27" t="e">
        <f>'강관절단 및 절단(철거)'!I334</f>
        <v>#REF!</v>
      </c>
      <c r="I203" s="28" t="e">
        <f>TRUNC(H203*D203,1)</f>
        <v>#REF!</v>
      </c>
      <c r="J203" s="27">
        <f>'강관절단 및 절단(철거)'!K334</f>
        <v>71199</v>
      </c>
      <c r="K203" s="28">
        <f>TRUNC(J203*D203,1)</f>
        <v>71199</v>
      </c>
      <c r="L203" s="27">
        <f>'강관절단 및 절단(철거)'!M334</f>
        <v>0</v>
      </c>
      <c r="M203" s="28">
        <f>TRUNC(L203*D203,1)</f>
        <v>0</v>
      </c>
      <c r="N203" s="32" t="s">
        <v>0</v>
      </c>
    </row>
    <row r="204" spans="1:14" ht="15" customHeight="1">
      <c r="A204" s="24"/>
      <c r="B204" s="25"/>
      <c r="C204" s="78"/>
      <c r="D204" s="29"/>
      <c r="E204" s="23"/>
      <c r="F204" s="27"/>
      <c r="G204" s="28"/>
      <c r="H204" s="27"/>
      <c r="I204" s="28"/>
      <c r="J204" s="27"/>
      <c r="K204" s="28"/>
      <c r="L204" s="27"/>
      <c r="M204" s="28"/>
      <c r="N204" s="32"/>
    </row>
    <row r="205" spans="1:14" ht="15" customHeight="1">
      <c r="A205" s="45">
        <f>A201+1</f>
        <v>37</v>
      </c>
      <c r="B205" s="41" t="s">
        <v>460</v>
      </c>
      <c r="C205" s="47" t="s">
        <v>497</v>
      </c>
      <c r="D205" s="42">
        <v>1</v>
      </c>
      <c r="E205" s="43" t="s">
        <v>407</v>
      </c>
      <c r="F205" s="73"/>
      <c r="G205" s="44" t="e">
        <f>I205+K205+M205</f>
        <v>#REF!</v>
      </c>
      <c r="H205" s="73"/>
      <c r="I205" s="44" t="e">
        <f>SUM(I206:I207)</f>
        <v>#REF!</v>
      </c>
      <c r="J205" s="73"/>
      <c r="K205" s="44" t="e">
        <f>SUM(K206:K207)</f>
        <v>#REF!</v>
      </c>
      <c r="L205" s="73"/>
      <c r="M205" s="44" t="e">
        <f>SUM(M206:M207)</f>
        <v>#REF!</v>
      </c>
      <c r="N205" s="62"/>
    </row>
    <row r="206" spans="1:14" ht="15" customHeight="1">
      <c r="A206" s="24"/>
      <c r="B206" s="25" t="s">
        <v>461</v>
      </c>
      <c r="C206" s="26"/>
      <c r="D206" s="29">
        <v>0.5</v>
      </c>
      <c r="E206" s="23" t="s">
        <v>462</v>
      </c>
      <c r="F206" s="27" t="e">
        <f>H206+J206+L206</f>
        <v>#REF!</v>
      </c>
      <c r="G206" s="28" t="e">
        <f>I206+K206+M206</f>
        <v>#REF!</v>
      </c>
      <c r="H206" s="27" t="e">
        <f>I83</f>
        <v>#REF!</v>
      </c>
      <c r="I206" s="28" t="e">
        <f>TRUNC(H206*D206,1)</f>
        <v>#REF!</v>
      </c>
      <c r="J206" s="27" t="e">
        <f>K83</f>
        <v>#REF!</v>
      </c>
      <c r="K206" s="28" t="e">
        <f>TRUNC(J206*D206,1)</f>
        <v>#REF!</v>
      </c>
      <c r="L206" s="27" t="e">
        <f>M83</f>
        <v>#REF!</v>
      </c>
      <c r="M206" s="28" t="e">
        <f>TRUNC(L206*D206,1)</f>
        <v>#REF!</v>
      </c>
      <c r="N206" s="32" t="s">
        <v>0</v>
      </c>
    </row>
    <row r="207" spans="1:14" ht="15" customHeight="1">
      <c r="A207" s="24"/>
      <c r="B207" s="25" t="s">
        <v>463</v>
      </c>
      <c r="C207" s="26" t="s">
        <v>0</v>
      </c>
      <c r="D207" s="29">
        <v>1</v>
      </c>
      <c r="E207" s="23" t="s">
        <v>24</v>
      </c>
      <c r="F207" s="27" t="e">
        <f>H207+J207+L207</f>
        <v>#REF!</v>
      </c>
      <c r="G207" s="28" t="e">
        <f>I207+K207+M207</f>
        <v>#REF!</v>
      </c>
      <c r="H207" s="27" t="e">
        <f>'강관절단 및 절단(철거)'!I341</f>
        <v>#REF!</v>
      </c>
      <c r="I207" s="28" t="e">
        <f>TRUNC(H207*D207,1)</f>
        <v>#REF!</v>
      </c>
      <c r="J207" s="27">
        <f>'강관절단 및 절단(철거)'!K341</f>
        <v>81087</v>
      </c>
      <c r="K207" s="28">
        <f>TRUNC(J207*D207,1)</f>
        <v>81087</v>
      </c>
      <c r="L207" s="27">
        <f>'강관절단 및 절단(철거)'!M341</f>
        <v>0</v>
      </c>
      <c r="M207" s="28">
        <f>TRUNC(L207*D207,1)</f>
        <v>0</v>
      </c>
      <c r="N207" s="32" t="s">
        <v>0</v>
      </c>
    </row>
    <row r="208" spans="1:14" ht="15" customHeight="1">
      <c r="A208" s="24"/>
      <c r="B208" s="25"/>
      <c r="C208" s="78"/>
      <c r="D208" s="29"/>
      <c r="E208" s="23"/>
      <c r="F208" s="27"/>
      <c r="G208" s="28"/>
      <c r="H208" s="27"/>
      <c r="I208" s="28"/>
      <c r="J208" s="27"/>
      <c r="K208" s="28"/>
      <c r="L208" s="27"/>
      <c r="M208" s="28"/>
      <c r="N208" s="32"/>
    </row>
    <row r="209" spans="1:14" ht="15" customHeight="1">
      <c r="A209" s="45">
        <f>A205+1</f>
        <v>38</v>
      </c>
      <c r="B209" s="41" t="s">
        <v>450</v>
      </c>
      <c r="C209" s="47" t="s">
        <v>498</v>
      </c>
      <c r="D209" s="42">
        <v>1</v>
      </c>
      <c r="E209" s="43" t="s">
        <v>438</v>
      </c>
      <c r="F209" s="73"/>
      <c r="G209" s="44" t="e">
        <f>I209+K209+M209</f>
        <v>#REF!</v>
      </c>
      <c r="H209" s="73"/>
      <c r="I209" s="44" t="e">
        <f>SUM(I210:I211)</f>
        <v>#REF!</v>
      </c>
      <c r="J209" s="73"/>
      <c r="K209" s="44" t="e">
        <f>SUM(K210:K211)</f>
        <v>#REF!</v>
      </c>
      <c r="L209" s="73"/>
      <c r="M209" s="44" t="e">
        <f>SUM(M210:M211)</f>
        <v>#REF!</v>
      </c>
      <c r="N209" s="62"/>
    </row>
    <row r="210" spans="1:14" ht="15" customHeight="1">
      <c r="A210" s="24"/>
      <c r="B210" s="25" t="s">
        <v>451</v>
      </c>
      <c r="C210" s="26"/>
      <c r="D210" s="29">
        <v>0.5</v>
      </c>
      <c r="E210" s="23" t="s">
        <v>464</v>
      </c>
      <c r="F210" s="27" t="e">
        <f>H210+J210+L210</f>
        <v>#REF!</v>
      </c>
      <c r="G210" s="28" t="e">
        <f>I210+K210+M210</f>
        <v>#REF!</v>
      </c>
      <c r="H210" s="27" t="e">
        <f>I89</f>
        <v>#REF!</v>
      </c>
      <c r="I210" s="28" t="e">
        <f>TRUNC(H210*D210,1)</f>
        <v>#REF!</v>
      </c>
      <c r="J210" s="27" t="e">
        <f>K89</f>
        <v>#REF!</v>
      </c>
      <c r="K210" s="28" t="e">
        <f>TRUNC(J210*D210,1)</f>
        <v>#REF!</v>
      </c>
      <c r="L210" s="27" t="e">
        <f>M89</f>
        <v>#REF!</v>
      </c>
      <c r="M210" s="28" t="e">
        <f>TRUNC(L210*D210,1)</f>
        <v>#REF!</v>
      </c>
      <c r="N210" s="32" t="s">
        <v>0</v>
      </c>
    </row>
    <row r="211" spans="1:14" ht="15" customHeight="1">
      <c r="A211" s="24"/>
      <c r="B211" s="25" t="s">
        <v>441</v>
      </c>
      <c r="C211" s="26" t="s">
        <v>0</v>
      </c>
      <c r="D211" s="29">
        <v>1</v>
      </c>
      <c r="E211" s="23" t="s">
        <v>24</v>
      </c>
      <c r="F211" s="27" t="e">
        <f>H211+J211+L211</f>
        <v>#REF!</v>
      </c>
      <c r="G211" s="28" t="e">
        <f>I211+K211+M211</f>
        <v>#REF!</v>
      </c>
      <c r="H211" s="27" t="e">
        <f>'강관절단 및 절단(철거)'!I348</f>
        <v>#REF!</v>
      </c>
      <c r="I211" s="28" t="e">
        <f>TRUNC(H211*D211,1)</f>
        <v>#REF!</v>
      </c>
      <c r="J211" s="27">
        <f>'강관절단 및 절단(철거)'!K348</f>
        <v>90976</v>
      </c>
      <c r="K211" s="28">
        <f>TRUNC(J211*D211,1)</f>
        <v>90976</v>
      </c>
      <c r="L211" s="27">
        <f>'강관절단 및 절단(철거)'!M348</f>
        <v>0</v>
      </c>
      <c r="M211" s="28">
        <f>TRUNC(L211*D211,1)</f>
        <v>0</v>
      </c>
      <c r="N211" s="32" t="s">
        <v>0</v>
      </c>
    </row>
    <row r="212" spans="1:14" ht="15" customHeight="1">
      <c r="A212" s="24"/>
      <c r="B212" s="25"/>
      <c r="C212" s="78"/>
      <c r="D212" s="29"/>
      <c r="E212" s="23"/>
      <c r="F212" s="27"/>
      <c r="G212" s="28"/>
      <c r="H212" s="27"/>
      <c r="I212" s="28"/>
      <c r="J212" s="27"/>
      <c r="K212" s="28"/>
      <c r="L212" s="27"/>
      <c r="M212" s="28"/>
      <c r="N212" s="32"/>
    </row>
    <row r="213" spans="1:14" ht="15" customHeight="1">
      <c r="A213" s="45">
        <f>A209+1</f>
        <v>39</v>
      </c>
      <c r="B213" s="41" t="s">
        <v>452</v>
      </c>
      <c r="C213" s="47" t="s">
        <v>499</v>
      </c>
      <c r="D213" s="42">
        <v>1</v>
      </c>
      <c r="E213" s="43" t="s">
        <v>407</v>
      </c>
      <c r="F213" s="73"/>
      <c r="G213" s="44" t="e">
        <f>I213+K213+M213</f>
        <v>#REF!</v>
      </c>
      <c r="H213" s="73"/>
      <c r="I213" s="44" t="e">
        <f>SUM(I214:I215)</f>
        <v>#REF!</v>
      </c>
      <c r="J213" s="73"/>
      <c r="K213" s="44" t="e">
        <f>SUM(K214:K215)</f>
        <v>#REF!</v>
      </c>
      <c r="L213" s="73"/>
      <c r="M213" s="44" t="e">
        <f>SUM(M214:M215)</f>
        <v>#REF!</v>
      </c>
      <c r="N213" s="62"/>
    </row>
    <row r="214" spans="1:14" ht="15" customHeight="1">
      <c r="A214" s="24"/>
      <c r="B214" s="25" t="s">
        <v>465</v>
      </c>
      <c r="C214" s="26"/>
      <c r="D214" s="29">
        <v>0.5</v>
      </c>
      <c r="E214" s="23" t="s">
        <v>466</v>
      </c>
      <c r="F214" s="27" t="e">
        <f>H214+J214+L214</f>
        <v>#REF!</v>
      </c>
      <c r="G214" s="28" t="e">
        <f>I214+K214+M214</f>
        <v>#REF!</v>
      </c>
      <c r="H214" s="27" t="e">
        <f>I95</f>
        <v>#REF!</v>
      </c>
      <c r="I214" s="28" t="e">
        <f>TRUNC(H214*D214,1)</f>
        <v>#REF!</v>
      </c>
      <c r="J214" s="27" t="e">
        <f>K95</f>
        <v>#REF!</v>
      </c>
      <c r="K214" s="28" t="e">
        <f>TRUNC(J214*D214,1)</f>
        <v>#REF!</v>
      </c>
      <c r="L214" s="27" t="e">
        <f>M95</f>
        <v>#REF!</v>
      </c>
      <c r="M214" s="28" t="e">
        <f>TRUNC(L214*D214,1)</f>
        <v>#REF!</v>
      </c>
      <c r="N214" s="32" t="s">
        <v>0</v>
      </c>
    </row>
    <row r="215" spans="1:14" ht="15" customHeight="1">
      <c r="A215" s="24"/>
      <c r="B215" s="25" t="s">
        <v>467</v>
      </c>
      <c r="C215" s="26" t="s">
        <v>0</v>
      </c>
      <c r="D215" s="29">
        <v>1</v>
      </c>
      <c r="E215" s="23" t="s">
        <v>24</v>
      </c>
      <c r="F215" s="27" t="e">
        <f>H215+J215+L215</f>
        <v>#REF!</v>
      </c>
      <c r="G215" s="28" t="e">
        <f>I215+K215+M215</f>
        <v>#REF!</v>
      </c>
      <c r="H215" s="27" t="e">
        <f>'강관절단 및 절단(철거)'!I362</f>
        <v>#REF!</v>
      </c>
      <c r="I215" s="28" t="e">
        <f>TRUNC(H215*D215,1)</f>
        <v>#REF!</v>
      </c>
      <c r="J215" s="27">
        <f>'강관절단 및 절단(철거)'!K362</f>
        <v>106798</v>
      </c>
      <c r="K215" s="28">
        <f>TRUNC(J215*D215,1)</f>
        <v>106798</v>
      </c>
      <c r="L215" s="27">
        <f>'강관절단 및 절단(철거)'!M362</f>
        <v>0</v>
      </c>
      <c r="M215" s="28">
        <f>TRUNC(L215*D215,1)</f>
        <v>0</v>
      </c>
      <c r="N215" s="32" t="s">
        <v>0</v>
      </c>
    </row>
    <row r="216" spans="1:14" ht="15" customHeight="1">
      <c r="A216" s="24"/>
      <c r="B216" s="25"/>
      <c r="C216" s="78"/>
      <c r="D216" s="29"/>
      <c r="E216" s="23"/>
      <c r="F216" s="27"/>
      <c r="G216" s="28"/>
      <c r="H216" s="27"/>
      <c r="I216" s="28"/>
      <c r="J216" s="27"/>
      <c r="K216" s="28"/>
      <c r="L216" s="27"/>
      <c r="M216" s="28"/>
      <c r="N216" s="32"/>
    </row>
    <row r="217" spans="1:14" ht="15" customHeight="1">
      <c r="A217" s="45">
        <f>A213+1</f>
        <v>40</v>
      </c>
      <c r="B217" s="41" t="s">
        <v>468</v>
      </c>
      <c r="C217" s="47" t="s">
        <v>500</v>
      </c>
      <c r="D217" s="42">
        <v>1</v>
      </c>
      <c r="E217" s="43" t="s">
        <v>469</v>
      </c>
      <c r="F217" s="73"/>
      <c r="G217" s="44" t="e">
        <f>I217+K217+M217</f>
        <v>#REF!</v>
      </c>
      <c r="H217" s="73"/>
      <c r="I217" s="44" t="e">
        <f>SUM(I218:I219)</f>
        <v>#REF!</v>
      </c>
      <c r="J217" s="73"/>
      <c r="K217" s="44" t="e">
        <f>SUM(K218:K219)</f>
        <v>#REF!</v>
      </c>
      <c r="L217" s="73"/>
      <c r="M217" s="44" t="e">
        <f>SUM(M218:M219)</f>
        <v>#REF!</v>
      </c>
      <c r="N217" s="62"/>
    </row>
    <row r="218" spans="1:14" ht="15" customHeight="1">
      <c r="A218" s="24"/>
      <c r="B218" s="25" t="s">
        <v>439</v>
      </c>
      <c r="C218" s="26"/>
      <c r="D218" s="29">
        <v>0.5</v>
      </c>
      <c r="E218" s="23" t="s">
        <v>453</v>
      </c>
      <c r="F218" s="27" t="e">
        <f>H218+J218+L218</f>
        <v>#REF!</v>
      </c>
      <c r="G218" s="28" t="e">
        <f>I218+K218+M218</f>
        <v>#REF!</v>
      </c>
      <c r="H218" s="27" t="e">
        <f>I101</f>
        <v>#REF!</v>
      </c>
      <c r="I218" s="28" t="e">
        <f>TRUNC(H218*D218,1)</f>
        <v>#REF!</v>
      </c>
      <c r="J218" s="27" t="e">
        <f>K101</f>
        <v>#REF!</v>
      </c>
      <c r="K218" s="28" t="e">
        <f>TRUNC(J218*D218,1)</f>
        <v>#REF!</v>
      </c>
      <c r="L218" s="27" t="e">
        <f>M101</f>
        <v>#REF!</v>
      </c>
      <c r="M218" s="28" t="e">
        <f>TRUNC(L218*D218,1)</f>
        <v>#REF!</v>
      </c>
      <c r="N218" s="32" t="s">
        <v>0</v>
      </c>
    </row>
    <row r="219" spans="1:14" ht="15" customHeight="1">
      <c r="A219" s="24"/>
      <c r="B219" s="25" t="s">
        <v>470</v>
      </c>
      <c r="C219" s="26" t="s">
        <v>0</v>
      </c>
      <c r="D219" s="29">
        <v>1</v>
      </c>
      <c r="E219" s="23" t="s">
        <v>24</v>
      </c>
      <c r="F219" s="27" t="e">
        <f>H219+J219+L219</f>
        <v>#REF!</v>
      </c>
      <c r="G219" s="28" t="e">
        <f>I219+K219+M219</f>
        <v>#REF!</v>
      </c>
      <c r="H219" s="27" t="e">
        <f>'강관절단 및 절단(철거)'!I376</f>
        <v>#REF!</v>
      </c>
      <c r="I219" s="28" t="e">
        <f>TRUNC(H219*D219,1)</f>
        <v>#REF!</v>
      </c>
      <c r="J219" s="27">
        <f>'강관절단 및 절단(철거)'!K376</f>
        <v>128553</v>
      </c>
      <c r="K219" s="28">
        <f>TRUNC(J219*D219,1)</f>
        <v>128553</v>
      </c>
      <c r="L219" s="27">
        <f>'강관절단 및 절단(철거)'!M376</f>
        <v>0</v>
      </c>
      <c r="M219" s="28">
        <f>TRUNC(L219*D219,1)</f>
        <v>0</v>
      </c>
      <c r="N219" s="32" t="s">
        <v>0</v>
      </c>
    </row>
    <row r="220" spans="1:14" ht="15" customHeight="1">
      <c r="A220" s="24"/>
      <c r="B220" s="25"/>
      <c r="C220" s="78"/>
      <c r="D220" s="29"/>
      <c r="E220" s="23"/>
      <c r="F220" s="27"/>
      <c r="G220" s="28"/>
      <c r="H220" s="27"/>
      <c r="I220" s="28"/>
      <c r="J220" s="27"/>
      <c r="K220" s="28"/>
      <c r="L220" s="27"/>
      <c r="M220" s="28"/>
      <c r="N220" s="32"/>
    </row>
    <row r="221" spans="1:14" ht="15" customHeight="1">
      <c r="A221" s="45">
        <f>A217+1</f>
        <v>41</v>
      </c>
      <c r="B221" s="41" t="s">
        <v>471</v>
      </c>
      <c r="C221" s="47" t="s">
        <v>501</v>
      </c>
      <c r="D221" s="42">
        <v>1</v>
      </c>
      <c r="E221" s="43" t="s">
        <v>438</v>
      </c>
      <c r="F221" s="73"/>
      <c r="G221" s="44" t="e">
        <f>I221+K221+M221</f>
        <v>#REF!</v>
      </c>
      <c r="H221" s="73"/>
      <c r="I221" s="44" t="e">
        <f>SUM(I222:I223)</f>
        <v>#REF!</v>
      </c>
      <c r="J221" s="73"/>
      <c r="K221" s="44" t="e">
        <f>SUM(K222:K223)</f>
        <v>#REF!</v>
      </c>
      <c r="L221" s="73"/>
      <c r="M221" s="44" t="e">
        <f>SUM(M222:M223)</f>
        <v>#REF!</v>
      </c>
      <c r="N221" s="62"/>
    </row>
    <row r="222" spans="1:14" ht="15" customHeight="1">
      <c r="A222" s="24"/>
      <c r="B222" s="25" t="s">
        <v>472</v>
      </c>
      <c r="C222" s="26"/>
      <c r="D222" s="29">
        <v>0.5</v>
      </c>
      <c r="E222" s="23" t="s">
        <v>453</v>
      </c>
      <c r="F222" s="27" t="e">
        <f>H222+J222+L222</f>
        <v>#REF!</v>
      </c>
      <c r="G222" s="28" t="e">
        <f>I222+K222+M222</f>
        <v>#REF!</v>
      </c>
      <c r="H222" s="27" t="e">
        <f>I107</f>
        <v>#REF!</v>
      </c>
      <c r="I222" s="28" t="e">
        <f>TRUNC(H222*D222,1)</f>
        <v>#REF!</v>
      </c>
      <c r="J222" s="27" t="e">
        <f>K107</f>
        <v>#REF!</v>
      </c>
      <c r="K222" s="28" t="e">
        <f>TRUNC(J222*D222,1)</f>
        <v>#REF!</v>
      </c>
      <c r="L222" s="27" t="e">
        <f>M107</f>
        <v>#REF!</v>
      </c>
      <c r="M222" s="28" t="e">
        <f>TRUNC(L222*D222,1)</f>
        <v>#REF!</v>
      </c>
      <c r="N222" s="32" t="s">
        <v>0</v>
      </c>
    </row>
    <row r="223" spans="1:14" ht="15" customHeight="1">
      <c r="A223" s="24"/>
      <c r="B223" s="25" t="s">
        <v>444</v>
      </c>
      <c r="C223" s="26" t="s">
        <v>0</v>
      </c>
      <c r="D223" s="29">
        <v>1</v>
      </c>
      <c r="E223" s="23" t="s">
        <v>24</v>
      </c>
      <c r="F223" s="27" t="e">
        <f>H223+J223+L223</f>
        <v>#REF!</v>
      </c>
      <c r="G223" s="28" t="e">
        <f>I223+K223+M223</f>
        <v>#REF!</v>
      </c>
      <c r="H223" s="27" t="e">
        <f>'강관절단 및 절단(철거)'!I390</f>
        <v>#REF!</v>
      </c>
      <c r="I223" s="28" t="e">
        <f>TRUNC(H223*D223,1)</f>
        <v>#REF!</v>
      </c>
      <c r="J223" s="27">
        <f>'강관절단 및 절단(철거)'!K390</f>
        <v>138442</v>
      </c>
      <c r="K223" s="28">
        <f>TRUNC(J223*D223,1)</f>
        <v>138442</v>
      </c>
      <c r="L223" s="27">
        <f>'강관절단 및 절단(철거)'!M390</f>
        <v>0</v>
      </c>
      <c r="M223" s="28">
        <f>TRUNC(L223*D223,1)</f>
        <v>0</v>
      </c>
      <c r="N223" s="32" t="s">
        <v>0</v>
      </c>
    </row>
    <row r="224" spans="1:14" ht="15" customHeight="1">
      <c r="A224" s="24"/>
      <c r="B224" s="25"/>
      <c r="C224" s="78"/>
      <c r="D224" s="29"/>
      <c r="E224" s="23"/>
      <c r="F224" s="27"/>
      <c r="G224" s="28"/>
      <c r="H224" s="27"/>
      <c r="I224" s="28"/>
      <c r="J224" s="27"/>
      <c r="K224" s="28"/>
      <c r="L224" s="27"/>
      <c r="M224" s="28"/>
      <c r="N224" s="32"/>
    </row>
    <row r="225" spans="1:14" ht="15" customHeight="1">
      <c r="A225" s="45">
        <f>A221+1</f>
        <v>42</v>
      </c>
      <c r="B225" s="41" t="s">
        <v>473</v>
      </c>
      <c r="C225" s="47" t="s">
        <v>502</v>
      </c>
      <c r="D225" s="42">
        <v>1</v>
      </c>
      <c r="E225" s="43" t="s">
        <v>474</v>
      </c>
      <c r="F225" s="73"/>
      <c r="G225" s="44" t="e">
        <f>I225+K225+M225</f>
        <v>#REF!</v>
      </c>
      <c r="H225" s="73"/>
      <c r="I225" s="44" t="e">
        <f>SUM(I226:I227)</f>
        <v>#REF!</v>
      </c>
      <c r="J225" s="73"/>
      <c r="K225" s="44" t="e">
        <f>SUM(K226:K227)</f>
        <v>#REF!</v>
      </c>
      <c r="L225" s="73"/>
      <c r="M225" s="44" t="e">
        <f>SUM(M226:M227)</f>
        <v>#REF!</v>
      </c>
      <c r="N225" s="62"/>
    </row>
    <row r="226" spans="1:14" ht="15" customHeight="1">
      <c r="A226" s="24"/>
      <c r="B226" s="25" t="s">
        <v>439</v>
      </c>
      <c r="C226" s="26"/>
      <c r="D226" s="29">
        <v>0.5</v>
      </c>
      <c r="E226" s="23" t="s">
        <v>475</v>
      </c>
      <c r="F226" s="27" t="e">
        <f>H226+J226+L226</f>
        <v>#REF!</v>
      </c>
      <c r="G226" s="28" t="e">
        <f>I226+K226+M226</f>
        <v>#REF!</v>
      </c>
      <c r="H226" s="27" t="e">
        <f>I113</f>
        <v>#REF!</v>
      </c>
      <c r="I226" s="28" t="e">
        <f>TRUNC(H226*D226,1)</f>
        <v>#REF!</v>
      </c>
      <c r="J226" s="27" t="e">
        <f>K113</f>
        <v>#REF!</v>
      </c>
      <c r="K226" s="28" t="e">
        <f>TRUNC(J226*D226,1)</f>
        <v>#REF!</v>
      </c>
      <c r="L226" s="27" t="e">
        <f>M113</f>
        <v>#REF!</v>
      </c>
      <c r="M226" s="28" t="e">
        <f>TRUNC(L226*D226,1)</f>
        <v>#REF!</v>
      </c>
      <c r="N226" s="32" t="s">
        <v>0</v>
      </c>
    </row>
    <row r="227" spans="1:14" ht="15" customHeight="1">
      <c r="A227" s="24"/>
      <c r="B227" s="25" t="s">
        <v>467</v>
      </c>
      <c r="C227" s="26" t="s">
        <v>0</v>
      </c>
      <c r="D227" s="29">
        <v>1</v>
      </c>
      <c r="E227" s="23" t="s">
        <v>24</v>
      </c>
      <c r="F227" s="27" t="e">
        <f>H227+J227+L227</f>
        <v>#REF!</v>
      </c>
      <c r="G227" s="28" t="e">
        <f>I227+K227+M227</f>
        <v>#REF!</v>
      </c>
      <c r="H227" s="27" t="e">
        <f>'강관절단 및 절단(철거)'!I404</f>
        <v>#REF!</v>
      </c>
      <c r="I227" s="28" t="e">
        <f>TRUNC(H227*D227,1)</f>
        <v>#REF!</v>
      </c>
      <c r="J227" s="27">
        <f>'강관절단 및 절단(철거)'!K404</f>
        <v>168108</v>
      </c>
      <c r="K227" s="28">
        <f>TRUNC(J227*D227,1)</f>
        <v>168108</v>
      </c>
      <c r="L227" s="27">
        <f>'강관절단 및 절단(철거)'!M404</f>
        <v>0</v>
      </c>
      <c r="M227" s="28">
        <f>TRUNC(L227*D227,1)</f>
        <v>0</v>
      </c>
      <c r="N227" s="32" t="s">
        <v>0</v>
      </c>
    </row>
    <row r="228" spans="1:14" ht="15" customHeight="1">
      <c r="A228" s="24"/>
      <c r="B228" s="25"/>
      <c r="C228" s="78"/>
      <c r="D228" s="29"/>
      <c r="E228" s="23"/>
      <c r="F228" s="27"/>
      <c r="G228" s="28"/>
      <c r="H228" s="27"/>
      <c r="I228" s="28"/>
      <c r="J228" s="27"/>
      <c r="K228" s="28"/>
      <c r="L228" s="27"/>
      <c r="M228" s="28"/>
      <c r="N228" s="32"/>
    </row>
    <row r="229" spans="1:14" ht="15" customHeight="1">
      <c r="A229" s="45">
        <f>A225+1</f>
        <v>43</v>
      </c>
      <c r="B229" s="41" t="s">
        <v>450</v>
      </c>
      <c r="C229" s="47" t="s">
        <v>190</v>
      </c>
      <c r="D229" s="42">
        <v>1</v>
      </c>
      <c r="E229" s="43" t="s">
        <v>474</v>
      </c>
      <c r="F229" s="73"/>
      <c r="G229" s="44" t="e">
        <f>I229+K229+M229</f>
        <v>#REF!</v>
      </c>
      <c r="H229" s="73"/>
      <c r="I229" s="44" t="e">
        <f>SUM(I230:I231)</f>
        <v>#REF!</v>
      </c>
      <c r="J229" s="73"/>
      <c r="K229" s="44" t="e">
        <f>SUM(K230:K231)</f>
        <v>#REF!</v>
      </c>
      <c r="L229" s="73"/>
      <c r="M229" s="44" t="e">
        <f>SUM(M230:M231)</f>
        <v>#REF!</v>
      </c>
      <c r="N229" s="62"/>
    </row>
    <row r="230" spans="1:14" ht="15" customHeight="1">
      <c r="A230" s="24"/>
      <c r="B230" s="25" t="s">
        <v>439</v>
      </c>
      <c r="C230" s="26"/>
      <c r="D230" s="29">
        <v>0.5</v>
      </c>
      <c r="E230" s="23" t="s">
        <v>476</v>
      </c>
      <c r="F230" s="27" t="e">
        <f>H230+J230+L230</f>
        <v>#REF!</v>
      </c>
      <c r="G230" s="28" t="e">
        <f>I230+K230+M230</f>
        <v>#REF!</v>
      </c>
      <c r="H230" s="27" t="e">
        <f>I119</f>
        <v>#REF!</v>
      </c>
      <c r="I230" s="28" t="e">
        <f>TRUNC(H230*D230,1)</f>
        <v>#REF!</v>
      </c>
      <c r="J230" s="27" t="e">
        <f>K119</f>
        <v>#REF!</v>
      </c>
      <c r="K230" s="28" t="e">
        <f>TRUNC(J230*D230,1)</f>
        <v>#REF!</v>
      </c>
      <c r="L230" s="27" t="e">
        <f>M119</f>
        <v>#REF!</v>
      </c>
      <c r="M230" s="28" t="e">
        <f>TRUNC(L230*D230,1)</f>
        <v>#REF!</v>
      </c>
      <c r="N230" s="32" t="s">
        <v>0</v>
      </c>
    </row>
    <row r="231" spans="1:14" ht="15" customHeight="1">
      <c r="A231" s="24"/>
      <c r="B231" s="25" t="s">
        <v>477</v>
      </c>
      <c r="C231" s="26" t="s">
        <v>0</v>
      </c>
      <c r="D231" s="29">
        <v>1</v>
      </c>
      <c r="E231" s="23" t="s">
        <v>24</v>
      </c>
      <c r="F231" s="27" t="e">
        <f>H231+J231+L231</f>
        <v>#REF!</v>
      </c>
      <c r="G231" s="28" t="e">
        <f>I231+K231+M231</f>
        <v>#REF!</v>
      </c>
      <c r="H231" s="27" t="e">
        <f>'강관절단 및 절단(철거)'!I418</f>
        <v>#REF!</v>
      </c>
      <c r="I231" s="28" t="e">
        <f>TRUNC(H231*D231,1)</f>
        <v>#REF!</v>
      </c>
      <c r="J231" s="27">
        <f>'강관절단 및 절단(철거)'!K418</f>
        <v>172064</v>
      </c>
      <c r="K231" s="28">
        <f>TRUNC(J231*D231,1)</f>
        <v>172064</v>
      </c>
      <c r="L231" s="27">
        <f>'강관절단 및 절단(철거)'!M418</f>
        <v>0</v>
      </c>
      <c r="M231" s="28">
        <f>TRUNC(L231*D231,1)</f>
        <v>0</v>
      </c>
      <c r="N231" s="32" t="s">
        <v>0</v>
      </c>
    </row>
    <row r="232" spans="1:14" ht="15" customHeight="1">
      <c r="A232" s="24"/>
      <c r="B232" s="25"/>
      <c r="C232" s="78"/>
      <c r="D232" s="29"/>
      <c r="E232" s="23"/>
      <c r="F232" s="27"/>
      <c r="G232" s="28"/>
      <c r="H232" s="27"/>
      <c r="I232" s="28"/>
      <c r="J232" s="27"/>
      <c r="K232" s="28"/>
      <c r="L232" s="27"/>
      <c r="M232" s="28"/>
      <c r="N232" s="32"/>
    </row>
    <row r="233" spans="1:14" ht="15" customHeight="1">
      <c r="A233" s="45">
        <f>A229+1</f>
        <v>44</v>
      </c>
      <c r="B233" s="41" t="s">
        <v>478</v>
      </c>
      <c r="C233" s="47" t="s">
        <v>191</v>
      </c>
      <c r="D233" s="42">
        <v>1</v>
      </c>
      <c r="E233" s="43" t="s">
        <v>407</v>
      </c>
      <c r="F233" s="73"/>
      <c r="G233" s="44" t="e">
        <f>I233+K233+M233</f>
        <v>#REF!</v>
      </c>
      <c r="H233" s="73"/>
      <c r="I233" s="44" t="e">
        <f>SUM(I234:I235)</f>
        <v>#REF!</v>
      </c>
      <c r="J233" s="73"/>
      <c r="K233" s="44" t="e">
        <f>SUM(K234:K235)</f>
        <v>#REF!</v>
      </c>
      <c r="L233" s="73"/>
      <c r="M233" s="44" t="e">
        <f>SUM(M234:M235)</f>
        <v>#REF!</v>
      </c>
      <c r="N233" s="62"/>
    </row>
    <row r="234" spans="1:14" ht="15" customHeight="1">
      <c r="A234" s="24"/>
      <c r="B234" s="25" t="s">
        <v>439</v>
      </c>
      <c r="C234" s="26"/>
      <c r="D234" s="29">
        <v>0.5</v>
      </c>
      <c r="E234" s="23" t="s">
        <v>479</v>
      </c>
      <c r="F234" s="27" t="e">
        <f>H234+J234+L234</f>
        <v>#REF!</v>
      </c>
      <c r="G234" s="28" t="e">
        <f>I234+K234+M234</f>
        <v>#REF!</v>
      </c>
      <c r="H234" s="27" t="e">
        <f>I125</f>
        <v>#REF!</v>
      </c>
      <c r="I234" s="28" t="e">
        <f>TRUNC(H234*D234,1)</f>
        <v>#REF!</v>
      </c>
      <c r="J234" s="27" t="e">
        <f>K125</f>
        <v>#REF!</v>
      </c>
      <c r="K234" s="28" t="e">
        <f>TRUNC(J234*D234,1)</f>
        <v>#REF!</v>
      </c>
      <c r="L234" s="27" t="e">
        <f>M125</f>
        <v>#REF!</v>
      </c>
      <c r="M234" s="28" t="e">
        <f>TRUNC(L234*D234,1)</f>
        <v>#REF!</v>
      </c>
      <c r="N234" s="32" t="s">
        <v>0</v>
      </c>
    </row>
    <row r="235" spans="1:14" ht="15" customHeight="1">
      <c r="A235" s="24"/>
      <c r="B235" s="25" t="s">
        <v>480</v>
      </c>
      <c r="C235" s="26" t="s">
        <v>0</v>
      </c>
      <c r="D235" s="29">
        <v>1</v>
      </c>
      <c r="E235" s="23" t="s">
        <v>24</v>
      </c>
      <c r="F235" s="27" t="e">
        <f>H235+J235+L235</f>
        <v>#REF!</v>
      </c>
      <c r="G235" s="28" t="e">
        <f>I235+K235+M235</f>
        <v>#REF!</v>
      </c>
      <c r="H235" s="27" t="e">
        <f>'강관절단 및 절단(철거)'!I432</f>
        <v>#REF!</v>
      </c>
      <c r="I235" s="28" t="e">
        <f>TRUNC(H235*D235,1)</f>
        <v>#REF!</v>
      </c>
      <c r="J235" s="27">
        <f>'강관절단 및 절단(철거)'!K432</f>
        <v>195797</v>
      </c>
      <c r="K235" s="28">
        <f>TRUNC(J235*D235,1)</f>
        <v>195797</v>
      </c>
      <c r="L235" s="27">
        <f>'강관절단 및 절단(철거)'!M432</f>
        <v>0</v>
      </c>
      <c r="M235" s="28">
        <f>TRUNC(L235*D235,1)</f>
        <v>0</v>
      </c>
      <c r="N235" s="32" t="s">
        <v>0</v>
      </c>
    </row>
    <row r="236" spans="1:14" ht="15" customHeight="1">
      <c r="A236" s="24"/>
      <c r="B236" s="25"/>
      <c r="C236" s="78"/>
      <c r="D236" s="29"/>
      <c r="E236" s="23"/>
      <c r="F236" s="27"/>
      <c r="G236" s="28"/>
      <c r="H236" s="27"/>
      <c r="I236" s="28"/>
      <c r="J236" s="27"/>
      <c r="K236" s="28"/>
      <c r="L236" s="27"/>
      <c r="M236" s="28"/>
      <c r="N236" s="32"/>
    </row>
    <row r="237" spans="1:14" ht="15" customHeight="1">
      <c r="A237" s="45">
        <f>A233+1</f>
        <v>45</v>
      </c>
      <c r="B237" s="41" t="s">
        <v>468</v>
      </c>
      <c r="C237" s="47" t="s">
        <v>503</v>
      </c>
      <c r="D237" s="42">
        <v>1</v>
      </c>
      <c r="E237" s="43" t="s">
        <v>469</v>
      </c>
      <c r="F237" s="73"/>
      <c r="G237" s="44" t="e">
        <f>I237+K237+M237</f>
        <v>#REF!</v>
      </c>
      <c r="H237" s="73"/>
      <c r="I237" s="44" t="e">
        <f>SUM(I238:I239)</f>
        <v>#REF!</v>
      </c>
      <c r="J237" s="73"/>
      <c r="K237" s="44" t="e">
        <f>SUM(K238:K239)</f>
        <v>#REF!</v>
      </c>
      <c r="L237" s="73"/>
      <c r="M237" s="44" t="e">
        <f>SUM(M238:M239)</f>
        <v>#REF!</v>
      </c>
      <c r="N237" s="62"/>
    </row>
    <row r="238" spans="1:14" ht="15" customHeight="1">
      <c r="A238" s="24"/>
      <c r="B238" s="25" t="s">
        <v>465</v>
      </c>
      <c r="C238" s="26"/>
      <c r="D238" s="29">
        <v>0.5</v>
      </c>
      <c r="E238" s="23" t="s">
        <v>449</v>
      </c>
      <c r="F238" s="27" t="e">
        <f>H238+J238+L238</f>
        <v>#REF!</v>
      </c>
      <c r="G238" s="28" t="e">
        <f>I238+K238+M238</f>
        <v>#REF!</v>
      </c>
      <c r="H238" s="27" t="e">
        <f>I131</f>
        <v>#REF!</v>
      </c>
      <c r="I238" s="28" t="e">
        <f>TRUNC(H238*D238,1)</f>
        <v>#REF!</v>
      </c>
      <c r="J238" s="27" t="e">
        <f>K131</f>
        <v>#REF!</v>
      </c>
      <c r="K238" s="28" t="e">
        <f>TRUNC(J238*D238,1)</f>
        <v>#REF!</v>
      </c>
      <c r="L238" s="27" t="e">
        <f>M131</f>
        <v>#REF!</v>
      </c>
      <c r="M238" s="28" t="e">
        <f>TRUNC(L238*D238,1)</f>
        <v>#REF!</v>
      </c>
      <c r="N238" s="32" t="s">
        <v>0</v>
      </c>
    </row>
    <row r="239" spans="1:14" ht="15" customHeight="1">
      <c r="A239" s="24"/>
      <c r="B239" s="25" t="s">
        <v>467</v>
      </c>
      <c r="C239" s="26" t="s">
        <v>0</v>
      </c>
      <c r="D239" s="29">
        <v>1</v>
      </c>
      <c r="E239" s="23" t="s">
        <v>24</v>
      </c>
      <c r="F239" s="27" t="e">
        <f>H239+J239+L239</f>
        <v>#REF!</v>
      </c>
      <c r="G239" s="28" t="e">
        <f>I239+K239+M239</f>
        <v>#REF!</v>
      </c>
      <c r="H239" s="27" t="e">
        <f>'강관절단 및 절단(철거)'!I446</f>
        <v>#REF!</v>
      </c>
      <c r="I239" s="28" t="e">
        <f>TRUNC(H239*D239,1)</f>
        <v>#REF!</v>
      </c>
      <c r="J239" s="27">
        <f>'강관절단 및 절단(철거)'!K446</f>
        <v>243263</v>
      </c>
      <c r="K239" s="28">
        <f>TRUNC(J239*D239,1)</f>
        <v>243263</v>
      </c>
      <c r="L239" s="27">
        <f>'강관절단 및 절단(철거)'!M446</f>
        <v>0</v>
      </c>
      <c r="M239" s="28">
        <f>TRUNC(L239*D239,1)</f>
        <v>0</v>
      </c>
      <c r="N239" s="32" t="s">
        <v>0</v>
      </c>
    </row>
    <row r="240" spans="1:14" ht="15" customHeight="1">
      <c r="A240" s="24"/>
      <c r="B240" s="25"/>
      <c r="C240" s="78"/>
      <c r="D240" s="29"/>
      <c r="E240" s="23"/>
      <c r="F240" s="27"/>
      <c r="G240" s="28"/>
      <c r="H240" s="27"/>
      <c r="I240" s="28"/>
      <c r="J240" s="27"/>
      <c r="K240" s="28"/>
      <c r="L240" s="27"/>
      <c r="M240" s="28"/>
      <c r="N240" s="32"/>
    </row>
    <row r="241" spans="1:14" ht="15" customHeight="1">
      <c r="A241" s="45">
        <f>A237+1</f>
        <v>46</v>
      </c>
      <c r="B241" s="41" t="s">
        <v>481</v>
      </c>
      <c r="C241" s="47" t="s">
        <v>193</v>
      </c>
      <c r="D241" s="42">
        <v>1</v>
      </c>
      <c r="E241" s="43" t="s">
        <v>407</v>
      </c>
      <c r="F241" s="73"/>
      <c r="G241" s="44" t="e">
        <f>I241+K241+M241</f>
        <v>#REF!</v>
      </c>
      <c r="H241" s="73"/>
      <c r="I241" s="44" t="e">
        <f>SUM(I242:I243)</f>
        <v>#REF!</v>
      </c>
      <c r="J241" s="73"/>
      <c r="K241" s="44" t="e">
        <f>SUM(K242:K243)</f>
        <v>#REF!</v>
      </c>
      <c r="L241" s="73"/>
      <c r="M241" s="44" t="e">
        <f>SUM(M242:M243)</f>
        <v>#REF!</v>
      </c>
      <c r="N241" s="62"/>
    </row>
    <row r="242" spans="1:14" ht="15" customHeight="1">
      <c r="A242" s="24"/>
      <c r="B242" s="25" t="s">
        <v>482</v>
      </c>
      <c r="C242" s="26"/>
      <c r="D242" s="29">
        <v>0.5</v>
      </c>
      <c r="E242" s="23" t="s">
        <v>483</v>
      </c>
      <c r="F242" s="27" t="e">
        <f>H242+J242+L242</f>
        <v>#REF!</v>
      </c>
      <c r="G242" s="28" t="e">
        <f>I242+K242+M242</f>
        <v>#REF!</v>
      </c>
      <c r="H242" s="27" t="e">
        <f>I137</f>
        <v>#REF!</v>
      </c>
      <c r="I242" s="28" t="e">
        <f>TRUNC(H242*D242,1)</f>
        <v>#REF!</v>
      </c>
      <c r="J242" s="27" t="e">
        <f>K137</f>
        <v>#REF!</v>
      </c>
      <c r="K242" s="28" t="e">
        <f>TRUNC(J242*D242,1)</f>
        <v>#REF!</v>
      </c>
      <c r="L242" s="27" t="e">
        <f>M137</f>
        <v>#REF!</v>
      </c>
      <c r="M242" s="28" t="e">
        <f>TRUNC(L242*D242,1)</f>
        <v>#REF!</v>
      </c>
      <c r="N242" s="32" t="s">
        <v>0</v>
      </c>
    </row>
    <row r="243" spans="1:14" ht="15" customHeight="1">
      <c r="A243" s="24"/>
      <c r="B243" s="25" t="s">
        <v>484</v>
      </c>
      <c r="C243" s="26" t="s">
        <v>0</v>
      </c>
      <c r="D243" s="29">
        <v>1</v>
      </c>
      <c r="E243" s="23" t="s">
        <v>24</v>
      </c>
      <c r="F243" s="27" t="e">
        <f>H243+J243+L243</f>
        <v>#REF!</v>
      </c>
      <c r="G243" s="28" t="e">
        <f>I243+K243+M243</f>
        <v>#REF!</v>
      </c>
      <c r="H243" s="27" t="e">
        <f>'강관절단 및 절단(철거)'!I460</f>
        <v>#REF!</v>
      </c>
      <c r="I243" s="28" t="e">
        <f>TRUNC(H243*D243,1)</f>
        <v>#REF!</v>
      </c>
      <c r="J243" s="27">
        <f>'강관절단 및 절단(철거)'!K460</f>
        <v>292707</v>
      </c>
      <c r="K243" s="28">
        <f>TRUNC(J243*D243,1)</f>
        <v>292707</v>
      </c>
      <c r="L243" s="27">
        <f>'강관절단 및 절단(철거)'!M460</f>
        <v>0</v>
      </c>
      <c r="M243" s="28">
        <f>TRUNC(L243*D243,1)</f>
        <v>0</v>
      </c>
      <c r="N243" s="32" t="s">
        <v>0</v>
      </c>
    </row>
    <row r="244" spans="1:14" ht="15" customHeight="1">
      <c r="A244" s="24"/>
      <c r="B244" s="25"/>
      <c r="C244" s="78"/>
      <c r="D244" s="29"/>
      <c r="E244" s="23"/>
      <c r="F244" s="27"/>
      <c r="G244" s="28"/>
      <c r="H244" s="27"/>
      <c r="I244" s="28"/>
      <c r="J244" s="27"/>
      <c r="K244" s="28"/>
      <c r="L244" s="27"/>
      <c r="M244" s="28"/>
      <c r="N244" s="32"/>
    </row>
    <row r="245" spans="1:14" ht="15" customHeight="1">
      <c r="A245" s="45">
        <f>A241+1</f>
        <v>47</v>
      </c>
      <c r="B245" s="41" t="s">
        <v>473</v>
      </c>
      <c r="C245" s="47" t="s">
        <v>485</v>
      </c>
      <c r="D245" s="42">
        <v>1</v>
      </c>
      <c r="E245" s="43" t="s">
        <v>407</v>
      </c>
      <c r="F245" s="73"/>
      <c r="G245" s="44" t="e">
        <f>I245+K245+M245</f>
        <v>#REF!</v>
      </c>
      <c r="H245" s="73"/>
      <c r="I245" s="44" t="e">
        <f>SUM(I246:I247)</f>
        <v>#REF!</v>
      </c>
      <c r="J245" s="73"/>
      <c r="K245" s="44" t="e">
        <f>SUM(K246:K247)</f>
        <v>#REF!</v>
      </c>
      <c r="L245" s="73"/>
      <c r="M245" s="44" t="e">
        <f>SUM(M246:M247)</f>
        <v>#REF!</v>
      </c>
      <c r="N245" s="62"/>
    </row>
    <row r="246" spans="1:14" ht="15" customHeight="1">
      <c r="A246" s="24"/>
      <c r="B246" s="25" t="s">
        <v>461</v>
      </c>
      <c r="C246" s="26"/>
      <c r="D246" s="29">
        <v>0.5</v>
      </c>
      <c r="E246" s="23" t="s">
        <v>476</v>
      </c>
      <c r="F246" s="27" t="e">
        <f>H246+J246+L246</f>
        <v>#REF!</v>
      </c>
      <c r="G246" s="28" t="e">
        <f>I246+K246+M246</f>
        <v>#REF!</v>
      </c>
      <c r="H246" s="27" t="e">
        <f>I143</f>
        <v>#REF!</v>
      </c>
      <c r="I246" s="28" t="e">
        <f>TRUNC(H246*D246,1)</f>
        <v>#REF!</v>
      </c>
      <c r="J246" s="27" t="e">
        <f>K143</f>
        <v>#REF!</v>
      </c>
      <c r="K246" s="28" t="e">
        <f>TRUNC(J246*D246,1)</f>
        <v>#REF!</v>
      </c>
      <c r="L246" s="27" t="e">
        <f>M143</f>
        <v>#REF!</v>
      </c>
      <c r="M246" s="28" t="e">
        <f>TRUNC(L246*D246,1)</f>
        <v>#REF!</v>
      </c>
      <c r="N246" s="32" t="s">
        <v>0</v>
      </c>
    </row>
    <row r="247" spans="1:14" ht="15" customHeight="1">
      <c r="A247" s="24"/>
      <c r="B247" s="25" t="s">
        <v>477</v>
      </c>
      <c r="C247" s="26" t="s">
        <v>0</v>
      </c>
      <c r="D247" s="29">
        <v>1</v>
      </c>
      <c r="E247" s="23" t="s">
        <v>24</v>
      </c>
      <c r="F247" s="27" t="e">
        <f>H247+J247+L247</f>
        <v>#REF!</v>
      </c>
      <c r="G247" s="28" t="e">
        <f>I247+K247+M247</f>
        <v>#REF!</v>
      </c>
      <c r="H247" s="27" t="e">
        <f>'강관절단 및 절단(철거)'!I474</f>
        <v>#REF!</v>
      </c>
      <c r="I247" s="28" t="e">
        <f>TRUNC(H247*D247,1)</f>
        <v>#REF!</v>
      </c>
      <c r="J247" s="27">
        <f>'강관절단 및 절단(철거)'!K474</f>
        <v>338195</v>
      </c>
      <c r="K247" s="28">
        <f>TRUNC(J247*D247,1)</f>
        <v>338195</v>
      </c>
      <c r="L247" s="27">
        <f>'강관절단 및 절단(철거)'!M474</f>
        <v>0</v>
      </c>
      <c r="M247" s="28">
        <f>TRUNC(L247*D247,1)</f>
        <v>0</v>
      </c>
      <c r="N247" s="32" t="s">
        <v>0</v>
      </c>
    </row>
    <row r="248" spans="1:14" ht="15" customHeight="1">
      <c r="A248" s="24"/>
      <c r="B248" s="25"/>
      <c r="C248" s="78"/>
      <c r="D248" s="29"/>
      <c r="E248" s="23"/>
      <c r="F248" s="27"/>
      <c r="G248" s="28"/>
      <c r="H248" s="27"/>
      <c r="I248" s="28"/>
      <c r="J248" s="27"/>
      <c r="K248" s="28"/>
      <c r="L248" s="27"/>
      <c r="M248" s="28"/>
      <c r="N248" s="32"/>
    </row>
    <row r="249" spans="1:14" ht="15" customHeight="1">
      <c r="A249" s="45">
        <f>A245+1</f>
        <v>48</v>
      </c>
      <c r="B249" s="41" t="s">
        <v>437</v>
      </c>
      <c r="C249" s="47" t="s">
        <v>195</v>
      </c>
      <c r="D249" s="42">
        <v>1</v>
      </c>
      <c r="E249" s="43" t="s">
        <v>474</v>
      </c>
      <c r="F249" s="73"/>
      <c r="G249" s="44" t="e">
        <f>I249+K249+M249</f>
        <v>#REF!</v>
      </c>
      <c r="H249" s="73"/>
      <c r="I249" s="44" t="e">
        <f>SUM(I250:I251)</f>
        <v>#REF!</v>
      </c>
      <c r="J249" s="73"/>
      <c r="K249" s="44" t="e">
        <f>SUM(K250:K251)</f>
        <v>#REF!</v>
      </c>
      <c r="L249" s="73"/>
      <c r="M249" s="44" t="e">
        <f>SUM(M250:M251)</f>
        <v>#REF!</v>
      </c>
      <c r="N249" s="62"/>
    </row>
    <row r="250" spans="1:14" ht="15" customHeight="1">
      <c r="A250" s="24"/>
      <c r="B250" s="25" t="s">
        <v>439</v>
      </c>
      <c r="C250" s="26"/>
      <c r="D250" s="29">
        <v>0.5</v>
      </c>
      <c r="E250" s="23" t="s">
        <v>453</v>
      </c>
      <c r="F250" s="27" t="e">
        <f>H250+J250+L250</f>
        <v>#REF!</v>
      </c>
      <c r="G250" s="28" t="e">
        <f>I250+K250+M250</f>
        <v>#REF!</v>
      </c>
      <c r="H250" s="27" t="e">
        <f>I149</f>
        <v>#REF!</v>
      </c>
      <c r="I250" s="28" t="e">
        <f>TRUNC(H250*D250,1)</f>
        <v>#REF!</v>
      </c>
      <c r="J250" s="27" t="e">
        <f>K149</f>
        <v>#REF!</v>
      </c>
      <c r="K250" s="28" t="e">
        <f>TRUNC(J250*D250,1)</f>
        <v>#REF!</v>
      </c>
      <c r="L250" s="27" t="e">
        <f>M149</f>
        <v>#REF!</v>
      </c>
      <c r="M250" s="28" t="e">
        <f>TRUNC(L250*D250,1)</f>
        <v>#REF!</v>
      </c>
      <c r="N250" s="32" t="s">
        <v>0</v>
      </c>
    </row>
    <row r="251" spans="1:14" ht="15" customHeight="1">
      <c r="A251" s="24"/>
      <c r="B251" s="25" t="s">
        <v>477</v>
      </c>
      <c r="C251" s="26" t="s">
        <v>0</v>
      </c>
      <c r="D251" s="29">
        <v>1</v>
      </c>
      <c r="E251" s="23" t="s">
        <v>24</v>
      </c>
      <c r="F251" s="27" t="e">
        <f>H251+J251+L251</f>
        <v>#REF!</v>
      </c>
      <c r="G251" s="28" t="e">
        <f>I251+K251+M251</f>
        <v>#REF!</v>
      </c>
      <c r="H251" s="27" t="e">
        <f>'강관절단 및 절단(철거)'!I488</f>
        <v>#REF!</v>
      </c>
      <c r="I251" s="28" t="e">
        <f>TRUNC(H251*D251,1)</f>
        <v>#REF!</v>
      </c>
      <c r="J251" s="27">
        <f>'강관절단 및 절단(철거)'!K488</f>
        <v>363906</v>
      </c>
      <c r="K251" s="28">
        <f>TRUNC(J251*D251,1)</f>
        <v>363906</v>
      </c>
      <c r="L251" s="27">
        <f>'강관절단 및 절단(철거)'!M488</f>
        <v>0</v>
      </c>
      <c r="M251" s="28">
        <f>TRUNC(L251*D251,1)</f>
        <v>0</v>
      </c>
      <c r="N251" s="32" t="s">
        <v>0</v>
      </c>
    </row>
    <row r="252" spans="1:14" ht="15" customHeight="1">
      <c r="A252" s="24"/>
      <c r="B252" s="25"/>
      <c r="C252" s="78"/>
      <c r="D252" s="29"/>
      <c r="E252" s="23"/>
      <c r="F252" s="27"/>
      <c r="G252" s="28"/>
      <c r="H252" s="27"/>
      <c r="I252" s="28"/>
      <c r="J252" s="27"/>
      <c r="K252" s="28"/>
      <c r="L252" s="27"/>
      <c r="M252" s="28"/>
      <c r="N252" s="32"/>
    </row>
    <row r="253" spans="1:14" ht="15" customHeight="1">
      <c r="A253" s="45">
        <f>A249+1</f>
        <v>49</v>
      </c>
      <c r="B253" s="41" t="s">
        <v>473</v>
      </c>
      <c r="C253" s="47" t="s">
        <v>196</v>
      </c>
      <c r="D253" s="42">
        <v>1</v>
      </c>
      <c r="E253" s="43" t="s">
        <v>486</v>
      </c>
      <c r="F253" s="73"/>
      <c r="G253" s="44" t="e">
        <f>I253+K253+M253</f>
        <v>#REF!</v>
      </c>
      <c r="H253" s="73"/>
      <c r="I253" s="44" t="e">
        <f>SUM(I254:I255)</f>
        <v>#REF!</v>
      </c>
      <c r="J253" s="73"/>
      <c r="K253" s="44" t="e">
        <f>SUM(K254:K255)</f>
        <v>#REF!</v>
      </c>
      <c r="L253" s="73"/>
      <c r="M253" s="44" t="e">
        <f>SUM(M254:M255)</f>
        <v>#REF!</v>
      </c>
      <c r="N253" s="62"/>
    </row>
    <row r="254" spans="1:14" ht="15" customHeight="1">
      <c r="A254" s="24"/>
      <c r="B254" s="25" t="s">
        <v>487</v>
      </c>
      <c r="C254" s="26"/>
      <c r="D254" s="29">
        <v>0.5</v>
      </c>
      <c r="E254" s="23" t="s">
        <v>488</v>
      </c>
      <c r="F254" s="27" t="e">
        <f>H254+J254+L254</f>
        <v>#REF!</v>
      </c>
      <c r="G254" s="28" t="e">
        <f>I254+K254+M254</f>
        <v>#REF!</v>
      </c>
      <c r="H254" s="27" t="e">
        <f>I155</f>
        <v>#REF!</v>
      </c>
      <c r="I254" s="28" t="e">
        <f>TRUNC(H254*D254,1)</f>
        <v>#REF!</v>
      </c>
      <c r="J254" s="27" t="e">
        <f>K155</f>
        <v>#REF!</v>
      </c>
      <c r="K254" s="28" t="e">
        <f>TRUNC(J254*D254,1)</f>
        <v>#REF!</v>
      </c>
      <c r="L254" s="27" t="e">
        <f>M155</f>
        <v>#REF!</v>
      </c>
      <c r="M254" s="28" t="e">
        <f>TRUNC(L254*D254,1)</f>
        <v>#REF!</v>
      </c>
      <c r="N254" s="32" t="s">
        <v>0</v>
      </c>
    </row>
    <row r="255" spans="1:14" ht="15" customHeight="1">
      <c r="A255" s="24"/>
      <c r="B255" s="25" t="s">
        <v>467</v>
      </c>
      <c r="C255" s="26" t="s">
        <v>0</v>
      </c>
      <c r="D255" s="29">
        <v>1</v>
      </c>
      <c r="E255" s="23" t="s">
        <v>24</v>
      </c>
      <c r="F255" s="27" t="e">
        <f>H255+J255+L255</f>
        <v>#REF!</v>
      </c>
      <c r="G255" s="28" t="e">
        <f>I255+K255+M255</f>
        <v>#REF!</v>
      </c>
      <c r="H255" s="27" t="e">
        <f>'강관절단 및 절단(철거)'!I502</f>
        <v>#REF!</v>
      </c>
      <c r="I255" s="28" t="e">
        <f>TRUNC(H255*D255,1)</f>
        <v>#REF!</v>
      </c>
      <c r="J255" s="27">
        <f>'강관절단 및 절단(철거)'!K502</f>
        <v>458838</v>
      </c>
      <c r="K255" s="28">
        <f>TRUNC(J255*D255,1)</f>
        <v>458838</v>
      </c>
      <c r="L255" s="27">
        <f>'강관절단 및 절단(철거)'!M502</f>
        <v>0</v>
      </c>
      <c r="M255" s="28">
        <f>TRUNC(L255*D255,1)</f>
        <v>0</v>
      </c>
      <c r="N255" s="32" t="s">
        <v>0</v>
      </c>
    </row>
    <row r="256" spans="1:14" ht="15" customHeight="1">
      <c r="A256" s="24"/>
      <c r="B256" s="25"/>
      <c r="C256" s="78"/>
      <c r="D256" s="29"/>
      <c r="E256" s="23"/>
      <c r="F256" s="27"/>
      <c r="G256" s="28"/>
      <c r="H256" s="27"/>
      <c r="I256" s="28"/>
      <c r="J256" s="27"/>
      <c r="K256" s="28"/>
      <c r="L256" s="27"/>
      <c r="M256" s="28"/>
      <c r="N256" s="32"/>
    </row>
    <row r="257" spans="1:14" ht="15" customHeight="1">
      <c r="A257" s="45">
        <f>A253+1</f>
        <v>50</v>
      </c>
      <c r="B257" s="41" t="s">
        <v>452</v>
      </c>
      <c r="C257" s="47" t="s">
        <v>507</v>
      </c>
      <c r="D257" s="42">
        <v>1</v>
      </c>
      <c r="E257" s="43" t="s">
        <v>504</v>
      </c>
      <c r="F257" s="73"/>
      <c r="G257" s="44" t="e">
        <f>I257+K257+M257</f>
        <v>#REF!</v>
      </c>
      <c r="H257" s="73"/>
      <c r="I257" s="44" t="e">
        <f>SUM(I258:I259)</f>
        <v>#REF!</v>
      </c>
      <c r="J257" s="73"/>
      <c r="K257" s="44" t="e">
        <f>SUM(K258:K259)</f>
        <v>#REF!</v>
      </c>
      <c r="L257" s="73"/>
      <c r="M257" s="44" t="e">
        <f>SUM(M258:M259)</f>
        <v>#REF!</v>
      </c>
      <c r="N257" s="62"/>
    </row>
    <row r="258" spans="1:14" ht="15" customHeight="1">
      <c r="A258" s="24"/>
      <c r="B258" s="25" t="s">
        <v>505</v>
      </c>
      <c r="C258" s="26"/>
      <c r="D258" s="29">
        <v>0.5</v>
      </c>
      <c r="E258" s="23" t="s">
        <v>453</v>
      </c>
      <c r="F258" s="27" t="e">
        <f>H258+J258+L258</f>
        <v>#REF!</v>
      </c>
      <c r="G258" s="28" t="e">
        <f>I258+K258+M258</f>
        <v>#REF!</v>
      </c>
      <c r="H258" s="27" t="e">
        <f>I161</f>
        <v>#REF!</v>
      </c>
      <c r="I258" s="28" t="e">
        <f>TRUNC(H258*D258,1)</f>
        <v>#REF!</v>
      </c>
      <c r="J258" s="27" t="e">
        <f>K161</f>
        <v>#REF!</v>
      </c>
      <c r="K258" s="28" t="e">
        <f>TRUNC(J258*D258,1)</f>
        <v>#REF!</v>
      </c>
      <c r="L258" s="27" t="e">
        <f>M161</f>
        <v>#REF!</v>
      </c>
      <c r="M258" s="28" t="e">
        <f>TRUNC(L258*D258,1)</f>
        <v>#REF!</v>
      </c>
      <c r="N258" s="32" t="s">
        <v>0</v>
      </c>
    </row>
    <row r="259" spans="1:14" ht="15" customHeight="1">
      <c r="A259" s="24"/>
      <c r="B259" s="25" t="s">
        <v>506</v>
      </c>
      <c r="C259" s="26" t="s">
        <v>0</v>
      </c>
      <c r="D259" s="29">
        <v>1</v>
      </c>
      <c r="E259" s="23" t="s">
        <v>24</v>
      </c>
      <c r="F259" s="27" t="e">
        <f>H259+J259+L259</f>
        <v>#REF!</v>
      </c>
      <c r="G259" s="28" t="e">
        <f>I259+K259+M259</f>
        <v>#REF!</v>
      </c>
      <c r="H259" s="27" t="e">
        <f>'강관절단 및 절단(철거)'!I516</f>
        <v>#REF!</v>
      </c>
      <c r="I259" s="28" t="e">
        <f>TRUNC(H259*D259,1)</f>
        <v>#REF!</v>
      </c>
      <c r="J259" s="27">
        <f>'강관절단 및 절단(철거)'!K516</f>
        <v>474660</v>
      </c>
      <c r="K259" s="28">
        <f>TRUNC(J259*D259,1)</f>
        <v>474660</v>
      </c>
      <c r="L259" s="27">
        <f>'강관절단 및 절단(철거)'!M516</f>
        <v>0</v>
      </c>
      <c r="M259" s="28">
        <f>TRUNC(L259*D259,1)</f>
        <v>0</v>
      </c>
      <c r="N259" s="32" t="s">
        <v>0</v>
      </c>
    </row>
    <row r="260" spans="1:14" ht="15" customHeight="1">
      <c r="A260" s="24"/>
      <c r="B260" s="25"/>
      <c r="C260" s="78"/>
      <c r="D260" s="29"/>
      <c r="E260" s="23"/>
      <c r="F260" s="27"/>
      <c r="G260" s="28"/>
      <c r="H260" s="27"/>
      <c r="I260" s="28"/>
      <c r="J260" s="27"/>
      <c r="K260" s="28"/>
      <c r="L260" s="27"/>
      <c r="M260" s="28"/>
      <c r="N260" s="32"/>
    </row>
    <row r="261" spans="1:14" ht="15" customHeight="1">
      <c r="A261" s="45">
        <f>A257+1</f>
        <v>51</v>
      </c>
      <c r="B261" s="41" t="s">
        <v>471</v>
      </c>
      <c r="C261" s="47" t="s">
        <v>198</v>
      </c>
      <c r="D261" s="42">
        <v>1</v>
      </c>
      <c r="E261" s="43" t="s">
        <v>442</v>
      </c>
      <c r="F261" s="73"/>
      <c r="G261" s="44" t="e">
        <f>I261+K261+M261</f>
        <v>#REF!</v>
      </c>
      <c r="H261" s="73"/>
      <c r="I261" s="44" t="e">
        <f>SUM(I262:I263)</f>
        <v>#REF!</v>
      </c>
      <c r="J261" s="73"/>
      <c r="K261" s="44" t="e">
        <f>SUM(K262:K263)</f>
        <v>#REF!</v>
      </c>
      <c r="L261" s="73"/>
      <c r="M261" s="44" t="e">
        <f>SUM(M262:M263)</f>
        <v>#REF!</v>
      </c>
      <c r="N261" s="62"/>
    </row>
    <row r="262" spans="1:14" ht="15" customHeight="1">
      <c r="A262" s="24"/>
      <c r="B262" s="25" t="s">
        <v>461</v>
      </c>
      <c r="C262" s="26"/>
      <c r="D262" s="29">
        <v>0.5</v>
      </c>
      <c r="E262" s="23" t="s">
        <v>440</v>
      </c>
      <c r="F262" s="27" t="e">
        <f>H262+J262+L262</f>
        <v>#REF!</v>
      </c>
      <c r="G262" s="28" t="e">
        <f>I262+K262+M262</f>
        <v>#REF!</v>
      </c>
      <c r="H262" s="27" t="e">
        <f>I167</f>
        <v>#REF!</v>
      </c>
      <c r="I262" s="28" t="e">
        <f>TRUNC(H262*D262,1)</f>
        <v>#REF!</v>
      </c>
      <c r="J262" s="27" t="e">
        <f>K167</f>
        <v>#REF!</v>
      </c>
      <c r="K262" s="28" t="e">
        <f>TRUNC(J262*D262,1)</f>
        <v>#REF!</v>
      </c>
      <c r="L262" s="27" t="e">
        <f>M167</f>
        <v>#REF!</v>
      </c>
      <c r="M262" s="28" t="e">
        <f>TRUNC(L262*D262,1)</f>
        <v>#REF!</v>
      </c>
      <c r="N262" s="32" t="s">
        <v>0</v>
      </c>
    </row>
    <row r="263" spans="1:14" ht="15" customHeight="1">
      <c r="A263" s="24"/>
      <c r="B263" s="25" t="s">
        <v>484</v>
      </c>
      <c r="C263" s="26" t="s">
        <v>0</v>
      </c>
      <c r="D263" s="29">
        <v>1</v>
      </c>
      <c r="E263" s="23" t="s">
        <v>24</v>
      </c>
      <c r="F263" s="27" t="e">
        <f>H263+J263+L263</f>
        <v>#REF!</v>
      </c>
      <c r="G263" s="28" t="e">
        <f>I263+K263+M263</f>
        <v>#REF!</v>
      </c>
      <c r="H263" s="27" t="e">
        <f>'강관절단 및 절단(철거)'!I530</f>
        <v>#REF!</v>
      </c>
      <c r="I263" s="28" t="e">
        <f>TRUNC(H263*D263,1)</f>
        <v>#REF!</v>
      </c>
      <c r="J263" s="27">
        <f>'강관절단 및 절단(철거)'!K530</f>
        <v>526082</v>
      </c>
      <c r="K263" s="28">
        <f>TRUNC(J263*D263,1)</f>
        <v>526082</v>
      </c>
      <c r="L263" s="27">
        <f>'강관절단 및 절단(철거)'!M530</f>
        <v>0</v>
      </c>
      <c r="M263" s="28">
        <f>TRUNC(L263*D263,1)</f>
        <v>0</v>
      </c>
      <c r="N263" s="32" t="s">
        <v>0</v>
      </c>
    </row>
    <row r="264" spans="1:14" ht="15" customHeight="1">
      <c r="A264" s="24"/>
      <c r="B264" s="25"/>
      <c r="C264" s="78"/>
      <c r="D264" s="29"/>
      <c r="E264" s="23"/>
      <c r="F264" s="27"/>
      <c r="G264" s="28"/>
      <c r="H264" s="27"/>
      <c r="I264" s="28"/>
      <c r="J264" s="27"/>
      <c r="K264" s="28"/>
      <c r="L264" s="27"/>
      <c r="M264" s="28"/>
      <c r="N264" s="32"/>
    </row>
    <row r="265" spans="1:14" ht="15" customHeight="1">
      <c r="A265" s="45"/>
      <c r="B265" s="41"/>
      <c r="C265" s="47"/>
      <c r="D265" s="42"/>
      <c r="E265" s="43"/>
      <c r="F265" s="73"/>
      <c r="G265" s="44">
        <f>I265+K265+M265</f>
        <v>0</v>
      </c>
      <c r="H265" s="73"/>
      <c r="I265" s="44">
        <f>SUM(I266:I267)</f>
        <v>0</v>
      </c>
      <c r="J265" s="73"/>
      <c r="K265" s="44">
        <f>SUM(K266:K267)</f>
        <v>0</v>
      </c>
      <c r="L265" s="73"/>
      <c r="M265" s="44">
        <f>SUM(M266:M267)</f>
        <v>0</v>
      </c>
      <c r="N265" s="62"/>
    </row>
    <row r="266" spans="1:14" ht="15" customHeight="1">
      <c r="A266" s="24"/>
      <c r="B266" s="25"/>
      <c r="C266" s="26"/>
      <c r="D266" s="29"/>
      <c r="E266" s="23"/>
      <c r="F266" s="27"/>
      <c r="G266" s="28">
        <f>I266+K266+M266</f>
        <v>0</v>
      </c>
      <c r="H266" s="27">
        <f>[69]목록!I214</f>
        <v>0</v>
      </c>
      <c r="I266" s="28">
        <f>TRUNC(H266*D266,1)</f>
        <v>0</v>
      </c>
      <c r="J266" s="27">
        <f>[69]목록!K214</f>
        <v>0</v>
      </c>
      <c r="K266" s="28">
        <f>TRUNC(J266*D266,1)</f>
        <v>0</v>
      </c>
      <c r="L266" s="27">
        <f>[69]목록!M214</f>
        <v>0</v>
      </c>
      <c r="M266" s="28">
        <f>TRUNC(L266*D266,1)</f>
        <v>0</v>
      </c>
      <c r="N266" s="32" t="s">
        <v>0</v>
      </c>
    </row>
    <row r="267" spans="1:14" ht="15" customHeight="1">
      <c r="A267" s="24"/>
      <c r="B267" s="25"/>
      <c r="C267" s="26"/>
      <c r="D267" s="29"/>
      <c r="E267" s="23"/>
      <c r="F267" s="27"/>
      <c r="G267" s="28">
        <f>I267+K267+M267</f>
        <v>0</v>
      </c>
      <c r="H267" s="27">
        <f>[69]목록!I224</f>
        <v>0</v>
      </c>
      <c r="I267" s="28">
        <f>TRUNC(H267*D267,1)</f>
        <v>0</v>
      </c>
      <c r="J267" s="27">
        <f>[69]목록!K224</f>
        <v>0</v>
      </c>
      <c r="K267" s="28">
        <f>TRUNC(J267*D267,1)</f>
        <v>0</v>
      </c>
      <c r="L267" s="27">
        <f>[69]목록!M224</f>
        <v>0</v>
      </c>
      <c r="M267" s="28">
        <f>TRUNC(L267*D267,1)</f>
        <v>0</v>
      </c>
      <c r="N267" s="32" t="s">
        <v>0</v>
      </c>
    </row>
    <row r="268" spans="1:14" ht="15" customHeight="1">
      <c r="A268" s="24"/>
      <c r="B268" s="25"/>
      <c r="C268" s="78"/>
      <c r="D268" s="29"/>
      <c r="E268" s="23"/>
      <c r="F268" s="27"/>
      <c r="G268" s="28"/>
      <c r="H268" s="27"/>
      <c r="I268" s="28"/>
      <c r="J268" s="27"/>
      <c r="K268" s="28"/>
      <c r="L268" s="27"/>
      <c r="M268" s="28"/>
      <c r="N268" s="32"/>
    </row>
    <row r="269" spans="1:14" ht="15" customHeight="1">
      <c r="A269" s="45"/>
      <c r="B269" s="41"/>
      <c r="C269" s="47"/>
      <c r="D269" s="42"/>
      <c r="E269" s="43"/>
      <c r="F269" s="73"/>
      <c r="G269" s="44">
        <f>I269+K269+M269</f>
        <v>0</v>
      </c>
      <c r="H269" s="73"/>
      <c r="I269" s="44">
        <f>SUM(I270:I271)</f>
        <v>0</v>
      </c>
      <c r="J269" s="73"/>
      <c r="K269" s="44">
        <f>SUM(K270:K271)</f>
        <v>0</v>
      </c>
      <c r="L269" s="73"/>
      <c r="M269" s="44">
        <f>SUM(M270:M271)</f>
        <v>0</v>
      </c>
      <c r="N269" s="62"/>
    </row>
    <row r="270" spans="1:14" ht="15" customHeight="1">
      <c r="A270" s="24"/>
      <c r="B270" s="25"/>
      <c r="C270" s="26"/>
      <c r="D270" s="29"/>
      <c r="E270" s="23"/>
      <c r="F270" s="27"/>
      <c r="G270" s="28">
        <f>I270+K270+M270</f>
        <v>0</v>
      </c>
      <c r="H270" s="27">
        <f>[69]목록!I218</f>
        <v>0</v>
      </c>
      <c r="I270" s="28">
        <f>TRUNC(H270*D270,1)</f>
        <v>0</v>
      </c>
      <c r="J270" s="27">
        <f>[69]목록!K218</f>
        <v>0</v>
      </c>
      <c r="K270" s="28">
        <f>TRUNC(J270*D270,1)</f>
        <v>0</v>
      </c>
      <c r="L270" s="27">
        <f>[69]목록!M218</f>
        <v>0</v>
      </c>
      <c r="M270" s="28">
        <f>TRUNC(L270*D270,1)</f>
        <v>0</v>
      </c>
      <c r="N270" s="32" t="s">
        <v>0</v>
      </c>
    </row>
    <row r="271" spans="1:14" ht="15" customHeight="1">
      <c r="A271" s="24"/>
      <c r="B271" s="25"/>
      <c r="C271" s="26"/>
      <c r="D271" s="29"/>
      <c r="E271" s="23"/>
      <c r="F271" s="27"/>
      <c r="G271" s="28">
        <f>I271+K271+M271</f>
        <v>0</v>
      </c>
      <c r="H271" s="27">
        <f>[69]목록!I228</f>
        <v>0</v>
      </c>
      <c r="I271" s="28">
        <f>TRUNC(H271*D271,1)</f>
        <v>0</v>
      </c>
      <c r="J271" s="27">
        <f>[69]목록!K228</f>
        <v>0</v>
      </c>
      <c r="K271" s="28">
        <f>TRUNC(J271*D271,1)</f>
        <v>0</v>
      </c>
      <c r="L271" s="27">
        <f>[69]목록!M228</f>
        <v>0</v>
      </c>
      <c r="M271" s="28">
        <f>TRUNC(L271*D271,1)</f>
        <v>0</v>
      </c>
      <c r="N271" s="32" t="s">
        <v>0</v>
      </c>
    </row>
    <row r="272" spans="1:14" ht="15" customHeight="1">
      <c r="A272" s="24"/>
      <c r="B272" s="25"/>
      <c r="C272" s="78"/>
      <c r="D272" s="29"/>
      <c r="E272" s="23"/>
      <c r="F272" s="27"/>
      <c r="G272" s="28"/>
      <c r="H272" s="27"/>
      <c r="I272" s="28"/>
      <c r="J272" s="27"/>
      <c r="K272" s="28"/>
      <c r="L272" s="27"/>
      <c r="M272" s="28"/>
      <c r="N272" s="32"/>
    </row>
    <row r="273" spans="1:14" ht="15" customHeight="1">
      <c r="A273" s="24"/>
      <c r="B273" s="25"/>
      <c r="C273" s="78"/>
      <c r="D273" s="29"/>
      <c r="E273" s="23"/>
      <c r="F273" s="27"/>
      <c r="G273" s="28"/>
      <c r="H273" s="27"/>
      <c r="I273" s="28"/>
      <c r="J273" s="27"/>
      <c r="K273" s="28"/>
      <c r="L273" s="27"/>
      <c r="M273" s="28"/>
      <c r="N273" s="32"/>
    </row>
    <row r="274" spans="1:14" ht="15" customHeight="1">
      <c r="A274" s="24"/>
      <c r="B274" s="25"/>
      <c r="C274" s="78"/>
      <c r="D274" s="29"/>
      <c r="E274" s="23"/>
      <c r="F274" s="27"/>
      <c r="G274" s="28"/>
      <c r="H274" s="27"/>
      <c r="I274" s="28"/>
      <c r="J274" s="27"/>
      <c r="K274" s="28"/>
      <c r="L274" s="27"/>
      <c r="M274" s="28"/>
      <c r="N274" s="32"/>
    </row>
    <row r="275" spans="1:14" ht="15" customHeight="1">
      <c r="A275" s="24"/>
      <c r="B275" s="25"/>
      <c r="C275" s="78"/>
      <c r="D275" s="29"/>
      <c r="E275" s="23"/>
      <c r="F275" s="27"/>
      <c r="G275" s="28"/>
      <c r="H275" s="27"/>
      <c r="I275" s="28"/>
      <c r="J275" s="27"/>
      <c r="K275" s="28"/>
      <c r="L275" s="27"/>
      <c r="M275" s="28"/>
      <c r="N275" s="32"/>
    </row>
    <row r="276" spans="1:14" ht="15" customHeight="1">
      <c r="A276" s="24"/>
      <c r="B276" s="25"/>
      <c r="C276" s="78"/>
      <c r="D276" s="29"/>
      <c r="E276" s="23"/>
      <c r="F276" s="27"/>
      <c r="G276" s="28"/>
      <c r="H276" s="27"/>
      <c r="I276" s="28"/>
      <c r="J276" s="27"/>
      <c r="K276" s="28"/>
      <c r="L276" s="27"/>
      <c r="M276" s="28"/>
      <c r="N276" s="32"/>
    </row>
    <row r="277" spans="1:14" ht="15" customHeight="1">
      <c r="A277" s="24"/>
      <c r="B277" s="25"/>
      <c r="C277" s="78"/>
      <c r="D277" s="29"/>
      <c r="E277" s="23"/>
      <c r="F277" s="27"/>
      <c r="G277" s="28"/>
      <c r="H277" s="27"/>
      <c r="I277" s="28"/>
      <c r="J277" s="27"/>
      <c r="K277" s="28"/>
      <c r="L277" s="27"/>
      <c r="M277" s="28"/>
      <c r="N277" s="32"/>
    </row>
    <row r="278" spans="1:14" ht="15" customHeight="1">
      <c r="A278" s="24"/>
      <c r="B278" s="25"/>
      <c r="C278" s="78"/>
      <c r="D278" s="29"/>
      <c r="E278" s="23"/>
      <c r="F278" s="27"/>
      <c r="G278" s="28"/>
      <c r="H278" s="27"/>
      <c r="I278" s="28"/>
      <c r="J278" s="27"/>
      <c r="K278" s="28"/>
      <c r="L278" s="27"/>
      <c r="M278" s="28"/>
      <c r="N278" s="32"/>
    </row>
    <row r="279" spans="1:14" ht="15" customHeight="1">
      <c r="A279" s="24"/>
      <c r="B279" s="25"/>
      <c r="C279" s="78"/>
      <c r="D279" s="29"/>
      <c r="E279" s="23"/>
      <c r="F279" s="27"/>
      <c r="G279" s="28"/>
      <c r="H279" s="27"/>
      <c r="I279" s="28"/>
      <c r="J279" s="27"/>
      <c r="K279" s="28"/>
      <c r="L279" s="27"/>
      <c r="M279" s="28"/>
      <c r="N279" s="32"/>
    </row>
    <row r="280" spans="1:14" ht="15" customHeight="1">
      <c r="A280" s="24"/>
      <c r="B280" s="25"/>
      <c r="C280" s="78"/>
      <c r="D280" s="29"/>
      <c r="E280" s="23"/>
      <c r="F280" s="27"/>
      <c r="G280" s="28"/>
      <c r="H280" s="27"/>
      <c r="I280" s="28"/>
      <c r="J280" s="27"/>
      <c r="K280" s="28"/>
      <c r="L280" s="27"/>
      <c r="M280" s="28"/>
      <c r="N280" s="32"/>
    </row>
    <row r="281" spans="1:14" ht="15" customHeight="1">
      <c r="A281" s="24"/>
      <c r="B281" s="25"/>
      <c r="C281" s="78"/>
      <c r="D281" s="29"/>
      <c r="E281" s="23"/>
      <c r="F281" s="27"/>
      <c r="G281" s="28"/>
      <c r="H281" s="27"/>
      <c r="I281" s="28"/>
      <c r="J281" s="27"/>
      <c r="K281" s="28"/>
      <c r="L281" s="27"/>
      <c r="M281" s="28"/>
      <c r="N281" s="32"/>
    </row>
    <row r="282" spans="1:14" ht="15" customHeight="1">
      <c r="A282" s="24"/>
      <c r="B282" s="25"/>
      <c r="C282" s="78"/>
      <c r="D282" s="29"/>
      <c r="E282" s="23"/>
      <c r="F282" s="27"/>
      <c r="G282" s="28"/>
      <c r="H282" s="27"/>
      <c r="I282" s="28"/>
      <c r="J282" s="27"/>
      <c r="K282" s="28"/>
      <c r="L282" s="27"/>
      <c r="M282" s="28"/>
      <c r="N282" s="32"/>
    </row>
    <row r="283" spans="1:14" ht="15" customHeight="1">
      <c r="A283" s="24"/>
      <c r="B283" s="25"/>
      <c r="C283" s="78"/>
      <c r="D283" s="29"/>
      <c r="E283" s="23"/>
      <c r="F283" s="27"/>
      <c r="G283" s="28"/>
      <c r="H283" s="27"/>
      <c r="I283" s="28"/>
      <c r="J283" s="27"/>
      <c r="K283" s="28"/>
      <c r="L283" s="27"/>
      <c r="M283" s="28"/>
      <c r="N283" s="32"/>
    </row>
    <row r="284" spans="1:14" ht="15" customHeight="1">
      <c r="A284" s="24"/>
      <c r="B284" s="25"/>
      <c r="C284" s="78"/>
      <c r="D284" s="29"/>
      <c r="E284" s="23"/>
      <c r="F284" s="27"/>
      <c r="G284" s="28"/>
      <c r="H284" s="27"/>
      <c r="I284" s="28"/>
      <c r="J284" s="27"/>
      <c r="K284" s="28"/>
      <c r="L284" s="27"/>
      <c r="M284" s="28"/>
      <c r="N284" s="32"/>
    </row>
    <row r="285" spans="1:14" ht="15" customHeight="1">
      <c r="A285" s="24"/>
      <c r="B285" s="25"/>
      <c r="C285" s="78"/>
      <c r="D285" s="29"/>
      <c r="E285" s="23"/>
      <c r="F285" s="27"/>
      <c r="G285" s="28"/>
      <c r="H285" s="27"/>
      <c r="I285" s="28"/>
      <c r="J285" s="27"/>
      <c r="K285" s="28"/>
      <c r="L285" s="27"/>
      <c r="M285" s="28"/>
      <c r="N285" s="32"/>
    </row>
    <row r="286" spans="1:14" ht="15" customHeight="1">
      <c r="A286" s="24"/>
      <c r="B286" s="25"/>
      <c r="C286" s="78"/>
      <c r="D286" s="29"/>
      <c r="E286" s="23"/>
      <c r="F286" s="27"/>
      <c r="G286" s="28"/>
      <c r="H286" s="27"/>
      <c r="I286" s="28"/>
      <c r="J286" s="27"/>
      <c r="K286" s="28"/>
      <c r="L286" s="27"/>
      <c r="M286" s="28"/>
      <c r="N286" s="32"/>
    </row>
    <row r="287" spans="1:14" ht="15" customHeight="1">
      <c r="A287" s="24"/>
      <c r="B287" s="25"/>
      <c r="C287" s="78"/>
      <c r="D287" s="29"/>
      <c r="E287" s="23"/>
      <c r="F287" s="27"/>
      <c r="G287" s="28"/>
      <c r="H287" s="27"/>
      <c r="I287" s="28"/>
      <c r="J287" s="27"/>
      <c r="K287" s="28"/>
      <c r="L287" s="27"/>
      <c r="M287" s="28"/>
      <c r="N287" s="32"/>
    </row>
    <row r="288" spans="1:14" ht="15" customHeight="1">
      <c r="A288" s="24"/>
      <c r="B288" s="25"/>
      <c r="C288" s="78"/>
      <c r="D288" s="29"/>
      <c r="E288" s="23"/>
      <c r="F288" s="27"/>
      <c r="G288" s="28"/>
      <c r="H288" s="27"/>
      <c r="I288" s="28"/>
      <c r="J288" s="27"/>
      <c r="K288" s="28"/>
      <c r="L288" s="27"/>
      <c r="M288" s="28"/>
      <c r="N288" s="32"/>
    </row>
    <row r="289" spans="1:14" ht="15" customHeight="1">
      <c r="A289" s="24"/>
      <c r="B289" s="25"/>
      <c r="C289" s="78"/>
      <c r="D289" s="29"/>
      <c r="E289" s="23"/>
      <c r="F289" s="27"/>
      <c r="G289" s="28"/>
      <c r="H289" s="27"/>
      <c r="I289" s="28"/>
      <c r="J289" s="27"/>
      <c r="K289" s="28"/>
      <c r="L289" s="27"/>
      <c r="M289" s="28"/>
      <c r="N289" s="32"/>
    </row>
    <row r="290" spans="1:14" ht="15" customHeight="1">
      <c r="A290" s="24"/>
      <c r="B290" s="25"/>
      <c r="C290" s="78"/>
      <c r="D290" s="29"/>
      <c r="E290" s="23"/>
      <c r="F290" s="27"/>
      <c r="G290" s="28"/>
      <c r="H290" s="27"/>
      <c r="I290" s="28"/>
      <c r="J290" s="27"/>
      <c r="K290" s="28"/>
      <c r="L290" s="27"/>
      <c r="M290" s="28"/>
      <c r="N290" s="32"/>
    </row>
    <row r="291" spans="1:14" ht="15" customHeight="1">
      <c r="A291" s="24"/>
      <c r="B291" s="25"/>
      <c r="C291" s="78"/>
      <c r="D291" s="29"/>
      <c r="E291" s="23"/>
      <c r="F291" s="27"/>
      <c r="G291" s="28"/>
      <c r="H291" s="27"/>
      <c r="I291" s="28"/>
      <c r="J291" s="27"/>
      <c r="K291" s="28"/>
      <c r="L291" s="27"/>
      <c r="M291" s="28"/>
      <c r="N291" s="32"/>
    </row>
    <row r="292" spans="1:14" ht="15" customHeight="1">
      <c r="A292" s="24"/>
      <c r="B292" s="25"/>
      <c r="C292" s="78"/>
      <c r="D292" s="29"/>
      <c r="E292" s="23"/>
      <c r="F292" s="27"/>
      <c r="G292" s="28"/>
      <c r="H292" s="27"/>
      <c r="I292" s="28"/>
      <c r="J292" s="27"/>
      <c r="K292" s="28"/>
      <c r="L292" s="27"/>
      <c r="M292" s="28"/>
      <c r="N292" s="32"/>
    </row>
    <row r="293" spans="1:14" ht="15" customHeight="1">
      <c r="A293" s="24"/>
      <c r="B293" s="25"/>
      <c r="C293" s="78"/>
      <c r="D293" s="29"/>
      <c r="E293" s="23"/>
      <c r="F293" s="27"/>
      <c r="G293" s="28"/>
      <c r="H293" s="27"/>
      <c r="I293" s="28"/>
      <c r="J293" s="27"/>
      <c r="K293" s="28"/>
      <c r="L293" s="27"/>
      <c r="M293" s="28"/>
      <c r="N293" s="32"/>
    </row>
    <row r="294" spans="1:14" ht="15" customHeight="1">
      <c r="A294" s="24"/>
      <c r="B294" s="25"/>
      <c r="C294" s="78"/>
      <c r="D294" s="29"/>
      <c r="E294" s="23"/>
      <c r="F294" s="27"/>
      <c r="G294" s="28"/>
      <c r="H294" s="27"/>
      <c r="I294" s="28"/>
      <c r="J294" s="27"/>
      <c r="K294" s="28"/>
      <c r="L294" s="27"/>
      <c r="M294" s="28"/>
      <c r="N294" s="32"/>
    </row>
    <row r="295" spans="1:14" ht="15" customHeight="1">
      <c r="A295" s="24"/>
      <c r="B295" s="25"/>
      <c r="C295" s="78"/>
      <c r="D295" s="29"/>
      <c r="E295" s="23"/>
      <c r="F295" s="27"/>
      <c r="G295" s="28"/>
      <c r="H295" s="27"/>
      <c r="I295" s="28"/>
      <c r="J295" s="27"/>
      <c r="K295" s="28"/>
      <c r="L295" s="27"/>
      <c r="M295" s="28"/>
      <c r="N295" s="32"/>
    </row>
    <row r="296" spans="1:14" ht="15" customHeight="1">
      <c r="A296" s="24"/>
      <c r="B296" s="25"/>
      <c r="C296" s="78"/>
      <c r="D296" s="29"/>
      <c r="E296" s="23"/>
      <c r="F296" s="27"/>
      <c r="G296" s="28"/>
      <c r="H296" s="27"/>
      <c r="I296" s="28"/>
      <c r="J296" s="27"/>
      <c r="K296" s="28"/>
      <c r="L296" s="27"/>
      <c r="M296" s="28"/>
      <c r="N296" s="32"/>
    </row>
    <row r="297" spans="1:14" ht="15" customHeight="1">
      <c r="A297" s="24"/>
      <c r="B297" s="25"/>
      <c r="C297" s="78"/>
      <c r="D297" s="29"/>
      <c r="E297" s="23"/>
      <c r="F297" s="27"/>
      <c r="G297" s="28"/>
      <c r="H297" s="27"/>
      <c r="I297" s="28"/>
      <c r="J297" s="27"/>
      <c r="K297" s="28"/>
      <c r="L297" s="27"/>
      <c r="M297" s="28"/>
      <c r="N297" s="32"/>
    </row>
    <row r="298" spans="1:14" ht="15" customHeight="1">
      <c r="A298" s="24"/>
      <c r="B298" s="25"/>
      <c r="C298" s="78"/>
      <c r="D298" s="29"/>
      <c r="E298" s="23"/>
      <c r="F298" s="27"/>
      <c r="G298" s="28"/>
      <c r="H298" s="27"/>
      <c r="I298" s="28"/>
      <c r="J298" s="27"/>
      <c r="K298" s="28"/>
      <c r="L298" s="27"/>
      <c r="M298" s="28"/>
      <c r="N298" s="32"/>
    </row>
    <row r="299" spans="1:14" ht="15" customHeight="1">
      <c r="A299" s="24"/>
      <c r="B299" s="25"/>
      <c r="C299" s="78"/>
      <c r="D299" s="29"/>
      <c r="E299" s="23"/>
      <c r="F299" s="27"/>
      <c r="G299" s="28"/>
      <c r="H299" s="27"/>
      <c r="I299" s="28"/>
      <c r="J299" s="27"/>
      <c r="K299" s="28"/>
      <c r="L299" s="27"/>
      <c r="M299" s="28"/>
      <c r="N299" s="32"/>
    </row>
    <row r="300" spans="1:14" ht="15" customHeight="1">
      <c r="A300" s="24"/>
      <c r="B300" s="25"/>
      <c r="C300" s="78"/>
      <c r="D300" s="29"/>
      <c r="E300" s="23"/>
      <c r="F300" s="27"/>
      <c r="G300" s="28"/>
      <c r="H300" s="27"/>
      <c r="I300" s="28"/>
      <c r="J300" s="27"/>
      <c r="K300" s="28"/>
      <c r="L300" s="27"/>
      <c r="M300" s="28"/>
      <c r="N300" s="32"/>
    </row>
    <row r="301" spans="1:14" ht="15" customHeight="1">
      <c r="A301" s="24"/>
      <c r="B301" s="25"/>
      <c r="C301" s="78"/>
      <c r="D301" s="29"/>
      <c r="E301" s="23"/>
      <c r="F301" s="27"/>
      <c r="G301" s="28"/>
      <c r="H301" s="27"/>
      <c r="I301" s="28"/>
      <c r="J301" s="27"/>
      <c r="K301" s="28"/>
      <c r="L301" s="27"/>
      <c r="M301" s="28"/>
      <c r="N301" s="32"/>
    </row>
    <row r="302" spans="1:14" ht="15" customHeight="1">
      <c r="A302" s="24"/>
      <c r="B302" s="25"/>
      <c r="C302" s="78"/>
      <c r="D302" s="29"/>
      <c r="E302" s="23"/>
      <c r="F302" s="27"/>
      <c r="G302" s="28"/>
      <c r="H302" s="27"/>
      <c r="I302" s="28"/>
      <c r="J302" s="27"/>
      <c r="K302" s="28"/>
      <c r="L302" s="27"/>
      <c r="M302" s="28"/>
      <c r="N302" s="32"/>
    </row>
    <row r="303" spans="1:14" ht="15" customHeight="1">
      <c r="A303" s="24"/>
      <c r="B303" s="25"/>
      <c r="C303" s="78"/>
      <c r="D303" s="29"/>
      <c r="E303" s="23"/>
      <c r="F303" s="27"/>
      <c r="G303" s="28"/>
      <c r="H303" s="27"/>
      <c r="I303" s="28"/>
      <c r="J303" s="27"/>
      <c r="K303" s="28"/>
      <c r="L303" s="27"/>
      <c r="M303" s="28"/>
      <c r="N303" s="32"/>
    </row>
    <row r="304" spans="1:14" ht="15" customHeight="1">
      <c r="A304" s="24"/>
      <c r="B304" s="25"/>
      <c r="C304" s="78"/>
      <c r="D304" s="29"/>
      <c r="E304" s="23"/>
      <c r="F304" s="27"/>
      <c r="G304" s="28"/>
      <c r="H304" s="27"/>
      <c r="I304" s="28"/>
      <c r="J304" s="27"/>
      <c r="K304" s="28"/>
      <c r="L304" s="27"/>
      <c r="M304" s="28"/>
      <c r="N304" s="32"/>
    </row>
    <row r="305" spans="1:14" ht="15" customHeight="1">
      <c r="A305" s="24"/>
      <c r="B305" s="25"/>
      <c r="C305" s="78"/>
      <c r="D305" s="29"/>
      <c r="E305" s="23"/>
      <c r="F305" s="27"/>
      <c r="G305" s="28"/>
      <c r="H305" s="27"/>
      <c r="I305" s="28"/>
      <c r="J305" s="27"/>
      <c r="K305" s="28"/>
      <c r="L305" s="27"/>
      <c r="M305" s="28"/>
      <c r="N305" s="32"/>
    </row>
    <row r="306" spans="1:14" ht="15" customHeight="1">
      <c r="A306" s="24"/>
      <c r="B306" s="25"/>
      <c r="C306" s="78"/>
      <c r="D306" s="29"/>
      <c r="E306" s="23"/>
      <c r="F306" s="27"/>
      <c r="G306" s="28"/>
      <c r="H306" s="27"/>
      <c r="I306" s="28"/>
      <c r="J306" s="27"/>
      <c r="K306" s="28"/>
      <c r="L306" s="27"/>
      <c r="M306" s="28"/>
      <c r="N306" s="32"/>
    </row>
    <row r="307" spans="1:14" ht="15" customHeight="1">
      <c r="A307" s="30"/>
      <c r="B307" s="31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32"/>
    </row>
  </sheetData>
  <mergeCells count="9">
    <mergeCell ref="A2:B3"/>
    <mergeCell ref="J2:K2"/>
    <mergeCell ref="L2:M2"/>
    <mergeCell ref="N2:N3"/>
    <mergeCell ref="C2:C3"/>
    <mergeCell ref="D2:D3"/>
    <mergeCell ref="E2:E3"/>
    <mergeCell ref="F2:G2"/>
    <mergeCell ref="H2:I2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N252"/>
  <sheetViews>
    <sheetView workbookViewId="0">
      <pane ySplit="3" topLeftCell="A208" activePane="bottomLeft" state="frozen"/>
      <selection activeCell="N21" sqref="N21"/>
      <selection pane="bottomLeft" activeCell="N21" sqref="N21"/>
    </sheetView>
  </sheetViews>
  <sheetFormatPr defaultRowHeight="12.75" customHeight="1"/>
  <cols>
    <col min="1" max="1" width="8.83203125" customWidth="1"/>
    <col min="2" max="3" width="35.83203125" customWidth="1"/>
    <col min="4" max="4" width="10.83203125" customWidth="1"/>
    <col min="5" max="5" width="8.83203125" style="11" customWidth="1"/>
    <col min="6" max="6" width="12.83203125" customWidth="1"/>
    <col min="7" max="7" width="14.83203125" customWidth="1"/>
    <col min="8" max="8" width="12.83203125" customWidth="1"/>
    <col min="9" max="9" width="14.83203125" customWidth="1"/>
    <col min="10" max="10" width="12.83203125" customWidth="1"/>
    <col min="11" max="11" width="14.83203125" customWidth="1"/>
    <col min="12" max="12" width="12.83203125" customWidth="1"/>
    <col min="13" max="13" width="14.83203125" customWidth="1"/>
    <col min="14" max="14" width="15.83203125" style="11" customWidth="1"/>
    <col min="15" max="21" width="9.33203125" customWidth="1"/>
  </cols>
  <sheetData>
    <row r="1" spans="1:14" ht="15" customHeight="1">
      <c r="A1" s="72" t="s">
        <v>292</v>
      </c>
    </row>
    <row r="2" spans="1:14" ht="15" customHeight="1">
      <c r="A2" s="339" t="s">
        <v>23</v>
      </c>
      <c r="B2" s="340"/>
      <c r="C2" s="345" t="s">
        <v>46</v>
      </c>
      <c r="D2" s="345" t="s">
        <v>45</v>
      </c>
      <c r="E2" s="345" t="s">
        <v>44</v>
      </c>
      <c r="F2" s="345" t="s">
        <v>19</v>
      </c>
      <c r="G2" s="345" t="s">
        <v>0</v>
      </c>
      <c r="H2" s="345" t="s">
        <v>18</v>
      </c>
      <c r="I2" s="345" t="s">
        <v>0</v>
      </c>
      <c r="J2" s="345" t="s">
        <v>17</v>
      </c>
      <c r="K2" s="345" t="s">
        <v>0</v>
      </c>
      <c r="L2" s="345" t="s">
        <v>16</v>
      </c>
      <c r="M2" s="345" t="s">
        <v>0</v>
      </c>
      <c r="N2" s="346" t="s">
        <v>15</v>
      </c>
    </row>
    <row r="3" spans="1:14" ht="15" customHeight="1">
      <c r="A3" s="339"/>
      <c r="B3" s="340"/>
      <c r="C3" s="345" t="s">
        <v>0</v>
      </c>
      <c r="D3" s="345" t="s">
        <v>0</v>
      </c>
      <c r="E3" s="345" t="s">
        <v>0</v>
      </c>
      <c r="F3" s="2" t="s">
        <v>43</v>
      </c>
      <c r="G3" s="2" t="s">
        <v>42</v>
      </c>
      <c r="H3" s="2" t="s">
        <v>43</v>
      </c>
      <c r="I3" s="2" t="s">
        <v>42</v>
      </c>
      <c r="J3" s="2" t="s">
        <v>43</v>
      </c>
      <c r="K3" s="2" t="s">
        <v>42</v>
      </c>
      <c r="L3" s="2" t="s">
        <v>43</v>
      </c>
      <c r="M3" s="2" t="s">
        <v>42</v>
      </c>
      <c r="N3" s="346" t="s">
        <v>0</v>
      </c>
    </row>
    <row r="4" spans="1:14" ht="15" customHeight="1">
      <c r="A4" s="13"/>
      <c r="B4" s="14"/>
      <c r="C4" s="1"/>
      <c r="D4" s="1"/>
      <c r="E4" s="2"/>
      <c r="F4" s="4"/>
      <c r="G4" s="8"/>
      <c r="H4" s="4"/>
      <c r="I4" s="8"/>
      <c r="J4" s="4"/>
      <c r="K4" s="8"/>
      <c r="L4" s="4"/>
      <c r="M4" s="8"/>
      <c r="N4" s="12"/>
    </row>
    <row r="5" spans="1:14" ht="15" customHeight="1">
      <c r="A5" s="64">
        <f>'강관부설 및 철거'!A167</f>
        <v>28</v>
      </c>
      <c r="B5" s="65" t="s">
        <v>255</v>
      </c>
      <c r="C5" s="66" t="s">
        <v>200</v>
      </c>
      <c r="D5" s="66">
        <v>1</v>
      </c>
      <c r="E5" s="67" t="s">
        <v>3</v>
      </c>
      <c r="F5" s="70"/>
      <c r="G5" s="68" t="e">
        <f>I5+K5+M5</f>
        <v>#REF!</v>
      </c>
      <c r="H5" s="70"/>
      <c r="I5" s="68" t="e">
        <f>I8+I9</f>
        <v>#REF!</v>
      </c>
      <c r="J5" s="70"/>
      <c r="K5" s="68">
        <f>K8+K9</f>
        <v>25682.5</v>
      </c>
      <c r="L5" s="70"/>
      <c r="M5" s="68">
        <f>M8+M9</f>
        <v>1540.9</v>
      </c>
      <c r="N5" s="69"/>
    </row>
    <row r="6" spans="1:14" ht="15" customHeight="1">
      <c r="A6" s="57"/>
      <c r="B6" s="55" t="s">
        <v>265</v>
      </c>
      <c r="C6" s="7" t="s">
        <v>0</v>
      </c>
      <c r="D6" s="19">
        <v>1</v>
      </c>
      <c r="E6" s="56" t="s">
        <v>24</v>
      </c>
      <c r="F6" s="20">
        <f>H6+J6+L6</f>
        <v>282536</v>
      </c>
      <c r="G6" s="21">
        <f>I6+K6+M6</f>
        <v>282536</v>
      </c>
      <c r="H6" s="20">
        <v>0</v>
      </c>
      <c r="I6" s="21"/>
      <c r="J6" s="20">
        <f>노임!$D$7</f>
        <v>282536</v>
      </c>
      <c r="K6" s="21">
        <f>TRUNC(J6*D6,1)</f>
        <v>282536</v>
      </c>
      <c r="L6" s="20">
        <v>0</v>
      </c>
      <c r="M6" s="21"/>
      <c r="N6" s="22" t="s">
        <v>0</v>
      </c>
    </row>
    <row r="7" spans="1:14" ht="15" customHeight="1">
      <c r="A7" s="57"/>
      <c r="B7" s="55" t="s">
        <v>288</v>
      </c>
      <c r="C7" s="1" t="s">
        <v>379</v>
      </c>
      <c r="D7" s="19">
        <v>6</v>
      </c>
      <c r="E7" s="56" t="s">
        <v>28</v>
      </c>
      <c r="F7" s="20">
        <f>H7+J7+L7</f>
        <v>282536</v>
      </c>
      <c r="G7" s="21">
        <f>I7+K7+M7</f>
        <v>16952.099999999999</v>
      </c>
      <c r="H7" s="20"/>
      <c r="I7" s="21">
        <f>TRUNC(H7*D7,1)</f>
        <v>0</v>
      </c>
      <c r="J7" s="20"/>
      <c r="K7" s="21">
        <f>TRUNC(J7*D7,1)</f>
        <v>0</v>
      </c>
      <c r="L7" s="20">
        <f>K6</f>
        <v>282536</v>
      </c>
      <c r="M7" s="21">
        <f>TRUNC(L7*D7/100,1)</f>
        <v>16952.099999999999</v>
      </c>
      <c r="N7" s="22" t="s">
        <v>0</v>
      </c>
    </row>
    <row r="8" spans="1:14" ht="15" customHeight="1">
      <c r="A8" s="57"/>
      <c r="B8" s="80" t="s">
        <v>376</v>
      </c>
      <c r="C8" s="81">
        <v>11</v>
      </c>
      <c r="D8" s="82">
        <f>ROUND(1/C8,4)</f>
        <v>9.0899999999999995E-2</v>
      </c>
      <c r="E8" s="83" t="s">
        <v>378</v>
      </c>
      <c r="F8" s="84"/>
      <c r="G8" s="85">
        <f>I8+K8+M8</f>
        <v>27223.4</v>
      </c>
      <c r="H8" s="84"/>
      <c r="I8" s="85">
        <f>TRUNC(SUM(I6:I7)*$D8,1)</f>
        <v>0</v>
      </c>
      <c r="J8" s="84"/>
      <c r="K8" s="85">
        <f>TRUNC(SUM(K6:K7)*$D8,1)</f>
        <v>25682.5</v>
      </c>
      <c r="L8" s="84"/>
      <c r="M8" s="85">
        <f>TRUNC(SUM(M6:M7)*$D8,1)</f>
        <v>1540.9</v>
      </c>
      <c r="N8" s="22"/>
    </row>
    <row r="9" spans="1:14" ht="15" customHeight="1">
      <c r="A9" s="57"/>
      <c r="B9" s="80" t="s">
        <v>264</v>
      </c>
      <c r="C9" s="86" t="s">
        <v>174</v>
      </c>
      <c r="D9" s="82">
        <v>0.1</v>
      </c>
      <c r="E9" s="83" t="s">
        <v>27</v>
      </c>
      <c r="F9" s="84" t="e">
        <f>H9+J9+L9</f>
        <v>#REF!</v>
      </c>
      <c r="G9" s="85" t="e">
        <f>I9+K9+M9</f>
        <v>#REF!</v>
      </c>
      <c r="H9" s="84" t="e">
        <f>#REF!</f>
        <v>#REF!</v>
      </c>
      <c r="I9" s="85" t="e">
        <f>TRUNC(H9*D9,1)</f>
        <v>#REF!</v>
      </c>
      <c r="J9" s="84">
        <v>0</v>
      </c>
      <c r="K9" s="85"/>
      <c r="L9" s="84">
        <v>0</v>
      </c>
      <c r="M9" s="85"/>
      <c r="N9" s="22" t="s">
        <v>0</v>
      </c>
    </row>
    <row r="10" spans="1:14" ht="15" customHeight="1">
      <c r="A10" s="16"/>
      <c r="B10" s="15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12"/>
    </row>
    <row r="11" spans="1:14" ht="15" customHeight="1">
      <c r="A11" s="52">
        <f>A5+1</f>
        <v>29</v>
      </c>
      <c r="B11" s="46" t="s">
        <v>255</v>
      </c>
      <c r="C11" s="47" t="s">
        <v>374</v>
      </c>
      <c r="D11" s="47">
        <v>1</v>
      </c>
      <c r="E11" s="48" t="s">
        <v>3</v>
      </c>
      <c r="F11" s="70"/>
      <c r="G11" s="68" t="e">
        <f>I11+K11+M11</f>
        <v>#REF!</v>
      </c>
      <c r="H11" s="70"/>
      <c r="I11" s="68" t="e">
        <f>I14+I15</f>
        <v>#REF!</v>
      </c>
      <c r="J11" s="70"/>
      <c r="K11" s="68">
        <f>K14+K15</f>
        <v>25682.5</v>
      </c>
      <c r="L11" s="70"/>
      <c r="M11" s="68">
        <f>M14+M15</f>
        <v>1540.9</v>
      </c>
      <c r="N11" s="63" t="s">
        <v>5</v>
      </c>
    </row>
    <row r="12" spans="1:14" ht="15" customHeight="1">
      <c r="A12" s="13"/>
      <c r="B12" s="14" t="s">
        <v>265</v>
      </c>
      <c r="C12" s="1" t="s">
        <v>0</v>
      </c>
      <c r="D12" s="3">
        <v>1</v>
      </c>
      <c r="E12" s="2" t="s">
        <v>24</v>
      </c>
      <c r="F12" s="4">
        <f>H12+J12+L12</f>
        <v>282536</v>
      </c>
      <c r="G12" s="8">
        <f>I12+K12+M12</f>
        <v>282536</v>
      </c>
      <c r="H12" s="4">
        <v>0</v>
      </c>
      <c r="I12" s="8"/>
      <c r="J12" s="4">
        <f>노임!$D$7</f>
        <v>282536</v>
      </c>
      <c r="K12" s="8">
        <f>TRUNC(J12*D12,1)</f>
        <v>282536</v>
      </c>
      <c r="L12" s="4">
        <v>0</v>
      </c>
      <c r="M12" s="8"/>
      <c r="N12" s="12" t="s">
        <v>0</v>
      </c>
    </row>
    <row r="13" spans="1:14" ht="15" customHeight="1">
      <c r="A13" s="13"/>
      <c r="B13" s="55" t="s">
        <v>288</v>
      </c>
      <c r="C13" s="1" t="s">
        <v>379</v>
      </c>
      <c r="D13" s="19">
        <v>6</v>
      </c>
      <c r="E13" s="56" t="s">
        <v>28</v>
      </c>
      <c r="F13" s="20">
        <f>H13+J13+L13</f>
        <v>282536</v>
      </c>
      <c r="G13" s="21">
        <f>I13+K13+M13</f>
        <v>16952.099999999999</v>
      </c>
      <c r="H13" s="20"/>
      <c r="I13" s="21">
        <f>TRUNC(H13*D13,1)</f>
        <v>0</v>
      </c>
      <c r="J13" s="20"/>
      <c r="K13" s="21">
        <f>TRUNC(J13*D13,1)</f>
        <v>0</v>
      </c>
      <c r="L13" s="20">
        <f>K12</f>
        <v>282536</v>
      </c>
      <c r="M13" s="21">
        <f>TRUNC(L13*D13/100,1)</f>
        <v>16952.099999999999</v>
      </c>
      <c r="N13" s="12" t="s">
        <v>0</v>
      </c>
    </row>
    <row r="14" spans="1:14" ht="15" customHeight="1">
      <c r="A14" s="13"/>
      <c r="B14" s="80" t="s">
        <v>376</v>
      </c>
      <c r="C14" s="81">
        <v>11</v>
      </c>
      <c r="D14" s="82">
        <f>ROUND(1/C14,4)</f>
        <v>9.0899999999999995E-2</v>
      </c>
      <c r="E14" s="83" t="s">
        <v>378</v>
      </c>
      <c r="F14" s="84"/>
      <c r="G14" s="85">
        <f>I14+K14+M14</f>
        <v>27223.4</v>
      </c>
      <c r="H14" s="84"/>
      <c r="I14" s="85">
        <f>TRUNC(SUM(I12:I13)*$D14,1)</f>
        <v>0</v>
      </c>
      <c r="J14" s="84"/>
      <c r="K14" s="85">
        <f>TRUNC(SUM(K12:K13)*$D14,1)</f>
        <v>25682.5</v>
      </c>
      <c r="L14" s="84"/>
      <c r="M14" s="85">
        <f>TRUNC(SUM(M12:M13)*$D14,1)</f>
        <v>1540.9</v>
      </c>
      <c r="N14" s="12"/>
    </row>
    <row r="15" spans="1:14" ht="15" customHeight="1">
      <c r="A15" s="13"/>
      <c r="B15" s="87" t="s">
        <v>264</v>
      </c>
      <c r="C15" s="88" t="s">
        <v>174</v>
      </c>
      <c r="D15" s="89">
        <v>0.14000000000000001</v>
      </c>
      <c r="E15" s="90" t="s">
        <v>27</v>
      </c>
      <c r="F15" s="91" t="e">
        <f>H15+J15+L15</f>
        <v>#REF!</v>
      </c>
      <c r="G15" s="92" t="e">
        <f>I15+K15+M15</f>
        <v>#REF!</v>
      </c>
      <c r="H15" s="91" t="e">
        <f>#REF!</f>
        <v>#REF!</v>
      </c>
      <c r="I15" s="92" t="e">
        <f>TRUNC(H15*D15,1)</f>
        <v>#REF!</v>
      </c>
      <c r="J15" s="91">
        <v>0</v>
      </c>
      <c r="K15" s="92"/>
      <c r="L15" s="91">
        <v>0</v>
      </c>
      <c r="M15" s="92"/>
      <c r="N15" s="12" t="s">
        <v>0</v>
      </c>
    </row>
    <row r="16" spans="1:14" ht="15" customHeight="1">
      <c r="A16" s="16"/>
      <c r="B16" s="15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12"/>
    </row>
    <row r="17" spans="1:14" ht="15" customHeight="1">
      <c r="A17" s="52">
        <f>A11+1</f>
        <v>30</v>
      </c>
      <c r="B17" s="46" t="s">
        <v>255</v>
      </c>
      <c r="C17" s="47" t="s">
        <v>373</v>
      </c>
      <c r="D17" s="47">
        <v>1</v>
      </c>
      <c r="E17" s="48" t="s">
        <v>3</v>
      </c>
      <c r="F17" s="70"/>
      <c r="G17" s="68" t="e">
        <f>I17+K17+M17</f>
        <v>#REF!</v>
      </c>
      <c r="H17" s="70"/>
      <c r="I17" s="68" t="e">
        <f>I20+I21</f>
        <v>#REF!</v>
      </c>
      <c r="J17" s="70"/>
      <c r="K17" s="68">
        <f>K20+K21</f>
        <v>25682.5</v>
      </c>
      <c r="L17" s="70"/>
      <c r="M17" s="68">
        <f>M20+M21</f>
        <v>1540.9</v>
      </c>
      <c r="N17" s="63" t="str">
        <f>N11</f>
        <v>토목6-3-2</v>
      </c>
    </row>
    <row r="18" spans="1:14" ht="15" customHeight="1">
      <c r="A18" s="13"/>
      <c r="B18" s="14" t="s">
        <v>265</v>
      </c>
      <c r="C18" s="1" t="s">
        <v>0</v>
      </c>
      <c r="D18" s="3">
        <v>1</v>
      </c>
      <c r="E18" s="2" t="s">
        <v>24</v>
      </c>
      <c r="F18" s="4">
        <f>H18+J18+L18</f>
        <v>282536</v>
      </c>
      <c r="G18" s="8">
        <f>I18+K18+M18</f>
        <v>282536</v>
      </c>
      <c r="H18" s="4">
        <v>0</v>
      </c>
      <c r="I18" s="8"/>
      <c r="J18" s="4">
        <f>노임!$D$7</f>
        <v>282536</v>
      </c>
      <c r="K18" s="8">
        <f>TRUNC(J18*D18,1)</f>
        <v>282536</v>
      </c>
      <c r="L18" s="4">
        <v>0</v>
      </c>
      <c r="M18" s="8"/>
      <c r="N18" s="12" t="s">
        <v>0</v>
      </c>
    </row>
    <row r="19" spans="1:14" ht="15" customHeight="1">
      <c r="A19" s="13"/>
      <c r="B19" s="55" t="s">
        <v>288</v>
      </c>
      <c r="C19" s="1" t="s">
        <v>379</v>
      </c>
      <c r="D19" s="19">
        <v>6</v>
      </c>
      <c r="E19" s="56" t="s">
        <v>28</v>
      </c>
      <c r="F19" s="20">
        <f>H19+J19+L19</f>
        <v>282536</v>
      </c>
      <c r="G19" s="21">
        <f>I19+K19+M19</f>
        <v>16952.099999999999</v>
      </c>
      <c r="H19" s="20"/>
      <c r="I19" s="21">
        <f>TRUNC(H19*D19,1)</f>
        <v>0</v>
      </c>
      <c r="J19" s="20"/>
      <c r="K19" s="21">
        <f>TRUNC(J19*D19,1)</f>
        <v>0</v>
      </c>
      <c r="L19" s="20">
        <f>K18</f>
        <v>282536</v>
      </c>
      <c r="M19" s="21">
        <f>TRUNC(L19*D19/100,1)</f>
        <v>16952.099999999999</v>
      </c>
      <c r="N19" s="12" t="s">
        <v>0</v>
      </c>
    </row>
    <row r="20" spans="1:14" ht="15" customHeight="1">
      <c r="A20" s="13"/>
      <c r="B20" s="80" t="s">
        <v>376</v>
      </c>
      <c r="C20" s="81">
        <v>11</v>
      </c>
      <c r="D20" s="82">
        <f>ROUND(1/C20,4)</f>
        <v>9.0899999999999995E-2</v>
      </c>
      <c r="E20" s="83" t="s">
        <v>378</v>
      </c>
      <c r="F20" s="84"/>
      <c r="G20" s="85">
        <f>I20+K20+M20</f>
        <v>27223.4</v>
      </c>
      <c r="H20" s="84"/>
      <c r="I20" s="85">
        <f>TRUNC(SUM(I18:I19)*$D20,1)</f>
        <v>0</v>
      </c>
      <c r="J20" s="84"/>
      <c r="K20" s="85">
        <f>TRUNC(SUM(K18:K19)*$D20,1)</f>
        <v>25682.5</v>
      </c>
      <c r="L20" s="84"/>
      <c r="M20" s="85">
        <f>TRUNC(SUM(M18:M19)*$D20,1)</f>
        <v>1540.9</v>
      </c>
      <c r="N20" s="12"/>
    </row>
    <row r="21" spans="1:14" ht="15" customHeight="1">
      <c r="A21" s="13"/>
      <c r="B21" s="87" t="s">
        <v>264</v>
      </c>
      <c r="C21" s="88" t="s">
        <v>174</v>
      </c>
      <c r="D21" s="89">
        <v>0.25</v>
      </c>
      <c r="E21" s="90" t="s">
        <v>27</v>
      </c>
      <c r="F21" s="91" t="e">
        <f>H21+J21+L21</f>
        <v>#REF!</v>
      </c>
      <c r="G21" s="92" t="e">
        <f>I21+K21+M21</f>
        <v>#REF!</v>
      </c>
      <c r="H21" s="91" t="e">
        <f>#REF!</f>
        <v>#REF!</v>
      </c>
      <c r="I21" s="92" t="e">
        <f>TRUNC(H21*D21,1)</f>
        <v>#REF!</v>
      </c>
      <c r="J21" s="91">
        <v>0</v>
      </c>
      <c r="K21" s="92"/>
      <c r="L21" s="91">
        <v>0</v>
      </c>
      <c r="M21" s="92"/>
      <c r="N21" s="12" t="s">
        <v>0</v>
      </c>
    </row>
    <row r="22" spans="1:14" ht="15" customHeight="1">
      <c r="A22" s="16"/>
      <c r="B22" s="15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12"/>
    </row>
    <row r="23" spans="1:14" ht="15" customHeight="1">
      <c r="A23" s="52">
        <f>A17+1</f>
        <v>31</v>
      </c>
      <c r="B23" s="46" t="s">
        <v>255</v>
      </c>
      <c r="C23" s="47" t="s">
        <v>372</v>
      </c>
      <c r="D23" s="47">
        <v>1</v>
      </c>
      <c r="E23" s="48" t="s">
        <v>3</v>
      </c>
      <c r="F23" s="70"/>
      <c r="G23" s="68" t="e">
        <f>I23+K23+M23</f>
        <v>#REF!</v>
      </c>
      <c r="H23" s="70"/>
      <c r="I23" s="68" t="e">
        <f>I26+I27</f>
        <v>#REF!</v>
      </c>
      <c r="J23" s="70"/>
      <c r="K23" s="68">
        <f>K26+K27</f>
        <v>28253.599999999999</v>
      </c>
      <c r="L23" s="70"/>
      <c r="M23" s="68">
        <f>M26+M27</f>
        <v>1695.2</v>
      </c>
      <c r="N23" s="63" t="str">
        <f>N17</f>
        <v>토목6-3-2</v>
      </c>
    </row>
    <row r="24" spans="1:14" ht="15" customHeight="1">
      <c r="A24" s="13"/>
      <c r="B24" s="14" t="s">
        <v>265</v>
      </c>
      <c r="C24" s="1" t="s">
        <v>0</v>
      </c>
      <c r="D24" s="3">
        <v>1</v>
      </c>
      <c r="E24" s="2" t="s">
        <v>24</v>
      </c>
      <c r="F24" s="4">
        <f>H24+J24+L24</f>
        <v>282536</v>
      </c>
      <c r="G24" s="8">
        <f>I24+K24+M24</f>
        <v>282536</v>
      </c>
      <c r="H24" s="4">
        <v>0</v>
      </c>
      <c r="I24" s="8"/>
      <c r="J24" s="4">
        <f>노임!$D$7</f>
        <v>282536</v>
      </c>
      <c r="K24" s="8">
        <f>TRUNC(J24*D24,1)</f>
        <v>282536</v>
      </c>
      <c r="L24" s="4">
        <v>0</v>
      </c>
      <c r="M24" s="8"/>
      <c r="N24" s="12" t="s">
        <v>0</v>
      </c>
    </row>
    <row r="25" spans="1:14" ht="15" customHeight="1">
      <c r="A25" s="13"/>
      <c r="B25" s="55" t="s">
        <v>288</v>
      </c>
      <c r="C25" s="1" t="s">
        <v>379</v>
      </c>
      <c r="D25" s="19">
        <v>6</v>
      </c>
      <c r="E25" s="56" t="s">
        <v>28</v>
      </c>
      <c r="F25" s="20">
        <f>H25+J25+L25</f>
        <v>282536</v>
      </c>
      <c r="G25" s="21">
        <f>I25+K25+M25</f>
        <v>16952.099999999999</v>
      </c>
      <c r="H25" s="20"/>
      <c r="I25" s="21">
        <f>TRUNC(H25*D25,1)</f>
        <v>0</v>
      </c>
      <c r="J25" s="20"/>
      <c r="K25" s="21">
        <f>TRUNC(J25*D25,1)</f>
        <v>0</v>
      </c>
      <c r="L25" s="20">
        <f>K24</f>
        <v>282536</v>
      </c>
      <c r="M25" s="21">
        <f>TRUNC(L25*D25/100,1)</f>
        <v>16952.099999999999</v>
      </c>
      <c r="N25" s="12" t="s">
        <v>0</v>
      </c>
    </row>
    <row r="26" spans="1:14" ht="15" customHeight="1">
      <c r="B26" s="80" t="s">
        <v>376</v>
      </c>
      <c r="C26" s="81">
        <v>10</v>
      </c>
      <c r="D26" s="82">
        <f>ROUND(1/C26,4)</f>
        <v>0.1</v>
      </c>
      <c r="E26" s="83" t="s">
        <v>378</v>
      </c>
      <c r="F26" s="84"/>
      <c r="G26" s="85">
        <f>I26+K26+M26</f>
        <v>29948.799999999999</v>
      </c>
      <c r="H26" s="84"/>
      <c r="I26" s="85">
        <f>TRUNC(SUM(I24:I25)*$D26,1)</f>
        <v>0</v>
      </c>
      <c r="J26" s="84"/>
      <c r="K26" s="85">
        <f>TRUNC(SUM(K24:K25)*$D26,1)</f>
        <v>28253.599999999999</v>
      </c>
      <c r="L26" s="84"/>
      <c r="M26" s="85">
        <f>TRUNC(SUM(M24:M25)*$D26,1)</f>
        <v>1695.2</v>
      </c>
      <c r="N26" s="12"/>
    </row>
    <row r="27" spans="1:14" ht="15" customHeight="1">
      <c r="A27" s="13"/>
      <c r="B27" s="87" t="s">
        <v>264</v>
      </c>
      <c r="C27" s="88" t="s">
        <v>174</v>
      </c>
      <c r="D27" s="89">
        <v>0.37</v>
      </c>
      <c r="E27" s="90" t="s">
        <v>27</v>
      </c>
      <c r="F27" s="91" t="e">
        <f>H27+J27+L27</f>
        <v>#REF!</v>
      </c>
      <c r="G27" s="92" t="e">
        <f>I27+K27+M27</f>
        <v>#REF!</v>
      </c>
      <c r="H27" s="91" t="e">
        <f>#REF!</f>
        <v>#REF!</v>
      </c>
      <c r="I27" s="92" t="e">
        <f>TRUNC(H27*D27,1)</f>
        <v>#REF!</v>
      </c>
      <c r="J27" s="91">
        <v>0</v>
      </c>
      <c r="K27" s="92"/>
      <c r="L27" s="91">
        <v>0</v>
      </c>
      <c r="M27" s="92"/>
      <c r="N27" s="12" t="s">
        <v>0</v>
      </c>
    </row>
    <row r="28" spans="1:14" ht="15" customHeight="1">
      <c r="A28" s="16"/>
      <c r="B28" s="15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12"/>
    </row>
    <row r="29" spans="1:14" ht="15" customHeight="1">
      <c r="A29" s="52">
        <f>A23+1</f>
        <v>32</v>
      </c>
      <c r="B29" s="46" t="s">
        <v>255</v>
      </c>
      <c r="C29" s="47" t="s">
        <v>371</v>
      </c>
      <c r="D29" s="47">
        <v>1</v>
      </c>
      <c r="E29" s="48" t="s">
        <v>3</v>
      </c>
      <c r="F29" s="70"/>
      <c r="G29" s="68" t="e">
        <f>I29+K29+M29</f>
        <v>#REF!</v>
      </c>
      <c r="H29" s="70"/>
      <c r="I29" s="68" t="e">
        <f>I32+I33</f>
        <v>#REF!</v>
      </c>
      <c r="J29" s="70"/>
      <c r="K29" s="68">
        <f>K32+K33</f>
        <v>31389.7</v>
      </c>
      <c r="L29" s="70"/>
      <c r="M29" s="68">
        <f>M32+M33</f>
        <v>1883.3</v>
      </c>
      <c r="N29" s="63" t="str">
        <f>N23</f>
        <v>토목6-3-2</v>
      </c>
    </row>
    <row r="30" spans="1:14" ht="15" customHeight="1">
      <c r="A30" s="13"/>
      <c r="B30" s="14" t="s">
        <v>265</v>
      </c>
      <c r="C30" s="1" t="s">
        <v>0</v>
      </c>
      <c r="D30" s="3">
        <v>1</v>
      </c>
      <c r="E30" s="2" t="s">
        <v>24</v>
      </c>
      <c r="F30" s="4">
        <f>H30+J30+L30</f>
        <v>282536</v>
      </c>
      <c r="G30" s="8">
        <f>I30+K30+M30</f>
        <v>282536</v>
      </c>
      <c r="H30" s="4">
        <v>0</v>
      </c>
      <c r="I30" s="8"/>
      <c r="J30" s="4">
        <f>노임!$D$7</f>
        <v>282536</v>
      </c>
      <c r="K30" s="8">
        <f>TRUNC(J30*D30,1)</f>
        <v>282536</v>
      </c>
      <c r="L30" s="4">
        <v>0</v>
      </c>
      <c r="M30" s="8"/>
      <c r="N30" s="12" t="s">
        <v>0</v>
      </c>
    </row>
    <row r="31" spans="1:14" ht="15" customHeight="1">
      <c r="A31" s="13"/>
      <c r="B31" s="55" t="s">
        <v>288</v>
      </c>
      <c r="C31" s="1" t="s">
        <v>379</v>
      </c>
      <c r="D31" s="19">
        <v>6</v>
      </c>
      <c r="E31" s="56" t="s">
        <v>28</v>
      </c>
      <c r="F31" s="20">
        <f>H31+J31+L31</f>
        <v>282536</v>
      </c>
      <c r="G31" s="21">
        <f>I31+K31+M31</f>
        <v>16952.099999999999</v>
      </c>
      <c r="H31" s="20"/>
      <c r="I31" s="21">
        <f>TRUNC(H31*D31,1)</f>
        <v>0</v>
      </c>
      <c r="J31" s="20"/>
      <c r="K31" s="21">
        <f>TRUNC(J31*D31,1)</f>
        <v>0</v>
      </c>
      <c r="L31" s="20">
        <f>K30</f>
        <v>282536</v>
      </c>
      <c r="M31" s="21">
        <f>TRUNC(L31*D31/100,1)</f>
        <v>16952.099999999999</v>
      </c>
      <c r="N31" s="12" t="s">
        <v>0</v>
      </c>
    </row>
    <row r="32" spans="1:14" ht="15" customHeight="1">
      <c r="A32" s="13"/>
      <c r="B32" s="80" t="s">
        <v>376</v>
      </c>
      <c r="C32" s="81">
        <v>9</v>
      </c>
      <c r="D32" s="82">
        <f>ROUND(1/C32,4)</f>
        <v>0.1111</v>
      </c>
      <c r="E32" s="83" t="s">
        <v>378</v>
      </c>
      <c r="F32" s="84"/>
      <c r="G32" s="85">
        <f>I32+K32+M32</f>
        <v>33273</v>
      </c>
      <c r="H32" s="84"/>
      <c r="I32" s="85">
        <f>TRUNC(SUM(I30:I31)*$D32,1)</f>
        <v>0</v>
      </c>
      <c r="J32" s="84"/>
      <c r="K32" s="85">
        <f>TRUNC(SUM(K30:K31)*$D32,1)</f>
        <v>31389.7</v>
      </c>
      <c r="L32" s="84"/>
      <c r="M32" s="85">
        <f>TRUNC(SUM(M30:M31)*$D32,1)</f>
        <v>1883.3</v>
      </c>
      <c r="N32" s="12"/>
    </row>
    <row r="33" spans="1:14" ht="15" customHeight="1">
      <c r="A33" s="13"/>
      <c r="B33" s="87" t="s">
        <v>264</v>
      </c>
      <c r="C33" s="88" t="s">
        <v>174</v>
      </c>
      <c r="D33" s="89">
        <v>0.54</v>
      </c>
      <c r="E33" s="90" t="s">
        <v>27</v>
      </c>
      <c r="F33" s="91" t="e">
        <f>H33+J33+L33</f>
        <v>#REF!</v>
      </c>
      <c r="G33" s="92" t="e">
        <f>I33+K33+M33</f>
        <v>#REF!</v>
      </c>
      <c r="H33" s="91" t="e">
        <f>#REF!</f>
        <v>#REF!</v>
      </c>
      <c r="I33" s="92" t="e">
        <f>TRUNC(H33*D33,1)</f>
        <v>#REF!</v>
      </c>
      <c r="J33" s="91">
        <v>0</v>
      </c>
      <c r="K33" s="92"/>
      <c r="L33" s="91">
        <v>0</v>
      </c>
      <c r="M33" s="92"/>
      <c r="N33" s="12" t="s">
        <v>0</v>
      </c>
    </row>
    <row r="34" spans="1:14" ht="15" customHeight="1">
      <c r="A34" s="16"/>
      <c r="B34" s="15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12"/>
    </row>
    <row r="35" spans="1:14" ht="15" customHeight="1">
      <c r="A35" s="52">
        <f>A29+1</f>
        <v>33</v>
      </c>
      <c r="B35" s="46" t="s">
        <v>255</v>
      </c>
      <c r="C35" s="47" t="s">
        <v>370</v>
      </c>
      <c r="D35" s="47">
        <v>1</v>
      </c>
      <c r="E35" s="48" t="s">
        <v>3</v>
      </c>
      <c r="F35" s="70"/>
      <c r="G35" s="68" t="e">
        <f>I35+K35+M35</f>
        <v>#REF!</v>
      </c>
      <c r="H35" s="70"/>
      <c r="I35" s="68" t="e">
        <f>I38+I39</f>
        <v>#REF!</v>
      </c>
      <c r="J35" s="70"/>
      <c r="K35" s="68">
        <f>K38+K39</f>
        <v>37662</v>
      </c>
      <c r="L35" s="70"/>
      <c r="M35" s="68">
        <f>M38+M39</f>
        <v>2259.6999999999998</v>
      </c>
      <c r="N35" s="63" t="str">
        <f>N29</f>
        <v>토목6-3-2</v>
      </c>
    </row>
    <row r="36" spans="1:14" ht="15" customHeight="1">
      <c r="A36" s="13"/>
      <c r="B36" s="14" t="s">
        <v>265</v>
      </c>
      <c r="C36" s="1" t="s">
        <v>0</v>
      </c>
      <c r="D36" s="3">
        <v>1</v>
      </c>
      <c r="E36" s="2" t="s">
        <v>24</v>
      </c>
      <c r="F36" s="4">
        <f>H36+J36+L36</f>
        <v>282536</v>
      </c>
      <c r="G36" s="8">
        <f>I36+K36+M36</f>
        <v>282536</v>
      </c>
      <c r="H36" s="4">
        <v>0</v>
      </c>
      <c r="I36" s="8"/>
      <c r="J36" s="4">
        <f>노임!$D$7</f>
        <v>282536</v>
      </c>
      <c r="K36" s="8">
        <f>TRUNC(J36*D36,1)</f>
        <v>282536</v>
      </c>
      <c r="L36" s="4">
        <v>0</v>
      </c>
      <c r="M36" s="8"/>
      <c r="N36" s="12" t="s">
        <v>0</v>
      </c>
    </row>
    <row r="37" spans="1:14" ht="15" customHeight="1">
      <c r="A37" s="13"/>
      <c r="B37" s="55" t="s">
        <v>288</v>
      </c>
      <c r="C37" s="1" t="s">
        <v>379</v>
      </c>
      <c r="D37" s="19">
        <v>6</v>
      </c>
      <c r="E37" s="56" t="s">
        <v>28</v>
      </c>
      <c r="F37" s="20">
        <f>H37+J37+L37</f>
        <v>282536</v>
      </c>
      <c r="G37" s="21">
        <f>I37+K37+M37</f>
        <v>16952.099999999999</v>
      </c>
      <c r="H37" s="20"/>
      <c r="I37" s="21">
        <f>TRUNC(H37*D37,1)</f>
        <v>0</v>
      </c>
      <c r="J37" s="20"/>
      <c r="K37" s="21">
        <f>TRUNC(J37*D37,1)</f>
        <v>0</v>
      </c>
      <c r="L37" s="20">
        <f>K36</f>
        <v>282536</v>
      </c>
      <c r="M37" s="21">
        <f>TRUNC(L37*D37/100,1)</f>
        <v>16952.099999999999</v>
      </c>
      <c r="N37" s="12" t="s">
        <v>0</v>
      </c>
    </row>
    <row r="38" spans="1:14" ht="15" customHeight="1">
      <c r="A38" s="13"/>
      <c r="B38" s="80" t="s">
        <v>376</v>
      </c>
      <c r="C38" s="81">
        <v>7.5</v>
      </c>
      <c r="D38" s="82">
        <f>ROUND(1/C38,4)</f>
        <v>0.1333</v>
      </c>
      <c r="E38" s="83" t="s">
        <v>378</v>
      </c>
      <c r="F38" s="84"/>
      <c r="G38" s="85">
        <f>I38+K38+M38</f>
        <v>39921.699999999997</v>
      </c>
      <c r="H38" s="84"/>
      <c r="I38" s="85">
        <f>TRUNC(SUM(I36:I37)*$D38,1)</f>
        <v>0</v>
      </c>
      <c r="J38" s="84"/>
      <c r="K38" s="85">
        <f>TRUNC(SUM(K36:K37)*$D38,1)</f>
        <v>37662</v>
      </c>
      <c r="L38" s="84"/>
      <c r="M38" s="85">
        <f>TRUNC(SUM(M36:M37)*$D38,1)</f>
        <v>2259.6999999999998</v>
      </c>
      <c r="N38" s="12"/>
    </row>
    <row r="39" spans="1:14" ht="15" customHeight="1">
      <c r="A39" s="13"/>
      <c r="B39" s="87" t="s">
        <v>264</v>
      </c>
      <c r="C39" s="88" t="s">
        <v>174</v>
      </c>
      <c r="D39" s="89">
        <v>0.54</v>
      </c>
      <c r="E39" s="90" t="s">
        <v>27</v>
      </c>
      <c r="F39" s="91" t="e">
        <f>H39+J39+L39</f>
        <v>#REF!</v>
      </c>
      <c r="G39" s="92" t="e">
        <f>I39+K39+M39</f>
        <v>#REF!</v>
      </c>
      <c r="H39" s="91" t="e">
        <f>#REF!</f>
        <v>#REF!</v>
      </c>
      <c r="I39" s="92" t="e">
        <f>TRUNC(H39*D39,1)</f>
        <v>#REF!</v>
      </c>
      <c r="J39" s="91">
        <v>0</v>
      </c>
      <c r="K39" s="92"/>
      <c r="L39" s="91">
        <v>0</v>
      </c>
      <c r="M39" s="92"/>
      <c r="N39" s="12" t="s">
        <v>0</v>
      </c>
    </row>
    <row r="40" spans="1:14" ht="15" customHeight="1">
      <c r="A40" s="16"/>
      <c r="B40" s="15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12"/>
    </row>
    <row r="41" spans="1:14" ht="15" customHeight="1">
      <c r="A41" s="52">
        <f>A35+1</f>
        <v>34</v>
      </c>
      <c r="B41" s="46" t="s">
        <v>255</v>
      </c>
      <c r="C41" s="47" t="s">
        <v>369</v>
      </c>
      <c r="D41" s="47">
        <v>1</v>
      </c>
      <c r="E41" s="48" t="s">
        <v>3</v>
      </c>
      <c r="F41" s="70"/>
      <c r="G41" s="68" t="e">
        <f>I41+K41+M41</f>
        <v>#REF!</v>
      </c>
      <c r="H41" s="70"/>
      <c r="I41" s="68" t="e">
        <f>I44+I45</f>
        <v>#REF!</v>
      </c>
      <c r="J41" s="70"/>
      <c r="K41" s="68">
        <f>K44+K45</f>
        <v>43454</v>
      </c>
      <c r="L41" s="70"/>
      <c r="M41" s="68">
        <f>M44+M45</f>
        <v>2607.1999999999998</v>
      </c>
      <c r="N41" s="63" t="str">
        <f>N35</f>
        <v>토목6-3-2</v>
      </c>
    </row>
    <row r="42" spans="1:14" ht="15" customHeight="1">
      <c r="A42" s="13"/>
      <c r="B42" s="14" t="s">
        <v>265</v>
      </c>
      <c r="C42" s="1" t="s">
        <v>0</v>
      </c>
      <c r="D42" s="3">
        <v>1</v>
      </c>
      <c r="E42" s="2" t="s">
        <v>24</v>
      </c>
      <c r="F42" s="4">
        <f>H42+J42+L42</f>
        <v>282536</v>
      </c>
      <c r="G42" s="8">
        <f>I42+K42+M42</f>
        <v>282536</v>
      </c>
      <c r="H42" s="4">
        <v>0</v>
      </c>
      <c r="I42" s="8"/>
      <c r="J42" s="4">
        <f>노임!$D$7</f>
        <v>282536</v>
      </c>
      <c r="K42" s="8">
        <f>TRUNC(J42*D42,1)</f>
        <v>282536</v>
      </c>
      <c r="L42" s="4">
        <v>0</v>
      </c>
      <c r="M42" s="8"/>
      <c r="N42" s="12" t="s">
        <v>0</v>
      </c>
    </row>
    <row r="43" spans="1:14" ht="15" customHeight="1">
      <c r="A43" s="13"/>
      <c r="B43" s="55" t="s">
        <v>288</v>
      </c>
      <c r="C43" s="1" t="s">
        <v>379</v>
      </c>
      <c r="D43" s="19">
        <v>6</v>
      </c>
      <c r="E43" s="56" t="s">
        <v>28</v>
      </c>
      <c r="F43" s="20">
        <f>H43+J43+L43</f>
        <v>282536</v>
      </c>
      <c r="G43" s="21">
        <f>I43+K43+M43</f>
        <v>16952.099999999999</v>
      </c>
      <c r="H43" s="20"/>
      <c r="I43" s="21">
        <f>TRUNC(H43*D43,1)</f>
        <v>0</v>
      </c>
      <c r="J43" s="20"/>
      <c r="K43" s="21">
        <f>TRUNC(J43*D43,1)</f>
        <v>0</v>
      </c>
      <c r="L43" s="20">
        <f>K42</f>
        <v>282536</v>
      </c>
      <c r="M43" s="21">
        <f>TRUNC(L43*D43/100,1)</f>
        <v>16952.099999999999</v>
      </c>
      <c r="N43" s="12" t="s">
        <v>0</v>
      </c>
    </row>
    <row r="44" spans="1:14" ht="15" customHeight="1">
      <c r="A44" s="13"/>
      <c r="B44" s="80" t="s">
        <v>376</v>
      </c>
      <c r="C44" s="81">
        <v>6.5</v>
      </c>
      <c r="D44" s="82">
        <f>ROUND(1/C44,4)</f>
        <v>0.15379999999999999</v>
      </c>
      <c r="E44" s="83" t="s">
        <v>378</v>
      </c>
      <c r="F44" s="84"/>
      <c r="G44" s="85">
        <f>I44+K44+M44</f>
        <v>46061.2</v>
      </c>
      <c r="H44" s="84"/>
      <c r="I44" s="85">
        <f>TRUNC(SUM(I42:I43)*$D44,1)</f>
        <v>0</v>
      </c>
      <c r="J44" s="84"/>
      <c r="K44" s="85">
        <f>TRUNC(SUM(K42:K43)*$D44,1)</f>
        <v>43454</v>
      </c>
      <c r="L44" s="84"/>
      <c r="M44" s="85">
        <f>TRUNC(SUM(M42:M43)*$D44,1)</f>
        <v>2607.1999999999998</v>
      </c>
      <c r="N44" s="12"/>
    </row>
    <row r="45" spans="1:14" ht="15" customHeight="1">
      <c r="A45" s="13"/>
      <c r="B45" s="87" t="s">
        <v>264</v>
      </c>
      <c r="C45" s="88" t="s">
        <v>174</v>
      </c>
      <c r="D45" s="89">
        <v>0.57999999999999996</v>
      </c>
      <c r="E45" s="90" t="s">
        <v>27</v>
      </c>
      <c r="F45" s="91" t="e">
        <f>H45+J45+L45</f>
        <v>#REF!</v>
      </c>
      <c r="G45" s="92" t="e">
        <f>I45+K45+M45</f>
        <v>#REF!</v>
      </c>
      <c r="H45" s="91" t="e">
        <f>#REF!</f>
        <v>#REF!</v>
      </c>
      <c r="I45" s="92" t="e">
        <f>TRUNC(H45*D45,1)</f>
        <v>#REF!</v>
      </c>
      <c r="J45" s="91">
        <v>0</v>
      </c>
      <c r="K45" s="92"/>
      <c r="L45" s="91">
        <v>0</v>
      </c>
      <c r="M45" s="92"/>
      <c r="N45" s="12" t="s">
        <v>0</v>
      </c>
    </row>
    <row r="46" spans="1:14" ht="15" customHeight="1">
      <c r="A46" s="16"/>
      <c r="B46" s="15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12"/>
    </row>
    <row r="47" spans="1:14" ht="15" customHeight="1">
      <c r="A47" s="52">
        <f>A41+1</f>
        <v>35</v>
      </c>
      <c r="B47" s="46" t="s">
        <v>255</v>
      </c>
      <c r="C47" s="47" t="s">
        <v>368</v>
      </c>
      <c r="D47" s="47">
        <v>1</v>
      </c>
      <c r="E47" s="48" t="s">
        <v>3</v>
      </c>
      <c r="F47" s="70"/>
      <c r="G47" s="68" t="e">
        <f>I47+K47+M47</f>
        <v>#REF!</v>
      </c>
      <c r="H47" s="70"/>
      <c r="I47" s="68" t="e">
        <f>I50+I51</f>
        <v>#REF!</v>
      </c>
      <c r="J47" s="70"/>
      <c r="K47" s="68">
        <f>K50+K51</f>
        <v>51365</v>
      </c>
      <c r="L47" s="70"/>
      <c r="M47" s="68">
        <f>M50+M51</f>
        <v>3081.8</v>
      </c>
      <c r="N47" s="63" t="str">
        <f>N41</f>
        <v>토목6-3-2</v>
      </c>
    </row>
    <row r="48" spans="1:14" ht="15" customHeight="1">
      <c r="A48" s="13"/>
      <c r="B48" s="14" t="s">
        <v>265</v>
      </c>
      <c r="C48" s="1" t="s">
        <v>0</v>
      </c>
      <c r="D48" s="3">
        <v>1</v>
      </c>
      <c r="E48" s="2" t="s">
        <v>24</v>
      </c>
      <c r="F48" s="4">
        <f>H48+J48+L48</f>
        <v>282536</v>
      </c>
      <c r="G48" s="8">
        <f>I48+K48+M48</f>
        <v>282536</v>
      </c>
      <c r="H48" s="4">
        <v>0</v>
      </c>
      <c r="I48" s="8"/>
      <c r="J48" s="4">
        <f>노임!$D$7</f>
        <v>282536</v>
      </c>
      <c r="K48" s="8">
        <f>TRUNC(J48*D48,1)</f>
        <v>282536</v>
      </c>
      <c r="L48" s="4">
        <v>0</v>
      </c>
      <c r="M48" s="8"/>
      <c r="N48" s="12" t="s">
        <v>0</v>
      </c>
    </row>
    <row r="49" spans="1:14" ht="15" customHeight="1">
      <c r="A49" s="13"/>
      <c r="B49" s="55" t="s">
        <v>288</v>
      </c>
      <c r="C49" s="1" t="s">
        <v>379</v>
      </c>
      <c r="D49" s="19">
        <v>6</v>
      </c>
      <c r="E49" s="56" t="s">
        <v>28</v>
      </c>
      <c r="F49" s="20">
        <f>H49+J49+L49</f>
        <v>282536</v>
      </c>
      <c r="G49" s="21">
        <f>I49+K49+M49</f>
        <v>16952.099999999999</v>
      </c>
      <c r="H49" s="20"/>
      <c r="I49" s="21">
        <f>TRUNC(H49*D49,1)</f>
        <v>0</v>
      </c>
      <c r="J49" s="20"/>
      <c r="K49" s="21">
        <f>TRUNC(J49*D49,1)</f>
        <v>0</v>
      </c>
      <c r="L49" s="20">
        <f>K48</f>
        <v>282536</v>
      </c>
      <c r="M49" s="21">
        <f>TRUNC(L49*D49/100,1)</f>
        <v>16952.099999999999</v>
      </c>
      <c r="N49" s="12" t="s">
        <v>0</v>
      </c>
    </row>
    <row r="50" spans="1:14" ht="15" customHeight="1">
      <c r="A50" s="13"/>
      <c r="B50" s="80" t="s">
        <v>376</v>
      </c>
      <c r="C50" s="81">
        <v>5.5</v>
      </c>
      <c r="D50" s="82">
        <f>ROUND(1/C50,4)</f>
        <v>0.18179999999999999</v>
      </c>
      <c r="E50" s="83" t="s">
        <v>378</v>
      </c>
      <c r="F50" s="84"/>
      <c r="G50" s="85">
        <f>I50+K50+M50</f>
        <v>54446.8</v>
      </c>
      <c r="H50" s="84"/>
      <c r="I50" s="85">
        <f>TRUNC(SUM(I48:I49)*$D50,1)</f>
        <v>0</v>
      </c>
      <c r="J50" s="84"/>
      <c r="K50" s="85">
        <f>TRUNC(SUM(K48:K49)*$D50,1)</f>
        <v>51365</v>
      </c>
      <c r="L50" s="84"/>
      <c r="M50" s="85">
        <f>TRUNC(SUM(M48:M49)*$D50,1)</f>
        <v>3081.8</v>
      </c>
      <c r="N50" s="12"/>
    </row>
    <row r="51" spans="1:14" ht="15" customHeight="1">
      <c r="A51" s="13"/>
      <c r="B51" s="87" t="s">
        <v>264</v>
      </c>
      <c r="C51" s="88" t="s">
        <v>174</v>
      </c>
      <c r="D51" s="89">
        <v>0.62</v>
      </c>
      <c r="E51" s="90" t="s">
        <v>27</v>
      </c>
      <c r="F51" s="91" t="e">
        <f>H51+J51+L51</f>
        <v>#REF!</v>
      </c>
      <c r="G51" s="92" t="e">
        <f>I51+K51+M51</f>
        <v>#REF!</v>
      </c>
      <c r="H51" s="91" t="e">
        <f>#REF!</f>
        <v>#REF!</v>
      </c>
      <c r="I51" s="92" t="e">
        <f>TRUNC(H51*D51,1)</f>
        <v>#REF!</v>
      </c>
      <c r="J51" s="91">
        <v>0</v>
      </c>
      <c r="K51" s="92"/>
      <c r="L51" s="91">
        <v>0</v>
      </c>
      <c r="M51" s="92"/>
      <c r="N51" s="12" t="s">
        <v>0</v>
      </c>
    </row>
    <row r="52" spans="1:14" ht="15" customHeight="1">
      <c r="A52" s="16"/>
      <c r="B52" s="15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12"/>
    </row>
    <row r="53" spans="1:14" ht="15" customHeight="1">
      <c r="A53" s="52">
        <f>A47+1</f>
        <v>36</v>
      </c>
      <c r="B53" s="46" t="s">
        <v>255</v>
      </c>
      <c r="C53" s="47" t="s">
        <v>367</v>
      </c>
      <c r="D53" s="47">
        <v>1</v>
      </c>
      <c r="E53" s="48" t="s">
        <v>3</v>
      </c>
      <c r="F53" s="70"/>
      <c r="G53" s="68" t="e">
        <f>I53+K53+M53</f>
        <v>#REF!</v>
      </c>
      <c r="H53" s="70"/>
      <c r="I53" s="68" t="e">
        <f>I56+I57</f>
        <v>#REF!</v>
      </c>
      <c r="J53" s="70"/>
      <c r="K53" s="68">
        <f>K56+K57</f>
        <v>59502</v>
      </c>
      <c r="L53" s="70"/>
      <c r="M53" s="68">
        <f>M56+M57</f>
        <v>3570.1</v>
      </c>
      <c r="N53" s="63" t="str">
        <f>N47</f>
        <v>토목6-3-2</v>
      </c>
    </row>
    <row r="54" spans="1:14" ht="15" customHeight="1">
      <c r="A54" s="13"/>
      <c r="B54" s="14" t="s">
        <v>265</v>
      </c>
      <c r="C54" s="1" t="s">
        <v>0</v>
      </c>
      <c r="D54" s="3">
        <v>2</v>
      </c>
      <c r="E54" s="2" t="s">
        <v>24</v>
      </c>
      <c r="F54" s="4">
        <f>H54+J54+L54</f>
        <v>282536</v>
      </c>
      <c r="G54" s="8">
        <f>I54+K54+M54</f>
        <v>565072</v>
      </c>
      <c r="H54" s="4">
        <v>0</v>
      </c>
      <c r="I54" s="8"/>
      <c r="J54" s="4">
        <f>노임!$D$7</f>
        <v>282536</v>
      </c>
      <c r="K54" s="8">
        <f>TRUNC(J54*D54,1)</f>
        <v>565072</v>
      </c>
      <c r="L54" s="4">
        <v>0</v>
      </c>
      <c r="M54" s="8"/>
      <c r="N54" s="12" t="s">
        <v>0</v>
      </c>
    </row>
    <row r="55" spans="1:14" ht="15" customHeight="1">
      <c r="A55" s="13"/>
      <c r="B55" s="55" t="s">
        <v>288</v>
      </c>
      <c r="C55" s="1" t="s">
        <v>379</v>
      </c>
      <c r="D55" s="19">
        <v>6</v>
      </c>
      <c r="E55" s="56" t="s">
        <v>28</v>
      </c>
      <c r="F55" s="20">
        <f>H55+J55+L55</f>
        <v>565072</v>
      </c>
      <c r="G55" s="21">
        <f>I55+K55+M55</f>
        <v>33904.300000000003</v>
      </c>
      <c r="H55" s="20"/>
      <c r="I55" s="21">
        <f>TRUNC(H55*D55,1)</f>
        <v>0</v>
      </c>
      <c r="J55" s="20"/>
      <c r="K55" s="21">
        <f>TRUNC(J55*D55,1)</f>
        <v>0</v>
      </c>
      <c r="L55" s="20">
        <f>K54</f>
        <v>565072</v>
      </c>
      <c r="M55" s="21">
        <f>TRUNC(L55*D55/100,1)</f>
        <v>33904.300000000003</v>
      </c>
      <c r="N55" s="12" t="s">
        <v>0</v>
      </c>
    </row>
    <row r="56" spans="1:14" ht="15" customHeight="1">
      <c r="A56" s="13"/>
      <c r="B56" s="80" t="s">
        <v>376</v>
      </c>
      <c r="C56" s="81">
        <v>9.5</v>
      </c>
      <c r="D56" s="82">
        <f>ROUND(1/C56,4)</f>
        <v>0.1053</v>
      </c>
      <c r="E56" s="83" t="s">
        <v>378</v>
      </c>
      <c r="F56" s="84"/>
      <c r="G56" s="85">
        <f>I56+K56+M56</f>
        <v>63072.1</v>
      </c>
      <c r="H56" s="84"/>
      <c r="I56" s="85">
        <f>TRUNC(SUM(I54:I55)*$D56,1)</f>
        <v>0</v>
      </c>
      <c r="J56" s="84"/>
      <c r="K56" s="85">
        <f>TRUNC(SUM(K54:K55)*$D56,1)</f>
        <v>59502</v>
      </c>
      <c r="L56" s="84"/>
      <c r="M56" s="85">
        <f>TRUNC(SUM(M54:M55)*$D56,1)</f>
        <v>3570.1</v>
      </c>
      <c r="N56" s="12"/>
    </row>
    <row r="57" spans="1:14" ht="15" customHeight="1">
      <c r="A57" s="13"/>
      <c r="B57" s="87" t="s">
        <v>264</v>
      </c>
      <c r="C57" s="88" t="s">
        <v>174</v>
      </c>
      <c r="D57" s="89">
        <v>0.71</v>
      </c>
      <c r="E57" s="90" t="s">
        <v>27</v>
      </c>
      <c r="F57" s="91" t="e">
        <f>H57+J57+L57</f>
        <v>#REF!</v>
      </c>
      <c r="G57" s="92" t="e">
        <f>I57+K57+M57</f>
        <v>#REF!</v>
      </c>
      <c r="H57" s="91" t="e">
        <f>#REF!</f>
        <v>#REF!</v>
      </c>
      <c r="I57" s="92" t="e">
        <f>TRUNC(H57*D57,1)</f>
        <v>#REF!</v>
      </c>
      <c r="J57" s="91">
        <v>0</v>
      </c>
      <c r="K57" s="92"/>
      <c r="L57" s="91">
        <v>0</v>
      </c>
      <c r="M57" s="92"/>
      <c r="N57" s="12" t="s">
        <v>0</v>
      </c>
    </row>
    <row r="58" spans="1:14" ht="15" customHeight="1">
      <c r="A58" s="16"/>
      <c r="B58" s="15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12"/>
    </row>
    <row r="59" spans="1:14" ht="15" customHeight="1">
      <c r="A59" s="52">
        <f>A53+1</f>
        <v>37</v>
      </c>
      <c r="B59" s="46" t="s">
        <v>255</v>
      </c>
      <c r="C59" s="47" t="s">
        <v>366</v>
      </c>
      <c r="D59" s="47">
        <v>1</v>
      </c>
      <c r="E59" s="48" t="s">
        <v>3</v>
      </c>
      <c r="F59" s="70"/>
      <c r="G59" s="68" t="e">
        <f>I59+K59+M59</f>
        <v>#REF!</v>
      </c>
      <c r="H59" s="70"/>
      <c r="I59" s="68" t="e">
        <f>I62+I63</f>
        <v>#REF!</v>
      </c>
      <c r="J59" s="70"/>
      <c r="K59" s="68">
        <f>K62+K63</f>
        <v>70634</v>
      </c>
      <c r="L59" s="70"/>
      <c r="M59" s="68">
        <f>M62+M63</f>
        <v>4238</v>
      </c>
      <c r="N59" s="63" t="str">
        <f>N53</f>
        <v>토목6-3-2</v>
      </c>
    </row>
    <row r="60" spans="1:14" ht="15" customHeight="1">
      <c r="A60" s="13"/>
      <c r="B60" s="14" t="s">
        <v>265</v>
      </c>
      <c r="C60" s="1" t="s">
        <v>0</v>
      </c>
      <c r="D60" s="3">
        <v>2</v>
      </c>
      <c r="E60" s="2" t="s">
        <v>24</v>
      </c>
      <c r="F60" s="4">
        <f>H60+J60+L60</f>
        <v>282536</v>
      </c>
      <c r="G60" s="8">
        <f>I60+K60+M60</f>
        <v>565072</v>
      </c>
      <c r="H60" s="4">
        <v>0</v>
      </c>
      <c r="I60" s="8"/>
      <c r="J60" s="4">
        <f>노임!$D$7</f>
        <v>282536</v>
      </c>
      <c r="K60" s="8">
        <f>TRUNC(J60*D60,1)</f>
        <v>565072</v>
      </c>
      <c r="L60" s="4">
        <v>0</v>
      </c>
      <c r="M60" s="8"/>
      <c r="N60" s="12" t="s">
        <v>0</v>
      </c>
    </row>
    <row r="61" spans="1:14" ht="15" customHeight="1">
      <c r="A61" s="13"/>
      <c r="B61" s="55" t="s">
        <v>288</v>
      </c>
      <c r="C61" s="1" t="s">
        <v>379</v>
      </c>
      <c r="D61" s="19">
        <v>6</v>
      </c>
      <c r="E61" s="56" t="s">
        <v>28</v>
      </c>
      <c r="F61" s="20">
        <f>H61+J61+L61</f>
        <v>565072</v>
      </c>
      <c r="G61" s="21">
        <f>I61+K61+M61</f>
        <v>33904.300000000003</v>
      </c>
      <c r="H61" s="20"/>
      <c r="I61" s="21">
        <f>TRUNC(H61*D61,1)</f>
        <v>0</v>
      </c>
      <c r="J61" s="20"/>
      <c r="K61" s="21">
        <f>TRUNC(J61*D61,1)</f>
        <v>0</v>
      </c>
      <c r="L61" s="20">
        <f>K60</f>
        <v>565072</v>
      </c>
      <c r="M61" s="21">
        <f>TRUNC(L61*D61/100,1)</f>
        <v>33904.300000000003</v>
      </c>
      <c r="N61" s="12" t="s">
        <v>0</v>
      </c>
    </row>
    <row r="62" spans="1:14" ht="15" customHeight="1">
      <c r="A62" s="13"/>
      <c r="B62" s="80" t="s">
        <v>376</v>
      </c>
      <c r="C62" s="81">
        <v>8</v>
      </c>
      <c r="D62" s="82">
        <f>ROUND(1/C62,4)</f>
        <v>0.125</v>
      </c>
      <c r="E62" s="83" t="s">
        <v>378</v>
      </c>
      <c r="F62" s="84"/>
      <c r="G62" s="85">
        <f>I62+K62+M62</f>
        <v>74872</v>
      </c>
      <c r="H62" s="84"/>
      <c r="I62" s="85">
        <f>TRUNC(SUM(I60:I61)*$D62,1)</f>
        <v>0</v>
      </c>
      <c r="J62" s="84"/>
      <c r="K62" s="85">
        <f>TRUNC(SUM(K60:K61)*$D62,1)</f>
        <v>70634</v>
      </c>
      <c r="L62" s="84"/>
      <c r="M62" s="85">
        <f>TRUNC(SUM(M60:M61)*$D62,1)</f>
        <v>4238</v>
      </c>
      <c r="N62" s="12"/>
    </row>
    <row r="63" spans="1:14" ht="15" customHeight="1">
      <c r="A63" s="13"/>
      <c r="B63" s="87" t="s">
        <v>264</v>
      </c>
      <c r="C63" s="88" t="s">
        <v>174</v>
      </c>
      <c r="D63" s="89">
        <v>0.8</v>
      </c>
      <c r="E63" s="90" t="s">
        <v>27</v>
      </c>
      <c r="F63" s="91" t="e">
        <f>H63+J63+L63</f>
        <v>#REF!</v>
      </c>
      <c r="G63" s="92" t="e">
        <f>I63+K63+M63</f>
        <v>#REF!</v>
      </c>
      <c r="H63" s="91" t="e">
        <f>#REF!</f>
        <v>#REF!</v>
      </c>
      <c r="I63" s="92" t="e">
        <f>TRUNC(H63*D63,1)</f>
        <v>#REF!</v>
      </c>
      <c r="J63" s="91">
        <v>0</v>
      </c>
      <c r="K63" s="92"/>
      <c r="L63" s="91">
        <v>0</v>
      </c>
      <c r="M63" s="92"/>
      <c r="N63" s="12"/>
    </row>
    <row r="64" spans="1:14" ht="15" customHeight="1">
      <c r="A64" s="16"/>
      <c r="B64" s="15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12"/>
    </row>
    <row r="65" spans="1:14" ht="15" customHeight="1">
      <c r="A65" s="52">
        <f>A59+1</f>
        <v>38</v>
      </c>
      <c r="B65" s="46" t="s">
        <v>255</v>
      </c>
      <c r="C65" s="47" t="s">
        <v>365</v>
      </c>
      <c r="D65" s="47">
        <v>1</v>
      </c>
      <c r="E65" s="48" t="s">
        <v>3</v>
      </c>
      <c r="F65" s="70"/>
      <c r="G65" s="68" t="e">
        <f>I65+K65+M65</f>
        <v>#REF!</v>
      </c>
      <c r="H65" s="70"/>
      <c r="I65" s="68" t="e">
        <f>I68+I69</f>
        <v>#REF!</v>
      </c>
      <c r="J65" s="70"/>
      <c r="K65" s="68">
        <f>K68+K69</f>
        <v>86908</v>
      </c>
      <c r="L65" s="70"/>
      <c r="M65" s="68">
        <f>M68+M69</f>
        <v>5214.3999999999996</v>
      </c>
      <c r="N65" s="63" t="str">
        <f>N59</f>
        <v>토목6-3-2</v>
      </c>
    </row>
    <row r="66" spans="1:14" ht="15" customHeight="1">
      <c r="A66" s="13"/>
      <c r="B66" s="14" t="s">
        <v>265</v>
      </c>
      <c r="C66" s="1" t="s">
        <v>0</v>
      </c>
      <c r="D66" s="3">
        <v>2</v>
      </c>
      <c r="E66" s="2" t="s">
        <v>24</v>
      </c>
      <c r="F66" s="4">
        <f>H66+J66+L66</f>
        <v>282536</v>
      </c>
      <c r="G66" s="8">
        <f>I66+K66+M66</f>
        <v>565072</v>
      </c>
      <c r="H66" s="4">
        <v>0</v>
      </c>
      <c r="I66" s="8"/>
      <c r="J66" s="4">
        <f>노임!$D$7</f>
        <v>282536</v>
      </c>
      <c r="K66" s="8">
        <f>TRUNC(J66*D66,1)</f>
        <v>565072</v>
      </c>
      <c r="L66" s="4">
        <v>0</v>
      </c>
      <c r="M66" s="8"/>
      <c r="N66" s="12" t="s">
        <v>0</v>
      </c>
    </row>
    <row r="67" spans="1:14" ht="15" customHeight="1">
      <c r="A67" s="13"/>
      <c r="B67" s="55" t="s">
        <v>288</v>
      </c>
      <c r="C67" s="1" t="s">
        <v>379</v>
      </c>
      <c r="D67" s="19">
        <v>6</v>
      </c>
      <c r="E67" s="56" t="s">
        <v>28</v>
      </c>
      <c r="F67" s="20">
        <f>H67+J67+L67</f>
        <v>565072</v>
      </c>
      <c r="G67" s="21">
        <f>I67+K67+M67</f>
        <v>33904.300000000003</v>
      </c>
      <c r="H67" s="20"/>
      <c r="I67" s="21">
        <f>TRUNC(H67*D67,1)</f>
        <v>0</v>
      </c>
      <c r="J67" s="20"/>
      <c r="K67" s="21">
        <f>TRUNC(J67*D67,1)</f>
        <v>0</v>
      </c>
      <c r="L67" s="20">
        <f>K66</f>
        <v>565072</v>
      </c>
      <c r="M67" s="21">
        <f>TRUNC(L67*D67/100,1)</f>
        <v>33904.300000000003</v>
      </c>
      <c r="N67" s="12" t="s">
        <v>0</v>
      </c>
    </row>
    <row r="68" spans="1:14" ht="15" customHeight="1">
      <c r="A68" s="13"/>
      <c r="B68" s="80" t="s">
        <v>376</v>
      </c>
      <c r="C68" s="81">
        <v>6.5</v>
      </c>
      <c r="D68" s="82">
        <f>ROUND(1/C68,4)</f>
        <v>0.15379999999999999</v>
      </c>
      <c r="E68" s="83" t="s">
        <v>378</v>
      </c>
      <c r="F68" s="84"/>
      <c r="G68" s="85">
        <f>I68+K68+M68</f>
        <v>92122.4</v>
      </c>
      <c r="H68" s="84"/>
      <c r="I68" s="85">
        <f>TRUNC(SUM(I66:I67)*$D68,1)</f>
        <v>0</v>
      </c>
      <c r="J68" s="84"/>
      <c r="K68" s="85">
        <f>TRUNC(SUM(K66:K67)*$D68,1)</f>
        <v>86908</v>
      </c>
      <c r="L68" s="84"/>
      <c r="M68" s="85">
        <f>TRUNC(SUM(M66:M67)*$D68,1)</f>
        <v>5214.3999999999996</v>
      </c>
      <c r="N68" s="12"/>
    </row>
    <row r="69" spans="1:14" ht="15" customHeight="1">
      <c r="A69" s="13"/>
      <c r="B69" s="87" t="s">
        <v>264</v>
      </c>
      <c r="C69" s="88" t="s">
        <v>174</v>
      </c>
      <c r="D69" s="89">
        <v>0.88</v>
      </c>
      <c r="E69" s="90" t="s">
        <v>27</v>
      </c>
      <c r="F69" s="91" t="e">
        <f>H69+J69+L69</f>
        <v>#REF!</v>
      </c>
      <c r="G69" s="92" t="e">
        <f>I69+K69+M69</f>
        <v>#REF!</v>
      </c>
      <c r="H69" s="91" t="e">
        <f>#REF!</f>
        <v>#REF!</v>
      </c>
      <c r="I69" s="92" t="e">
        <f>TRUNC(H69*D69,1)</f>
        <v>#REF!</v>
      </c>
      <c r="J69" s="91">
        <v>0</v>
      </c>
      <c r="K69" s="92"/>
      <c r="L69" s="91">
        <v>0</v>
      </c>
      <c r="M69" s="92"/>
      <c r="N69" s="12" t="s">
        <v>0</v>
      </c>
    </row>
    <row r="70" spans="1:14" ht="15" customHeight="1">
      <c r="A70" s="16"/>
      <c r="B70" s="15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12"/>
    </row>
    <row r="71" spans="1:14" ht="15" customHeight="1">
      <c r="A71" s="52">
        <f>A65+1</f>
        <v>39</v>
      </c>
      <c r="B71" s="46" t="s">
        <v>255</v>
      </c>
      <c r="C71" s="47" t="s">
        <v>364</v>
      </c>
      <c r="D71" s="47">
        <v>1</v>
      </c>
      <c r="E71" s="48" t="s">
        <v>3</v>
      </c>
      <c r="F71" s="70"/>
      <c r="G71" s="68" t="e">
        <f>I71+K71+M71</f>
        <v>#REF!</v>
      </c>
      <c r="H71" s="70"/>
      <c r="I71" s="68" t="e">
        <f>I74+I75</f>
        <v>#REF!</v>
      </c>
      <c r="J71" s="70"/>
      <c r="K71" s="68">
        <f>K74+K75</f>
        <v>113014.39999999999</v>
      </c>
      <c r="L71" s="70"/>
      <c r="M71" s="68">
        <f>M74+M75</f>
        <v>6780.8</v>
      </c>
      <c r="N71" s="63" t="str">
        <f>N65</f>
        <v>토목6-3-2</v>
      </c>
    </row>
    <row r="72" spans="1:14" ht="15" customHeight="1">
      <c r="A72" s="13"/>
      <c r="B72" s="14" t="s">
        <v>265</v>
      </c>
      <c r="C72" s="1" t="s">
        <v>0</v>
      </c>
      <c r="D72" s="3">
        <v>2</v>
      </c>
      <c r="E72" s="2" t="s">
        <v>24</v>
      </c>
      <c r="F72" s="4">
        <f>H72+J72+L72</f>
        <v>282536</v>
      </c>
      <c r="G72" s="8">
        <f>I72+K72+M72</f>
        <v>565072</v>
      </c>
      <c r="H72" s="4">
        <v>0</v>
      </c>
      <c r="I72" s="8"/>
      <c r="J72" s="4">
        <f>노임!$D$7</f>
        <v>282536</v>
      </c>
      <c r="K72" s="8">
        <f>TRUNC(J72*D72,1)</f>
        <v>565072</v>
      </c>
      <c r="L72" s="4">
        <v>0</v>
      </c>
      <c r="M72" s="8"/>
      <c r="N72" s="12" t="s">
        <v>0</v>
      </c>
    </row>
    <row r="73" spans="1:14" ht="15" customHeight="1">
      <c r="A73" s="13"/>
      <c r="B73" s="55" t="s">
        <v>288</v>
      </c>
      <c r="C73" s="1" t="s">
        <v>379</v>
      </c>
      <c r="D73" s="19">
        <v>6</v>
      </c>
      <c r="E73" s="56" t="s">
        <v>28</v>
      </c>
      <c r="F73" s="20">
        <f>H73+J73+L73</f>
        <v>565072</v>
      </c>
      <c r="G73" s="21">
        <f>I73+K73+M73</f>
        <v>33904.300000000003</v>
      </c>
      <c r="H73" s="20"/>
      <c r="I73" s="21">
        <f>TRUNC(H73*D73,1)</f>
        <v>0</v>
      </c>
      <c r="J73" s="20"/>
      <c r="K73" s="21">
        <f>TRUNC(J73*D73,1)</f>
        <v>0</v>
      </c>
      <c r="L73" s="20">
        <f>K72</f>
        <v>565072</v>
      </c>
      <c r="M73" s="21">
        <f>TRUNC(L73*D73/100,1)</f>
        <v>33904.300000000003</v>
      </c>
      <c r="N73" s="12" t="s">
        <v>0</v>
      </c>
    </row>
    <row r="74" spans="1:14" ht="15" customHeight="1">
      <c r="A74" s="13"/>
      <c r="B74" s="80" t="s">
        <v>376</v>
      </c>
      <c r="C74" s="81">
        <v>5</v>
      </c>
      <c r="D74" s="82">
        <f>ROUND(1/C74,4)</f>
        <v>0.2</v>
      </c>
      <c r="E74" s="83" t="s">
        <v>378</v>
      </c>
      <c r="F74" s="84"/>
      <c r="G74" s="85">
        <f>I74+K74+M74</f>
        <v>119795.2</v>
      </c>
      <c r="H74" s="84"/>
      <c r="I74" s="85">
        <f>TRUNC(SUM(I72:I73)*$D74,1)</f>
        <v>0</v>
      </c>
      <c r="J74" s="84"/>
      <c r="K74" s="85">
        <f>TRUNC(SUM(K72:K73)*$D74,1)</f>
        <v>113014.39999999999</v>
      </c>
      <c r="L74" s="84"/>
      <c r="M74" s="85">
        <f>TRUNC(SUM(M72:M73)*$D74,1)</f>
        <v>6780.8</v>
      </c>
      <c r="N74" s="12"/>
    </row>
    <row r="75" spans="1:14" ht="15" customHeight="1">
      <c r="A75" s="13"/>
      <c r="B75" s="87" t="s">
        <v>264</v>
      </c>
      <c r="C75" s="88" t="s">
        <v>174</v>
      </c>
      <c r="D75" s="89">
        <v>1.06</v>
      </c>
      <c r="E75" s="90" t="s">
        <v>27</v>
      </c>
      <c r="F75" s="91" t="e">
        <f>H75+J75+L75</f>
        <v>#REF!</v>
      </c>
      <c r="G75" s="92" t="e">
        <f>I75+K75+M75</f>
        <v>#REF!</v>
      </c>
      <c r="H75" s="91" t="e">
        <f>#REF!</f>
        <v>#REF!</v>
      </c>
      <c r="I75" s="92" t="e">
        <f>TRUNC(H75*D75,1)</f>
        <v>#REF!</v>
      </c>
      <c r="J75" s="91">
        <v>0</v>
      </c>
      <c r="K75" s="92"/>
      <c r="L75" s="91">
        <v>0</v>
      </c>
      <c r="M75" s="92"/>
      <c r="N75" s="12" t="s">
        <v>0</v>
      </c>
    </row>
    <row r="76" spans="1:14" ht="15" customHeight="1">
      <c r="A76" s="16"/>
      <c r="B76" s="15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12"/>
    </row>
    <row r="77" spans="1:14" ht="15" customHeight="1">
      <c r="A77" s="52">
        <f>A71+1</f>
        <v>40</v>
      </c>
      <c r="B77" s="46" t="s">
        <v>255</v>
      </c>
      <c r="C77" s="47" t="s">
        <v>363</v>
      </c>
      <c r="D77" s="47">
        <v>1</v>
      </c>
      <c r="E77" s="48" t="s">
        <v>3</v>
      </c>
      <c r="F77" s="70"/>
      <c r="G77" s="68" t="e">
        <f>I77+K77+M77</f>
        <v>#REF!</v>
      </c>
      <c r="H77" s="70"/>
      <c r="I77" s="68" t="e">
        <f>I80+I81</f>
        <v>#REF!</v>
      </c>
      <c r="J77" s="70"/>
      <c r="K77" s="68">
        <f>K80+K81</f>
        <v>161441</v>
      </c>
      <c r="L77" s="70"/>
      <c r="M77" s="68">
        <f>M80+M81</f>
        <v>9686.4</v>
      </c>
      <c r="N77" s="63" t="str">
        <f>N71</f>
        <v>토목6-3-2</v>
      </c>
    </row>
    <row r="78" spans="1:14" ht="15" customHeight="1">
      <c r="A78" s="13"/>
      <c r="B78" s="14" t="s">
        <v>265</v>
      </c>
      <c r="C78" s="1" t="s">
        <v>0</v>
      </c>
      <c r="D78" s="3">
        <v>2</v>
      </c>
      <c r="E78" s="2" t="s">
        <v>24</v>
      </c>
      <c r="F78" s="4">
        <f>H78+J78+L78</f>
        <v>282536</v>
      </c>
      <c r="G78" s="8">
        <f>I78+K78+M78</f>
        <v>565072</v>
      </c>
      <c r="H78" s="4">
        <v>0</v>
      </c>
      <c r="I78" s="8"/>
      <c r="J78" s="4">
        <f>노임!$D$7</f>
        <v>282536</v>
      </c>
      <c r="K78" s="8">
        <f>TRUNC(J78*D78,1)</f>
        <v>565072</v>
      </c>
      <c r="L78" s="4">
        <v>0</v>
      </c>
      <c r="M78" s="8"/>
      <c r="N78" s="12" t="s">
        <v>0</v>
      </c>
    </row>
    <row r="79" spans="1:14" ht="15" customHeight="1">
      <c r="A79" s="13"/>
      <c r="B79" s="55" t="s">
        <v>288</v>
      </c>
      <c r="C79" s="1" t="s">
        <v>379</v>
      </c>
      <c r="D79" s="19">
        <v>6</v>
      </c>
      <c r="E79" s="56" t="s">
        <v>28</v>
      </c>
      <c r="F79" s="20">
        <f>H79+J79+L79</f>
        <v>565072</v>
      </c>
      <c r="G79" s="21">
        <f>I79+K79+M79</f>
        <v>33904.300000000003</v>
      </c>
      <c r="H79" s="20"/>
      <c r="I79" s="21">
        <f>TRUNC(H79*D79,1)</f>
        <v>0</v>
      </c>
      <c r="J79" s="20"/>
      <c r="K79" s="21">
        <f>TRUNC(J79*D79,1)</f>
        <v>0</v>
      </c>
      <c r="L79" s="20">
        <f>K78</f>
        <v>565072</v>
      </c>
      <c r="M79" s="21">
        <f>TRUNC(L79*D79/100,1)</f>
        <v>33904.300000000003</v>
      </c>
      <c r="N79" s="12" t="s">
        <v>0</v>
      </c>
    </row>
    <row r="80" spans="1:14" ht="15" customHeight="1">
      <c r="A80" s="13"/>
      <c r="B80" s="80" t="s">
        <v>376</v>
      </c>
      <c r="C80" s="81">
        <v>3.5</v>
      </c>
      <c r="D80" s="82">
        <f>ROUND(1/C80,4)</f>
        <v>0.28570000000000001</v>
      </c>
      <c r="E80" s="83" t="s">
        <v>378</v>
      </c>
      <c r="F80" s="84"/>
      <c r="G80" s="85">
        <f>I80+K80+M80</f>
        <v>171127.4</v>
      </c>
      <c r="H80" s="84"/>
      <c r="I80" s="85">
        <f>TRUNC(SUM(I78:I79)*$D80,1)</f>
        <v>0</v>
      </c>
      <c r="J80" s="84"/>
      <c r="K80" s="85">
        <f>TRUNC(SUM(K78:K79)*$D80,1)</f>
        <v>161441</v>
      </c>
      <c r="L80" s="84"/>
      <c r="M80" s="85">
        <f>TRUNC(SUM(M78:M79)*$D80,1)</f>
        <v>9686.4</v>
      </c>
      <c r="N80" s="12"/>
    </row>
    <row r="81" spans="1:14" ht="15" customHeight="1">
      <c r="A81" s="13"/>
      <c r="B81" s="87" t="s">
        <v>264</v>
      </c>
      <c r="C81" s="88" t="s">
        <v>174</v>
      </c>
      <c r="D81" s="89">
        <v>1.6</v>
      </c>
      <c r="E81" s="90" t="s">
        <v>27</v>
      </c>
      <c r="F81" s="91" t="e">
        <f>H81+J81+L81</f>
        <v>#REF!</v>
      </c>
      <c r="G81" s="92" t="e">
        <f>I81+K81+M81</f>
        <v>#REF!</v>
      </c>
      <c r="H81" s="91" t="e">
        <f>#REF!</f>
        <v>#REF!</v>
      </c>
      <c r="I81" s="92" t="e">
        <f>TRUNC(H81*D81,1)</f>
        <v>#REF!</v>
      </c>
      <c r="J81" s="91">
        <v>0</v>
      </c>
      <c r="K81" s="92"/>
      <c r="L81" s="91">
        <v>0</v>
      </c>
      <c r="M81" s="92"/>
      <c r="N81" s="12" t="s">
        <v>0</v>
      </c>
    </row>
    <row r="82" spans="1:14" ht="15" customHeight="1">
      <c r="A82" s="16"/>
      <c r="B82" s="15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12"/>
    </row>
    <row r="83" spans="1:14" ht="15" customHeight="1">
      <c r="A83" s="52">
        <f>A77+1</f>
        <v>41</v>
      </c>
      <c r="B83" s="46" t="s">
        <v>257</v>
      </c>
      <c r="C83" s="47" t="s">
        <v>363</v>
      </c>
      <c r="D83" s="47">
        <v>1</v>
      </c>
      <c r="E83" s="48" t="s">
        <v>3</v>
      </c>
      <c r="F83" s="70"/>
      <c r="G83" s="68" t="e">
        <f>I83+K83+M83</f>
        <v>#REF!</v>
      </c>
      <c r="H83" s="70"/>
      <c r="I83" s="68" t="e">
        <f>I86+I87</f>
        <v>#REF!</v>
      </c>
      <c r="J83" s="70"/>
      <c r="K83" s="68">
        <f>K86+K87</f>
        <v>0</v>
      </c>
      <c r="L83" s="70"/>
      <c r="M83" s="68">
        <f>M86+M87</f>
        <v>0</v>
      </c>
      <c r="N83" s="63" t="s">
        <v>259</v>
      </c>
    </row>
    <row r="84" spans="1:14" ht="15" customHeight="1">
      <c r="A84" s="13"/>
      <c r="B84" s="14" t="s">
        <v>265</v>
      </c>
      <c r="C84" s="1" t="s">
        <v>0</v>
      </c>
      <c r="D84" s="3"/>
      <c r="E84" s="2" t="s">
        <v>24</v>
      </c>
      <c r="F84" s="4">
        <f>H84+J84+L84</f>
        <v>282536</v>
      </c>
      <c r="G84" s="8">
        <f>I84+K84+M84</f>
        <v>0</v>
      </c>
      <c r="H84" s="4">
        <v>0</v>
      </c>
      <c r="I84" s="8"/>
      <c r="J84" s="4">
        <f>노임!$D$7</f>
        <v>282536</v>
      </c>
      <c r="K84" s="8">
        <f>TRUNC(J84*D84,1)</f>
        <v>0</v>
      </c>
      <c r="L84" s="4">
        <v>0</v>
      </c>
      <c r="M84" s="8"/>
      <c r="N84" s="12" t="s">
        <v>0</v>
      </c>
    </row>
    <row r="85" spans="1:14" ht="15" customHeight="1">
      <c r="A85" s="13"/>
      <c r="B85" s="55" t="s">
        <v>288</v>
      </c>
      <c r="C85" s="1" t="s">
        <v>379</v>
      </c>
      <c r="D85" s="19">
        <v>6</v>
      </c>
      <c r="E85" s="56" t="s">
        <v>28</v>
      </c>
      <c r="F85" s="20">
        <f>H85+J85+L85</f>
        <v>0</v>
      </c>
      <c r="G85" s="21">
        <f>I85+K85+M85</f>
        <v>0</v>
      </c>
      <c r="H85" s="20"/>
      <c r="I85" s="21">
        <f>TRUNC(H85*D85,1)</f>
        <v>0</v>
      </c>
      <c r="J85" s="20"/>
      <c r="K85" s="21">
        <f>TRUNC(J85*D85,1)</f>
        <v>0</v>
      </c>
      <c r="L85" s="20">
        <f>K84</f>
        <v>0</v>
      </c>
      <c r="M85" s="21">
        <f>TRUNC(L85*D85/100,1)</f>
        <v>0</v>
      </c>
      <c r="N85" s="12" t="s">
        <v>0</v>
      </c>
    </row>
    <row r="86" spans="1:14" ht="15" customHeight="1">
      <c r="A86" s="13"/>
      <c r="B86" s="55" t="s">
        <v>376</v>
      </c>
      <c r="C86" s="79">
        <v>3.5</v>
      </c>
      <c r="D86" s="19">
        <f>ROUND(1/C86,4)</f>
        <v>0.28570000000000001</v>
      </c>
      <c r="E86" s="56" t="s">
        <v>378</v>
      </c>
      <c r="F86" s="20"/>
      <c r="G86" s="21">
        <f>I86+K86+M86</f>
        <v>0</v>
      </c>
      <c r="H86" s="20"/>
      <c r="I86" s="21">
        <f>TRUNC(SUM(I84:I85)*$D86,1)</f>
        <v>0</v>
      </c>
      <c r="J86" s="20"/>
      <c r="K86" s="21">
        <f>TRUNC(SUM(K84:K85)*$D86,1)</f>
        <v>0</v>
      </c>
      <c r="L86" s="20"/>
      <c r="M86" s="21">
        <f>TRUNC(SUM(M84:M85)*$D86,1)</f>
        <v>0</v>
      </c>
      <c r="N86" s="12"/>
    </row>
    <row r="87" spans="1:14" ht="15" customHeight="1">
      <c r="A87" s="13"/>
      <c r="B87" s="14" t="s">
        <v>264</v>
      </c>
      <c r="C87" s="1" t="s">
        <v>174</v>
      </c>
      <c r="D87" s="3"/>
      <c r="E87" s="2" t="s">
        <v>27</v>
      </c>
      <c r="F87" s="4" t="e">
        <f>H87+J87+L87</f>
        <v>#REF!</v>
      </c>
      <c r="G87" s="8" t="e">
        <f>I87+K87+M87</f>
        <v>#REF!</v>
      </c>
      <c r="H87" s="4" t="e">
        <f>#REF!</f>
        <v>#REF!</v>
      </c>
      <c r="I87" s="8" t="e">
        <f>TRUNC(H87*D87,1)</f>
        <v>#REF!</v>
      </c>
      <c r="J87" s="4">
        <v>0</v>
      </c>
      <c r="K87" s="8"/>
      <c r="L87" s="4">
        <v>0</v>
      </c>
      <c r="M87" s="8"/>
      <c r="N87" s="12" t="s">
        <v>0</v>
      </c>
    </row>
    <row r="88" spans="1:14" ht="15" customHeight="1">
      <c r="A88" s="16"/>
      <c r="B88" s="15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12"/>
    </row>
    <row r="89" spans="1:14" ht="15" customHeight="1">
      <c r="A89" s="52">
        <f>A83+1</f>
        <v>42</v>
      </c>
      <c r="B89" s="46" t="s">
        <v>255</v>
      </c>
      <c r="C89" s="47" t="s">
        <v>351</v>
      </c>
      <c r="D89" s="47">
        <v>1</v>
      </c>
      <c r="E89" s="48" t="s">
        <v>3</v>
      </c>
      <c r="F89" s="70"/>
      <c r="G89" s="68" t="e">
        <f>I89+K89+M89</f>
        <v>#REF!</v>
      </c>
      <c r="H89" s="70"/>
      <c r="I89" s="68" t="e">
        <f>I92+I93</f>
        <v>#REF!</v>
      </c>
      <c r="J89" s="70"/>
      <c r="K89" s="68">
        <f>K92+K93</f>
        <v>339043.2</v>
      </c>
      <c r="L89" s="70"/>
      <c r="M89" s="68">
        <f>M92+M93</f>
        <v>20342.5</v>
      </c>
      <c r="N89" s="63" t="str">
        <f>N77</f>
        <v>토목6-3-2</v>
      </c>
    </row>
    <row r="90" spans="1:14" ht="15" customHeight="1">
      <c r="A90" s="13"/>
      <c r="B90" s="14" t="s">
        <v>265</v>
      </c>
      <c r="C90" s="1" t="s">
        <v>0</v>
      </c>
      <c r="D90" s="3">
        <v>3</v>
      </c>
      <c r="E90" s="2" t="s">
        <v>24</v>
      </c>
      <c r="F90" s="4">
        <f>H90+J90+L90</f>
        <v>282536</v>
      </c>
      <c r="G90" s="8">
        <f>I90+K90+M90</f>
        <v>847608</v>
      </c>
      <c r="H90" s="4">
        <v>0</v>
      </c>
      <c r="I90" s="8"/>
      <c r="J90" s="4">
        <f>노임!$D$7</f>
        <v>282536</v>
      </c>
      <c r="K90" s="8">
        <f>TRUNC(J90*D90,1)</f>
        <v>847608</v>
      </c>
      <c r="L90" s="4">
        <v>0</v>
      </c>
      <c r="M90" s="8"/>
      <c r="N90" s="12" t="s">
        <v>0</v>
      </c>
    </row>
    <row r="91" spans="1:14" ht="15" customHeight="1">
      <c r="A91" s="13"/>
      <c r="B91" s="55" t="s">
        <v>288</v>
      </c>
      <c r="C91" s="1" t="s">
        <v>379</v>
      </c>
      <c r="D91" s="19">
        <v>6</v>
      </c>
      <c r="E91" s="56" t="s">
        <v>28</v>
      </c>
      <c r="F91" s="20">
        <f>H91+J91+L91</f>
        <v>847608</v>
      </c>
      <c r="G91" s="21">
        <f>I91+K91+M91</f>
        <v>50856.4</v>
      </c>
      <c r="H91" s="20"/>
      <c r="I91" s="21">
        <f>TRUNC(H91*D91,1)</f>
        <v>0</v>
      </c>
      <c r="J91" s="20"/>
      <c r="K91" s="21">
        <f>TRUNC(J91*D91,1)</f>
        <v>0</v>
      </c>
      <c r="L91" s="20">
        <f>K90</f>
        <v>847608</v>
      </c>
      <c r="M91" s="21">
        <f>TRUNC(L91*D91/100,1)</f>
        <v>50856.4</v>
      </c>
      <c r="N91" s="12" t="s">
        <v>0</v>
      </c>
    </row>
    <row r="92" spans="1:14" ht="15" customHeight="1">
      <c r="A92" s="13"/>
      <c r="B92" s="80" t="s">
        <v>376</v>
      </c>
      <c r="C92" s="81">
        <v>2.5</v>
      </c>
      <c r="D92" s="82">
        <f>ROUND(1/C92,4)</f>
        <v>0.4</v>
      </c>
      <c r="E92" s="83" t="s">
        <v>378</v>
      </c>
      <c r="F92" s="84"/>
      <c r="G92" s="85">
        <f>I92+K92+M92</f>
        <v>359385.7</v>
      </c>
      <c r="H92" s="84"/>
      <c r="I92" s="85">
        <f>TRUNC(SUM(I90:I91)*$D92,1)</f>
        <v>0</v>
      </c>
      <c r="J92" s="84"/>
      <c r="K92" s="85">
        <f>TRUNC(SUM(K90:K91)*$D92,1)</f>
        <v>339043.2</v>
      </c>
      <c r="L92" s="84"/>
      <c r="M92" s="85">
        <f>TRUNC(SUM(M90:M91)*$D92,1)</f>
        <v>20342.5</v>
      </c>
      <c r="N92" s="12"/>
    </row>
    <row r="93" spans="1:14" ht="15" customHeight="1">
      <c r="A93" s="13"/>
      <c r="B93" s="87" t="s">
        <v>264</v>
      </c>
      <c r="C93" s="88" t="s">
        <v>174</v>
      </c>
      <c r="D93" s="89">
        <v>2.2999999999999998</v>
      </c>
      <c r="E93" s="90" t="s">
        <v>27</v>
      </c>
      <c r="F93" s="91" t="e">
        <f>H93+J93+L93</f>
        <v>#REF!</v>
      </c>
      <c r="G93" s="92" t="e">
        <f>I93+K93+M93</f>
        <v>#REF!</v>
      </c>
      <c r="H93" s="91" t="e">
        <f>#REF!</f>
        <v>#REF!</v>
      </c>
      <c r="I93" s="92" t="e">
        <f>TRUNC(H93*D93,1)</f>
        <v>#REF!</v>
      </c>
      <c r="J93" s="91">
        <v>0</v>
      </c>
      <c r="K93" s="92"/>
      <c r="L93" s="91">
        <v>0</v>
      </c>
      <c r="M93" s="92"/>
      <c r="N93" s="12" t="s">
        <v>0</v>
      </c>
    </row>
    <row r="94" spans="1:14" ht="15" customHeight="1">
      <c r="A94" s="16"/>
      <c r="B94" s="15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12"/>
    </row>
    <row r="95" spans="1:14" ht="15" customHeight="1">
      <c r="A95" s="52">
        <f>A89+1</f>
        <v>43</v>
      </c>
      <c r="B95" s="46" t="s">
        <v>257</v>
      </c>
      <c r="C95" s="47" t="s">
        <v>351</v>
      </c>
      <c r="D95" s="47">
        <v>1</v>
      </c>
      <c r="E95" s="48" t="s">
        <v>3</v>
      </c>
      <c r="F95" s="70"/>
      <c r="G95" s="68" t="e">
        <f>I95+K95+M95</f>
        <v>#REF!</v>
      </c>
      <c r="H95" s="70"/>
      <c r="I95" s="68" t="e">
        <f>I98+I99</f>
        <v>#REF!</v>
      </c>
      <c r="J95" s="70"/>
      <c r="K95" s="68">
        <f>K98+K99</f>
        <v>211902</v>
      </c>
      <c r="L95" s="70"/>
      <c r="M95" s="68">
        <f>M98+M99</f>
        <v>12714.1</v>
      </c>
      <c r="N95" s="63" t="str">
        <f>N89</f>
        <v>토목6-3-2</v>
      </c>
    </row>
    <row r="96" spans="1:14" ht="15" customHeight="1">
      <c r="A96" s="13"/>
      <c r="B96" s="14" t="s">
        <v>265</v>
      </c>
      <c r="C96" s="1" t="s">
        <v>0</v>
      </c>
      <c r="D96" s="3">
        <v>3</v>
      </c>
      <c r="E96" s="2" t="s">
        <v>24</v>
      </c>
      <c r="F96" s="4">
        <f>H96+J96+L96</f>
        <v>282536</v>
      </c>
      <c r="G96" s="8">
        <f>I96+K96+M96</f>
        <v>847608</v>
      </c>
      <c r="H96" s="4">
        <v>0</v>
      </c>
      <c r="I96" s="8"/>
      <c r="J96" s="4">
        <f>노임!$D$7</f>
        <v>282536</v>
      </c>
      <c r="K96" s="8">
        <f>TRUNC(J96*D96,1)</f>
        <v>847608</v>
      </c>
      <c r="L96" s="4">
        <v>0</v>
      </c>
      <c r="M96" s="8"/>
      <c r="N96" s="12" t="s">
        <v>0</v>
      </c>
    </row>
    <row r="97" spans="1:14" ht="15" customHeight="1">
      <c r="A97" s="13"/>
      <c r="B97" s="55" t="s">
        <v>288</v>
      </c>
      <c r="C97" s="1" t="s">
        <v>379</v>
      </c>
      <c r="D97" s="19">
        <v>6</v>
      </c>
      <c r="E97" s="56" t="s">
        <v>28</v>
      </c>
      <c r="F97" s="20">
        <f>H97+J97+L97</f>
        <v>847608</v>
      </c>
      <c r="G97" s="21">
        <f>I97+K97+M97</f>
        <v>50856.4</v>
      </c>
      <c r="H97" s="20"/>
      <c r="I97" s="21">
        <f>TRUNC(H97*D97,1)</f>
        <v>0</v>
      </c>
      <c r="J97" s="20"/>
      <c r="K97" s="21">
        <f>TRUNC(J97*D97,1)</f>
        <v>0</v>
      </c>
      <c r="L97" s="20">
        <f>K96</f>
        <v>847608</v>
      </c>
      <c r="M97" s="21">
        <f>TRUNC(L97*D97/100,1)</f>
        <v>50856.4</v>
      </c>
      <c r="N97" s="12" t="s">
        <v>0</v>
      </c>
    </row>
    <row r="98" spans="1:14" ht="15" customHeight="1">
      <c r="A98" s="13"/>
      <c r="B98" s="80" t="s">
        <v>376</v>
      </c>
      <c r="C98" s="81">
        <v>4</v>
      </c>
      <c r="D98" s="82">
        <f>ROUND(1/C98,4)</f>
        <v>0.25</v>
      </c>
      <c r="E98" s="83" t="s">
        <v>378</v>
      </c>
      <c r="F98" s="84"/>
      <c r="G98" s="85">
        <f>I98+K98+M98</f>
        <v>224616.1</v>
      </c>
      <c r="H98" s="84"/>
      <c r="I98" s="85">
        <f>TRUNC(SUM(I96:I97)*$D98,1)</f>
        <v>0</v>
      </c>
      <c r="J98" s="84"/>
      <c r="K98" s="85">
        <f>TRUNC(SUM(K96:K97)*$D98,1)</f>
        <v>211902</v>
      </c>
      <c r="L98" s="84"/>
      <c r="M98" s="85">
        <f>TRUNC(SUM(M96:M97)*$D98,1)</f>
        <v>12714.1</v>
      </c>
      <c r="N98" s="12"/>
    </row>
    <row r="99" spans="1:14" ht="15" customHeight="1">
      <c r="A99" s="13"/>
      <c r="B99" s="87" t="s">
        <v>264</v>
      </c>
      <c r="C99" s="88" t="s">
        <v>174</v>
      </c>
      <c r="D99" s="89">
        <v>1.9</v>
      </c>
      <c r="E99" s="90" t="s">
        <v>27</v>
      </c>
      <c r="F99" s="91" t="e">
        <f>H99+J99+L99</f>
        <v>#REF!</v>
      </c>
      <c r="G99" s="92" t="e">
        <f>I99+K99+M99</f>
        <v>#REF!</v>
      </c>
      <c r="H99" s="91" t="e">
        <f>#REF!</f>
        <v>#REF!</v>
      </c>
      <c r="I99" s="92" t="e">
        <f>TRUNC(H99*D99,1)</f>
        <v>#REF!</v>
      </c>
      <c r="J99" s="91">
        <v>0</v>
      </c>
      <c r="K99" s="92"/>
      <c r="L99" s="91">
        <v>0</v>
      </c>
      <c r="M99" s="92"/>
      <c r="N99" s="12" t="s">
        <v>0</v>
      </c>
    </row>
    <row r="100" spans="1:14" ht="15" customHeight="1">
      <c r="A100" s="16"/>
      <c r="B100" s="15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12"/>
    </row>
    <row r="101" spans="1:14" ht="15" customHeight="1">
      <c r="A101" s="52">
        <f>A95+1</f>
        <v>44</v>
      </c>
      <c r="B101" s="46" t="s">
        <v>255</v>
      </c>
      <c r="C101" s="47" t="s">
        <v>352</v>
      </c>
      <c r="D101" s="47">
        <v>1</v>
      </c>
      <c r="E101" s="48" t="s">
        <v>3</v>
      </c>
      <c r="F101" s="70"/>
      <c r="G101" s="68" t="e">
        <f>I101+K101+M101</f>
        <v>#REF!</v>
      </c>
      <c r="H101" s="70"/>
      <c r="I101" s="68" t="e">
        <f>I104+I105</f>
        <v>#REF!</v>
      </c>
      <c r="J101" s="70"/>
      <c r="K101" s="68">
        <f>K104+K105</f>
        <v>423804</v>
      </c>
      <c r="L101" s="70"/>
      <c r="M101" s="68">
        <f>M104+M105</f>
        <v>25428.2</v>
      </c>
      <c r="N101" s="63" t="str">
        <f>N95</f>
        <v>토목6-3-2</v>
      </c>
    </row>
    <row r="102" spans="1:14" ht="15" customHeight="1">
      <c r="A102" s="13"/>
      <c r="B102" s="14" t="s">
        <v>265</v>
      </c>
      <c r="C102" s="1" t="s">
        <v>0</v>
      </c>
      <c r="D102" s="3">
        <v>3</v>
      </c>
      <c r="E102" s="2" t="s">
        <v>24</v>
      </c>
      <c r="F102" s="4">
        <f>H102+J102+L102</f>
        <v>282536</v>
      </c>
      <c r="G102" s="8">
        <f>I102+K102+M102</f>
        <v>847608</v>
      </c>
      <c r="H102" s="4">
        <v>0</v>
      </c>
      <c r="I102" s="8"/>
      <c r="J102" s="4">
        <f>노임!$D$7</f>
        <v>282536</v>
      </c>
      <c r="K102" s="8">
        <f>TRUNC(J102*D102,1)</f>
        <v>847608</v>
      </c>
      <c r="L102" s="4">
        <v>0</v>
      </c>
      <c r="M102" s="8"/>
      <c r="N102" s="12" t="s">
        <v>0</v>
      </c>
    </row>
    <row r="103" spans="1:14" ht="15" customHeight="1">
      <c r="A103" s="13"/>
      <c r="B103" s="55" t="s">
        <v>288</v>
      </c>
      <c r="C103" s="1" t="s">
        <v>379</v>
      </c>
      <c r="D103" s="19">
        <v>6</v>
      </c>
      <c r="E103" s="56" t="s">
        <v>28</v>
      </c>
      <c r="F103" s="20">
        <f>H103+J103+L103</f>
        <v>847608</v>
      </c>
      <c r="G103" s="21">
        <f>I103+K103+M103</f>
        <v>50856.4</v>
      </c>
      <c r="H103" s="20"/>
      <c r="I103" s="21">
        <f>TRUNC(H103*D103,1)</f>
        <v>0</v>
      </c>
      <c r="J103" s="20"/>
      <c r="K103" s="21">
        <f>TRUNC(J103*D103,1)</f>
        <v>0</v>
      </c>
      <c r="L103" s="20">
        <f>K102</f>
        <v>847608</v>
      </c>
      <c r="M103" s="21">
        <f>TRUNC(L103*D103/100,1)</f>
        <v>50856.4</v>
      </c>
      <c r="N103" s="12" t="s">
        <v>0</v>
      </c>
    </row>
    <row r="104" spans="1:14" ht="15" customHeight="1">
      <c r="A104" s="13"/>
      <c r="B104" s="80" t="s">
        <v>376</v>
      </c>
      <c r="C104" s="81">
        <v>2</v>
      </c>
      <c r="D104" s="82">
        <f>ROUND(1/C104,4)</f>
        <v>0.5</v>
      </c>
      <c r="E104" s="83" t="s">
        <v>378</v>
      </c>
      <c r="F104" s="84"/>
      <c r="G104" s="85">
        <f>I104+K104+M104</f>
        <v>449232.2</v>
      </c>
      <c r="H104" s="84"/>
      <c r="I104" s="85">
        <f>TRUNC(SUM(I102:I103)*$D104,1)</f>
        <v>0</v>
      </c>
      <c r="J104" s="84"/>
      <c r="K104" s="85">
        <f>TRUNC(SUM(K102:K103)*$D104,1)</f>
        <v>423804</v>
      </c>
      <c r="L104" s="84"/>
      <c r="M104" s="85">
        <f>TRUNC(SUM(M102:M103)*$D104,1)</f>
        <v>25428.2</v>
      </c>
      <c r="N104" s="12"/>
    </row>
    <row r="105" spans="1:14" ht="15" customHeight="1">
      <c r="A105" s="13"/>
      <c r="B105" s="87" t="s">
        <v>264</v>
      </c>
      <c r="C105" s="88" t="s">
        <v>174</v>
      </c>
      <c r="D105" s="89">
        <v>2.6</v>
      </c>
      <c r="E105" s="90" t="s">
        <v>27</v>
      </c>
      <c r="F105" s="91" t="e">
        <f>H105+J105+L105</f>
        <v>#REF!</v>
      </c>
      <c r="G105" s="92" t="e">
        <f>I105+K105+M105</f>
        <v>#REF!</v>
      </c>
      <c r="H105" s="91" t="e">
        <f>#REF!</f>
        <v>#REF!</v>
      </c>
      <c r="I105" s="92" t="e">
        <f>TRUNC(H105*D105,1)</f>
        <v>#REF!</v>
      </c>
      <c r="J105" s="91">
        <v>0</v>
      </c>
      <c r="K105" s="92"/>
      <c r="L105" s="91">
        <v>0</v>
      </c>
      <c r="M105" s="92"/>
      <c r="N105" s="12" t="s">
        <v>0</v>
      </c>
    </row>
    <row r="106" spans="1:14" ht="15" customHeight="1">
      <c r="A106" s="16"/>
      <c r="B106" s="15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12"/>
    </row>
    <row r="107" spans="1:14" ht="15" customHeight="1">
      <c r="A107" s="52">
        <f>A101+1</f>
        <v>45</v>
      </c>
      <c r="B107" s="46" t="s">
        <v>257</v>
      </c>
      <c r="C107" s="47" t="s">
        <v>352</v>
      </c>
      <c r="D107" s="47">
        <v>1</v>
      </c>
      <c r="E107" s="48" t="s">
        <v>3</v>
      </c>
      <c r="F107" s="70"/>
      <c r="G107" s="68" t="e">
        <f>I107+K107+M107</f>
        <v>#REF!</v>
      </c>
      <c r="H107" s="70"/>
      <c r="I107" s="68" t="e">
        <f>I110+I111</f>
        <v>#REF!</v>
      </c>
      <c r="J107" s="70"/>
      <c r="K107" s="68">
        <f>K110+K111</f>
        <v>282507.7</v>
      </c>
      <c r="L107" s="70"/>
      <c r="M107" s="68">
        <f>M110+M111</f>
        <v>16950.400000000001</v>
      </c>
      <c r="N107" s="63" t="str">
        <f>N101</f>
        <v>토목6-3-2</v>
      </c>
    </row>
    <row r="108" spans="1:14" ht="15" customHeight="1">
      <c r="A108" s="13"/>
      <c r="B108" s="14" t="s">
        <v>265</v>
      </c>
      <c r="C108" s="1" t="s">
        <v>0</v>
      </c>
      <c r="D108" s="3">
        <v>3</v>
      </c>
      <c r="E108" s="2" t="s">
        <v>24</v>
      </c>
      <c r="F108" s="4">
        <f>H108+J108+L108</f>
        <v>282536</v>
      </c>
      <c r="G108" s="8">
        <f>I108+K108+M108</f>
        <v>847608</v>
      </c>
      <c r="H108" s="4">
        <v>0</v>
      </c>
      <c r="I108" s="8"/>
      <c r="J108" s="4">
        <f>노임!$D$7</f>
        <v>282536</v>
      </c>
      <c r="K108" s="8">
        <f>TRUNC(J108*D108,1)</f>
        <v>847608</v>
      </c>
      <c r="L108" s="4">
        <v>0</v>
      </c>
      <c r="M108" s="8"/>
      <c r="N108" s="12" t="s">
        <v>0</v>
      </c>
    </row>
    <row r="109" spans="1:14" ht="15" customHeight="1">
      <c r="A109" s="13"/>
      <c r="B109" s="55" t="s">
        <v>288</v>
      </c>
      <c r="C109" s="1" t="s">
        <v>379</v>
      </c>
      <c r="D109" s="19">
        <v>6</v>
      </c>
      <c r="E109" s="56" t="s">
        <v>28</v>
      </c>
      <c r="F109" s="20">
        <f>H109+J109+L109</f>
        <v>847608</v>
      </c>
      <c r="G109" s="21">
        <f>I109+K109+M109</f>
        <v>50856.4</v>
      </c>
      <c r="H109" s="20"/>
      <c r="I109" s="21">
        <f>TRUNC(H109*D109,1)</f>
        <v>0</v>
      </c>
      <c r="J109" s="20"/>
      <c r="K109" s="21">
        <f>TRUNC(J109*D109,1)</f>
        <v>0</v>
      </c>
      <c r="L109" s="20">
        <f>K108</f>
        <v>847608</v>
      </c>
      <c r="M109" s="21">
        <f>TRUNC(L109*D109/100,1)</f>
        <v>50856.4</v>
      </c>
      <c r="N109" s="12" t="s">
        <v>0</v>
      </c>
    </row>
    <row r="110" spans="1:14" ht="15" customHeight="1">
      <c r="A110" s="13"/>
      <c r="B110" s="80" t="s">
        <v>376</v>
      </c>
      <c r="C110" s="81">
        <v>3</v>
      </c>
      <c r="D110" s="82">
        <f>ROUND(1/C110,4)</f>
        <v>0.33329999999999999</v>
      </c>
      <c r="E110" s="83" t="s">
        <v>378</v>
      </c>
      <c r="F110" s="84"/>
      <c r="G110" s="85">
        <f>I110+K110+M110</f>
        <v>299458.10000000003</v>
      </c>
      <c r="H110" s="84"/>
      <c r="I110" s="85">
        <f>TRUNC(SUM(I108:I109)*$D110,1)</f>
        <v>0</v>
      </c>
      <c r="J110" s="84"/>
      <c r="K110" s="85">
        <f>TRUNC(SUM(K108:K109)*$D110,1)</f>
        <v>282507.7</v>
      </c>
      <c r="L110" s="84"/>
      <c r="M110" s="85">
        <f>TRUNC(SUM(M108:M109)*$D110,1)</f>
        <v>16950.400000000001</v>
      </c>
      <c r="N110" s="12"/>
    </row>
    <row r="111" spans="1:14" ht="15" customHeight="1">
      <c r="A111" s="13"/>
      <c r="B111" s="87" t="s">
        <v>264</v>
      </c>
      <c r="C111" s="88" t="s">
        <v>174</v>
      </c>
      <c r="D111" s="89">
        <v>2.1</v>
      </c>
      <c r="E111" s="90" t="s">
        <v>27</v>
      </c>
      <c r="F111" s="91" t="e">
        <f>H111+J111+L111</f>
        <v>#REF!</v>
      </c>
      <c r="G111" s="92" t="e">
        <f>I111+K111+M111</f>
        <v>#REF!</v>
      </c>
      <c r="H111" s="91" t="e">
        <f>#REF!</f>
        <v>#REF!</v>
      </c>
      <c r="I111" s="92" t="e">
        <f>TRUNC(H111*D111,1)</f>
        <v>#REF!</v>
      </c>
      <c r="J111" s="91">
        <v>0</v>
      </c>
      <c r="K111" s="92"/>
      <c r="L111" s="91">
        <v>0</v>
      </c>
      <c r="M111" s="92"/>
      <c r="N111" s="12" t="s">
        <v>0</v>
      </c>
    </row>
    <row r="112" spans="1:14" ht="15" customHeight="1">
      <c r="A112" s="16"/>
      <c r="B112" s="15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12"/>
    </row>
    <row r="113" spans="1:14" ht="15" customHeight="1">
      <c r="A113" s="52">
        <f>A107+1</f>
        <v>46</v>
      </c>
      <c r="B113" s="46" t="s">
        <v>255</v>
      </c>
      <c r="C113" s="47" t="s">
        <v>353</v>
      </c>
      <c r="D113" s="47">
        <v>1</v>
      </c>
      <c r="E113" s="48" t="s">
        <v>3</v>
      </c>
      <c r="F113" s="70"/>
      <c r="G113" s="68" t="e">
        <f>I113+K113+M113</f>
        <v>#REF!</v>
      </c>
      <c r="H113" s="70"/>
      <c r="I113" s="68" t="e">
        <f>I116+I117</f>
        <v>#REF!</v>
      </c>
      <c r="J113" s="70"/>
      <c r="K113" s="68">
        <f>K116+K117</f>
        <v>565100.19999999995</v>
      </c>
      <c r="L113" s="70"/>
      <c r="M113" s="68">
        <f>M116+M117</f>
        <v>33905.9</v>
      </c>
      <c r="N113" s="63" t="str">
        <f>N107</f>
        <v>토목6-3-2</v>
      </c>
    </row>
    <row r="114" spans="1:14" ht="15" customHeight="1">
      <c r="A114" s="13"/>
      <c r="B114" s="14" t="s">
        <v>265</v>
      </c>
      <c r="C114" s="1" t="s">
        <v>0</v>
      </c>
      <c r="D114" s="3">
        <v>3</v>
      </c>
      <c r="E114" s="2" t="s">
        <v>24</v>
      </c>
      <c r="F114" s="4">
        <f>H114+J114+L114</f>
        <v>282536</v>
      </c>
      <c r="G114" s="8">
        <f>I114+K114+M114</f>
        <v>847608</v>
      </c>
      <c r="H114" s="4">
        <v>0</v>
      </c>
      <c r="I114" s="8"/>
      <c r="J114" s="4">
        <f>노임!$D$7</f>
        <v>282536</v>
      </c>
      <c r="K114" s="8">
        <f>TRUNC(J114*D114,1)</f>
        <v>847608</v>
      </c>
      <c r="L114" s="4">
        <v>0</v>
      </c>
      <c r="M114" s="8"/>
      <c r="N114" s="12" t="s">
        <v>0</v>
      </c>
    </row>
    <row r="115" spans="1:14" ht="15" customHeight="1">
      <c r="A115" s="13"/>
      <c r="B115" s="55" t="s">
        <v>288</v>
      </c>
      <c r="C115" s="1" t="s">
        <v>379</v>
      </c>
      <c r="D115" s="19">
        <v>6</v>
      </c>
      <c r="E115" s="56" t="s">
        <v>28</v>
      </c>
      <c r="F115" s="20">
        <f>H115+J115+L115</f>
        <v>847608</v>
      </c>
      <c r="G115" s="21">
        <f>I115+K115+M115</f>
        <v>50856.4</v>
      </c>
      <c r="H115" s="20"/>
      <c r="I115" s="21">
        <f>TRUNC(H115*D115,1)</f>
        <v>0</v>
      </c>
      <c r="J115" s="20"/>
      <c r="K115" s="21">
        <f>TRUNC(J115*D115,1)</f>
        <v>0</v>
      </c>
      <c r="L115" s="20">
        <f>K114</f>
        <v>847608</v>
      </c>
      <c r="M115" s="21">
        <f>TRUNC(L115*D115/100,1)</f>
        <v>50856.4</v>
      </c>
      <c r="N115" s="12" t="s">
        <v>0</v>
      </c>
    </row>
    <row r="116" spans="1:14" ht="15" customHeight="1">
      <c r="A116" s="13"/>
      <c r="B116" s="80" t="s">
        <v>376</v>
      </c>
      <c r="C116" s="81">
        <v>1.5</v>
      </c>
      <c r="D116" s="82">
        <f>ROUND(1/C116,4)</f>
        <v>0.66669999999999996</v>
      </c>
      <c r="E116" s="83" t="s">
        <v>378</v>
      </c>
      <c r="F116" s="84"/>
      <c r="G116" s="85">
        <f>I116+K116+M116</f>
        <v>599006.1</v>
      </c>
      <c r="H116" s="84"/>
      <c r="I116" s="85">
        <f>TRUNC(SUM(I114:I115)*$D116,1)</f>
        <v>0</v>
      </c>
      <c r="J116" s="84"/>
      <c r="K116" s="85">
        <f>TRUNC(SUM(K114:K115)*$D116,1)</f>
        <v>565100.19999999995</v>
      </c>
      <c r="L116" s="84"/>
      <c r="M116" s="85">
        <f>TRUNC(SUM(M114:M115)*$D116,1)</f>
        <v>33905.9</v>
      </c>
      <c r="N116" s="12"/>
    </row>
    <row r="117" spans="1:14" ht="15" customHeight="1">
      <c r="A117" s="13"/>
      <c r="B117" s="87" t="s">
        <v>264</v>
      </c>
      <c r="C117" s="88" t="s">
        <v>174</v>
      </c>
      <c r="D117" s="89">
        <v>3.5</v>
      </c>
      <c r="E117" s="90" t="s">
        <v>27</v>
      </c>
      <c r="F117" s="91" t="e">
        <f>H117+J117+L117</f>
        <v>#REF!</v>
      </c>
      <c r="G117" s="92" t="e">
        <f>I117+K117+M117</f>
        <v>#REF!</v>
      </c>
      <c r="H117" s="91" t="e">
        <f>#REF!</f>
        <v>#REF!</v>
      </c>
      <c r="I117" s="92" t="e">
        <f>TRUNC(H117*D117,1)</f>
        <v>#REF!</v>
      </c>
      <c r="J117" s="91">
        <v>0</v>
      </c>
      <c r="K117" s="92"/>
      <c r="L117" s="91">
        <v>0</v>
      </c>
      <c r="M117" s="92"/>
      <c r="N117" s="12" t="s">
        <v>0</v>
      </c>
    </row>
    <row r="118" spans="1:14" ht="15" customHeight="1">
      <c r="A118" s="16"/>
      <c r="B118" s="15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12"/>
    </row>
    <row r="119" spans="1:14" ht="15" customHeight="1">
      <c r="A119" s="52">
        <f>A113+1</f>
        <v>47</v>
      </c>
      <c r="B119" s="46" t="s">
        <v>257</v>
      </c>
      <c r="C119" s="47" t="s">
        <v>353</v>
      </c>
      <c r="D119" s="47">
        <v>1</v>
      </c>
      <c r="E119" s="48" t="s">
        <v>3</v>
      </c>
      <c r="F119" s="70"/>
      <c r="G119" s="68" t="e">
        <f>I119+K119+M119</f>
        <v>#REF!</v>
      </c>
      <c r="H119" s="70"/>
      <c r="I119" s="68" t="e">
        <f>I122+I123</f>
        <v>#REF!</v>
      </c>
      <c r="J119" s="70"/>
      <c r="K119" s="68">
        <f>K122+K123</f>
        <v>339043.2</v>
      </c>
      <c r="L119" s="70"/>
      <c r="M119" s="68">
        <f>M122+M123</f>
        <v>20342.5</v>
      </c>
      <c r="N119" s="63" t="str">
        <f>N113</f>
        <v>토목6-3-2</v>
      </c>
    </row>
    <row r="120" spans="1:14" ht="15" customHeight="1">
      <c r="A120" s="13"/>
      <c r="B120" s="14" t="s">
        <v>265</v>
      </c>
      <c r="C120" s="1" t="s">
        <v>0</v>
      </c>
      <c r="D120" s="3">
        <v>3</v>
      </c>
      <c r="E120" s="2" t="s">
        <v>24</v>
      </c>
      <c r="F120" s="4">
        <f>H120+J120+L120</f>
        <v>282536</v>
      </c>
      <c r="G120" s="8">
        <f>I120+K120+M120</f>
        <v>847608</v>
      </c>
      <c r="H120" s="4">
        <v>0</v>
      </c>
      <c r="I120" s="8"/>
      <c r="J120" s="4">
        <f>노임!$D$7</f>
        <v>282536</v>
      </c>
      <c r="K120" s="8">
        <f>TRUNC(J120*D120,1)</f>
        <v>847608</v>
      </c>
      <c r="L120" s="4">
        <v>0</v>
      </c>
      <c r="M120" s="8"/>
      <c r="N120" s="12" t="s">
        <v>0</v>
      </c>
    </row>
    <row r="121" spans="1:14" ht="15" customHeight="1">
      <c r="A121" s="13"/>
      <c r="B121" s="55" t="s">
        <v>288</v>
      </c>
      <c r="C121" s="1" t="s">
        <v>379</v>
      </c>
      <c r="D121" s="19">
        <v>6</v>
      </c>
      <c r="E121" s="56" t="s">
        <v>28</v>
      </c>
      <c r="F121" s="20">
        <f>H121+J121+L121</f>
        <v>847608</v>
      </c>
      <c r="G121" s="21">
        <f>I121+K121+M121</f>
        <v>50856.4</v>
      </c>
      <c r="H121" s="20"/>
      <c r="I121" s="21">
        <f>TRUNC(H121*D121,1)</f>
        <v>0</v>
      </c>
      <c r="J121" s="20"/>
      <c r="K121" s="21">
        <f>TRUNC(J121*D121,1)</f>
        <v>0</v>
      </c>
      <c r="L121" s="20">
        <f>K120</f>
        <v>847608</v>
      </c>
      <c r="M121" s="21">
        <f>TRUNC(L121*D121/100,1)</f>
        <v>50856.4</v>
      </c>
      <c r="N121" s="12" t="s">
        <v>0</v>
      </c>
    </row>
    <row r="122" spans="1:14" ht="15" customHeight="1">
      <c r="A122" s="13"/>
      <c r="B122" s="80" t="s">
        <v>376</v>
      </c>
      <c r="C122" s="81">
        <v>2.5</v>
      </c>
      <c r="D122" s="82">
        <f>ROUND(1/C122,4)</f>
        <v>0.4</v>
      </c>
      <c r="E122" s="83" t="s">
        <v>378</v>
      </c>
      <c r="F122" s="84"/>
      <c r="G122" s="85">
        <f>I122+K122+M122</f>
        <v>359385.7</v>
      </c>
      <c r="H122" s="84"/>
      <c r="I122" s="85">
        <f>TRUNC(SUM(I120:I121)*$D122,1)</f>
        <v>0</v>
      </c>
      <c r="J122" s="84"/>
      <c r="K122" s="85">
        <f>TRUNC(SUM(K120:K121)*$D122,1)</f>
        <v>339043.2</v>
      </c>
      <c r="L122" s="84"/>
      <c r="M122" s="85">
        <f>TRUNC(SUM(M120:M121)*$D122,1)</f>
        <v>20342.5</v>
      </c>
      <c r="N122" s="12"/>
    </row>
    <row r="123" spans="1:14" ht="15" customHeight="1">
      <c r="A123" s="13"/>
      <c r="B123" s="87" t="s">
        <v>264</v>
      </c>
      <c r="C123" s="88" t="s">
        <v>174</v>
      </c>
      <c r="D123" s="89">
        <v>2.9</v>
      </c>
      <c r="E123" s="90" t="s">
        <v>27</v>
      </c>
      <c r="F123" s="91" t="e">
        <f>H123+J123+L123</f>
        <v>#REF!</v>
      </c>
      <c r="G123" s="92" t="e">
        <f>I123+K123+M123</f>
        <v>#REF!</v>
      </c>
      <c r="H123" s="91" t="e">
        <f>#REF!</f>
        <v>#REF!</v>
      </c>
      <c r="I123" s="92" t="e">
        <f>TRUNC(H123*D123,1)</f>
        <v>#REF!</v>
      </c>
      <c r="J123" s="91">
        <v>0</v>
      </c>
      <c r="K123" s="92"/>
      <c r="L123" s="91">
        <v>0</v>
      </c>
      <c r="M123" s="92"/>
      <c r="N123" s="12" t="s">
        <v>0</v>
      </c>
    </row>
    <row r="124" spans="1:14" ht="15" customHeight="1">
      <c r="A124" s="16"/>
      <c r="B124" s="15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12"/>
    </row>
    <row r="125" spans="1:14" ht="15" customHeight="1">
      <c r="A125" s="52">
        <f>A119+1</f>
        <v>48</v>
      </c>
      <c r="B125" s="46" t="s">
        <v>255</v>
      </c>
      <c r="C125" s="47" t="s">
        <v>354</v>
      </c>
      <c r="D125" s="47">
        <v>1</v>
      </c>
      <c r="E125" s="48" t="s">
        <v>3</v>
      </c>
      <c r="F125" s="70"/>
      <c r="G125" s="68" t="e">
        <f>I125+K125+M125</f>
        <v>#REF!</v>
      </c>
      <c r="H125" s="70"/>
      <c r="I125" s="68" t="e">
        <f>I128+I129</f>
        <v>#REF!</v>
      </c>
      <c r="J125" s="70"/>
      <c r="K125" s="68">
        <f>K128+K129</f>
        <v>565100.19999999995</v>
      </c>
      <c r="L125" s="70"/>
      <c r="M125" s="68">
        <f>M128+M129</f>
        <v>33905.9</v>
      </c>
      <c r="N125" s="63" t="str">
        <f>N119</f>
        <v>토목6-3-2</v>
      </c>
    </row>
    <row r="126" spans="1:14" ht="15" customHeight="1">
      <c r="A126" s="13"/>
      <c r="B126" s="14" t="s">
        <v>265</v>
      </c>
      <c r="C126" s="1" t="s">
        <v>0</v>
      </c>
      <c r="D126" s="3">
        <v>3</v>
      </c>
      <c r="E126" s="2" t="s">
        <v>24</v>
      </c>
      <c r="F126" s="4">
        <f>H126+J126+L126</f>
        <v>282536</v>
      </c>
      <c r="G126" s="8">
        <f>I126+K126+M126</f>
        <v>847608</v>
      </c>
      <c r="H126" s="4">
        <v>0</v>
      </c>
      <c r="I126" s="8"/>
      <c r="J126" s="4">
        <f>노임!$D$7</f>
        <v>282536</v>
      </c>
      <c r="K126" s="8">
        <f>TRUNC(J126*D126,1)</f>
        <v>847608</v>
      </c>
      <c r="L126" s="4">
        <v>0</v>
      </c>
      <c r="M126" s="8"/>
      <c r="N126" s="12" t="s">
        <v>0</v>
      </c>
    </row>
    <row r="127" spans="1:14" ht="15" customHeight="1">
      <c r="A127" s="13"/>
      <c r="B127" s="55" t="s">
        <v>288</v>
      </c>
      <c r="C127" s="1" t="s">
        <v>379</v>
      </c>
      <c r="D127" s="19">
        <v>6</v>
      </c>
      <c r="E127" s="56" t="s">
        <v>28</v>
      </c>
      <c r="F127" s="20">
        <f>H127+J127+L127</f>
        <v>847608</v>
      </c>
      <c r="G127" s="21">
        <f>I127+K127+M127</f>
        <v>50856.4</v>
      </c>
      <c r="H127" s="20"/>
      <c r="I127" s="21">
        <f>TRUNC(H127*D127,1)</f>
        <v>0</v>
      </c>
      <c r="J127" s="20"/>
      <c r="K127" s="21">
        <f>TRUNC(J127*D127,1)</f>
        <v>0</v>
      </c>
      <c r="L127" s="20">
        <f>K126</f>
        <v>847608</v>
      </c>
      <c r="M127" s="21">
        <f>TRUNC(L127*D127/100,1)</f>
        <v>50856.4</v>
      </c>
      <c r="N127" s="12" t="s">
        <v>0</v>
      </c>
    </row>
    <row r="128" spans="1:14" ht="15" customHeight="1">
      <c r="A128" s="13"/>
      <c r="B128" s="80" t="s">
        <v>376</v>
      </c>
      <c r="C128" s="81">
        <v>1.5</v>
      </c>
      <c r="D128" s="82">
        <f>ROUND(1/C128,4)</f>
        <v>0.66669999999999996</v>
      </c>
      <c r="E128" s="83" t="s">
        <v>378</v>
      </c>
      <c r="F128" s="84"/>
      <c r="G128" s="85">
        <f>I128+K128+M128</f>
        <v>599006.1</v>
      </c>
      <c r="H128" s="84"/>
      <c r="I128" s="85">
        <f>TRUNC(SUM(I126:I127)*$D128,1)</f>
        <v>0</v>
      </c>
      <c r="J128" s="84"/>
      <c r="K128" s="85">
        <f>TRUNC(SUM(K126:K127)*$D128,1)</f>
        <v>565100.19999999995</v>
      </c>
      <c r="L128" s="84"/>
      <c r="M128" s="85">
        <f>TRUNC(SUM(M126:M127)*$D128,1)</f>
        <v>33905.9</v>
      </c>
      <c r="N128" s="12"/>
    </row>
    <row r="129" spans="1:14" ht="15" customHeight="1">
      <c r="A129" s="13"/>
      <c r="B129" s="87" t="s">
        <v>264</v>
      </c>
      <c r="C129" s="88" t="s">
        <v>174</v>
      </c>
      <c r="D129" s="89">
        <v>4.5999999999999996</v>
      </c>
      <c r="E129" s="90" t="s">
        <v>27</v>
      </c>
      <c r="F129" s="91" t="e">
        <f>H129+J129+L129</f>
        <v>#REF!</v>
      </c>
      <c r="G129" s="92" t="e">
        <f>I129+K129+M129</f>
        <v>#REF!</v>
      </c>
      <c r="H129" s="91" t="e">
        <f>#REF!</f>
        <v>#REF!</v>
      </c>
      <c r="I129" s="92" t="e">
        <f>TRUNC(H129*D129,1)</f>
        <v>#REF!</v>
      </c>
      <c r="J129" s="91">
        <v>0</v>
      </c>
      <c r="K129" s="92"/>
      <c r="L129" s="91">
        <v>0</v>
      </c>
      <c r="M129" s="92"/>
      <c r="N129" s="12" t="s">
        <v>0</v>
      </c>
    </row>
    <row r="130" spans="1:14" ht="15" customHeight="1">
      <c r="A130" s="16"/>
      <c r="B130" s="15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12"/>
    </row>
    <row r="131" spans="1:14" ht="15" customHeight="1">
      <c r="A131" s="52">
        <f>A125+1</f>
        <v>49</v>
      </c>
      <c r="B131" s="46" t="s">
        <v>257</v>
      </c>
      <c r="C131" s="47" t="s">
        <v>354</v>
      </c>
      <c r="D131" s="47">
        <v>1</v>
      </c>
      <c r="E131" s="48" t="s">
        <v>3</v>
      </c>
      <c r="F131" s="70"/>
      <c r="G131" s="68" t="e">
        <f>I131+K131+M131</f>
        <v>#REF!</v>
      </c>
      <c r="H131" s="70"/>
      <c r="I131" s="68" t="e">
        <f>I134+I135</f>
        <v>#REF!</v>
      </c>
      <c r="J131" s="70"/>
      <c r="K131" s="68">
        <f>K134+K135</f>
        <v>423804</v>
      </c>
      <c r="L131" s="70"/>
      <c r="M131" s="68">
        <f>M134+M135</f>
        <v>25428.2</v>
      </c>
      <c r="N131" s="63" t="str">
        <f>N125</f>
        <v>토목6-3-2</v>
      </c>
    </row>
    <row r="132" spans="1:14" ht="15" customHeight="1">
      <c r="A132" s="13"/>
      <c r="B132" s="14" t="s">
        <v>265</v>
      </c>
      <c r="C132" s="1" t="s">
        <v>0</v>
      </c>
      <c r="D132" s="3">
        <v>3</v>
      </c>
      <c r="E132" s="2" t="s">
        <v>24</v>
      </c>
      <c r="F132" s="4">
        <f>H132+J132+L132</f>
        <v>282536</v>
      </c>
      <c r="G132" s="8">
        <f>I132+K132+M132</f>
        <v>847608</v>
      </c>
      <c r="H132" s="4">
        <v>0</v>
      </c>
      <c r="I132" s="8"/>
      <c r="J132" s="4">
        <f>노임!$D$7</f>
        <v>282536</v>
      </c>
      <c r="K132" s="8">
        <f>TRUNC(J132*D132,1)</f>
        <v>847608</v>
      </c>
      <c r="L132" s="4">
        <v>0</v>
      </c>
      <c r="M132" s="8"/>
      <c r="N132" s="12" t="s">
        <v>0</v>
      </c>
    </row>
    <row r="133" spans="1:14" ht="15" customHeight="1">
      <c r="A133" s="13"/>
      <c r="B133" s="55" t="s">
        <v>288</v>
      </c>
      <c r="C133" s="1" t="s">
        <v>379</v>
      </c>
      <c r="D133" s="19">
        <v>6</v>
      </c>
      <c r="E133" s="56" t="s">
        <v>28</v>
      </c>
      <c r="F133" s="20">
        <f>H133+J133+L133</f>
        <v>847608</v>
      </c>
      <c r="G133" s="21">
        <f>I133+K133+M133</f>
        <v>50856.4</v>
      </c>
      <c r="H133" s="20"/>
      <c r="I133" s="21">
        <f>TRUNC(H133*D133,1)</f>
        <v>0</v>
      </c>
      <c r="J133" s="20"/>
      <c r="K133" s="21">
        <f>TRUNC(J133*D133,1)</f>
        <v>0</v>
      </c>
      <c r="L133" s="20">
        <f>K132</f>
        <v>847608</v>
      </c>
      <c r="M133" s="21">
        <f>TRUNC(L133*D133/100,1)</f>
        <v>50856.4</v>
      </c>
      <c r="N133" s="12" t="s">
        <v>0</v>
      </c>
    </row>
    <row r="134" spans="1:14" ht="15" customHeight="1">
      <c r="A134" s="13"/>
      <c r="B134" s="80" t="s">
        <v>376</v>
      </c>
      <c r="C134" s="81">
        <v>2</v>
      </c>
      <c r="D134" s="82">
        <f>ROUND(1/C134,4)</f>
        <v>0.5</v>
      </c>
      <c r="E134" s="83" t="s">
        <v>378</v>
      </c>
      <c r="F134" s="84"/>
      <c r="G134" s="85">
        <f>I134+K134+M134</f>
        <v>449232.2</v>
      </c>
      <c r="H134" s="84"/>
      <c r="I134" s="85">
        <f>TRUNC(SUM(I132:I133)*$D134,1)</f>
        <v>0</v>
      </c>
      <c r="J134" s="84"/>
      <c r="K134" s="85">
        <f>TRUNC(SUM(K132:K133)*$D134,1)</f>
        <v>423804</v>
      </c>
      <c r="L134" s="84"/>
      <c r="M134" s="85">
        <f>TRUNC(SUM(M132:M133)*$D134,1)</f>
        <v>25428.2</v>
      </c>
      <c r="N134" s="12"/>
    </row>
    <row r="135" spans="1:14" ht="15" customHeight="1">
      <c r="A135" s="13"/>
      <c r="B135" s="87" t="s">
        <v>264</v>
      </c>
      <c r="C135" s="88" t="s">
        <v>174</v>
      </c>
      <c r="D135" s="89">
        <v>3.2</v>
      </c>
      <c r="E135" s="90" t="s">
        <v>27</v>
      </c>
      <c r="F135" s="91" t="e">
        <f>H135+J135+L135</f>
        <v>#REF!</v>
      </c>
      <c r="G135" s="92" t="e">
        <f>I135+K135+M135</f>
        <v>#REF!</v>
      </c>
      <c r="H135" s="91" t="e">
        <f>#REF!</f>
        <v>#REF!</v>
      </c>
      <c r="I135" s="92" t="e">
        <f>TRUNC(H135*D135,1)</f>
        <v>#REF!</v>
      </c>
      <c r="J135" s="91">
        <v>0</v>
      </c>
      <c r="K135" s="92"/>
      <c r="L135" s="91">
        <v>0</v>
      </c>
      <c r="M135" s="92"/>
      <c r="N135" s="12" t="s">
        <v>0</v>
      </c>
    </row>
    <row r="136" spans="1:14" ht="15" customHeight="1">
      <c r="A136" s="16"/>
      <c r="B136" s="15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12"/>
    </row>
    <row r="137" spans="1:14" ht="15" customHeight="1">
      <c r="A137" s="52">
        <f>A131+1</f>
        <v>50</v>
      </c>
      <c r="B137" s="46" t="s">
        <v>255</v>
      </c>
      <c r="C137" s="47" t="s">
        <v>355</v>
      </c>
      <c r="D137" s="47">
        <v>1</v>
      </c>
      <c r="E137" s="48" t="s">
        <v>3</v>
      </c>
      <c r="F137" s="70"/>
      <c r="G137" s="68" t="e">
        <f>I137+K137+M137</f>
        <v>#REF!</v>
      </c>
      <c r="H137" s="70"/>
      <c r="I137" s="68" t="e">
        <f>I140+I141</f>
        <v>#REF!</v>
      </c>
      <c r="J137" s="70"/>
      <c r="K137" s="68">
        <f>K140+K141</f>
        <v>847608</v>
      </c>
      <c r="L137" s="70"/>
      <c r="M137" s="68">
        <f>M140+M141</f>
        <v>50856.4</v>
      </c>
      <c r="N137" s="63" t="str">
        <f>N131</f>
        <v>토목6-3-2</v>
      </c>
    </row>
    <row r="138" spans="1:14" ht="15" customHeight="1">
      <c r="A138" s="13"/>
      <c r="B138" s="14" t="s">
        <v>265</v>
      </c>
      <c r="C138" s="1" t="s">
        <v>0</v>
      </c>
      <c r="D138" s="3">
        <v>3</v>
      </c>
      <c r="E138" s="2" t="s">
        <v>24</v>
      </c>
      <c r="F138" s="4">
        <f>H138+J138+L138</f>
        <v>282536</v>
      </c>
      <c r="G138" s="8">
        <f>I138+K138+M138</f>
        <v>847608</v>
      </c>
      <c r="H138" s="4">
        <v>0</v>
      </c>
      <c r="I138" s="8"/>
      <c r="J138" s="4">
        <f>노임!$D$7</f>
        <v>282536</v>
      </c>
      <c r="K138" s="8">
        <f>TRUNC(J138*D138,1)</f>
        <v>847608</v>
      </c>
      <c r="L138" s="4">
        <v>0</v>
      </c>
      <c r="M138" s="8"/>
      <c r="N138" s="12" t="s">
        <v>0</v>
      </c>
    </row>
    <row r="139" spans="1:14" ht="15" customHeight="1">
      <c r="A139" s="13"/>
      <c r="B139" s="55" t="s">
        <v>288</v>
      </c>
      <c r="C139" s="1" t="s">
        <v>379</v>
      </c>
      <c r="D139" s="19">
        <v>6</v>
      </c>
      <c r="E139" s="56" t="s">
        <v>28</v>
      </c>
      <c r="F139" s="20">
        <f>H139+J139+L139</f>
        <v>847608</v>
      </c>
      <c r="G139" s="21">
        <f>I139+K139+M139</f>
        <v>50856.4</v>
      </c>
      <c r="H139" s="20"/>
      <c r="I139" s="21">
        <f>TRUNC(H139*D139,1)</f>
        <v>0</v>
      </c>
      <c r="J139" s="20"/>
      <c r="K139" s="21">
        <f>TRUNC(J139*D139,1)</f>
        <v>0</v>
      </c>
      <c r="L139" s="20">
        <f>K138</f>
        <v>847608</v>
      </c>
      <c r="M139" s="21">
        <f>TRUNC(L139*D139/100,1)</f>
        <v>50856.4</v>
      </c>
      <c r="N139" s="12" t="s">
        <v>0</v>
      </c>
    </row>
    <row r="140" spans="1:14" ht="15" customHeight="1">
      <c r="A140" s="13"/>
      <c r="B140" s="80" t="s">
        <v>376</v>
      </c>
      <c r="C140" s="81">
        <v>1</v>
      </c>
      <c r="D140" s="82">
        <f>ROUND(1/C140,4)</f>
        <v>1</v>
      </c>
      <c r="E140" s="83" t="s">
        <v>378</v>
      </c>
      <c r="F140" s="84"/>
      <c r="G140" s="85">
        <f>I140+K140+M140</f>
        <v>898464.4</v>
      </c>
      <c r="H140" s="84"/>
      <c r="I140" s="85">
        <f>TRUNC(SUM(I138:I139)*$D140,1)</f>
        <v>0</v>
      </c>
      <c r="J140" s="84"/>
      <c r="K140" s="85">
        <f>TRUNC(SUM(K138:K139)*$D140,1)</f>
        <v>847608</v>
      </c>
      <c r="L140" s="84"/>
      <c r="M140" s="85">
        <f>TRUNC(SUM(M138:M139)*$D140,1)</f>
        <v>50856.4</v>
      </c>
      <c r="N140" s="12"/>
    </row>
    <row r="141" spans="1:14" ht="15" customHeight="1">
      <c r="A141" s="13"/>
      <c r="B141" s="87" t="s">
        <v>264</v>
      </c>
      <c r="C141" s="88" t="s">
        <v>174</v>
      </c>
      <c r="D141" s="89">
        <v>6.9</v>
      </c>
      <c r="E141" s="90" t="s">
        <v>27</v>
      </c>
      <c r="F141" s="91" t="e">
        <f>H141+J141+L141</f>
        <v>#REF!</v>
      </c>
      <c r="G141" s="92" t="e">
        <f>I141+K141+M141</f>
        <v>#REF!</v>
      </c>
      <c r="H141" s="91" t="e">
        <f>#REF!</f>
        <v>#REF!</v>
      </c>
      <c r="I141" s="92" t="e">
        <f>TRUNC(H141*D141,1)</f>
        <v>#REF!</v>
      </c>
      <c r="J141" s="91">
        <v>0</v>
      </c>
      <c r="K141" s="92"/>
      <c r="L141" s="91">
        <v>0</v>
      </c>
      <c r="M141" s="92"/>
      <c r="N141" s="12" t="s">
        <v>0</v>
      </c>
    </row>
    <row r="142" spans="1:14" ht="15" customHeight="1">
      <c r="A142" s="16"/>
      <c r="B142" s="15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12"/>
    </row>
    <row r="143" spans="1:14" ht="15" customHeight="1">
      <c r="A143" s="52">
        <f>A137+1</f>
        <v>51</v>
      </c>
      <c r="B143" s="46" t="s">
        <v>257</v>
      </c>
      <c r="C143" s="47" t="s">
        <v>355</v>
      </c>
      <c r="D143" s="47">
        <v>1</v>
      </c>
      <c r="E143" s="48" t="s">
        <v>3</v>
      </c>
      <c r="F143" s="70"/>
      <c r="G143" s="68" t="e">
        <f>I143+K143+M143</f>
        <v>#REF!</v>
      </c>
      <c r="H143" s="70"/>
      <c r="I143" s="68" t="e">
        <f>I146+I147</f>
        <v>#REF!</v>
      </c>
      <c r="J143" s="70"/>
      <c r="K143" s="68">
        <f>K146+K147</f>
        <v>423804</v>
      </c>
      <c r="L143" s="70"/>
      <c r="M143" s="68">
        <f>M146+M147</f>
        <v>25428.2</v>
      </c>
      <c r="N143" s="63" t="str">
        <f>N137</f>
        <v>토목6-3-2</v>
      </c>
    </row>
    <row r="144" spans="1:14" ht="15" customHeight="1">
      <c r="A144" s="13"/>
      <c r="B144" s="14" t="s">
        <v>265</v>
      </c>
      <c r="C144" s="1" t="s">
        <v>0</v>
      </c>
      <c r="D144" s="3">
        <v>3</v>
      </c>
      <c r="E144" s="2" t="s">
        <v>24</v>
      </c>
      <c r="F144" s="4">
        <f>H144+J144+L144</f>
        <v>282536</v>
      </c>
      <c r="G144" s="8">
        <f>I144+K144+M144</f>
        <v>847608</v>
      </c>
      <c r="H144" s="4">
        <v>0</v>
      </c>
      <c r="I144" s="8"/>
      <c r="J144" s="4">
        <f>노임!$D$7</f>
        <v>282536</v>
      </c>
      <c r="K144" s="8">
        <f>TRUNC(J144*D144,1)</f>
        <v>847608</v>
      </c>
      <c r="L144" s="4">
        <v>0</v>
      </c>
      <c r="M144" s="8"/>
      <c r="N144" s="12" t="s">
        <v>0</v>
      </c>
    </row>
    <row r="145" spans="1:14" ht="15" customHeight="1">
      <c r="A145" s="13"/>
      <c r="B145" s="55" t="s">
        <v>288</v>
      </c>
      <c r="C145" s="1" t="s">
        <v>379</v>
      </c>
      <c r="D145" s="19">
        <v>6</v>
      </c>
      <c r="E145" s="56" t="s">
        <v>28</v>
      </c>
      <c r="F145" s="20">
        <f>H145+J145+L145</f>
        <v>847608</v>
      </c>
      <c r="G145" s="21">
        <f>I145+K145+M145</f>
        <v>50856.4</v>
      </c>
      <c r="H145" s="20"/>
      <c r="I145" s="21">
        <f>TRUNC(H145*D145,1)</f>
        <v>0</v>
      </c>
      <c r="J145" s="20"/>
      <c r="K145" s="21">
        <f>TRUNC(J145*D145,1)</f>
        <v>0</v>
      </c>
      <c r="L145" s="20">
        <f>K144</f>
        <v>847608</v>
      </c>
      <c r="M145" s="21">
        <f>TRUNC(L145*D145/100,1)</f>
        <v>50856.4</v>
      </c>
      <c r="N145" s="12" t="s">
        <v>0</v>
      </c>
    </row>
    <row r="146" spans="1:14" ht="15" customHeight="1">
      <c r="A146" s="13"/>
      <c r="B146" s="80" t="s">
        <v>376</v>
      </c>
      <c r="C146" s="81">
        <v>2</v>
      </c>
      <c r="D146" s="82">
        <f>ROUND(1/C146,4)</f>
        <v>0.5</v>
      </c>
      <c r="E146" s="83" t="s">
        <v>378</v>
      </c>
      <c r="F146" s="84"/>
      <c r="G146" s="85">
        <f>I146+K146+M146</f>
        <v>449232.2</v>
      </c>
      <c r="H146" s="84"/>
      <c r="I146" s="85">
        <f>TRUNC(SUM(I144:I145)*$D146,1)</f>
        <v>0</v>
      </c>
      <c r="J146" s="84"/>
      <c r="K146" s="85">
        <f>TRUNC(SUM(K144:K145)*$D146,1)</f>
        <v>423804</v>
      </c>
      <c r="L146" s="84"/>
      <c r="M146" s="85">
        <f>TRUNC(SUM(M144:M145)*$D146,1)</f>
        <v>25428.2</v>
      </c>
      <c r="N146" s="12"/>
    </row>
    <row r="147" spans="1:14" ht="15" customHeight="1">
      <c r="A147" s="13"/>
      <c r="B147" s="87" t="s">
        <v>264</v>
      </c>
      <c r="C147" s="88" t="s">
        <v>174</v>
      </c>
      <c r="D147" s="89">
        <v>4.2</v>
      </c>
      <c r="E147" s="90" t="s">
        <v>27</v>
      </c>
      <c r="F147" s="91" t="e">
        <f>H147+J147+L147</f>
        <v>#REF!</v>
      </c>
      <c r="G147" s="92" t="e">
        <f>I147+K147+M147</f>
        <v>#REF!</v>
      </c>
      <c r="H147" s="91" t="e">
        <f>#REF!</f>
        <v>#REF!</v>
      </c>
      <c r="I147" s="92" t="e">
        <f>TRUNC(H147*D147,1)</f>
        <v>#REF!</v>
      </c>
      <c r="J147" s="91">
        <v>0</v>
      </c>
      <c r="K147" s="92"/>
      <c r="L147" s="91">
        <v>0</v>
      </c>
      <c r="M147" s="92"/>
      <c r="N147" s="12" t="s">
        <v>0</v>
      </c>
    </row>
    <row r="148" spans="1:14" ht="15" customHeight="1">
      <c r="A148" s="16"/>
      <c r="B148" s="15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12"/>
    </row>
    <row r="149" spans="1:14" ht="15" customHeight="1">
      <c r="A149" s="52">
        <f>A143+1</f>
        <v>52</v>
      </c>
      <c r="B149" s="46" t="s">
        <v>255</v>
      </c>
      <c r="C149" s="47" t="s">
        <v>356</v>
      </c>
      <c r="D149" s="47">
        <v>1</v>
      </c>
      <c r="E149" s="48" t="s">
        <v>3</v>
      </c>
      <c r="F149" s="70"/>
      <c r="G149" s="68" t="e">
        <f>I149+K149+M149</f>
        <v>#REF!</v>
      </c>
      <c r="H149" s="70"/>
      <c r="I149" s="68" t="e">
        <f>I152+I153</f>
        <v>#REF!</v>
      </c>
      <c r="J149" s="70"/>
      <c r="K149" s="68">
        <f>K152+K153</f>
        <v>847608</v>
      </c>
      <c r="L149" s="70"/>
      <c r="M149" s="68">
        <f>M152+M153</f>
        <v>50856.4</v>
      </c>
      <c r="N149" s="63" t="str">
        <f>N143</f>
        <v>토목6-3-2</v>
      </c>
    </row>
    <row r="150" spans="1:14" ht="15" customHeight="1">
      <c r="A150" s="13"/>
      <c r="B150" s="14" t="s">
        <v>265</v>
      </c>
      <c r="C150" s="1" t="s">
        <v>0</v>
      </c>
      <c r="D150" s="3">
        <v>3</v>
      </c>
      <c r="E150" s="2" t="s">
        <v>24</v>
      </c>
      <c r="F150" s="4">
        <f>H150+J150+L150</f>
        <v>282536</v>
      </c>
      <c r="G150" s="8">
        <f>I150+K150+M150</f>
        <v>847608</v>
      </c>
      <c r="H150" s="4">
        <v>0</v>
      </c>
      <c r="I150" s="8"/>
      <c r="J150" s="4">
        <f>노임!$D$7</f>
        <v>282536</v>
      </c>
      <c r="K150" s="8">
        <f>TRUNC(J150*D150,1)</f>
        <v>847608</v>
      </c>
      <c r="L150" s="4">
        <v>0</v>
      </c>
      <c r="M150" s="8"/>
      <c r="N150" s="12" t="s">
        <v>0</v>
      </c>
    </row>
    <row r="151" spans="1:14" ht="15" customHeight="1">
      <c r="A151" s="13"/>
      <c r="B151" s="55" t="s">
        <v>288</v>
      </c>
      <c r="C151" s="1" t="s">
        <v>379</v>
      </c>
      <c r="D151" s="19">
        <v>6</v>
      </c>
      <c r="E151" s="56" t="s">
        <v>28</v>
      </c>
      <c r="F151" s="20">
        <f>H151+J151+L151</f>
        <v>847608</v>
      </c>
      <c r="G151" s="21">
        <f>I151+K151+M151</f>
        <v>50856.4</v>
      </c>
      <c r="H151" s="20"/>
      <c r="I151" s="21">
        <f>TRUNC(H151*D151,1)</f>
        <v>0</v>
      </c>
      <c r="J151" s="20"/>
      <c r="K151" s="21">
        <f>TRUNC(J151*D151,1)</f>
        <v>0</v>
      </c>
      <c r="L151" s="20">
        <f>K150</f>
        <v>847608</v>
      </c>
      <c r="M151" s="21">
        <f>TRUNC(L151*D151/100,1)</f>
        <v>50856.4</v>
      </c>
      <c r="N151" s="12" t="s">
        <v>0</v>
      </c>
    </row>
    <row r="152" spans="1:14" ht="15" customHeight="1">
      <c r="A152" s="13"/>
      <c r="B152" s="80" t="s">
        <v>376</v>
      </c>
      <c r="C152" s="81">
        <v>1</v>
      </c>
      <c r="D152" s="82">
        <f>ROUND(1/C152,4)</f>
        <v>1</v>
      </c>
      <c r="E152" s="83" t="s">
        <v>378</v>
      </c>
      <c r="F152" s="84"/>
      <c r="G152" s="85">
        <f>I152+K152+M152</f>
        <v>898464.4</v>
      </c>
      <c r="H152" s="84"/>
      <c r="I152" s="85">
        <f>TRUNC(SUM(I150:I151)*$D152,1)</f>
        <v>0</v>
      </c>
      <c r="J152" s="84"/>
      <c r="K152" s="85">
        <f>TRUNC(SUM(K150:K151)*$D152,1)</f>
        <v>847608</v>
      </c>
      <c r="L152" s="84"/>
      <c r="M152" s="85">
        <f>TRUNC(SUM(M150:M151)*$D152,1)</f>
        <v>50856.4</v>
      </c>
      <c r="N152" s="12"/>
    </row>
    <row r="153" spans="1:14" ht="15" customHeight="1">
      <c r="A153" s="13"/>
      <c r="B153" s="87" t="s">
        <v>264</v>
      </c>
      <c r="C153" s="88" t="s">
        <v>174</v>
      </c>
      <c r="D153" s="89">
        <v>7.8</v>
      </c>
      <c r="E153" s="90" t="s">
        <v>27</v>
      </c>
      <c r="F153" s="91" t="e">
        <f>H153+J153+L153</f>
        <v>#REF!</v>
      </c>
      <c r="G153" s="92" t="e">
        <f>I153+K153+M153</f>
        <v>#REF!</v>
      </c>
      <c r="H153" s="91" t="e">
        <f>#REF!</f>
        <v>#REF!</v>
      </c>
      <c r="I153" s="92" t="e">
        <f>TRUNC(H153*D153,1)</f>
        <v>#REF!</v>
      </c>
      <c r="J153" s="91">
        <v>0</v>
      </c>
      <c r="K153" s="92"/>
      <c r="L153" s="91">
        <v>0</v>
      </c>
      <c r="M153" s="92"/>
      <c r="N153" s="12" t="s">
        <v>0</v>
      </c>
    </row>
    <row r="154" spans="1:14" ht="15" customHeight="1">
      <c r="A154" s="16"/>
      <c r="B154" s="15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12"/>
    </row>
    <row r="155" spans="1:14" ht="15" customHeight="1">
      <c r="A155" s="52">
        <f>A149+1</f>
        <v>53</v>
      </c>
      <c r="B155" s="46" t="s">
        <v>257</v>
      </c>
      <c r="C155" s="47" t="s">
        <v>356</v>
      </c>
      <c r="D155" s="47">
        <v>1</v>
      </c>
      <c r="E155" s="48" t="s">
        <v>3</v>
      </c>
      <c r="F155" s="70"/>
      <c r="G155" s="68" t="e">
        <f>I155+K155+M155</f>
        <v>#REF!</v>
      </c>
      <c r="H155" s="70"/>
      <c r="I155" s="68" t="e">
        <f>I158+I159</f>
        <v>#REF!</v>
      </c>
      <c r="J155" s="70"/>
      <c r="K155" s="68">
        <f>K158+K159</f>
        <v>565100.19999999995</v>
      </c>
      <c r="L155" s="70"/>
      <c r="M155" s="68">
        <f>M158+M159</f>
        <v>33905.9</v>
      </c>
      <c r="N155" s="63" t="str">
        <f>N149</f>
        <v>토목6-3-2</v>
      </c>
    </row>
    <row r="156" spans="1:14" ht="15" customHeight="1">
      <c r="A156" s="13"/>
      <c r="B156" s="14" t="s">
        <v>265</v>
      </c>
      <c r="C156" s="1" t="s">
        <v>0</v>
      </c>
      <c r="D156" s="3">
        <v>3</v>
      </c>
      <c r="E156" s="2" t="s">
        <v>24</v>
      </c>
      <c r="F156" s="4">
        <f>H156+J156+L156</f>
        <v>282536</v>
      </c>
      <c r="G156" s="8">
        <f>I156+K156+M156</f>
        <v>847608</v>
      </c>
      <c r="H156" s="4">
        <v>0</v>
      </c>
      <c r="I156" s="8"/>
      <c r="J156" s="4">
        <f>노임!$D$7</f>
        <v>282536</v>
      </c>
      <c r="K156" s="8">
        <f>TRUNC(J156*D156,1)</f>
        <v>847608</v>
      </c>
      <c r="L156" s="4">
        <v>0</v>
      </c>
      <c r="M156" s="8"/>
      <c r="N156" s="12" t="s">
        <v>0</v>
      </c>
    </row>
    <row r="157" spans="1:14" ht="15" customHeight="1">
      <c r="A157" s="13"/>
      <c r="B157" s="55" t="s">
        <v>288</v>
      </c>
      <c r="C157" s="1" t="s">
        <v>379</v>
      </c>
      <c r="D157" s="19">
        <v>6</v>
      </c>
      <c r="E157" s="56" t="s">
        <v>28</v>
      </c>
      <c r="F157" s="20">
        <f>H157+J157+L157</f>
        <v>847608</v>
      </c>
      <c r="G157" s="21">
        <f>I157+K157+M157</f>
        <v>50856.4</v>
      </c>
      <c r="H157" s="20"/>
      <c r="I157" s="21">
        <f>TRUNC(H157*D157,1)</f>
        <v>0</v>
      </c>
      <c r="J157" s="20"/>
      <c r="K157" s="21">
        <f>TRUNC(J157*D157,1)</f>
        <v>0</v>
      </c>
      <c r="L157" s="20">
        <f>K156</f>
        <v>847608</v>
      </c>
      <c r="M157" s="21">
        <f>TRUNC(L157*D157/100,1)</f>
        <v>50856.4</v>
      </c>
      <c r="N157" s="12" t="s">
        <v>0</v>
      </c>
    </row>
    <row r="158" spans="1:14" ht="15" customHeight="1">
      <c r="A158" s="13"/>
      <c r="B158" s="80" t="s">
        <v>376</v>
      </c>
      <c r="C158" s="81">
        <v>1.5</v>
      </c>
      <c r="D158" s="82">
        <f>ROUND(1/C158,4)</f>
        <v>0.66669999999999996</v>
      </c>
      <c r="E158" s="83" t="s">
        <v>378</v>
      </c>
      <c r="F158" s="84"/>
      <c r="G158" s="85">
        <f>I158+K158+M158</f>
        <v>599006.1</v>
      </c>
      <c r="H158" s="84"/>
      <c r="I158" s="85">
        <f>TRUNC(SUM(I156:I157)*$D158,1)</f>
        <v>0</v>
      </c>
      <c r="J158" s="84"/>
      <c r="K158" s="85">
        <f>TRUNC(SUM(K156:K157)*$D158,1)</f>
        <v>565100.19999999995</v>
      </c>
      <c r="L158" s="84"/>
      <c r="M158" s="85">
        <f>TRUNC(SUM(M156:M157)*$D158,1)</f>
        <v>33905.9</v>
      </c>
      <c r="N158" s="12"/>
    </row>
    <row r="159" spans="1:14" ht="15" customHeight="1">
      <c r="A159" s="13"/>
      <c r="B159" s="87" t="s">
        <v>264</v>
      </c>
      <c r="C159" s="88" t="s">
        <v>174</v>
      </c>
      <c r="D159" s="89">
        <v>5.7</v>
      </c>
      <c r="E159" s="90" t="s">
        <v>27</v>
      </c>
      <c r="F159" s="91" t="e">
        <f>H159+J159+L159</f>
        <v>#REF!</v>
      </c>
      <c r="G159" s="92" t="e">
        <f>I159+K159+M159</f>
        <v>#REF!</v>
      </c>
      <c r="H159" s="91" t="e">
        <f>#REF!</f>
        <v>#REF!</v>
      </c>
      <c r="I159" s="92" t="e">
        <f>TRUNC(H159*D159,1)</f>
        <v>#REF!</v>
      </c>
      <c r="J159" s="91">
        <v>0</v>
      </c>
      <c r="K159" s="92"/>
      <c r="L159" s="91">
        <v>0</v>
      </c>
      <c r="M159" s="92"/>
      <c r="N159" s="12" t="s">
        <v>0</v>
      </c>
    </row>
    <row r="160" spans="1:14" ht="15" customHeight="1">
      <c r="A160" s="16"/>
      <c r="B160" s="15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12"/>
    </row>
    <row r="161" spans="1:14" ht="15" customHeight="1">
      <c r="A161" s="52">
        <f>A155+1</f>
        <v>54</v>
      </c>
      <c r="B161" s="46" t="s">
        <v>255</v>
      </c>
      <c r="C161" s="47" t="s">
        <v>357</v>
      </c>
      <c r="D161" s="47">
        <v>1</v>
      </c>
      <c r="E161" s="48" t="s">
        <v>3</v>
      </c>
      <c r="F161" s="70"/>
      <c r="G161" s="68" t="e">
        <f>I161+K161+M161</f>
        <v>#REF!</v>
      </c>
      <c r="H161" s="70"/>
      <c r="I161" s="68" t="e">
        <f>I164+I165</f>
        <v>#REF!</v>
      </c>
      <c r="J161" s="70"/>
      <c r="K161" s="68">
        <f>K164+K165</f>
        <v>847608</v>
      </c>
      <c r="L161" s="70"/>
      <c r="M161" s="68">
        <f>M164+M165</f>
        <v>50856.4</v>
      </c>
      <c r="N161" s="63" t="str">
        <f>N155</f>
        <v>토목6-3-2</v>
      </c>
    </row>
    <row r="162" spans="1:14" ht="15" customHeight="1">
      <c r="A162" s="13"/>
      <c r="B162" s="14" t="s">
        <v>265</v>
      </c>
      <c r="C162" s="1" t="s">
        <v>0</v>
      </c>
      <c r="D162" s="3">
        <v>3</v>
      </c>
      <c r="E162" s="2" t="s">
        <v>24</v>
      </c>
      <c r="F162" s="4">
        <f>H162+J162+L162</f>
        <v>282536</v>
      </c>
      <c r="G162" s="8">
        <f>I162+K162+M162</f>
        <v>847608</v>
      </c>
      <c r="H162" s="4">
        <v>0</v>
      </c>
      <c r="I162" s="8"/>
      <c r="J162" s="4">
        <f>노임!$D$7</f>
        <v>282536</v>
      </c>
      <c r="K162" s="8">
        <f>TRUNC(J162*D162,1)</f>
        <v>847608</v>
      </c>
      <c r="L162" s="4">
        <v>0</v>
      </c>
      <c r="M162" s="8"/>
      <c r="N162" s="12" t="s">
        <v>0</v>
      </c>
    </row>
    <row r="163" spans="1:14" ht="15" customHeight="1">
      <c r="A163" s="13"/>
      <c r="B163" s="55" t="s">
        <v>288</v>
      </c>
      <c r="C163" s="1" t="s">
        <v>379</v>
      </c>
      <c r="D163" s="19">
        <v>6</v>
      </c>
      <c r="E163" s="56" t="s">
        <v>28</v>
      </c>
      <c r="F163" s="20">
        <f>H163+J163+L163</f>
        <v>847608</v>
      </c>
      <c r="G163" s="21">
        <f>I163+K163+M163</f>
        <v>50856.4</v>
      </c>
      <c r="H163" s="20"/>
      <c r="I163" s="21">
        <f>TRUNC(H163*D163,1)</f>
        <v>0</v>
      </c>
      <c r="J163" s="20"/>
      <c r="K163" s="21">
        <f>TRUNC(J163*D163,1)</f>
        <v>0</v>
      </c>
      <c r="L163" s="20">
        <f>K162</f>
        <v>847608</v>
      </c>
      <c r="M163" s="21">
        <f>TRUNC(L163*D163/100,1)</f>
        <v>50856.4</v>
      </c>
      <c r="N163" s="12" t="s">
        <v>0</v>
      </c>
    </row>
    <row r="164" spans="1:14" ht="15" customHeight="1">
      <c r="A164" s="13"/>
      <c r="B164" s="80" t="s">
        <v>376</v>
      </c>
      <c r="C164" s="81">
        <v>1</v>
      </c>
      <c r="D164" s="82">
        <f>ROUND(1/C164,4)</f>
        <v>1</v>
      </c>
      <c r="E164" s="83" t="s">
        <v>378</v>
      </c>
      <c r="F164" s="84"/>
      <c r="G164" s="85">
        <f>I164+K164+M164</f>
        <v>898464.4</v>
      </c>
      <c r="H164" s="84"/>
      <c r="I164" s="85">
        <f>TRUNC(SUM(I162:I163)*$D164,1)</f>
        <v>0</v>
      </c>
      <c r="J164" s="84"/>
      <c r="K164" s="85">
        <f>TRUNC(SUM(K162:K163)*$D164,1)</f>
        <v>847608</v>
      </c>
      <c r="L164" s="84"/>
      <c r="M164" s="85">
        <f>TRUNC(SUM(M162:M163)*$D164,1)</f>
        <v>50856.4</v>
      </c>
      <c r="N164" s="12"/>
    </row>
    <row r="165" spans="1:14" ht="15" customHeight="1">
      <c r="A165" s="13"/>
      <c r="B165" s="87" t="s">
        <v>264</v>
      </c>
      <c r="C165" s="88" t="s">
        <v>174</v>
      </c>
      <c r="D165" s="89">
        <v>11.4</v>
      </c>
      <c r="E165" s="90" t="s">
        <v>27</v>
      </c>
      <c r="F165" s="91" t="e">
        <f>H165+J165+L165</f>
        <v>#REF!</v>
      </c>
      <c r="G165" s="92" t="e">
        <f>I165+K165+M165</f>
        <v>#REF!</v>
      </c>
      <c r="H165" s="91" t="e">
        <f>#REF!</f>
        <v>#REF!</v>
      </c>
      <c r="I165" s="92" t="e">
        <f>TRUNC(H165*D165,1)</f>
        <v>#REF!</v>
      </c>
      <c r="J165" s="91">
        <v>0</v>
      </c>
      <c r="K165" s="92"/>
      <c r="L165" s="91">
        <v>0</v>
      </c>
      <c r="M165" s="92"/>
      <c r="N165" s="12" t="s">
        <v>0</v>
      </c>
    </row>
    <row r="166" spans="1:14" ht="15" customHeight="1">
      <c r="A166" s="16"/>
      <c r="B166" s="15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12"/>
    </row>
    <row r="167" spans="1:14" ht="15" customHeight="1">
      <c r="A167" s="52">
        <f>A161+1</f>
        <v>55</v>
      </c>
      <c r="B167" s="46" t="s">
        <v>257</v>
      </c>
      <c r="C167" s="47" t="s">
        <v>357</v>
      </c>
      <c r="D167" s="47">
        <v>1</v>
      </c>
      <c r="E167" s="48" t="s">
        <v>3</v>
      </c>
      <c r="F167" s="70"/>
      <c r="G167" s="68" t="e">
        <f>I167+K167+M167</f>
        <v>#REF!</v>
      </c>
      <c r="H167" s="70"/>
      <c r="I167" s="68" t="e">
        <f>I170+I171</f>
        <v>#REF!</v>
      </c>
      <c r="J167" s="70"/>
      <c r="K167" s="68">
        <f>K170+K171</f>
        <v>565100.19999999995</v>
      </c>
      <c r="L167" s="70"/>
      <c r="M167" s="68">
        <f>M170+M171</f>
        <v>33905.9</v>
      </c>
      <c r="N167" s="63" t="str">
        <f>N161</f>
        <v>토목6-3-2</v>
      </c>
    </row>
    <row r="168" spans="1:14" ht="15" customHeight="1">
      <c r="A168" s="13"/>
      <c r="B168" s="14" t="s">
        <v>265</v>
      </c>
      <c r="C168" s="1" t="s">
        <v>0</v>
      </c>
      <c r="D168" s="3">
        <v>3</v>
      </c>
      <c r="E168" s="2" t="s">
        <v>24</v>
      </c>
      <c r="F168" s="4">
        <f>H168+J168+L168</f>
        <v>282536</v>
      </c>
      <c r="G168" s="8">
        <f>I168+K168+M168</f>
        <v>847608</v>
      </c>
      <c r="H168" s="4">
        <v>0</v>
      </c>
      <c r="I168" s="8"/>
      <c r="J168" s="4">
        <f>노임!$D$7</f>
        <v>282536</v>
      </c>
      <c r="K168" s="8">
        <f>TRUNC(J168*D168,1)</f>
        <v>847608</v>
      </c>
      <c r="L168" s="4">
        <v>0</v>
      </c>
      <c r="M168" s="8"/>
      <c r="N168" s="12" t="s">
        <v>0</v>
      </c>
    </row>
    <row r="169" spans="1:14" ht="15" customHeight="1">
      <c r="A169" s="13"/>
      <c r="B169" s="55" t="s">
        <v>288</v>
      </c>
      <c r="C169" s="1" t="s">
        <v>379</v>
      </c>
      <c r="D169" s="19">
        <v>6</v>
      </c>
      <c r="E169" s="56" t="s">
        <v>28</v>
      </c>
      <c r="F169" s="20">
        <f>H169+J169+L169</f>
        <v>847608</v>
      </c>
      <c r="G169" s="21">
        <f>I169+K169+M169</f>
        <v>50856.4</v>
      </c>
      <c r="H169" s="20"/>
      <c r="I169" s="21">
        <f>TRUNC(H169*D169,1)</f>
        <v>0</v>
      </c>
      <c r="J169" s="20"/>
      <c r="K169" s="21">
        <f>TRUNC(J169*D169,1)</f>
        <v>0</v>
      </c>
      <c r="L169" s="20">
        <f>K168</f>
        <v>847608</v>
      </c>
      <c r="M169" s="21">
        <f>TRUNC(L169*D169/100,1)</f>
        <v>50856.4</v>
      </c>
      <c r="N169" s="12" t="s">
        <v>0</v>
      </c>
    </row>
    <row r="170" spans="1:14" ht="15" customHeight="1">
      <c r="A170" s="13"/>
      <c r="B170" s="80" t="s">
        <v>376</v>
      </c>
      <c r="C170" s="81">
        <v>1.5</v>
      </c>
      <c r="D170" s="82">
        <f>ROUND(1/C170,4)</f>
        <v>0.66669999999999996</v>
      </c>
      <c r="E170" s="83" t="s">
        <v>378</v>
      </c>
      <c r="F170" s="84"/>
      <c r="G170" s="85">
        <f>I170+K170+M170</f>
        <v>599006.1</v>
      </c>
      <c r="H170" s="84"/>
      <c r="I170" s="85">
        <f>TRUNC(SUM(I168:I169)*$D170,1)</f>
        <v>0</v>
      </c>
      <c r="J170" s="84"/>
      <c r="K170" s="85">
        <f>TRUNC(SUM(K168:K169)*$D170,1)</f>
        <v>565100.19999999995</v>
      </c>
      <c r="L170" s="84"/>
      <c r="M170" s="85">
        <f>TRUNC(SUM(M168:M169)*$D170,1)</f>
        <v>33905.9</v>
      </c>
      <c r="N170" s="12"/>
    </row>
    <row r="171" spans="1:14" ht="15" customHeight="1">
      <c r="A171" s="13"/>
      <c r="B171" s="87" t="s">
        <v>264</v>
      </c>
      <c r="C171" s="88" t="s">
        <v>174</v>
      </c>
      <c r="D171" s="89">
        <v>7.4</v>
      </c>
      <c r="E171" s="90" t="s">
        <v>27</v>
      </c>
      <c r="F171" s="91" t="e">
        <f>H171+J171+L171</f>
        <v>#REF!</v>
      </c>
      <c r="G171" s="92" t="e">
        <f>I171+K171+M171</f>
        <v>#REF!</v>
      </c>
      <c r="H171" s="91" t="e">
        <f>#REF!</f>
        <v>#REF!</v>
      </c>
      <c r="I171" s="92" t="e">
        <f>TRUNC(H171*D171,1)</f>
        <v>#REF!</v>
      </c>
      <c r="J171" s="91">
        <v>0</v>
      </c>
      <c r="K171" s="92"/>
      <c r="L171" s="91">
        <v>0</v>
      </c>
      <c r="M171" s="92"/>
      <c r="N171" s="12" t="s">
        <v>0</v>
      </c>
    </row>
    <row r="172" spans="1:14" ht="15" customHeight="1">
      <c r="A172" s="16"/>
      <c r="B172" s="15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12"/>
    </row>
    <row r="173" spans="1:14" ht="15" customHeight="1">
      <c r="A173" s="52">
        <f>A167+1</f>
        <v>56</v>
      </c>
      <c r="B173" s="46" t="s">
        <v>255</v>
      </c>
      <c r="C173" s="47" t="s">
        <v>358</v>
      </c>
      <c r="D173" s="47">
        <v>1</v>
      </c>
      <c r="E173" s="48" t="s">
        <v>3</v>
      </c>
      <c r="F173" s="70"/>
      <c r="G173" s="68" t="e">
        <f>I173+K173+M173</f>
        <v>#REF!</v>
      </c>
      <c r="H173" s="70"/>
      <c r="I173" s="68" t="e">
        <f>I176+I177</f>
        <v>#REF!</v>
      </c>
      <c r="J173" s="70"/>
      <c r="K173" s="68">
        <f>K176+K177</f>
        <v>847608</v>
      </c>
      <c r="L173" s="70"/>
      <c r="M173" s="68">
        <f>M176+M177</f>
        <v>50856.4</v>
      </c>
      <c r="N173" s="63" t="str">
        <f>N167</f>
        <v>토목6-3-2</v>
      </c>
    </row>
    <row r="174" spans="1:14" ht="15" customHeight="1">
      <c r="A174" s="13"/>
      <c r="B174" s="14" t="s">
        <v>265</v>
      </c>
      <c r="C174" s="1" t="s">
        <v>0</v>
      </c>
      <c r="D174" s="3">
        <v>3</v>
      </c>
      <c r="E174" s="2" t="s">
        <v>24</v>
      </c>
      <c r="F174" s="4">
        <f>H174+J174+L174</f>
        <v>282536</v>
      </c>
      <c r="G174" s="8">
        <f>I174+K174+M174</f>
        <v>847608</v>
      </c>
      <c r="H174" s="4">
        <v>0</v>
      </c>
      <c r="I174" s="8"/>
      <c r="J174" s="4">
        <f>노임!$D$7</f>
        <v>282536</v>
      </c>
      <c r="K174" s="8">
        <f>TRUNC(J174*D174,1)</f>
        <v>847608</v>
      </c>
      <c r="L174" s="4">
        <v>0</v>
      </c>
      <c r="M174" s="8"/>
      <c r="N174" s="12" t="s">
        <v>0</v>
      </c>
    </row>
    <row r="175" spans="1:14" ht="15" customHeight="1">
      <c r="A175" s="13"/>
      <c r="B175" s="55" t="s">
        <v>288</v>
      </c>
      <c r="C175" s="1" t="s">
        <v>379</v>
      </c>
      <c r="D175" s="19">
        <v>6</v>
      </c>
      <c r="E175" s="56" t="s">
        <v>28</v>
      </c>
      <c r="F175" s="20">
        <f>H175+J175+L175</f>
        <v>847608</v>
      </c>
      <c r="G175" s="21">
        <f>I175+K175+M175</f>
        <v>50856.4</v>
      </c>
      <c r="H175" s="20"/>
      <c r="I175" s="21">
        <f>TRUNC(H175*D175,1)</f>
        <v>0</v>
      </c>
      <c r="J175" s="20"/>
      <c r="K175" s="21">
        <f>TRUNC(J175*D175,1)</f>
        <v>0</v>
      </c>
      <c r="L175" s="20">
        <f>K174</f>
        <v>847608</v>
      </c>
      <c r="M175" s="21">
        <f>TRUNC(L175*D175/100,1)</f>
        <v>50856.4</v>
      </c>
      <c r="N175" s="12" t="s">
        <v>0</v>
      </c>
    </row>
    <row r="176" spans="1:14" ht="15" customHeight="1">
      <c r="A176" s="13"/>
      <c r="B176" s="80" t="s">
        <v>376</v>
      </c>
      <c r="C176" s="81">
        <v>1</v>
      </c>
      <c r="D176" s="82">
        <f>ROUND(1/C176,4)</f>
        <v>1</v>
      </c>
      <c r="E176" s="83" t="s">
        <v>378</v>
      </c>
      <c r="F176" s="84"/>
      <c r="G176" s="85">
        <f>I176+K176+M176</f>
        <v>898464.4</v>
      </c>
      <c r="H176" s="84"/>
      <c r="I176" s="85">
        <f>TRUNC(SUM(I174:I175)*$D176,1)</f>
        <v>0</v>
      </c>
      <c r="J176" s="84"/>
      <c r="K176" s="85">
        <f>TRUNC(SUM(K174:K175)*$D176,1)</f>
        <v>847608</v>
      </c>
      <c r="L176" s="84"/>
      <c r="M176" s="85">
        <f>TRUNC(SUM(M174:M175)*$D176,1)</f>
        <v>50856.4</v>
      </c>
      <c r="N176" s="12"/>
    </row>
    <row r="177" spans="1:14" ht="15" customHeight="1">
      <c r="A177" s="13"/>
      <c r="B177" s="87" t="s">
        <v>264</v>
      </c>
      <c r="C177" s="88" t="s">
        <v>174</v>
      </c>
      <c r="D177" s="89">
        <v>14.2</v>
      </c>
      <c r="E177" s="90" t="s">
        <v>27</v>
      </c>
      <c r="F177" s="91" t="e">
        <f>H177+J177+L177</f>
        <v>#REF!</v>
      </c>
      <c r="G177" s="92" t="e">
        <f>I177+K177+M177</f>
        <v>#REF!</v>
      </c>
      <c r="H177" s="91" t="e">
        <f>#REF!</f>
        <v>#REF!</v>
      </c>
      <c r="I177" s="92" t="e">
        <f>TRUNC(H177*D177,1)</f>
        <v>#REF!</v>
      </c>
      <c r="J177" s="91">
        <v>0</v>
      </c>
      <c r="K177" s="92"/>
      <c r="L177" s="91">
        <v>0</v>
      </c>
      <c r="M177" s="92"/>
      <c r="N177" s="12" t="s">
        <v>0</v>
      </c>
    </row>
    <row r="178" spans="1:14" ht="15" customHeight="1">
      <c r="A178" s="16"/>
      <c r="B178" s="15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12"/>
    </row>
    <row r="179" spans="1:14" ht="15" customHeight="1">
      <c r="A179" s="52">
        <f>A173+1</f>
        <v>57</v>
      </c>
      <c r="B179" s="46" t="s">
        <v>257</v>
      </c>
      <c r="C179" s="47" t="s">
        <v>358</v>
      </c>
      <c r="D179" s="47">
        <v>1</v>
      </c>
      <c r="E179" s="48" t="s">
        <v>3</v>
      </c>
      <c r="F179" s="70"/>
      <c r="G179" s="68" t="e">
        <f>I179+K179+M179</f>
        <v>#REF!</v>
      </c>
      <c r="H179" s="70"/>
      <c r="I179" s="68" t="e">
        <f>I182+I183</f>
        <v>#REF!</v>
      </c>
      <c r="J179" s="70"/>
      <c r="K179" s="68">
        <f>K182+K183</f>
        <v>565100.19999999995</v>
      </c>
      <c r="L179" s="70"/>
      <c r="M179" s="68">
        <f>M182+M183</f>
        <v>33905.9</v>
      </c>
      <c r="N179" s="63" t="str">
        <f>N173</f>
        <v>토목6-3-2</v>
      </c>
    </row>
    <row r="180" spans="1:14" ht="15" customHeight="1">
      <c r="A180" s="13"/>
      <c r="B180" s="14" t="s">
        <v>265</v>
      </c>
      <c r="C180" s="1" t="s">
        <v>0</v>
      </c>
      <c r="D180" s="3">
        <v>3</v>
      </c>
      <c r="E180" s="2" t="s">
        <v>24</v>
      </c>
      <c r="F180" s="4">
        <f>H180+J180+L180</f>
        <v>282536</v>
      </c>
      <c r="G180" s="8">
        <f>I180+K180+M180</f>
        <v>847608</v>
      </c>
      <c r="H180" s="4">
        <v>0</v>
      </c>
      <c r="I180" s="8"/>
      <c r="J180" s="4">
        <f>노임!$D$7</f>
        <v>282536</v>
      </c>
      <c r="K180" s="8">
        <f>TRUNC(J180*D180,1)</f>
        <v>847608</v>
      </c>
      <c r="L180" s="4">
        <v>0</v>
      </c>
      <c r="M180" s="8"/>
      <c r="N180" s="12" t="s">
        <v>0</v>
      </c>
    </row>
    <row r="181" spans="1:14" ht="15" customHeight="1">
      <c r="A181" s="13"/>
      <c r="B181" s="55" t="s">
        <v>288</v>
      </c>
      <c r="C181" s="1" t="s">
        <v>379</v>
      </c>
      <c r="D181" s="19">
        <v>6</v>
      </c>
      <c r="E181" s="56" t="s">
        <v>28</v>
      </c>
      <c r="F181" s="20">
        <f>H181+J181+L181</f>
        <v>847608</v>
      </c>
      <c r="G181" s="21">
        <f>I181+K181+M181</f>
        <v>50856.4</v>
      </c>
      <c r="H181" s="20"/>
      <c r="I181" s="21">
        <f>TRUNC(H181*D181,1)</f>
        <v>0</v>
      </c>
      <c r="J181" s="20"/>
      <c r="K181" s="21">
        <f>TRUNC(J181*D181,1)</f>
        <v>0</v>
      </c>
      <c r="L181" s="20">
        <f>K180</f>
        <v>847608</v>
      </c>
      <c r="M181" s="21">
        <f>TRUNC(L181*D181/100,1)</f>
        <v>50856.4</v>
      </c>
      <c r="N181" s="12" t="s">
        <v>0</v>
      </c>
    </row>
    <row r="182" spans="1:14" ht="15" customHeight="1">
      <c r="A182" s="13"/>
      <c r="B182" s="80" t="s">
        <v>376</v>
      </c>
      <c r="C182" s="81">
        <v>1.5</v>
      </c>
      <c r="D182" s="82">
        <f>ROUND(1/C182,4)</f>
        <v>0.66669999999999996</v>
      </c>
      <c r="E182" s="83" t="s">
        <v>378</v>
      </c>
      <c r="F182" s="84"/>
      <c r="G182" s="85">
        <f>I182+K182+M182</f>
        <v>599006.1</v>
      </c>
      <c r="H182" s="84"/>
      <c r="I182" s="85">
        <f>TRUNC(SUM(I180:I181)*$D182,1)</f>
        <v>0</v>
      </c>
      <c r="J182" s="84"/>
      <c r="K182" s="85">
        <f>TRUNC(SUM(K180:K181)*$D182,1)</f>
        <v>565100.19999999995</v>
      </c>
      <c r="L182" s="84"/>
      <c r="M182" s="85">
        <f>TRUNC(SUM(M180:M181)*$D182,1)</f>
        <v>33905.9</v>
      </c>
      <c r="N182" s="12"/>
    </row>
    <row r="183" spans="1:14" ht="15" customHeight="1">
      <c r="A183" s="13"/>
      <c r="B183" s="87" t="s">
        <v>264</v>
      </c>
      <c r="C183" s="88" t="s">
        <v>174</v>
      </c>
      <c r="D183" s="89">
        <v>9.5</v>
      </c>
      <c r="E183" s="90" t="s">
        <v>27</v>
      </c>
      <c r="F183" s="91" t="e">
        <f>H183+J183+L183</f>
        <v>#REF!</v>
      </c>
      <c r="G183" s="92" t="e">
        <f>I183+K183+M183</f>
        <v>#REF!</v>
      </c>
      <c r="H183" s="91" t="e">
        <f>#REF!</f>
        <v>#REF!</v>
      </c>
      <c r="I183" s="92" t="e">
        <f>TRUNC(H183*D183,1)</f>
        <v>#REF!</v>
      </c>
      <c r="J183" s="91">
        <v>0</v>
      </c>
      <c r="K183" s="92"/>
      <c r="L183" s="91">
        <v>0</v>
      </c>
      <c r="M183" s="92"/>
      <c r="N183" s="12" t="s">
        <v>0</v>
      </c>
    </row>
    <row r="184" spans="1:14" ht="15" customHeight="1">
      <c r="A184" s="16"/>
      <c r="B184" s="15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12"/>
    </row>
    <row r="185" spans="1:14" ht="15" customHeight="1">
      <c r="A185" s="52">
        <f>A179+1</f>
        <v>58</v>
      </c>
      <c r="B185" s="46" t="s">
        <v>255</v>
      </c>
      <c r="C185" s="47" t="s">
        <v>359</v>
      </c>
      <c r="D185" s="47">
        <v>1</v>
      </c>
      <c r="E185" s="48" t="s">
        <v>3</v>
      </c>
      <c r="F185" s="70"/>
      <c r="G185" s="68" t="e">
        <f>I185+K185+M185</f>
        <v>#REF!</v>
      </c>
      <c r="H185" s="70"/>
      <c r="I185" s="68" t="e">
        <f>I188+I189</f>
        <v>#REF!</v>
      </c>
      <c r="J185" s="70"/>
      <c r="K185" s="68">
        <f>K188+K189</f>
        <v>1130144</v>
      </c>
      <c r="L185" s="70"/>
      <c r="M185" s="68">
        <f>M188+M189</f>
        <v>67808.600000000006</v>
      </c>
      <c r="N185" s="63" t="str">
        <f>N179</f>
        <v>토목6-3-2</v>
      </c>
    </row>
    <row r="186" spans="1:14" ht="15" customHeight="1">
      <c r="A186" s="13"/>
      <c r="B186" s="14" t="s">
        <v>265</v>
      </c>
      <c r="C186" s="1" t="s">
        <v>0</v>
      </c>
      <c r="D186" s="3">
        <v>4</v>
      </c>
      <c r="E186" s="2" t="s">
        <v>24</v>
      </c>
      <c r="F186" s="4">
        <f>H186+J186+L186</f>
        <v>282536</v>
      </c>
      <c r="G186" s="8">
        <f>I186+K186+M186</f>
        <v>1130144</v>
      </c>
      <c r="H186" s="4">
        <v>0</v>
      </c>
      <c r="I186" s="8"/>
      <c r="J186" s="4">
        <f>노임!$D$7</f>
        <v>282536</v>
      </c>
      <c r="K186" s="8">
        <f>TRUNC(J186*D186,1)</f>
        <v>1130144</v>
      </c>
      <c r="L186" s="4">
        <v>0</v>
      </c>
      <c r="M186" s="8"/>
      <c r="N186" s="12" t="s">
        <v>0</v>
      </c>
    </row>
    <row r="187" spans="1:14" ht="15" customHeight="1">
      <c r="A187" s="13"/>
      <c r="B187" s="55" t="s">
        <v>288</v>
      </c>
      <c r="C187" s="1" t="s">
        <v>379</v>
      </c>
      <c r="D187" s="19">
        <v>6</v>
      </c>
      <c r="E187" s="56" t="s">
        <v>28</v>
      </c>
      <c r="F187" s="20">
        <f>H187+J187+L187</f>
        <v>1130144</v>
      </c>
      <c r="G187" s="21">
        <f>I187+K187+M187</f>
        <v>67808.600000000006</v>
      </c>
      <c r="H187" s="20"/>
      <c r="I187" s="21">
        <f>TRUNC(H187*D187,1)</f>
        <v>0</v>
      </c>
      <c r="J187" s="20"/>
      <c r="K187" s="21">
        <f>TRUNC(J187*D187,1)</f>
        <v>0</v>
      </c>
      <c r="L187" s="20">
        <f>K186</f>
        <v>1130144</v>
      </c>
      <c r="M187" s="21">
        <f>TRUNC(L187*D187/100,1)</f>
        <v>67808.600000000006</v>
      </c>
      <c r="N187" s="12" t="s">
        <v>0</v>
      </c>
    </row>
    <row r="188" spans="1:14" ht="15" customHeight="1">
      <c r="A188" s="13"/>
      <c r="B188" s="80" t="s">
        <v>376</v>
      </c>
      <c r="C188" s="81">
        <v>1</v>
      </c>
      <c r="D188" s="82">
        <f>ROUND(1/C188,4)</f>
        <v>1</v>
      </c>
      <c r="E188" s="83" t="s">
        <v>378</v>
      </c>
      <c r="F188" s="84"/>
      <c r="G188" s="85">
        <f>I188+K188+M188</f>
        <v>1197952.6000000001</v>
      </c>
      <c r="H188" s="84"/>
      <c r="I188" s="85">
        <f>TRUNC(SUM(I186:I187)*$D188,1)</f>
        <v>0</v>
      </c>
      <c r="J188" s="84"/>
      <c r="K188" s="85">
        <f>TRUNC(SUM(K186:K187)*$D188,1)</f>
        <v>1130144</v>
      </c>
      <c r="L188" s="84"/>
      <c r="M188" s="85">
        <f>TRUNC(SUM(M186:M187)*$D188,1)</f>
        <v>67808.600000000006</v>
      </c>
      <c r="N188" s="12"/>
    </row>
    <row r="189" spans="1:14" ht="15" customHeight="1">
      <c r="A189" s="13"/>
      <c r="B189" s="87" t="s">
        <v>264</v>
      </c>
      <c r="C189" s="88" t="s">
        <v>174</v>
      </c>
      <c r="D189" s="89">
        <v>17.399999999999999</v>
      </c>
      <c r="E189" s="90" t="s">
        <v>27</v>
      </c>
      <c r="F189" s="91" t="e">
        <f>H189+J189+L189</f>
        <v>#REF!</v>
      </c>
      <c r="G189" s="92" t="e">
        <f>I189+K189+M189</f>
        <v>#REF!</v>
      </c>
      <c r="H189" s="91" t="e">
        <f>#REF!</f>
        <v>#REF!</v>
      </c>
      <c r="I189" s="92" t="e">
        <f>TRUNC(H189*D189,1)</f>
        <v>#REF!</v>
      </c>
      <c r="J189" s="91">
        <v>0</v>
      </c>
      <c r="K189" s="92"/>
      <c r="L189" s="91">
        <v>0</v>
      </c>
      <c r="M189" s="92"/>
      <c r="N189" s="12" t="s">
        <v>0</v>
      </c>
    </row>
    <row r="190" spans="1:14" ht="15" customHeight="1">
      <c r="A190" s="16"/>
      <c r="B190" s="15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12"/>
    </row>
    <row r="191" spans="1:14" ht="15" customHeight="1">
      <c r="A191" s="52">
        <f>A185+1</f>
        <v>59</v>
      </c>
      <c r="B191" s="46" t="s">
        <v>257</v>
      </c>
      <c r="C191" s="47" t="s">
        <v>359</v>
      </c>
      <c r="D191" s="47">
        <v>1</v>
      </c>
      <c r="E191" s="48" t="s">
        <v>3</v>
      </c>
      <c r="F191" s="70"/>
      <c r="G191" s="68" t="e">
        <f>I191+K191+M191</f>
        <v>#REF!</v>
      </c>
      <c r="H191" s="70"/>
      <c r="I191" s="68" t="e">
        <f>I194+I195</f>
        <v>#REF!</v>
      </c>
      <c r="J191" s="70"/>
      <c r="K191" s="68">
        <f>K194+K195</f>
        <v>753467</v>
      </c>
      <c r="L191" s="70"/>
      <c r="M191" s="68">
        <f>M194+M195</f>
        <v>45207.9</v>
      </c>
      <c r="N191" s="63" t="str">
        <f>N185</f>
        <v>토목6-3-2</v>
      </c>
    </row>
    <row r="192" spans="1:14" ht="15" customHeight="1">
      <c r="A192" s="13"/>
      <c r="B192" s="14" t="s">
        <v>265</v>
      </c>
      <c r="C192" s="1" t="s">
        <v>0</v>
      </c>
      <c r="D192" s="3">
        <v>4</v>
      </c>
      <c r="E192" s="2" t="s">
        <v>24</v>
      </c>
      <c r="F192" s="4">
        <f>H192+J192+L192</f>
        <v>282536</v>
      </c>
      <c r="G192" s="8">
        <f>I192+K192+M192</f>
        <v>1130144</v>
      </c>
      <c r="H192" s="4">
        <v>0</v>
      </c>
      <c r="I192" s="8"/>
      <c r="J192" s="4">
        <f>노임!$D$7</f>
        <v>282536</v>
      </c>
      <c r="K192" s="8">
        <f>TRUNC(J192*D192,1)</f>
        <v>1130144</v>
      </c>
      <c r="L192" s="4">
        <v>0</v>
      </c>
      <c r="M192" s="8"/>
      <c r="N192" s="12" t="s">
        <v>0</v>
      </c>
    </row>
    <row r="193" spans="1:14" ht="15" customHeight="1">
      <c r="A193" s="13"/>
      <c r="B193" s="55" t="s">
        <v>288</v>
      </c>
      <c r="C193" s="1" t="s">
        <v>379</v>
      </c>
      <c r="D193" s="19">
        <v>6</v>
      </c>
      <c r="E193" s="56" t="s">
        <v>28</v>
      </c>
      <c r="F193" s="20">
        <f>H193+J193+L193</f>
        <v>1130144</v>
      </c>
      <c r="G193" s="21">
        <f>I193+K193+M193</f>
        <v>67808.600000000006</v>
      </c>
      <c r="H193" s="20"/>
      <c r="I193" s="21">
        <f>TRUNC(H193*D193,1)</f>
        <v>0</v>
      </c>
      <c r="J193" s="20"/>
      <c r="K193" s="21">
        <f>TRUNC(J193*D193,1)</f>
        <v>0</v>
      </c>
      <c r="L193" s="20">
        <f>K192</f>
        <v>1130144</v>
      </c>
      <c r="M193" s="21">
        <f>TRUNC(L193*D193/100,1)</f>
        <v>67808.600000000006</v>
      </c>
      <c r="N193" s="12" t="s">
        <v>0</v>
      </c>
    </row>
    <row r="194" spans="1:14" ht="15" customHeight="1">
      <c r="A194" s="13"/>
      <c r="B194" s="80" t="s">
        <v>376</v>
      </c>
      <c r="C194" s="81">
        <v>1.5</v>
      </c>
      <c r="D194" s="82">
        <f>ROUND(1/C194,4)</f>
        <v>0.66669999999999996</v>
      </c>
      <c r="E194" s="83" t="s">
        <v>378</v>
      </c>
      <c r="F194" s="84"/>
      <c r="G194" s="85">
        <f>I194+K194+M194</f>
        <v>798674.9</v>
      </c>
      <c r="H194" s="84"/>
      <c r="I194" s="85">
        <f>TRUNC(SUM(I192:I193)*$D194,1)</f>
        <v>0</v>
      </c>
      <c r="J194" s="84"/>
      <c r="K194" s="85">
        <f>TRUNC(SUM(K192:K193)*$D194,1)</f>
        <v>753467</v>
      </c>
      <c r="L194" s="84"/>
      <c r="M194" s="85">
        <f>TRUNC(SUM(M192:M193)*$D194,1)</f>
        <v>45207.9</v>
      </c>
      <c r="N194" s="12"/>
    </row>
    <row r="195" spans="1:14" ht="15" customHeight="1">
      <c r="A195" s="13"/>
      <c r="B195" s="87" t="s">
        <v>264</v>
      </c>
      <c r="C195" s="88" t="s">
        <v>174</v>
      </c>
      <c r="D195" s="89">
        <v>11.9</v>
      </c>
      <c r="E195" s="90" t="s">
        <v>27</v>
      </c>
      <c r="F195" s="91" t="e">
        <f>H195+J195+L195</f>
        <v>#REF!</v>
      </c>
      <c r="G195" s="92" t="e">
        <f>I195+K195+M195</f>
        <v>#REF!</v>
      </c>
      <c r="H195" s="91" t="e">
        <f>#REF!</f>
        <v>#REF!</v>
      </c>
      <c r="I195" s="92" t="e">
        <f>TRUNC(H195*D195,1)</f>
        <v>#REF!</v>
      </c>
      <c r="J195" s="91">
        <v>0</v>
      </c>
      <c r="K195" s="92"/>
      <c r="L195" s="91">
        <v>0</v>
      </c>
      <c r="M195" s="92"/>
      <c r="N195" s="12" t="s">
        <v>0</v>
      </c>
    </row>
    <row r="196" spans="1:14" ht="15" customHeight="1">
      <c r="A196" s="16"/>
      <c r="B196" s="15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12"/>
    </row>
    <row r="197" spans="1:14" ht="15" customHeight="1">
      <c r="A197" s="52">
        <f>A191+1</f>
        <v>60</v>
      </c>
      <c r="B197" s="46" t="s">
        <v>255</v>
      </c>
      <c r="C197" s="47" t="s">
        <v>360</v>
      </c>
      <c r="D197" s="47">
        <v>1</v>
      </c>
      <c r="E197" s="48" t="s">
        <v>3</v>
      </c>
      <c r="F197" s="70"/>
      <c r="G197" s="68" t="e">
        <f>I197+K197+M197</f>
        <v>#REF!</v>
      </c>
      <c r="H197" s="70"/>
      <c r="I197" s="68" t="e">
        <f>I200+I201</f>
        <v>#REF!</v>
      </c>
      <c r="J197" s="70"/>
      <c r="K197" s="68">
        <f>K200+K201</f>
        <v>1130144</v>
      </c>
      <c r="L197" s="70"/>
      <c r="M197" s="68">
        <f>M200+M201</f>
        <v>67808.600000000006</v>
      </c>
      <c r="N197" s="63" t="str">
        <f>N191</f>
        <v>토목6-3-2</v>
      </c>
    </row>
    <row r="198" spans="1:14" ht="15" customHeight="1">
      <c r="A198" s="13"/>
      <c r="B198" s="14" t="s">
        <v>265</v>
      </c>
      <c r="C198" s="1" t="s">
        <v>0</v>
      </c>
      <c r="D198" s="3">
        <v>4</v>
      </c>
      <c r="E198" s="2" t="s">
        <v>24</v>
      </c>
      <c r="F198" s="4">
        <f>H198+J198+L198</f>
        <v>282536</v>
      </c>
      <c r="G198" s="8">
        <f>I198+K198+M198</f>
        <v>1130144</v>
      </c>
      <c r="H198" s="4">
        <v>0</v>
      </c>
      <c r="I198" s="8"/>
      <c r="J198" s="4">
        <f>노임!$D$7</f>
        <v>282536</v>
      </c>
      <c r="K198" s="8">
        <f>TRUNC(J198*D198,1)</f>
        <v>1130144</v>
      </c>
      <c r="L198" s="4">
        <v>0</v>
      </c>
      <c r="M198" s="8"/>
      <c r="N198" s="12" t="s">
        <v>0</v>
      </c>
    </row>
    <row r="199" spans="1:14" ht="15" customHeight="1">
      <c r="A199" s="13"/>
      <c r="B199" s="55" t="s">
        <v>288</v>
      </c>
      <c r="C199" s="1" t="s">
        <v>379</v>
      </c>
      <c r="D199" s="19">
        <v>6</v>
      </c>
      <c r="E199" s="56" t="s">
        <v>28</v>
      </c>
      <c r="F199" s="20">
        <f>H199+J199+L199</f>
        <v>1130144</v>
      </c>
      <c r="G199" s="21">
        <f>I199+K199+M199</f>
        <v>67808.600000000006</v>
      </c>
      <c r="H199" s="20"/>
      <c r="I199" s="21">
        <f>TRUNC(H199*D199,1)</f>
        <v>0</v>
      </c>
      <c r="J199" s="20"/>
      <c r="K199" s="21">
        <f>TRUNC(J199*D199,1)</f>
        <v>0</v>
      </c>
      <c r="L199" s="20">
        <f>K198</f>
        <v>1130144</v>
      </c>
      <c r="M199" s="21">
        <f>TRUNC(L199*D199/100,1)</f>
        <v>67808.600000000006</v>
      </c>
      <c r="N199" s="12" t="s">
        <v>0</v>
      </c>
    </row>
    <row r="200" spans="1:14" ht="15" customHeight="1">
      <c r="A200" s="13"/>
      <c r="B200" s="80" t="s">
        <v>376</v>
      </c>
      <c r="C200" s="81">
        <v>1</v>
      </c>
      <c r="D200" s="82">
        <f>ROUND(1/C200,4)</f>
        <v>1</v>
      </c>
      <c r="E200" s="83" t="s">
        <v>378</v>
      </c>
      <c r="F200" s="84"/>
      <c r="G200" s="85">
        <f>I200+K200+M200</f>
        <v>1197952.6000000001</v>
      </c>
      <c r="H200" s="84"/>
      <c r="I200" s="85">
        <f>TRUNC(SUM(I198:I199)*$D200,1)</f>
        <v>0</v>
      </c>
      <c r="J200" s="84"/>
      <c r="K200" s="85">
        <f>TRUNC(SUM(K198:K199)*$D200,1)</f>
        <v>1130144</v>
      </c>
      <c r="L200" s="84"/>
      <c r="M200" s="85">
        <f>TRUNC(SUM(M198:M199)*$D200,1)</f>
        <v>67808.600000000006</v>
      </c>
      <c r="N200" s="12"/>
    </row>
    <row r="201" spans="1:14" ht="15" customHeight="1">
      <c r="A201" s="13"/>
      <c r="B201" s="87" t="s">
        <v>264</v>
      </c>
      <c r="C201" s="88" t="s">
        <v>174</v>
      </c>
      <c r="D201" s="89">
        <v>23.8</v>
      </c>
      <c r="E201" s="90" t="s">
        <v>27</v>
      </c>
      <c r="F201" s="91" t="e">
        <f>H201+J201+L201</f>
        <v>#REF!</v>
      </c>
      <c r="G201" s="92" t="e">
        <f>I201+K201+M201</f>
        <v>#REF!</v>
      </c>
      <c r="H201" s="91" t="e">
        <f>#REF!</f>
        <v>#REF!</v>
      </c>
      <c r="I201" s="92" t="e">
        <f>TRUNC(H201*D201,1)</f>
        <v>#REF!</v>
      </c>
      <c r="J201" s="91">
        <v>0</v>
      </c>
      <c r="K201" s="92"/>
      <c r="L201" s="91">
        <v>0</v>
      </c>
      <c r="M201" s="92"/>
      <c r="N201" s="12" t="s">
        <v>0</v>
      </c>
    </row>
    <row r="202" spans="1:14" ht="15" customHeight="1">
      <c r="A202" s="16"/>
      <c r="B202" s="15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12"/>
    </row>
    <row r="203" spans="1:14" ht="15" customHeight="1">
      <c r="A203" s="52">
        <f>A197+1</f>
        <v>61</v>
      </c>
      <c r="B203" s="46" t="s">
        <v>257</v>
      </c>
      <c r="C203" s="47" t="s">
        <v>360</v>
      </c>
      <c r="D203" s="47">
        <v>1</v>
      </c>
      <c r="E203" s="48" t="s">
        <v>3</v>
      </c>
      <c r="F203" s="70"/>
      <c r="G203" s="68" t="e">
        <f>I203+K203+M203</f>
        <v>#REF!</v>
      </c>
      <c r="H203" s="70"/>
      <c r="I203" s="68" t="e">
        <f>I206+I207</f>
        <v>#REF!</v>
      </c>
      <c r="J203" s="70"/>
      <c r="K203" s="68">
        <f>K206+K207</f>
        <v>753467</v>
      </c>
      <c r="L203" s="70"/>
      <c r="M203" s="68">
        <f>M206+M207</f>
        <v>45207.9</v>
      </c>
      <c r="N203" s="63" t="str">
        <f>N197</f>
        <v>토목6-3-2</v>
      </c>
    </row>
    <row r="204" spans="1:14" ht="15" customHeight="1">
      <c r="A204" s="13"/>
      <c r="B204" s="14" t="s">
        <v>265</v>
      </c>
      <c r="C204" s="1" t="s">
        <v>0</v>
      </c>
      <c r="D204" s="3">
        <v>4</v>
      </c>
      <c r="E204" s="2" t="s">
        <v>24</v>
      </c>
      <c r="F204" s="4">
        <f>H204+J204+L204</f>
        <v>282536</v>
      </c>
      <c r="G204" s="8">
        <f>I204+K204+M204</f>
        <v>1130144</v>
      </c>
      <c r="H204" s="4">
        <v>0</v>
      </c>
      <c r="I204" s="8"/>
      <c r="J204" s="4">
        <f>노임!$D$7</f>
        <v>282536</v>
      </c>
      <c r="K204" s="8">
        <f>TRUNC(J204*D204,1)</f>
        <v>1130144</v>
      </c>
      <c r="L204" s="4">
        <v>0</v>
      </c>
      <c r="M204" s="8"/>
      <c r="N204" s="12" t="s">
        <v>0</v>
      </c>
    </row>
    <row r="205" spans="1:14" ht="15" customHeight="1">
      <c r="A205" s="13"/>
      <c r="B205" s="55" t="s">
        <v>288</v>
      </c>
      <c r="C205" s="1" t="s">
        <v>379</v>
      </c>
      <c r="D205" s="19">
        <v>6</v>
      </c>
      <c r="E205" s="56" t="s">
        <v>28</v>
      </c>
      <c r="F205" s="20">
        <f>H205+J205+L205</f>
        <v>1130144</v>
      </c>
      <c r="G205" s="21">
        <f>I205+K205+M205</f>
        <v>67808.600000000006</v>
      </c>
      <c r="H205" s="20"/>
      <c r="I205" s="21">
        <f>TRUNC(H205*D205,1)</f>
        <v>0</v>
      </c>
      <c r="J205" s="20"/>
      <c r="K205" s="21">
        <f>TRUNC(J205*D205,1)</f>
        <v>0</v>
      </c>
      <c r="L205" s="20">
        <f>K204</f>
        <v>1130144</v>
      </c>
      <c r="M205" s="21">
        <f>TRUNC(L205*D205/100,1)</f>
        <v>67808.600000000006</v>
      </c>
      <c r="N205" s="12" t="s">
        <v>0</v>
      </c>
    </row>
    <row r="206" spans="1:14" ht="15" customHeight="1">
      <c r="A206" s="13"/>
      <c r="B206" s="80" t="s">
        <v>376</v>
      </c>
      <c r="C206" s="81">
        <v>1.5</v>
      </c>
      <c r="D206" s="82">
        <f>ROUND(1/C206,4)</f>
        <v>0.66669999999999996</v>
      </c>
      <c r="E206" s="83" t="s">
        <v>378</v>
      </c>
      <c r="F206" s="84"/>
      <c r="G206" s="85">
        <f>I206+K206+M206</f>
        <v>798674.9</v>
      </c>
      <c r="H206" s="84"/>
      <c r="I206" s="85">
        <f>TRUNC(SUM(I204:I205)*$D206,1)</f>
        <v>0</v>
      </c>
      <c r="J206" s="84"/>
      <c r="K206" s="85">
        <f>TRUNC(SUM(K204:K205)*$D206,1)</f>
        <v>753467</v>
      </c>
      <c r="L206" s="84"/>
      <c r="M206" s="85">
        <f>TRUNC(SUM(M204:M205)*$D206,1)</f>
        <v>45207.9</v>
      </c>
      <c r="N206" s="12"/>
    </row>
    <row r="207" spans="1:14" ht="15" customHeight="1">
      <c r="A207" s="13"/>
      <c r="B207" s="87" t="s">
        <v>264</v>
      </c>
      <c r="C207" s="88" t="s">
        <v>174</v>
      </c>
      <c r="D207" s="89">
        <v>18.2</v>
      </c>
      <c r="E207" s="90" t="s">
        <v>27</v>
      </c>
      <c r="F207" s="91" t="e">
        <f>H207+J207+L207</f>
        <v>#REF!</v>
      </c>
      <c r="G207" s="92" t="e">
        <f>I207+K207+M207</f>
        <v>#REF!</v>
      </c>
      <c r="H207" s="91" t="e">
        <f>#REF!</f>
        <v>#REF!</v>
      </c>
      <c r="I207" s="92" t="e">
        <f>TRUNC(H207*D207,1)</f>
        <v>#REF!</v>
      </c>
      <c r="J207" s="91">
        <v>0</v>
      </c>
      <c r="K207" s="92"/>
      <c r="L207" s="91">
        <v>0</v>
      </c>
      <c r="M207" s="92"/>
      <c r="N207" s="12" t="s">
        <v>0</v>
      </c>
    </row>
    <row r="208" spans="1:14" ht="15" customHeight="1">
      <c r="A208" s="16"/>
      <c r="B208" s="15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12"/>
    </row>
    <row r="209" spans="1:14" ht="15" customHeight="1">
      <c r="A209" s="52">
        <f>A203+1</f>
        <v>62</v>
      </c>
      <c r="B209" s="46" t="s">
        <v>255</v>
      </c>
      <c r="C209" s="47" t="s">
        <v>361</v>
      </c>
      <c r="D209" s="47">
        <v>1</v>
      </c>
      <c r="E209" s="48" t="s">
        <v>3</v>
      </c>
      <c r="F209" s="70"/>
      <c r="G209" s="68" t="e">
        <f>I209+K209+M209</f>
        <v>#REF!</v>
      </c>
      <c r="H209" s="70"/>
      <c r="I209" s="68" t="e">
        <f>I212+I213</f>
        <v>#REF!</v>
      </c>
      <c r="J209" s="70"/>
      <c r="K209" s="68">
        <f>K212+K213</f>
        <v>1130144</v>
      </c>
      <c r="L209" s="70"/>
      <c r="M209" s="68">
        <f>M212+M213</f>
        <v>67808.600000000006</v>
      </c>
      <c r="N209" s="63" t="str">
        <f>N203</f>
        <v>토목6-3-2</v>
      </c>
    </row>
    <row r="210" spans="1:14" ht="15" customHeight="1">
      <c r="A210" s="13"/>
      <c r="B210" s="14" t="s">
        <v>265</v>
      </c>
      <c r="C210" s="1" t="s">
        <v>0</v>
      </c>
      <c r="D210" s="3">
        <v>4</v>
      </c>
      <c r="E210" s="2" t="s">
        <v>24</v>
      </c>
      <c r="F210" s="4">
        <f>H210+J210+L210</f>
        <v>282536</v>
      </c>
      <c r="G210" s="8">
        <f>I210+K210+M210</f>
        <v>1130144</v>
      </c>
      <c r="H210" s="4">
        <v>0</v>
      </c>
      <c r="I210" s="8"/>
      <c r="J210" s="4">
        <f>노임!$D$7</f>
        <v>282536</v>
      </c>
      <c r="K210" s="8">
        <f>TRUNC(J210*D210,1)</f>
        <v>1130144</v>
      </c>
      <c r="L210" s="4">
        <v>0</v>
      </c>
      <c r="M210" s="8"/>
      <c r="N210" s="12" t="s">
        <v>0</v>
      </c>
    </row>
    <row r="211" spans="1:14" ht="15" customHeight="1">
      <c r="A211" s="13"/>
      <c r="B211" s="55" t="s">
        <v>288</v>
      </c>
      <c r="C211" s="1" t="s">
        <v>379</v>
      </c>
      <c r="D211" s="19">
        <v>6</v>
      </c>
      <c r="E211" s="56" t="s">
        <v>28</v>
      </c>
      <c r="F211" s="20">
        <f>H211+J211+L211</f>
        <v>1130144</v>
      </c>
      <c r="G211" s="21">
        <f>I211+K211+M211</f>
        <v>67808.600000000006</v>
      </c>
      <c r="H211" s="20"/>
      <c r="I211" s="21">
        <f>TRUNC(H211*D211,1)</f>
        <v>0</v>
      </c>
      <c r="J211" s="20"/>
      <c r="K211" s="21">
        <f>TRUNC(J211*D211,1)</f>
        <v>0</v>
      </c>
      <c r="L211" s="20">
        <f>K210</f>
        <v>1130144</v>
      </c>
      <c r="M211" s="21">
        <f>TRUNC(L211*D211/100,1)</f>
        <v>67808.600000000006</v>
      </c>
      <c r="N211" s="12" t="s">
        <v>0</v>
      </c>
    </row>
    <row r="212" spans="1:14" ht="15" customHeight="1">
      <c r="A212" s="13"/>
      <c r="B212" s="80" t="s">
        <v>376</v>
      </c>
      <c r="C212" s="81">
        <v>1</v>
      </c>
      <c r="D212" s="82">
        <f>ROUND(1/C212,4)</f>
        <v>1</v>
      </c>
      <c r="E212" s="83" t="s">
        <v>378</v>
      </c>
      <c r="F212" s="84"/>
      <c r="G212" s="85">
        <f>I212+K212+M212</f>
        <v>1197952.6000000001</v>
      </c>
      <c r="H212" s="84"/>
      <c r="I212" s="85">
        <f>TRUNC(SUM(I210:I211)*$D212,1)</f>
        <v>0</v>
      </c>
      <c r="J212" s="84"/>
      <c r="K212" s="85">
        <f>TRUNC(SUM(K210:K211)*$D212,1)</f>
        <v>1130144</v>
      </c>
      <c r="L212" s="84"/>
      <c r="M212" s="85">
        <f>TRUNC(SUM(M210:M211)*$D212,1)</f>
        <v>67808.600000000006</v>
      </c>
      <c r="N212" s="12"/>
    </row>
    <row r="213" spans="1:14" ht="15" customHeight="1">
      <c r="A213" s="13"/>
      <c r="B213" s="87" t="s">
        <v>264</v>
      </c>
      <c r="C213" s="88" t="s">
        <v>174</v>
      </c>
      <c r="D213" s="89">
        <v>32</v>
      </c>
      <c r="E213" s="90" t="s">
        <v>27</v>
      </c>
      <c r="F213" s="91" t="e">
        <f>H213+J213+L213</f>
        <v>#REF!</v>
      </c>
      <c r="G213" s="92" t="e">
        <f>I213+K213+M213</f>
        <v>#REF!</v>
      </c>
      <c r="H213" s="91" t="e">
        <f>#REF!</f>
        <v>#REF!</v>
      </c>
      <c r="I213" s="92" t="e">
        <f>TRUNC(H213*D213,1)</f>
        <v>#REF!</v>
      </c>
      <c r="J213" s="91">
        <v>0</v>
      </c>
      <c r="K213" s="92"/>
      <c r="L213" s="91">
        <v>0</v>
      </c>
      <c r="M213" s="92"/>
      <c r="N213" s="12" t="s">
        <v>0</v>
      </c>
    </row>
    <row r="214" spans="1:14" ht="15" customHeight="1">
      <c r="A214" s="16"/>
      <c r="B214" s="15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12"/>
    </row>
    <row r="215" spans="1:14" ht="15" customHeight="1">
      <c r="A215" s="52">
        <f>A209+1</f>
        <v>63</v>
      </c>
      <c r="B215" s="46" t="s">
        <v>257</v>
      </c>
      <c r="C215" s="47" t="s">
        <v>361</v>
      </c>
      <c r="D215" s="47">
        <v>1</v>
      </c>
      <c r="E215" s="48" t="s">
        <v>3</v>
      </c>
      <c r="F215" s="70"/>
      <c r="G215" s="68" t="e">
        <f>I215+K215+M215</f>
        <v>#REF!</v>
      </c>
      <c r="H215" s="70"/>
      <c r="I215" s="68" t="e">
        <f>I218+I219</f>
        <v>#REF!</v>
      </c>
      <c r="J215" s="70"/>
      <c r="K215" s="68">
        <f>K218+K219</f>
        <v>753467</v>
      </c>
      <c r="L215" s="70"/>
      <c r="M215" s="68">
        <f>M218+M219</f>
        <v>45207.9</v>
      </c>
      <c r="N215" s="63" t="str">
        <f>N209</f>
        <v>토목6-3-2</v>
      </c>
    </row>
    <row r="216" spans="1:14" ht="15" customHeight="1">
      <c r="A216" s="13"/>
      <c r="B216" s="14" t="s">
        <v>265</v>
      </c>
      <c r="C216" s="1" t="s">
        <v>0</v>
      </c>
      <c r="D216" s="3">
        <v>4</v>
      </c>
      <c r="E216" s="2" t="s">
        <v>24</v>
      </c>
      <c r="F216" s="4">
        <f>H216+J216+L216</f>
        <v>282536</v>
      </c>
      <c r="G216" s="8">
        <f>I216+K216+M216</f>
        <v>1130144</v>
      </c>
      <c r="H216" s="4">
        <v>0</v>
      </c>
      <c r="I216" s="8"/>
      <c r="J216" s="4">
        <f>노임!$D$7</f>
        <v>282536</v>
      </c>
      <c r="K216" s="8">
        <f>TRUNC(J216*D216,1)</f>
        <v>1130144</v>
      </c>
      <c r="L216" s="4">
        <v>0</v>
      </c>
      <c r="M216" s="8"/>
      <c r="N216" s="12" t="s">
        <v>0</v>
      </c>
    </row>
    <row r="217" spans="1:14" ht="15" customHeight="1">
      <c r="A217" s="13"/>
      <c r="B217" s="55" t="s">
        <v>288</v>
      </c>
      <c r="C217" s="1" t="s">
        <v>379</v>
      </c>
      <c r="D217" s="19">
        <v>6</v>
      </c>
      <c r="E217" s="56" t="s">
        <v>28</v>
      </c>
      <c r="F217" s="20">
        <f>H217+J217+L217</f>
        <v>1130144</v>
      </c>
      <c r="G217" s="21">
        <f>I217+K217+M217</f>
        <v>67808.600000000006</v>
      </c>
      <c r="H217" s="20"/>
      <c r="I217" s="21">
        <f>TRUNC(H217*D217,1)</f>
        <v>0</v>
      </c>
      <c r="J217" s="20"/>
      <c r="K217" s="21">
        <f>TRUNC(J217*D217,1)</f>
        <v>0</v>
      </c>
      <c r="L217" s="20">
        <f>K216</f>
        <v>1130144</v>
      </c>
      <c r="M217" s="21">
        <f>TRUNC(L217*D217/100,1)</f>
        <v>67808.600000000006</v>
      </c>
      <c r="N217" s="12" t="s">
        <v>0</v>
      </c>
    </row>
    <row r="218" spans="1:14" ht="15" customHeight="1">
      <c r="A218" s="13"/>
      <c r="B218" s="80" t="s">
        <v>376</v>
      </c>
      <c r="C218" s="81">
        <v>1.5</v>
      </c>
      <c r="D218" s="82">
        <f>ROUND(1/C218,4)</f>
        <v>0.66669999999999996</v>
      </c>
      <c r="E218" s="83" t="s">
        <v>378</v>
      </c>
      <c r="F218" s="84"/>
      <c r="G218" s="85">
        <f>I218+K218+M218</f>
        <v>798674.9</v>
      </c>
      <c r="H218" s="84"/>
      <c r="I218" s="85">
        <f>TRUNC(SUM(I216:I217)*$D218,1)</f>
        <v>0</v>
      </c>
      <c r="J218" s="84"/>
      <c r="K218" s="85">
        <f>TRUNC(SUM(K216:K217)*$D218,1)</f>
        <v>753467</v>
      </c>
      <c r="L218" s="84"/>
      <c r="M218" s="85">
        <f>TRUNC(SUM(M216:M217)*$D218,1)</f>
        <v>45207.9</v>
      </c>
      <c r="N218" s="12"/>
    </row>
    <row r="219" spans="1:14" ht="15" customHeight="1">
      <c r="A219" s="13"/>
      <c r="B219" s="87" t="s">
        <v>264</v>
      </c>
      <c r="C219" s="88" t="s">
        <v>174</v>
      </c>
      <c r="D219" s="89">
        <v>21.2</v>
      </c>
      <c r="E219" s="90" t="s">
        <v>27</v>
      </c>
      <c r="F219" s="91" t="e">
        <f>H219+J219+L219</f>
        <v>#REF!</v>
      </c>
      <c r="G219" s="92" t="e">
        <f>I219+K219+M219</f>
        <v>#REF!</v>
      </c>
      <c r="H219" s="91" t="e">
        <f>#REF!</f>
        <v>#REF!</v>
      </c>
      <c r="I219" s="92" t="e">
        <f>TRUNC(H219*D219,1)</f>
        <v>#REF!</v>
      </c>
      <c r="J219" s="91">
        <v>0</v>
      </c>
      <c r="K219" s="92"/>
      <c r="L219" s="91">
        <v>0</v>
      </c>
      <c r="M219" s="92"/>
      <c r="N219" s="12" t="s">
        <v>0</v>
      </c>
    </row>
    <row r="220" spans="1:14" ht="15" customHeight="1">
      <c r="A220" s="16"/>
      <c r="B220" s="15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12"/>
    </row>
    <row r="221" spans="1:14" ht="15" customHeight="1">
      <c r="A221" s="52">
        <f>A215+1</f>
        <v>64</v>
      </c>
      <c r="B221" s="46" t="s">
        <v>255</v>
      </c>
      <c r="C221" s="47" t="s">
        <v>362</v>
      </c>
      <c r="D221" s="47">
        <v>1</v>
      </c>
      <c r="E221" s="48" t="s">
        <v>3</v>
      </c>
      <c r="F221" s="70"/>
      <c r="G221" s="68" t="e">
        <f>I221+K221+M221</f>
        <v>#REF!</v>
      </c>
      <c r="H221" s="70"/>
      <c r="I221" s="68" t="e">
        <f>I224+I225</f>
        <v>#REF!</v>
      </c>
      <c r="J221" s="70"/>
      <c r="K221" s="68">
        <f>K224+K225</f>
        <v>1130144</v>
      </c>
      <c r="L221" s="70"/>
      <c r="M221" s="68">
        <f>M224+M225</f>
        <v>67808.600000000006</v>
      </c>
      <c r="N221" s="63" t="str">
        <f>N215</f>
        <v>토목6-3-2</v>
      </c>
    </row>
    <row r="222" spans="1:14" ht="15" customHeight="1">
      <c r="A222" s="13"/>
      <c r="B222" s="14" t="s">
        <v>265</v>
      </c>
      <c r="C222" s="1" t="s">
        <v>0</v>
      </c>
      <c r="D222" s="3">
        <v>4</v>
      </c>
      <c r="E222" s="2" t="s">
        <v>24</v>
      </c>
      <c r="F222" s="4">
        <f>H222+J222+L222</f>
        <v>282536</v>
      </c>
      <c r="G222" s="8">
        <f>I222+K222+M222</f>
        <v>1130144</v>
      </c>
      <c r="H222" s="4">
        <v>0</v>
      </c>
      <c r="I222" s="8"/>
      <c r="J222" s="4">
        <f>노임!$D$7</f>
        <v>282536</v>
      </c>
      <c r="K222" s="8">
        <f>TRUNC(J222*D222,1)</f>
        <v>1130144</v>
      </c>
      <c r="L222" s="4">
        <v>0</v>
      </c>
      <c r="M222" s="8"/>
      <c r="N222" s="12" t="s">
        <v>0</v>
      </c>
    </row>
    <row r="223" spans="1:14" ht="15" customHeight="1">
      <c r="A223" s="13"/>
      <c r="B223" s="55" t="s">
        <v>288</v>
      </c>
      <c r="C223" s="1" t="s">
        <v>379</v>
      </c>
      <c r="D223" s="19">
        <v>6</v>
      </c>
      <c r="E223" s="56" t="s">
        <v>28</v>
      </c>
      <c r="F223" s="20">
        <f>H223+J223+L223</f>
        <v>1130144</v>
      </c>
      <c r="G223" s="21">
        <f>I223+K223+M223</f>
        <v>67808.600000000006</v>
      </c>
      <c r="H223" s="20"/>
      <c r="I223" s="21">
        <f>TRUNC(H223*D223,1)</f>
        <v>0</v>
      </c>
      <c r="J223" s="20"/>
      <c r="K223" s="21">
        <f>TRUNC(J223*D223,1)</f>
        <v>0</v>
      </c>
      <c r="L223" s="20">
        <f>K222</f>
        <v>1130144</v>
      </c>
      <c r="M223" s="21">
        <f>TRUNC(L223*D223/100,1)</f>
        <v>67808.600000000006</v>
      </c>
      <c r="N223" s="12" t="s">
        <v>0</v>
      </c>
    </row>
    <row r="224" spans="1:14" ht="15" customHeight="1">
      <c r="A224" s="13"/>
      <c r="B224" s="80" t="s">
        <v>376</v>
      </c>
      <c r="C224" s="81">
        <v>1</v>
      </c>
      <c r="D224" s="82">
        <f>ROUND(1/C224,4)</f>
        <v>1</v>
      </c>
      <c r="E224" s="83" t="s">
        <v>378</v>
      </c>
      <c r="F224" s="84"/>
      <c r="G224" s="85">
        <f>I224+K224+M224</f>
        <v>1197952.6000000001</v>
      </c>
      <c r="H224" s="84"/>
      <c r="I224" s="85">
        <f>TRUNC(SUM(I222:I223)*$D224,1)</f>
        <v>0</v>
      </c>
      <c r="J224" s="84"/>
      <c r="K224" s="85">
        <f>TRUNC(SUM(K222:K223)*$D224,1)</f>
        <v>1130144</v>
      </c>
      <c r="L224" s="84"/>
      <c r="M224" s="85">
        <f>TRUNC(SUM(M222:M223)*$D224,1)</f>
        <v>67808.600000000006</v>
      </c>
      <c r="N224" s="12"/>
    </row>
    <row r="225" spans="1:14" ht="15" customHeight="1">
      <c r="A225" s="13"/>
      <c r="B225" s="87" t="s">
        <v>264</v>
      </c>
      <c r="C225" s="88" t="s">
        <v>174</v>
      </c>
      <c r="D225" s="89">
        <v>41.5</v>
      </c>
      <c r="E225" s="90" t="s">
        <v>27</v>
      </c>
      <c r="F225" s="91" t="e">
        <f>H225+J225+L225</f>
        <v>#REF!</v>
      </c>
      <c r="G225" s="92" t="e">
        <f>I225+K225+M225</f>
        <v>#REF!</v>
      </c>
      <c r="H225" s="91" t="e">
        <f>#REF!</f>
        <v>#REF!</v>
      </c>
      <c r="I225" s="92" t="e">
        <f>TRUNC(H225*D225,1)</f>
        <v>#REF!</v>
      </c>
      <c r="J225" s="91">
        <v>0</v>
      </c>
      <c r="K225" s="92"/>
      <c r="L225" s="91">
        <v>0</v>
      </c>
      <c r="M225" s="92"/>
      <c r="N225" s="12" t="s">
        <v>0</v>
      </c>
    </row>
    <row r="226" spans="1:14" ht="15" customHeight="1">
      <c r="A226" s="16"/>
      <c r="B226" s="15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12"/>
    </row>
    <row r="227" spans="1:14" ht="15" customHeight="1">
      <c r="A227" s="52">
        <f>A221+1</f>
        <v>65</v>
      </c>
      <c r="B227" s="46" t="s">
        <v>257</v>
      </c>
      <c r="C227" s="47" t="s">
        <v>362</v>
      </c>
      <c r="D227" s="47">
        <v>1</v>
      </c>
      <c r="E227" s="48" t="s">
        <v>3</v>
      </c>
      <c r="F227" s="70"/>
      <c r="G227" s="68" t="e">
        <f>I227+K227+M227</f>
        <v>#REF!</v>
      </c>
      <c r="H227" s="70"/>
      <c r="I227" s="68" t="e">
        <f>I230+I231</f>
        <v>#REF!</v>
      </c>
      <c r="J227" s="70"/>
      <c r="K227" s="68">
        <f>K230+K231</f>
        <v>1130144</v>
      </c>
      <c r="L227" s="70"/>
      <c r="M227" s="68">
        <f>M230+M231</f>
        <v>67808.600000000006</v>
      </c>
      <c r="N227" s="63" t="str">
        <f>N221</f>
        <v>토목6-3-2</v>
      </c>
    </row>
    <row r="228" spans="1:14" ht="15" customHeight="1">
      <c r="A228" s="13"/>
      <c r="B228" s="14" t="s">
        <v>265</v>
      </c>
      <c r="C228" s="1" t="s">
        <v>0</v>
      </c>
      <c r="D228" s="3">
        <v>4</v>
      </c>
      <c r="E228" s="2" t="s">
        <v>24</v>
      </c>
      <c r="F228" s="4">
        <f>H228+J228+L228</f>
        <v>282536</v>
      </c>
      <c r="G228" s="8">
        <f>I228+K228+M228</f>
        <v>1130144</v>
      </c>
      <c r="H228" s="4">
        <v>0</v>
      </c>
      <c r="I228" s="8"/>
      <c r="J228" s="4">
        <f>노임!$D$7</f>
        <v>282536</v>
      </c>
      <c r="K228" s="8">
        <f>TRUNC(J228*D228,1)</f>
        <v>1130144</v>
      </c>
      <c r="L228" s="4">
        <v>0</v>
      </c>
      <c r="M228" s="8"/>
      <c r="N228" s="12" t="s">
        <v>0</v>
      </c>
    </row>
    <row r="229" spans="1:14" ht="15" customHeight="1">
      <c r="A229" s="13"/>
      <c r="B229" s="55" t="s">
        <v>288</v>
      </c>
      <c r="C229" s="1" t="s">
        <v>379</v>
      </c>
      <c r="D229" s="19">
        <v>6</v>
      </c>
      <c r="E229" s="56" t="s">
        <v>28</v>
      </c>
      <c r="F229" s="20">
        <f>H229+J229+L229</f>
        <v>1130144</v>
      </c>
      <c r="G229" s="21">
        <f>I229+K229+M229</f>
        <v>67808.600000000006</v>
      </c>
      <c r="H229" s="20"/>
      <c r="I229" s="21">
        <f>TRUNC(H229*D229,1)</f>
        <v>0</v>
      </c>
      <c r="J229" s="20"/>
      <c r="K229" s="21">
        <f>TRUNC(J229*D229,1)</f>
        <v>0</v>
      </c>
      <c r="L229" s="20">
        <f>K228</f>
        <v>1130144</v>
      </c>
      <c r="M229" s="21">
        <f>TRUNC(L229*D229/100,1)</f>
        <v>67808.600000000006</v>
      </c>
      <c r="N229" s="12" t="s">
        <v>0</v>
      </c>
    </row>
    <row r="230" spans="1:14" ht="15" customHeight="1">
      <c r="A230" s="13"/>
      <c r="B230" s="80" t="s">
        <v>376</v>
      </c>
      <c r="C230" s="81">
        <v>1</v>
      </c>
      <c r="D230" s="82">
        <f>ROUND(1/C230,4)</f>
        <v>1</v>
      </c>
      <c r="E230" s="83" t="s">
        <v>378</v>
      </c>
      <c r="F230" s="84"/>
      <c r="G230" s="85">
        <f>I230+K230+M230</f>
        <v>1197952.6000000001</v>
      </c>
      <c r="H230" s="84"/>
      <c r="I230" s="85">
        <f>TRUNC(SUM(I228:I229)*$D230,1)</f>
        <v>0</v>
      </c>
      <c r="J230" s="84"/>
      <c r="K230" s="85">
        <f>TRUNC(SUM(K228:K229)*$D230,1)</f>
        <v>1130144</v>
      </c>
      <c r="L230" s="84"/>
      <c r="M230" s="85">
        <f>TRUNC(SUM(M228:M229)*$D230,1)</f>
        <v>67808.600000000006</v>
      </c>
      <c r="N230" s="12"/>
    </row>
    <row r="231" spans="1:14" ht="15" customHeight="1">
      <c r="A231" s="13"/>
      <c r="B231" s="87" t="s">
        <v>264</v>
      </c>
      <c r="C231" s="88" t="s">
        <v>174</v>
      </c>
      <c r="D231" s="89">
        <v>28.7</v>
      </c>
      <c r="E231" s="90" t="s">
        <v>27</v>
      </c>
      <c r="F231" s="91" t="e">
        <f>H231+J231+L231</f>
        <v>#REF!</v>
      </c>
      <c r="G231" s="92" t="e">
        <f>I231+K231+M231</f>
        <v>#REF!</v>
      </c>
      <c r="H231" s="91" t="e">
        <f>#REF!</f>
        <v>#REF!</v>
      </c>
      <c r="I231" s="92" t="e">
        <f>TRUNC(H231*D231,1)</f>
        <v>#REF!</v>
      </c>
      <c r="J231" s="91">
        <v>0</v>
      </c>
      <c r="K231" s="92"/>
      <c r="L231" s="91">
        <v>0</v>
      </c>
      <c r="M231" s="92"/>
      <c r="N231" s="12" t="s">
        <v>0</v>
      </c>
    </row>
    <row r="232" spans="1:14" ht="15" customHeight="1">
      <c r="A232" s="16"/>
      <c r="B232" s="15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12"/>
    </row>
    <row r="233" spans="1:14" ht="15" customHeight="1">
      <c r="A233" s="45">
        <f>A227+1</f>
        <v>66</v>
      </c>
      <c r="B233" s="46" t="s">
        <v>256</v>
      </c>
      <c r="C233" s="47" t="s">
        <v>8</v>
      </c>
      <c r="D233" s="47">
        <v>1</v>
      </c>
      <c r="E233" s="48" t="s">
        <v>7</v>
      </c>
      <c r="F233" s="51"/>
      <c r="G233" s="50" t="e">
        <f>I233+K233+M233</f>
        <v>#REF!</v>
      </c>
      <c r="H233" s="51"/>
      <c r="I233" s="50" t="e">
        <f>TRUNC(I234+I235,0)</f>
        <v>#REF!</v>
      </c>
      <c r="J233" s="51"/>
      <c r="K233" s="50" t="e">
        <f>TRUNC(K234+K235,0)</f>
        <v>#REF!</v>
      </c>
      <c r="L233" s="51"/>
      <c r="M233" s="50" t="e">
        <f>TRUNC(M234+M235,0)</f>
        <v>#REF!</v>
      </c>
      <c r="N233" s="63" t="s">
        <v>0</v>
      </c>
    </row>
    <row r="234" spans="1:14" ht="15" customHeight="1">
      <c r="A234" s="13"/>
      <c r="B234" s="14" t="s">
        <v>266</v>
      </c>
      <c r="C234" s="1" t="s">
        <v>34</v>
      </c>
      <c r="D234" s="1">
        <v>1</v>
      </c>
      <c r="E234" s="2" t="s">
        <v>7</v>
      </c>
      <c r="F234" s="4" t="e">
        <f>H234+J234+L234</f>
        <v>#REF!</v>
      </c>
      <c r="G234" s="8" t="e">
        <f>I234+K234+M234</f>
        <v>#REF!</v>
      </c>
      <c r="H234" s="4" t="e">
        <f>#REF!</f>
        <v>#REF!</v>
      </c>
      <c r="I234" s="8" t="e">
        <f>TRUNC(H234*D234,1)</f>
        <v>#REF!</v>
      </c>
      <c r="J234" s="4" t="e">
        <f>#REF!</f>
        <v>#REF!</v>
      </c>
      <c r="K234" s="8" t="e">
        <f>TRUNC(J234*D234,1)</f>
        <v>#REF!</v>
      </c>
      <c r="L234" s="4" t="e">
        <f>#REF!</f>
        <v>#REF!</v>
      </c>
      <c r="M234" s="8" t="e">
        <f>TRUNC(L234*D234,1)</f>
        <v>#REF!</v>
      </c>
      <c r="N234" s="12" t="s">
        <v>0</v>
      </c>
    </row>
    <row r="235" spans="1:14" ht="15" customHeight="1">
      <c r="A235" s="13"/>
      <c r="B235" s="14" t="s">
        <v>267</v>
      </c>
      <c r="C235" s="1" t="s">
        <v>33</v>
      </c>
      <c r="D235" s="1">
        <v>2</v>
      </c>
      <c r="E235" s="2" t="s">
        <v>7</v>
      </c>
      <c r="F235" s="4" t="e">
        <f>H235+J235+L235</f>
        <v>#REF!</v>
      </c>
      <c r="G235" s="8" t="e">
        <f>I235+K235+M235</f>
        <v>#REF!</v>
      </c>
      <c r="H235" s="4" t="e">
        <f>#REF!</f>
        <v>#REF!</v>
      </c>
      <c r="I235" s="8" t="e">
        <f>TRUNC(H235*D235,1)</f>
        <v>#REF!</v>
      </c>
      <c r="J235" s="4" t="e">
        <f>#REF!</f>
        <v>#REF!</v>
      </c>
      <c r="K235" s="8" t="e">
        <f>TRUNC(J235*D235,1)</f>
        <v>#REF!</v>
      </c>
      <c r="L235" s="4" t="e">
        <f>#REF!</f>
        <v>#REF!</v>
      </c>
      <c r="M235" s="8" t="e">
        <f>TRUNC(L235*D235,1)</f>
        <v>#REF!</v>
      </c>
      <c r="N235" s="12" t="s">
        <v>0</v>
      </c>
    </row>
    <row r="236" spans="1:14" ht="15" customHeight="1">
      <c r="A236" s="16"/>
      <c r="B236" s="15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12"/>
    </row>
    <row r="237" spans="1:14" ht="15" customHeight="1">
      <c r="A237" s="45">
        <f>A233+1</f>
        <v>67</v>
      </c>
      <c r="B237" s="46" t="s">
        <v>278</v>
      </c>
      <c r="C237" s="47" t="s">
        <v>175</v>
      </c>
      <c r="D237" s="47">
        <v>1</v>
      </c>
      <c r="E237" s="47" t="s">
        <v>3</v>
      </c>
      <c r="F237" s="51"/>
      <c r="G237" s="50" t="e">
        <f t="shared" ref="G237:G243" si="0">I237+K237+M237</f>
        <v>#REF!</v>
      </c>
      <c r="H237" s="51"/>
      <c r="I237" s="50" t="e">
        <f>TRUNC(I238+I239+I240+I241+I242+I243,0)</f>
        <v>#REF!</v>
      </c>
      <c r="J237" s="51"/>
      <c r="K237" s="50">
        <f>TRUNC(K238+K239+K240+K241+K242+K243,0)</f>
        <v>92464</v>
      </c>
      <c r="L237" s="51"/>
      <c r="M237" s="50">
        <f>TRUNC(M238+M239+M240+M241+M242+M243,0)</f>
        <v>0</v>
      </c>
      <c r="N237" s="63" t="s">
        <v>13</v>
      </c>
    </row>
    <row r="238" spans="1:14" ht="15" customHeight="1">
      <c r="A238" s="13"/>
      <c r="B238" s="14" t="s">
        <v>279</v>
      </c>
      <c r="C238" s="1" t="s">
        <v>37</v>
      </c>
      <c r="D238" s="3">
        <v>3</v>
      </c>
      <c r="E238" s="1" t="s">
        <v>30</v>
      </c>
      <c r="F238" s="4" t="e">
        <f t="shared" ref="F238:F243" si="1">H238+J238+L238</f>
        <v>#REF!</v>
      </c>
      <c r="G238" s="8" t="e">
        <f t="shared" si="0"/>
        <v>#REF!</v>
      </c>
      <c r="H238" s="4" t="e">
        <f>#REF!</f>
        <v>#REF!</v>
      </c>
      <c r="I238" s="8" t="e">
        <f>TRUNC(H238*D238,1)</f>
        <v>#REF!</v>
      </c>
      <c r="J238" s="4">
        <v>0</v>
      </c>
      <c r="K238" s="8"/>
      <c r="L238" s="4">
        <v>0</v>
      </c>
      <c r="M238" s="8"/>
      <c r="N238" s="12" t="s">
        <v>0</v>
      </c>
    </row>
    <row r="239" spans="1:14" ht="15" customHeight="1">
      <c r="A239" s="13"/>
      <c r="B239" s="14" t="s">
        <v>280</v>
      </c>
      <c r="C239" s="1" t="s">
        <v>41</v>
      </c>
      <c r="D239" s="1">
        <v>7.0000000000000001E-3</v>
      </c>
      <c r="E239" s="1" t="s">
        <v>30</v>
      </c>
      <c r="F239" s="4" t="e">
        <f t="shared" si="1"/>
        <v>#REF!</v>
      </c>
      <c r="G239" s="8" t="e">
        <f t="shared" si="0"/>
        <v>#REF!</v>
      </c>
      <c r="H239" s="4" t="e">
        <f>#REF!</f>
        <v>#REF!</v>
      </c>
      <c r="I239" s="8" t="e">
        <f>TRUNC(H239*D239,1)</f>
        <v>#REF!</v>
      </c>
      <c r="J239" s="4">
        <v>0</v>
      </c>
      <c r="K239" s="8"/>
      <c r="L239" s="4">
        <v>0</v>
      </c>
      <c r="M239" s="8"/>
      <c r="N239" s="12" t="s">
        <v>0</v>
      </c>
    </row>
    <row r="240" spans="1:14" ht="15" customHeight="1">
      <c r="A240" s="13"/>
      <c r="B240" s="14" t="s">
        <v>281</v>
      </c>
      <c r="C240" s="1" t="s">
        <v>176</v>
      </c>
      <c r="D240" s="1">
        <v>0.05</v>
      </c>
      <c r="E240" s="1" t="s">
        <v>2</v>
      </c>
      <c r="F240" s="4" t="e">
        <f t="shared" si="1"/>
        <v>#REF!</v>
      </c>
      <c r="G240" s="8" t="e">
        <f t="shared" si="0"/>
        <v>#REF!</v>
      </c>
      <c r="H240" s="4" t="e">
        <f>#REF!</f>
        <v>#REF!</v>
      </c>
      <c r="I240" s="8" t="e">
        <f>TRUNC(H240*D240,1)</f>
        <v>#REF!</v>
      </c>
      <c r="J240" s="4">
        <v>0</v>
      </c>
      <c r="K240" s="8"/>
      <c r="L240" s="4">
        <v>0</v>
      </c>
      <c r="M240" s="8"/>
      <c r="N240" s="12" t="s">
        <v>0</v>
      </c>
    </row>
    <row r="241" spans="1:14" ht="15" customHeight="1">
      <c r="A241" s="13"/>
      <c r="B241" s="14" t="s">
        <v>282</v>
      </c>
      <c r="C241" s="1" t="s">
        <v>0</v>
      </c>
      <c r="D241" s="3">
        <v>0.25</v>
      </c>
      <c r="E241" s="1" t="s">
        <v>24</v>
      </c>
      <c r="F241" s="4">
        <f t="shared" si="1"/>
        <v>197788</v>
      </c>
      <c r="G241" s="8">
        <f t="shared" si="0"/>
        <v>49447</v>
      </c>
      <c r="H241" s="4">
        <v>0</v>
      </c>
      <c r="I241" s="8"/>
      <c r="J241" s="4">
        <f>노임!D15</f>
        <v>197788</v>
      </c>
      <c r="K241" s="8">
        <f>TRUNC(J241*D241,1)</f>
        <v>49447</v>
      </c>
      <c r="L241" s="4">
        <v>0</v>
      </c>
      <c r="M241" s="8"/>
      <c r="N241" s="12" t="s">
        <v>0</v>
      </c>
    </row>
    <row r="242" spans="1:14" ht="15" customHeight="1">
      <c r="A242" s="13"/>
      <c r="B242" s="14" t="s">
        <v>262</v>
      </c>
      <c r="C242" s="1" t="s">
        <v>0</v>
      </c>
      <c r="D242" s="3">
        <v>0.25</v>
      </c>
      <c r="E242" s="1" t="s">
        <v>24</v>
      </c>
      <c r="F242" s="4">
        <f t="shared" si="1"/>
        <v>172068</v>
      </c>
      <c r="G242" s="8">
        <f t="shared" si="0"/>
        <v>43017</v>
      </c>
      <c r="H242" s="4">
        <v>0</v>
      </c>
      <c r="I242" s="8"/>
      <c r="J242" s="4">
        <f>노임!D3</f>
        <v>172068</v>
      </c>
      <c r="K242" s="8">
        <f>TRUNC(J242*D242,1)</f>
        <v>43017</v>
      </c>
      <c r="L242" s="4">
        <v>0</v>
      </c>
      <c r="M242" s="8"/>
      <c r="N242" s="12" t="s">
        <v>0</v>
      </c>
    </row>
    <row r="243" spans="1:14" ht="15" customHeight="1">
      <c r="A243" s="13"/>
      <c r="B243" s="14" t="s">
        <v>283</v>
      </c>
      <c r="C243" s="1" t="s">
        <v>40</v>
      </c>
      <c r="D243" s="1">
        <v>1</v>
      </c>
      <c r="E243" s="1" t="s">
        <v>1</v>
      </c>
      <c r="F243" s="4">
        <f t="shared" si="1"/>
        <v>0</v>
      </c>
      <c r="G243" s="8">
        <f t="shared" si="0"/>
        <v>2773.9</v>
      </c>
      <c r="H243" s="2"/>
      <c r="I243" s="8">
        <f>TRUNC(((K241+K242)*0.03),1)</f>
        <v>2773.9</v>
      </c>
      <c r="J243" s="2"/>
      <c r="K243" s="8">
        <v>0</v>
      </c>
      <c r="L243" s="2"/>
      <c r="M243" s="8">
        <v>0</v>
      </c>
      <c r="N243" s="12" t="s">
        <v>0</v>
      </c>
    </row>
    <row r="244" spans="1:14" ht="15" customHeight="1">
      <c r="A244" s="16"/>
      <c r="B244" s="15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12"/>
    </row>
    <row r="245" spans="1:14" ht="15" customHeight="1">
      <c r="A245" s="45">
        <f>A237+1</f>
        <v>68</v>
      </c>
      <c r="B245" s="46" t="s">
        <v>278</v>
      </c>
      <c r="C245" s="47" t="s">
        <v>284</v>
      </c>
      <c r="D245" s="47">
        <v>1</v>
      </c>
      <c r="E245" s="47" t="s">
        <v>3</v>
      </c>
      <c r="F245" s="51"/>
      <c r="G245" s="50" t="e">
        <f t="shared" ref="G245:G251" si="2">I245+K245+M245</f>
        <v>#REF!</v>
      </c>
      <c r="H245" s="51"/>
      <c r="I245" s="50" t="e">
        <f>TRUNC(I246+I247+I248+I249+I250+I251,0)</f>
        <v>#REF!</v>
      </c>
      <c r="J245" s="51"/>
      <c r="K245" s="50">
        <f>TRUNC(K246+K247+K248+K249+K250+K251,0)</f>
        <v>110956</v>
      </c>
      <c r="L245" s="51"/>
      <c r="M245" s="50">
        <f>TRUNC(M246+M247+M248+M249+M250+M251,0)</f>
        <v>0</v>
      </c>
      <c r="N245" s="63" t="s">
        <v>13</v>
      </c>
    </row>
    <row r="246" spans="1:14" ht="15" customHeight="1">
      <c r="A246" s="13"/>
      <c r="B246" s="14" t="s">
        <v>279</v>
      </c>
      <c r="C246" s="1" t="s">
        <v>37</v>
      </c>
      <c r="D246" s="3">
        <v>5</v>
      </c>
      <c r="E246" s="1" t="s">
        <v>30</v>
      </c>
      <c r="F246" s="4" t="e">
        <f t="shared" ref="F246:F251" si="3">H246+J246+L246</f>
        <v>#REF!</v>
      </c>
      <c r="G246" s="8" t="e">
        <f t="shared" si="2"/>
        <v>#REF!</v>
      </c>
      <c r="H246" s="4" t="e">
        <f>#REF!</f>
        <v>#REF!</v>
      </c>
      <c r="I246" s="8" t="e">
        <f>TRUNC(H246*D246,1)</f>
        <v>#REF!</v>
      </c>
      <c r="J246" s="4">
        <v>0</v>
      </c>
      <c r="K246" s="8"/>
      <c r="L246" s="4">
        <v>0</v>
      </c>
      <c r="M246" s="8"/>
      <c r="N246" s="12" t="s">
        <v>0</v>
      </c>
    </row>
    <row r="247" spans="1:14" ht="15" customHeight="1">
      <c r="A247" s="13"/>
      <c r="B247" s="14" t="s">
        <v>280</v>
      </c>
      <c r="C247" s="1" t="s">
        <v>41</v>
      </c>
      <c r="D247" s="1">
        <v>7.0000000000000001E-3</v>
      </c>
      <c r="E247" s="1" t="s">
        <v>30</v>
      </c>
      <c r="F247" s="4" t="e">
        <f t="shared" si="3"/>
        <v>#REF!</v>
      </c>
      <c r="G247" s="8" t="e">
        <f t="shared" si="2"/>
        <v>#REF!</v>
      </c>
      <c r="H247" s="4" t="e">
        <f>#REF!</f>
        <v>#REF!</v>
      </c>
      <c r="I247" s="8" t="e">
        <f>TRUNC(H247*D247,1)</f>
        <v>#REF!</v>
      </c>
      <c r="J247" s="4">
        <v>0</v>
      </c>
      <c r="K247" s="8"/>
      <c r="L247" s="4">
        <v>0</v>
      </c>
      <c r="M247" s="8"/>
      <c r="N247" s="12" t="s">
        <v>0</v>
      </c>
    </row>
    <row r="248" spans="1:14" ht="15" customHeight="1">
      <c r="A248" s="13"/>
      <c r="B248" s="14" t="s">
        <v>281</v>
      </c>
      <c r="C248" s="1" t="s">
        <v>176</v>
      </c>
      <c r="D248" s="1">
        <v>0.05</v>
      </c>
      <c r="E248" s="1" t="s">
        <v>2</v>
      </c>
      <c r="F248" s="4" t="e">
        <f t="shared" si="3"/>
        <v>#REF!</v>
      </c>
      <c r="G248" s="8" t="e">
        <f t="shared" si="2"/>
        <v>#REF!</v>
      </c>
      <c r="H248" s="4" t="e">
        <f>#REF!</f>
        <v>#REF!</v>
      </c>
      <c r="I248" s="8" t="e">
        <f>TRUNC(H248*D248,1)</f>
        <v>#REF!</v>
      </c>
      <c r="J248" s="4">
        <v>0</v>
      </c>
      <c r="K248" s="8"/>
      <c r="L248" s="4">
        <v>0</v>
      </c>
      <c r="M248" s="8"/>
      <c r="N248" s="12" t="s">
        <v>0</v>
      </c>
    </row>
    <row r="249" spans="1:14" ht="15" customHeight="1">
      <c r="A249" s="13"/>
      <c r="B249" s="14" t="s">
        <v>282</v>
      </c>
      <c r="C249" s="1" t="s">
        <v>0</v>
      </c>
      <c r="D249" s="3">
        <v>0.3</v>
      </c>
      <c r="E249" s="1" t="s">
        <v>24</v>
      </c>
      <c r="F249" s="4">
        <f t="shared" si="3"/>
        <v>197788</v>
      </c>
      <c r="G249" s="8">
        <f t="shared" si="2"/>
        <v>59336.4</v>
      </c>
      <c r="H249" s="4">
        <v>0</v>
      </c>
      <c r="I249" s="8"/>
      <c r="J249" s="4">
        <f>노임!D15</f>
        <v>197788</v>
      </c>
      <c r="K249" s="8">
        <f>TRUNC(J249*D249,1)</f>
        <v>59336.4</v>
      </c>
      <c r="L249" s="4">
        <v>0</v>
      </c>
      <c r="M249" s="8"/>
      <c r="N249" s="12" t="s">
        <v>0</v>
      </c>
    </row>
    <row r="250" spans="1:14" ht="15" customHeight="1">
      <c r="A250" s="13"/>
      <c r="B250" s="14" t="s">
        <v>262</v>
      </c>
      <c r="C250" s="1" t="s">
        <v>0</v>
      </c>
      <c r="D250" s="3">
        <v>0.3</v>
      </c>
      <c r="E250" s="1" t="s">
        <v>24</v>
      </c>
      <c r="F250" s="4">
        <f t="shared" si="3"/>
        <v>172068</v>
      </c>
      <c r="G250" s="8">
        <f t="shared" si="2"/>
        <v>51620.4</v>
      </c>
      <c r="H250" s="4">
        <v>0</v>
      </c>
      <c r="I250" s="8"/>
      <c r="J250" s="4">
        <f>노임!D3</f>
        <v>172068</v>
      </c>
      <c r="K250" s="8">
        <f>TRUNC(J250*D250,1)</f>
        <v>51620.4</v>
      </c>
      <c r="L250" s="4">
        <v>0</v>
      </c>
      <c r="M250" s="8"/>
      <c r="N250" s="12" t="s">
        <v>0</v>
      </c>
    </row>
    <row r="251" spans="1:14" ht="15" customHeight="1">
      <c r="A251" s="13"/>
      <c r="B251" s="14" t="s">
        <v>283</v>
      </c>
      <c r="C251" s="1" t="s">
        <v>40</v>
      </c>
      <c r="D251" s="1">
        <v>1</v>
      </c>
      <c r="E251" s="1" t="s">
        <v>1</v>
      </c>
      <c r="F251" s="4">
        <f t="shared" si="3"/>
        <v>0</v>
      </c>
      <c r="G251" s="8">
        <f t="shared" si="2"/>
        <v>3328.7</v>
      </c>
      <c r="H251" s="2"/>
      <c r="I251" s="8">
        <f>TRUNC(((K249+K250)*0.03),1)</f>
        <v>3328.7</v>
      </c>
      <c r="J251" s="2"/>
      <c r="K251" s="8">
        <v>0</v>
      </c>
      <c r="L251" s="2"/>
      <c r="M251" s="8">
        <v>0</v>
      </c>
      <c r="N251" s="12" t="s">
        <v>0</v>
      </c>
    </row>
    <row r="252" spans="1:14" ht="15" customHeight="1">
      <c r="A252" s="37"/>
      <c r="B252" s="38"/>
      <c r="C252" s="6"/>
      <c r="D252" s="6"/>
      <c r="E252" s="36"/>
      <c r="F252" s="6"/>
      <c r="G252" s="6"/>
      <c r="H252" s="6"/>
      <c r="I252" s="6"/>
      <c r="J252" s="6"/>
      <c r="K252" s="6"/>
      <c r="L252" s="6"/>
      <c r="M252" s="6"/>
      <c r="N252" s="36"/>
    </row>
  </sheetData>
  <mergeCells count="9">
    <mergeCell ref="A2:B3"/>
    <mergeCell ref="J2:K2"/>
    <mergeCell ref="L2:M2"/>
    <mergeCell ref="N2:N3"/>
    <mergeCell ref="C2:C3"/>
    <mergeCell ref="D2:D3"/>
    <mergeCell ref="E2:E3"/>
    <mergeCell ref="F2:G2"/>
    <mergeCell ref="H2:I2"/>
  </mergeCells>
  <phoneticPr fontId="2" type="noConversion"/>
  <pageMargins left="0.31496062992125984" right="0.31496062992125984" top="1" bottom="0.59055118110236215" header="0.5" footer="0.5"/>
  <pageSetup paperSize="9" orientation="landscape" copies="0"/>
  <headerFooter alignWithMargins="0">
    <oddHeader>&amp;RPage : &amp;P/&amp;N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N236"/>
  <sheetViews>
    <sheetView workbookViewId="0">
      <pane ySplit="3" topLeftCell="A208" activePane="bottomLeft" state="frozen"/>
      <selection activeCell="N21" sqref="N21"/>
      <selection pane="bottomLeft" activeCell="N21" sqref="N21"/>
    </sheetView>
  </sheetViews>
  <sheetFormatPr defaultRowHeight="12.75" customHeight="1"/>
  <cols>
    <col min="1" max="1" width="8.83203125" customWidth="1"/>
    <col min="2" max="3" width="35.83203125" customWidth="1"/>
    <col min="4" max="4" width="10.83203125" customWidth="1"/>
    <col min="5" max="5" width="8.83203125" style="11" customWidth="1"/>
    <col min="6" max="6" width="12.83203125" customWidth="1"/>
    <col min="7" max="7" width="14.83203125" customWidth="1"/>
    <col min="8" max="8" width="12.83203125" customWidth="1"/>
    <col min="9" max="9" width="14.83203125" customWidth="1"/>
    <col min="10" max="10" width="12.83203125" customWidth="1"/>
    <col min="11" max="11" width="14.83203125" customWidth="1"/>
    <col min="12" max="12" width="12.83203125" customWidth="1"/>
    <col min="13" max="13" width="14.83203125" customWidth="1"/>
    <col min="14" max="14" width="15.83203125" style="11" customWidth="1"/>
    <col min="15" max="17" width="9.33203125" customWidth="1"/>
  </cols>
  <sheetData>
    <row r="1" spans="1:14" ht="15" customHeight="1">
      <c r="A1" s="72" t="s">
        <v>293</v>
      </c>
    </row>
    <row r="2" spans="1:14" ht="15" customHeight="1">
      <c r="A2" s="339" t="s">
        <v>23</v>
      </c>
      <c r="B2" s="340"/>
      <c r="C2" s="345" t="s">
        <v>46</v>
      </c>
      <c r="D2" s="345" t="s">
        <v>45</v>
      </c>
      <c r="E2" s="345" t="s">
        <v>44</v>
      </c>
      <c r="F2" s="345" t="s">
        <v>19</v>
      </c>
      <c r="G2" s="345" t="s">
        <v>0</v>
      </c>
      <c r="H2" s="345" t="s">
        <v>18</v>
      </c>
      <c r="I2" s="345" t="s">
        <v>0</v>
      </c>
      <c r="J2" s="345" t="s">
        <v>17</v>
      </c>
      <c r="K2" s="345" t="s">
        <v>0</v>
      </c>
      <c r="L2" s="345" t="s">
        <v>16</v>
      </c>
      <c r="M2" s="345" t="s">
        <v>0</v>
      </c>
      <c r="N2" s="346" t="s">
        <v>15</v>
      </c>
    </row>
    <row r="3" spans="1:14" ht="15" customHeight="1">
      <c r="A3" s="339"/>
      <c r="B3" s="340"/>
      <c r="C3" s="345" t="s">
        <v>0</v>
      </c>
      <c r="D3" s="345" t="s">
        <v>0</v>
      </c>
      <c r="E3" s="345" t="s">
        <v>0</v>
      </c>
      <c r="F3" s="2" t="s">
        <v>43</v>
      </c>
      <c r="G3" s="2" t="s">
        <v>42</v>
      </c>
      <c r="H3" s="2" t="s">
        <v>43</v>
      </c>
      <c r="I3" s="2" t="s">
        <v>42</v>
      </c>
      <c r="J3" s="2" t="s">
        <v>43</v>
      </c>
      <c r="K3" s="2" t="s">
        <v>42</v>
      </c>
      <c r="L3" s="2" t="s">
        <v>43</v>
      </c>
      <c r="M3" s="2" t="s">
        <v>42</v>
      </c>
      <c r="N3" s="346" t="s">
        <v>0</v>
      </c>
    </row>
    <row r="4" spans="1:14" ht="15" customHeight="1">
      <c r="A4" s="13"/>
      <c r="B4" s="14"/>
      <c r="C4" s="1"/>
      <c r="D4" s="1"/>
      <c r="E4" s="2"/>
      <c r="F4" s="4"/>
      <c r="G4" s="8"/>
      <c r="H4" s="4"/>
      <c r="I4" s="8"/>
      <c r="J4" s="4"/>
      <c r="K4" s="8"/>
      <c r="L4" s="4"/>
      <c r="M4" s="8"/>
      <c r="N4" s="12"/>
    </row>
    <row r="5" spans="1:14" ht="15" customHeight="1">
      <c r="A5" s="52">
        <f>강관용접!A245+1</f>
        <v>69</v>
      </c>
      <c r="B5" s="46" t="s">
        <v>260</v>
      </c>
      <c r="C5" s="47" t="s">
        <v>200</v>
      </c>
      <c r="D5" s="47">
        <v>1</v>
      </c>
      <c r="E5" s="48" t="s">
        <v>3</v>
      </c>
      <c r="F5" s="51"/>
      <c r="G5" s="50" t="e">
        <f t="shared" ref="G5:G6" si="0">I5+K5+M5</f>
        <v>#REF!</v>
      </c>
      <c r="H5" s="51"/>
      <c r="I5" s="50" t="e">
        <f>TRUNC(I6,0)</f>
        <v>#REF!</v>
      </c>
      <c r="J5" s="51"/>
      <c r="K5" s="50">
        <f>TRUNC(K6,0)</f>
        <v>14460</v>
      </c>
      <c r="L5" s="51"/>
      <c r="M5" s="50">
        <f>TRUNC(M6,0)</f>
        <v>0</v>
      </c>
      <c r="N5" s="63"/>
    </row>
    <row r="6" spans="1:14" ht="15" customHeight="1">
      <c r="A6" s="13"/>
      <c r="B6" s="14" t="s">
        <v>268</v>
      </c>
      <c r="C6" s="1" t="s">
        <v>205</v>
      </c>
      <c r="D6" s="40">
        <f>80/300</f>
        <v>0.26666666666666666</v>
      </c>
      <c r="E6" s="2" t="s">
        <v>3</v>
      </c>
      <c r="F6" s="4" t="e">
        <f t="shared" ref="F6" si="1">H6+J6+L6</f>
        <v>#REF!</v>
      </c>
      <c r="G6" s="8" t="e">
        <f t="shared" si="0"/>
        <v>#REF!</v>
      </c>
      <c r="H6" s="4" t="e">
        <f>'목록(강관)'!$I$78</f>
        <v>#REF!</v>
      </c>
      <c r="I6" s="8" t="e">
        <f>TRUNC(H6*D6,1)</f>
        <v>#REF!</v>
      </c>
      <c r="J6" s="4">
        <f>'목록(강관)'!$K$78</f>
        <v>54225</v>
      </c>
      <c r="K6" s="8">
        <f>TRUNC(J6*D6,1)</f>
        <v>14460</v>
      </c>
      <c r="L6" s="4">
        <f>'목록(강관)'!$M$78</f>
        <v>0</v>
      </c>
      <c r="M6" s="8">
        <f>TRUNC(L6*D6,1)</f>
        <v>0</v>
      </c>
      <c r="N6" s="12"/>
    </row>
    <row r="7" spans="1:14" ht="15" customHeight="1">
      <c r="A7" s="16"/>
      <c r="B7" s="15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12"/>
    </row>
    <row r="8" spans="1:14" ht="15" customHeight="1">
      <c r="A8" s="52">
        <f>A5+1</f>
        <v>70</v>
      </c>
      <c r="B8" s="46" t="s">
        <v>260</v>
      </c>
      <c r="C8" s="47" t="s">
        <v>177</v>
      </c>
      <c r="D8" s="47">
        <v>1</v>
      </c>
      <c r="E8" s="48" t="s">
        <v>3</v>
      </c>
      <c r="F8" s="51"/>
      <c r="G8" s="50" t="e">
        <f t="shared" ref="G8:G9" si="2">I8+K8+M8</f>
        <v>#REF!</v>
      </c>
      <c r="H8" s="51"/>
      <c r="I8" s="50" t="e">
        <f>TRUNC(I9,0)</f>
        <v>#REF!</v>
      </c>
      <c r="J8" s="51"/>
      <c r="K8" s="50">
        <f>TRUNC(K9,0)</f>
        <v>18075</v>
      </c>
      <c r="L8" s="51"/>
      <c r="M8" s="50">
        <f>TRUNC(M9,0)</f>
        <v>0</v>
      </c>
      <c r="N8" s="63"/>
    </row>
    <row r="9" spans="1:14" ht="15" customHeight="1">
      <c r="A9" s="13"/>
      <c r="B9" s="14" t="s">
        <v>268</v>
      </c>
      <c r="C9" s="1" t="s">
        <v>206</v>
      </c>
      <c r="D9" s="40">
        <f>100/300</f>
        <v>0.33333333333333331</v>
      </c>
      <c r="E9" s="2" t="s">
        <v>3</v>
      </c>
      <c r="F9" s="4" t="e">
        <f t="shared" ref="F9" si="3">H9+J9+L9</f>
        <v>#REF!</v>
      </c>
      <c r="G9" s="8" t="e">
        <f t="shared" si="2"/>
        <v>#REF!</v>
      </c>
      <c r="H9" s="4" t="e">
        <f>'목록(강관)'!$I$78</f>
        <v>#REF!</v>
      </c>
      <c r="I9" s="8" t="e">
        <f>TRUNC(H9*D9,1)</f>
        <v>#REF!</v>
      </c>
      <c r="J9" s="4">
        <f>'목록(강관)'!$K$78</f>
        <v>54225</v>
      </c>
      <c r="K9" s="8">
        <f>TRUNC(J9*D9,1)</f>
        <v>18075</v>
      </c>
      <c r="L9" s="4">
        <f>'목록(강관)'!$M$78</f>
        <v>0</v>
      </c>
      <c r="M9" s="8">
        <f>TRUNC(L9*D9,1)</f>
        <v>0</v>
      </c>
      <c r="N9" s="12"/>
    </row>
    <row r="10" spans="1:14" ht="15" customHeight="1">
      <c r="A10" s="16"/>
      <c r="B10" s="15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12"/>
    </row>
    <row r="11" spans="1:14" ht="15" customHeight="1">
      <c r="A11" s="52">
        <f>A8+1</f>
        <v>71</v>
      </c>
      <c r="B11" s="46" t="s">
        <v>260</v>
      </c>
      <c r="C11" s="47" t="s">
        <v>178</v>
      </c>
      <c r="D11" s="47">
        <v>1</v>
      </c>
      <c r="E11" s="48" t="s">
        <v>3</v>
      </c>
      <c r="F11" s="51"/>
      <c r="G11" s="50" t="e">
        <f t="shared" ref="G11:G12" si="4">I11+K11+M11</f>
        <v>#REF!</v>
      </c>
      <c r="H11" s="51"/>
      <c r="I11" s="50" t="e">
        <f>TRUNC(I12,0)</f>
        <v>#REF!</v>
      </c>
      <c r="J11" s="51"/>
      <c r="K11" s="50">
        <f>TRUNC(K12,0)</f>
        <v>27112</v>
      </c>
      <c r="L11" s="51"/>
      <c r="M11" s="50">
        <f>TRUNC(M12,0)</f>
        <v>0</v>
      </c>
      <c r="N11" s="63"/>
    </row>
    <row r="12" spans="1:14" ht="15" customHeight="1">
      <c r="A12" s="13"/>
      <c r="B12" s="14" t="s">
        <v>268</v>
      </c>
      <c r="C12" s="1" t="s">
        <v>209</v>
      </c>
      <c r="D12" s="40">
        <f>150/300</f>
        <v>0.5</v>
      </c>
      <c r="E12" s="2" t="s">
        <v>3</v>
      </c>
      <c r="F12" s="4" t="e">
        <f t="shared" ref="F12" si="5">H12+J12+L12</f>
        <v>#REF!</v>
      </c>
      <c r="G12" s="8" t="e">
        <f t="shared" si="4"/>
        <v>#REF!</v>
      </c>
      <c r="H12" s="4" t="e">
        <f>'목록(강관)'!$I$78</f>
        <v>#REF!</v>
      </c>
      <c r="I12" s="8" t="e">
        <f>TRUNC(H12*D12,1)</f>
        <v>#REF!</v>
      </c>
      <c r="J12" s="4">
        <f>'목록(강관)'!$K$78</f>
        <v>54225</v>
      </c>
      <c r="K12" s="8">
        <f>TRUNC(J12*D12,1)</f>
        <v>27112.5</v>
      </c>
      <c r="L12" s="4">
        <f>'목록(강관)'!$M$78</f>
        <v>0</v>
      </c>
      <c r="M12" s="8">
        <f>TRUNC(L12*D12,1)</f>
        <v>0</v>
      </c>
      <c r="N12" s="12"/>
    </row>
    <row r="13" spans="1:14" ht="15" customHeight="1">
      <c r="A13" s="16"/>
      <c r="B13" s="15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12"/>
    </row>
    <row r="14" spans="1:14" ht="15" customHeight="1">
      <c r="A14" s="52">
        <f>A11+1</f>
        <v>72</v>
      </c>
      <c r="B14" s="46" t="s">
        <v>260</v>
      </c>
      <c r="C14" s="47" t="s">
        <v>179</v>
      </c>
      <c r="D14" s="47">
        <v>1</v>
      </c>
      <c r="E14" s="48" t="s">
        <v>3</v>
      </c>
      <c r="F14" s="51"/>
      <c r="G14" s="50" t="e">
        <f t="shared" ref="G14:G15" si="6">I14+K14+M14</f>
        <v>#REF!</v>
      </c>
      <c r="H14" s="51"/>
      <c r="I14" s="50" t="e">
        <f>TRUNC(I15,0)</f>
        <v>#REF!</v>
      </c>
      <c r="J14" s="51"/>
      <c r="K14" s="50">
        <f>TRUNC(K15,0)</f>
        <v>36150</v>
      </c>
      <c r="L14" s="51"/>
      <c r="M14" s="50">
        <f>TRUNC(M15,0)</f>
        <v>0</v>
      </c>
      <c r="N14" s="63"/>
    </row>
    <row r="15" spans="1:14" ht="15" customHeight="1">
      <c r="A15" s="13"/>
      <c r="B15" s="14" t="s">
        <v>268</v>
      </c>
      <c r="C15" s="1" t="s">
        <v>207</v>
      </c>
      <c r="D15" s="40">
        <f>200/300</f>
        <v>0.66666666666666663</v>
      </c>
      <c r="E15" s="2" t="s">
        <v>3</v>
      </c>
      <c r="F15" s="4" t="e">
        <f t="shared" ref="F15" si="7">H15+J15+L15</f>
        <v>#REF!</v>
      </c>
      <c r="G15" s="8" t="e">
        <f t="shared" si="6"/>
        <v>#REF!</v>
      </c>
      <c r="H15" s="4" t="e">
        <f>'목록(강관)'!$I$78</f>
        <v>#REF!</v>
      </c>
      <c r="I15" s="8" t="e">
        <f>TRUNC(H15*D15,1)</f>
        <v>#REF!</v>
      </c>
      <c r="J15" s="4">
        <f>'목록(강관)'!$K$78</f>
        <v>54225</v>
      </c>
      <c r="K15" s="8">
        <f>TRUNC(J15*D15,1)</f>
        <v>36150</v>
      </c>
      <c r="L15" s="4">
        <f>'목록(강관)'!$M$78</f>
        <v>0</v>
      </c>
      <c r="M15" s="8">
        <f>TRUNC(L15*D15,1)</f>
        <v>0</v>
      </c>
      <c r="N15" s="12"/>
    </row>
    <row r="16" spans="1:14" ht="15" customHeight="1">
      <c r="A16" s="16"/>
      <c r="B16" s="15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12"/>
    </row>
    <row r="17" spans="1:14" ht="15" customHeight="1">
      <c r="A17" s="52">
        <f>A14+1</f>
        <v>73</v>
      </c>
      <c r="B17" s="46" t="s">
        <v>260</v>
      </c>
      <c r="C17" s="47" t="s">
        <v>180</v>
      </c>
      <c r="D17" s="47">
        <v>1</v>
      </c>
      <c r="E17" s="48" t="s">
        <v>3</v>
      </c>
      <c r="F17" s="51"/>
      <c r="G17" s="50" t="e">
        <f t="shared" ref="G17:G18" si="8">I17+K17+M17</f>
        <v>#REF!</v>
      </c>
      <c r="H17" s="51"/>
      <c r="I17" s="50" t="e">
        <f>TRUNC(I18,0)</f>
        <v>#REF!</v>
      </c>
      <c r="J17" s="51"/>
      <c r="K17" s="50">
        <f>TRUNC(K18,0)</f>
        <v>45187</v>
      </c>
      <c r="L17" s="51"/>
      <c r="M17" s="50">
        <f>TRUNC(M18,0)</f>
        <v>0</v>
      </c>
      <c r="N17" s="63" t="s">
        <v>12</v>
      </c>
    </row>
    <row r="18" spans="1:14" ht="15" customHeight="1">
      <c r="A18" s="13"/>
      <c r="B18" s="14" t="s">
        <v>268</v>
      </c>
      <c r="C18" s="1" t="s">
        <v>208</v>
      </c>
      <c r="D18" s="40">
        <f>250/300</f>
        <v>0.83333333333333337</v>
      </c>
      <c r="E18" s="2" t="s">
        <v>3</v>
      </c>
      <c r="F18" s="4" t="e">
        <f t="shared" ref="F18" si="9">H18+J18+L18</f>
        <v>#REF!</v>
      </c>
      <c r="G18" s="8" t="e">
        <f t="shared" si="8"/>
        <v>#REF!</v>
      </c>
      <c r="H18" s="4" t="e">
        <f>'목록(강관)'!$I$78</f>
        <v>#REF!</v>
      </c>
      <c r="I18" s="8" t="e">
        <f>TRUNC(H18*D18,1)</f>
        <v>#REF!</v>
      </c>
      <c r="J18" s="4">
        <f>'목록(강관)'!$K$78</f>
        <v>54225</v>
      </c>
      <c r="K18" s="8">
        <f>TRUNC(J18*D18,1)</f>
        <v>45187.5</v>
      </c>
      <c r="L18" s="4">
        <f>'목록(강관)'!$M$78</f>
        <v>0</v>
      </c>
      <c r="M18" s="8">
        <f>TRUNC(L18*D18,1)</f>
        <v>0</v>
      </c>
      <c r="N18" s="12" t="s">
        <v>0</v>
      </c>
    </row>
    <row r="19" spans="1:14" ht="15" customHeight="1">
      <c r="A19" s="16"/>
      <c r="B19" s="15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12"/>
    </row>
    <row r="20" spans="1:14" ht="15" customHeight="1">
      <c r="A20" s="52">
        <f>A17+1</f>
        <v>74</v>
      </c>
      <c r="B20" s="46" t="s">
        <v>260</v>
      </c>
      <c r="C20" s="47" t="s">
        <v>181</v>
      </c>
      <c r="D20" s="47">
        <v>1</v>
      </c>
      <c r="E20" s="48" t="s">
        <v>3</v>
      </c>
      <c r="F20" s="51"/>
      <c r="G20" s="50" t="e">
        <f t="shared" ref="G20:G26" si="10">I20+K20+M20</f>
        <v>#REF!</v>
      </c>
      <c r="H20" s="51"/>
      <c r="I20" s="50" t="e">
        <f>TRUNC(I21+I22+I23+I24+I25+I26,0)</f>
        <v>#REF!</v>
      </c>
      <c r="J20" s="51"/>
      <c r="K20" s="50">
        <f>TRUNC(K21+K22+K23+K24+K25+K26,0)</f>
        <v>54225</v>
      </c>
      <c r="L20" s="51"/>
      <c r="M20" s="50">
        <f>TRUNC(M21+M22+M23+M24+M25+M26,0)</f>
        <v>0</v>
      </c>
      <c r="N20" s="63" t="str">
        <f>N17</f>
        <v>토목6-3-3</v>
      </c>
    </row>
    <row r="21" spans="1:14" ht="15" customHeight="1">
      <c r="A21" s="13"/>
      <c r="B21" s="14" t="s">
        <v>269</v>
      </c>
      <c r="C21" s="1" t="s">
        <v>201</v>
      </c>
      <c r="D21" s="3">
        <v>0.1</v>
      </c>
      <c r="E21" s="2" t="s">
        <v>27</v>
      </c>
      <c r="F21" s="4" t="e">
        <f t="shared" ref="F21:F26" si="11">H21+J21+L21</f>
        <v>#REF!</v>
      </c>
      <c r="G21" s="8" t="e">
        <f t="shared" si="10"/>
        <v>#REF!</v>
      </c>
      <c r="H21" s="4" t="e">
        <f>#REF!</f>
        <v>#REF!</v>
      </c>
      <c r="I21" s="8" t="e">
        <f>TRUNC(H21*D21,1)</f>
        <v>#REF!</v>
      </c>
      <c r="J21" s="4">
        <v>0</v>
      </c>
      <c r="K21" s="8"/>
      <c r="L21" s="4">
        <v>0</v>
      </c>
      <c r="M21" s="8"/>
      <c r="N21" s="12" t="s">
        <v>0</v>
      </c>
    </row>
    <row r="22" spans="1:14" ht="15" customHeight="1">
      <c r="A22" s="13"/>
      <c r="B22" s="14" t="s">
        <v>270</v>
      </c>
      <c r="C22" s="1" t="s">
        <v>202</v>
      </c>
      <c r="D22" s="3">
        <v>1.1000000000000001</v>
      </c>
      <c r="E22" s="2" t="s">
        <v>6</v>
      </c>
      <c r="F22" s="4" t="e">
        <f t="shared" si="11"/>
        <v>#REF!</v>
      </c>
      <c r="G22" s="8" t="e">
        <f t="shared" si="10"/>
        <v>#REF!</v>
      </c>
      <c r="H22" s="4" t="e">
        <f>#REF!</f>
        <v>#REF!</v>
      </c>
      <c r="I22" s="8" t="e">
        <f>TRUNC(H22*D22,1)</f>
        <v>#REF!</v>
      </c>
      <c r="J22" s="4">
        <v>0</v>
      </c>
      <c r="K22" s="8"/>
      <c r="L22" s="4">
        <v>0</v>
      </c>
      <c r="M22" s="8"/>
      <c r="N22" s="12" t="s">
        <v>0</v>
      </c>
    </row>
    <row r="23" spans="1:14" ht="15" customHeight="1">
      <c r="A23" s="13"/>
      <c r="B23" s="14" t="s">
        <v>271</v>
      </c>
      <c r="C23" s="1" t="s">
        <v>203</v>
      </c>
      <c r="D23" s="3">
        <v>0.79</v>
      </c>
      <c r="E23" s="2" t="s">
        <v>14</v>
      </c>
      <c r="F23" s="4" t="e">
        <f t="shared" si="11"/>
        <v>#REF!</v>
      </c>
      <c r="G23" s="8" t="e">
        <f t="shared" si="10"/>
        <v>#REF!</v>
      </c>
      <c r="H23" s="4" t="e">
        <f>#REF!</f>
        <v>#REF!</v>
      </c>
      <c r="I23" s="8" t="e">
        <f>TRUNC(H23*D23,1)</f>
        <v>#REF!</v>
      </c>
      <c r="J23" s="4">
        <v>0</v>
      </c>
      <c r="K23" s="8"/>
      <c r="L23" s="4">
        <v>0</v>
      </c>
      <c r="M23" s="8"/>
      <c r="N23" s="12" t="s">
        <v>0</v>
      </c>
    </row>
    <row r="24" spans="1:14" ht="15" customHeight="1">
      <c r="A24" s="13"/>
      <c r="B24" s="14" t="s">
        <v>272</v>
      </c>
      <c r="C24" s="1" t="s">
        <v>204</v>
      </c>
      <c r="D24" s="3">
        <v>0.79</v>
      </c>
      <c r="E24" s="2" t="s">
        <v>14</v>
      </c>
      <c r="F24" s="4" t="e">
        <f t="shared" si="11"/>
        <v>#REF!</v>
      </c>
      <c r="G24" s="8" t="e">
        <f t="shared" si="10"/>
        <v>#REF!</v>
      </c>
      <c r="H24" s="4" t="e">
        <f>#REF!</f>
        <v>#REF!</v>
      </c>
      <c r="I24" s="8" t="e">
        <f>TRUNC(H24*D24,1)</f>
        <v>#REF!</v>
      </c>
      <c r="J24" s="4">
        <v>0</v>
      </c>
      <c r="K24" s="8"/>
      <c r="L24" s="4">
        <v>0</v>
      </c>
      <c r="M24" s="8"/>
      <c r="N24" s="12" t="s">
        <v>0</v>
      </c>
    </row>
    <row r="25" spans="1:14" ht="15" customHeight="1">
      <c r="A25" s="13"/>
      <c r="B25" s="14" t="s">
        <v>273</v>
      </c>
      <c r="C25" s="1" t="s">
        <v>0</v>
      </c>
      <c r="D25" s="3">
        <v>0.18</v>
      </c>
      <c r="E25" s="2" t="s">
        <v>24</v>
      </c>
      <c r="F25" s="4">
        <f t="shared" si="11"/>
        <v>263017</v>
      </c>
      <c r="G25" s="8">
        <f t="shared" si="10"/>
        <v>47343</v>
      </c>
      <c r="H25" s="4">
        <v>0</v>
      </c>
      <c r="I25" s="8"/>
      <c r="J25" s="4">
        <f>노임!$D$9</f>
        <v>263017</v>
      </c>
      <c r="K25" s="8">
        <f>TRUNC(J25*D25,1)</f>
        <v>47343</v>
      </c>
      <c r="L25" s="4">
        <v>0</v>
      </c>
      <c r="M25" s="8"/>
      <c r="N25" s="12" t="s">
        <v>0</v>
      </c>
    </row>
    <row r="26" spans="1:14" ht="15" customHeight="1">
      <c r="A26" s="13"/>
      <c r="B26" s="14" t="s">
        <v>262</v>
      </c>
      <c r="C26" s="1" t="s">
        <v>0</v>
      </c>
      <c r="D26" s="3">
        <v>0.04</v>
      </c>
      <c r="E26" s="2" t="s">
        <v>24</v>
      </c>
      <c r="F26" s="4">
        <f t="shared" si="11"/>
        <v>172068</v>
      </c>
      <c r="G26" s="8">
        <f t="shared" si="10"/>
        <v>6882.7</v>
      </c>
      <c r="H26" s="4">
        <v>0</v>
      </c>
      <c r="I26" s="8"/>
      <c r="J26" s="4">
        <f>노임!$D$3</f>
        <v>172068</v>
      </c>
      <c r="K26" s="8">
        <f>TRUNC(J26*D26,1)</f>
        <v>6882.7</v>
      </c>
      <c r="L26" s="4">
        <v>0</v>
      </c>
      <c r="M26" s="8"/>
      <c r="N26" s="12" t="s">
        <v>0</v>
      </c>
    </row>
    <row r="27" spans="1:14" ht="15" customHeight="1">
      <c r="A27" s="16"/>
      <c r="B27" s="15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12"/>
    </row>
    <row r="28" spans="1:14" ht="15" customHeight="1">
      <c r="A28" s="52">
        <f>A20+1</f>
        <v>75</v>
      </c>
      <c r="B28" s="46" t="s">
        <v>260</v>
      </c>
      <c r="C28" s="47" t="s">
        <v>182</v>
      </c>
      <c r="D28" s="47">
        <v>1</v>
      </c>
      <c r="E28" s="48" t="s">
        <v>3</v>
      </c>
      <c r="F28" s="51"/>
      <c r="G28" s="50" t="e">
        <f t="shared" ref="G28:G34" si="12">I28+K28+M28</f>
        <v>#REF!</v>
      </c>
      <c r="H28" s="51"/>
      <c r="I28" s="50" t="e">
        <f>TRUNC(I29+I30+I31+I32+I33+I34,0)</f>
        <v>#REF!</v>
      </c>
      <c r="J28" s="51"/>
      <c r="K28" s="50">
        <f>TRUNC(K29+K30+K31+K32+K33+K34,0)</f>
        <v>63836</v>
      </c>
      <c r="L28" s="51"/>
      <c r="M28" s="50">
        <f>TRUNC(M29+M30+M31+M32+M33+M34,0)</f>
        <v>0</v>
      </c>
      <c r="N28" s="63" t="str">
        <f>N20</f>
        <v>토목6-3-3</v>
      </c>
    </row>
    <row r="29" spans="1:14" ht="15" customHeight="1">
      <c r="A29" s="13"/>
      <c r="B29" s="14" t="s">
        <v>269</v>
      </c>
      <c r="C29" s="1" t="s">
        <v>201</v>
      </c>
      <c r="D29" s="3">
        <v>0.11</v>
      </c>
      <c r="E29" s="2" t="s">
        <v>27</v>
      </c>
      <c r="F29" s="4" t="e">
        <f t="shared" ref="F29:F34" si="13">H29+J29+L29</f>
        <v>#REF!</v>
      </c>
      <c r="G29" s="8" t="e">
        <f t="shared" si="12"/>
        <v>#REF!</v>
      </c>
      <c r="H29" s="4" t="e">
        <f>#REF!</f>
        <v>#REF!</v>
      </c>
      <c r="I29" s="8" t="e">
        <f>TRUNC(H29*D29,1)</f>
        <v>#REF!</v>
      </c>
      <c r="J29" s="4">
        <v>0</v>
      </c>
      <c r="K29" s="8"/>
      <c r="L29" s="4">
        <v>0</v>
      </c>
      <c r="M29" s="8"/>
      <c r="N29" s="12" t="s">
        <v>0</v>
      </c>
    </row>
    <row r="30" spans="1:14" ht="15" customHeight="1">
      <c r="A30" s="13"/>
      <c r="B30" s="14" t="s">
        <v>270</v>
      </c>
      <c r="C30" s="1" t="s">
        <v>202</v>
      </c>
      <c r="D30" s="3">
        <v>1.23</v>
      </c>
      <c r="E30" s="2" t="s">
        <v>6</v>
      </c>
      <c r="F30" s="4" t="e">
        <f t="shared" si="13"/>
        <v>#REF!</v>
      </c>
      <c r="G30" s="8" t="e">
        <f t="shared" si="12"/>
        <v>#REF!</v>
      </c>
      <c r="H30" s="4" t="e">
        <f>#REF!</f>
        <v>#REF!</v>
      </c>
      <c r="I30" s="8" t="e">
        <f>TRUNC(H30*D30,1)</f>
        <v>#REF!</v>
      </c>
      <c r="J30" s="4">
        <v>0</v>
      </c>
      <c r="K30" s="8"/>
      <c r="L30" s="4">
        <v>0</v>
      </c>
      <c r="M30" s="8"/>
      <c r="N30" s="12" t="s">
        <v>0</v>
      </c>
    </row>
    <row r="31" spans="1:14" ht="15" customHeight="1">
      <c r="A31" s="13"/>
      <c r="B31" s="14" t="s">
        <v>271</v>
      </c>
      <c r="C31" s="1" t="s">
        <v>203</v>
      </c>
      <c r="D31" s="3">
        <v>0.92</v>
      </c>
      <c r="E31" s="2" t="s">
        <v>14</v>
      </c>
      <c r="F31" s="4" t="e">
        <f t="shared" si="13"/>
        <v>#REF!</v>
      </c>
      <c r="G31" s="8" t="e">
        <f t="shared" si="12"/>
        <v>#REF!</v>
      </c>
      <c r="H31" s="4" t="e">
        <f>#REF!</f>
        <v>#REF!</v>
      </c>
      <c r="I31" s="8" t="e">
        <f>TRUNC(H31*D31,1)</f>
        <v>#REF!</v>
      </c>
      <c r="J31" s="4">
        <v>0</v>
      </c>
      <c r="K31" s="8"/>
      <c r="L31" s="4">
        <v>0</v>
      </c>
      <c r="M31" s="8"/>
      <c r="N31" s="12" t="s">
        <v>0</v>
      </c>
    </row>
    <row r="32" spans="1:14" ht="15" customHeight="1">
      <c r="A32" s="13"/>
      <c r="B32" s="14" t="s">
        <v>272</v>
      </c>
      <c r="C32" s="1" t="s">
        <v>204</v>
      </c>
      <c r="D32" s="3">
        <v>0.92</v>
      </c>
      <c r="E32" s="2" t="s">
        <v>14</v>
      </c>
      <c r="F32" s="4" t="e">
        <f t="shared" si="13"/>
        <v>#REF!</v>
      </c>
      <c r="G32" s="8" t="e">
        <f t="shared" si="12"/>
        <v>#REF!</v>
      </c>
      <c r="H32" s="4" t="e">
        <f>#REF!</f>
        <v>#REF!</v>
      </c>
      <c r="I32" s="8" t="e">
        <f>TRUNC(H32*D32,1)</f>
        <v>#REF!</v>
      </c>
      <c r="J32" s="4">
        <v>0</v>
      </c>
      <c r="K32" s="8"/>
      <c r="L32" s="4">
        <v>0</v>
      </c>
      <c r="M32" s="8"/>
      <c r="N32" s="12" t="s">
        <v>0</v>
      </c>
    </row>
    <row r="33" spans="1:14" ht="15" customHeight="1">
      <c r="A33" s="13"/>
      <c r="B33" s="14" t="s">
        <v>273</v>
      </c>
      <c r="C33" s="1" t="s">
        <v>0</v>
      </c>
      <c r="D33" s="3">
        <v>0.21</v>
      </c>
      <c r="E33" s="2" t="s">
        <v>24</v>
      </c>
      <c r="F33" s="4">
        <f t="shared" si="13"/>
        <v>263017</v>
      </c>
      <c r="G33" s="8">
        <f t="shared" si="12"/>
        <v>55233.5</v>
      </c>
      <c r="H33" s="4">
        <v>0</v>
      </c>
      <c r="I33" s="8"/>
      <c r="J33" s="4">
        <f>노임!$D$9</f>
        <v>263017</v>
      </c>
      <c r="K33" s="8">
        <f>TRUNC(J33*D33,1)</f>
        <v>55233.5</v>
      </c>
      <c r="L33" s="4">
        <v>0</v>
      </c>
      <c r="M33" s="8"/>
      <c r="N33" s="12" t="s">
        <v>0</v>
      </c>
    </row>
    <row r="34" spans="1:14" ht="15" customHeight="1">
      <c r="A34" s="13"/>
      <c r="B34" s="14" t="s">
        <v>262</v>
      </c>
      <c r="C34" s="1" t="s">
        <v>0</v>
      </c>
      <c r="D34" s="3">
        <v>0.05</v>
      </c>
      <c r="E34" s="2" t="s">
        <v>24</v>
      </c>
      <c r="F34" s="4">
        <f t="shared" si="13"/>
        <v>172068</v>
      </c>
      <c r="G34" s="8">
        <f t="shared" si="12"/>
        <v>8603.4</v>
      </c>
      <c r="H34" s="4">
        <v>0</v>
      </c>
      <c r="I34" s="8"/>
      <c r="J34" s="4">
        <f>노임!$D$3</f>
        <v>172068</v>
      </c>
      <c r="K34" s="8">
        <f>TRUNC(J34*D34,1)</f>
        <v>8603.4</v>
      </c>
      <c r="L34" s="4">
        <v>0</v>
      </c>
      <c r="M34" s="8"/>
      <c r="N34" s="12" t="s">
        <v>0</v>
      </c>
    </row>
    <row r="35" spans="1:14" ht="15" customHeight="1">
      <c r="A35" s="16"/>
      <c r="B35" s="15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12"/>
    </row>
    <row r="36" spans="1:14" ht="15" customHeight="1">
      <c r="A36" s="52">
        <f>A28+1</f>
        <v>76</v>
      </c>
      <c r="B36" s="46" t="s">
        <v>260</v>
      </c>
      <c r="C36" s="47" t="s">
        <v>183</v>
      </c>
      <c r="D36" s="47">
        <v>1</v>
      </c>
      <c r="E36" s="48" t="s">
        <v>3</v>
      </c>
      <c r="F36" s="51"/>
      <c r="G36" s="50" t="e">
        <f t="shared" ref="G36:G42" si="14">I36+K36+M36</f>
        <v>#REF!</v>
      </c>
      <c r="H36" s="51"/>
      <c r="I36" s="50" t="e">
        <f>TRUNC(I37+I38+I39+I40+I41+I42,0)</f>
        <v>#REF!</v>
      </c>
      <c r="J36" s="51"/>
      <c r="K36" s="50">
        <f>TRUNC(K37+K38+K39+K40+K41+K42,0)</f>
        <v>70817</v>
      </c>
      <c r="L36" s="51"/>
      <c r="M36" s="50">
        <f>TRUNC(M37+M38+M39+M40+M41+M42,0)</f>
        <v>0</v>
      </c>
      <c r="N36" s="63" t="str">
        <f>N28</f>
        <v>토목6-3-3</v>
      </c>
    </row>
    <row r="37" spans="1:14" ht="15" customHeight="1">
      <c r="A37" s="13"/>
      <c r="B37" s="14" t="s">
        <v>269</v>
      </c>
      <c r="C37" s="1" t="s">
        <v>201</v>
      </c>
      <c r="D37" s="3">
        <v>0.13</v>
      </c>
      <c r="E37" s="2" t="s">
        <v>27</v>
      </c>
      <c r="F37" s="4" t="e">
        <f t="shared" ref="F37:F42" si="15">H37+J37+L37</f>
        <v>#REF!</v>
      </c>
      <c r="G37" s="8" t="e">
        <f t="shared" si="14"/>
        <v>#REF!</v>
      </c>
      <c r="H37" s="4" t="e">
        <f>#REF!</f>
        <v>#REF!</v>
      </c>
      <c r="I37" s="8" t="e">
        <f>TRUNC(H37*D37,1)</f>
        <v>#REF!</v>
      </c>
      <c r="J37" s="4">
        <v>0</v>
      </c>
      <c r="K37" s="8"/>
      <c r="L37" s="4">
        <v>0</v>
      </c>
      <c r="M37" s="8"/>
      <c r="N37" s="12" t="s">
        <v>0</v>
      </c>
    </row>
    <row r="38" spans="1:14" ht="15" customHeight="1">
      <c r="A38" s="13"/>
      <c r="B38" s="14" t="s">
        <v>270</v>
      </c>
      <c r="C38" s="1" t="s">
        <v>202</v>
      </c>
      <c r="D38" s="3">
        <v>1.4</v>
      </c>
      <c r="E38" s="2" t="s">
        <v>6</v>
      </c>
      <c r="F38" s="4" t="e">
        <f t="shared" si="15"/>
        <v>#REF!</v>
      </c>
      <c r="G38" s="8" t="e">
        <f t="shared" si="14"/>
        <v>#REF!</v>
      </c>
      <c r="H38" s="4" t="e">
        <f>#REF!</f>
        <v>#REF!</v>
      </c>
      <c r="I38" s="8" t="e">
        <f>TRUNC(H38*D38,1)</f>
        <v>#REF!</v>
      </c>
      <c r="J38" s="4">
        <v>0</v>
      </c>
      <c r="K38" s="8"/>
      <c r="L38" s="4">
        <v>0</v>
      </c>
      <c r="M38" s="8"/>
      <c r="N38" s="12" t="s">
        <v>0</v>
      </c>
    </row>
    <row r="39" spans="1:14" ht="15" customHeight="1">
      <c r="A39" s="13"/>
      <c r="B39" s="14" t="s">
        <v>271</v>
      </c>
      <c r="C39" s="1" t="s">
        <v>203</v>
      </c>
      <c r="D39" s="3">
        <v>1.05</v>
      </c>
      <c r="E39" s="2" t="s">
        <v>14</v>
      </c>
      <c r="F39" s="4" t="e">
        <f t="shared" si="15"/>
        <v>#REF!</v>
      </c>
      <c r="G39" s="8" t="e">
        <f t="shared" si="14"/>
        <v>#REF!</v>
      </c>
      <c r="H39" s="4" t="e">
        <f>#REF!</f>
        <v>#REF!</v>
      </c>
      <c r="I39" s="8" t="e">
        <f>TRUNC(H39*D39,1)</f>
        <v>#REF!</v>
      </c>
      <c r="J39" s="4">
        <v>0</v>
      </c>
      <c r="K39" s="8"/>
      <c r="L39" s="4">
        <v>0</v>
      </c>
      <c r="M39" s="8"/>
      <c r="N39" s="12" t="s">
        <v>0</v>
      </c>
    </row>
    <row r="40" spans="1:14" ht="15" customHeight="1">
      <c r="A40" s="13"/>
      <c r="B40" s="14" t="s">
        <v>272</v>
      </c>
      <c r="C40" s="1" t="s">
        <v>204</v>
      </c>
      <c r="D40" s="3">
        <v>1.05</v>
      </c>
      <c r="E40" s="2" t="s">
        <v>14</v>
      </c>
      <c r="F40" s="4" t="e">
        <f t="shared" si="15"/>
        <v>#REF!</v>
      </c>
      <c r="G40" s="8" t="e">
        <f t="shared" si="14"/>
        <v>#REF!</v>
      </c>
      <c r="H40" s="4" t="e">
        <f>#REF!</f>
        <v>#REF!</v>
      </c>
      <c r="I40" s="8" t="e">
        <f>TRUNC(H40*D40,1)</f>
        <v>#REF!</v>
      </c>
      <c r="J40" s="4">
        <v>0</v>
      </c>
      <c r="K40" s="8"/>
      <c r="L40" s="4">
        <v>0</v>
      </c>
      <c r="M40" s="8"/>
      <c r="N40" s="12" t="s">
        <v>0</v>
      </c>
    </row>
    <row r="41" spans="1:14" ht="15" customHeight="1">
      <c r="A41" s="13"/>
      <c r="B41" s="14" t="s">
        <v>273</v>
      </c>
      <c r="C41" s="1" t="s">
        <v>0</v>
      </c>
      <c r="D41" s="3">
        <v>0.23</v>
      </c>
      <c r="E41" s="2" t="s">
        <v>24</v>
      </c>
      <c r="F41" s="4">
        <f t="shared" si="15"/>
        <v>263017</v>
      </c>
      <c r="G41" s="8">
        <f t="shared" si="14"/>
        <v>60493.9</v>
      </c>
      <c r="H41" s="4">
        <v>0</v>
      </c>
      <c r="I41" s="8"/>
      <c r="J41" s="4">
        <f>노임!$D$9</f>
        <v>263017</v>
      </c>
      <c r="K41" s="8">
        <f>TRUNC(J41*D41,1)</f>
        <v>60493.9</v>
      </c>
      <c r="L41" s="4">
        <v>0</v>
      </c>
      <c r="M41" s="8"/>
      <c r="N41" s="12" t="s">
        <v>0</v>
      </c>
    </row>
    <row r="42" spans="1:14" ht="15" customHeight="1">
      <c r="A42" s="13"/>
      <c r="B42" s="14" t="s">
        <v>262</v>
      </c>
      <c r="C42" s="1" t="s">
        <v>0</v>
      </c>
      <c r="D42" s="3">
        <v>0.06</v>
      </c>
      <c r="E42" s="2" t="s">
        <v>24</v>
      </c>
      <c r="F42" s="4">
        <f t="shared" si="15"/>
        <v>172068</v>
      </c>
      <c r="G42" s="8">
        <f t="shared" si="14"/>
        <v>10324</v>
      </c>
      <c r="H42" s="4">
        <v>0</v>
      </c>
      <c r="I42" s="8"/>
      <c r="J42" s="4">
        <f>노임!$D$3</f>
        <v>172068</v>
      </c>
      <c r="K42" s="8">
        <f>TRUNC(J42*D42,1)</f>
        <v>10324</v>
      </c>
      <c r="L42" s="4">
        <v>0</v>
      </c>
      <c r="M42" s="8"/>
      <c r="N42" s="12" t="s">
        <v>0</v>
      </c>
    </row>
    <row r="43" spans="1:14" ht="15" customHeight="1">
      <c r="A43" s="16"/>
      <c r="B43" s="15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12"/>
    </row>
    <row r="44" spans="1:14" ht="15" customHeight="1">
      <c r="A44" s="52">
        <f>A36+1</f>
        <v>77</v>
      </c>
      <c r="B44" s="46" t="s">
        <v>260</v>
      </c>
      <c r="C44" s="47" t="s">
        <v>185</v>
      </c>
      <c r="D44" s="47">
        <v>1</v>
      </c>
      <c r="E44" s="48" t="s">
        <v>3</v>
      </c>
      <c r="F44" s="51"/>
      <c r="G44" s="50" t="e">
        <f t="shared" ref="G44:G50" si="16">I44+K44+M44</f>
        <v>#REF!</v>
      </c>
      <c r="H44" s="51"/>
      <c r="I44" s="50" t="e">
        <f>TRUNC(I45+I46+I47+I48+I49+I50,0)</f>
        <v>#REF!</v>
      </c>
      <c r="J44" s="51"/>
      <c r="K44" s="50">
        <f>TRUNC(K45+K46+K47+K48+K49+K50,0)</f>
        <v>76078</v>
      </c>
      <c r="L44" s="51"/>
      <c r="M44" s="50">
        <f>TRUNC(M45+M46+M47+M48+M49+M50,0)</f>
        <v>0</v>
      </c>
      <c r="N44" s="63" t="str">
        <f>N36</f>
        <v>토목6-3-3</v>
      </c>
    </row>
    <row r="45" spans="1:14" ht="15" customHeight="1">
      <c r="A45" s="39"/>
      <c r="B45" s="14" t="s">
        <v>269</v>
      </c>
      <c r="C45" s="1" t="s">
        <v>201</v>
      </c>
      <c r="D45" s="3">
        <v>0.14000000000000001</v>
      </c>
      <c r="E45" s="2" t="s">
        <v>27</v>
      </c>
      <c r="F45" s="4" t="e">
        <f t="shared" ref="F45:F50" si="17">H45+J45+L45</f>
        <v>#REF!</v>
      </c>
      <c r="G45" s="8" t="e">
        <f t="shared" si="16"/>
        <v>#REF!</v>
      </c>
      <c r="H45" s="4" t="e">
        <f>#REF!</f>
        <v>#REF!</v>
      </c>
      <c r="I45" s="8" t="e">
        <f>TRUNC(H45*D45,1)</f>
        <v>#REF!</v>
      </c>
      <c r="J45" s="4">
        <v>0</v>
      </c>
      <c r="K45" s="8"/>
      <c r="L45" s="4">
        <v>0</v>
      </c>
      <c r="M45" s="8"/>
      <c r="N45" s="12" t="s">
        <v>0</v>
      </c>
    </row>
    <row r="46" spans="1:14" ht="15" customHeight="1">
      <c r="A46" s="13"/>
      <c r="B46" s="14" t="s">
        <v>270</v>
      </c>
      <c r="C46" s="1" t="s">
        <v>202</v>
      </c>
      <c r="D46" s="3">
        <v>1.58</v>
      </c>
      <c r="E46" s="2" t="s">
        <v>6</v>
      </c>
      <c r="F46" s="4" t="e">
        <f t="shared" si="17"/>
        <v>#REF!</v>
      </c>
      <c r="G46" s="8" t="e">
        <f t="shared" si="16"/>
        <v>#REF!</v>
      </c>
      <c r="H46" s="4" t="e">
        <f>#REF!</f>
        <v>#REF!</v>
      </c>
      <c r="I46" s="8" t="e">
        <f>TRUNC(H46*D46,1)</f>
        <v>#REF!</v>
      </c>
      <c r="J46" s="4">
        <v>0</v>
      </c>
      <c r="K46" s="8"/>
      <c r="L46" s="4">
        <v>0</v>
      </c>
      <c r="M46" s="8"/>
      <c r="N46" s="12" t="s">
        <v>0</v>
      </c>
    </row>
    <row r="47" spans="1:14" ht="15" customHeight="1">
      <c r="A47" s="13"/>
      <c r="B47" s="14" t="s">
        <v>271</v>
      </c>
      <c r="C47" s="1" t="s">
        <v>203</v>
      </c>
      <c r="D47" s="3">
        <v>1.18</v>
      </c>
      <c r="E47" s="2" t="s">
        <v>14</v>
      </c>
      <c r="F47" s="4" t="e">
        <f t="shared" si="17"/>
        <v>#REF!</v>
      </c>
      <c r="G47" s="8" t="e">
        <f t="shared" si="16"/>
        <v>#REF!</v>
      </c>
      <c r="H47" s="4" t="e">
        <f>#REF!</f>
        <v>#REF!</v>
      </c>
      <c r="I47" s="8" t="e">
        <f>TRUNC(H47*D47,1)</f>
        <v>#REF!</v>
      </c>
      <c r="J47" s="4">
        <v>0</v>
      </c>
      <c r="K47" s="8"/>
      <c r="L47" s="4">
        <v>0</v>
      </c>
      <c r="M47" s="8"/>
      <c r="N47" s="12" t="s">
        <v>0</v>
      </c>
    </row>
    <row r="48" spans="1:14" ht="15" customHeight="1">
      <c r="A48" s="13"/>
      <c r="B48" s="14" t="s">
        <v>272</v>
      </c>
      <c r="C48" s="1" t="s">
        <v>204</v>
      </c>
      <c r="D48" s="3">
        <v>1.18</v>
      </c>
      <c r="E48" s="2" t="s">
        <v>14</v>
      </c>
      <c r="F48" s="4" t="e">
        <f t="shared" si="17"/>
        <v>#REF!</v>
      </c>
      <c r="G48" s="8" t="e">
        <f t="shared" si="16"/>
        <v>#REF!</v>
      </c>
      <c r="H48" s="4" t="e">
        <f>#REF!</f>
        <v>#REF!</v>
      </c>
      <c r="I48" s="8" t="e">
        <f>TRUNC(H48*D48,1)</f>
        <v>#REF!</v>
      </c>
      <c r="J48" s="4">
        <v>0</v>
      </c>
      <c r="K48" s="8"/>
      <c r="L48" s="4">
        <v>0</v>
      </c>
      <c r="M48" s="8"/>
      <c r="N48" s="12" t="s">
        <v>0</v>
      </c>
    </row>
    <row r="49" spans="1:14" ht="15" customHeight="1">
      <c r="A49" s="13"/>
      <c r="B49" s="14" t="s">
        <v>273</v>
      </c>
      <c r="C49" s="1" t="s">
        <v>0</v>
      </c>
      <c r="D49" s="3">
        <v>0.25</v>
      </c>
      <c r="E49" s="2" t="s">
        <v>24</v>
      </c>
      <c r="F49" s="4">
        <f t="shared" si="17"/>
        <v>263017</v>
      </c>
      <c r="G49" s="8">
        <f t="shared" si="16"/>
        <v>65754.2</v>
      </c>
      <c r="H49" s="4">
        <v>0</v>
      </c>
      <c r="I49" s="8"/>
      <c r="J49" s="4">
        <f>노임!$D$9</f>
        <v>263017</v>
      </c>
      <c r="K49" s="8">
        <f>TRUNC(J49*D49,1)</f>
        <v>65754.2</v>
      </c>
      <c r="L49" s="4">
        <v>0</v>
      </c>
      <c r="M49" s="8"/>
      <c r="N49" s="12" t="s">
        <v>0</v>
      </c>
    </row>
    <row r="50" spans="1:14" ht="15" customHeight="1">
      <c r="A50" s="13"/>
      <c r="B50" s="14" t="s">
        <v>262</v>
      </c>
      <c r="C50" s="1" t="s">
        <v>0</v>
      </c>
      <c r="D50" s="3">
        <v>0.06</v>
      </c>
      <c r="E50" s="2" t="s">
        <v>24</v>
      </c>
      <c r="F50" s="4">
        <f t="shared" si="17"/>
        <v>172068</v>
      </c>
      <c r="G50" s="8">
        <f t="shared" si="16"/>
        <v>10324</v>
      </c>
      <c r="H50" s="4">
        <v>0</v>
      </c>
      <c r="I50" s="8"/>
      <c r="J50" s="4">
        <f>노임!$D$3</f>
        <v>172068</v>
      </c>
      <c r="K50" s="8">
        <f>TRUNC(J50*D50,1)</f>
        <v>10324</v>
      </c>
      <c r="L50" s="4">
        <v>0</v>
      </c>
      <c r="M50" s="8"/>
      <c r="N50" s="12" t="s">
        <v>0</v>
      </c>
    </row>
    <row r="51" spans="1:14" ht="15" customHeight="1">
      <c r="A51" s="16"/>
      <c r="B51" s="15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12"/>
    </row>
    <row r="52" spans="1:14" ht="15" customHeight="1">
      <c r="A52" s="52">
        <f>A44+1</f>
        <v>78</v>
      </c>
      <c r="B52" s="46" t="s">
        <v>260</v>
      </c>
      <c r="C52" s="47" t="s">
        <v>184</v>
      </c>
      <c r="D52" s="47">
        <v>1</v>
      </c>
      <c r="E52" s="48" t="s">
        <v>3</v>
      </c>
      <c r="F52" s="51"/>
      <c r="G52" s="50" t="e">
        <f t="shared" ref="G52:G58" si="18">I52+K52+M52</f>
        <v>#REF!</v>
      </c>
      <c r="H52" s="51"/>
      <c r="I52" s="50" t="e">
        <f>TRUNC(I53+I54+I55+I56+I57+I58,0)</f>
        <v>#REF!</v>
      </c>
      <c r="J52" s="51"/>
      <c r="K52" s="50">
        <f>TRUNC(K53+K54+K55+K56+K57+K58,0)</f>
        <v>83059</v>
      </c>
      <c r="L52" s="51"/>
      <c r="M52" s="50">
        <f>TRUNC(M53+M54+M55+M56+M57+M58,0)</f>
        <v>0</v>
      </c>
      <c r="N52" s="63" t="str">
        <f>N44</f>
        <v>토목6-3-3</v>
      </c>
    </row>
    <row r="53" spans="1:14" ht="15" customHeight="1">
      <c r="A53" s="13"/>
      <c r="B53" s="14" t="s">
        <v>269</v>
      </c>
      <c r="C53" s="1" t="s">
        <v>201</v>
      </c>
      <c r="D53" s="3">
        <v>0.16</v>
      </c>
      <c r="E53" s="2" t="s">
        <v>27</v>
      </c>
      <c r="F53" s="4" t="e">
        <f t="shared" ref="F53:F58" si="19">H53+J53+L53</f>
        <v>#REF!</v>
      </c>
      <c r="G53" s="8" t="e">
        <f t="shared" si="18"/>
        <v>#REF!</v>
      </c>
      <c r="H53" s="4" t="e">
        <f>#REF!</f>
        <v>#REF!</v>
      </c>
      <c r="I53" s="8" t="e">
        <f>TRUNC(H53*D53,1)</f>
        <v>#REF!</v>
      </c>
      <c r="J53" s="4">
        <v>0</v>
      </c>
      <c r="K53" s="8"/>
      <c r="L53" s="4">
        <v>0</v>
      </c>
      <c r="M53" s="8"/>
      <c r="N53" s="12" t="s">
        <v>0</v>
      </c>
    </row>
    <row r="54" spans="1:14" ht="15" customHeight="1">
      <c r="A54" s="13"/>
      <c r="B54" s="14" t="s">
        <v>270</v>
      </c>
      <c r="C54" s="1" t="s">
        <v>202</v>
      </c>
      <c r="D54" s="3">
        <v>1.75</v>
      </c>
      <c r="E54" s="2" t="s">
        <v>6</v>
      </c>
      <c r="F54" s="4" t="e">
        <f t="shared" si="19"/>
        <v>#REF!</v>
      </c>
      <c r="G54" s="8" t="e">
        <f t="shared" si="18"/>
        <v>#REF!</v>
      </c>
      <c r="H54" s="4" t="e">
        <f>#REF!</f>
        <v>#REF!</v>
      </c>
      <c r="I54" s="8" t="e">
        <f>TRUNC(H54*D54,1)</f>
        <v>#REF!</v>
      </c>
      <c r="J54" s="4">
        <v>0</v>
      </c>
      <c r="K54" s="8"/>
      <c r="L54" s="4">
        <v>0</v>
      </c>
      <c r="M54" s="8"/>
      <c r="N54" s="12" t="s">
        <v>0</v>
      </c>
    </row>
    <row r="55" spans="1:14" ht="15" customHeight="1">
      <c r="A55" s="13"/>
      <c r="B55" s="14" t="s">
        <v>271</v>
      </c>
      <c r="C55" s="1" t="s">
        <v>203</v>
      </c>
      <c r="D55" s="3">
        <v>1.32</v>
      </c>
      <c r="E55" s="2" t="s">
        <v>14</v>
      </c>
      <c r="F55" s="4" t="e">
        <f t="shared" si="19"/>
        <v>#REF!</v>
      </c>
      <c r="G55" s="8" t="e">
        <f t="shared" si="18"/>
        <v>#REF!</v>
      </c>
      <c r="H55" s="4" t="e">
        <f>#REF!</f>
        <v>#REF!</v>
      </c>
      <c r="I55" s="8" t="e">
        <f>TRUNC(H55*D55,1)</f>
        <v>#REF!</v>
      </c>
      <c r="J55" s="4">
        <v>0</v>
      </c>
      <c r="K55" s="8"/>
      <c r="L55" s="4">
        <v>0</v>
      </c>
      <c r="M55" s="8"/>
      <c r="N55" s="12" t="s">
        <v>0</v>
      </c>
    </row>
    <row r="56" spans="1:14" ht="15" customHeight="1">
      <c r="A56" s="13"/>
      <c r="B56" s="14" t="s">
        <v>272</v>
      </c>
      <c r="C56" s="1" t="s">
        <v>204</v>
      </c>
      <c r="D56" s="3">
        <v>1.32</v>
      </c>
      <c r="E56" s="2" t="s">
        <v>14</v>
      </c>
      <c r="F56" s="4" t="e">
        <f t="shared" si="19"/>
        <v>#REF!</v>
      </c>
      <c r="G56" s="8" t="e">
        <f t="shared" si="18"/>
        <v>#REF!</v>
      </c>
      <c r="H56" s="4" t="e">
        <f>#REF!</f>
        <v>#REF!</v>
      </c>
      <c r="I56" s="8" t="e">
        <f>TRUNC(H56*D56,1)</f>
        <v>#REF!</v>
      </c>
      <c r="J56" s="4">
        <v>0</v>
      </c>
      <c r="K56" s="8"/>
      <c r="L56" s="4">
        <v>0</v>
      </c>
      <c r="M56" s="8"/>
      <c r="N56" s="12" t="s">
        <v>0</v>
      </c>
    </row>
    <row r="57" spans="1:14" ht="15" customHeight="1">
      <c r="A57" s="13"/>
      <c r="B57" s="14" t="s">
        <v>273</v>
      </c>
      <c r="C57" s="1" t="s">
        <v>0</v>
      </c>
      <c r="D57" s="3">
        <v>0.27</v>
      </c>
      <c r="E57" s="2" t="s">
        <v>24</v>
      </c>
      <c r="F57" s="4">
        <f t="shared" si="19"/>
        <v>263017</v>
      </c>
      <c r="G57" s="8">
        <f t="shared" si="18"/>
        <v>71014.5</v>
      </c>
      <c r="H57" s="4">
        <v>0</v>
      </c>
      <c r="I57" s="8"/>
      <c r="J57" s="4">
        <f>노임!$D$9</f>
        <v>263017</v>
      </c>
      <c r="K57" s="8">
        <f>TRUNC(J57*D57,1)</f>
        <v>71014.5</v>
      </c>
      <c r="L57" s="4">
        <v>0</v>
      </c>
      <c r="M57" s="8"/>
      <c r="N57" s="12" t="s">
        <v>0</v>
      </c>
    </row>
    <row r="58" spans="1:14" ht="15" customHeight="1">
      <c r="A58" s="13"/>
      <c r="B58" s="14" t="s">
        <v>262</v>
      </c>
      <c r="C58" s="1" t="s">
        <v>0</v>
      </c>
      <c r="D58" s="3">
        <v>7.0000000000000007E-2</v>
      </c>
      <c r="E58" s="2" t="s">
        <v>24</v>
      </c>
      <c r="F58" s="4">
        <f t="shared" si="19"/>
        <v>172068</v>
      </c>
      <c r="G58" s="8">
        <f t="shared" si="18"/>
        <v>12044.7</v>
      </c>
      <c r="H58" s="4">
        <v>0</v>
      </c>
      <c r="I58" s="8"/>
      <c r="J58" s="4">
        <f>노임!$D$3</f>
        <v>172068</v>
      </c>
      <c r="K58" s="8">
        <f>TRUNC(J58*D58,1)</f>
        <v>12044.7</v>
      </c>
      <c r="L58" s="4">
        <v>0</v>
      </c>
      <c r="M58" s="8"/>
      <c r="N58" s="12" t="s">
        <v>0</v>
      </c>
    </row>
    <row r="59" spans="1:14" ht="15" customHeight="1">
      <c r="A59" s="16"/>
      <c r="B59" s="15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12"/>
    </row>
    <row r="60" spans="1:14" ht="15" customHeight="1">
      <c r="A60" s="52">
        <f>A52+1</f>
        <v>79</v>
      </c>
      <c r="B60" s="46" t="s">
        <v>260</v>
      </c>
      <c r="C60" s="47" t="s">
        <v>186</v>
      </c>
      <c r="D60" s="47">
        <v>1</v>
      </c>
      <c r="E60" s="48" t="s">
        <v>3</v>
      </c>
      <c r="F60" s="51"/>
      <c r="G60" s="50" t="e">
        <f t="shared" ref="G60:G66" si="20">I60+K60+M60</f>
        <v>#REF!</v>
      </c>
      <c r="H60" s="51"/>
      <c r="I60" s="50" t="e">
        <f>TRUNC(I61+I62+I63+I64+I65+I66,0)</f>
        <v>#REF!</v>
      </c>
      <c r="J60" s="51"/>
      <c r="K60" s="50">
        <f>TRUNC(K61+K62+K63+K64+K65+K66,0)</f>
        <v>90949</v>
      </c>
      <c r="L60" s="51"/>
      <c r="M60" s="50">
        <f>TRUNC(M61+M62+M63+M64+M65+M66,0)</f>
        <v>0</v>
      </c>
      <c r="N60" s="63" t="str">
        <f>N52</f>
        <v>토목6-3-3</v>
      </c>
    </row>
    <row r="61" spans="1:14" ht="15" customHeight="1">
      <c r="A61" s="13"/>
      <c r="B61" s="14" t="s">
        <v>269</v>
      </c>
      <c r="C61" s="1" t="s">
        <v>201</v>
      </c>
      <c r="D61" s="3">
        <v>0.19</v>
      </c>
      <c r="E61" s="2" t="s">
        <v>27</v>
      </c>
      <c r="F61" s="4" t="e">
        <f t="shared" ref="F61:F66" si="21">H61+J61+L61</f>
        <v>#REF!</v>
      </c>
      <c r="G61" s="8" t="e">
        <f t="shared" si="20"/>
        <v>#REF!</v>
      </c>
      <c r="H61" s="4" t="e">
        <f>#REF!</f>
        <v>#REF!</v>
      </c>
      <c r="I61" s="8" t="e">
        <f>TRUNC(H61*D61,1)</f>
        <v>#REF!</v>
      </c>
      <c r="J61" s="4">
        <v>0</v>
      </c>
      <c r="K61" s="8"/>
      <c r="L61" s="4">
        <v>0</v>
      </c>
      <c r="M61" s="8"/>
      <c r="N61" s="12" t="s">
        <v>0</v>
      </c>
    </row>
    <row r="62" spans="1:14" ht="15" customHeight="1">
      <c r="A62" s="13"/>
      <c r="B62" s="14" t="s">
        <v>270</v>
      </c>
      <c r="C62" s="1" t="s">
        <v>202</v>
      </c>
      <c r="D62" s="3">
        <v>2.11</v>
      </c>
      <c r="E62" s="2" t="s">
        <v>6</v>
      </c>
      <c r="F62" s="4" t="e">
        <f t="shared" si="21"/>
        <v>#REF!</v>
      </c>
      <c r="G62" s="8" t="e">
        <f t="shared" si="20"/>
        <v>#REF!</v>
      </c>
      <c r="H62" s="4" t="e">
        <f>#REF!</f>
        <v>#REF!</v>
      </c>
      <c r="I62" s="8" t="e">
        <f>TRUNC(H62*D62,1)</f>
        <v>#REF!</v>
      </c>
      <c r="J62" s="4">
        <v>0</v>
      </c>
      <c r="K62" s="8"/>
      <c r="L62" s="4">
        <v>0</v>
      </c>
      <c r="M62" s="8"/>
      <c r="N62" s="12" t="s">
        <v>0</v>
      </c>
    </row>
    <row r="63" spans="1:14" ht="15" customHeight="1">
      <c r="A63" s="13"/>
      <c r="B63" s="14" t="s">
        <v>271</v>
      </c>
      <c r="C63" s="1" t="s">
        <v>203</v>
      </c>
      <c r="D63" s="3">
        <v>1.58</v>
      </c>
      <c r="E63" s="2" t="s">
        <v>14</v>
      </c>
      <c r="F63" s="4" t="e">
        <f t="shared" si="21"/>
        <v>#REF!</v>
      </c>
      <c r="G63" s="8" t="e">
        <f t="shared" si="20"/>
        <v>#REF!</v>
      </c>
      <c r="H63" s="4" t="e">
        <f>#REF!</f>
        <v>#REF!</v>
      </c>
      <c r="I63" s="8" t="e">
        <f>TRUNC(H63*D63,1)</f>
        <v>#REF!</v>
      </c>
      <c r="J63" s="4">
        <v>0</v>
      </c>
      <c r="K63" s="8"/>
      <c r="L63" s="4">
        <v>0</v>
      </c>
      <c r="M63" s="8"/>
      <c r="N63" s="12" t="s">
        <v>0</v>
      </c>
    </row>
    <row r="64" spans="1:14" ht="15" customHeight="1">
      <c r="A64" s="13"/>
      <c r="B64" s="14" t="s">
        <v>272</v>
      </c>
      <c r="C64" s="1" t="s">
        <v>204</v>
      </c>
      <c r="D64" s="3">
        <v>1.58</v>
      </c>
      <c r="E64" s="2" t="s">
        <v>14</v>
      </c>
      <c r="F64" s="4" t="e">
        <f t="shared" si="21"/>
        <v>#REF!</v>
      </c>
      <c r="G64" s="8" t="e">
        <f t="shared" si="20"/>
        <v>#REF!</v>
      </c>
      <c r="H64" s="4" t="e">
        <f>#REF!</f>
        <v>#REF!</v>
      </c>
      <c r="I64" s="8" t="e">
        <f>TRUNC(H64*D64,1)</f>
        <v>#REF!</v>
      </c>
      <c r="J64" s="4">
        <v>0</v>
      </c>
      <c r="K64" s="8"/>
      <c r="L64" s="4">
        <v>0</v>
      </c>
      <c r="M64" s="8"/>
      <c r="N64" s="12" t="s">
        <v>0</v>
      </c>
    </row>
    <row r="65" spans="1:14" ht="15" customHeight="1">
      <c r="A65" s="13"/>
      <c r="B65" s="14" t="s">
        <v>273</v>
      </c>
      <c r="C65" s="1" t="s">
        <v>0</v>
      </c>
      <c r="D65" s="3">
        <v>0.3</v>
      </c>
      <c r="E65" s="2" t="s">
        <v>24</v>
      </c>
      <c r="F65" s="4">
        <f t="shared" si="21"/>
        <v>263017</v>
      </c>
      <c r="G65" s="8">
        <f t="shared" si="20"/>
        <v>78905.100000000006</v>
      </c>
      <c r="H65" s="4">
        <v>0</v>
      </c>
      <c r="I65" s="8"/>
      <c r="J65" s="4">
        <f>노임!$D$9</f>
        <v>263017</v>
      </c>
      <c r="K65" s="8">
        <f>TRUNC(J65*D65,1)</f>
        <v>78905.100000000006</v>
      </c>
      <c r="L65" s="4">
        <v>0</v>
      </c>
      <c r="M65" s="8"/>
      <c r="N65" s="12" t="s">
        <v>0</v>
      </c>
    </row>
    <row r="66" spans="1:14" ht="15" customHeight="1">
      <c r="A66" s="13"/>
      <c r="B66" s="14" t="s">
        <v>262</v>
      </c>
      <c r="C66" s="1" t="s">
        <v>0</v>
      </c>
      <c r="D66" s="3">
        <v>7.0000000000000007E-2</v>
      </c>
      <c r="E66" s="2" t="s">
        <v>24</v>
      </c>
      <c r="F66" s="4">
        <f t="shared" si="21"/>
        <v>172068</v>
      </c>
      <c r="G66" s="8">
        <f t="shared" si="20"/>
        <v>12044.7</v>
      </c>
      <c r="H66" s="4">
        <v>0</v>
      </c>
      <c r="I66" s="8"/>
      <c r="J66" s="4">
        <f>노임!$D$3</f>
        <v>172068</v>
      </c>
      <c r="K66" s="8">
        <f>TRUNC(J66*D66,1)</f>
        <v>12044.7</v>
      </c>
      <c r="L66" s="4">
        <v>0</v>
      </c>
      <c r="M66" s="8"/>
      <c r="N66" s="12" t="s">
        <v>0</v>
      </c>
    </row>
    <row r="67" spans="1:14" ht="15" customHeight="1">
      <c r="A67" s="16"/>
      <c r="B67" s="15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12"/>
    </row>
    <row r="68" spans="1:14" ht="15" customHeight="1">
      <c r="A68" s="52">
        <f>A60+1</f>
        <v>80</v>
      </c>
      <c r="B68" s="46" t="s">
        <v>260</v>
      </c>
      <c r="C68" s="47" t="s">
        <v>187</v>
      </c>
      <c r="D68" s="47">
        <v>1</v>
      </c>
      <c r="E68" s="48" t="s">
        <v>3</v>
      </c>
      <c r="F68" s="51"/>
      <c r="G68" s="50" t="e">
        <f t="shared" ref="G68:G79" si="22">I68+K68+M68</f>
        <v>#REF!</v>
      </c>
      <c r="H68" s="51"/>
      <c r="I68" s="50" t="e">
        <f>TRUNC(I69+I70+I71+I72+I73+I74+I75+I76+I77+I78+I79,0)</f>
        <v>#REF!</v>
      </c>
      <c r="J68" s="51"/>
      <c r="K68" s="50">
        <f>TRUNC(K69+K70+K71+K72+K73+K74+K75+K76+K77+K78+K79,0)</f>
        <v>97930</v>
      </c>
      <c r="L68" s="51"/>
      <c r="M68" s="50">
        <f>TRUNC(M69+M70+M71+M72+M73+M74+M75+M76+M77+M78+M79,0)</f>
        <v>0</v>
      </c>
      <c r="N68" s="63" t="str">
        <f>N60</f>
        <v>토목6-3-3</v>
      </c>
    </row>
    <row r="69" spans="1:14" ht="15" customHeight="1">
      <c r="A69" s="13"/>
      <c r="B69" s="14" t="s">
        <v>275</v>
      </c>
      <c r="C69" s="1" t="s">
        <v>0</v>
      </c>
      <c r="D69" s="3"/>
      <c r="E69" s="2" t="s">
        <v>27</v>
      </c>
      <c r="F69" s="4" t="e">
        <f t="shared" ref="F69:F79" si="23">H69+J69+L69</f>
        <v>#REF!</v>
      </c>
      <c r="G69" s="8" t="e">
        <f t="shared" si="22"/>
        <v>#REF!</v>
      </c>
      <c r="H69" s="4" t="e">
        <f>#REF!</f>
        <v>#REF!</v>
      </c>
      <c r="I69" s="8" t="e">
        <f>TRUNC(H69*D69,1)</f>
        <v>#REF!</v>
      </c>
      <c r="J69" s="4">
        <v>0</v>
      </c>
      <c r="K69" s="8"/>
      <c r="L69" s="4">
        <v>0</v>
      </c>
      <c r="M69" s="8"/>
      <c r="N69" s="12" t="s">
        <v>0</v>
      </c>
    </row>
    <row r="70" spans="1:14" ht="15" customHeight="1">
      <c r="A70" s="13"/>
      <c r="B70" s="14" t="s">
        <v>276</v>
      </c>
      <c r="C70" s="1" t="s">
        <v>0</v>
      </c>
      <c r="D70" s="3"/>
      <c r="E70" s="2" t="s">
        <v>27</v>
      </c>
      <c r="F70" s="4" t="e">
        <f t="shared" si="23"/>
        <v>#REF!</v>
      </c>
      <c r="G70" s="8" t="e">
        <f t="shared" si="22"/>
        <v>#REF!</v>
      </c>
      <c r="H70" s="4" t="e">
        <f>#REF!</f>
        <v>#REF!</v>
      </c>
      <c r="I70" s="8" t="e">
        <f>TRUNC(H70*D70,1)</f>
        <v>#REF!</v>
      </c>
      <c r="J70" s="4">
        <v>0</v>
      </c>
      <c r="K70" s="8"/>
      <c r="L70" s="4">
        <v>0</v>
      </c>
      <c r="M70" s="8"/>
      <c r="N70" s="12" t="s">
        <v>0</v>
      </c>
    </row>
    <row r="71" spans="1:14" ht="15" customHeight="1">
      <c r="A71" s="13"/>
      <c r="B71" s="14" t="s">
        <v>277</v>
      </c>
      <c r="C71" s="1" t="s">
        <v>39</v>
      </c>
      <c r="D71" s="3"/>
      <c r="E71" s="2" t="s">
        <v>38</v>
      </c>
      <c r="F71" s="4" t="e">
        <f t="shared" si="23"/>
        <v>#REF!</v>
      </c>
      <c r="G71" s="8" t="e">
        <f t="shared" si="22"/>
        <v>#REF!</v>
      </c>
      <c r="H71" s="4" t="e">
        <f>#REF!</f>
        <v>#REF!</v>
      </c>
      <c r="I71" s="8" t="e">
        <f>TRUNC(H71*D71,1)</f>
        <v>#REF!</v>
      </c>
      <c r="J71" s="4">
        <v>0</v>
      </c>
      <c r="K71" s="8"/>
      <c r="L71" s="4">
        <v>0</v>
      </c>
      <c r="M71" s="8"/>
      <c r="N71" s="12" t="s">
        <v>0</v>
      </c>
    </row>
    <row r="72" spans="1:14" ht="15" customHeight="1">
      <c r="A72" s="13"/>
      <c r="B72" s="14" t="s">
        <v>273</v>
      </c>
      <c r="C72" s="1" t="s">
        <v>0</v>
      </c>
      <c r="D72" s="3"/>
      <c r="E72" s="2" t="s">
        <v>24</v>
      </c>
      <c r="F72" s="4">
        <f t="shared" si="23"/>
        <v>263017</v>
      </c>
      <c r="G72" s="8">
        <f t="shared" si="22"/>
        <v>0</v>
      </c>
      <c r="H72" s="4">
        <v>0</v>
      </c>
      <c r="I72" s="8"/>
      <c r="J72" s="4">
        <f>노임!$D$9</f>
        <v>263017</v>
      </c>
      <c r="K72" s="8">
        <f>TRUNC(J72*D72,1)</f>
        <v>0</v>
      </c>
      <c r="L72" s="4">
        <v>0</v>
      </c>
      <c r="M72" s="8"/>
      <c r="N72" s="12" t="s">
        <v>0</v>
      </c>
    </row>
    <row r="73" spans="1:14" ht="15" customHeight="1">
      <c r="A73" s="13"/>
      <c r="B73" s="14" t="s">
        <v>262</v>
      </c>
      <c r="C73" s="1" t="s">
        <v>0</v>
      </c>
      <c r="D73" s="3"/>
      <c r="E73" s="2" t="s">
        <v>24</v>
      </c>
      <c r="F73" s="4">
        <f t="shared" si="23"/>
        <v>172068</v>
      </c>
      <c r="G73" s="8">
        <f t="shared" si="22"/>
        <v>0</v>
      </c>
      <c r="H73" s="4">
        <v>0</v>
      </c>
      <c r="I73" s="8"/>
      <c r="J73" s="4">
        <f>노임!$D$3</f>
        <v>172068</v>
      </c>
      <c r="K73" s="8">
        <f>TRUNC(J73*D73,1)</f>
        <v>0</v>
      </c>
      <c r="L73" s="4">
        <v>0</v>
      </c>
      <c r="M73" s="8"/>
      <c r="N73" s="12" t="s">
        <v>0</v>
      </c>
    </row>
    <row r="74" spans="1:14" ht="15" customHeight="1">
      <c r="A74" s="13"/>
      <c r="B74" s="14" t="s">
        <v>269</v>
      </c>
      <c r="C74" s="1" t="s">
        <v>201</v>
      </c>
      <c r="D74" s="3">
        <v>0.22</v>
      </c>
      <c r="E74" s="2" t="s">
        <v>27</v>
      </c>
      <c r="F74" s="4" t="e">
        <f t="shared" si="23"/>
        <v>#REF!</v>
      </c>
      <c r="G74" s="8" t="e">
        <f t="shared" si="22"/>
        <v>#REF!</v>
      </c>
      <c r="H74" s="4" t="e">
        <f>#REF!</f>
        <v>#REF!</v>
      </c>
      <c r="I74" s="8" t="e">
        <f>TRUNC(H74*D74,1)</f>
        <v>#REF!</v>
      </c>
      <c r="J74" s="4">
        <v>0</v>
      </c>
      <c r="K74" s="8"/>
      <c r="L74" s="4">
        <v>0</v>
      </c>
      <c r="M74" s="8"/>
      <c r="N74" s="12" t="s">
        <v>0</v>
      </c>
    </row>
    <row r="75" spans="1:14" ht="15" customHeight="1">
      <c r="A75" s="13"/>
      <c r="B75" s="14" t="s">
        <v>270</v>
      </c>
      <c r="C75" s="1" t="s">
        <v>202</v>
      </c>
      <c r="D75" s="3">
        <v>2.46</v>
      </c>
      <c r="E75" s="2" t="s">
        <v>6</v>
      </c>
      <c r="F75" s="4" t="e">
        <f t="shared" si="23"/>
        <v>#REF!</v>
      </c>
      <c r="G75" s="8" t="e">
        <f t="shared" si="22"/>
        <v>#REF!</v>
      </c>
      <c r="H75" s="4" t="e">
        <f>#REF!</f>
        <v>#REF!</v>
      </c>
      <c r="I75" s="8" t="e">
        <f>TRUNC(H75*D75,1)</f>
        <v>#REF!</v>
      </c>
      <c r="J75" s="4">
        <v>0</v>
      </c>
      <c r="K75" s="8"/>
      <c r="L75" s="4">
        <v>0</v>
      </c>
      <c r="M75" s="8"/>
      <c r="N75" s="12" t="s">
        <v>0</v>
      </c>
    </row>
    <row r="76" spans="1:14" ht="15" customHeight="1">
      <c r="A76" s="13"/>
      <c r="B76" s="14" t="s">
        <v>271</v>
      </c>
      <c r="C76" s="1" t="s">
        <v>203</v>
      </c>
      <c r="D76" s="3">
        <v>1.84</v>
      </c>
      <c r="E76" s="2" t="s">
        <v>14</v>
      </c>
      <c r="F76" s="4" t="e">
        <f t="shared" si="23"/>
        <v>#REF!</v>
      </c>
      <c r="G76" s="8" t="e">
        <f t="shared" si="22"/>
        <v>#REF!</v>
      </c>
      <c r="H76" s="4" t="e">
        <f>#REF!</f>
        <v>#REF!</v>
      </c>
      <c r="I76" s="8" t="e">
        <f>TRUNC(H76*D76,1)</f>
        <v>#REF!</v>
      </c>
      <c r="J76" s="4">
        <v>0</v>
      </c>
      <c r="K76" s="8"/>
      <c r="L76" s="4">
        <v>0</v>
      </c>
      <c r="M76" s="8"/>
      <c r="N76" s="12" t="s">
        <v>0</v>
      </c>
    </row>
    <row r="77" spans="1:14" ht="15" customHeight="1">
      <c r="A77" s="13"/>
      <c r="B77" s="14" t="s">
        <v>272</v>
      </c>
      <c r="C77" s="1" t="s">
        <v>204</v>
      </c>
      <c r="D77" s="3">
        <v>1.84</v>
      </c>
      <c r="E77" s="2" t="s">
        <v>14</v>
      </c>
      <c r="F77" s="4" t="e">
        <f t="shared" si="23"/>
        <v>#REF!</v>
      </c>
      <c r="G77" s="8" t="e">
        <f t="shared" si="22"/>
        <v>#REF!</v>
      </c>
      <c r="H77" s="4" t="e">
        <f>#REF!</f>
        <v>#REF!</v>
      </c>
      <c r="I77" s="8" t="e">
        <f>TRUNC(H77*D77,1)</f>
        <v>#REF!</v>
      </c>
      <c r="J77" s="4">
        <v>0</v>
      </c>
      <c r="K77" s="8"/>
      <c r="L77" s="4">
        <v>0</v>
      </c>
      <c r="M77" s="8"/>
      <c r="N77" s="12" t="s">
        <v>0</v>
      </c>
    </row>
    <row r="78" spans="1:14" ht="15" customHeight="1">
      <c r="A78" s="13"/>
      <c r="B78" s="14" t="s">
        <v>273</v>
      </c>
      <c r="C78" s="1" t="s">
        <v>0</v>
      </c>
      <c r="D78" s="3">
        <v>0.32</v>
      </c>
      <c r="E78" s="2" t="s">
        <v>24</v>
      </c>
      <c r="F78" s="4">
        <f t="shared" si="23"/>
        <v>263017</v>
      </c>
      <c r="G78" s="8">
        <f t="shared" si="22"/>
        <v>84165.4</v>
      </c>
      <c r="H78" s="4">
        <v>0</v>
      </c>
      <c r="I78" s="8"/>
      <c r="J78" s="4">
        <f>노임!$D$9</f>
        <v>263017</v>
      </c>
      <c r="K78" s="8">
        <f>TRUNC(J78*D78,1)</f>
        <v>84165.4</v>
      </c>
      <c r="L78" s="4">
        <v>0</v>
      </c>
      <c r="M78" s="8"/>
      <c r="N78" s="12" t="s">
        <v>0</v>
      </c>
    </row>
    <row r="79" spans="1:14" ht="15" customHeight="1">
      <c r="A79" s="13"/>
      <c r="B79" s="14" t="s">
        <v>262</v>
      </c>
      <c r="C79" s="1" t="s">
        <v>0</v>
      </c>
      <c r="D79" s="3">
        <v>0.08</v>
      </c>
      <c r="E79" s="2" t="s">
        <v>24</v>
      </c>
      <c r="F79" s="4">
        <f t="shared" si="23"/>
        <v>172068</v>
      </c>
      <c r="G79" s="8">
        <f t="shared" si="22"/>
        <v>13765.4</v>
      </c>
      <c r="H79" s="4">
        <v>0</v>
      </c>
      <c r="I79" s="8"/>
      <c r="J79" s="4">
        <f>노임!$D$3</f>
        <v>172068</v>
      </c>
      <c r="K79" s="8">
        <f>TRUNC(J79*D79,1)</f>
        <v>13765.4</v>
      </c>
      <c r="L79" s="4">
        <v>0</v>
      </c>
      <c r="M79" s="8"/>
      <c r="N79" s="12" t="s">
        <v>0</v>
      </c>
    </row>
    <row r="80" spans="1:14" ht="15" customHeight="1">
      <c r="A80" s="16"/>
      <c r="B80" s="15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12"/>
    </row>
    <row r="81" spans="1:14" ht="15" customHeight="1">
      <c r="A81" s="52">
        <f>A68+1</f>
        <v>81</v>
      </c>
      <c r="B81" s="46" t="s">
        <v>274</v>
      </c>
      <c r="C81" s="47" t="s">
        <v>188</v>
      </c>
      <c r="D81" s="47">
        <v>1</v>
      </c>
      <c r="E81" s="48" t="s">
        <v>3</v>
      </c>
      <c r="F81" s="51"/>
      <c r="G81" s="50" t="e">
        <f t="shared" ref="G81:G92" si="24">I81+K81+M81</f>
        <v>#REF!</v>
      </c>
      <c r="H81" s="51"/>
      <c r="I81" s="50" t="e">
        <f>TRUNC(I82+I83+I84+I85+I86+I87+I88+I89+I90+I91+I92,0)</f>
        <v>#REF!</v>
      </c>
      <c r="J81" s="51"/>
      <c r="K81" s="50">
        <f>TRUNC(K82+K83+K84+K85+K86+K87+K88+K89+K90+K91+K92,0)</f>
        <v>186250</v>
      </c>
      <c r="L81" s="51"/>
      <c r="M81" s="50">
        <f>TRUNC(M82+M83+M84+M85+M86+M87+M88+M89+M90+M91+M92,0)</f>
        <v>0</v>
      </c>
      <c r="N81" s="63" t="str">
        <f>N68</f>
        <v>토목6-3-3</v>
      </c>
    </row>
    <row r="82" spans="1:14" ht="15" customHeight="1">
      <c r="A82" s="13"/>
      <c r="B82" s="14" t="s">
        <v>275</v>
      </c>
      <c r="C82" s="1" t="s">
        <v>0</v>
      </c>
      <c r="D82" s="3">
        <v>0.25</v>
      </c>
      <c r="E82" s="2" t="s">
        <v>27</v>
      </c>
      <c r="F82" s="4" t="e">
        <f t="shared" ref="F82:F92" si="25">H82+J82+L82</f>
        <v>#REF!</v>
      </c>
      <c r="G82" s="8" t="e">
        <f t="shared" si="24"/>
        <v>#REF!</v>
      </c>
      <c r="H82" s="4" t="e">
        <f>#REF!</f>
        <v>#REF!</v>
      </c>
      <c r="I82" s="8" t="e">
        <f>TRUNC(H82*D82,1)</f>
        <v>#REF!</v>
      </c>
      <c r="J82" s="4">
        <v>0</v>
      </c>
      <c r="K82" s="8"/>
      <c r="L82" s="4">
        <v>0</v>
      </c>
      <c r="M82" s="8"/>
      <c r="N82" s="12" t="s">
        <v>0</v>
      </c>
    </row>
    <row r="83" spans="1:14" ht="15" customHeight="1">
      <c r="A83" s="13"/>
      <c r="B83" s="14" t="s">
        <v>276</v>
      </c>
      <c r="C83" s="1" t="s">
        <v>0</v>
      </c>
      <c r="D83" s="3">
        <v>1.27</v>
      </c>
      <c r="E83" s="2" t="s">
        <v>27</v>
      </c>
      <c r="F83" s="4" t="e">
        <f t="shared" si="25"/>
        <v>#REF!</v>
      </c>
      <c r="G83" s="8" t="e">
        <f t="shared" si="24"/>
        <v>#REF!</v>
      </c>
      <c r="H83" s="4" t="e">
        <f>#REF!</f>
        <v>#REF!</v>
      </c>
      <c r="I83" s="8" t="e">
        <f>TRUNC(H83*D83,1)</f>
        <v>#REF!</v>
      </c>
      <c r="J83" s="4">
        <v>0</v>
      </c>
      <c r="K83" s="8"/>
      <c r="L83" s="4">
        <v>0</v>
      </c>
      <c r="M83" s="8"/>
      <c r="N83" s="12" t="s">
        <v>0</v>
      </c>
    </row>
    <row r="84" spans="1:14" ht="15" customHeight="1">
      <c r="A84" s="13"/>
      <c r="B84" s="14" t="s">
        <v>277</v>
      </c>
      <c r="C84" s="1" t="s">
        <v>39</v>
      </c>
      <c r="D84" s="3">
        <v>0.11</v>
      </c>
      <c r="E84" s="2" t="s">
        <v>38</v>
      </c>
      <c r="F84" s="4" t="e">
        <f t="shared" si="25"/>
        <v>#REF!</v>
      </c>
      <c r="G84" s="8" t="e">
        <f t="shared" si="24"/>
        <v>#REF!</v>
      </c>
      <c r="H84" s="4" t="e">
        <f>#REF!</f>
        <v>#REF!</v>
      </c>
      <c r="I84" s="8" t="e">
        <f>TRUNC(H84*D84,1)</f>
        <v>#REF!</v>
      </c>
      <c r="J84" s="4">
        <v>0</v>
      </c>
      <c r="K84" s="8"/>
      <c r="L84" s="4">
        <v>0</v>
      </c>
      <c r="M84" s="8"/>
      <c r="N84" s="12" t="s">
        <v>0</v>
      </c>
    </row>
    <row r="85" spans="1:14" ht="15" customHeight="1">
      <c r="A85" s="13"/>
      <c r="B85" s="14" t="s">
        <v>273</v>
      </c>
      <c r="C85" s="1" t="s">
        <v>0</v>
      </c>
      <c r="D85" s="3">
        <v>0.27</v>
      </c>
      <c r="E85" s="2" t="s">
        <v>24</v>
      </c>
      <c r="F85" s="4">
        <f t="shared" si="25"/>
        <v>263017</v>
      </c>
      <c r="G85" s="8">
        <f t="shared" si="24"/>
        <v>71014.5</v>
      </c>
      <c r="H85" s="4">
        <v>0</v>
      </c>
      <c r="I85" s="8"/>
      <c r="J85" s="4">
        <f>노임!$D$9</f>
        <v>263017</v>
      </c>
      <c r="K85" s="8">
        <f>TRUNC(J85*D85,1)</f>
        <v>71014.5</v>
      </c>
      <c r="L85" s="4">
        <v>0</v>
      </c>
      <c r="M85" s="8"/>
      <c r="N85" s="12" t="s">
        <v>0</v>
      </c>
    </row>
    <row r="86" spans="1:14" ht="15" customHeight="1">
      <c r="A86" s="13"/>
      <c r="B86" s="14" t="s">
        <v>262</v>
      </c>
      <c r="C86" s="1" t="s">
        <v>0</v>
      </c>
      <c r="D86" s="3">
        <v>7.0000000000000007E-2</v>
      </c>
      <c r="E86" s="2" t="s">
        <v>24</v>
      </c>
      <c r="F86" s="4">
        <f t="shared" si="25"/>
        <v>172068</v>
      </c>
      <c r="G86" s="8">
        <f t="shared" si="24"/>
        <v>12044.7</v>
      </c>
      <c r="H86" s="4">
        <v>0</v>
      </c>
      <c r="I86" s="8"/>
      <c r="J86" s="4">
        <f>노임!$D$3</f>
        <v>172068</v>
      </c>
      <c r="K86" s="8">
        <f>TRUNC(J86*D86,1)</f>
        <v>12044.7</v>
      </c>
      <c r="L86" s="4">
        <v>0</v>
      </c>
      <c r="M86" s="8"/>
      <c r="N86" s="12" t="s">
        <v>0</v>
      </c>
    </row>
    <row r="87" spans="1:14" ht="15" customHeight="1">
      <c r="A87" s="13"/>
      <c r="B87" s="14" t="s">
        <v>269</v>
      </c>
      <c r="C87" s="1" t="s">
        <v>201</v>
      </c>
      <c r="D87" s="3">
        <v>0.26</v>
      </c>
      <c r="E87" s="2" t="s">
        <v>27</v>
      </c>
      <c r="F87" s="4" t="e">
        <f t="shared" si="25"/>
        <v>#REF!</v>
      </c>
      <c r="G87" s="8" t="e">
        <f t="shared" si="24"/>
        <v>#REF!</v>
      </c>
      <c r="H87" s="4" t="e">
        <f>#REF!</f>
        <v>#REF!</v>
      </c>
      <c r="I87" s="8" t="e">
        <f>TRUNC(H87*D87,1)</f>
        <v>#REF!</v>
      </c>
      <c r="J87" s="4">
        <v>0</v>
      </c>
      <c r="K87" s="8"/>
      <c r="L87" s="4">
        <v>0</v>
      </c>
      <c r="M87" s="8"/>
      <c r="N87" s="12" t="s">
        <v>0</v>
      </c>
    </row>
    <row r="88" spans="1:14" ht="15" customHeight="1">
      <c r="A88" s="13"/>
      <c r="B88" s="14" t="s">
        <v>270</v>
      </c>
      <c r="C88" s="1" t="s">
        <v>202</v>
      </c>
      <c r="D88" s="3">
        <v>2.81</v>
      </c>
      <c r="E88" s="2" t="s">
        <v>6</v>
      </c>
      <c r="F88" s="4" t="e">
        <f t="shared" si="25"/>
        <v>#REF!</v>
      </c>
      <c r="G88" s="8" t="e">
        <f t="shared" si="24"/>
        <v>#REF!</v>
      </c>
      <c r="H88" s="4" t="e">
        <f>#REF!</f>
        <v>#REF!</v>
      </c>
      <c r="I88" s="8" t="e">
        <f>TRUNC(H88*D88,1)</f>
        <v>#REF!</v>
      </c>
      <c r="J88" s="4">
        <v>0</v>
      </c>
      <c r="K88" s="8"/>
      <c r="L88" s="4">
        <v>0</v>
      </c>
      <c r="M88" s="8"/>
      <c r="N88" s="12" t="s">
        <v>0</v>
      </c>
    </row>
    <row r="89" spans="1:14" ht="15" customHeight="1">
      <c r="A89" s="13"/>
      <c r="B89" s="14" t="s">
        <v>271</v>
      </c>
      <c r="C89" s="1" t="s">
        <v>203</v>
      </c>
      <c r="D89" s="3">
        <v>2.37</v>
      </c>
      <c r="E89" s="2" t="s">
        <v>14</v>
      </c>
      <c r="F89" s="4" t="e">
        <f t="shared" si="25"/>
        <v>#REF!</v>
      </c>
      <c r="G89" s="8" t="e">
        <f t="shared" si="24"/>
        <v>#REF!</v>
      </c>
      <c r="H89" s="4" t="e">
        <f>#REF!</f>
        <v>#REF!</v>
      </c>
      <c r="I89" s="8" t="e">
        <f>TRUNC(H89*D89,1)</f>
        <v>#REF!</v>
      </c>
      <c r="J89" s="4">
        <v>0</v>
      </c>
      <c r="K89" s="8"/>
      <c r="L89" s="4">
        <v>0</v>
      </c>
      <c r="M89" s="8"/>
      <c r="N89" s="12" t="s">
        <v>0</v>
      </c>
    </row>
    <row r="90" spans="1:14" ht="15" customHeight="1">
      <c r="A90" s="13"/>
      <c r="B90" s="14" t="s">
        <v>272</v>
      </c>
      <c r="C90" s="1" t="s">
        <v>204</v>
      </c>
      <c r="D90" s="3">
        <v>2.37</v>
      </c>
      <c r="E90" s="2" t="s">
        <v>14</v>
      </c>
      <c r="F90" s="4" t="e">
        <f t="shared" si="25"/>
        <v>#REF!</v>
      </c>
      <c r="G90" s="8" t="e">
        <f t="shared" si="24"/>
        <v>#REF!</v>
      </c>
      <c r="H90" s="4" t="e">
        <f>#REF!</f>
        <v>#REF!</v>
      </c>
      <c r="I90" s="8" t="e">
        <f>TRUNC(H90*D90,1)</f>
        <v>#REF!</v>
      </c>
      <c r="J90" s="4">
        <v>0</v>
      </c>
      <c r="K90" s="8"/>
      <c r="L90" s="4">
        <v>0</v>
      </c>
      <c r="M90" s="8"/>
      <c r="N90" s="12" t="s">
        <v>0</v>
      </c>
    </row>
    <row r="91" spans="1:14" ht="15" customHeight="1">
      <c r="A91" s="13"/>
      <c r="B91" s="14" t="s">
        <v>273</v>
      </c>
      <c r="C91" s="1" t="s">
        <v>0</v>
      </c>
      <c r="D91" s="3">
        <v>0.34</v>
      </c>
      <c r="E91" s="2" t="s">
        <v>24</v>
      </c>
      <c r="F91" s="4">
        <f t="shared" si="25"/>
        <v>263017</v>
      </c>
      <c r="G91" s="8">
        <f t="shared" si="24"/>
        <v>89425.7</v>
      </c>
      <c r="H91" s="4">
        <v>0</v>
      </c>
      <c r="I91" s="8"/>
      <c r="J91" s="4">
        <f>노임!$D$9</f>
        <v>263017</v>
      </c>
      <c r="K91" s="8">
        <f>TRUNC(J91*D91,1)</f>
        <v>89425.7</v>
      </c>
      <c r="L91" s="4">
        <v>0</v>
      </c>
      <c r="M91" s="8"/>
      <c r="N91" s="12" t="s">
        <v>0</v>
      </c>
    </row>
    <row r="92" spans="1:14" ht="15" customHeight="1">
      <c r="A92" s="13"/>
      <c r="B92" s="14" t="s">
        <v>262</v>
      </c>
      <c r="C92" s="1" t="s">
        <v>0</v>
      </c>
      <c r="D92" s="3">
        <v>0.08</v>
      </c>
      <c r="E92" s="2" t="s">
        <v>24</v>
      </c>
      <c r="F92" s="4">
        <f t="shared" si="25"/>
        <v>172068</v>
      </c>
      <c r="G92" s="8">
        <f t="shared" si="24"/>
        <v>13765.4</v>
      </c>
      <c r="H92" s="4">
        <v>0</v>
      </c>
      <c r="I92" s="8"/>
      <c r="J92" s="4">
        <f>노임!$D$3</f>
        <v>172068</v>
      </c>
      <c r="K92" s="8">
        <f>TRUNC(J92*D92,1)</f>
        <v>13765.4</v>
      </c>
      <c r="L92" s="4">
        <v>0</v>
      </c>
      <c r="M92" s="8"/>
      <c r="N92" s="12" t="s">
        <v>0</v>
      </c>
    </row>
    <row r="93" spans="1:14" ht="15" customHeight="1">
      <c r="A93" s="16"/>
      <c r="B93" s="15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12"/>
    </row>
    <row r="94" spans="1:14" ht="15" customHeight="1">
      <c r="A94" s="52">
        <f>A81+1</f>
        <v>82</v>
      </c>
      <c r="B94" s="46" t="s">
        <v>274</v>
      </c>
      <c r="C94" s="47" t="s">
        <v>171</v>
      </c>
      <c r="D94" s="47">
        <v>1</v>
      </c>
      <c r="E94" s="48" t="s">
        <v>3</v>
      </c>
      <c r="F94" s="51"/>
      <c r="G94" s="50" t="e">
        <f t="shared" ref="G94:G105" si="26">I94+K94+M94</f>
        <v>#REF!</v>
      </c>
      <c r="H94" s="51"/>
      <c r="I94" s="50" t="e">
        <f>TRUNC(I95+I96+I97+I98+I99+I100+I101+I102+I103+I104+I105,0)</f>
        <v>#REF!</v>
      </c>
      <c r="J94" s="51"/>
      <c r="K94" s="50">
        <f>TRUNC(K95+K96+K97+K98+K99+K100+K101+K102+K103+K104+K105,0)</f>
        <v>195861</v>
      </c>
      <c r="L94" s="51"/>
      <c r="M94" s="50">
        <f>TRUNC(M95+M96+M97+M98+M99+M100+M101+M102+M103+M104+M105,0)</f>
        <v>0</v>
      </c>
      <c r="N94" s="63" t="str">
        <f>N81</f>
        <v>토목6-3-3</v>
      </c>
    </row>
    <row r="95" spans="1:14" ht="15" customHeight="1">
      <c r="A95" s="13"/>
      <c r="B95" s="14" t="s">
        <v>275</v>
      </c>
      <c r="C95" s="1" t="s">
        <v>0</v>
      </c>
      <c r="D95" s="1">
        <v>0.28000000000000003</v>
      </c>
      <c r="E95" s="2" t="s">
        <v>27</v>
      </c>
      <c r="F95" s="4" t="e">
        <f t="shared" ref="F95:F105" si="27">H95+J95+L95</f>
        <v>#REF!</v>
      </c>
      <c r="G95" s="8" t="e">
        <f t="shared" si="26"/>
        <v>#REF!</v>
      </c>
      <c r="H95" s="4" t="e">
        <f>#REF!</f>
        <v>#REF!</v>
      </c>
      <c r="I95" s="8" t="e">
        <f>TRUNC(H95*D95,1)</f>
        <v>#REF!</v>
      </c>
      <c r="J95" s="4">
        <v>0</v>
      </c>
      <c r="K95" s="8"/>
      <c r="L95" s="4">
        <v>0</v>
      </c>
      <c r="M95" s="8"/>
      <c r="N95" s="12" t="s">
        <v>0</v>
      </c>
    </row>
    <row r="96" spans="1:14" ht="15" customHeight="1">
      <c r="A96" s="13"/>
      <c r="B96" s="14" t="s">
        <v>276</v>
      </c>
      <c r="C96" s="1" t="s">
        <v>0</v>
      </c>
      <c r="D96" s="1">
        <v>1.43</v>
      </c>
      <c r="E96" s="2" t="s">
        <v>27</v>
      </c>
      <c r="F96" s="4" t="e">
        <f t="shared" si="27"/>
        <v>#REF!</v>
      </c>
      <c r="G96" s="8" t="e">
        <f t="shared" si="26"/>
        <v>#REF!</v>
      </c>
      <c r="H96" s="4" t="e">
        <f>#REF!</f>
        <v>#REF!</v>
      </c>
      <c r="I96" s="8" t="e">
        <f>TRUNC(H96*D96,1)</f>
        <v>#REF!</v>
      </c>
      <c r="J96" s="4">
        <v>0</v>
      </c>
      <c r="K96" s="8"/>
      <c r="L96" s="4">
        <v>0</v>
      </c>
      <c r="M96" s="8"/>
      <c r="N96" s="12" t="s">
        <v>0</v>
      </c>
    </row>
    <row r="97" spans="1:14" ht="15" customHeight="1">
      <c r="A97" s="13"/>
      <c r="B97" s="14" t="s">
        <v>277</v>
      </c>
      <c r="C97" s="1" t="s">
        <v>39</v>
      </c>
      <c r="D97" s="1">
        <v>0.12</v>
      </c>
      <c r="E97" s="2" t="s">
        <v>38</v>
      </c>
      <c r="F97" s="4" t="e">
        <f t="shared" si="27"/>
        <v>#REF!</v>
      </c>
      <c r="G97" s="8" t="e">
        <f t="shared" si="26"/>
        <v>#REF!</v>
      </c>
      <c r="H97" s="4" t="e">
        <f>#REF!</f>
        <v>#REF!</v>
      </c>
      <c r="I97" s="8" t="e">
        <f>TRUNC(H97*D97,1)</f>
        <v>#REF!</v>
      </c>
      <c r="J97" s="4">
        <v>0</v>
      </c>
      <c r="K97" s="8"/>
      <c r="L97" s="4">
        <v>0</v>
      </c>
      <c r="M97" s="8"/>
      <c r="N97" s="12" t="s">
        <v>0</v>
      </c>
    </row>
    <row r="98" spans="1:14" ht="15" customHeight="1">
      <c r="A98" s="13"/>
      <c r="B98" s="14" t="s">
        <v>273</v>
      </c>
      <c r="C98" s="1" t="s">
        <v>0</v>
      </c>
      <c r="D98" s="3">
        <v>0.28000000000000003</v>
      </c>
      <c r="E98" s="2" t="s">
        <v>24</v>
      </c>
      <c r="F98" s="4">
        <f t="shared" si="27"/>
        <v>263017</v>
      </c>
      <c r="G98" s="8">
        <f t="shared" si="26"/>
        <v>73644.7</v>
      </c>
      <c r="H98" s="4">
        <v>0</v>
      </c>
      <c r="I98" s="8"/>
      <c r="J98" s="4">
        <f>노임!$D$9</f>
        <v>263017</v>
      </c>
      <c r="K98" s="8">
        <f>TRUNC(J98*D98,1)</f>
        <v>73644.7</v>
      </c>
      <c r="L98" s="4">
        <v>0</v>
      </c>
      <c r="M98" s="8"/>
      <c r="N98" s="12" t="s">
        <v>0</v>
      </c>
    </row>
    <row r="99" spans="1:14" ht="15" customHeight="1">
      <c r="A99" s="13"/>
      <c r="B99" s="14" t="s">
        <v>262</v>
      </c>
      <c r="C99" s="1" t="s">
        <v>0</v>
      </c>
      <c r="D99" s="3">
        <v>7.0000000000000007E-2</v>
      </c>
      <c r="E99" s="2" t="s">
        <v>24</v>
      </c>
      <c r="F99" s="4">
        <f t="shared" si="27"/>
        <v>172068</v>
      </c>
      <c r="G99" s="8">
        <f t="shared" si="26"/>
        <v>12044.7</v>
      </c>
      <c r="H99" s="4">
        <v>0</v>
      </c>
      <c r="I99" s="8"/>
      <c r="J99" s="4">
        <f>노임!$D$3</f>
        <v>172068</v>
      </c>
      <c r="K99" s="8">
        <f>TRUNC(J99*D99,1)</f>
        <v>12044.7</v>
      </c>
      <c r="L99" s="4">
        <v>0</v>
      </c>
      <c r="M99" s="8"/>
      <c r="N99" s="12" t="s">
        <v>0</v>
      </c>
    </row>
    <row r="100" spans="1:14" ht="15" customHeight="1">
      <c r="A100" s="13"/>
      <c r="B100" s="14" t="s">
        <v>269</v>
      </c>
      <c r="C100" s="1" t="s">
        <v>201</v>
      </c>
      <c r="D100" s="1">
        <v>0.28999999999999998</v>
      </c>
      <c r="E100" s="2" t="s">
        <v>27</v>
      </c>
      <c r="F100" s="4" t="e">
        <f t="shared" si="27"/>
        <v>#REF!</v>
      </c>
      <c r="G100" s="8" t="e">
        <f t="shared" si="26"/>
        <v>#REF!</v>
      </c>
      <c r="H100" s="4" t="e">
        <f>#REF!</f>
        <v>#REF!</v>
      </c>
      <c r="I100" s="8" t="e">
        <f>TRUNC(H100*D100,1)</f>
        <v>#REF!</v>
      </c>
      <c r="J100" s="4">
        <v>0</v>
      </c>
      <c r="K100" s="8"/>
      <c r="L100" s="4">
        <v>0</v>
      </c>
      <c r="M100" s="8"/>
      <c r="N100" s="12" t="s">
        <v>0</v>
      </c>
    </row>
    <row r="101" spans="1:14" ht="15" customHeight="1">
      <c r="A101" s="13"/>
      <c r="B101" s="14" t="s">
        <v>270</v>
      </c>
      <c r="C101" s="1" t="s">
        <v>202</v>
      </c>
      <c r="D101" s="1">
        <v>3.16</v>
      </c>
      <c r="E101" s="2" t="s">
        <v>6</v>
      </c>
      <c r="F101" s="4" t="e">
        <f t="shared" si="27"/>
        <v>#REF!</v>
      </c>
      <c r="G101" s="8" t="e">
        <f t="shared" si="26"/>
        <v>#REF!</v>
      </c>
      <c r="H101" s="4" t="e">
        <f>#REF!</f>
        <v>#REF!</v>
      </c>
      <c r="I101" s="8" t="e">
        <f>TRUNC(H101*D101,1)</f>
        <v>#REF!</v>
      </c>
      <c r="J101" s="4">
        <v>0</v>
      </c>
      <c r="K101" s="8"/>
      <c r="L101" s="4">
        <v>0</v>
      </c>
      <c r="M101" s="8"/>
      <c r="N101" s="12" t="s">
        <v>0</v>
      </c>
    </row>
    <row r="102" spans="1:14" ht="15" customHeight="1">
      <c r="A102" s="13"/>
      <c r="B102" s="14" t="s">
        <v>271</v>
      </c>
      <c r="C102" s="1" t="s">
        <v>203</v>
      </c>
      <c r="D102" s="1">
        <v>2.66</v>
      </c>
      <c r="E102" s="2" t="s">
        <v>14</v>
      </c>
      <c r="F102" s="4" t="e">
        <f t="shared" si="27"/>
        <v>#REF!</v>
      </c>
      <c r="G102" s="8" t="e">
        <f t="shared" si="26"/>
        <v>#REF!</v>
      </c>
      <c r="H102" s="4" t="e">
        <f>#REF!</f>
        <v>#REF!</v>
      </c>
      <c r="I102" s="8" t="e">
        <f>TRUNC(H102*D102,1)</f>
        <v>#REF!</v>
      </c>
      <c r="J102" s="4">
        <v>0</v>
      </c>
      <c r="K102" s="8"/>
      <c r="L102" s="4">
        <v>0</v>
      </c>
      <c r="M102" s="8"/>
      <c r="N102" s="12" t="s">
        <v>0</v>
      </c>
    </row>
    <row r="103" spans="1:14" ht="15" customHeight="1">
      <c r="A103" s="13"/>
      <c r="B103" s="14" t="s">
        <v>272</v>
      </c>
      <c r="C103" s="1" t="s">
        <v>204</v>
      </c>
      <c r="D103" s="1">
        <v>2.66</v>
      </c>
      <c r="E103" s="2" t="s">
        <v>14</v>
      </c>
      <c r="F103" s="4" t="e">
        <f t="shared" si="27"/>
        <v>#REF!</v>
      </c>
      <c r="G103" s="8" t="e">
        <f t="shared" si="26"/>
        <v>#REF!</v>
      </c>
      <c r="H103" s="4" t="e">
        <f>#REF!</f>
        <v>#REF!</v>
      </c>
      <c r="I103" s="8" t="e">
        <f>TRUNC(H103*D103,1)</f>
        <v>#REF!</v>
      </c>
      <c r="J103" s="4">
        <v>0</v>
      </c>
      <c r="K103" s="8"/>
      <c r="L103" s="4">
        <v>0</v>
      </c>
      <c r="M103" s="8"/>
      <c r="N103" s="12" t="s">
        <v>0</v>
      </c>
    </row>
    <row r="104" spans="1:14" ht="15" customHeight="1">
      <c r="A104" s="13"/>
      <c r="B104" s="14" t="s">
        <v>273</v>
      </c>
      <c r="C104" s="1" t="s">
        <v>0</v>
      </c>
      <c r="D104" s="3">
        <v>0.36</v>
      </c>
      <c r="E104" s="2" t="s">
        <v>24</v>
      </c>
      <c r="F104" s="4">
        <f t="shared" si="27"/>
        <v>263017</v>
      </c>
      <c r="G104" s="8">
        <f t="shared" si="26"/>
        <v>94686.1</v>
      </c>
      <c r="H104" s="4">
        <v>0</v>
      </c>
      <c r="I104" s="8"/>
      <c r="J104" s="4">
        <f>노임!$D$9</f>
        <v>263017</v>
      </c>
      <c r="K104" s="8">
        <f>TRUNC(J104*D104,1)</f>
        <v>94686.1</v>
      </c>
      <c r="L104" s="4">
        <v>0</v>
      </c>
      <c r="M104" s="8"/>
      <c r="N104" s="12" t="s">
        <v>0</v>
      </c>
    </row>
    <row r="105" spans="1:14" ht="15" customHeight="1">
      <c r="A105" s="13"/>
      <c r="B105" s="14" t="s">
        <v>262</v>
      </c>
      <c r="C105" s="1" t="s">
        <v>0</v>
      </c>
      <c r="D105" s="3">
        <v>0.09</v>
      </c>
      <c r="E105" s="2" t="s">
        <v>24</v>
      </c>
      <c r="F105" s="4">
        <f t="shared" si="27"/>
        <v>172068</v>
      </c>
      <c r="G105" s="8">
        <f t="shared" si="26"/>
        <v>15486.1</v>
      </c>
      <c r="H105" s="4">
        <v>0</v>
      </c>
      <c r="I105" s="8"/>
      <c r="J105" s="4">
        <f>노임!$D$3</f>
        <v>172068</v>
      </c>
      <c r="K105" s="8">
        <f>TRUNC(J105*D105,1)</f>
        <v>15486.1</v>
      </c>
      <c r="L105" s="4">
        <v>0</v>
      </c>
      <c r="M105" s="8"/>
      <c r="N105" s="12" t="s">
        <v>0</v>
      </c>
    </row>
    <row r="106" spans="1:14" ht="15" customHeight="1">
      <c r="A106" s="16"/>
      <c r="B106" s="15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12"/>
    </row>
    <row r="107" spans="1:14" ht="15" customHeight="1">
      <c r="A107" s="52">
        <f>A94+1</f>
        <v>83</v>
      </c>
      <c r="B107" s="46" t="s">
        <v>274</v>
      </c>
      <c r="C107" s="47" t="s">
        <v>189</v>
      </c>
      <c r="D107" s="47">
        <v>1</v>
      </c>
      <c r="E107" s="48" t="s">
        <v>3</v>
      </c>
      <c r="F107" s="51"/>
      <c r="G107" s="50" t="e">
        <f t="shared" ref="G107:G118" si="28">I107+K107+M107</f>
        <v>#REF!</v>
      </c>
      <c r="H107" s="51"/>
      <c r="I107" s="50" t="e">
        <f>TRUNC(I108+I109+I110+I111+I112+I113+I114+I115+I116+I117+I118,0)</f>
        <v>#REF!</v>
      </c>
      <c r="J107" s="51"/>
      <c r="K107" s="50">
        <f>TRUNC(K108+K109+K110+K111+K112+K113+K114+K115+K116+K117+K118,0)</f>
        <v>206382</v>
      </c>
      <c r="L107" s="51"/>
      <c r="M107" s="50">
        <f>TRUNC(M108+M109+M110+M111+M112+M113+M114+M115+M116+M117+M118,0)</f>
        <v>0</v>
      </c>
      <c r="N107" s="63" t="str">
        <f>N94</f>
        <v>토목6-3-3</v>
      </c>
    </row>
    <row r="108" spans="1:14" ht="15" customHeight="1">
      <c r="A108" s="13"/>
      <c r="B108" s="14" t="s">
        <v>275</v>
      </c>
      <c r="C108" s="1" t="s">
        <v>0</v>
      </c>
      <c r="D108" s="3">
        <v>0.32</v>
      </c>
      <c r="E108" s="2" t="s">
        <v>27</v>
      </c>
      <c r="F108" s="4" t="e">
        <f t="shared" ref="F108:F118" si="29">H108+J108+L108</f>
        <v>#REF!</v>
      </c>
      <c r="G108" s="8" t="e">
        <f t="shared" si="28"/>
        <v>#REF!</v>
      </c>
      <c r="H108" s="4" t="e">
        <f>#REF!</f>
        <v>#REF!</v>
      </c>
      <c r="I108" s="8" t="e">
        <f>TRUNC(H108*D108,1)</f>
        <v>#REF!</v>
      </c>
      <c r="J108" s="4">
        <v>0</v>
      </c>
      <c r="K108" s="8"/>
      <c r="L108" s="4">
        <v>0</v>
      </c>
      <c r="M108" s="8"/>
      <c r="N108" s="12" t="s">
        <v>0</v>
      </c>
    </row>
    <row r="109" spans="1:14" ht="15" customHeight="1">
      <c r="A109" s="13"/>
      <c r="B109" s="14" t="s">
        <v>276</v>
      </c>
      <c r="C109" s="1" t="s">
        <v>0</v>
      </c>
      <c r="D109" s="3">
        <v>1.59</v>
      </c>
      <c r="E109" s="2" t="s">
        <v>27</v>
      </c>
      <c r="F109" s="4" t="e">
        <f t="shared" si="29"/>
        <v>#REF!</v>
      </c>
      <c r="G109" s="8" t="e">
        <f t="shared" si="28"/>
        <v>#REF!</v>
      </c>
      <c r="H109" s="4" t="e">
        <f>#REF!</f>
        <v>#REF!</v>
      </c>
      <c r="I109" s="8" t="e">
        <f>TRUNC(H109*D109,1)</f>
        <v>#REF!</v>
      </c>
      <c r="J109" s="4">
        <v>0</v>
      </c>
      <c r="K109" s="8"/>
      <c r="L109" s="4">
        <v>0</v>
      </c>
      <c r="M109" s="8"/>
      <c r="N109" s="12" t="s">
        <v>0</v>
      </c>
    </row>
    <row r="110" spans="1:14" ht="15" customHeight="1">
      <c r="A110" s="13"/>
      <c r="B110" s="14" t="s">
        <v>277</v>
      </c>
      <c r="C110" s="1" t="s">
        <v>39</v>
      </c>
      <c r="D110" s="3">
        <v>0.14000000000000001</v>
      </c>
      <c r="E110" s="2" t="s">
        <v>38</v>
      </c>
      <c r="F110" s="4" t="e">
        <f t="shared" si="29"/>
        <v>#REF!</v>
      </c>
      <c r="G110" s="8" t="e">
        <f t="shared" si="28"/>
        <v>#REF!</v>
      </c>
      <c r="H110" s="4" t="e">
        <f>#REF!</f>
        <v>#REF!</v>
      </c>
      <c r="I110" s="8" t="e">
        <f>TRUNC(H110*D110,1)</f>
        <v>#REF!</v>
      </c>
      <c r="J110" s="4">
        <v>0</v>
      </c>
      <c r="K110" s="8"/>
      <c r="L110" s="4">
        <v>0</v>
      </c>
      <c r="M110" s="8"/>
      <c r="N110" s="12" t="s">
        <v>0</v>
      </c>
    </row>
    <row r="111" spans="1:14" ht="15" customHeight="1">
      <c r="A111" s="13"/>
      <c r="B111" s="14" t="s">
        <v>273</v>
      </c>
      <c r="C111" s="1" t="s">
        <v>0</v>
      </c>
      <c r="D111" s="3">
        <v>0.3</v>
      </c>
      <c r="E111" s="2" t="s">
        <v>24</v>
      </c>
      <c r="F111" s="4">
        <f t="shared" si="29"/>
        <v>263017</v>
      </c>
      <c r="G111" s="8">
        <f t="shared" si="28"/>
        <v>78905.100000000006</v>
      </c>
      <c r="H111" s="4">
        <v>0</v>
      </c>
      <c r="I111" s="8"/>
      <c r="J111" s="4">
        <f>노임!$D$9</f>
        <v>263017</v>
      </c>
      <c r="K111" s="8">
        <f>TRUNC(J111*D111,1)</f>
        <v>78905.100000000006</v>
      </c>
      <c r="L111" s="4">
        <v>0</v>
      </c>
      <c r="M111" s="8"/>
      <c r="N111" s="12" t="s">
        <v>0</v>
      </c>
    </row>
    <row r="112" spans="1:14" ht="15" customHeight="1">
      <c r="A112" s="13"/>
      <c r="B112" s="14" t="s">
        <v>262</v>
      </c>
      <c r="C112" s="1" t="s">
        <v>0</v>
      </c>
      <c r="D112" s="3">
        <v>7.0000000000000007E-2</v>
      </c>
      <c r="E112" s="2" t="s">
        <v>24</v>
      </c>
      <c r="F112" s="4">
        <f t="shared" si="29"/>
        <v>172068</v>
      </c>
      <c r="G112" s="8">
        <f t="shared" si="28"/>
        <v>12044.7</v>
      </c>
      <c r="H112" s="4">
        <v>0</v>
      </c>
      <c r="I112" s="8"/>
      <c r="J112" s="4">
        <f>노임!$D$3</f>
        <v>172068</v>
      </c>
      <c r="K112" s="8">
        <f>TRUNC(J112*D112,1)</f>
        <v>12044.7</v>
      </c>
      <c r="L112" s="4">
        <v>0</v>
      </c>
      <c r="M112" s="8"/>
      <c r="N112" s="12" t="s">
        <v>0</v>
      </c>
    </row>
    <row r="113" spans="1:14" ht="15" customHeight="1">
      <c r="A113" s="13"/>
      <c r="B113" s="14" t="s">
        <v>269</v>
      </c>
      <c r="C113" s="1" t="s">
        <v>201</v>
      </c>
      <c r="D113" s="3">
        <v>0.32</v>
      </c>
      <c r="E113" s="2" t="s">
        <v>27</v>
      </c>
      <c r="F113" s="4" t="e">
        <f t="shared" si="29"/>
        <v>#REF!</v>
      </c>
      <c r="G113" s="8" t="e">
        <f t="shared" si="28"/>
        <v>#REF!</v>
      </c>
      <c r="H113" s="4" t="e">
        <f>#REF!</f>
        <v>#REF!</v>
      </c>
      <c r="I113" s="8" t="e">
        <f>TRUNC(H113*D113,1)</f>
        <v>#REF!</v>
      </c>
      <c r="J113" s="4">
        <v>0</v>
      </c>
      <c r="K113" s="8"/>
      <c r="L113" s="4">
        <v>0</v>
      </c>
      <c r="M113" s="8"/>
      <c r="N113" s="12" t="s">
        <v>0</v>
      </c>
    </row>
    <row r="114" spans="1:14" ht="15" customHeight="1">
      <c r="A114" s="13"/>
      <c r="B114" s="14" t="s">
        <v>270</v>
      </c>
      <c r="C114" s="1" t="s">
        <v>202</v>
      </c>
      <c r="D114" s="3">
        <v>3.51</v>
      </c>
      <c r="E114" s="2" t="s">
        <v>6</v>
      </c>
      <c r="F114" s="4" t="e">
        <f t="shared" si="29"/>
        <v>#REF!</v>
      </c>
      <c r="G114" s="8" t="e">
        <f t="shared" si="28"/>
        <v>#REF!</v>
      </c>
      <c r="H114" s="4" t="e">
        <f>#REF!</f>
        <v>#REF!</v>
      </c>
      <c r="I114" s="8" t="e">
        <f>TRUNC(H114*D114,1)</f>
        <v>#REF!</v>
      </c>
      <c r="J114" s="4">
        <v>0</v>
      </c>
      <c r="K114" s="8"/>
      <c r="L114" s="4">
        <v>0</v>
      </c>
      <c r="M114" s="8"/>
      <c r="N114" s="12" t="s">
        <v>0</v>
      </c>
    </row>
    <row r="115" spans="1:14" ht="15" customHeight="1">
      <c r="A115" s="13"/>
      <c r="B115" s="14" t="s">
        <v>271</v>
      </c>
      <c r="C115" s="1" t="s">
        <v>203</v>
      </c>
      <c r="D115" s="3">
        <v>2.97</v>
      </c>
      <c r="E115" s="2" t="s">
        <v>14</v>
      </c>
      <c r="F115" s="4" t="e">
        <f t="shared" si="29"/>
        <v>#REF!</v>
      </c>
      <c r="G115" s="8" t="e">
        <f t="shared" si="28"/>
        <v>#REF!</v>
      </c>
      <c r="H115" s="4" t="e">
        <f>#REF!</f>
        <v>#REF!</v>
      </c>
      <c r="I115" s="8" t="e">
        <f>TRUNC(H115*D115,1)</f>
        <v>#REF!</v>
      </c>
      <c r="J115" s="4">
        <v>0</v>
      </c>
      <c r="K115" s="8"/>
      <c r="L115" s="4">
        <v>0</v>
      </c>
      <c r="M115" s="8"/>
      <c r="N115" s="12" t="s">
        <v>0</v>
      </c>
    </row>
    <row r="116" spans="1:14" ht="15" customHeight="1">
      <c r="A116" s="13"/>
      <c r="B116" s="14" t="s">
        <v>272</v>
      </c>
      <c r="C116" s="1" t="s">
        <v>204</v>
      </c>
      <c r="D116" s="3">
        <v>2.97</v>
      </c>
      <c r="E116" s="2" t="s">
        <v>14</v>
      </c>
      <c r="F116" s="4" t="e">
        <f t="shared" si="29"/>
        <v>#REF!</v>
      </c>
      <c r="G116" s="8" t="e">
        <f t="shared" si="28"/>
        <v>#REF!</v>
      </c>
      <c r="H116" s="4" t="e">
        <f>#REF!</f>
        <v>#REF!</v>
      </c>
      <c r="I116" s="8" t="e">
        <f>TRUNC(H116*D116,1)</f>
        <v>#REF!</v>
      </c>
      <c r="J116" s="4">
        <v>0</v>
      </c>
      <c r="K116" s="8"/>
      <c r="L116" s="4">
        <v>0</v>
      </c>
      <c r="M116" s="8"/>
      <c r="N116" s="12" t="s">
        <v>0</v>
      </c>
    </row>
    <row r="117" spans="1:14" ht="15" customHeight="1">
      <c r="A117" s="13"/>
      <c r="B117" s="14" t="s">
        <v>273</v>
      </c>
      <c r="C117" s="1" t="s">
        <v>0</v>
      </c>
      <c r="D117" s="3">
        <v>0.38</v>
      </c>
      <c r="E117" s="2" t="s">
        <v>24</v>
      </c>
      <c r="F117" s="4">
        <f t="shared" si="29"/>
        <v>263017</v>
      </c>
      <c r="G117" s="8">
        <f t="shared" si="28"/>
        <v>99946.4</v>
      </c>
      <c r="H117" s="4">
        <v>0</v>
      </c>
      <c r="I117" s="8"/>
      <c r="J117" s="4">
        <f>노임!$D$9</f>
        <v>263017</v>
      </c>
      <c r="K117" s="8">
        <f>TRUNC(J117*D117,1)</f>
        <v>99946.4</v>
      </c>
      <c r="L117" s="4">
        <v>0</v>
      </c>
      <c r="M117" s="8"/>
      <c r="N117" s="12" t="s">
        <v>0</v>
      </c>
    </row>
    <row r="118" spans="1:14" ht="15" customHeight="1">
      <c r="A118" s="13"/>
      <c r="B118" s="14" t="s">
        <v>262</v>
      </c>
      <c r="C118" s="1" t="s">
        <v>0</v>
      </c>
      <c r="D118" s="3">
        <v>0.09</v>
      </c>
      <c r="E118" s="2" t="s">
        <v>24</v>
      </c>
      <c r="F118" s="4">
        <f t="shared" si="29"/>
        <v>172068</v>
      </c>
      <c r="G118" s="8">
        <f t="shared" si="28"/>
        <v>15486.1</v>
      </c>
      <c r="H118" s="4">
        <v>0</v>
      </c>
      <c r="I118" s="8"/>
      <c r="J118" s="4">
        <f>노임!$D$3</f>
        <v>172068</v>
      </c>
      <c r="K118" s="8">
        <f>TRUNC(J118*D118,1)</f>
        <v>15486.1</v>
      </c>
      <c r="L118" s="4">
        <v>0</v>
      </c>
      <c r="M118" s="8"/>
      <c r="N118" s="12" t="s">
        <v>0</v>
      </c>
    </row>
    <row r="119" spans="1:14" ht="15" customHeight="1">
      <c r="A119" s="16"/>
      <c r="B119" s="15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12"/>
    </row>
    <row r="120" spans="1:14" ht="15" customHeight="1">
      <c r="A120" s="52">
        <f>A107+1</f>
        <v>84</v>
      </c>
      <c r="B120" s="46" t="s">
        <v>274</v>
      </c>
      <c r="C120" s="47" t="s">
        <v>190</v>
      </c>
      <c r="D120" s="47">
        <v>1</v>
      </c>
      <c r="E120" s="48" t="s">
        <v>3</v>
      </c>
      <c r="F120" s="51"/>
      <c r="G120" s="50" t="e">
        <f t="shared" ref="G120:G131" si="30">I120+K120+M120</f>
        <v>#REF!</v>
      </c>
      <c r="H120" s="51"/>
      <c r="I120" s="50" t="e">
        <f>TRUNC(I121+I122+I123+I124+I125+I126+I127+I128+I129+I130+I131,0)</f>
        <v>#REF!</v>
      </c>
      <c r="J120" s="51"/>
      <c r="K120" s="50">
        <f>TRUNC(K121+K122+K123+K124+K125+K126+K127+K128+K129+K130+K131,0)</f>
        <v>217714</v>
      </c>
      <c r="L120" s="51"/>
      <c r="M120" s="50">
        <f>TRUNC(M121+M122+M123+M124+M125+M126+M127+M128+M129+M130+M131,0)</f>
        <v>0</v>
      </c>
      <c r="N120" s="63" t="str">
        <f>N107</f>
        <v>토목6-3-3</v>
      </c>
    </row>
    <row r="121" spans="1:14" ht="15" customHeight="1">
      <c r="A121" s="13"/>
      <c r="B121" s="14" t="s">
        <v>275</v>
      </c>
      <c r="C121" s="1" t="s">
        <v>0</v>
      </c>
      <c r="D121" s="3">
        <v>0.35</v>
      </c>
      <c r="E121" s="2" t="s">
        <v>27</v>
      </c>
      <c r="F121" s="4" t="e">
        <f t="shared" ref="F121:F131" si="31">H121+J121+L121</f>
        <v>#REF!</v>
      </c>
      <c r="G121" s="8" t="e">
        <f t="shared" si="30"/>
        <v>#REF!</v>
      </c>
      <c r="H121" s="4" t="e">
        <f>#REF!</f>
        <v>#REF!</v>
      </c>
      <c r="I121" s="8" t="e">
        <f>TRUNC(H121*D121,1)</f>
        <v>#REF!</v>
      </c>
      <c r="J121" s="4">
        <v>0</v>
      </c>
      <c r="K121" s="8"/>
      <c r="L121" s="4">
        <v>0</v>
      </c>
      <c r="M121" s="8"/>
      <c r="N121" s="12" t="s">
        <v>0</v>
      </c>
    </row>
    <row r="122" spans="1:14" ht="15" customHeight="1">
      <c r="A122" s="13"/>
      <c r="B122" s="14" t="s">
        <v>276</v>
      </c>
      <c r="C122" s="1" t="s">
        <v>0</v>
      </c>
      <c r="D122" s="3">
        <v>1.75</v>
      </c>
      <c r="E122" s="2" t="s">
        <v>27</v>
      </c>
      <c r="F122" s="4" t="e">
        <f t="shared" si="31"/>
        <v>#REF!</v>
      </c>
      <c r="G122" s="8" t="e">
        <f t="shared" si="30"/>
        <v>#REF!</v>
      </c>
      <c r="H122" s="4" t="e">
        <f>#REF!</f>
        <v>#REF!</v>
      </c>
      <c r="I122" s="8" t="e">
        <f>TRUNC(H122*D122,1)</f>
        <v>#REF!</v>
      </c>
      <c r="J122" s="4">
        <v>0</v>
      </c>
      <c r="K122" s="8"/>
      <c r="L122" s="4">
        <v>0</v>
      </c>
      <c r="M122" s="8"/>
      <c r="N122" s="12" t="s">
        <v>0</v>
      </c>
    </row>
    <row r="123" spans="1:14" ht="15" customHeight="1">
      <c r="A123" s="13"/>
      <c r="B123" s="14" t="s">
        <v>277</v>
      </c>
      <c r="C123" s="1" t="s">
        <v>39</v>
      </c>
      <c r="D123" s="3">
        <v>0.15</v>
      </c>
      <c r="E123" s="2" t="s">
        <v>38</v>
      </c>
      <c r="F123" s="4" t="e">
        <f t="shared" si="31"/>
        <v>#REF!</v>
      </c>
      <c r="G123" s="8" t="e">
        <f t="shared" si="30"/>
        <v>#REF!</v>
      </c>
      <c r="H123" s="4" t="e">
        <f>#REF!</f>
        <v>#REF!</v>
      </c>
      <c r="I123" s="8" t="e">
        <f>TRUNC(H123*D123,1)</f>
        <v>#REF!</v>
      </c>
      <c r="J123" s="4">
        <v>0</v>
      </c>
      <c r="K123" s="8"/>
      <c r="L123" s="4">
        <v>0</v>
      </c>
      <c r="M123" s="8"/>
      <c r="N123" s="12" t="s">
        <v>0</v>
      </c>
    </row>
    <row r="124" spans="1:14" ht="15" customHeight="1">
      <c r="A124" s="13"/>
      <c r="B124" s="14" t="s">
        <v>273</v>
      </c>
      <c r="C124" s="1" t="s">
        <v>0</v>
      </c>
      <c r="D124" s="3">
        <v>0.31</v>
      </c>
      <c r="E124" s="2" t="s">
        <v>24</v>
      </c>
      <c r="F124" s="4">
        <f t="shared" si="31"/>
        <v>263017</v>
      </c>
      <c r="G124" s="8">
        <f t="shared" si="30"/>
        <v>81535.199999999997</v>
      </c>
      <c r="H124" s="4">
        <v>0</v>
      </c>
      <c r="I124" s="8"/>
      <c r="J124" s="4">
        <f>노임!$D$9</f>
        <v>263017</v>
      </c>
      <c r="K124" s="8">
        <f>TRUNC(J124*D124,1)</f>
        <v>81535.199999999997</v>
      </c>
      <c r="L124" s="4">
        <v>0</v>
      </c>
      <c r="M124" s="8"/>
      <c r="N124" s="12" t="s">
        <v>0</v>
      </c>
    </row>
    <row r="125" spans="1:14" ht="15" customHeight="1">
      <c r="A125" s="13"/>
      <c r="B125" s="14" t="s">
        <v>262</v>
      </c>
      <c r="C125" s="1" t="s">
        <v>0</v>
      </c>
      <c r="D125" s="3">
        <v>0.08</v>
      </c>
      <c r="E125" s="2" t="s">
        <v>24</v>
      </c>
      <c r="F125" s="4">
        <f t="shared" si="31"/>
        <v>172068</v>
      </c>
      <c r="G125" s="8">
        <f t="shared" si="30"/>
        <v>13765.4</v>
      </c>
      <c r="H125" s="4">
        <v>0</v>
      </c>
      <c r="I125" s="8"/>
      <c r="J125" s="4">
        <f>노임!$D$3</f>
        <v>172068</v>
      </c>
      <c r="K125" s="8">
        <f>TRUNC(J125*D125,1)</f>
        <v>13765.4</v>
      </c>
      <c r="L125" s="4">
        <v>0</v>
      </c>
      <c r="M125" s="8"/>
      <c r="N125" s="12" t="s">
        <v>0</v>
      </c>
    </row>
    <row r="126" spans="1:14" ht="15" customHeight="1">
      <c r="A126" s="13"/>
      <c r="B126" s="14" t="s">
        <v>269</v>
      </c>
      <c r="C126" s="1" t="s">
        <v>201</v>
      </c>
      <c r="D126" s="3">
        <v>0.37</v>
      </c>
      <c r="E126" s="2" t="s">
        <v>27</v>
      </c>
      <c r="F126" s="4" t="e">
        <f t="shared" si="31"/>
        <v>#REF!</v>
      </c>
      <c r="G126" s="8" t="e">
        <f t="shared" si="30"/>
        <v>#REF!</v>
      </c>
      <c r="H126" s="4" t="e">
        <f>#REF!</f>
        <v>#REF!</v>
      </c>
      <c r="I126" s="8" t="e">
        <f>TRUNC(H126*D126,1)</f>
        <v>#REF!</v>
      </c>
      <c r="J126" s="4">
        <v>0</v>
      </c>
      <c r="K126" s="8"/>
      <c r="L126" s="4">
        <v>0</v>
      </c>
      <c r="M126" s="8"/>
      <c r="N126" s="12" t="s">
        <v>0</v>
      </c>
    </row>
    <row r="127" spans="1:14" ht="15" customHeight="1">
      <c r="A127" s="13"/>
      <c r="B127" s="14" t="s">
        <v>270</v>
      </c>
      <c r="C127" s="1" t="s">
        <v>202</v>
      </c>
      <c r="D127" s="3">
        <v>3.86</v>
      </c>
      <c r="E127" s="2" t="s">
        <v>6</v>
      </c>
      <c r="F127" s="4" t="e">
        <f t="shared" si="31"/>
        <v>#REF!</v>
      </c>
      <c r="G127" s="8" t="e">
        <f t="shared" si="30"/>
        <v>#REF!</v>
      </c>
      <c r="H127" s="4" t="e">
        <f>#REF!</f>
        <v>#REF!</v>
      </c>
      <c r="I127" s="8" t="e">
        <f>TRUNC(H127*D127,1)</f>
        <v>#REF!</v>
      </c>
      <c r="J127" s="4">
        <v>0</v>
      </c>
      <c r="K127" s="8"/>
      <c r="L127" s="4">
        <v>0</v>
      </c>
      <c r="M127" s="8"/>
      <c r="N127" s="12" t="s">
        <v>0</v>
      </c>
    </row>
    <row r="128" spans="1:14" ht="15" customHeight="1">
      <c r="A128" s="13"/>
      <c r="B128" s="14" t="s">
        <v>271</v>
      </c>
      <c r="C128" s="1" t="s">
        <v>203</v>
      </c>
      <c r="D128" s="3">
        <v>3.27</v>
      </c>
      <c r="E128" s="2" t="s">
        <v>14</v>
      </c>
      <c r="F128" s="4" t="e">
        <f t="shared" si="31"/>
        <v>#REF!</v>
      </c>
      <c r="G128" s="8" t="e">
        <f t="shared" si="30"/>
        <v>#REF!</v>
      </c>
      <c r="H128" s="4" t="e">
        <f>#REF!</f>
        <v>#REF!</v>
      </c>
      <c r="I128" s="8" t="e">
        <f>TRUNC(H128*D128,1)</f>
        <v>#REF!</v>
      </c>
      <c r="J128" s="4">
        <v>0</v>
      </c>
      <c r="K128" s="8"/>
      <c r="L128" s="4">
        <v>0</v>
      </c>
      <c r="M128" s="8"/>
      <c r="N128" s="12" t="s">
        <v>0</v>
      </c>
    </row>
    <row r="129" spans="1:14" ht="15" customHeight="1">
      <c r="A129" s="13"/>
      <c r="B129" s="14" t="s">
        <v>272</v>
      </c>
      <c r="C129" s="1" t="s">
        <v>204</v>
      </c>
      <c r="D129" s="3">
        <v>3.27</v>
      </c>
      <c r="E129" s="2" t="s">
        <v>14</v>
      </c>
      <c r="F129" s="4" t="e">
        <f t="shared" si="31"/>
        <v>#REF!</v>
      </c>
      <c r="G129" s="8" t="e">
        <f t="shared" si="30"/>
        <v>#REF!</v>
      </c>
      <c r="H129" s="4" t="e">
        <f>#REF!</f>
        <v>#REF!</v>
      </c>
      <c r="I129" s="8" t="e">
        <f>TRUNC(H129*D129,1)</f>
        <v>#REF!</v>
      </c>
      <c r="J129" s="4">
        <v>0</v>
      </c>
      <c r="K129" s="8"/>
      <c r="L129" s="4">
        <v>0</v>
      </c>
      <c r="M129" s="8"/>
      <c r="N129" s="12" t="s">
        <v>0</v>
      </c>
    </row>
    <row r="130" spans="1:14" ht="15" customHeight="1">
      <c r="A130" s="13"/>
      <c r="B130" s="14" t="s">
        <v>273</v>
      </c>
      <c r="C130" s="1" t="s">
        <v>0</v>
      </c>
      <c r="D130" s="3">
        <v>0.4</v>
      </c>
      <c r="E130" s="2" t="s">
        <v>24</v>
      </c>
      <c r="F130" s="4">
        <f t="shared" si="31"/>
        <v>263017</v>
      </c>
      <c r="G130" s="8">
        <f t="shared" si="30"/>
        <v>105206.8</v>
      </c>
      <c r="H130" s="4">
        <v>0</v>
      </c>
      <c r="I130" s="8"/>
      <c r="J130" s="4">
        <f>노임!$D$9</f>
        <v>263017</v>
      </c>
      <c r="K130" s="8">
        <f>TRUNC(J130*D130,1)</f>
        <v>105206.8</v>
      </c>
      <c r="L130" s="4">
        <v>0</v>
      </c>
      <c r="M130" s="8"/>
      <c r="N130" s="12" t="s">
        <v>0</v>
      </c>
    </row>
    <row r="131" spans="1:14" ht="15" customHeight="1">
      <c r="A131" s="13"/>
      <c r="B131" s="14" t="s">
        <v>262</v>
      </c>
      <c r="C131" s="1" t="s">
        <v>0</v>
      </c>
      <c r="D131" s="3">
        <v>0.1</v>
      </c>
      <c r="E131" s="2" t="s">
        <v>24</v>
      </c>
      <c r="F131" s="4">
        <f t="shared" si="31"/>
        <v>172068</v>
      </c>
      <c r="G131" s="8">
        <f t="shared" si="30"/>
        <v>17206.8</v>
      </c>
      <c r="H131" s="4">
        <v>0</v>
      </c>
      <c r="I131" s="8"/>
      <c r="J131" s="4">
        <f>노임!$D$3</f>
        <v>172068</v>
      </c>
      <c r="K131" s="8">
        <f>TRUNC(J131*D131,1)</f>
        <v>17206.8</v>
      </c>
      <c r="L131" s="4">
        <v>0</v>
      </c>
      <c r="M131" s="8"/>
      <c r="N131" s="12" t="s">
        <v>0</v>
      </c>
    </row>
    <row r="132" spans="1:14" ht="15" customHeight="1">
      <c r="A132" s="16"/>
      <c r="B132" s="15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12"/>
    </row>
    <row r="133" spans="1:14" ht="15" customHeight="1">
      <c r="A133" s="52">
        <f>A120+1</f>
        <v>85</v>
      </c>
      <c r="B133" s="46" t="s">
        <v>274</v>
      </c>
      <c r="C133" s="47" t="s">
        <v>191</v>
      </c>
      <c r="D133" s="47">
        <v>1</v>
      </c>
      <c r="E133" s="48" t="s">
        <v>3</v>
      </c>
      <c r="F133" s="51"/>
      <c r="G133" s="50" t="e">
        <f t="shared" ref="G133:G144" si="32">I133+K133+M133</f>
        <v>#REF!</v>
      </c>
      <c r="H133" s="51"/>
      <c r="I133" s="50" t="e">
        <f>TRUNC(I134+I135+I136+I137+I138+I139+I140+I141+I142+I143+I144,0)</f>
        <v>#REF!</v>
      </c>
      <c r="J133" s="51"/>
      <c r="K133" s="50">
        <f>TRUNC(K134+K135+K136+K137+K138+K139+K140+K141+K142+K143+K144,0)</f>
        <v>222974</v>
      </c>
      <c r="L133" s="51"/>
      <c r="M133" s="50">
        <f>TRUNC(M134+M135+M136+M137+M138+M139+M140+M141+M142+M143+M144,0)</f>
        <v>0</v>
      </c>
      <c r="N133" s="63" t="str">
        <f>N120</f>
        <v>토목6-3-3</v>
      </c>
    </row>
    <row r="134" spans="1:14" ht="15" customHeight="1">
      <c r="A134" s="13"/>
      <c r="B134" s="14" t="s">
        <v>275</v>
      </c>
      <c r="C134" s="1" t="s">
        <v>0</v>
      </c>
      <c r="D134" s="3">
        <v>0.42</v>
      </c>
      <c r="E134" s="2" t="s">
        <v>27</v>
      </c>
      <c r="F134" s="4" t="e">
        <f t="shared" ref="F134:F144" si="33">H134+J134+L134</f>
        <v>#REF!</v>
      </c>
      <c r="G134" s="8" t="e">
        <f t="shared" si="32"/>
        <v>#REF!</v>
      </c>
      <c r="H134" s="4" t="e">
        <f>#REF!</f>
        <v>#REF!</v>
      </c>
      <c r="I134" s="8" t="e">
        <f>TRUNC(H134*D134,1)</f>
        <v>#REF!</v>
      </c>
      <c r="J134" s="4">
        <v>0</v>
      </c>
      <c r="K134" s="8"/>
      <c r="L134" s="4">
        <v>0</v>
      </c>
      <c r="M134" s="8"/>
      <c r="N134" s="12" t="s">
        <v>0</v>
      </c>
    </row>
    <row r="135" spans="1:14" ht="15" customHeight="1">
      <c r="A135" s="13"/>
      <c r="B135" s="14" t="s">
        <v>276</v>
      </c>
      <c r="C135" s="1" t="s">
        <v>0</v>
      </c>
      <c r="D135" s="3">
        <v>2.13</v>
      </c>
      <c r="E135" s="2" t="s">
        <v>27</v>
      </c>
      <c r="F135" s="4" t="e">
        <f t="shared" si="33"/>
        <v>#REF!</v>
      </c>
      <c r="G135" s="8" t="e">
        <f t="shared" si="32"/>
        <v>#REF!</v>
      </c>
      <c r="H135" s="4" t="e">
        <f>#REF!</f>
        <v>#REF!</v>
      </c>
      <c r="I135" s="8" t="e">
        <f>TRUNC(H135*D135,1)</f>
        <v>#REF!</v>
      </c>
      <c r="J135" s="4">
        <v>0</v>
      </c>
      <c r="K135" s="8"/>
      <c r="L135" s="4">
        <v>0</v>
      </c>
      <c r="M135" s="8"/>
      <c r="N135" s="12" t="s">
        <v>0</v>
      </c>
    </row>
    <row r="136" spans="1:14" ht="15" customHeight="1">
      <c r="A136" s="13"/>
      <c r="B136" s="14" t="s">
        <v>277</v>
      </c>
      <c r="C136" s="1" t="s">
        <v>39</v>
      </c>
      <c r="D136" s="3">
        <v>0.18</v>
      </c>
      <c r="E136" s="2" t="s">
        <v>38</v>
      </c>
      <c r="F136" s="4" t="e">
        <f t="shared" si="33"/>
        <v>#REF!</v>
      </c>
      <c r="G136" s="8" t="e">
        <f t="shared" si="32"/>
        <v>#REF!</v>
      </c>
      <c r="H136" s="4" t="e">
        <f>#REF!</f>
        <v>#REF!</v>
      </c>
      <c r="I136" s="8" t="e">
        <f>TRUNC(H136*D136,1)</f>
        <v>#REF!</v>
      </c>
      <c r="J136" s="4">
        <v>0</v>
      </c>
      <c r="K136" s="8"/>
      <c r="L136" s="4">
        <v>0</v>
      </c>
      <c r="M136" s="8"/>
      <c r="N136" s="12" t="s">
        <v>0</v>
      </c>
    </row>
    <row r="137" spans="1:14" ht="15" customHeight="1">
      <c r="A137" s="13"/>
      <c r="B137" s="14" t="s">
        <v>273</v>
      </c>
      <c r="C137" s="1" t="s">
        <v>0</v>
      </c>
      <c r="D137" s="3">
        <v>0.32</v>
      </c>
      <c r="E137" s="2" t="s">
        <v>24</v>
      </c>
      <c r="F137" s="4">
        <f t="shared" si="33"/>
        <v>263017</v>
      </c>
      <c r="G137" s="8">
        <f t="shared" si="32"/>
        <v>84165.4</v>
      </c>
      <c r="H137" s="4">
        <v>0</v>
      </c>
      <c r="I137" s="8"/>
      <c r="J137" s="4">
        <f>노임!$D$9</f>
        <v>263017</v>
      </c>
      <c r="K137" s="8">
        <f>TRUNC(J137*D137,1)</f>
        <v>84165.4</v>
      </c>
      <c r="L137" s="4">
        <v>0</v>
      </c>
      <c r="M137" s="8"/>
      <c r="N137" s="12" t="s">
        <v>0</v>
      </c>
    </row>
    <row r="138" spans="1:14" ht="15" customHeight="1">
      <c r="A138" s="13"/>
      <c r="B138" s="14" t="s">
        <v>262</v>
      </c>
      <c r="C138" s="1" t="s">
        <v>0</v>
      </c>
      <c r="D138" s="3">
        <v>0.08</v>
      </c>
      <c r="E138" s="2" t="s">
        <v>24</v>
      </c>
      <c r="F138" s="4">
        <f t="shared" si="33"/>
        <v>172068</v>
      </c>
      <c r="G138" s="8">
        <f t="shared" si="32"/>
        <v>13765.4</v>
      </c>
      <c r="H138" s="4">
        <v>0</v>
      </c>
      <c r="I138" s="8"/>
      <c r="J138" s="4">
        <f>노임!$D$3</f>
        <v>172068</v>
      </c>
      <c r="K138" s="8">
        <f>TRUNC(J138*D138,1)</f>
        <v>13765.4</v>
      </c>
      <c r="L138" s="4">
        <v>0</v>
      </c>
      <c r="M138" s="8"/>
      <c r="N138" s="12" t="s">
        <v>0</v>
      </c>
    </row>
    <row r="139" spans="1:14" ht="15" customHeight="1">
      <c r="A139" s="13"/>
      <c r="B139" s="14" t="s">
        <v>269</v>
      </c>
      <c r="C139" s="1" t="s">
        <v>201</v>
      </c>
      <c r="D139" s="3">
        <v>0.42</v>
      </c>
      <c r="E139" s="2" t="s">
        <v>27</v>
      </c>
      <c r="F139" s="4" t="e">
        <f t="shared" si="33"/>
        <v>#REF!</v>
      </c>
      <c r="G139" s="8" t="e">
        <f t="shared" si="32"/>
        <v>#REF!</v>
      </c>
      <c r="H139" s="4" t="e">
        <f>#REF!</f>
        <v>#REF!</v>
      </c>
      <c r="I139" s="8" t="e">
        <f>TRUNC(H139*D139,1)</f>
        <v>#REF!</v>
      </c>
      <c r="J139" s="4">
        <v>0</v>
      </c>
      <c r="K139" s="8"/>
      <c r="L139" s="4">
        <v>0</v>
      </c>
      <c r="M139" s="8"/>
      <c r="N139" s="12" t="s">
        <v>0</v>
      </c>
    </row>
    <row r="140" spans="1:14" ht="15" customHeight="1">
      <c r="A140" s="13"/>
      <c r="B140" s="14" t="s">
        <v>270</v>
      </c>
      <c r="C140" s="1" t="s">
        <v>202</v>
      </c>
      <c r="D140" s="3">
        <v>4.21</v>
      </c>
      <c r="E140" s="2" t="s">
        <v>6</v>
      </c>
      <c r="F140" s="4" t="e">
        <f t="shared" si="33"/>
        <v>#REF!</v>
      </c>
      <c r="G140" s="8" t="e">
        <f t="shared" si="32"/>
        <v>#REF!</v>
      </c>
      <c r="H140" s="4" t="e">
        <f>#REF!</f>
        <v>#REF!</v>
      </c>
      <c r="I140" s="8" t="e">
        <f>TRUNC(H140*D140,1)</f>
        <v>#REF!</v>
      </c>
      <c r="J140" s="4">
        <v>0</v>
      </c>
      <c r="K140" s="8"/>
      <c r="L140" s="4">
        <v>0</v>
      </c>
      <c r="M140" s="8"/>
      <c r="N140" s="12" t="s">
        <v>0</v>
      </c>
    </row>
    <row r="141" spans="1:14" ht="15" customHeight="1">
      <c r="A141" s="13"/>
      <c r="B141" s="14" t="s">
        <v>271</v>
      </c>
      <c r="C141" s="1" t="s">
        <v>203</v>
      </c>
      <c r="D141" s="3">
        <v>3.98</v>
      </c>
      <c r="E141" s="2" t="s">
        <v>14</v>
      </c>
      <c r="F141" s="4" t="e">
        <f t="shared" si="33"/>
        <v>#REF!</v>
      </c>
      <c r="G141" s="8" t="e">
        <f t="shared" si="32"/>
        <v>#REF!</v>
      </c>
      <c r="H141" s="4" t="e">
        <f>#REF!</f>
        <v>#REF!</v>
      </c>
      <c r="I141" s="8" t="e">
        <f>TRUNC(H141*D141,1)</f>
        <v>#REF!</v>
      </c>
      <c r="J141" s="4">
        <v>0</v>
      </c>
      <c r="K141" s="8"/>
      <c r="L141" s="4">
        <v>0</v>
      </c>
      <c r="M141" s="8"/>
      <c r="N141" s="12" t="s">
        <v>0</v>
      </c>
    </row>
    <row r="142" spans="1:14" ht="15" customHeight="1">
      <c r="A142" s="13"/>
      <c r="B142" s="14" t="s">
        <v>272</v>
      </c>
      <c r="C142" s="1" t="s">
        <v>204</v>
      </c>
      <c r="D142" s="3">
        <v>3.98</v>
      </c>
      <c r="E142" s="2" t="s">
        <v>14</v>
      </c>
      <c r="F142" s="4" t="e">
        <f t="shared" si="33"/>
        <v>#REF!</v>
      </c>
      <c r="G142" s="8" t="e">
        <f t="shared" si="32"/>
        <v>#REF!</v>
      </c>
      <c r="H142" s="4" t="e">
        <f>#REF!</f>
        <v>#REF!</v>
      </c>
      <c r="I142" s="8" t="e">
        <f>TRUNC(H142*D142,1)</f>
        <v>#REF!</v>
      </c>
      <c r="J142" s="4">
        <v>0</v>
      </c>
      <c r="K142" s="8"/>
      <c r="L142" s="4">
        <v>0</v>
      </c>
      <c r="M142" s="8"/>
      <c r="N142" s="12" t="s">
        <v>0</v>
      </c>
    </row>
    <row r="143" spans="1:14" ht="15" customHeight="1">
      <c r="A143" s="13"/>
      <c r="B143" s="14" t="s">
        <v>273</v>
      </c>
      <c r="C143" s="1" t="s">
        <v>0</v>
      </c>
      <c r="D143" s="3">
        <v>0.41</v>
      </c>
      <c r="E143" s="2" t="s">
        <v>24</v>
      </c>
      <c r="F143" s="4">
        <f t="shared" si="33"/>
        <v>263017</v>
      </c>
      <c r="G143" s="8">
        <f t="shared" si="32"/>
        <v>107836.9</v>
      </c>
      <c r="H143" s="4">
        <v>0</v>
      </c>
      <c r="I143" s="8"/>
      <c r="J143" s="4">
        <f>노임!$D$9</f>
        <v>263017</v>
      </c>
      <c r="K143" s="8">
        <f>TRUNC(J143*D143,1)</f>
        <v>107836.9</v>
      </c>
      <c r="L143" s="4">
        <v>0</v>
      </c>
      <c r="M143" s="8"/>
      <c r="N143" s="12" t="s">
        <v>0</v>
      </c>
    </row>
    <row r="144" spans="1:14" ht="15" customHeight="1">
      <c r="A144" s="13"/>
      <c r="B144" s="14" t="s">
        <v>262</v>
      </c>
      <c r="C144" s="1" t="s">
        <v>0</v>
      </c>
      <c r="D144" s="3">
        <v>0.1</v>
      </c>
      <c r="E144" s="2" t="s">
        <v>24</v>
      </c>
      <c r="F144" s="4">
        <f t="shared" si="33"/>
        <v>172068</v>
      </c>
      <c r="G144" s="8">
        <f t="shared" si="32"/>
        <v>17206.8</v>
      </c>
      <c r="H144" s="4">
        <v>0</v>
      </c>
      <c r="I144" s="8"/>
      <c r="J144" s="4">
        <f>노임!$D$3</f>
        <v>172068</v>
      </c>
      <c r="K144" s="8">
        <f>TRUNC(J144*D144,1)</f>
        <v>17206.8</v>
      </c>
      <c r="L144" s="4">
        <v>0</v>
      </c>
      <c r="M144" s="8"/>
      <c r="N144" s="12" t="s">
        <v>0</v>
      </c>
    </row>
    <row r="145" spans="1:14" ht="15" customHeight="1">
      <c r="A145" s="16"/>
      <c r="B145" s="15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12"/>
    </row>
    <row r="146" spans="1:14" ht="15" customHeight="1">
      <c r="A146" s="52">
        <f>A133+1</f>
        <v>86</v>
      </c>
      <c r="B146" s="46" t="s">
        <v>274</v>
      </c>
      <c r="C146" s="47" t="s">
        <v>192</v>
      </c>
      <c r="D146" s="47">
        <v>1</v>
      </c>
      <c r="E146" s="48" t="s">
        <v>3</v>
      </c>
      <c r="F146" s="51"/>
      <c r="G146" s="50" t="e">
        <f t="shared" ref="G146:G157" si="34">I146+K146+M146</f>
        <v>#REF!</v>
      </c>
      <c r="H146" s="51"/>
      <c r="I146" s="50" t="e">
        <f>TRUNC(I147+I148+I149+I150+I151+I152+I153+I154+I155+I156+I157,0)</f>
        <v>#REF!</v>
      </c>
      <c r="J146" s="51"/>
      <c r="K146" s="50">
        <f>TRUNC(K147+K148+K149+K150+K151+K152+K153+K154+K155+K156+K157,0)</f>
        <v>232585</v>
      </c>
      <c r="L146" s="51"/>
      <c r="M146" s="50">
        <f>TRUNC(M147+M148+M149+M150+M151+M152+M153+M154+M155+M156+M157,0)</f>
        <v>0</v>
      </c>
      <c r="N146" s="63" t="str">
        <f>N133</f>
        <v>토목6-3-3</v>
      </c>
    </row>
    <row r="147" spans="1:14" ht="15" customHeight="1">
      <c r="A147" s="13"/>
      <c r="B147" s="14" t="s">
        <v>275</v>
      </c>
      <c r="C147" s="1" t="s">
        <v>0</v>
      </c>
      <c r="D147" s="3">
        <v>0.48</v>
      </c>
      <c r="E147" s="2" t="s">
        <v>27</v>
      </c>
      <c r="F147" s="4" t="e">
        <f t="shared" ref="F147:F157" si="35">H147+J147+L147</f>
        <v>#REF!</v>
      </c>
      <c r="G147" s="8" t="e">
        <f t="shared" si="34"/>
        <v>#REF!</v>
      </c>
      <c r="H147" s="4" t="e">
        <f>#REF!</f>
        <v>#REF!</v>
      </c>
      <c r="I147" s="8" t="e">
        <f>TRUNC(H147*D147,1)</f>
        <v>#REF!</v>
      </c>
      <c r="J147" s="4">
        <v>0</v>
      </c>
      <c r="K147" s="8"/>
      <c r="L147" s="4">
        <v>0</v>
      </c>
      <c r="M147" s="8"/>
      <c r="N147" s="12" t="s">
        <v>0</v>
      </c>
    </row>
    <row r="148" spans="1:14" ht="15" customHeight="1">
      <c r="A148" s="13"/>
      <c r="B148" s="14" t="s">
        <v>276</v>
      </c>
      <c r="C148" s="1" t="s">
        <v>0</v>
      </c>
      <c r="D148" s="3">
        <v>2.39</v>
      </c>
      <c r="E148" s="2" t="s">
        <v>27</v>
      </c>
      <c r="F148" s="4" t="e">
        <f t="shared" si="35"/>
        <v>#REF!</v>
      </c>
      <c r="G148" s="8" t="e">
        <f t="shared" si="34"/>
        <v>#REF!</v>
      </c>
      <c r="H148" s="4" t="e">
        <f>#REF!</f>
        <v>#REF!</v>
      </c>
      <c r="I148" s="8" t="e">
        <f>TRUNC(H148*D148,1)</f>
        <v>#REF!</v>
      </c>
      <c r="J148" s="4">
        <v>0</v>
      </c>
      <c r="K148" s="8"/>
      <c r="L148" s="4">
        <v>0</v>
      </c>
      <c r="M148" s="8"/>
      <c r="N148" s="12" t="s">
        <v>0</v>
      </c>
    </row>
    <row r="149" spans="1:14" ht="15" customHeight="1">
      <c r="A149" s="13"/>
      <c r="B149" s="14" t="s">
        <v>277</v>
      </c>
      <c r="C149" s="1" t="s">
        <v>39</v>
      </c>
      <c r="D149" s="3">
        <v>0.21</v>
      </c>
      <c r="E149" s="2" t="s">
        <v>38</v>
      </c>
      <c r="F149" s="4" t="e">
        <f t="shared" si="35"/>
        <v>#REF!</v>
      </c>
      <c r="G149" s="8" t="e">
        <f t="shared" si="34"/>
        <v>#REF!</v>
      </c>
      <c r="H149" s="4" t="e">
        <f>#REF!</f>
        <v>#REF!</v>
      </c>
      <c r="I149" s="8" t="e">
        <f>TRUNC(H149*D149,1)</f>
        <v>#REF!</v>
      </c>
      <c r="J149" s="4">
        <v>0</v>
      </c>
      <c r="K149" s="8"/>
      <c r="L149" s="4">
        <v>0</v>
      </c>
      <c r="M149" s="8"/>
      <c r="N149" s="12" t="s">
        <v>0</v>
      </c>
    </row>
    <row r="150" spans="1:14" ht="15" customHeight="1">
      <c r="A150" s="13"/>
      <c r="B150" s="14" t="s">
        <v>273</v>
      </c>
      <c r="C150" s="1" t="s">
        <v>0</v>
      </c>
      <c r="D150" s="3">
        <v>0.33</v>
      </c>
      <c r="E150" s="2" t="s">
        <v>24</v>
      </c>
      <c r="F150" s="4">
        <f t="shared" si="35"/>
        <v>263017</v>
      </c>
      <c r="G150" s="8">
        <f t="shared" si="34"/>
        <v>86795.6</v>
      </c>
      <c r="H150" s="4">
        <v>0</v>
      </c>
      <c r="I150" s="8"/>
      <c r="J150" s="4">
        <f>노임!$D$9</f>
        <v>263017</v>
      </c>
      <c r="K150" s="8">
        <f>TRUNC(J150*D150,1)</f>
        <v>86795.6</v>
      </c>
      <c r="L150" s="4">
        <v>0</v>
      </c>
      <c r="M150" s="8"/>
      <c r="N150" s="12" t="s">
        <v>0</v>
      </c>
    </row>
    <row r="151" spans="1:14" ht="15" customHeight="1">
      <c r="A151" s="13"/>
      <c r="B151" s="14" t="s">
        <v>262</v>
      </c>
      <c r="C151" s="1" t="s">
        <v>0</v>
      </c>
      <c r="D151" s="3">
        <v>0.08</v>
      </c>
      <c r="E151" s="2" t="s">
        <v>24</v>
      </c>
      <c r="F151" s="4">
        <f t="shared" si="35"/>
        <v>172068</v>
      </c>
      <c r="G151" s="8">
        <f t="shared" si="34"/>
        <v>13765.4</v>
      </c>
      <c r="H151" s="4">
        <v>0</v>
      </c>
      <c r="I151" s="8"/>
      <c r="J151" s="4">
        <f>노임!$D$3</f>
        <v>172068</v>
      </c>
      <c r="K151" s="8">
        <f>TRUNC(J151*D151,1)</f>
        <v>13765.4</v>
      </c>
      <c r="L151" s="4">
        <v>0</v>
      </c>
      <c r="M151" s="8"/>
      <c r="N151" s="12" t="s">
        <v>0</v>
      </c>
    </row>
    <row r="152" spans="1:14" ht="15" customHeight="1">
      <c r="A152" s="13"/>
      <c r="B152" s="14" t="s">
        <v>269</v>
      </c>
      <c r="C152" s="1" t="s">
        <v>201</v>
      </c>
      <c r="D152" s="3">
        <v>0.48</v>
      </c>
      <c r="E152" s="2" t="s">
        <v>27</v>
      </c>
      <c r="F152" s="4" t="e">
        <f t="shared" si="35"/>
        <v>#REF!</v>
      </c>
      <c r="G152" s="8" t="e">
        <f t="shared" si="34"/>
        <v>#REF!</v>
      </c>
      <c r="H152" s="4" t="e">
        <f>#REF!</f>
        <v>#REF!</v>
      </c>
      <c r="I152" s="8" t="e">
        <f>TRUNC(H152*D152,1)</f>
        <v>#REF!</v>
      </c>
      <c r="J152" s="4">
        <v>0</v>
      </c>
      <c r="K152" s="8"/>
      <c r="L152" s="4">
        <v>0</v>
      </c>
      <c r="M152" s="8"/>
      <c r="N152" s="12" t="s">
        <v>0</v>
      </c>
    </row>
    <row r="153" spans="1:14" ht="15" customHeight="1">
      <c r="A153" s="13"/>
      <c r="B153" s="14" t="s">
        <v>270</v>
      </c>
      <c r="C153" s="1" t="s">
        <v>202</v>
      </c>
      <c r="D153" s="3">
        <v>4.74</v>
      </c>
      <c r="E153" s="2" t="s">
        <v>6</v>
      </c>
      <c r="F153" s="4" t="e">
        <f t="shared" si="35"/>
        <v>#REF!</v>
      </c>
      <c r="G153" s="8" t="e">
        <f t="shared" si="34"/>
        <v>#REF!</v>
      </c>
      <c r="H153" s="4" t="e">
        <f>#REF!</f>
        <v>#REF!</v>
      </c>
      <c r="I153" s="8" t="e">
        <f>TRUNC(H153*D153,1)</f>
        <v>#REF!</v>
      </c>
      <c r="J153" s="4">
        <v>0</v>
      </c>
      <c r="K153" s="8"/>
      <c r="L153" s="4">
        <v>0</v>
      </c>
      <c r="M153" s="8"/>
      <c r="N153" s="12" t="s">
        <v>0</v>
      </c>
    </row>
    <row r="154" spans="1:14" ht="15" customHeight="1">
      <c r="A154" s="13"/>
      <c r="B154" s="14" t="s">
        <v>271</v>
      </c>
      <c r="C154" s="1" t="s">
        <v>203</v>
      </c>
      <c r="D154" s="3">
        <v>4.46</v>
      </c>
      <c r="E154" s="2" t="s">
        <v>14</v>
      </c>
      <c r="F154" s="4" t="e">
        <f t="shared" si="35"/>
        <v>#REF!</v>
      </c>
      <c r="G154" s="8" t="e">
        <f t="shared" si="34"/>
        <v>#REF!</v>
      </c>
      <c r="H154" s="4" t="e">
        <f>#REF!</f>
        <v>#REF!</v>
      </c>
      <c r="I154" s="8" t="e">
        <f>TRUNC(H154*D154,1)</f>
        <v>#REF!</v>
      </c>
      <c r="J154" s="4">
        <v>0</v>
      </c>
      <c r="K154" s="8"/>
      <c r="L154" s="4">
        <v>0</v>
      </c>
      <c r="M154" s="8"/>
      <c r="N154" s="12" t="s">
        <v>0</v>
      </c>
    </row>
    <row r="155" spans="1:14" ht="15" customHeight="1">
      <c r="A155" s="13"/>
      <c r="B155" s="14" t="s">
        <v>272</v>
      </c>
      <c r="C155" s="1" t="s">
        <v>204</v>
      </c>
      <c r="D155" s="3">
        <v>4.46</v>
      </c>
      <c r="E155" s="2" t="s">
        <v>14</v>
      </c>
      <c r="F155" s="4" t="e">
        <f t="shared" si="35"/>
        <v>#REF!</v>
      </c>
      <c r="G155" s="8" t="e">
        <f t="shared" si="34"/>
        <v>#REF!</v>
      </c>
      <c r="H155" s="4" t="e">
        <f>#REF!</f>
        <v>#REF!</v>
      </c>
      <c r="I155" s="8" t="e">
        <f>TRUNC(H155*D155,1)</f>
        <v>#REF!</v>
      </c>
      <c r="J155" s="4">
        <v>0</v>
      </c>
      <c r="K155" s="8"/>
      <c r="L155" s="4">
        <v>0</v>
      </c>
      <c r="M155" s="8"/>
      <c r="N155" s="12" t="s">
        <v>0</v>
      </c>
    </row>
    <row r="156" spans="1:14" ht="15" customHeight="1">
      <c r="A156" s="13"/>
      <c r="B156" s="14" t="s">
        <v>273</v>
      </c>
      <c r="C156" s="1" t="s">
        <v>0</v>
      </c>
      <c r="D156" s="3">
        <v>0.43</v>
      </c>
      <c r="E156" s="2" t="s">
        <v>24</v>
      </c>
      <c r="F156" s="4">
        <f t="shared" si="35"/>
        <v>263017</v>
      </c>
      <c r="G156" s="8">
        <f t="shared" si="34"/>
        <v>113097.3</v>
      </c>
      <c r="H156" s="4">
        <v>0</v>
      </c>
      <c r="I156" s="8"/>
      <c r="J156" s="4">
        <f>노임!$D$9</f>
        <v>263017</v>
      </c>
      <c r="K156" s="8">
        <f>TRUNC(J156*D156,1)</f>
        <v>113097.3</v>
      </c>
      <c r="L156" s="4">
        <v>0</v>
      </c>
      <c r="M156" s="8"/>
      <c r="N156" s="12" t="s">
        <v>0</v>
      </c>
    </row>
    <row r="157" spans="1:14" ht="15" customHeight="1">
      <c r="A157" s="13"/>
      <c r="B157" s="14" t="s">
        <v>262</v>
      </c>
      <c r="C157" s="1" t="s">
        <v>0</v>
      </c>
      <c r="D157" s="3">
        <v>0.11</v>
      </c>
      <c r="E157" s="2" t="s">
        <v>24</v>
      </c>
      <c r="F157" s="4">
        <f t="shared" si="35"/>
        <v>172068</v>
      </c>
      <c r="G157" s="8">
        <f t="shared" si="34"/>
        <v>18927.400000000001</v>
      </c>
      <c r="H157" s="4">
        <v>0</v>
      </c>
      <c r="I157" s="8"/>
      <c r="J157" s="4">
        <f>노임!$D$3</f>
        <v>172068</v>
      </c>
      <c r="K157" s="8">
        <f>TRUNC(J157*D157,1)</f>
        <v>18927.400000000001</v>
      </c>
      <c r="L157" s="4">
        <v>0</v>
      </c>
      <c r="M157" s="8"/>
      <c r="N157" s="12" t="s">
        <v>0</v>
      </c>
    </row>
    <row r="158" spans="1:14" ht="15" customHeight="1">
      <c r="A158" s="16"/>
      <c r="B158" s="15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12"/>
    </row>
    <row r="159" spans="1:14" ht="15" customHeight="1">
      <c r="A159" s="52">
        <f>A146+1</f>
        <v>87</v>
      </c>
      <c r="B159" s="46" t="s">
        <v>274</v>
      </c>
      <c r="C159" s="47" t="s">
        <v>193</v>
      </c>
      <c r="D159" s="47">
        <v>1</v>
      </c>
      <c r="E159" s="48" t="s">
        <v>3</v>
      </c>
      <c r="F159" s="51"/>
      <c r="G159" s="50" t="e">
        <f t="shared" ref="G159:G170" si="36">I159+K159+M159</f>
        <v>#REF!</v>
      </c>
      <c r="H159" s="51"/>
      <c r="I159" s="50" t="e">
        <f>TRUNC(I160+I161+I162+I163+I164+I165+I166+I167+I168+I169+I170,0)</f>
        <v>#REF!</v>
      </c>
      <c r="J159" s="51"/>
      <c r="K159" s="50">
        <f>TRUNC(K160+K161+K162+K163+K164+K165+K166+K167+K168+K169+K170,0)</f>
        <v>244827</v>
      </c>
      <c r="L159" s="51"/>
      <c r="M159" s="50">
        <f>TRUNC(M160+M161+M162+M163+M164+M165+M166+M167+M168+M169+M170,0)</f>
        <v>0</v>
      </c>
      <c r="N159" s="63" t="str">
        <f>N146</f>
        <v>토목6-3-3</v>
      </c>
    </row>
    <row r="160" spans="1:14" ht="15" customHeight="1">
      <c r="A160" s="13"/>
      <c r="B160" s="14" t="s">
        <v>275</v>
      </c>
      <c r="C160" s="1" t="s">
        <v>0</v>
      </c>
      <c r="D160" s="3">
        <v>0.53</v>
      </c>
      <c r="E160" s="2" t="s">
        <v>27</v>
      </c>
      <c r="F160" s="4" t="e">
        <f t="shared" ref="F160:F170" si="37">H160+J160+L160</f>
        <v>#REF!</v>
      </c>
      <c r="G160" s="8" t="e">
        <f t="shared" si="36"/>
        <v>#REF!</v>
      </c>
      <c r="H160" s="4" t="e">
        <f>#REF!</f>
        <v>#REF!</v>
      </c>
      <c r="I160" s="8" t="e">
        <f>TRUNC(H160*D160,1)</f>
        <v>#REF!</v>
      </c>
      <c r="J160" s="4">
        <v>0</v>
      </c>
      <c r="K160" s="8"/>
      <c r="L160" s="4">
        <v>0</v>
      </c>
      <c r="M160" s="8"/>
      <c r="N160" s="12" t="s">
        <v>0</v>
      </c>
    </row>
    <row r="161" spans="1:14" ht="15" customHeight="1">
      <c r="A161" s="13"/>
      <c r="B161" s="14" t="s">
        <v>276</v>
      </c>
      <c r="C161" s="1" t="s">
        <v>0</v>
      </c>
      <c r="D161" s="3">
        <v>2.66</v>
      </c>
      <c r="E161" s="2" t="s">
        <v>27</v>
      </c>
      <c r="F161" s="4" t="e">
        <f t="shared" si="37"/>
        <v>#REF!</v>
      </c>
      <c r="G161" s="8" t="e">
        <f t="shared" si="36"/>
        <v>#REF!</v>
      </c>
      <c r="H161" s="4" t="e">
        <f>#REF!</f>
        <v>#REF!</v>
      </c>
      <c r="I161" s="8" t="e">
        <f>TRUNC(H161*D161,1)</f>
        <v>#REF!</v>
      </c>
      <c r="J161" s="4">
        <v>0</v>
      </c>
      <c r="K161" s="8"/>
      <c r="L161" s="4">
        <v>0</v>
      </c>
      <c r="M161" s="8"/>
      <c r="N161" s="12" t="s">
        <v>0</v>
      </c>
    </row>
    <row r="162" spans="1:14" ht="15" customHeight="1">
      <c r="A162" s="13"/>
      <c r="B162" s="14" t="s">
        <v>277</v>
      </c>
      <c r="C162" s="1" t="s">
        <v>39</v>
      </c>
      <c r="D162" s="3">
        <v>0.23</v>
      </c>
      <c r="E162" s="2" t="s">
        <v>38</v>
      </c>
      <c r="F162" s="4" t="e">
        <f t="shared" si="37"/>
        <v>#REF!</v>
      </c>
      <c r="G162" s="8" t="e">
        <f t="shared" si="36"/>
        <v>#REF!</v>
      </c>
      <c r="H162" s="4" t="e">
        <f>#REF!</f>
        <v>#REF!</v>
      </c>
      <c r="I162" s="8" t="e">
        <f>TRUNC(H162*D162,1)</f>
        <v>#REF!</v>
      </c>
      <c r="J162" s="4">
        <v>0</v>
      </c>
      <c r="K162" s="8"/>
      <c r="L162" s="4">
        <v>0</v>
      </c>
      <c r="M162" s="8"/>
      <c r="N162" s="12" t="s">
        <v>0</v>
      </c>
    </row>
    <row r="163" spans="1:14" ht="15" customHeight="1">
      <c r="A163" s="13"/>
      <c r="B163" s="14" t="s">
        <v>273</v>
      </c>
      <c r="C163" s="1" t="s">
        <v>0</v>
      </c>
      <c r="D163" s="3">
        <v>0.35</v>
      </c>
      <c r="E163" s="2" t="s">
        <v>24</v>
      </c>
      <c r="F163" s="4">
        <f t="shared" si="37"/>
        <v>263017</v>
      </c>
      <c r="G163" s="8">
        <f t="shared" si="36"/>
        <v>92055.9</v>
      </c>
      <c r="H163" s="4">
        <v>0</v>
      </c>
      <c r="I163" s="8"/>
      <c r="J163" s="4">
        <f>노임!$D$9</f>
        <v>263017</v>
      </c>
      <c r="K163" s="8">
        <f>TRUNC(J163*D163,1)</f>
        <v>92055.9</v>
      </c>
      <c r="L163" s="4">
        <v>0</v>
      </c>
      <c r="M163" s="8"/>
      <c r="N163" s="12" t="s">
        <v>0</v>
      </c>
    </row>
    <row r="164" spans="1:14" ht="15" customHeight="1">
      <c r="A164" s="13"/>
      <c r="B164" s="14" t="s">
        <v>262</v>
      </c>
      <c r="C164" s="1" t="s">
        <v>0</v>
      </c>
      <c r="D164" s="3">
        <v>0.09</v>
      </c>
      <c r="E164" s="2" t="s">
        <v>24</v>
      </c>
      <c r="F164" s="4">
        <f t="shared" si="37"/>
        <v>172068</v>
      </c>
      <c r="G164" s="8">
        <f t="shared" si="36"/>
        <v>15486.1</v>
      </c>
      <c r="H164" s="4">
        <v>0</v>
      </c>
      <c r="I164" s="8"/>
      <c r="J164" s="4">
        <f>노임!$D$3</f>
        <v>172068</v>
      </c>
      <c r="K164" s="8">
        <f>TRUNC(J164*D164,1)</f>
        <v>15486.1</v>
      </c>
      <c r="L164" s="4">
        <v>0</v>
      </c>
      <c r="M164" s="8"/>
      <c r="N164" s="12" t="s">
        <v>0</v>
      </c>
    </row>
    <row r="165" spans="1:14" ht="15" customHeight="1">
      <c r="A165" s="13"/>
      <c r="B165" s="14" t="s">
        <v>269</v>
      </c>
      <c r="C165" s="1" t="s">
        <v>201</v>
      </c>
      <c r="D165" s="3">
        <v>0.53</v>
      </c>
      <c r="E165" s="2" t="s">
        <v>27</v>
      </c>
      <c r="F165" s="4" t="e">
        <f t="shared" si="37"/>
        <v>#REF!</v>
      </c>
      <c r="G165" s="8" t="e">
        <f t="shared" si="36"/>
        <v>#REF!</v>
      </c>
      <c r="H165" s="4" t="e">
        <f>#REF!</f>
        <v>#REF!</v>
      </c>
      <c r="I165" s="8" t="e">
        <f>TRUNC(H165*D165,1)</f>
        <v>#REF!</v>
      </c>
      <c r="J165" s="4">
        <v>0</v>
      </c>
      <c r="K165" s="8"/>
      <c r="L165" s="4">
        <v>0</v>
      </c>
      <c r="M165" s="8"/>
      <c r="N165" s="12" t="s">
        <v>0</v>
      </c>
    </row>
    <row r="166" spans="1:14" ht="15" customHeight="1">
      <c r="A166" s="13"/>
      <c r="B166" s="14" t="s">
        <v>270</v>
      </c>
      <c r="C166" s="1" t="s">
        <v>202</v>
      </c>
      <c r="D166" s="3">
        <v>5.26</v>
      </c>
      <c r="E166" s="2" t="s">
        <v>6</v>
      </c>
      <c r="F166" s="4" t="e">
        <f t="shared" si="37"/>
        <v>#REF!</v>
      </c>
      <c r="G166" s="8" t="e">
        <f t="shared" si="36"/>
        <v>#REF!</v>
      </c>
      <c r="H166" s="4" t="e">
        <f>#REF!</f>
        <v>#REF!</v>
      </c>
      <c r="I166" s="8" t="e">
        <f>TRUNC(H166*D166,1)</f>
        <v>#REF!</v>
      </c>
      <c r="J166" s="4">
        <v>0</v>
      </c>
      <c r="K166" s="8"/>
      <c r="L166" s="4">
        <v>0</v>
      </c>
      <c r="M166" s="8"/>
      <c r="N166" s="12" t="s">
        <v>0</v>
      </c>
    </row>
    <row r="167" spans="1:14" ht="15" customHeight="1">
      <c r="A167" s="13"/>
      <c r="B167" s="14" t="s">
        <v>271</v>
      </c>
      <c r="C167" s="1" t="s">
        <v>203</v>
      </c>
      <c r="D167" s="3">
        <v>4.97</v>
      </c>
      <c r="E167" s="2" t="s">
        <v>14</v>
      </c>
      <c r="F167" s="4" t="e">
        <f t="shared" si="37"/>
        <v>#REF!</v>
      </c>
      <c r="G167" s="8" t="e">
        <f t="shared" si="36"/>
        <v>#REF!</v>
      </c>
      <c r="H167" s="4" t="e">
        <f>#REF!</f>
        <v>#REF!</v>
      </c>
      <c r="I167" s="8" t="e">
        <f>TRUNC(H167*D167,1)</f>
        <v>#REF!</v>
      </c>
      <c r="J167" s="4">
        <v>0</v>
      </c>
      <c r="K167" s="8"/>
      <c r="L167" s="4">
        <v>0</v>
      </c>
      <c r="M167" s="8"/>
      <c r="N167" s="12" t="s">
        <v>0</v>
      </c>
    </row>
    <row r="168" spans="1:14" ht="15" customHeight="1">
      <c r="A168" s="13"/>
      <c r="B168" s="14" t="s">
        <v>272</v>
      </c>
      <c r="C168" s="1" t="s">
        <v>204</v>
      </c>
      <c r="D168" s="3">
        <v>4.97</v>
      </c>
      <c r="E168" s="2" t="s">
        <v>14</v>
      </c>
      <c r="F168" s="4" t="e">
        <f t="shared" si="37"/>
        <v>#REF!</v>
      </c>
      <c r="G168" s="8" t="e">
        <f t="shared" si="36"/>
        <v>#REF!</v>
      </c>
      <c r="H168" s="4" t="e">
        <f>#REF!</f>
        <v>#REF!</v>
      </c>
      <c r="I168" s="8" t="e">
        <f>TRUNC(H168*D168,1)</f>
        <v>#REF!</v>
      </c>
      <c r="J168" s="4">
        <v>0</v>
      </c>
      <c r="K168" s="8"/>
      <c r="L168" s="4">
        <v>0</v>
      </c>
      <c r="M168" s="8"/>
      <c r="N168" s="12" t="s">
        <v>0</v>
      </c>
    </row>
    <row r="169" spans="1:14" ht="15" customHeight="1">
      <c r="A169" s="13"/>
      <c r="B169" s="14" t="s">
        <v>273</v>
      </c>
      <c r="C169" s="1" t="s">
        <v>0</v>
      </c>
      <c r="D169" s="3">
        <v>0.45</v>
      </c>
      <c r="E169" s="2" t="s">
        <v>24</v>
      </c>
      <c r="F169" s="4">
        <f t="shared" si="37"/>
        <v>263017</v>
      </c>
      <c r="G169" s="8">
        <f t="shared" si="36"/>
        <v>118357.6</v>
      </c>
      <c r="H169" s="4">
        <v>0</v>
      </c>
      <c r="I169" s="8"/>
      <c r="J169" s="4">
        <f>노임!$D$9</f>
        <v>263017</v>
      </c>
      <c r="K169" s="8">
        <f>TRUNC(J169*D169,1)</f>
        <v>118357.6</v>
      </c>
      <c r="L169" s="4">
        <v>0</v>
      </c>
      <c r="M169" s="8"/>
      <c r="N169" s="12" t="s">
        <v>0</v>
      </c>
    </row>
    <row r="170" spans="1:14" ht="15" customHeight="1">
      <c r="A170" s="13"/>
      <c r="B170" s="14" t="s">
        <v>262</v>
      </c>
      <c r="C170" s="1" t="s">
        <v>0</v>
      </c>
      <c r="D170" s="3">
        <v>0.11</v>
      </c>
      <c r="E170" s="2" t="s">
        <v>24</v>
      </c>
      <c r="F170" s="4">
        <f t="shared" si="37"/>
        <v>172068</v>
      </c>
      <c r="G170" s="8">
        <f t="shared" si="36"/>
        <v>18927.400000000001</v>
      </c>
      <c r="H170" s="4">
        <v>0</v>
      </c>
      <c r="I170" s="8"/>
      <c r="J170" s="4">
        <f>노임!$D$3</f>
        <v>172068</v>
      </c>
      <c r="K170" s="8">
        <f>TRUNC(J170*D170,1)</f>
        <v>18927.400000000001</v>
      </c>
      <c r="L170" s="4">
        <v>0</v>
      </c>
      <c r="M170" s="8"/>
      <c r="N170" s="12" t="s">
        <v>0</v>
      </c>
    </row>
    <row r="171" spans="1:14" ht="15" customHeight="1">
      <c r="A171" s="16"/>
      <c r="B171" s="15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12"/>
    </row>
    <row r="172" spans="1:14" ht="15" customHeight="1">
      <c r="A172" s="52">
        <f>A159+1</f>
        <v>88</v>
      </c>
      <c r="B172" s="46" t="s">
        <v>274</v>
      </c>
      <c r="C172" s="47" t="s">
        <v>194</v>
      </c>
      <c r="D172" s="47">
        <v>1</v>
      </c>
      <c r="E172" s="48" t="s">
        <v>3</v>
      </c>
      <c r="F172" s="51"/>
      <c r="G172" s="50" t="e">
        <f t="shared" ref="G172:G183" si="38">I172+K172+M172</f>
        <v>#REF!</v>
      </c>
      <c r="H172" s="51"/>
      <c r="I172" s="50" t="e">
        <f>TRUNC(I173+I174+I175+I176+I177+I178+I179+I180+I181+I182+I183,0)</f>
        <v>#REF!</v>
      </c>
      <c r="J172" s="51"/>
      <c r="K172" s="50">
        <f>TRUNC(K173+K174+K175+K176+K177+K178+K179+K180+K181+K182+K183,0)</f>
        <v>250087</v>
      </c>
      <c r="L172" s="51"/>
      <c r="M172" s="50">
        <f>TRUNC(M173+M174+M175+M176+M177+M178+M179+M180+M181+M182+M183,0)</f>
        <v>0</v>
      </c>
      <c r="N172" s="63" t="str">
        <f>N159</f>
        <v>토목6-3-3</v>
      </c>
    </row>
    <row r="173" spans="1:14" ht="15" customHeight="1">
      <c r="A173" s="13"/>
      <c r="B173" s="14" t="s">
        <v>275</v>
      </c>
      <c r="C173" s="1" t="s">
        <v>0</v>
      </c>
      <c r="D173" s="3">
        <v>0.57999999999999996</v>
      </c>
      <c r="E173" s="2" t="s">
        <v>27</v>
      </c>
      <c r="F173" s="4" t="e">
        <f t="shared" ref="F173:F183" si="39">H173+J173+L173</f>
        <v>#REF!</v>
      </c>
      <c r="G173" s="8" t="e">
        <f t="shared" si="38"/>
        <v>#REF!</v>
      </c>
      <c r="H173" s="4" t="e">
        <f>#REF!</f>
        <v>#REF!</v>
      </c>
      <c r="I173" s="8" t="e">
        <f>TRUNC(H173*D173,1)</f>
        <v>#REF!</v>
      </c>
      <c r="J173" s="4">
        <v>0</v>
      </c>
      <c r="K173" s="8"/>
      <c r="L173" s="4">
        <v>0</v>
      </c>
      <c r="M173" s="8"/>
      <c r="N173" s="12" t="s">
        <v>0</v>
      </c>
    </row>
    <row r="174" spans="1:14" ht="15" customHeight="1">
      <c r="A174" s="13"/>
      <c r="B174" s="14" t="s">
        <v>276</v>
      </c>
      <c r="C174" s="1" t="s">
        <v>0</v>
      </c>
      <c r="D174" s="3">
        <v>2.92</v>
      </c>
      <c r="E174" s="2" t="s">
        <v>27</v>
      </c>
      <c r="F174" s="4" t="e">
        <f t="shared" si="39"/>
        <v>#REF!</v>
      </c>
      <c r="G174" s="8" t="e">
        <f t="shared" si="38"/>
        <v>#REF!</v>
      </c>
      <c r="H174" s="4" t="e">
        <f>#REF!</f>
        <v>#REF!</v>
      </c>
      <c r="I174" s="8" t="e">
        <f>TRUNC(H174*D174,1)</f>
        <v>#REF!</v>
      </c>
      <c r="J174" s="4">
        <v>0</v>
      </c>
      <c r="K174" s="8"/>
      <c r="L174" s="4">
        <v>0</v>
      </c>
      <c r="M174" s="8"/>
      <c r="N174" s="12" t="s">
        <v>0</v>
      </c>
    </row>
    <row r="175" spans="1:14" ht="15" customHeight="1">
      <c r="A175" s="13"/>
      <c r="B175" s="14" t="s">
        <v>277</v>
      </c>
      <c r="C175" s="1" t="s">
        <v>39</v>
      </c>
      <c r="D175" s="3">
        <v>0.25</v>
      </c>
      <c r="E175" s="2" t="s">
        <v>38</v>
      </c>
      <c r="F175" s="4" t="e">
        <f t="shared" si="39"/>
        <v>#REF!</v>
      </c>
      <c r="G175" s="8" t="e">
        <f t="shared" si="38"/>
        <v>#REF!</v>
      </c>
      <c r="H175" s="4" t="e">
        <f>#REF!</f>
        <v>#REF!</v>
      </c>
      <c r="I175" s="8" t="e">
        <f>TRUNC(H175*D175,1)</f>
        <v>#REF!</v>
      </c>
      <c r="J175" s="4">
        <v>0</v>
      </c>
      <c r="K175" s="8"/>
      <c r="L175" s="4">
        <v>0</v>
      </c>
      <c r="M175" s="8"/>
      <c r="N175" s="12" t="s">
        <v>0</v>
      </c>
    </row>
    <row r="176" spans="1:14" ht="15" customHeight="1">
      <c r="A176" s="13"/>
      <c r="B176" s="14" t="s">
        <v>273</v>
      </c>
      <c r="C176" s="1" t="s">
        <v>0</v>
      </c>
      <c r="D176" s="3">
        <v>0.36</v>
      </c>
      <c r="E176" s="2" t="s">
        <v>24</v>
      </c>
      <c r="F176" s="4">
        <f t="shared" si="39"/>
        <v>263017</v>
      </c>
      <c r="G176" s="8">
        <f t="shared" si="38"/>
        <v>94686.1</v>
      </c>
      <c r="H176" s="4">
        <v>0</v>
      </c>
      <c r="I176" s="8"/>
      <c r="J176" s="4">
        <f>노임!$D$9</f>
        <v>263017</v>
      </c>
      <c r="K176" s="8">
        <f>TRUNC(J176*D176,1)</f>
        <v>94686.1</v>
      </c>
      <c r="L176" s="4">
        <v>0</v>
      </c>
      <c r="M176" s="8"/>
      <c r="N176" s="12" t="s">
        <v>0</v>
      </c>
    </row>
    <row r="177" spans="1:14" ht="15" customHeight="1">
      <c r="A177" s="13"/>
      <c r="B177" s="14" t="s">
        <v>262</v>
      </c>
      <c r="C177" s="1" t="s">
        <v>0</v>
      </c>
      <c r="D177" s="3">
        <v>0.09</v>
      </c>
      <c r="E177" s="2" t="s">
        <v>24</v>
      </c>
      <c r="F177" s="4">
        <f t="shared" si="39"/>
        <v>172068</v>
      </c>
      <c r="G177" s="8">
        <f t="shared" si="38"/>
        <v>15486.1</v>
      </c>
      <c r="H177" s="4">
        <v>0</v>
      </c>
      <c r="I177" s="8"/>
      <c r="J177" s="4">
        <f>노임!$D$3</f>
        <v>172068</v>
      </c>
      <c r="K177" s="8">
        <f>TRUNC(J177*D177,1)</f>
        <v>15486.1</v>
      </c>
      <c r="L177" s="4">
        <v>0</v>
      </c>
      <c r="M177" s="8"/>
      <c r="N177" s="12" t="s">
        <v>0</v>
      </c>
    </row>
    <row r="178" spans="1:14" ht="15" customHeight="1">
      <c r="A178" s="13"/>
      <c r="B178" s="14" t="s">
        <v>269</v>
      </c>
      <c r="C178" s="1" t="s">
        <v>201</v>
      </c>
      <c r="D178" s="3">
        <v>0.65</v>
      </c>
      <c r="E178" s="2" t="s">
        <v>27</v>
      </c>
      <c r="F178" s="4" t="e">
        <f t="shared" si="39"/>
        <v>#REF!</v>
      </c>
      <c r="G178" s="8" t="e">
        <f t="shared" si="38"/>
        <v>#REF!</v>
      </c>
      <c r="H178" s="4" t="e">
        <f>#REF!</f>
        <v>#REF!</v>
      </c>
      <c r="I178" s="8" t="e">
        <f>TRUNC(H178*D178,1)</f>
        <v>#REF!</v>
      </c>
      <c r="J178" s="4">
        <v>0</v>
      </c>
      <c r="K178" s="8"/>
      <c r="L178" s="4">
        <v>0</v>
      </c>
      <c r="M178" s="8"/>
      <c r="N178" s="12" t="s">
        <v>0</v>
      </c>
    </row>
    <row r="179" spans="1:14" ht="15" customHeight="1">
      <c r="A179" s="13"/>
      <c r="B179" s="14" t="s">
        <v>270</v>
      </c>
      <c r="C179" s="1" t="s">
        <v>202</v>
      </c>
      <c r="D179" s="3">
        <v>5.79</v>
      </c>
      <c r="E179" s="2" t="s">
        <v>6</v>
      </c>
      <c r="F179" s="4" t="e">
        <f t="shared" si="39"/>
        <v>#REF!</v>
      </c>
      <c r="G179" s="8" t="e">
        <f t="shared" si="38"/>
        <v>#REF!</v>
      </c>
      <c r="H179" s="4" t="e">
        <f>#REF!</f>
        <v>#REF!</v>
      </c>
      <c r="I179" s="8" t="e">
        <f>TRUNC(H179*D179,1)</f>
        <v>#REF!</v>
      </c>
      <c r="J179" s="4">
        <v>0</v>
      </c>
      <c r="K179" s="8"/>
      <c r="L179" s="4">
        <v>0</v>
      </c>
      <c r="M179" s="8"/>
      <c r="N179" s="12" t="s">
        <v>0</v>
      </c>
    </row>
    <row r="180" spans="1:14" ht="15" customHeight="1">
      <c r="A180" s="13"/>
      <c r="B180" s="14" t="s">
        <v>271</v>
      </c>
      <c r="C180" s="1" t="s">
        <v>203</v>
      </c>
      <c r="D180" s="3">
        <v>5.47</v>
      </c>
      <c r="E180" s="2" t="s">
        <v>14</v>
      </c>
      <c r="F180" s="4" t="e">
        <f t="shared" si="39"/>
        <v>#REF!</v>
      </c>
      <c r="G180" s="8" t="e">
        <f t="shared" si="38"/>
        <v>#REF!</v>
      </c>
      <c r="H180" s="4" t="e">
        <f>#REF!</f>
        <v>#REF!</v>
      </c>
      <c r="I180" s="8" t="e">
        <f>TRUNC(H180*D180,1)</f>
        <v>#REF!</v>
      </c>
      <c r="J180" s="4">
        <v>0</v>
      </c>
      <c r="K180" s="8"/>
      <c r="L180" s="4">
        <v>0</v>
      </c>
      <c r="M180" s="8"/>
      <c r="N180" s="12" t="s">
        <v>0</v>
      </c>
    </row>
    <row r="181" spans="1:14" ht="15" customHeight="1">
      <c r="A181" s="13"/>
      <c r="B181" s="14" t="s">
        <v>272</v>
      </c>
      <c r="C181" s="1" t="s">
        <v>204</v>
      </c>
      <c r="D181" s="3">
        <v>5.47</v>
      </c>
      <c r="E181" s="2" t="s">
        <v>14</v>
      </c>
      <c r="F181" s="4" t="e">
        <f t="shared" si="39"/>
        <v>#REF!</v>
      </c>
      <c r="G181" s="8" t="e">
        <f t="shared" si="38"/>
        <v>#REF!</v>
      </c>
      <c r="H181" s="4" t="e">
        <f>#REF!</f>
        <v>#REF!</v>
      </c>
      <c r="I181" s="8" t="e">
        <f>TRUNC(H181*D181,1)</f>
        <v>#REF!</v>
      </c>
      <c r="J181" s="4">
        <v>0</v>
      </c>
      <c r="K181" s="8"/>
      <c r="L181" s="4">
        <v>0</v>
      </c>
      <c r="M181" s="8"/>
      <c r="N181" s="12" t="s">
        <v>0</v>
      </c>
    </row>
    <row r="182" spans="1:14" ht="15" customHeight="1">
      <c r="A182" s="13"/>
      <c r="B182" s="14" t="s">
        <v>273</v>
      </c>
      <c r="C182" s="1" t="s">
        <v>0</v>
      </c>
      <c r="D182" s="3">
        <v>0.46</v>
      </c>
      <c r="E182" s="2" t="s">
        <v>24</v>
      </c>
      <c r="F182" s="4">
        <f t="shared" si="39"/>
        <v>263017</v>
      </c>
      <c r="G182" s="8">
        <f t="shared" si="38"/>
        <v>120987.8</v>
      </c>
      <c r="H182" s="4">
        <v>0</v>
      </c>
      <c r="I182" s="8"/>
      <c r="J182" s="4">
        <f>노임!$D$9</f>
        <v>263017</v>
      </c>
      <c r="K182" s="8">
        <f>TRUNC(J182*D182,1)</f>
        <v>120987.8</v>
      </c>
      <c r="L182" s="4">
        <v>0</v>
      </c>
      <c r="M182" s="8"/>
      <c r="N182" s="12" t="s">
        <v>0</v>
      </c>
    </row>
    <row r="183" spans="1:14" ht="15" customHeight="1">
      <c r="A183" s="13"/>
      <c r="B183" s="14" t="s">
        <v>262</v>
      </c>
      <c r="C183" s="1" t="s">
        <v>0</v>
      </c>
      <c r="D183" s="3">
        <v>0.11</v>
      </c>
      <c r="E183" s="2" t="s">
        <v>24</v>
      </c>
      <c r="F183" s="4">
        <f t="shared" si="39"/>
        <v>172068</v>
      </c>
      <c r="G183" s="8">
        <f t="shared" si="38"/>
        <v>18927.400000000001</v>
      </c>
      <c r="H183" s="4">
        <v>0</v>
      </c>
      <c r="I183" s="8"/>
      <c r="J183" s="4">
        <f>노임!$D$3</f>
        <v>172068</v>
      </c>
      <c r="K183" s="8">
        <f>TRUNC(J183*D183,1)</f>
        <v>18927.400000000001</v>
      </c>
      <c r="L183" s="4">
        <v>0</v>
      </c>
      <c r="M183" s="8"/>
      <c r="N183" s="12" t="s">
        <v>0</v>
      </c>
    </row>
    <row r="184" spans="1:14" ht="15" customHeight="1">
      <c r="A184" s="16"/>
      <c r="B184" s="15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12"/>
    </row>
    <row r="185" spans="1:14" ht="15" customHeight="1">
      <c r="A185" s="52">
        <f>A172+1</f>
        <v>89</v>
      </c>
      <c r="B185" s="46" t="s">
        <v>274</v>
      </c>
      <c r="C185" s="47" t="s">
        <v>195</v>
      </c>
      <c r="D185" s="47">
        <v>1</v>
      </c>
      <c r="E185" s="48" t="s">
        <v>3</v>
      </c>
      <c r="F185" s="51"/>
      <c r="G185" s="50" t="e">
        <f t="shared" ref="G185:G196" si="40">I185+K185+M185</f>
        <v>#REF!</v>
      </c>
      <c r="H185" s="51"/>
      <c r="I185" s="50" t="e">
        <f>TRUNC(I186+I187+I188+I189+I190+I191+I192+I193+I194+I195+I196,0)</f>
        <v>#REF!</v>
      </c>
      <c r="J185" s="51"/>
      <c r="K185" s="50">
        <f>TRUNC(K186+K187+K188+K189+K190+K191+K192+K193+K194+K195+K196,0)</f>
        <v>259698</v>
      </c>
      <c r="L185" s="51"/>
      <c r="M185" s="50">
        <f>TRUNC(M186+M187+M188+M189+M190+M191+M192+M193+M194+M195+M196,0)</f>
        <v>0</v>
      </c>
      <c r="N185" s="63" t="str">
        <f>N172</f>
        <v>토목6-3-3</v>
      </c>
    </row>
    <row r="186" spans="1:14" ht="15" customHeight="1">
      <c r="A186" s="13"/>
      <c r="B186" s="14" t="s">
        <v>275</v>
      </c>
      <c r="C186" s="1" t="s">
        <v>0</v>
      </c>
      <c r="D186" s="3">
        <v>0.77</v>
      </c>
      <c r="E186" s="2" t="s">
        <v>27</v>
      </c>
      <c r="F186" s="4" t="e">
        <f t="shared" ref="F186:F196" si="41">H186+J186+L186</f>
        <v>#REF!</v>
      </c>
      <c r="G186" s="8" t="e">
        <f t="shared" si="40"/>
        <v>#REF!</v>
      </c>
      <c r="H186" s="4" t="e">
        <f>#REF!</f>
        <v>#REF!</v>
      </c>
      <c r="I186" s="8" t="e">
        <f>TRUNC(H186*D186,1)</f>
        <v>#REF!</v>
      </c>
      <c r="J186" s="4">
        <v>0</v>
      </c>
      <c r="K186" s="8"/>
      <c r="L186" s="4">
        <v>0</v>
      </c>
      <c r="M186" s="8"/>
      <c r="N186" s="12" t="s">
        <v>0</v>
      </c>
    </row>
    <row r="187" spans="1:14" ht="15" customHeight="1">
      <c r="A187" s="13"/>
      <c r="B187" s="14" t="s">
        <v>276</v>
      </c>
      <c r="C187" s="1" t="s">
        <v>0</v>
      </c>
      <c r="D187" s="3">
        <v>3.85</v>
      </c>
      <c r="E187" s="2" t="s">
        <v>27</v>
      </c>
      <c r="F187" s="4" t="e">
        <f t="shared" si="41"/>
        <v>#REF!</v>
      </c>
      <c r="G187" s="8" t="e">
        <f t="shared" si="40"/>
        <v>#REF!</v>
      </c>
      <c r="H187" s="4" t="e">
        <f>#REF!</f>
        <v>#REF!</v>
      </c>
      <c r="I187" s="8" t="e">
        <f>TRUNC(H187*D187,1)</f>
        <v>#REF!</v>
      </c>
      <c r="J187" s="4">
        <v>0</v>
      </c>
      <c r="K187" s="8"/>
      <c r="L187" s="4">
        <v>0</v>
      </c>
      <c r="M187" s="8"/>
      <c r="N187" s="12" t="s">
        <v>0</v>
      </c>
    </row>
    <row r="188" spans="1:14" ht="15" customHeight="1">
      <c r="A188" s="13"/>
      <c r="B188" s="14" t="s">
        <v>277</v>
      </c>
      <c r="C188" s="1" t="s">
        <v>39</v>
      </c>
      <c r="D188" s="3">
        <v>0.33</v>
      </c>
      <c r="E188" s="2" t="s">
        <v>38</v>
      </c>
      <c r="F188" s="4" t="e">
        <f t="shared" si="41"/>
        <v>#REF!</v>
      </c>
      <c r="G188" s="8" t="e">
        <f t="shared" si="40"/>
        <v>#REF!</v>
      </c>
      <c r="H188" s="4" t="e">
        <f>#REF!</f>
        <v>#REF!</v>
      </c>
      <c r="I188" s="8" t="e">
        <f>TRUNC(H188*D188,1)</f>
        <v>#REF!</v>
      </c>
      <c r="J188" s="4">
        <v>0</v>
      </c>
      <c r="K188" s="8"/>
      <c r="L188" s="4">
        <v>0</v>
      </c>
      <c r="M188" s="8"/>
      <c r="N188" s="12" t="s">
        <v>0</v>
      </c>
    </row>
    <row r="189" spans="1:14" ht="15" customHeight="1">
      <c r="A189" s="13"/>
      <c r="B189" s="14" t="s">
        <v>273</v>
      </c>
      <c r="C189" s="1" t="s">
        <v>0</v>
      </c>
      <c r="D189" s="3">
        <v>0.37</v>
      </c>
      <c r="E189" s="2" t="s">
        <v>24</v>
      </c>
      <c r="F189" s="4">
        <f t="shared" si="41"/>
        <v>263017</v>
      </c>
      <c r="G189" s="8">
        <f t="shared" si="40"/>
        <v>97316.2</v>
      </c>
      <c r="H189" s="4">
        <v>0</v>
      </c>
      <c r="I189" s="8"/>
      <c r="J189" s="4">
        <f>노임!$D$9</f>
        <v>263017</v>
      </c>
      <c r="K189" s="8">
        <f>TRUNC(J189*D189,1)</f>
        <v>97316.2</v>
      </c>
      <c r="L189" s="4">
        <v>0</v>
      </c>
      <c r="M189" s="8"/>
      <c r="N189" s="12" t="s">
        <v>0</v>
      </c>
    </row>
    <row r="190" spans="1:14" ht="15" customHeight="1">
      <c r="A190" s="13"/>
      <c r="B190" s="14" t="s">
        <v>262</v>
      </c>
      <c r="C190" s="1" t="s">
        <v>0</v>
      </c>
      <c r="D190" s="3">
        <v>0.09</v>
      </c>
      <c r="E190" s="2" t="s">
        <v>24</v>
      </c>
      <c r="F190" s="4">
        <f t="shared" si="41"/>
        <v>172068</v>
      </c>
      <c r="G190" s="8">
        <f t="shared" si="40"/>
        <v>15486.1</v>
      </c>
      <c r="H190" s="4">
        <v>0</v>
      </c>
      <c r="I190" s="8"/>
      <c r="J190" s="4">
        <f>노임!$D$3</f>
        <v>172068</v>
      </c>
      <c r="K190" s="8">
        <f>TRUNC(J190*D190,1)</f>
        <v>15486.1</v>
      </c>
      <c r="L190" s="4">
        <v>0</v>
      </c>
      <c r="M190" s="8"/>
      <c r="N190" s="12" t="s">
        <v>0</v>
      </c>
    </row>
    <row r="191" spans="1:14" ht="15" customHeight="1">
      <c r="A191" s="13"/>
      <c r="B191" s="14" t="s">
        <v>269</v>
      </c>
      <c r="C191" s="1" t="s">
        <v>201</v>
      </c>
      <c r="D191" s="3">
        <v>0.77</v>
      </c>
      <c r="E191" s="2" t="s">
        <v>27</v>
      </c>
      <c r="F191" s="4" t="e">
        <f t="shared" si="41"/>
        <v>#REF!</v>
      </c>
      <c r="G191" s="8" t="e">
        <f t="shared" si="40"/>
        <v>#REF!</v>
      </c>
      <c r="H191" s="4" t="e">
        <f>#REF!</f>
        <v>#REF!</v>
      </c>
      <c r="I191" s="8" t="e">
        <f>TRUNC(H191*D191,1)</f>
        <v>#REF!</v>
      </c>
      <c r="J191" s="4">
        <v>0</v>
      </c>
      <c r="K191" s="8"/>
      <c r="L191" s="4">
        <v>0</v>
      </c>
      <c r="M191" s="8"/>
      <c r="N191" s="12" t="s">
        <v>0</v>
      </c>
    </row>
    <row r="192" spans="1:14" ht="15" customHeight="1">
      <c r="A192" s="13"/>
      <c r="B192" s="14" t="s">
        <v>270</v>
      </c>
      <c r="C192" s="1" t="s">
        <v>202</v>
      </c>
      <c r="D192" s="3">
        <v>6.32</v>
      </c>
      <c r="E192" s="2" t="s">
        <v>6</v>
      </c>
      <c r="F192" s="4" t="e">
        <f t="shared" si="41"/>
        <v>#REF!</v>
      </c>
      <c r="G192" s="8" t="e">
        <f t="shared" si="40"/>
        <v>#REF!</v>
      </c>
      <c r="H192" s="4" t="e">
        <f>#REF!</f>
        <v>#REF!</v>
      </c>
      <c r="I192" s="8" t="e">
        <f>TRUNC(H192*D192,1)</f>
        <v>#REF!</v>
      </c>
      <c r="J192" s="4">
        <v>0</v>
      </c>
      <c r="K192" s="8"/>
      <c r="L192" s="4">
        <v>0</v>
      </c>
      <c r="M192" s="8"/>
      <c r="N192" s="12" t="s">
        <v>0</v>
      </c>
    </row>
    <row r="193" spans="1:14" ht="15" customHeight="1">
      <c r="A193" s="13"/>
      <c r="B193" s="14" t="s">
        <v>271</v>
      </c>
      <c r="C193" s="1" t="s">
        <v>203</v>
      </c>
      <c r="D193" s="3">
        <v>7.21</v>
      </c>
      <c r="E193" s="2" t="s">
        <v>14</v>
      </c>
      <c r="F193" s="4" t="e">
        <f t="shared" si="41"/>
        <v>#REF!</v>
      </c>
      <c r="G193" s="8" t="e">
        <f t="shared" si="40"/>
        <v>#REF!</v>
      </c>
      <c r="H193" s="4" t="e">
        <f>#REF!</f>
        <v>#REF!</v>
      </c>
      <c r="I193" s="8" t="e">
        <f>TRUNC(H193*D193,1)</f>
        <v>#REF!</v>
      </c>
      <c r="J193" s="4">
        <v>0</v>
      </c>
      <c r="K193" s="8"/>
      <c r="L193" s="4">
        <v>0</v>
      </c>
      <c r="M193" s="8"/>
      <c r="N193" s="12" t="s">
        <v>0</v>
      </c>
    </row>
    <row r="194" spans="1:14" ht="15" customHeight="1">
      <c r="A194" s="13"/>
      <c r="B194" s="14" t="s">
        <v>272</v>
      </c>
      <c r="C194" s="1" t="s">
        <v>204</v>
      </c>
      <c r="D194" s="3">
        <v>7.21</v>
      </c>
      <c r="E194" s="2" t="s">
        <v>14</v>
      </c>
      <c r="F194" s="4" t="e">
        <f t="shared" si="41"/>
        <v>#REF!</v>
      </c>
      <c r="G194" s="8" t="e">
        <f t="shared" si="40"/>
        <v>#REF!</v>
      </c>
      <c r="H194" s="4" t="e">
        <f>#REF!</f>
        <v>#REF!</v>
      </c>
      <c r="I194" s="8" t="e">
        <f>TRUNC(H194*D194,1)</f>
        <v>#REF!</v>
      </c>
      <c r="J194" s="4">
        <v>0</v>
      </c>
      <c r="K194" s="8"/>
      <c r="L194" s="4">
        <v>0</v>
      </c>
      <c r="M194" s="8"/>
      <c r="N194" s="12" t="s">
        <v>0</v>
      </c>
    </row>
    <row r="195" spans="1:14" ht="15" customHeight="1">
      <c r="A195" s="13"/>
      <c r="B195" s="14" t="s">
        <v>273</v>
      </c>
      <c r="C195" s="1" t="s">
        <v>0</v>
      </c>
      <c r="D195" s="3">
        <v>0.48</v>
      </c>
      <c r="E195" s="2" t="s">
        <v>24</v>
      </c>
      <c r="F195" s="4">
        <f t="shared" si="41"/>
        <v>263017</v>
      </c>
      <c r="G195" s="8">
        <f t="shared" si="40"/>
        <v>126248.1</v>
      </c>
      <c r="H195" s="4">
        <v>0</v>
      </c>
      <c r="I195" s="8"/>
      <c r="J195" s="4">
        <f>노임!$D$9</f>
        <v>263017</v>
      </c>
      <c r="K195" s="8">
        <f>TRUNC(J195*D195,1)</f>
        <v>126248.1</v>
      </c>
      <c r="L195" s="4">
        <v>0</v>
      </c>
      <c r="M195" s="8"/>
      <c r="N195" s="12" t="s">
        <v>0</v>
      </c>
    </row>
    <row r="196" spans="1:14" ht="15" customHeight="1">
      <c r="A196" s="13"/>
      <c r="B196" s="14" t="s">
        <v>262</v>
      </c>
      <c r="C196" s="1" t="s">
        <v>0</v>
      </c>
      <c r="D196" s="3">
        <v>0.12</v>
      </c>
      <c r="E196" s="2" t="s">
        <v>24</v>
      </c>
      <c r="F196" s="4">
        <f t="shared" si="41"/>
        <v>172068</v>
      </c>
      <c r="G196" s="8">
        <f t="shared" si="40"/>
        <v>20648.099999999999</v>
      </c>
      <c r="H196" s="4">
        <v>0</v>
      </c>
      <c r="I196" s="8"/>
      <c r="J196" s="4">
        <f>노임!$D$3</f>
        <v>172068</v>
      </c>
      <c r="K196" s="8">
        <f>TRUNC(J196*D196,1)</f>
        <v>20648.099999999999</v>
      </c>
      <c r="L196" s="4">
        <v>0</v>
      </c>
      <c r="M196" s="8"/>
      <c r="N196" s="12" t="s">
        <v>0</v>
      </c>
    </row>
    <row r="197" spans="1:14" ht="15" customHeight="1">
      <c r="A197" s="16"/>
      <c r="B197" s="15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12"/>
    </row>
    <row r="198" spans="1:14" ht="15" customHeight="1">
      <c r="A198" s="52">
        <f>A185+1</f>
        <v>90</v>
      </c>
      <c r="B198" s="46" t="s">
        <v>274</v>
      </c>
      <c r="C198" s="47" t="s">
        <v>196</v>
      </c>
      <c r="D198" s="47">
        <v>1</v>
      </c>
      <c r="E198" s="48" t="s">
        <v>3</v>
      </c>
      <c r="F198" s="51"/>
      <c r="G198" s="50" t="e">
        <f t="shared" ref="G198:G209" si="42">I198+K198+M198</f>
        <v>#REF!</v>
      </c>
      <c r="H198" s="51"/>
      <c r="I198" s="50" t="e">
        <f>TRUNC(I199+I200+I201+I202+I203+I204+I205+I206+I207+I208+I209,0)</f>
        <v>#REF!</v>
      </c>
      <c r="J198" s="51"/>
      <c r="K198" s="50">
        <f>TRUNC(K199+K200+K201+K202+K203+K204+K205+K206+K207+K208+K209,0)</f>
        <v>267589</v>
      </c>
      <c r="L198" s="51"/>
      <c r="M198" s="50">
        <f>TRUNC(M199+M200+M201+M202+M203+M204+M205+M206+M207+M208+M209,0)</f>
        <v>0</v>
      </c>
      <c r="N198" s="63" t="str">
        <f>N185</f>
        <v>토목6-3-3</v>
      </c>
    </row>
    <row r="199" spans="1:14" ht="15" customHeight="1">
      <c r="A199" s="13"/>
      <c r="B199" s="14" t="s">
        <v>275</v>
      </c>
      <c r="C199" s="1" t="s">
        <v>0</v>
      </c>
      <c r="D199" s="3">
        <v>0.85</v>
      </c>
      <c r="E199" s="2" t="s">
        <v>27</v>
      </c>
      <c r="F199" s="4" t="e">
        <f t="shared" ref="F199:F209" si="43">H199+J199+L199</f>
        <v>#REF!</v>
      </c>
      <c r="G199" s="8" t="e">
        <f t="shared" si="42"/>
        <v>#REF!</v>
      </c>
      <c r="H199" s="4" t="e">
        <f>#REF!</f>
        <v>#REF!</v>
      </c>
      <c r="I199" s="8" t="e">
        <f>TRUNC(H199*D199,1)</f>
        <v>#REF!</v>
      </c>
      <c r="J199" s="4">
        <v>0</v>
      </c>
      <c r="K199" s="8"/>
      <c r="L199" s="4">
        <v>0</v>
      </c>
      <c r="M199" s="8"/>
      <c r="N199" s="12" t="s">
        <v>0</v>
      </c>
    </row>
    <row r="200" spans="1:14" ht="15" customHeight="1">
      <c r="A200" s="13"/>
      <c r="B200" s="14" t="s">
        <v>276</v>
      </c>
      <c r="C200" s="1" t="s">
        <v>0</v>
      </c>
      <c r="D200" s="3">
        <v>4.28</v>
      </c>
      <c r="E200" s="2" t="s">
        <v>27</v>
      </c>
      <c r="F200" s="4" t="e">
        <f t="shared" si="43"/>
        <v>#REF!</v>
      </c>
      <c r="G200" s="8" t="e">
        <f t="shared" si="42"/>
        <v>#REF!</v>
      </c>
      <c r="H200" s="4" t="e">
        <f>#REF!</f>
        <v>#REF!</v>
      </c>
      <c r="I200" s="8" t="e">
        <f>TRUNC(H200*D200,1)</f>
        <v>#REF!</v>
      </c>
      <c r="J200" s="4">
        <v>0</v>
      </c>
      <c r="K200" s="8"/>
      <c r="L200" s="4">
        <v>0</v>
      </c>
      <c r="M200" s="8"/>
      <c r="N200" s="12" t="s">
        <v>0</v>
      </c>
    </row>
    <row r="201" spans="1:14" ht="15" customHeight="1">
      <c r="A201" s="13"/>
      <c r="B201" s="14" t="s">
        <v>277</v>
      </c>
      <c r="C201" s="1" t="s">
        <v>39</v>
      </c>
      <c r="D201" s="3">
        <v>0.37</v>
      </c>
      <c r="E201" s="2" t="s">
        <v>38</v>
      </c>
      <c r="F201" s="4" t="e">
        <f t="shared" si="43"/>
        <v>#REF!</v>
      </c>
      <c r="G201" s="8" t="e">
        <f t="shared" si="42"/>
        <v>#REF!</v>
      </c>
      <c r="H201" s="4" t="e">
        <f>#REF!</f>
        <v>#REF!</v>
      </c>
      <c r="I201" s="8" t="e">
        <f>TRUNC(H201*D201,1)</f>
        <v>#REF!</v>
      </c>
      <c r="J201" s="4">
        <v>0</v>
      </c>
      <c r="K201" s="8"/>
      <c r="L201" s="4">
        <v>0</v>
      </c>
      <c r="M201" s="8"/>
      <c r="N201" s="12" t="s">
        <v>0</v>
      </c>
    </row>
    <row r="202" spans="1:14" ht="15" customHeight="1">
      <c r="A202" s="13"/>
      <c r="B202" s="14" t="s">
        <v>273</v>
      </c>
      <c r="C202" s="1" t="s">
        <v>0</v>
      </c>
      <c r="D202" s="3">
        <v>0.39</v>
      </c>
      <c r="E202" s="2" t="s">
        <v>24</v>
      </c>
      <c r="F202" s="4">
        <f t="shared" si="43"/>
        <v>263017</v>
      </c>
      <c r="G202" s="8">
        <f t="shared" si="42"/>
        <v>102576.6</v>
      </c>
      <c r="H202" s="4">
        <v>0</v>
      </c>
      <c r="I202" s="8"/>
      <c r="J202" s="4">
        <f>노임!$D$9</f>
        <v>263017</v>
      </c>
      <c r="K202" s="8">
        <f>TRUNC(J202*D202,1)</f>
        <v>102576.6</v>
      </c>
      <c r="L202" s="4">
        <v>0</v>
      </c>
      <c r="M202" s="8"/>
      <c r="N202" s="12" t="s">
        <v>0</v>
      </c>
    </row>
    <row r="203" spans="1:14" ht="15" customHeight="1">
      <c r="A203" s="13"/>
      <c r="B203" s="14" t="s">
        <v>262</v>
      </c>
      <c r="C203" s="1" t="s">
        <v>0</v>
      </c>
      <c r="D203" s="3">
        <v>0.09</v>
      </c>
      <c r="E203" s="2" t="s">
        <v>24</v>
      </c>
      <c r="F203" s="4">
        <f t="shared" si="43"/>
        <v>172068</v>
      </c>
      <c r="G203" s="8">
        <f t="shared" si="42"/>
        <v>15486.1</v>
      </c>
      <c r="H203" s="4">
        <v>0</v>
      </c>
      <c r="I203" s="8"/>
      <c r="J203" s="4">
        <f>노임!$D$3</f>
        <v>172068</v>
      </c>
      <c r="K203" s="8">
        <f>TRUNC(J203*D203,1)</f>
        <v>15486.1</v>
      </c>
      <c r="L203" s="4">
        <v>0</v>
      </c>
      <c r="M203" s="8"/>
      <c r="N203" s="12" t="s">
        <v>0</v>
      </c>
    </row>
    <row r="204" spans="1:14" ht="15" customHeight="1">
      <c r="A204" s="13"/>
      <c r="B204" s="14" t="s">
        <v>269</v>
      </c>
      <c r="C204" s="1" t="s">
        <v>201</v>
      </c>
      <c r="D204" s="3">
        <v>0.85</v>
      </c>
      <c r="E204" s="2" t="s">
        <v>27</v>
      </c>
      <c r="F204" s="4" t="e">
        <f t="shared" si="43"/>
        <v>#REF!</v>
      </c>
      <c r="G204" s="8" t="e">
        <f t="shared" si="42"/>
        <v>#REF!</v>
      </c>
      <c r="H204" s="4" t="e">
        <f>#REF!</f>
        <v>#REF!</v>
      </c>
      <c r="I204" s="8" t="e">
        <f>TRUNC(H204*D204,1)</f>
        <v>#REF!</v>
      </c>
      <c r="J204" s="4">
        <v>0</v>
      </c>
      <c r="K204" s="8"/>
      <c r="L204" s="4">
        <v>0</v>
      </c>
      <c r="M204" s="8"/>
      <c r="N204" s="12" t="s">
        <v>0</v>
      </c>
    </row>
    <row r="205" spans="1:14" ht="15" customHeight="1">
      <c r="A205" s="13"/>
      <c r="B205" s="14" t="s">
        <v>270</v>
      </c>
      <c r="C205" s="1" t="s">
        <v>202</v>
      </c>
      <c r="D205" s="3">
        <v>7.02</v>
      </c>
      <c r="E205" s="2" t="s">
        <v>6</v>
      </c>
      <c r="F205" s="4" t="e">
        <f t="shared" si="43"/>
        <v>#REF!</v>
      </c>
      <c r="G205" s="8" t="e">
        <f t="shared" si="42"/>
        <v>#REF!</v>
      </c>
      <c r="H205" s="4" t="e">
        <f>#REF!</f>
        <v>#REF!</v>
      </c>
      <c r="I205" s="8" t="e">
        <f>TRUNC(H205*D205,1)</f>
        <v>#REF!</v>
      </c>
      <c r="J205" s="4">
        <v>0</v>
      </c>
      <c r="K205" s="8"/>
      <c r="L205" s="4">
        <v>0</v>
      </c>
      <c r="M205" s="8"/>
      <c r="N205" s="12" t="s">
        <v>0</v>
      </c>
    </row>
    <row r="206" spans="1:14" ht="15" customHeight="1">
      <c r="A206" s="13"/>
      <c r="B206" s="14" t="s">
        <v>271</v>
      </c>
      <c r="C206" s="1" t="s">
        <v>203</v>
      </c>
      <c r="D206" s="3">
        <v>8</v>
      </c>
      <c r="E206" s="2" t="s">
        <v>14</v>
      </c>
      <c r="F206" s="4" t="e">
        <f t="shared" si="43"/>
        <v>#REF!</v>
      </c>
      <c r="G206" s="8" t="e">
        <f t="shared" si="42"/>
        <v>#REF!</v>
      </c>
      <c r="H206" s="4" t="e">
        <f>#REF!</f>
        <v>#REF!</v>
      </c>
      <c r="I206" s="8" t="e">
        <f>TRUNC(H206*D206,1)</f>
        <v>#REF!</v>
      </c>
      <c r="J206" s="4">
        <v>0</v>
      </c>
      <c r="K206" s="8"/>
      <c r="L206" s="4">
        <v>0</v>
      </c>
      <c r="M206" s="8"/>
      <c r="N206" s="12" t="s">
        <v>0</v>
      </c>
    </row>
    <row r="207" spans="1:14" ht="15" customHeight="1">
      <c r="A207" s="13"/>
      <c r="B207" s="14" t="s">
        <v>272</v>
      </c>
      <c r="C207" s="1" t="s">
        <v>204</v>
      </c>
      <c r="D207" s="3">
        <v>8</v>
      </c>
      <c r="E207" s="2" t="s">
        <v>14</v>
      </c>
      <c r="F207" s="4" t="e">
        <f t="shared" si="43"/>
        <v>#REF!</v>
      </c>
      <c r="G207" s="8" t="e">
        <f t="shared" si="42"/>
        <v>#REF!</v>
      </c>
      <c r="H207" s="4" t="e">
        <f>#REF!</f>
        <v>#REF!</v>
      </c>
      <c r="I207" s="8" t="e">
        <f>TRUNC(H207*D207,1)</f>
        <v>#REF!</v>
      </c>
      <c r="J207" s="4">
        <v>0</v>
      </c>
      <c r="K207" s="8"/>
      <c r="L207" s="4">
        <v>0</v>
      </c>
      <c r="M207" s="8"/>
      <c r="N207" s="12" t="s">
        <v>0</v>
      </c>
    </row>
    <row r="208" spans="1:14" ht="15" customHeight="1">
      <c r="A208" s="13"/>
      <c r="B208" s="14" t="s">
        <v>273</v>
      </c>
      <c r="C208" s="1" t="s">
        <v>0</v>
      </c>
      <c r="D208" s="3">
        <v>0.49</v>
      </c>
      <c r="E208" s="2" t="s">
        <v>24</v>
      </c>
      <c r="F208" s="4">
        <f t="shared" si="43"/>
        <v>263017</v>
      </c>
      <c r="G208" s="8">
        <f t="shared" si="42"/>
        <v>128878.3</v>
      </c>
      <c r="H208" s="4">
        <v>0</v>
      </c>
      <c r="I208" s="8"/>
      <c r="J208" s="4">
        <f>노임!$D$9</f>
        <v>263017</v>
      </c>
      <c r="K208" s="8">
        <f>TRUNC(J208*D208,1)</f>
        <v>128878.3</v>
      </c>
      <c r="L208" s="4">
        <v>0</v>
      </c>
      <c r="M208" s="8"/>
      <c r="N208" s="12" t="s">
        <v>0</v>
      </c>
    </row>
    <row r="209" spans="1:14" ht="15" customHeight="1">
      <c r="A209" s="13"/>
      <c r="B209" s="14" t="s">
        <v>262</v>
      </c>
      <c r="C209" s="1" t="s">
        <v>0</v>
      </c>
      <c r="D209" s="3">
        <v>0.12</v>
      </c>
      <c r="E209" s="2" t="s">
        <v>24</v>
      </c>
      <c r="F209" s="4">
        <f t="shared" si="43"/>
        <v>172068</v>
      </c>
      <c r="G209" s="8">
        <f t="shared" si="42"/>
        <v>20648.099999999999</v>
      </c>
      <c r="H209" s="4">
        <v>0</v>
      </c>
      <c r="I209" s="8"/>
      <c r="J209" s="4">
        <f>노임!$D$3</f>
        <v>172068</v>
      </c>
      <c r="K209" s="8">
        <f>TRUNC(J209*D209,1)</f>
        <v>20648.099999999999</v>
      </c>
      <c r="L209" s="4">
        <v>0</v>
      </c>
      <c r="M209" s="8"/>
      <c r="N209" s="12" t="s">
        <v>0</v>
      </c>
    </row>
    <row r="210" spans="1:14" ht="15" customHeight="1">
      <c r="A210" s="16"/>
      <c r="B210" s="14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12"/>
    </row>
    <row r="211" spans="1:14" ht="15" customHeight="1">
      <c r="A211" s="52">
        <f>A198+1</f>
        <v>91</v>
      </c>
      <c r="B211" s="46" t="s">
        <v>274</v>
      </c>
      <c r="C211" s="47" t="s">
        <v>197</v>
      </c>
      <c r="D211" s="47">
        <v>1</v>
      </c>
      <c r="E211" s="48" t="s">
        <v>3</v>
      </c>
      <c r="F211" s="51"/>
      <c r="G211" s="50" t="e">
        <f t="shared" ref="G211:G222" si="44">I211+K211+M211</f>
        <v>#REF!</v>
      </c>
      <c r="H211" s="51"/>
      <c r="I211" s="50" t="e">
        <f>TRUNC(I212+I213+I214+I215+I216+I217+I218+I219+I220+I221+I222,0)</f>
        <v>#REF!</v>
      </c>
      <c r="J211" s="51"/>
      <c r="K211" s="50">
        <f>TRUNC(K212+K213+K214+K215+K216+K217+K218+K219+K220+K221+K222,0)</f>
        <v>284181</v>
      </c>
      <c r="L211" s="51"/>
      <c r="M211" s="50">
        <f>TRUNC(M212+M213+M214+M215+M216+M217+M218+M219+M220+M221+M222,0)</f>
        <v>0</v>
      </c>
      <c r="N211" s="63" t="str">
        <f>N198</f>
        <v>토목6-3-3</v>
      </c>
    </row>
    <row r="212" spans="1:14" ht="15" customHeight="1">
      <c r="A212" s="13"/>
      <c r="B212" s="14" t="s">
        <v>275</v>
      </c>
      <c r="C212" s="1" t="s">
        <v>0</v>
      </c>
      <c r="D212" s="3">
        <v>0.94</v>
      </c>
      <c r="E212" s="2" t="s">
        <v>27</v>
      </c>
      <c r="F212" s="4" t="e">
        <f t="shared" ref="F212:F222" si="45">H212+J212+L212</f>
        <v>#REF!</v>
      </c>
      <c r="G212" s="8" t="e">
        <f t="shared" si="44"/>
        <v>#REF!</v>
      </c>
      <c r="H212" s="4" t="e">
        <f>#REF!</f>
        <v>#REF!</v>
      </c>
      <c r="I212" s="8" t="e">
        <f>TRUNC(H212*D212,1)</f>
        <v>#REF!</v>
      </c>
      <c r="J212" s="4">
        <v>0</v>
      </c>
      <c r="K212" s="8"/>
      <c r="L212" s="4">
        <v>0</v>
      </c>
      <c r="M212" s="8"/>
      <c r="N212" s="12" t="s">
        <v>0</v>
      </c>
    </row>
    <row r="213" spans="1:14" ht="15" customHeight="1">
      <c r="A213" s="13"/>
      <c r="B213" s="14" t="s">
        <v>276</v>
      </c>
      <c r="C213" s="1" t="s">
        <v>0</v>
      </c>
      <c r="D213" s="3">
        <v>4.71</v>
      </c>
      <c r="E213" s="2" t="s">
        <v>27</v>
      </c>
      <c r="F213" s="4" t="e">
        <f t="shared" si="45"/>
        <v>#REF!</v>
      </c>
      <c r="G213" s="8" t="e">
        <f t="shared" si="44"/>
        <v>#REF!</v>
      </c>
      <c r="H213" s="4" t="e">
        <f>#REF!</f>
        <v>#REF!</v>
      </c>
      <c r="I213" s="8" t="e">
        <f>TRUNC(H213*D213,1)</f>
        <v>#REF!</v>
      </c>
      <c r="J213" s="4">
        <v>0</v>
      </c>
      <c r="K213" s="8"/>
      <c r="L213" s="4">
        <v>0</v>
      </c>
      <c r="M213" s="8"/>
      <c r="N213" s="12" t="s">
        <v>0</v>
      </c>
    </row>
    <row r="214" spans="1:14" ht="15" customHeight="1">
      <c r="A214" s="13"/>
      <c r="B214" s="14" t="s">
        <v>277</v>
      </c>
      <c r="C214" s="1" t="s">
        <v>39</v>
      </c>
      <c r="D214" s="3">
        <v>0.41</v>
      </c>
      <c r="E214" s="2" t="s">
        <v>38</v>
      </c>
      <c r="F214" s="4" t="e">
        <f t="shared" si="45"/>
        <v>#REF!</v>
      </c>
      <c r="G214" s="8" t="e">
        <f t="shared" si="44"/>
        <v>#REF!</v>
      </c>
      <c r="H214" s="4" t="e">
        <f>#REF!</f>
        <v>#REF!</v>
      </c>
      <c r="I214" s="8" t="e">
        <f>TRUNC(H214*D214,1)</f>
        <v>#REF!</v>
      </c>
      <c r="J214" s="4">
        <v>0</v>
      </c>
      <c r="K214" s="8"/>
      <c r="L214" s="4">
        <v>0</v>
      </c>
      <c r="M214" s="8"/>
      <c r="N214" s="12" t="s">
        <v>0</v>
      </c>
    </row>
    <row r="215" spans="1:14" ht="15" customHeight="1">
      <c r="A215" s="13"/>
      <c r="B215" s="14" t="s">
        <v>273</v>
      </c>
      <c r="C215" s="1" t="s">
        <v>0</v>
      </c>
      <c r="D215" s="3">
        <v>0.4</v>
      </c>
      <c r="E215" s="2" t="s">
        <v>24</v>
      </c>
      <c r="F215" s="4">
        <f t="shared" si="45"/>
        <v>263017</v>
      </c>
      <c r="G215" s="8">
        <f t="shared" si="44"/>
        <v>105206.8</v>
      </c>
      <c r="H215" s="4">
        <v>0</v>
      </c>
      <c r="I215" s="8"/>
      <c r="J215" s="4">
        <f>노임!$D$9</f>
        <v>263017</v>
      </c>
      <c r="K215" s="8">
        <f>TRUNC(J215*D215,1)</f>
        <v>105206.8</v>
      </c>
      <c r="L215" s="4">
        <v>0</v>
      </c>
      <c r="M215" s="8"/>
      <c r="N215" s="12" t="s">
        <v>0</v>
      </c>
    </row>
    <row r="216" spans="1:14" ht="15" customHeight="1">
      <c r="A216" s="13"/>
      <c r="B216" s="14" t="s">
        <v>262</v>
      </c>
      <c r="C216" s="1" t="s">
        <v>0</v>
      </c>
      <c r="D216" s="3">
        <v>0.1</v>
      </c>
      <c r="E216" s="2" t="s">
        <v>24</v>
      </c>
      <c r="F216" s="4">
        <f t="shared" si="45"/>
        <v>172068</v>
      </c>
      <c r="G216" s="8">
        <f t="shared" si="44"/>
        <v>17206.8</v>
      </c>
      <c r="H216" s="4">
        <v>0</v>
      </c>
      <c r="I216" s="8"/>
      <c r="J216" s="4">
        <f>노임!$D$3</f>
        <v>172068</v>
      </c>
      <c r="K216" s="8">
        <f>TRUNC(J216*D216,1)</f>
        <v>17206.8</v>
      </c>
      <c r="L216" s="4">
        <v>0</v>
      </c>
      <c r="M216" s="8"/>
      <c r="N216" s="12" t="s">
        <v>0</v>
      </c>
    </row>
    <row r="217" spans="1:14" ht="15" customHeight="1">
      <c r="A217" s="13"/>
      <c r="B217" s="14" t="s">
        <v>269</v>
      </c>
      <c r="C217" s="1" t="s">
        <v>201</v>
      </c>
      <c r="D217" s="3">
        <v>0.94</v>
      </c>
      <c r="E217" s="2" t="s">
        <v>27</v>
      </c>
      <c r="F217" s="4" t="e">
        <f t="shared" si="45"/>
        <v>#REF!</v>
      </c>
      <c r="G217" s="8" t="e">
        <f t="shared" si="44"/>
        <v>#REF!</v>
      </c>
      <c r="H217" s="4" t="e">
        <f>#REF!</f>
        <v>#REF!</v>
      </c>
      <c r="I217" s="8" t="e">
        <f>TRUNC(H217*D217,1)</f>
        <v>#REF!</v>
      </c>
      <c r="J217" s="4">
        <v>0</v>
      </c>
      <c r="K217" s="8"/>
      <c r="L217" s="4">
        <v>0</v>
      </c>
      <c r="M217" s="8"/>
      <c r="N217" s="12" t="s">
        <v>0</v>
      </c>
    </row>
    <row r="218" spans="1:14" ht="15" customHeight="1">
      <c r="A218" s="13"/>
      <c r="B218" s="14" t="s">
        <v>270</v>
      </c>
      <c r="C218" s="1" t="s">
        <v>202</v>
      </c>
      <c r="D218" s="3">
        <v>7.72</v>
      </c>
      <c r="E218" s="2" t="s">
        <v>6</v>
      </c>
      <c r="F218" s="4" t="e">
        <f t="shared" si="45"/>
        <v>#REF!</v>
      </c>
      <c r="G218" s="8" t="e">
        <f t="shared" si="44"/>
        <v>#REF!</v>
      </c>
      <c r="H218" s="4" t="e">
        <f>#REF!</f>
        <v>#REF!</v>
      </c>
      <c r="I218" s="8" t="e">
        <f>TRUNC(H218*D218,1)</f>
        <v>#REF!</v>
      </c>
      <c r="J218" s="4">
        <v>0</v>
      </c>
      <c r="K218" s="8"/>
      <c r="L218" s="4">
        <v>0</v>
      </c>
      <c r="M218" s="8"/>
      <c r="N218" s="12" t="s">
        <v>0</v>
      </c>
    </row>
    <row r="219" spans="1:14" ht="15" customHeight="1">
      <c r="A219" s="13"/>
      <c r="B219" s="14" t="s">
        <v>271</v>
      </c>
      <c r="C219" s="1" t="s">
        <v>203</v>
      </c>
      <c r="D219" s="3">
        <v>8.82</v>
      </c>
      <c r="E219" s="2" t="s">
        <v>14</v>
      </c>
      <c r="F219" s="4" t="e">
        <f t="shared" si="45"/>
        <v>#REF!</v>
      </c>
      <c r="G219" s="8" t="e">
        <f t="shared" si="44"/>
        <v>#REF!</v>
      </c>
      <c r="H219" s="4" t="e">
        <f>#REF!</f>
        <v>#REF!</v>
      </c>
      <c r="I219" s="8" t="e">
        <f>TRUNC(H219*D219,1)</f>
        <v>#REF!</v>
      </c>
      <c r="J219" s="4">
        <v>0</v>
      </c>
      <c r="K219" s="8"/>
      <c r="L219" s="4">
        <v>0</v>
      </c>
      <c r="M219" s="8"/>
      <c r="N219" s="12" t="s">
        <v>0</v>
      </c>
    </row>
    <row r="220" spans="1:14" ht="15" customHeight="1">
      <c r="A220" s="13"/>
      <c r="B220" s="14" t="s">
        <v>272</v>
      </c>
      <c r="C220" s="1" t="s">
        <v>204</v>
      </c>
      <c r="D220" s="3">
        <v>8.82</v>
      </c>
      <c r="E220" s="2" t="s">
        <v>14</v>
      </c>
      <c r="F220" s="4" t="e">
        <f t="shared" si="45"/>
        <v>#REF!</v>
      </c>
      <c r="G220" s="8" t="e">
        <f t="shared" si="44"/>
        <v>#REF!</v>
      </c>
      <c r="H220" s="4" t="e">
        <f>#REF!</f>
        <v>#REF!</v>
      </c>
      <c r="I220" s="8" t="e">
        <f>TRUNC(H220*D220,1)</f>
        <v>#REF!</v>
      </c>
      <c r="J220" s="4">
        <v>0</v>
      </c>
      <c r="K220" s="8"/>
      <c r="L220" s="4">
        <v>0</v>
      </c>
      <c r="M220" s="8"/>
      <c r="N220" s="12" t="s">
        <v>0</v>
      </c>
    </row>
    <row r="221" spans="1:14" ht="15" customHeight="1">
      <c r="A221" s="13"/>
      <c r="B221" s="14" t="s">
        <v>273</v>
      </c>
      <c r="C221" s="1" t="s">
        <v>0</v>
      </c>
      <c r="D221" s="3">
        <v>0.53</v>
      </c>
      <c r="E221" s="2" t="s">
        <v>24</v>
      </c>
      <c r="F221" s="4">
        <f t="shared" si="45"/>
        <v>263017</v>
      </c>
      <c r="G221" s="8">
        <f t="shared" si="44"/>
        <v>139399</v>
      </c>
      <c r="H221" s="4">
        <v>0</v>
      </c>
      <c r="I221" s="8"/>
      <c r="J221" s="4">
        <f>노임!$D$9</f>
        <v>263017</v>
      </c>
      <c r="K221" s="8">
        <f>TRUNC(J221*D221,1)</f>
        <v>139399</v>
      </c>
      <c r="L221" s="4">
        <v>0</v>
      </c>
      <c r="M221" s="8"/>
      <c r="N221" s="12" t="s">
        <v>0</v>
      </c>
    </row>
    <row r="222" spans="1:14" ht="15" customHeight="1">
      <c r="A222" s="13"/>
      <c r="B222" s="14" t="s">
        <v>262</v>
      </c>
      <c r="C222" s="1" t="s">
        <v>0</v>
      </c>
      <c r="D222" s="3">
        <v>0.13</v>
      </c>
      <c r="E222" s="2" t="s">
        <v>24</v>
      </c>
      <c r="F222" s="4">
        <f t="shared" si="45"/>
        <v>172068</v>
      </c>
      <c r="G222" s="8">
        <f t="shared" si="44"/>
        <v>22368.799999999999</v>
      </c>
      <c r="H222" s="4">
        <v>0</v>
      </c>
      <c r="I222" s="8"/>
      <c r="J222" s="4">
        <f>노임!$D$3</f>
        <v>172068</v>
      </c>
      <c r="K222" s="8">
        <f>TRUNC(J222*D222,1)</f>
        <v>22368.799999999999</v>
      </c>
      <c r="L222" s="4">
        <v>0</v>
      </c>
      <c r="M222" s="8"/>
      <c r="N222" s="12" t="s">
        <v>0</v>
      </c>
    </row>
    <row r="223" spans="1:14" ht="15" customHeight="1">
      <c r="A223" s="16"/>
      <c r="B223" s="15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12"/>
    </row>
    <row r="224" spans="1:14" ht="15" customHeight="1">
      <c r="A224" s="52">
        <f>A211+1</f>
        <v>92</v>
      </c>
      <c r="B224" s="46" t="s">
        <v>274</v>
      </c>
      <c r="C224" s="47" t="s">
        <v>198</v>
      </c>
      <c r="D224" s="47">
        <v>1</v>
      </c>
      <c r="E224" s="48" t="s">
        <v>3</v>
      </c>
      <c r="F224" s="51"/>
      <c r="G224" s="50" t="e">
        <f t="shared" ref="G224:G235" si="46">I224+K224+M224</f>
        <v>#REF!</v>
      </c>
      <c r="H224" s="51"/>
      <c r="I224" s="50" t="e">
        <f>TRUNC(I225+I226+I227+I228+I229+I230+I231+I232+I233+I234+I235,0)</f>
        <v>#REF!</v>
      </c>
      <c r="J224" s="51"/>
      <c r="K224" s="50">
        <f>TRUNC(K225+K226+K227+K228+K229+K230+K231+K232+K233+K234+K235,0)</f>
        <v>286811</v>
      </c>
      <c r="L224" s="51"/>
      <c r="M224" s="50">
        <f>TRUNC(M225+M226+M227+M228+M229+M230+M231+M232+M233+M234+M235,0)</f>
        <v>0</v>
      </c>
      <c r="N224" s="63" t="str">
        <f>N211</f>
        <v>토목6-3-3</v>
      </c>
    </row>
    <row r="225" spans="1:14" ht="15" customHeight="1">
      <c r="A225" s="13"/>
      <c r="B225" s="14" t="s">
        <v>275</v>
      </c>
      <c r="C225" s="1" t="s">
        <v>0</v>
      </c>
      <c r="D225" s="3">
        <v>1.02</v>
      </c>
      <c r="E225" s="2" t="s">
        <v>27</v>
      </c>
      <c r="F225" s="4" t="e">
        <f t="shared" ref="F225:F235" si="47">H225+J225+L225</f>
        <v>#REF!</v>
      </c>
      <c r="G225" s="8" t="e">
        <f t="shared" si="46"/>
        <v>#REF!</v>
      </c>
      <c r="H225" s="4" t="e">
        <f>#REF!</f>
        <v>#REF!</v>
      </c>
      <c r="I225" s="8" t="e">
        <f>TRUNC(H225*D225,1)</f>
        <v>#REF!</v>
      </c>
      <c r="J225" s="4">
        <v>0</v>
      </c>
      <c r="K225" s="8"/>
      <c r="L225" s="4">
        <v>0</v>
      </c>
      <c r="M225" s="8"/>
      <c r="N225" s="12" t="s">
        <v>0</v>
      </c>
    </row>
    <row r="226" spans="1:14" ht="15" customHeight="1">
      <c r="A226" s="13"/>
      <c r="B226" s="14" t="s">
        <v>276</v>
      </c>
      <c r="C226" s="1" t="s">
        <v>0</v>
      </c>
      <c r="D226" s="3">
        <v>5.14</v>
      </c>
      <c r="E226" s="2" t="s">
        <v>27</v>
      </c>
      <c r="F226" s="4" t="e">
        <f t="shared" si="47"/>
        <v>#REF!</v>
      </c>
      <c r="G226" s="8" t="e">
        <f t="shared" si="46"/>
        <v>#REF!</v>
      </c>
      <c r="H226" s="4" t="e">
        <f>#REF!</f>
        <v>#REF!</v>
      </c>
      <c r="I226" s="8" t="e">
        <f>TRUNC(H226*D226,1)</f>
        <v>#REF!</v>
      </c>
      <c r="J226" s="4">
        <v>0</v>
      </c>
      <c r="K226" s="8"/>
      <c r="L226" s="4">
        <v>0</v>
      </c>
      <c r="M226" s="8"/>
      <c r="N226" s="12" t="s">
        <v>0</v>
      </c>
    </row>
    <row r="227" spans="1:14" ht="15" customHeight="1">
      <c r="A227" s="13"/>
      <c r="B227" s="14" t="s">
        <v>277</v>
      </c>
      <c r="C227" s="1" t="s">
        <v>39</v>
      </c>
      <c r="D227" s="3">
        <v>0.45</v>
      </c>
      <c r="E227" s="2" t="s">
        <v>38</v>
      </c>
      <c r="F227" s="4" t="e">
        <f t="shared" si="47"/>
        <v>#REF!</v>
      </c>
      <c r="G227" s="8" t="e">
        <f t="shared" si="46"/>
        <v>#REF!</v>
      </c>
      <c r="H227" s="4" t="e">
        <f>#REF!</f>
        <v>#REF!</v>
      </c>
      <c r="I227" s="8" t="e">
        <f>TRUNC(H227*D227,1)</f>
        <v>#REF!</v>
      </c>
      <c r="J227" s="4">
        <v>0</v>
      </c>
      <c r="K227" s="8"/>
      <c r="L227" s="4">
        <v>0</v>
      </c>
      <c r="M227" s="8"/>
      <c r="N227" s="12" t="s">
        <v>0</v>
      </c>
    </row>
    <row r="228" spans="1:14" ht="15" customHeight="1">
      <c r="A228" s="13"/>
      <c r="B228" s="14" t="s">
        <v>273</v>
      </c>
      <c r="C228" s="1" t="s">
        <v>0</v>
      </c>
      <c r="D228" s="3">
        <v>0.41</v>
      </c>
      <c r="E228" s="2" t="s">
        <v>24</v>
      </c>
      <c r="F228" s="4">
        <f t="shared" si="47"/>
        <v>263017</v>
      </c>
      <c r="G228" s="8">
        <f t="shared" si="46"/>
        <v>107836.9</v>
      </c>
      <c r="H228" s="4">
        <v>0</v>
      </c>
      <c r="I228" s="8"/>
      <c r="J228" s="4">
        <f>노임!$D$9</f>
        <v>263017</v>
      </c>
      <c r="K228" s="8">
        <f>TRUNC(J228*D228,1)</f>
        <v>107836.9</v>
      </c>
      <c r="L228" s="4">
        <v>0</v>
      </c>
      <c r="M228" s="8"/>
      <c r="N228" s="12" t="s">
        <v>0</v>
      </c>
    </row>
    <row r="229" spans="1:14" ht="15" customHeight="1">
      <c r="A229" s="13"/>
      <c r="B229" s="14" t="s">
        <v>262</v>
      </c>
      <c r="C229" s="1" t="s">
        <v>0</v>
      </c>
      <c r="D229" s="3">
        <v>0.1</v>
      </c>
      <c r="E229" s="2" t="s">
        <v>24</v>
      </c>
      <c r="F229" s="4">
        <f t="shared" si="47"/>
        <v>172068</v>
      </c>
      <c r="G229" s="8">
        <f t="shared" si="46"/>
        <v>17206.8</v>
      </c>
      <c r="H229" s="4">
        <v>0</v>
      </c>
      <c r="I229" s="8"/>
      <c r="J229" s="4">
        <f>노임!$D$3</f>
        <v>172068</v>
      </c>
      <c r="K229" s="8">
        <f>TRUNC(J229*D229,1)</f>
        <v>17206.8</v>
      </c>
      <c r="L229" s="4">
        <v>0</v>
      </c>
      <c r="M229" s="8"/>
      <c r="N229" s="12" t="s">
        <v>0</v>
      </c>
    </row>
    <row r="230" spans="1:14" ht="15" customHeight="1">
      <c r="A230" s="13"/>
      <c r="B230" s="14" t="s">
        <v>269</v>
      </c>
      <c r="C230" s="1" t="s">
        <v>201</v>
      </c>
      <c r="D230" s="3">
        <v>1.02</v>
      </c>
      <c r="E230" s="2" t="s">
        <v>27</v>
      </c>
      <c r="F230" s="4" t="e">
        <f t="shared" si="47"/>
        <v>#REF!</v>
      </c>
      <c r="G230" s="8" t="e">
        <f t="shared" si="46"/>
        <v>#REF!</v>
      </c>
      <c r="H230" s="4" t="e">
        <f>#REF!</f>
        <v>#REF!</v>
      </c>
      <c r="I230" s="8" t="e">
        <f>TRUNC(H230*D230,1)</f>
        <v>#REF!</v>
      </c>
      <c r="J230" s="4">
        <v>0</v>
      </c>
      <c r="K230" s="8"/>
      <c r="L230" s="4">
        <v>0</v>
      </c>
      <c r="M230" s="8"/>
      <c r="N230" s="12" t="s">
        <v>0</v>
      </c>
    </row>
    <row r="231" spans="1:14" ht="15" customHeight="1">
      <c r="A231" s="13"/>
      <c r="B231" s="14" t="s">
        <v>270</v>
      </c>
      <c r="C231" s="1" t="s">
        <v>202</v>
      </c>
      <c r="D231" s="3">
        <v>8.42</v>
      </c>
      <c r="E231" s="2" t="s">
        <v>6</v>
      </c>
      <c r="F231" s="4" t="e">
        <f t="shared" si="47"/>
        <v>#REF!</v>
      </c>
      <c r="G231" s="8" t="e">
        <f t="shared" si="46"/>
        <v>#REF!</v>
      </c>
      <c r="H231" s="4" t="e">
        <f>#REF!</f>
        <v>#REF!</v>
      </c>
      <c r="I231" s="8" t="e">
        <f>TRUNC(H231*D231,1)</f>
        <v>#REF!</v>
      </c>
      <c r="J231" s="4">
        <v>0</v>
      </c>
      <c r="K231" s="8"/>
      <c r="L231" s="4">
        <v>0</v>
      </c>
      <c r="M231" s="8"/>
      <c r="N231" s="12" t="s">
        <v>0</v>
      </c>
    </row>
    <row r="232" spans="1:14" ht="15" customHeight="1">
      <c r="A232" s="13"/>
      <c r="B232" s="14" t="s">
        <v>271</v>
      </c>
      <c r="C232" s="1" t="s">
        <v>203</v>
      </c>
      <c r="D232" s="3">
        <v>9.61</v>
      </c>
      <c r="E232" s="2" t="s">
        <v>14</v>
      </c>
      <c r="F232" s="4" t="e">
        <f t="shared" si="47"/>
        <v>#REF!</v>
      </c>
      <c r="G232" s="8" t="e">
        <f t="shared" si="46"/>
        <v>#REF!</v>
      </c>
      <c r="H232" s="4" t="e">
        <f>#REF!</f>
        <v>#REF!</v>
      </c>
      <c r="I232" s="8" t="e">
        <f>TRUNC(H232*D232,1)</f>
        <v>#REF!</v>
      </c>
      <c r="J232" s="4">
        <v>0</v>
      </c>
      <c r="K232" s="8"/>
      <c r="L232" s="4">
        <v>0</v>
      </c>
      <c r="M232" s="8"/>
      <c r="N232" s="12" t="s">
        <v>0</v>
      </c>
    </row>
    <row r="233" spans="1:14" ht="15" customHeight="1">
      <c r="A233" s="13"/>
      <c r="B233" s="14" t="s">
        <v>272</v>
      </c>
      <c r="C233" s="1" t="s">
        <v>204</v>
      </c>
      <c r="D233" s="3">
        <v>9.61</v>
      </c>
      <c r="E233" s="2" t="s">
        <v>14</v>
      </c>
      <c r="F233" s="4" t="e">
        <f t="shared" si="47"/>
        <v>#REF!</v>
      </c>
      <c r="G233" s="8" t="e">
        <f t="shared" si="46"/>
        <v>#REF!</v>
      </c>
      <c r="H233" s="4" t="e">
        <f>#REF!</f>
        <v>#REF!</v>
      </c>
      <c r="I233" s="8" t="e">
        <f>TRUNC(H233*D233,1)</f>
        <v>#REF!</v>
      </c>
      <c r="J233" s="4">
        <v>0</v>
      </c>
      <c r="K233" s="8"/>
      <c r="L233" s="4">
        <v>0</v>
      </c>
      <c r="M233" s="8"/>
      <c r="N233" s="12" t="s">
        <v>0</v>
      </c>
    </row>
    <row r="234" spans="1:14" ht="15" customHeight="1">
      <c r="A234" s="13"/>
      <c r="B234" s="14" t="s">
        <v>273</v>
      </c>
      <c r="C234" s="1" t="s">
        <v>0</v>
      </c>
      <c r="D234" s="3">
        <v>0.53</v>
      </c>
      <c r="E234" s="2" t="s">
        <v>24</v>
      </c>
      <c r="F234" s="4">
        <f t="shared" si="47"/>
        <v>263017</v>
      </c>
      <c r="G234" s="8">
        <f t="shared" si="46"/>
        <v>139399</v>
      </c>
      <c r="H234" s="4">
        <v>0</v>
      </c>
      <c r="I234" s="8"/>
      <c r="J234" s="4">
        <f>노임!$D$9</f>
        <v>263017</v>
      </c>
      <c r="K234" s="8">
        <f>TRUNC(J234*D234,1)</f>
        <v>139399</v>
      </c>
      <c r="L234" s="4">
        <v>0</v>
      </c>
      <c r="M234" s="8"/>
      <c r="N234" s="12" t="s">
        <v>0</v>
      </c>
    </row>
    <row r="235" spans="1:14" ht="15" customHeight="1">
      <c r="A235" s="13"/>
      <c r="B235" s="14" t="s">
        <v>262</v>
      </c>
      <c r="C235" s="1" t="s">
        <v>0</v>
      </c>
      <c r="D235" s="3">
        <v>0.13</v>
      </c>
      <c r="E235" s="2" t="s">
        <v>24</v>
      </c>
      <c r="F235" s="4">
        <f t="shared" si="47"/>
        <v>172068</v>
      </c>
      <c r="G235" s="8">
        <f t="shared" si="46"/>
        <v>22368.799999999999</v>
      </c>
      <c r="H235" s="4">
        <v>0</v>
      </c>
      <c r="I235" s="8"/>
      <c r="J235" s="4">
        <f>노임!$D$3</f>
        <v>172068</v>
      </c>
      <c r="K235" s="8">
        <f>TRUNC(J235*D235,1)</f>
        <v>22368.799999999999</v>
      </c>
      <c r="L235" s="4">
        <v>0</v>
      </c>
      <c r="M235" s="8"/>
      <c r="N235" s="12" t="s">
        <v>0</v>
      </c>
    </row>
    <row r="236" spans="1:14" ht="15" customHeight="1">
      <c r="A236" s="16"/>
      <c r="B236" s="15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12"/>
    </row>
  </sheetData>
  <mergeCells count="9">
    <mergeCell ref="A2:B3"/>
    <mergeCell ref="J2:K2"/>
    <mergeCell ref="L2:M2"/>
    <mergeCell ref="N2:N3"/>
    <mergeCell ref="C2:C3"/>
    <mergeCell ref="D2:D3"/>
    <mergeCell ref="E2:E3"/>
    <mergeCell ref="F2:G2"/>
    <mergeCell ref="H2:I2"/>
  </mergeCells>
  <phoneticPr fontId="2" type="noConversion"/>
  <pageMargins left="0.31496062992125984" right="0.31496062992125984" top="1" bottom="0.59055118110236215" header="0.5" footer="0.5"/>
  <pageSetup paperSize="9" orientation="landscape" copies="0"/>
  <headerFooter alignWithMargins="0">
    <oddHeader>&amp;RPage : &amp;P/&amp;N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O550"/>
  <sheetViews>
    <sheetView workbookViewId="0">
      <pane ySplit="3" topLeftCell="A412" activePane="bottomLeft" state="frozen"/>
      <selection activeCell="N21" sqref="N21"/>
      <selection pane="bottomLeft" activeCell="N21" sqref="N21"/>
    </sheetView>
  </sheetViews>
  <sheetFormatPr defaultRowHeight="12.75" customHeight="1"/>
  <cols>
    <col min="1" max="1" width="8.83203125" customWidth="1"/>
    <col min="2" max="3" width="35.83203125" customWidth="1"/>
    <col min="4" max="4" width="10.83203125" customWidth="1"/>
    <col min="5" max="5" width="8.83203125" style="11" customWidth="1"/>
    <col min="6" max="6" width="12.83203125" customWidth="1"/>
    <col min="7" max="7" width="14.83203125" customWidth="1"/>
    <col min="8" max="8" width="12.83203125" customWidth="1"/>
    <col min="9" max="9" width="14.83203125" customWidth="1"/>
    <col min="10" max="10" width="12.83203125" customWidth="1"/>
    <col min="11" max="11" width="14.83203125" customWidth="1"/>
    <col min="12" max="12" width="12.83203125" customWidth="1"/>
    <col min="13" max="13" width="14.83203125" customWidth="1"/>
    <col min="14" max="14" width="15.83203125" style="11" customWidth="1"/>
  </cols>
  <sheetData>
    <row r="1" spans="1:14" ht="15" customHeight="1">
      <c r="A1" s="72" t="s">
        <v>294</v>
      </c>
    </row>
    <row r="2" spans="1:14" ht="15" customHeight="1">
      <c r="A2" s="339" t="s">
        <v>23</v>
      </c>
      <c r="B2" s="340"/>
      <c r="C2" s="345" t="s">
        <v>46</v>
      </c>
      <c r="D2" s="345" t="s">
        <v>45</v>
      </c>
      <c r="E2" s="345" t="s">
        <v>44</v>
      </c>
      <c r="F2" s="345" t="s">
        <v>19</v>
      </c>
      <c r="G2" s="345" t="s">
        <v>0</v>
      </c>
      <c r="H2" s="345" t="s">
        <v>18</v>
      </c>
      <c r="I2" s="345" t="s">
        <v>0</v>
      </c>
      <c r="J2" s="345" t="s">
        <v>17</v>
      </c>
      <c r="K2" s="345" t="s">
        <v>0</v>
      </c>
      <c r="L2" s="345" t="s">
        <v>16</v>
      </c>
      <c r="M2" s="345" t="s">
        <v>0</v>
      </c>
      <c r="N2" s="346" t="s">
        <v>15</v>
      </c>
    </row>
    <row r="3" spans="1:14" ht="15" customHeight="1">
      <c r="A3" s="339"/>
      <c r="B3" s="340"/>
      <c r="C3" s="345" t="s">
        <v>0</v>
      </c>
      <c r="D3" s="345" t="s">
        <v>0</v>
      </c>
      <c r="E3" s="345" t="s">
        <v>0</v>
      </c>
      <c r="F3" s="2" t="s">
        <v>43</v>
      </c>
      <c r="G3" s="2" t="s">
        <v>42</v>
      </c>
      <c r="H3" s="2" t="s">
        <v>43</v>
      </c>
      <c r="I3" s="2" t="s">
        <v>42</v>
      </c>
      <c r="J3" s="2" t="s">
        <v>43</v>
      </c>
      <c r="K3" s="2" t="s">
        <v>42</v>
      </c>
      <c r="L3" s="2" t="s">
        <v>43</v>
      </c>
      <c r="M3" s="2" t="s">
        <v>42</v>
      </c>
      <c r="N3" s="346" t="s">
        <v>0</v>
      </c>
    </row>
    <row r="4" spans="1:14" ht="15" customHeight="1">
      <c r="A4" s="13"/>
      <c r="B4" s="14"/>
      <c r="C4" s="1"/>
      <c r="D4" s="1"/>
      <c r="E4" s="2"/>
      <c r="F4" s="4"/>
      <c r="G4" s="8"/>
      <c r="H4" s="4"/>
      <c r="I4" s="8"/>
      <c r="J4" s="4"/>
      <c r="K4" s="8"/>
      <c r="L4" s="4"/>
      <c r="M4" s="8"/>
      <c r="N4" s="12"/>
    </row>
    <row r="5" spans="1:14" ht="15" customHeight="1">
      <c r="A5" s="52">
        <f>강관도장!A224+1</f>
        <v>93</v>
      </c>
      <c r="B5" s="46" t="s">
        <v>285</v>
      </c>
      <c r="C5" s="47" t="s">
        <v>200</v>
      </c>
      <c r="D5" s="47">
        <v>1</v>
      </c>
      <c r="E5" s="48" t="s">
        <v>3</v>
      </c>
      <c r="F5" s="51"/>
      <c r="G5" s="50" t="e">
        <f t="shared" ref="G5:G10" si="0">I5+K5+M5</f>
        <v>#REF!</v>
      </c>
      <c r="H5" s="51"/>
      <c r="I5" s="50" t="e">
        <f>TRUNC(I6+I7+I8+I9+I10,0)</f>
        <v>#REF!</v>
      </c>
      <c r="J5" s="51"/>
      <c r="K5" s="50">
        <f>TRUNC(K6+K7+K8+K9+K10,0)</f>
        <v>22602</v>
      </c>
      <c r="L5" s="51"/>
      <c r="M5" s="50">
        <f>TRUNC(M6+M7+M8+M9+M10,0)</f>
        <v>0</v>
      </c>
      <c r="N5" s="63" t="s">
        <v>11</v>
      </c>
    </row>
    <row r="6" spans="1:14" ht="15" customHeight="1">
      <c r="A6" s="13"/>
      <c r="B6" s="14" t="s">
        <v>265</v>
      </c>
      <c r="C6" s="1" t="s">
        <v>0</v>
      </c>
      <c r="D6" s="3">
        <v>0.08</v>
      </c>
      <c r="E6" s="2" t="s">
        <v>24</v>
      </c>
      <c r="F6" s="4">
        <f>H6+J6+L6</f>
        <v>282536</v>
      </c>
      <c r="G6" s="8">
        <f t="shared" si="0"/>
        <v>22602.799999999999</v>
      </c>
      <c r="H6" s="4">
        <v>0</v>
      </c>
      <c r="I6" s="8"/>
      <c r="J6" s="4">
        <f>노임!$D$7</f>
        <v>282536</v>
      </c>
      <c r="K6" s="8">
        <f>TRUNC(J6*D6,1)</f>
        <v>22602.799999999999</v>
      </c>
      <c r="L6" s="4">
        <v>0</v>
      </c>
      <c r="M6" s="8"/>
      <c r="N6" s="12" t="s">
        <v>0</v>
      </c>
    </row>
    <row r="7" spans="1:14" ht="15" customHeight="1">
      <c r="A7" s="13"/>
      <c r="B7" s="14" t="s">
        <v>279</v>
      </c>
      <c r="C7" s="1" t="s">
        <v>37</v>
      </c>
      <c r="D7" s="3">
        <v>160</v>
      </c>
      <c r="E7" s="2" t="s">
        <v>30</v>
      </c>
      <c r="F7" s="4" t="e">
        <f>H7+J7+L7</f>
        <v>#REF!</v>
      </c>
      <c r="G7" s="8" t="e">
        <f t="shared" si="0"/>
        <v>#REF!</v>
      </c>
      <c r="H7" s="4" t="e">
        <f>#REF!</f>
        <v>#REF!</v>
      </c>
      <c r="I7" s="8" t="e">
        <f>TRUNC(H7*D7,1)</f>
        <v>#REF!</v>
      </c>
      <c r="J7" s="4">
        <v>0</v>
      </c>
      <c r="K7" s="8"/>
      <c r="L7" s="4">
        <v>0</v>
      </c>
      <c r="M7" s="8"/>
      <c r="N7" s="12" t="s">
        <v>0</v>
      </c>
    </row>
    <row r="8" spans="1:14" ht="15" customHeight="1">
      <c r="A8" s="13"/>
      <c r="B8" s="14" t="s">
        <v>286</v>
      </c>
      <c r="C8" s="1" t="s">
        <v>36</v>
      </c>
      <c r="D8" s="3">
        <v>0.08</v>
      </c>
      <c r="E8" s="2" t="s">
        <v>31</v>
      </c>
      <c r="F8" s="4" t="e">
        <f>H8+J8+L8</f>
        <v>#REF!</v>
      </c>
      <c r="G8" s="8" t="e">
        <f t="shared" si="0"/>
        <v>#REF!</v>
      </c>
      <c r="H8" s="4" t="e">
        <f>#REF!</f>
        <v>#REF!</v>
      </c>
      <c r="I8" s="8" t="e">
        <f>TRUNC(H8*D8,1)</f>
        <v>#REF!</v>
      </c>
      <c r="J8" s="4">
        <v>0</v>
      </c>
      <c r="K8" s="8"/>
      <c r="L8" s="4">
        <v>0</v>
      </c>
      <c r="M8" s="8"/>
      <c r="N8" s="12" t="s">
        <v>0</v>
      </c>
    </row>
    <row r="9" spans="1:14" ht="15" customHeight="1">
      <c r="A9" s="13"/>
      <c r="B9" s="14" t="s">
        <v>287</v>
      </c>
      <c r="C9" s="1" t="s">
        <v>35</v>
      </c>
      <c r="D9" s="3">
        <v>0.11</v>
      </c>
      <c r="E9" s="2" t="s">
        <v>10</v>
      </c>
      <c r="F9" s="4" t="e">
        <f>H9+J9+L9</f>
        <v>#REF!</v>
      </c>
      <c r="G9" s="8" t="e">
        <f t="shared" si="0"/>
        <v>#REF!</v>
      </c>
      <c r="H9" s="4" t="e">
        <f>#REF!</f>
        <v>#REF!</v>
      </c>
      <c r="I9" s="8" t="e">
        <f>TRUNC(H9*D9,1)</f>
        <v>#REF!</v>
      </c>
      <c r="J9" s="4">
        <v>0</v>
      </c>
      <c r="K9" s="8"/>
      <c r="L9" s="4">
        <v>0</v>
      </c>
      <c r="M9" s="8"/>
      <c r="N9" s="12" t="s">
        <v>0</v>
      </c>
    </row>
    <row r="10" spans="1:14" ht="15" customHeight="1">
      <c r="A10" s="13"/>
      <c r="B10" s="14" t="s">
        <v>288</v>
      </c>
      <c r="C10" s="1" t="s">
        <v>29</v>
      </c>
      <c r="D10" s="1">
        <v>2</v>
      </c>
      <c r="E10" s="2" t="s">
        <v>28</v>
      </c>
      <c r="F10" s="4">
        <f>H10+J10+L10</f>
        <v>0</v>
      </c>
      <c r="G10" s="8">
        <f t="shared" si="0"/>
        <v>452</v>
      </c>
      <c r="H10" s="2"/>
      <c r="I10" s="8">
        <f>TRUNC((K6*0.02),1)</f>
        <v>452</v>
      </c>
      <c r="J10" s="2"/>
      <c r="K10" s="8">
        <v>0</v>
      </c>
      <c r="L10" s="2"/>
      <c r="M10" s="8">
        <v>0</v>
      </c>
      <c r="N10" s="12" t="s">
        <v>0</v>
      </c>
    </row>
    <row r="11" spans="1:14" ht="15" customHeight="1">
      <c r="A11" s="16"/>
      <c r="B11" s="15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12"/>
    </row>
    <row r="12" spans="1:14" ht="15" customHeight="1">
      <c r="A12" s="52">
        <f>A5+1</f>
        <v>94</v>
      </c>
      <c r="B12" s="46" t="s">
        <v>285</v>
      </c>
      <c r="C12" s="47" t="s">
        <v>177</v>
      </c>
      <c r="D12" s="47">
        <v>1</v>
      </c>
      <c r="E12" s="48" t="s">
        <v>3</v>
      </c>
      <c r="F12" s="51"/>
      <c r="G12" s="50" t="e">
        <f t="shared" ref="G12:G17" si="1">I12+K12+M12</f>
        <v>#REF!</v>
      </c>
      <c r="H12" s="51"/>
      <c r="I12" s="50" t="e">
        <f>TRUNC(I13+I14+I15+I16+I17,0)</f>
        <v>#REF!</v>
      </c>
      <c r="J12" s="51"/>
      <c r="K12" s="50">
        <f>TRUNC(K13+K14+K15+K16+K17,0)</f>
        <v>22602</v>
      </c>
      <c r="L12" s="51"/>
      <c r="M12" s="50">
        <f>TRUNC(M13+M14+M15+M16+M17,0)</f>
        <v>0</v>
      </c>
      <c r="N12" s="63" t="str">
        <f>N5</f>
        <v>토목6-3-4</v>
      </c>
    </row>
    <row r="13" spans="1:14" ht="15" customHeight="1">
      <c r="A13" s="13"/>
      <c r="B13" s="14" t="s">
        <v>265</v>
      </c>
      <c r="C13" s="1" t="s">
        <v>0</v>
      </c>
      <c r="D13" s="3">
        <v>0.08</v>
      </c>
      <c r="E13" s="2" t="s">
        <v>24</v>
      </c>
      <c r="F13" s="4">
        <f>H13+J13+L13</f>
        <v>282536</v>
      </c>
      <c r="G13" s="8">
        <f t="shared" si="1"/>
        <v>22602.799999999999</v>
      </c>
      <c r="H13" s="4"/>
      <c r="I13" s="8"/>
      <c r="J13" s="4">
        <f>노임!$D$7</f>
        <v>282536</v>
      </c>
      <c r="K13" s="8">
        <f>TRUNC(J13*D13,1)</f>
        <v>22602.799999999999</v>
      </c>
      <c r="L13" s="4">
        <v>0</v>
      </c>
      <c r="M13" s="8"/>
      <c r="N13" s="12" t="s">
        <v>0</v>
      </c>
    </row>
    <row r="14" spans="1:14" ht="15" customHeight="1">
      <c r="A14" s="13"/>
      <c r="B14" s="14" t="s">
        <v>279</v>
      </c>
      <c r="C14" s="1" t="s">
        <v>37</v>
      </c>
      <c r="D14" s="3">
        <v>180</v>
      </c>
      <c r="E14" s="2" t="s">
        <v>30</v>
      </c>
      <c r="F14" s="4" t="e">
        <f>H14+J14+L14</f>
        <v>#REF!</v>
      </c>
      <c r="G14" s="8" t="e">
        <f t="shared" si="1"/>
        <v>#REF!</v>
      </c>
      <c r="H14" s="4" t="e">
        <f>#REF!</f>
        <v>#REF!</v>
      </c>
      <c r="I14" s="8" t="e">
        <f>TRUNC(H14*D14,1)</f>
        <v>#REF!</v>
      </c>
      <c r="J14" s="4">
        <v>0</v>
      </c>
      <c r="K14" s="8"/>
      <c r="L14" s="4">
        <v>0</v>
      </c>
      <c r="M14" s="8"/>
      <c r="N14" s="12" t="s">
        <v>0</v>
      </c>
    </row>
    <row r="15" spans="1:14" ht="15" customHeight="1">
      <c r="A15" s="13"/>
      <c r="B15" s="14" t="s">
        <v>286</v>
      </c>
      <c r="C15" s="1" t="s">
        <v>36</v>
      </c>
      <c r="D15" s="3">
        <v>0.09</v>
      </c>
      <c r="E15" s="2" t="s">
        <v>31</v>
      </c>
      <c r="F15" s="4" t="e">
        <f>H15+J15+L15</f>
        <v>#REF!</v>
      </c>
      <c r="G15" s="8" t="e">
        <f t="shared" si="1"/>
        <v>#REF!</v>
      </c>
      <c r="H15" s="4" t="e">
        <f>#REF!</f>
        <v>#REF!</v>
      </c>
      <c r="I15" s="8" t="e">
        <f>TRUNC(H15*D15,1)</f>
        <v>#REF!</v>
      </c>
      <c r="J15" s="4">
        <v>0</v>
      </c>
      <c r="K15" s="8"/>
      <c r="L15" s="4">
        <v>0</v>
      </c>
      <c r="M15" s="8"/>
      <c r="N15" s="12" t="s">
        <v>0</v>
      </c>
    </row>
    <row r="16" spans="1:14" ht="15" customHeight="1">
      <c r="A16" s="13"/>
      <c r="B16" s="14" t="s">
        <v>287</v>
      </c>
      <c r="C16" s="1" t="s">
        <v>35</v>
      </c>
      <c r="D16" s="3">
        <v>0.16</v>
      </c>
      <c r="E16" s="2" t="s">
        <v>10</v>
      </c>
      <c r="F16" s="4" t="e">
        <f>H16+J16+L16</f>
        <v>#REF!</v>
      </c>
      <c r="G16" s="8" t="e">
        <f t="shared" si="1"/>
        <v>#REF!</v>
      </c>
      <c r="H16" s="4" t="e">
        <f>#REF!</f>
        <v>#REF!</v>
      </c>
      <c r="I16" s="8" t="e">
        <f>TRUNC(H16*D16,1)</f>
        <v>#REF!</v>
      </c>
      <c r="J16" s="4">
        <v>0</v>
      </c>
      <c r="K16" s="8"/>
      <c r="L16" s="4">
        <v>0</v>
      </c>
      <c r="M16" s="8"/>
      <c r="N16" s="12" t="s">
        <v>0</v>
      </c>
    </row>
    <row r="17" spans="1:14" ht="15" customHeight="1">
      <c r="A17" s="13"/>
      <c r="B17" s="14" t="s">
        <v>288</v>
      </c>
      <c r="C17" s="1" t="s">
        <v>29</v>
      </c>
      <c r="D17" s="1">
        <v>2</v>
      </c>
      <c r="E17" s="2" t="s">
        <v>28</v>
      </c>
      <c r="F17" s="4">
        <f>H17+J17+L17</f>
        <v>0</v>
      </c>
      <c r="G17" s="8">
        <f t="shared" si="1"/>
        <v>452</v>
      </c>
      <c r="H17" s="2"/>
      <c r="I17" s="8">
        <f>TRUNC((K13*0.02),1)</f>
        <v>452</v>
      </c>
      <c r="J17" s="2"/>
      <c r="K17" s="8">
        <v>0</v>
      </c>
      <c r="L17" s="2"/>
      <c r="M17" s="8">
        <v>0</v>
      </c>
      <c r="N17" s="12" t="s">
        <v>0</v>
      </c>
    </row>
    <row r="18" spans="1:14" ht="15" customHeight="1">
      <c r="A18" s="16"/>
      <c r="B18" s="15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12"/>
    </row>
    <row r="19" spans="1:14" ht="15" customHeight="1">
      <c r="A19" s="52">
        <f>A12+1</f>
        <v>95</v>
      </c>
      <c r="B19" s="46" t="s">
        <v>285</v>
      </c>
      <c r="C19" s="47" t="s">
        <v>258</v>
      </c>
      <c r="D19" s="47">
        <v>1</v>
      </c>
      <c r="E19" s="48" t="s">
        <v>3</v>
      </c>
      <c r="F19" s="51"/>
      <c r="G19" s="50" t="e">
        <f t="shared" ref="G19:G24" si="2">I19+K19+M19</f>
        <v>#REF!</v>
      </c>
      <c r="H19" s="51"/>
      <c r="I19" s="50" t="e">
        <f>TRUNC(I20+I21+I22+I23+I24,0)</f>
        <v>#REF!</v>
      </c>
      <c r="J19" s="51"/>
      <c r="K19" s="50">
        <f>TRUNC(K20+K21+K22+K23+K24,0)</f>
        <v>25428</v>
      </c>
      <c r="L19" s="51"/>
      <c r="M19" s="50">
        <f>TRUNC(M20+M21+M22+M23+M24,0)</f>
        <v>0</v>
      </c>
      <c r="N19" s="63" t="str">
        <f>N12</f>
        <v>토목6-3-4</v>
      </c>
    </row>
    <row r="20" spans="1:14" ht="15" customHeight="1">
      <c r="A20" s="13"/>
      <c r="B20" s="14" t="s">
        <v>265</v>
      </c>
      <c r="C20" s="1" t="s">
        <v>0</v>
      </c>
      <c r="D20" s="3">
        <v>0.09</v>
      </c>
      <c r="E20" s="2" t="s">
        <v>24</v>
      </c>
      <c r="F20" s="4">
        <f>H20+J20+L20</f>
        <v>282536</v>
      </c>
      <c r="G20" s="8">
        <f t="shared" si="2"/>
        <v>25428.2</v>
      </c>
      <c r="H20" s="4"/>
      <c r="I20" s="8"/>
      <c r="J20" s="4">
        <f>노임!$D$7</f>
        <v>282536</v>
      </c>
      <c r="K20" s="8">
        <f>TRUNC(J20*D20,1)</f>
        <v>25428.2</v>
      </c>
      <c r="L20" s="4">
        <v>0</v>
      </c>
      <c r="M20" s="8"/>
      <c r="N20" s="12" t="s">
        <v>0</v>
      </c>
    </row>
    <row r="21" spans="1:14" ht="15" customHeight="1">
      <c r="A21" s="13"/>
      <c r="B21" s="14" t="s">
        <v>279</v>
      </c>
      <c r="C21" s="1" t="s">
        <v>37</v>
      </c>
      <c r="D21" s="3">
        <v>200</v>
      </c>
      <c r="E21" s="2" t="s">
        <v>30</v>
      </c>
      <c r="F21" s="4" t="e">
        <f>H21+J21+L21</f>
        <v>#REF!</v>
      </c>
      <c r="G21" s="8" t="e">
        <f t="shared" si="2"/>
        <v>#REF!</v>
      </c>
      <c r="H21" s="4" t="e">
        <f>#REF!</f>
        <v>#REF!</v>
      </c>
      <c r="I21" s="8" t="e">
        <f>TRUNC(H21*D21,1)</f>
        <v>#REF!</v>
      </c>
      <c r="J21" s="4">
        <v>0</v>
      </c>
      <c r="K21" s="8"/>
      <c r="L21" s="4">
        <v>0</v>
      </c>
      <c r="M21" s="8"/>
      <c r="N21" s="12" t="s">
        <v>0</v>
      </c>
    </row>
    <row r="22" spans="1:14" ht="15" customHeight="1">
      <c r="A22" s="13"/>
      <c r="B22" s="14" t="s">
        <v>286</v>
      </c>
      <c r="C22" s="1" t="s">
        <v>36</v>
      </c>
      <c r="D22" s="3">
        <v>0.1</v>
      </c>
      <c r="E22" s="2" t="s">
        <v>31</v>
      </c>
      <c r="F22" s="4" t="e">
        <f>H22+J22+L22</f>
        <v>#REF!</v>
      </c>
      <c r="G22" s="8" t="e">
        <f t="shared" si="2"/>
        <v>#REF!</v>
      </c>
      <c r="H22" s="4" t="e">
        <f>#REF!</f>
        <v>#REF!</v>
      </c>
      <c r="I22" s="8" t="e">
        <f>TRUNC(H22*D22,1)</f>
        <v>#REF!</v>
      </c>
      <c r="J22" s="4">
        <v>0</v>
      </c>
      <c r="K22" s="8"/>
      <c r="L22" s="4">
        <v>0</v>
      </c>
      <c r="M22" s="8"/>
      <c r="N22" s="12" t="s">
        <v>0</v>
      </c>
    </row>
    <row r="23" spans="1:14" ht="15" customHeight="1">
      <c r="A23" s="13"/>
      <c r="B23" s="14" t="s">
        <v>287</v>
      </c>
      <c r="C23" s="1" t="s">
        <v>35</v>
      </c>
      <c r="D23" s="3">
        <v>0.21</v>
      </c>
      <c r="E23" s="2" t="s">
        <v>10</v>
      </c>
      <c r="F23" s="4" t="e">
        <f>H23+J23+L23</f>
        <v>#REF!</v>
      </c>
      <c r="G23" s="8" t="e">
        <f t="shared" si="2"/>
        <v>#REF!</v>
      </c>
      <c r="H23" s="4" t="e">
        <f>#REF!</f>
        <v>#REF!</v>
      </c>
      <c r="I23" s="8" t="e">
        <f>TRUNC(H23*D23,1)</f>
        <v>#REF!</v>
      </c>
      <c r="J23" s="4">
        <v>0</v>
      </c>
      <c r="K23" s="8"/>
      <c r="L23" s="4">
        <v>0</v>
      </c>
      <c r="M23" s="8"/>
      <c r="N23" s="12" t="s">
        <v>0</v>
      </c>
    </row>
    <row r="24" spans="1:14" ht="15" customHeight="1">
      <c r="A24" s="13"/>
      <c r="B24" s="14" t="s">
        <v>288</v>
      </c>
      <c r="C24" s="1" t="s">
        <v>29</v>
      </c>
      <c r="D24" s="1">
        <v>2</v>
      </c>
      <c r="E24" s="2" t="s">
        <v>28</v>
      </c>
      <c r="F24" s="4">
        <f>H24+J24+L24</f>
        <v>0</v>
      </c>
      <c r="G24" s="8">
        <f t="shared" si="2"/>
        <v>508.5</v>
      </c>
      <c r="H24" s="2"/>
      <c r="I24" s="8">
        <f>TRUNC((K20*0.02),1)</f>
        <v>508.5</v>
      </c>
      <c r="J24" s="2"/>
      <c r="K24" s="8">
        <v>0</v>
      </c>
      <c r="L24" s="2"/>
      <c r="M24" s="8">
        <v>0</v>
      </c>
      <c r="N24" s="12" t="s">
        <v>0</v>
      </c>
    </row>
    <row r="25" spans="1:14" ht="15" customHeight="1">
      <c r="A25" s="16"/>
      <c r="B25" s="15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12"/>
    </row>
    <row r="26" spans="1:14" ht="15" customHeight="1">
      <c r="A26" s="52">
        <f>A19+1</f>
        <v>96</v>
      </c>
      <c r="B26" s="46" t="s">
        <v>285</v>
      </c>
      <c r="C26" s="47" t="s">
        <v>178</v>
      </c>
      <c r="D26" s="47">
        <v>1</v>
      </c>
      <c r="E26" s="48" t="s">
        <v>3</v>
      </c>
      <c r="F26" s="51"/>
      <c r="G26" s="50" t="e">
        <f t="shared" ref="G26:G31" si="3">I26+K26+M26</f>
        <v>#REF!</v>
      </c>
      <c r="H26" s="51"/>
      <c r="I26" s="50" t="e">
        <f>TRUNC(I27+I28+I29+I30+I31,0)</f>
        <v>#REF!</v>
      </c>
      <c r="J26" s="51"/>
      <c r="K26" s="50">
        <f>TRUNC(K27+K28+K29+K30+K31,0)</f>
        <v>28253</v>
      </c>
      <c r="L26" s="51"/>
      <c r="M26" s="50">
        <f>TRUNC(M27+M28+M29+M30+M31,0)</f>
        <v>0</v>
      </c>
      <c r="N26" s="63" t="str">
        <f>N19</f>
        <v>토목6-3-4</v>
      </c>
    </row>
    <row r="27" spans="1:14" ht="15" customHeight="1">
      <c r="A27" s="13"/>
      <c r="B27" s="14" t="s">
        <v>265</v>
      </c>
      <c r="C27" s="1" t="s">
        <v>0</v>
      </c>
      <c r="D27" s="3">
        <v>0.1</v>
      </c>
      <c r="E27" s="2" t="s">
        <v>24</v>
      </c>
      <c r="F27" s="4">
        <f>H27+J27+L27</f>
        <v>282536</v>
      </c>
      <c r="G27" s="8">
        <f t="shared" si="3"/>
        <v>28253.599999999999</v>
      </c>
      <c r="H27" s="4"/>
      <c r="I27" s="8"/>
      <c r="J27" s="4">
        <f>노임!$D$7</f>
        <v>282536</v>
      </c>
      <c r="K27" s="8">
        <f>TRUNC(J27*D27,1)</f>
        <v>28253.599999999999</v>
      </c>
      <c r="L27" s="4">
        <v>0</v>
      </c>
      <c r="M27" s="8"/>
      <c r="N27" s="12" t="s">
        <v>0</v>
      </c>
    </row>
    <row r="28" spans="1:14" ht="15" customHeight="1">
      <c r="A28" s="13"/>
      <c r="B28" s="14" t="s">
        <v>279</v>
      </c>
      <c r="C28" s="1" t="s">
        <v>37</v>
      </c>
      <c r="D28" s="3">
        <v>230</v>
      </c>
      <c r="E28" s="2" t="s">
        <v>30</v>
      </c>
      <c r="F28" s="4" t="e">
        <f>H28+J28+L28</f>
        <v>#REF!</v>
      </c>
      <c r="G28" s="8" t="e">
        <f t="shared" si="3"/>
        <v>#REF!</v>
      </c>
      <c r="H28" s="4" t="e">
        <f>#REF!</f>
        <v>#REF!</v>
      </c>
      <c r="I28" s="8" t="e">
        <f>TRUNC(H28*D28,1)</f>
        <v>#REF!</v>
      </c>
      <c r="J28" s="4">
        <v>0</v>
      </c>
      <c r="K28" s="8"/>
      <c r="L28" s="4">
        <v>0</v>
      </c>
      <c r="M28" s="8"/>
      <c r="N28" s="12" t="s">
        <v>0</v>
      </c>
    </row>
    <row r="29" spans="1:14" ht="15" customHeight="1">
      <c r="A29" s="13"/>
      <c r="B29" s="14" t="s">
        <v>286</v>
      </c>
      <c r="C29" s="1" t="s">
        <v>36</v>
      </c>
      <c r="D29" s="3">
        <v>0.12</v>
      </c>
      <c r="E29" s="2" t="s">
        <v>31</v>
      </c>
      <c r="F29" s="4" t="e">
        <f>H29+J29+L29</f>
        <v>#REF!</v>
      </c>
      <c r="G29" s="8" t="e">
        <f t="shared" si="3"/>
        <v>#REF!</v>
      </c>
      <c r="H29" s="4" t="e">
        <f>#REF!</f>
        <v>#REF!</v>
      </c>
      <c r="I29" s="8" t="e">
        <f>TRUNC(H29*D29,1)</f>
        <v>#REF!</v>
      </c>
      <c r="J29" s="4">
        <v>0</v>
      </c>
      <c r="K29" s="8"/>
      <c r="L29" s="4">
        <v>0</v>
      </c>
      <c r="M29" s="8"/>
      <c r="N29" s="12" t="s">
        <v>0</v>
      </c>
    </row>
    <row r="30" spans="1:14" ht="15" customHeight="1">
      <c r="A30" s="13"/>
      <c r="B30" s="14" t="s">
        <v>287</v>
      </c>
      <c r="C30" s="1" t="s">
        <v>35</v>
      </c>
      <c r="D30" s="3">
        <v>0.27</v>
      </c>
      <c r="E30" s="2" t="s">
        <v>10</v>
      </c>
      <c r="F30" s="4" t="e">
        <f>H30+J30+L30</f>
        <v>#REF!</v>
      </c>
      <c r="G30" s="8" t="e">
        <f t="shared" si="3"/>
        <v>#REF!</v>
      </c>
      <c r="H30" s="4" t="e">
        <f>#REF!</f>
        <v>#REF!</v>
      </c>
      <c r="I30" s="8" t="e">
        <f>TRUNC(H30*D30,1)</f>
        <v>#REF!</v>
      </c>
      <c r="J30" s="4">
        <v>0</v>
      </c>
      <c r="K30" s="8"/>
      <c r="L30" s="4">
        <v>0</v>
      </c>
      <c r="M30" s="8"/>
      <c r="N30" s="12" t="s">
        <v>0</v>
      </c>
    </row>
    <row r="31" spans="1:14" ht="15" customHeight="1">
      <c r="A31" s="13"/>
      <c r="B31" s="14" t="s">
        <v>288</v>
      </c>
      <c r="C31" s="1" t="s">
        <v>29</v>
      </c>
      <c r="D31" s="1">
        <v>2</v>
      </c>
      <c r="E31" s="2" t="s">
        <v>28</v>
      </c>
      <c r="F31" s="4">
        <f>H31+J31+L31</f>
        <v>0</v>
      </c>
      <c r="G31" s="8">
        <f t="shared" si="3"/>
        <v>565</v>
      </c>
      <c r="H31" s="2"/>
      <c r="I31" s="8">
        <f>TRUNC((K27*0.02),1)</f>
        <v>565</v>
      </c>
      <c r="J31" s="2"/>
      <c r="K31" s="8">
        <v>0</v>
      </c>
      <c r="L31" s="2"/>
      <c r="M31" s="8">
        <v>0</v>
      </c>
      <c r="N31" s="12" t="s">
        <v>0</v>
      </c>
    </row>
    <row r="32" spans="1:14" ht="15" customHeight="1">
      <c r="A32" s="16"/>
      <c r="B32" s="15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12"/>
    </row>
    <row r="33" spans="1:14" ht="15" customHeight="1">
      <c r="A33" s="52">
        <f>A26+1</f>
        <v>97</v>
      </c>
      <c r="B33" s="46" t="s">
        <v>285</v>
      </c>
      <c r="C33" s="47" t="s">
        <v>179</v>
      </c>
      <c r="D33" s="47">
        <v>1</v>
      </c>
      <c r="E33" s="48" t="s">
        <v>3</v>
      </c>
      <c r="F33" s="51"/>
      <c r="G33" s="50" t="e">
        <f t="shared" ref="G33:G38" si="4">I33+K33+M33</f>
        <v>#REF!</v>
      </c>
      <c r="H33" s="51"/>
      <c r="I33" s="50" t="e">
        <f>TRUNC(I34+I35+I36+I37+I38,0)</f>
        <v>#REF!</v>
      </c>
      <c r="J33" s="51"/>
      <c r="K33" s="50">
        <f>TRUNC(K34+K35+K36+K37+K38,0)</f>
        <v>36729</v>
      </c>
      <c r="L33" s="51"/>
      <c r="M33" s="50">
        <f>TRUNC(M34+M35+M36+M37+M38,0)</f>
        <v>0</v>
      </c>
      <c r="N33" s="63" t="str">
        <f>N26</f>
        <v>토목6-3-4</v>
      </c>
    </row>
    <row r="34" spans="1:14" ht="15" customHeight="1">
      <c r="A34" s="13"/>
      <c r="B34" s="14" t="s">
        <v>265</v>
      </c>
      <c r="C34" s="1" t="s">
        <v>0</v>
      </c>
      <c r="D34" s="3">
        <v>0.13</v>
      </c>
      <c r="E34" s="2" t="s">
        <v>24</v>
      </c>
      <c r="F34" s="4">
        <f>H34+J34+L34</f>
        <v>282536</v>
      </c>
      <c r="G34" s="8">
        <f t="shared" si="4"/>
        <v>36729.599999999999</v>
      </c>
      <c r="H34" s="4"/>
      <c r="I34" s="8"/>
      <c r="J34" s="4">
        <f>노임!$D$7</f>
        <v>282536</v>
      </c>
      <c r="K34" s="8">
        <f>TRUNC(J34*D34,1)</f>
        <v>36729.599999999999</v>
      </c>
      <c r="L34" s="4">
        <v>0</v>
      </c>
      <c r="M34" s="8"/>
      <c r="N34" s="12" t="s">
        <v>0</v>
      </c>
    </row>
    <row r="35" spans="1:14" ht="15" customHeight="1">
      <c r="A35" s="13"/>
      <c r="B35" s="14" t="s">
        <v>279</v>
      </c>
      <c r="C35" s="1" t="s">
        <v>37</v>
      </c>
      <c r="D35" s="3">
        <v>270</v>
      </c>
      <c r="E35" s="2" t="s">
        <v>30</v>
      </c>
      <c r="F35" s="4" t="e">
        <f>H35+J35+L35</f>
        <v>#REF!</v>
      </c>
      <c r="G35" s="8" t="e">
        <f t="shared" si="4"/>
        <v>#REF!</v>
      </c>
      <c r="H35" s="4" t="e">
        <f>#REF!</f>
        <v>#REF!</v>
      </c>
      <c r="I35" s="8" t="e">
        <f>TRUNC(H35*D35,1)</f>
        <v>#REF!</v>
      </c>
      <c r="J35" s="4">
        <v>0</v>
      </c>
      <c r="K35" s="8"/>
      <c r="L35" s="4">
        <v>0</v>
      </c>
      <c r="M35" s="8"/>
      <c r="N35" s="12" t="s">
        <v>0</v>
      </c>
    </row>
    <row r="36" spans="1:14" ht="15" customHeight="1">
      <c r="A36" s="13"/>
      <c r="B36" s="14" t="s">
        <v>286</v>
      </c>
      <c r="C36" s="1" t="s">
        <v>36</v>
      </c>
      <c r="D36" s="3">
        <v>0.14000000000000001</v>
      </c>
      <c r="E36" s="2" t="s">
        <v>31</v>
      </c>
      <c r="F36" s="4" t="e">
        <f>H36+J36+L36</f>
        <v>#REF!</v>
      </c>
      <c r="G36" s="8" t="e">
        <f t="shared" si="4"/>
        <v>#REF!</v>
      </c>
      <c r="H36" s="4" t="e">
        <f>#REF!</f>
        <v>#REF!</v>
      </c>
      <c r="I36" s="8" t="e">
        <f>TRUNC(H36*D36,1)</f>
        <v>#REF!</v>
      </c>
      <c r="J36" s="4">
        <v>0</v>
      </c>
      <c r="K36" s="8"/>
      <c r="L36" s="4">
        <v>0</v>
      </c>
      <c r="M36" s="8"/>
      <c r="N36" s="12" t="s">
        <v>0</v>
      </c>
    </row>
    <row r="37" spans="1:14" ht="15" customHeight="1">
      <c r="A37" s="13"/>
      <c r="B37" s="14" t="s">
        <v>287</v>
      </c>
      <c r="C37" s="1" t="s">
        <v>35</v>
      </c>
      <c r="D37" s="3">
        <v>0.4</v>
      </c>
      <c r="E37" s="2" t="s">
        <v>10</v>
      </c>
      <c r="F37" s="4" t="e">
        <f>H37+J37+L37</f>
        <v>#REF!</v>
      </c>
      <c r="G37" s="8" t="e">
        <f t="shared" si="4"/>
        <v>#REF!</v>
      </c>
      <c r="H37" s="4" t="e">
        <f>#REF!</f>
        <v>#REF!</v>
      </c>
      <c r="I37" s="8" t="e">
        <f>TRUNC(H37*D37,1)</f>
        <v>#REF!</v>
      </c>
      <c r="J37" s="4">
        <v>0</v>
      </c>
      <c r="K37" s="8"/>
      <c r="L37" s="4">
        <v>0</v>
      </c>
      <c r="M37" s="8"/>
      <c r="N37" s="12" t="s">
        <v>0</v>
      </c>
    </row>
    <row r="38" spans="1:14" ht="15" customHeight="1">
      <c r="A38" s="13"/>
      <c r="B38" s="14" t="s">
        <v>288</v>
      </c>
      <c r="C38" s="1" t="s">
        <v>29</v>
      </c>
      <c r="D38" s="1">
        <v>2</v>
      </c>
      <c r="E38" s="2" t="s">
        <v>28</v>
      </c>
      <c r="F38" s="4">
        <f>H38+J38+L38</f>
        <v>0</v>
      </c>
      <c r="G38" s="8">
        <f t="shared" si="4"/>
        <v>734.5</v>
      </c>
      <c r="H38" s="2"/>
      <c r="I38" s="8">
        <f>TRUNC((K34*0.02),1)</f>
        <v>734.5</v>
      </c>
      <c r="J38" s="2"/>
      <c r="K38" s="8">
        <v>0</v>
      </c>
      <c r="L38" s="2"/>
      <c r="M38" s="8">
        <v>0</v>
      </c>
      <c r="N38" s="12" t="s">
        <v>0</v>
      </c>
    </row>
    <row r="39" spans="1:14" ht="15" customHeight="1">
      <c r="A39" s="16"/>
      <c r="B39" s="15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12"/>
    </row>
    <row r="40" spans="1:14" ht="15" customHeight="1">
      <c r="A40" s="52">
        <f>A33+1</f>
        <v>98</v>
      </c>
      <c r="B40" s="46" t="s">
        <v>285</v>
      </c>
      <c r="C40" s="47" t="s">
        <v>180</v>
      </c>
      <c r="D40" s="47">
        <v>1</v>
      </c>
      <c r="E40" s="48" t="s">
        <v>3</v>
      </c>
      <c r="F40" s="51"/>
      <c r="G40" s="50" t="e">
        <f t="shared" ref="G40:G45" si="5">I40+K40+M40</f>
        <v>#REF!</v>
      </c>
      <c r="H40" s="51"/>
      <c r="I40" s="50" t="e">
        <f>TRUNC(I41+I42+I43+I44+I45,0)</f>
        <v>#REF!</v>
      </c>
      <c r="J40" s="51"/>
      <c r="K40" s="50">
        <f>TRUNC(K41+K42+K43+K44+K45,0)</f>
        <v>45205</v>
      </c>
      <c r="L40" s="51"/>
      <c r="M40" s="50">
        <f>TRUNC(M41+M42+M43+M44+M45,0)</f>
        <v>0</v>
      </c>
      <c r="N40" s="63" t="str">
        <f>N33</f>
        <v>토목6-3-4</v>
      </c>
    </row>
    <row r="41" spans="1:14" ht="15" customHeight="1">
      <c r="A41" s="13"/>
      <c r="B41" s="14" t="s">
        <v>265</v>
      </c>
      <c r="C41" s="1" t="s">
        <v>0</v>
      </c>
      <c r="D41" s="3">
        <v>0.16</v>
      </c>
      <c r="E41" s="2" t="s">
        <v>24</v>
      </c>
      <c r="F41" s="4">
        <f>H41+J41+L41</f>
        <v>282536</v>
      </c>
      <c r="G41" s="8">
        <f t="shared" si="5"/>
        <v>45205.7</v>
      </c>
      <c r="H41" s="4"/>
      <c r="I41" s="8"/>
      <c r="J41" s="4">
        <f>노임!$D$7</f>
        <v>282536</v>
      </c>
      <c r="K41" s="8">
        <f>TRUNC(J41*D41,1)</f>
        <v>45205.7</v>
      </c>
      <c r="L41" s="4">
        <v>0</v>
      </c>
      <c r="M41" s="8"/>
      <c r="N41" s="12" t="s">
        <v>0</v>
      </c>
    </row>
    <row r="42" spans="1:14" ht="15" customHeight="1">
      <c r="A42" s="13"/>
      <c r="B42" s="14" t="s">
        <v>279</v>
      </c>
      <c r="C42" s="1" t="s">
        <v>37</v>
      </c>
      <c r="D42" s="3">
        <v>360</v>
      </c>
      <c r="E42" s="2" t="s">
        <v>30</v>
      </c>
      <c r="F42" s="4" t="e">
        <f>H42+J42+L42</f>
        <v>#REF!</v>
      </c>
      <c r="G42" s="8" t="e">
        <f t="shared" si="5"/>
        <v>#REF!</v>
      </c>
      <c r="H42" s="4" t="e">
        <f>#REF!</f>
        <v>#REF!</v>
      </c>
      <c r="I42" s="8" t="e">
        <f>TRUNC(H42*D42,1)</f>
        <v>#REF!</v>
      </c>
      <c r="J42" s="4">
        <v>0</v>
      </c>
      <c r="K42" s="8"/>
      <c r="L42" s="4">
        <v>0</v>
      </c>
      <c r="M42" s="8"/>
      <c r="N42" s="12" t="s">
        <v>0</v>
      </c>
    </row>
    <row r="43" spans="1:14" ht="15" customHeight="1">
      <c r="A43" s="13"/>
      <c r="B43" s="14" t="s">
        <v>286</v>
      </c>
      <c r="C43" s="1" t="s">
        <v>36</v>
      </c>
      <c r="D43" s="3">
        <v>0.18</v>
      </c>
      <c r="E43" s="2" t="s">
        <v>31</v>
      </c>
      <c r="F43" s="4" t="e">
        <f>H43+J43+L43</f>
        <v>#REF!</v>
      </c>
      <c r="G43" s="8" t="e">
        <f t="shared" si="5"/>
        <v>#REF!</v>
      </c>
      <c r="H43" s="4" t="e">
        <f>#REF!</f>
        <v>#REF!</v>
      </c>
      <c r="I43" s="8" t="e">
        <f>TRUNC(H43*D43,1)</f>
        <v>#REF!</v>
      </c>
      <c r="J43" s="4">
        <v>0</v>
      </c>
      <c r="K43" s="8"/>
      <c r="L43" s="4">
        <v>0</v>
      </c>
      <c r="M43" s="8"/>
      <c r="N43" s="12" t="s">
        <v>0</v>
      </c>
    </row>
    <row r="44" spans="1:14" ht="15" customHeight="1">
      <c r="A44" s="13"/>
      <c r="B44" s="14" t="s">
        <v>287</v>
      </c>
      <c r="C44" s="1" t="s">
        <v>35</v>
      </c>
      <c r="D44" s="3">
        <v>0.57999999999999996</v>
      </c>
      <c r="E44" s="2" t="s">
        <v>10</v>
      </c>
      <c r="F44" s="4" t="e">
        <f>H44+J44+L44</f>
        <v>#REF!</v>
      </c>
      <c r="G44" s="8" t="e">
        <f t="shared" si="5"/>
        <v>#REF!</v>
      </c>
      <c r="H44" s="4" t="e">
        <f>#REF!</f>
        <v>#REF!</v>
      </c>
      <c r="I44" s="8" t="e">
        <f>TRUNC(H44*D44,1)</f>
        <v>#REF!</v>
      </c>
      <c r="J44" s="4">
        <v>0</v>
      </c>
      <c r="K44" s="8"/>
      <c r="L44" s="4">
        <v>0</v>
      </c>
      <c r="M44" s="8"/>
      <c r="N44" s="12" t="s">
        <v>0</v>
      </c>
    </row>
    <row r="45" spans="1:14" ht="15" customHeight="1">
      <c r="A45" s="13"/>
      <c r="B45" s="14" t="s">
        <v>288</v>
      </c>
      <c r="C45" s="1" t="s">
        <v>29</v>
      </c>
      <c r="D45" s="1">
        <v>2</v>
      </c>
      <c r="E45" s="2" t="s">
        <v>28</v>
      </c>
      <c r="F45" s="4">
        <f>H45+J45+L45</f>
        <v>0</v>
      </c>
      <c r="G45" s="8">
        <f t="shared" si="5"/>
        <v>904.1</v>
      </c>
      <c r="H45" s="2"/>
      <c r="I45" s="8">
        <f>TRUNC((K41*0.02),1)</f>
        <v>904.1</v>
      </c>
      <c r="J45" s="2"/>
      <c r="K45" s="8">
        <v>0</v>
      </c>
      <c r="L45" s="2"/>
      <c r="M45" s="8">
        <v>0</v>
      </c>
      <c r="N45" s="12" t="s">
        <v>0</v>
      </c>
    </row>
    <row r="46" spans="1:14" ht="15" customHeight="1">
      <c r="A46" s="16"/>
      <c r="B46" s="15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12"/>
    </row>
    <row r="47" spans="1:14" ht="15" customHeight="1">
      <c r="A47" s="52">
        <f>A40+1</f>
        <v>99</v>
      </c>
      <c r="B47" s="46" t="s">
        <v>285</v>
      </c>
      <c r="C47" s="47" t="s">
        <v>181</v>
      </c>
      <c r="D47" s="47">
        <v>1</v>
      </c>
      <c r="E47" s="48" t="s">
        <v>3</v>
      </c>
      <c r="F47" s="51"/>
      <c r="G47" s="50" t="e">
        <f t="shared" ref="G47:G52" si="6">I47+K47+M47</f>
        <v>#REF!</v>
      </c>
      <c r="H47" s="51"/>
      <c r="I47" s="50" t="e">
        <f>TRUNC(I48+I49+I50+I51+I52,0)</f>
        <v>#REF!</v>
      </c>
      <c r="J47" s="51"/>
      <c r="K47" s="50">
        <f>TRUNC(K48+K49+K50+K51+K52,0)</f>
        <v>56507</v>
      </c>
      <c r="L47" s="51"/>
      <c r="M47" s="50">
        <f>TRUNC(M48+M49+M50+M51+M52,0)</f>
        <v>0</v>
      </c>
      <c r="N47" s="63" t="str">
        <f>N40</f>
        <v>토목6-3-4</v>
      </c>
    </row>
    <row r="48" spans="1:14" ht="15" customHeight="1">
      <c r="A48" s="13"/>
      <c r="B48" s="14" t="s">
        <v>265</v>
      </c>
      <c r="C48" s="1" t="s">
        <v>0</v>
      </c>
      <c r="D48" s="3">
        <v>0.2</v>
      </c>
      <c r="E48" s="2" t="s">
        <v>24</v>
      </c>
      <c r="F48" s="4">
        <f>H48+J48+L48</f>
        <v>282536</v>
      </c>
      <c r="G48" s="8">
        <f t="shared" si="6"/>
        <v>56507.199999999997</v>
      </c>
      <c r="H48" s="4"/>
      <c r="I48" s="8"/>
      <c r="J48" s="4">
        <f>노임!$D$7</f>
        <v>282536</v>
      </c>
      <c r="K48" s="8">
        <f>TRUNC(J48*D48,1)</f>
        <v>56507.199999999997</v>
      </c>
      <c r="L48" s="4">
        <v>0</v>
      </c>
      <c r="M48" s="8"/>
      <c r="N48" s="12" t="s">
        <v>0</v>
      </c>
    </row>
    <row r="49" spans="1:14" ht="15" customHeight="1">
      <c r="A49" s="13"/>
      <c r="B49" s="14" t="s">
        <v>279</v>
      </c>
      <c r="C49" s="1" t="s">
        <v>37</v>
      </c>
      <c r="D49" s="3">
        <v>450</v>
      </c>
      <c r="E49" s="2" t="s">
        <v>30</v>
      </c>
      <c r="F49" s="4" t="e">
        <f>H49+J49+L49</f>
        <v>#REF!</v>
      </c>
      <c r="G49" s="8" t="e">
        <f t="shared" si="6"/>
        <v>#REF!</v>
      </c>
      <c r="H49" s="4" t="e">
        <f>#REF!</f>
        <v>#REF!</v>
      </c>
      <c r="I49" s="8" t="e">
        <f>TRUNC(H49*D49,1)</f>
        <v>#REF!</v>
      </c>
      <c r="J49" s="4">
        <v>0</v>
      </c>
      <c r="K49" s="8"/>
      <c r="L49" s="4">
        <v>0</v>
      </c>
      <c r="M49" s="8"/>
      <c r="N49" s="12" t="s">
        <v>0</v>
      </c>
    </row>
    <row r="50" spans="1:14" ht="15" customHeight="1">
      <c r="A50" s="13"/>
      <c r="B50" s="14" t="s">
        <v>286</v>
      </c>
      <c r="C50" s="1" t="s">
        <v>36</v>
      </c>
      <c r="D50" s="3">
        <v>0.23</v>
      </c>
      <c r="E50" s="2" t="s">
        <v>31</v>
      </c>
      <c r="F50" s="4" t="e">
        <f>H50+J50+L50</f>
        <v>#REF!</v>
      </c>
      <c r="G50" s="8" t="e">
        <f t="shared" si="6"/>
        <v>#REF!</v>
      </c>
      <c r="H50" s="4" t="e">
        <f>#REF!</f>
        <v>#REF!</v>
      </c>
      <c r="I50" s="8" t="e">
        <f>TRUNC(H50*D50,1)</f>
        <v>#REF!</v>
      </c>
      <c r="J50" s="4">
        <v>0</v>
      </c>
      <c r="K50" s="8"/>
      <c r="L50" s="4">
        <v>0</v>
      </c>
      <c r="M50" s="8"/>
      <c r="N50" s="12" t="s">
        <v>0</v>
      </c>
    </row>
    <row r="51" spans="1:14" ht="15" customHeight="1">
      <c r="A51" s="13"/>
      <c r="B51" s="14" t="s">
        <v>287</v>
      </c>
      <c r="C51" s="1" t="s">
        <v>35</v>
      </c>
      <c r="D51" s="3">
        <v>0.73</v>
      </c>
      <c r="E51" s="2" t="s">
        <v>10</v>
      </c>
      <c r="F51" s="4" t="e">
        <f>H51+J51+L51</f>
        <v>#REF!</v>
      </c>
      <c r="G51" s="8" t="e">
        <f t="shared" si="6"/>
        <v>#REF!</v>
      </c>
      <c r="H51" s="4" t="e">
        <f>#REF!</f>
        <v>#REF!</v>
      </c>
      <c r="I51" s="8" t="e">
        <f>TRUNC(H51*D51,1)</f>
        <v>#REF!</v>
      </c>
      <c r="J51" s="4">
        <v>0</v>
      </c>
      <c r="K51" s="8"/>
      <c r="L51" s="4">
        <v>0</v>
      </c>
      <c r="M51" s="8"/>
      <c r="N51" s="12" t="s">
        <v>0</v>
      </c>
    </row>
    <row r="52" spans="1:14" ht="15" customHeight="1">
      <c r="A52" s="13"/>
      <c r="B52" s="14" t="s">
        <v>288</v>
      </c>
      <c r="C52" s="1" t="s">
        <v>29</v>
      </c>
      <c r="D52" s="1">
        <v>2</v>
      </c>
      <c r="E52" s="2" t="s">
        <v>28</v>
      </c>
      <c r="F52" s="4">
        <f>H52+J52+L52</f>
        <v>0</v>
      </c>
      <c r="G52" s="8">
        <f t="shared" si="6"/>
        <v>1130.0999999999999</v>
      </c>
      <c r="H52" s="2"/>
      <c r="I52" s="8">
        <f>TRUNC((K48*0.02),1)</f>
        <v>1130.0999999999999</v>
      </c>
      <c r="J52" s="2"/>
      <c r="K52" s="8">
        <v>0</v>
      </c>
      <c r="L52" s="2"/>
      <c r="M52" s="8">
        <v>0</v>
      </c>
      <c r="N52" s="12" t="s">
        <v>0</v>
      </c>
    </row>
    <row r="53" spans="1:14" ht="15" customHeight="1">
      <c r="A53" s="16"/>
      <c r="B53" s="15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12"/>
    </row>
    <row r="54" spans="1:14" ht="15" customHeight="1">
      <c r="A54" s="52">
        <f>A47+1</f>
        <v>100</v>
      </c>
      <c r="B54" s="46" t="s">
        <v>285</v>
      </c>
      <c r="C54" s="47" t="s">
        <v>182</v>
      </c>
      <c r="D54" s="47">
        <v>1</v>
      </c>
      <c r="E54" s="48" t="s">
        <v>3</v>
      </c>
      <c r="F54" s="51"/>
      <c r="G54" s="50" t="e">
        <f t="shared" ref="G54:G59" si="7">I54+K54+M54</f>
        <v>#REF!</v>
      </c>
      <c r="H54" s="51"/>
      <c r="I54" s="50" t="e">
        <f>TRUNC(I55+I56+I57+I58+I59,0)</f>
        <v>#REF!</v>
      </c>
      <c r="J54" s="51"/>
      <c r="K54" s="50">
        <f>TRUNC(K55+K56+K57+K58+K59,0)</f>
        <v>73459</v>
      </c>
      <c r="L54" s="51"/>
      <c r="M54" s="50">
        <f>TRUNC(M55+M56+M57+M58+M59,0)</f>
        <v>0</v>
      </c>
      <c r="N54" s="63" t="str">
        <f>N47</f>
        <v>토목6-3-4</v>
      </c>
    </row>
    <row r="55" spans="1:14" ht="15" customHeight="1">
      <c r="A55" s="13"/>
      <c r="B55" s="14" t="s">
        <v>265</v>
      </c>
      <c r="C55" s="1" t="s">
        <v>0</v>
      </c>
      <c r="D55" s="3">
        <v>0.26</v>
      </c>
      <c r="E55" s="2" t="s">
        <v>24</v>
      </c>
      <c r="F55" s="4">
        <f>H55+J55+L55</f>
        <v>282536</v>
      </c>
      <c r="G55" s="8">
        <f t="shared" si="7"/>
        <v>73459.3</v>
      </c>
      <c r="H55" s="4"/>
      <c r="I55" s="8"/>
      <c r="J55" s="4">
        <f>노임!$D$7</f>
        <v>282536</v>
      </c>
      <c r="K55" s="8">
        <f>TRUNC(J55*D55,1)</f>
        <v>73459.3</v>
      </c>
      <c r="L55" s="4">
        <v>0</v>
      </c>
      <c r="M55" s="8"/>
      <c r="N55" s="12" t="s">
        <v>0</v>
      </c>
    </row>
    <row r="56" spans="1:14" ht="15" customHeight="1">
      <c r="A56" s="13"/>
      <c r="B56" s="14" t="s">
        <v>279</v>
      </c>
      <c r="C56" s="1" t="s">
        <v>37</v>
      </c>
      <c r="D56" s="3">
        <v>500</v>
      </c>
      <c r="E56" s="2" t="s">
        <v>30</v>
      </c>
      <c r="F56" s="4" t="e">
        <f>H56+J56+L56</f>
        <v>#REF!</v>
      </c>
      <c r="G56" s="8" t="e">
        <f t="shared" si="7"/>
        <v>#REF!</v>
      </c>
      <c r="H56" s="4" t="e">
        <f>#REF!</f>
        <v>#REF!</v>
      </c>
      <c r="I56" s="8" t="e">
        <f>TRUNC(H56*D56,1)</f>
        <v>#REF!</v>
      </c>
      <c r="J56" s="4">
        <v>0</v>
      </c>
      <c r="K56" s="8"/>
      <c r="L56" s="4">
        <v>0</v>
      </c>
      <c r="M56" s="8"/>
      <c r="N56" s="12" t="s">
        <v>0</v>
      </c>
    </row>
    <row r="57" spans="1:14" ht="15" customHeight="1">
      <c r="A57" s="13"/>
      <c r="B57" s="14" t="s">
        <v>286</v>
      </c>
      <c r="C57" s="1" t="s">
        <v>36</v>
      </c>
      <c r="D57" s="3">
        <v>0.25</v>
      </c>
      <c r="E57" s="2" t="s">
        <v>31</v>
      </c>
      <c r="F57" s="4" t="e">
        <f>H57+J57+L57</f>
        <v>#REF!</v>
      </c>
      <c r="G57" s="8" t="e">
        <f t="shared" si="7"/>
        <v>#REF!</v>
      </c>
      <c r="H57" s="4" t="e">
        <f>#REF!</f>
        <v>#REF!</v>
      </c>
      <c r="I57" s="8" t="e">
        <f>TRUNC(H57*D57,1)</f>
        <v>#REF!</v>
      </c>
      <c r="J57" s="4">
        <v>0</v>
      </c>
      <c r="K57" s="8"/>
      <c r="L57" s="4">
        <v>0</v>
      </c>
      <c r="M57" s="8"/>
      <c r="N57" s="12" t="s">
        <v>0</v>
      </c>
    </row>
    <row r="58" spans="1:14" ht="15" customHeight="1">
      <c r="A58" s="13"/>
      <c r="B58" s="14" t="s">
        <v>287</v>
      </c>
      <c r="C58" s="1" t="s">
        <v>35</v>
      </c>
      <c r="D58" s="3">
        <v>0.74</v>
      </c>
      <c r="E58" s="2" t="s">
        <v>10</v>
      </c>
      <c r="F58" s="4" t="e">
        <f>H58+J58+L58</f>
        <v>#REF!</v>
      </c>
      <c r="G58" s="8" t="e">
        <f t="shared" si="7"/>
        <v>#REF!</v>
      </c>
      <c r="H58" s="4" t="e">
        <f>#REF!</f>
        <v>#REF!</v>
      </c>
      <c r="I58" s="8" t="e">
        <f>TRUNC(H58*D58,1)</f>
        <v>#REF!</v>
      </c>
      <c r="J58" s="4">
        <v>0</v>
      </c>
      <c r="K58" s="8"/>
      <c r="L58" s="4">
        <v>0</v>
      </c>
      <c r="M58" s="8"/>
      <c r="N58" s="12" t="s">
        <v>0</v>
      </c>
    </row>
    <row r="59" spans="1:14" ht="15" customHeight="1">
      <c r="A59" s="13"/>
      <c r="B59" s="14" t="s">
        <v>288</v>
      </c>
      <c r="C59" s="1" t="s">
        <v>29</v>
      </c>
      <c r="D59" s="1">
        <v>2</v>
      </c>
      <c r="E59" s="2" t="s">
        <v>28</v>
      </c>
      <c r="F59" s="4">
        <f>H59+J59+L59</f>
        <v>0</v>
      </c>
      <c r="G59" s="8">
        <f t="shared" si="7"/>
        <v>1469.1</v>
      </c>
      <c r="H59" s="2"/>
      <c r="I59" s="8">
        <f>TRUNC((K55*0.02),1)</f>
        <v>1469.1</v>
      </c>
      <c r="J59" s="2"/>
      <c r="K59" s="8">
        <v>0</v>
      </c>
      <c r="L59" s="2"/>
      <c r="M59" s="8">
        <v>0</v>
      </c>
      <c r="N59" s="12" t="s">
        <v>0</v>
      </c>
    </row>
    <row r="60" spans="1:14" ht="15" customHeight="1">
      <c r="A60" s="16"/>
      <c r="B60" s="15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63"/>
    </row>
    <row r="61" spans="1:14" ht="15" customHeight="1">
      <c r="A61" s="52">
        <f>A54+1</f>
        <v>101</v>
      </c>
      <c r="B61" s="46" t="s">
        <v>285</v>
      </c>
      <c r="C61" s="47" t="s">
        <v>183</v>
      </c>
      <c r="D61" s="47">
        <v>1</v>
      </c>
      <c r="E61" s="48" t="s">
        <v>3</v>
      </c>
      <c r="F61" s="51"/>
      <c r="G61" s="50" t="e">
        <f t="shared" ref="G61:G66" si="8">I61+K61+M61</f>
        <v>#REF!</v>
      </c>
      <c r="H61" s="51"/>
      <c r="I61" s="50" t="e">
        <f>TRUNC(I62+I63+I64+I65+I66,0)</f>
        <v>#REF!</v>
      </c>
      <c r="J61" s="51"/>
      <c r="K61" s="50">
        <f>TRUNC(K62+K63+K64+K65+K66,0)</f>
        <v>87586</v>
      </c>
      <c r="L61" s="51"/>
      <c r="M61" s="50">
        <f>TRUNC(M62+M63+M64+M65+M66,0)</f>
        <v>0</v>
      </c>
      <c r="N61" s="63" t="str">
        <f>N54</f>
        <v>토목6-3-4</v>
      </c>
    </row>
    <row r="62" spans="1:14" ht="15" customHeight="1">
      <c r="A62" s="13"/>
      <c r="B62" s="14" t="s">
        <v>265</v>
      </c>
      <c r="C62" s="1" t="s">
        <v>0</v>
      </c>
      <c r="D62" s="3">
        <v>0.31</v>
      </c>
      <c r="E62" s="2" t="s">
        <v>24</v>
      </c>
      <c r="F62" s="4">
        <f>H62+J62+L62</f>
        <v>282536</v>
      </c>
      <c r="G62" s="8">
        <f t="shared" si="8"/>
        <v>87586.1</v>
      </c>
      <c r="H62" s="4"/>
      <c r="I62" s="8"/>
      <c r="J62" s="4">
        <f>노임!$D$7</f>
        <v>282536</v>
      </c>
      <c r="K62" s="8">
        <f>TRUNC(J62*D62,1)</f>
        <v>87586.1</v>
      </c>
      <c r="L62" s="4">
        <v>0</v>
      </c>
      <c r="M62" s="8"/>
      <c r="N62" s="12" t="s">
        <v>0</v>
      </c>
    </row>
    <row r="63" spans="1:14" ht="15" customHeight="1">
      <c r="A63" s="13"/>
      <c r="B63" s="14" t="s">
        <v>279</v>
      </c>
      <c r="C63" s="1" t="s">
        <v>37</v>
      </c>
      <c r="D63" s="3">
        <v>590</v>
      </c>
      <c r="E63" s="2" t="s">
        <v>30</v>
      </c>
      <c r="F63" s="4" t="e">
        <f>H63+J63+L63</f>
        <v>#REF!</v>
      </c>
      <c r="G63" s="8" t="e">
        <f t="shared" si="8"/>
        <v>#REF!</v>
      </c>
      <c r="H63" s="4" t="e">
        <f>#REF!</f>
        <v>#REF!</v>
      </c>
      <c r="I63" s="8" t="e">
        <f>TRUNC(H63*D63,1)</f>
        <v>#REF!</v>
      </c>
      <c r="J63" s="4">
        <v>0</v>
      </c>
      <c r="K63" s="8"/>
      <c r="L63" s="4">
        <v>0</v>
      </c>
      <c r="M63" s="8"/>
      <c r="N63" s="12" t="s">
        <v>0</v>
      </c>
    </row>
    <row r="64" spans="1:14" ht="15" customHeight="1">
      <c r="A64" s="13"/>
      <c r="B64" s="14" t="s">
        <v>286</v>
      </c>
      <c r="C64" s="1" t="s">
        <v>36</v>
      </c>
      <c r="D64" s="3">
        <v>0.3</v>
      </c>
      <c r="E64" s="2" t="s">
        <v>31</v>
      </c>
      <c r="F64" s="4" t="e">
        <f>H64+J64+L64</f>
        <v>#REF!</v>
      </c>
      <c r="G64" s="8" t="e">
        <f t="shared" si="8"/>
        <v>#REF!</v>
      </c>
      <c r="H64" s="4" t="e">
        <f>#REF!</f>
        <v>#REF!</v>
      </c>
      <c r="I64" s="8" t="e">
        <f>TRUNC(H64*D64,1)</f>
        <v>#REF!</v>
      </c>
      <c r="J64" s="4">
        <v>0</v>
      </c>
      <c r="K64" s="8"/>
      <c r="L64" s="4">
        <v>0</v>
      </c>
      <c r="M64" s="8"/>
      <c r="N64" s="12" t="s">
        <v>0</v>
      </c>
    </row>
    <row r="65" spans="1:14" ht="15" customHeight="1">
      <c r="A65" s="13"/>
      <c r="B65" s="14" t="s">
        <v>287</v>
      </c>
      <c r="C65" s="1" t="s">
        <v>35</v>
      </c>
      <c r="D65" s="3">
        <v>0.84</v>
      </c>
      <c r="E65" s="2" t="s">
        <v>10</v>
      </c>
      <c r="F65" s="4" t="e">
        <f>H65+J65+L65</f>
        <v>#REF!</v>
      </c>
      <c r="G65" s="8" t="e">
        <f t="shared" si="8"/>
        <v>#REF!</v>
      </c>
      <c r="H65" s="4" t="e">
        <f>#REF!</f>
        <v>#REF!</v>
      </c>
      <c r="I65" s="8" t="e">
        <f>TRUNC(H65*D65,1)</f>
        <v>#REF!</v>
      </c>
      <c r="J65" s="4">
        <v>0</v>
      </c>
      <c r="K65" s="8"/>
      <c r="L65" s="4">
        <v>0</v>
      </c>
      <c r="M65" s="8"/>
      <c r="N65" s="12" t="s">
        <v>0</v>
      </c>
    </row>
    <row r="66" spans="1:14" ht="15" customHeight="1">
      <c r="A66" s="13"/>
      <c r="B66" s="14" t="s">
        <v>288</v>
      </c>
      <c r="C66" s="1" t="s">
        <v>29</v>
      </c>
      <c r="D66" s="1">
        <v>2</v>
      </c>
      <c r="E66" s="2" t="s">
        <v>28</v>
      </c>
      <c r="F66" s="4">
        <f>H66+J66+L66</f>
        <v>0</v>
      </c>
      <c r="G66" s="8">
        <f t="shared" si="8"/>
        <v>1751.7</v>
      </c>
      <c r="H66" s="2"/>
      <c r="I66" s="8">
        <f>TRUNC((K62*0.02),1)</f>
        <v>1751.7</v>
      </c>
      <c r="J66" s="2"/>
      <c r="K66" s="8">
        <v>0</v>
      </c>
      <c r="L66" s="2"/>
      <c r="M66" s="8">
        <v>0</v>
      </c>
      <c r="N66" s="12" t="s">
        <v>0</v>
      </c>
    </row>
    <row r="67" spans="1:14" ht="15" customHeight="1">
      <c r="A67" s="16"/>
      <c r="B67" s="15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12"/>
    </row>
    <row r="68" spans="1:14" ht="15" customHeight="1">
      <c r="A68" s="52">
        <f>A61+1</f>
        <v>102</v>
      </c>
      <c r="B68" s="46" t="s">
        <v>285</v>
      </c>
      <c r="C68" s="47" t="s">
        <v>185</v>
      </c>
      <c r="D68" s="47">
        <v>1</v>
      </c>
      <c r="E68" s="48" t="s">
        <v>3</v>
      </c>
      <c r="F68" s="51"/>
      <c r="G68" s="50" t="e">
        <f t="shared" ref="G68:G73" si="9">I68+K68+M68</f>
        <v>#REF!</v>
      </c>
      <c r="H68" s="51"/>
      <c r="I68" s="50" t="e">
        <f>TRUNC(I69+I70+I71+I72+I73,0)</f>
        <v>#REF!</v>
      </c>
      <c r="J68" s="51"/>
      <c r="K68" s="50">
        <f>TRUNC(K69+K70+K71+K72+K73,0)</f>
        <v>101712</v>
      </c>
      <c r="L68" s="51"/>
      <c r="M68" s="50">
        <f>TRUNC(M69+M70+M71+M72+M73,0)</f>
        <v>0</v>
      </c>
      <c r="N68" s="63" t="str">
        <f>N61</f>
        <v>토목6-3-4</v>
      </c>
    </row>
    <row r="69" spans="1:14" ht="15" customHeight="1">
      <c r="A69" s="13"/>
      <c r="B69" s="14" t="s">
        <v>265</v>
      </c>
      <c r="C69" s="1" t="s">
        <v>0</v>
      </c>
      <c r="D69" s="3">
        <v>0.36</v>
      </c>
      <c r="E69" s="2" t="s">
        <v>24</v>
      </c>
      <c r="F69" s="4">
        <f>H69+J69+L69</f>
        <v>282536</v>
      </c>
      <c r="G69" s="8">
        <f t="shared" si="9"/>
        <v>101712.9</v>
      </c>
      <c r="H69" s="4"/>
      <c r="I69" s="8"/>
      <c r="J69" s="4">
        <f>노임!$D$7</f>
        <v>282536</v>
      </c>
      <c r="K69" s="8">
        <f>TRUNC(J69*D69,1)</f>
        <v>101712.9</v>
      </c>
      <c r="L69" s="4">
        <v>0</v>
      </c>
      <c r="M69" s="8"/>
      <c r="N69" s="12" t="s">
        <v>0</v>
      </c>
    </row>
    <row r="70" spans="1:14" ht="15" customHeight="1">
      <c r="A70" s="13"/>
      <c r="B70" s="14" t="s">
        <v>279</v>
      </c>
      <c r="C70" s="1" t="s">
        <v>37</v>
      </c>
      <c r="D70" s="3">
        <v>630</v>
      </c>
      <c r="E70" s="2" t="s">
        <v>30</v>
      </c>
      <c r="F70" s="4" t="e">
        <f>H70+J70+L70</f>
        <v>#REF!</v>
      </c>
      <c r="G70" s="8" t="e">
        <f t="shared" si="9"/>
        <v>#REF!</v>
      </c>
      <c r="H70" s="4" t="e">
        <f>#REF!</f>
        <v>#REF!</v>
      </c>
      <c r="I70" s="8" t="e">
        <f>TRUNC(H70*D70,1)</f>
        <v>#REF!</v>
      </c>
      <c r="J70" s="4">
        <v>0</v>
      </c>
      <c r="K70" s="8"/>
      <c r="L70" s="4">
        <v>0</v>
      </c>
      <c r="M70" s="8"/>
      <c r="N70" s="12" t="s">
        <v>0</v>
      </c>
    </row>
    <row r="71" spans="1:14" ht="15" customHeight="1">
      <c r="A71" s="13"/>
      <c r="B71" s="14" t="s">
        <v>286</v>
      </c>
      <c r="C71" s="1" t="s">
        <v>36</v>
      </c>
      <c r="D71" s="3">
        <v>0.32</v>
      </c>
      <c r="E71" s="2" t="s">
        <v>31</v>
      </c>
      <c r="F71" s="4" t="e">
        <f>H71+J71+L71</f>
        <v>#REF!</v>
      </c>
      <c r="G71" s="8" t="e">
        <f t="shared" si="9"/>
        <v>#REF!</v>
      </c>
      <c r="H71" s="4" t="e">
        <f>#REF!</f>
        <v>#REF!</v>
      </c>
      <c r="I71" s="8" t="e">
        <f>TRUNC(H71*D71,1)</f>
        <v>#REF!</v>
      </c>
      <c r="J71" s="4">
        <v>0</v>
      </c>
      <c r="K71" s="8"/>
      <c r="L71" s="4">
        <v>0</v>
      </c>
      <c r="M71" s="8"/>
      <c r="N71" s="12" t="s">
        <v>0</v>
      </c>
    </row>
    <row r="72" spans="1:14" ht="15" customHeight="1">
      <c r="A72" s="13"/>
      <c r="B72" s="14" t="s">
        <v>287</v>
      </c>
      <c r="C72" s="1" t="s">
        <v>35</v>
      </c>
      <c r="D72" s="3">
        <v>0.96</v>
      </c>
      <c r="E72" s="2" t="s">
        <v>10</v>
      </c>
      <c r="F72" s="4" t="e">
        <f>H72+J72+L72</f>
        <v>#REF!</v>
      </c>
      <c r="G72" s="8" t="e">
        <f t="shared" si="9"/>
        <v>#REF!</v>
      </c>
      <c r="H72" s="4" t="e">
        <f>#REF!</f>
        <v>#REF!</v>
      </c>
      <c r="I72" s="8" t="e">
        <f>TRUNC(H72*D72,1)</f>
        <v>#REF!</v>
      </c>
      <c r="J72" s="4">
        <v>0</v>
      </c>
      <c r="K72" s="8"/>
      <c r="L72" s="4">
        <v>0</v>
      </c>
      <c r="M72" s="8"/>
      <c r="N72" s="12" t="s">
        <v>0</v>
      </c>
    </row>
    <row r="73" spans="1:14" ht="15" customHeight="1">
      <c r="A73" s="13"/>
      <c r="B73" s="14" t="s">
        <v>288</v>
      </c>
      <c r="C73" s="1" t="s">
        <v>29</v>
      </c>
      <c r="D73" s="1">
        <v>2</v>
      </c>
      <c r="E73" s="2" t="s">
        <v>28</v>
      </c>
      <c r="F73" s="4">
        <f>H73+J73+L73</f>
        <v>0</v>
      </c>
      <c r="G73" s="8">
        <f t="shared" si="9"/>
        <v>2034.2</v>
      </c>
      <c r="H73" s="2"/>
      <c r="I73" s="8">
        <f>TRUNC((K69*0.02),1)</f>
        <v>2034.2</v>
      </c>
      <c r="J73" s="2"/>
      <c r="K73" s="8">
        <v>0</v>
      </c>
      <c r="L73" s="2"/>
      <c r="M73" s="8">
        <v>0</v>
      </c>
      <c r="N73" s="12" t="s">
        <v>0</v>
      </c>
    </row>
    <row r="74" spans="1:14" ht="15" customHeight="1">
      <c r="A74" s="16"/>
      <c r="B74" s="15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12"/>
    </row>
    <row r="75" spans="1:14" ht="15" customHeight="1">
      <c r="A75" s="52">
        <f>A68+1</f>
        <v>103</v>
      </c>
      <c r="B75" s="46" t="s">
        <v>285</v>
      </c>
      <c r="C75" s="47" t="s">
        <v>184</v>
      </c>
      <c r="D75" s="47">
        <v>1</v>
      </c>
      <c r="E75" s="48" t="s">
        <v>3</v>
      </c>
      <c r="F75" s="51"/>
      <c r="G75" s="50" t="e">
        <f t="shared" ref="G75:G80" si="10">I75+K75+M75</f>
        <v>#REF!</v>
      </c>
      <c r="H75" s="51"/>
      <c r="I75" s="50" t="e">
        <f>TRUNC(I76+I77+I78+I79+I80,0)</f>
        <v>#REF!</v>
      </c>
      <c r="J75" s="51"/>
      <c r="K75" s="50">
        <f>TRUNC(K76+K77+K78+K79+K80,0)</f>
        <v>115839</v>
      </c>
      <c r="L75" s="51"/>
      <c r="M75" s="50">
        <f>TRUNC(M76+M77+M78+M79+M80,0)</f>
        <v>0</v>
      </c>
      <c r="N75" s="63" t="str">
        <f>N68</f>
        <v>토목6-3-4</v>
      </c>
    </row>
    <row r="76" spans="1:14" ht="15" customHeight="1">
      <c r="A76" s="13"/>
      <c r="B76" s="14" t="s">
        <v>265</v>
      </c>
      <c r="C76" s="1" t="s">
        <v>0</v>
      </c>
      <c r="D76" s="3">
        <v>0.41</v>
      </c>
      <c r="E76" s="2" t="s">
        <v>24</v>
      </c>
      <c r="F76" s="4">
        <f>H76+J76+L76</f>
        <v>282536</v>
      </c>
      <c r="G76" s="8">
        <f t="shared" si="10"/>
        <v>115839.7</v>
      </c>
      <c r="H76" s="4"/>
      <c r="I76" s="8"/>
      <c r="J76" s="4">
        <f>노임!$D$7</f>
        <v>282536</v>
      </c>
      <c r="K76" s="8">
        <f>TRUNC(J76*D76,1)</f>
        <v>115839.7</v>
      </c>
      <c r="L76" s="4">
        <v>0</v>
      </c>
      <c r="M76" s="8"/>
      <c r="N76" s="12" t="s">
        <v>0</v>
      </c>
    </row>
    <row r="77" spans="1:14" ht="15" customHeight="1">
      <c r="A77" s="13"/>
      <c r="B77" s="14" t="s">
        <v>279</v>
      </c>
      <c r="C77" s="1" t="s">
        <v>37</v>
      </c>
      <c r="D77" s="3">
        <v>720</v>
      </c>
      <c r="E77" s="2" t="s">
        <v>30</v>
      </c>
      <c r="F77" s="4" t="e">
        <f>H77+J77+L77</f>
        <v>#REF!</v>
      </c>
      <c r="G77" s="8" t="e">
        <f t="shared" si="10"/>
        <v>#REF!</v>
      </c>
      <c r="H77" s="4" t="e">
        <f>#REF!</f>
        <v>#REF!</v>
      </c>
      <c r="I77" s="8" t="e">
        <f>TRUNC(H77*D77,1)</f>
        <v>#REF!</v>
      </c>
      <c r="J77" s="4">
        <v>0</v>
      </c>
      <c r="K77" s="8"/>
      <c r="L77" s="4">
        <v>0</v>
      </c>
      <c r="M77" s="8"/>
      <c r="N77" s="12" t="s">
        <v>0</v>
      </c>
    </row>
    <row r="78" spans="1:14" ht="15" customHeight="1">
      <c r="A78" s="13"/>
      <c r="B78" s="14" t="s">
        <v>286</v>
      </c>
      <c r="C78" s="1" t="s">
        <v>36</v>
      </c>
      <c r="D78" s="3">
        <v>0.36</v>
      </c>
      <c r="E78" s="2" t="s">
        <v>31</v>
      </c>
      <c r="F78" s="4" t="e">
        <f>H78+J78+L78</f>
        <v>#REF!</v>
      </c>
      <c r="G78" s="8" t="e">
        <f t="shared" si="10"/>
        <v>#REF!</v>
      </c>
      <c r="H78" s="4" t="e">
        <f>#REF!</f>
        <v>#REF!</v>
      </c>
      <c r="I78" s="8" t="e">
        <f>TRUNC(H78*D78,1)</f>
        <v>#REF!</v>
      </c>
      <c r="J78" s="4">
        <v>0</v>
      </c>
      <c r="K78" s="8"/>
      <c r="L78" s="4">
        <v>0</v>
      </c>
      <c r="M78" s="8"/>
      <c r="N78" s="12" t="s">
        <v>0</v>
      </c>
    </row>
    <row r="79" spans="1:14" ht="15" customHeight="1">
      <c r="A79" s="13"/>
      <c r="B79" s="14" t="s">
        <v>287</v>
      </c>
      <c r="C79" s="1" t="s">
        <v>35</v>
      </c>
      <c r="D79" s="3">
        <v>1.06</v>
      </c>
      <c r="E79" s="2" t="s">
        <v>10</v>
      </c>
      <c r="F79" s="4" t="e">
        <f>H79+J79+L79</f>
        <v>#REF!</v>
      </c>
      <c r="G79" s="8" t="e">
        <f t="shared" si="10"/>
        <v>#REF!</v>
      </c>
      <c r="H79" s="4" t="e">
        <f>#REF!</f>
        <v>#REF!</v>
      </c>
      <c r="I79" s="8" t="e">
        <f>TRUNC(H79*D79,1)</f>
        <v>#REF!</v>
      </c>
      <c r="J79" s="4">
        <v>0</v>
      </c>
      <c r="K79" s="8"/>
      <c r="L79" s="4">
        <v>0</v>
      </c>
      <c r="M79" s="8"/>
      <c r="N79" s="12" t="s">
        <v>0</v>
      </c>
    </row>
    <row r="80" spans="1:14" ht="15" customHeight="1">
      <c r="A80" s="13"/>
      <c r="B80" s="14" t="s">
        <v>288</v>
      </c>
      <c r="C80" s="1" t="s">
        <v>29</v>
      </c>
      <c r="D80" s="1">
        <v>2</v>
      </c>
      <c r="E80" s="2" t="s">
        <v>28</v>
      </c>
      <c r="F80" s="4">
        <f>H80+J80+L80</f>
        <v>0</v>
      </c>
      <c r="G80" s="8">
        <f t="shared" si="10"/>
        <v>2316.6999999999998</v>
      </c>
      <c r="H80" s="2"/>
      <c r="I80" s="8">
        <f>TRUNC((K76*0.02),1)</f>
        <v>2316.6999999999998</v>
      </c>
      <c r="J80" s="2"/>
      <c r="K80" s="8">
        <v>0</v>
      </c>
      <c r="L80" s="2"/>
      <c r="M80" s="8">
        <v>0</v>
      </c>
      <c r="N80" s="12" t="s">
        <v>0</v>
      </c>
    </row>
    <row r="81" spans="1:14" ht="15" customHeight="1">
      <c r="A81" s="16"/>
      <c r="B81" s="15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12"/>
    </row>
    <row r="82" spans="1:14" ht="15" customHeight="1">
      <c r="A82" s="52">
        <f>A75+1</f>
        <v>104</v>
      </c>
      <c r="B82" s="46" t="s">
        <v>285</v>
      </c>
      <c r="C82" s="47" t="s">
        <v>186</v>
      </c>
      <c r="D82" s="47">
        <v>1</v>
      </c>
      <c r="E82" s="48" t="s">
        <v>3</v>
      </c>
      <c r="F82" s="51"/>
      <c r="G82" s="50" t="e">
        <f t="shared" ref="G82:G87" si="11">I82+K82+M82</f>
        <v>#REF!</v>
      </c>
      <c r="H82" s="51"/>
      <c r="I82" s="50" t="e">
        <f>TRUNC(I83+I84+I85+I86+I87,0)</f>
        <v>#REF!</v>
      </c>
      <c r="J82" s="51"/>
      <c r="K82" s="50">
        <f>TRUNC(K83+K84+K85+K86+K87,0)</f>
        <v>129966</v>
      </c>
      <c r="L82" s="51"/>
      <c r="M82" s="50">
        <f>TRUNC(M83+M84+M85+M86+M87,0)</f>
        <v>0</v>
      </c>
      <c r="N82" s="63" t="str">
        <f>N75</f>
        <v>토목6-3-4</v>
      </c>
    </row>
    <row r="83" spans="1:14" ht="15" customHeight="1">
      <c r="A83" s="13"/>
      <c r="B83" s="14" t="s">
        <v>265</v>
      </c>
      <c r="C83" s="1" t="s">
        <v>0</v>
      </c>
      <c r="D83" s="3">
        <v>0.46</v>
      </c>
      <c r="E83" s="2" t="s">
        <v>24</v>
      </c>
      <c r="F83" s="4">
        <f>H83+J83+L83</f>
        <v>282536</v>
      </c>
      <c r="G83" s="8">
        <f t="shared" si="11"/>
        <v>129966.5</v>
      </c>
      <c r="H83" s="4"/>
      <c r="I83" s="8"/>
      <c r="J83" s="4">
        <f>노임!$D$7</f>
        <v>282536</v>
      </c>
      <c r="K83" s="8">
        <f>TRUNC(J83*D83,1)</f>
        <v>129966.5</v>
      </c>
      <c r="L83" s="4">
        <v>0</v>
      </c>
      <c r="M83" s="8"/>
      <c r="N83" s="12" t="s">
        <v>0</v>
      </c>
    </row>
    <row r="84" spans="1:14" ht="15" customHeight="1">
      <c r="A84" s="13"/>
      <c r="B84" s="14" t="s">
        <v>279</v>
      </c>
      <c r="C84" s="1" t="s">
        <v>37</v>
      </c>
      <c r="D84" s="3">
        <v>810</v>
      </c>
      <c r="E84" s="2" t="s">
        <v>30</v>
      </c>
      <c r="F84" s="4" t="e">
        <f>H84+J84+L84</f>
        <v>#REF!</v>
      </c>
      <c r="G84" s="8" t="e">
        <f t="shared" si="11"/>
        <v>#REF!</v>
      </c>
      <c r="H84" s="4" t="e">
        <f>#REF!</f>
        <v>#REF!</v>
      </c>
      <c r="I84" s="8" t="e">
        <f>TRUNC(H84*D84,1)</f>
        <v>#REF!</v>
      </c>
      <c r="J84" s="4">
        <v>0</v>
      </c>
      <c r="K84" s="8"/>
      <c r="L84" s="4">
        <v>0</v>
      </c>
      <c r="M84" s="8"/>
      <c r="N84" s="12" t="s">
        <v>0</v>
      </c>
    </row>
    <row r="85" spans="1:14" ht="15" customHeight="1">
      <c r="A85" s="13"/>
      <c r="B85" s="14" t="s">
        <v>286</v>
      </c>
      <c r="C85" s="1" t="s">
        <v>36</v>
      </c>
      <c r="D85" s="3">
        <v>0.41</v>
      </c>
      <c r="E85" s="2" t="s">
        <v>31</v>
      </c>
      <c r="F85" s="4" t="e">
        <f>H85+J85+L85</f>
        <v>#REF!</v>
      </c>
      <c r="G85" s="8" t="e">
        <f t="shared" si="11"/>
        <v>#REF!</v>
      </c>
      <c r="H85" s="4" t="e">
        <f>#REF!</f>
        <v>#REF!</v>
      </c>
      <c r="I85" s="8" t="e">
        <f>TRUNC(H85*D85,1)</f>
        <v>#REF!</v>
      </c>
      <c r="J85" s="4">
        <v>0</v>
      </c>
      <c r="K85" s="8"/>
      <c r="L85" s="4">
        <v>0</v>
      </c>
      <c r="M85" s="8"/>
      <c r="N85" s="12" t="s">
        <v>0</v>
      </c>
    </row>
    <row r="86" spans="1:14" ht="15" customHeight="1">
      <c r="A86" s="13"/>
      <c r="B86" s="14" t="s">
        <v>287</v>
      </c>
      <c r="C86" s="1" t="s">
        <v>35</v>
      </c>
      <c r="D86" s="3">
        <v>1.27</v>
      </c>
      <c r="E86" s="2" t="s">
        <v>10</v>
      </c>
      <c r="F86" s="4" t="e">
        <f>H86+J86+L86</f>
        <v>#REF!</v>
      </c>
      <c r="G86" s="8" t="e">
        <f t="shared" si="11"/>
        <v>#REF!</v>
      </c>
      <c r="H86" s="4" t="e">
        <f>#REF!</f>
        <v>#REF!</v>
      </c>
      <c r="I86" s="8" t="e">
        <f>TRUNC(H86*D86,1)</f>
        <v>#REF!</v>
      </c>
      <c r="J86" s="4">
        <v>0</v>
      </c>
      <c r="K86" s="8"/>
      <c r="L86" s="4">
        <v>0</v>
      </c>
      <c r="M86" s="8"/>
      <c r="N86" s="12" t="s">
        <v>0</v>
      </c>
    </row>
    <row r="87" spans="1:14" ht="15" customHeight="1">
      <c r="A87" s="13"/>
      <c r="B87" s="14" t="s">
        <v>288</v>
      </c>
      <c r="C87" s="1" t="s">
        <v>29</v>
      </c>
      <c r="D87" s="1">
        <v>2</v>
      </c>
      <c r="E87" s="2" t="s">
        <v>28</v>
      </c>
      <c r="F87" s="4">
        <f>H87+J87+L87</f>
        <v>0</v>
      </c>
      <c r="G87" s="8">
        <f t="shared" si="11"/>
        <v>2599.3000000000002</v>
      </c>
      <c r="H87" s="2"/>
      <c r="I87" s="8">
        <f>TRUNC((K83*0.02),1)</f>
        <v>2599.3000000000002</v>
      </c>
      <c r="J87" s="2"/>
      <c r="K87" s="8">
        <v>0</v>
      </c>
      <c r="L87" s="2"/>
      <c r="M87" s="8">
        <v>0</v>
      </c>
      <c r="N87" s="12" t="s">
        <v>0</v>
      </c>
    </row>
    <row r="88" spans="1:14" ht="15" customHeight="1">
      <c r="A88" s="16"/>
      <c r="B88" s="15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12"/>
    </row>
    <row r="89" spans="1:14" ht="15" customHeight="1">
      <c r="A89" s="52">
        <f>A82+1</f>
        <v>105</v>
      </c>
      <c r="B89" s="46" t="s">
        <v>285</v>
      </c>
      <c r="C89" s="47" t="s">
        <v>187</v>
      </c>
      <c r="D89" s="47">
        <v>1</v>
      </c>
      <c r="E89" s="48" t="s">
        <v>3</v>
      </c>
      <c r="F89" s="51"/>
      <c r="G89" s="50" t="e">
        <f t="shared" ref="G89:G94" si="12">I89+K89+M89</f>
        <v>#REF!</v>
      </c>
      <c r="H89" s="51"/>
      <c r="I89" s="50" t="e">
        <f>TRUNC(I90+I91+I92+I93+I94,0)</f>
        <v>#REF!</v>
      </c>
      <c r="J89" s="51"/>
      <c r="K89" s="50">
        <f>TRUNC(K90+K91+K92+K93+K94,0)</f>
        <v>175172</v>
      </c>
      <c r="L89" s="51"/>
      <c r="M89" s="50">
        <f>TRUNC(M90+M91+M92+M93+M94,0)</f>
        <v>0</v>
      </c>
      <c r="N89" s="63" t="str">
        <f>N82</f>
        <v>토목6-3-4</v>
      </c>
    </row>
    <row r="90" spans="1:14" ht="15" customHeight="1">
      <c r="A90" s="13"/>
      <c r="B90" s="14" t="s">
        <v>265</v>
      </c>
      <c r="C90" s="1" t="s">
        <v>0</v>
      </c>
      <c r="D90" s="3">
        <v>0.62</v>
      </c>
      <c r="E90" s="2" t="s">
        <v>24</v>
      </c>
      <c r="F90" s="4">
        <f>H90+J90+L90</f>
        <v>282536</v>
      </c>
      <c r="G90" s="8">
        <f t="shared" si="12"/>
        <v>175172.3</v>
      </c>
      <c r="H90" s="4"/>
      <c r="I90" s="8"/>
      <c r="J90" s="4">
        <f>노임!$D$7</f>
        <v>282536</v>
      </c>
      <c r="K90" s="8">
        <f>TRUNC(J90*D90,1)</f>
        <v>175172.3</v>
      </c>
      <c r="L90" s="4">
        <v>0</v>
      </c>
      <c r="M90" s="8"/>
      <c r="N90" s="12" t="s">
        <v>0</v>
      </c>
    </row>
    <row r="91" spans="1:14" ht="15" customHeight="1">
      <c r="A91" s="13"/>
      <c r="B91" s="14" t="s">
        <v>279</v>
      </c>
      <c r="C91" s="1" t="s">
        <v>37</v>
      </c>
      <c r="D91" s="3">
        <v>1020</v>
      </c>
      <c r="E91" s="2" t="s">
        <v>30</v>
      </c>
      <c r="F91" s="4" t="e">
        <f>H91+J91+L91</f>
        <v>#REF!</v>
      </c>
      <c r="G91" s="8" t="e">
        <f t="shared" si="12"/>
        <v>#REF!</v>
      </c>
      <c r="H91" s="4" t="e">
        <f>#REF!</f>
        <v>#REF!</v>
      </c>
      <c r="I91" s="8" t="e">
        <f>TRUNC(H91*D91,1)</f>
        <v>#REF!</v>
      </c>
      <c r="J91" s="4">
        <v>0</v>
      </c>
      <c r="K91" s="8"/>
      <c r="L91" s="4">
        <v>0</v>
      </c>
      <c r="M91" s="8"/>
      <c r="N91" s="12" t="s">
        <v>0</v>
      </c>
    </row>
    <row r="92" spans="1:14" ht="15" customHeight="1">
      <c r="A92" s="13"/>
      <c r="B92" s="14" t="s">
        <v>286</v>
      </c>
      <c r="C92" s="1" t="s">
        <v>36</v>
      </c>
      <c r="D92" s="3">
        <v>0.5</v>
      </c>
      <c r="E92" s="2" t="s">
        <v>31</v>
      </c>
      <c r="F92" s="4" t="e">
        <f>H92+J92+L92</f>
        <v>#REF!</v>
      </c>
      <c r="G92" s="8" t="e">
        <f t="shared" si="12"/>
        <v>#REF!</v>
      </c>
      <c r="H92" s="4" t="e">
        <f>#REF!</f>
        <v>#REF!</v>
      </c>
      <c r="I92" s="8" t="e">
        <f>TRUNC(H92*D92,1)</f>
        <v>#REF!</v>
      </c>
      <c r="J92" s="4">
        <v>0</v>
      </c>
      <c r="K92" s="8"/>
      <c r="L92" s="4">
        <v>0</v>
      </c>
      <c r="M92" s="8"/>
      <c r="N92" s="12" t="s">
        <v>0</v>
      </c>
    </row>
    <row r="93" spans="1:14" ht="15" customHeight="1">
      <c r="A93" s="13"/>
      <c r="B93" s="14" t="s">
        <v>287</v>
      </c>
      <c r="C93" s="1" t="s">
        <v>35</v>
      </c>
      <c r="D93" s="3">
        <v>1.73</v>
      </c>
      <c r="E93" s="2" t="s">
        <v>10</v>
      </c>
      <c r="F93" s="4" t="e">
        <f>H93+J93+L93</f>
        <v>#REF!</v>
      </c>
      <c r="G93" s="8" t="e">
        <f t="shared" si="12"/>
        <v>#REF!</v>
      </c>
      <c r="H93" s="4" t="e">
        <f>#REF!</f>
        <v>#REF!</v>
      </c>
      <c r="I93" s="8" t="e">
        <f>TRUNC(H93*D93,1)</f>
        <v>#REF!</v>
      </c>
      <c r="J93" s="4">
        <v>0</v>
      </c>
      <c r="K93" s="8"/>
      <c r="L93" s="4">
        <v>0</v>
      </c>
      <c r="M93" s="8"/>
      <c r="N93" s="12" t="s">
        <v>0</v>
      </c>
    </row>
    <row r="94" spans="1:14" ht="15" customHeight="1">
      <c r="A94" s="13"/>
      <c r="B94" s="14" t="s">
        <v>288</v>
      </c>
      <c r="C94" s="1" t="s">
        <v>29</v>
      </c>
      <c r="D94" s="1">
        <v>2</v>
      </c>
      <c r="E94" s="2" t="s">
        <v>28</v>
      </c>
      <c r="F94" s="4">
        <f>H94+J94+L94</f>
        <v>0</v>
      </c>
      <c r="G94" s="8">
        <f t="shared" si="12"/>
        <v>3503.4</v>
      </c>
      <c r="H94" s="2"/>
      <c r="I94" s="8">
        <f>TRUNC((K90*0.02),1)</f>
        <v>3503.4</v>
      </c>
      <c r="J94" s="2"/>
      <c r="K94" s="8">
        <v>0</v>
      </c>
      <c r="L94" s="2"/>
      <c r="M94" s="8">
        <v>0</v>
      </c>
      <c r="N94" s="12" t="s">
        <v>0</v>
      </c>
    </row>
    <row r="95" spans="1:14" ht="15" customHeight="1">
      <c r="A95" s="16"/>
      <c r="B95" s="15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12"/>
    </row>
    <row r="96" spans="1:14" ht="15" customHeight="1">
      <c r="A96" s="52">
        <f>A89+1</f>
        <v>106</v>
      </c>
      <c r="B96" s="46" t="s">
        <v>289</v>
      </c>
      <c r="C96" s="47" t="s">
        <v>187</v>
      </c>
      <c r="D96" s="47">
        <v>1</v>
      </c>
      <c r="E96" s="48" t="s">
        <v>3</v>
      </c>
      <c r="F96" s="51"/>
      <c r="G96" s="50" t="e">
        <f t="shared" ref="G96:G101" si="13">I96+K96+M96</f>
        <v>#REF!</v>
      </c>
      <c r="H96" s="51"/>
      <c r="I96" s="50" t="e">
        <f>TRUNC(I97+I98+I99+I100+I101,0)</f>
        <v>#REF!</v>
      </c>
      <c r="J96" s="51"/>
      <c r="K96" s="50">
        <f>TRUNC(K97+K98+K99+K100+K101,0)</f>
        <v>152569</v>
      </c>
      <c r="L96" s="51"/>
      <c r="M96" s="50">
        <f>TRUNC(M97+M98+M99+M100+M101,0)</f>
        <v>0</v>
      </c>
      <c r="N96" s="63" t="str">
        <f>N89</f>
        <v>토목6-3-4</v>
      </c>
    </row>
    <row r="97" spans="1:14" ht="15" customHeight="1">
      <c r="A97" s="13"/>
      <c r="B97" s="14" t="s">
        <v>265</v>
      </c>
      <c r="C97" s="1" t="s">
        <v>0</v>
      </c>
      <c r="D97" s="3">
        <v>0.54</v>
      </c>
      <c r="E97" s="2" t="s">
        <v>24</v>
      </c>
      <c r="F97" s="4">
        <f>H97+J97+L97</f>
        <v>282536</v>
      </c>
      <c r="G97" s="8">
        <f t="shared" si="13"/>
        <v>152569.4</v>
      </c>
      <c r="H97" s="4"/>
      <c r="I97" s="8"/>
      <c r="J97" s="4">
        <f>노임!$D$7</f>
        <v>282536</v>
      </c>
      <c r="K97" s="8">
        <f>TRUNC(J97*D97,1)</f>
        <v>152569.4</v>
      </c>
      <c r="L97" s="4">
        <v>0</v>
      </c>
      <c r="M97" s="8"/>
      <c r="N97" s="12" t="s">
        <v>0</v>
      </c>
    </row>
    <row r="98" spans="1:14" ht="15" customHeight="1">
      <c r="A98" s="13"/>
      <c r="B98" s="14" t="s">
        <v>279</v>
      </c>
      <c r="C98" s="1" t="s">
        <v>37</v>
      </c>
      <c r="D98" s="3">
        <v>990</v>
      </c>
      <c r="E98" s="2" t="s">
        <v>30</v>
      </c>
      <c r="F98" s="4" t="e">
        <f>H98+J98+L98</f>
        <v>#REF!</v>
      </c>
      <c r="G98" s="8" t="e">
        <f t="shared" si="13"/>
        <v>#REF!</v>
      </c>
      <c r="H98" s="4" t="e">
        <f>#REF!</f>
        <v>#REF!</v>
      </c>
      <c r="I98" s="8" t="e">
        <f>TRUNC(H98*D98,1)</f>
        <v>#REF!</v>
      </c>
      <c r="J98" s="4">
        <v>0</v>
      </c>
      <c r="K98" s="8"/>
      <c r="L98" s="4">
        <v>0</v>
      </c>
      <c r="M98" s="8"/>
      <c r="N98" s="12" t="s">
        <v>0</v>
      </c>
    </row>
    <row r="99" spans="1:14" ht="15" customHeight="1">
      <c r="A99" s="13"/>
      <c r="B99" s="14" t="s">
        <v>286</v>
      </c>
      <c r="C99" s="1" t="s">
        <v>36</v>
      </c>
      <c r="D99" s="3">
        <v>0.5</v>
      </c>
      <c r="E99" s="2" t="s">
        <v>31</v>
      </c>
      <c r="F99" s="4" t="e">
        <f>H99+J99+L99</f>
        <v>#REF!</v>
      </c>
      <c r="G99" s="8" t="e">
        <f t="shared" si="13"/>
        <v>#REF!</v>
      </c>
      <c r="H99" s="4" t="e">
        <f>#REF!</f>
        <v>#REF!</v>
      </c>
      <c r="I99" s="8" t="e">
        <f>TRUNC(H99*D99,1)</f>
        <v>#REF!</v>
      </c>
      <c r="J99" s="4">
        <v>0</v>
      </c>
      <c r="K99" s="8"/>
      <c r="L99" s="4">
        <v>0</v>
      </c>
      <c r="M99" s="8"/>
      <c r="N99" s="12" t="s">
        <v>0</v>
      </c>
    </row>
    <row r="100" spans="1:14" ht="15" customHeight="1">
      <c r="A100" s="13"/>
      <c r="B100" s="14" t="s">
        <v>287</v>
      </c>
      <c r="C100" s="1" t="s">
        <v>35</v>
      </c>
      <c r="D100" s="3">
        <v>1.48</v>
      </c>
      <c r="E100" s="2" t="s">
        <v>10</v>
      </c>
      <c r="F100" s="4" t="e">
        <f>H100+J100+L100</f>
        <v>#REF!</v>
      </c>
      <c r="G100" s="8" t="e">
        <f t="shared" si="13"/>
        <v>#REF!</v>
      </c>
      <c r="H100" s="4" t="e">
        <f>#REF!</f>
        <v>#REF!</v>
      </c>
      <c r="I100" s="8" t="e">
        <f>TRUNC(H100*D100,1)</f>
        <v>#REF!</v>
      </c>
      <c r="J100" s="4">
        <v>0</v>
      </c>
      <c r="K100" s="8"/>
      <c r="L100" s="4">
        <v>0</v>
      </c>
      <c r="M100" s="8"/>
      <c r="N100" s="12" t="s">
        <v>0</v>
      </c>
    </row>
    <row r="101" spans="1:14" ht="15" customHeight="1">
      <c r="A101" s="13"/>
      <c r="B101" s="14" t="s">
        <v>288</v>
      </c>
      <c r="C101" s="1" t="s">
        <v>29</v>
      </c>
      <c r="D101" s="1">
        <v>2</v>
      </c>
      <c r="E101" s="2" t="s">
        <v>28</v>
      </c>
      <c r="F101" s="4">
        <f>H101+J101+L101</f>
        <v>0</v>
      </c>
      <c r="G101" s="8">
        <f t="shared" si="13"/>
        <v>3051.3</v>
      </c>
      <c r="H101" s="2"/>
      <c r="I101" s="8">
        <f>TRUNC((K97*0.02),1)</f>
        <v>3051.3</v>
      </c>
      <c r="J101" s="2"/>
      <c r="K101" s="8">
        <v>0</v>
      </c>
      <c r="L101" s="2"/>
      <c r="M101" s="8">
        <v>0</v>
      </c>
      <c r="N101" s="12" t="s">
        <v>0</v>
      </c>
    </row>
    <row r="102" spans="1:14" ht="15" customHeight="1">
      <c r="A102" s="16"/>
      <c r="B102" s="15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12"/>
    </row>
    <row r="103" spans="1:14" ht="15" customHeight="1">
      <c r="A103" s="52">
        <f>A96+1</f>
        <v>107</v>
      </c>
      <c r="B103" s="46" t="s">
        <v>285</v>
      </c>
      <c r="C103" s="47" t="s">
        <v>188</v>
      </c>
      <c r="D103" s="47">
        <v>1</v>
      </c>
      <c r="E103" s="48" t="s">
        <v>3</v>
      </c>
      <c r="F103" s="51"/>
      <c r="G103" s="50" t="e">
        <f t="shared" ref="G103:G108" si="14">I103+K103+M103</f>
        <v>#REF!</v>
      </c>
      <c r="H103" s="51"/>
      <c r="I103" s="50" t="e">
        <f>TRUNC(I104+I105+I106+I107+I108,0)</f>
        <v>#REF!</v>
      </c>
      <c r="J103" s="51"/>
      <c r="K103" s="50">
        <f>TRUNC(K104+K105+K106+K107+K108,0)</f>
        <v>200600</v>
      </c>
      <c r="L103" s="51"/>
      <c r="M103" s="50">
        <f>TRUNC(M104+M105+M106+M107+M108,0)</f>
        <v>0</v>
      </c>
      <c r="N103" s="63" t="str">
        <f>N96</f>
        <v>토목6-3-4</v>
      </c>
    </row>
    <row r="104" spans="1:14" ht="15" customHeight="1">
      <c r="A104" s="13"/>
      <c r="B104" s="14" t="s">
        <v>265</v>
      </c>
      <c r="C104" s="1" t="s">
        <v>0</v>
      </c>
      <c r="D104" s="3">
        <v>0.71</v>
      </c>
      <c r="E104" s="2" t="s">
        <v>24</v>
      </c>
      <c r="F104" s="4">
        <f>H104+J104+L104</f>
        <v>282536</v>
      </c>
      <c r="G104" s="8">
        <f t="shared" si="14"/>
        <v>200600.5</v>
      </c>
      <c r="H104" s="4"/>
      <c r="I104" s="8"/>
      <c r="J104" s="4">
        <f>노임!$D$7</f>
        <v>282536</v>
      </c>
      <c r="K104" s="8">
        <f>TRUNC(J104*D104,1)</f>
        <v>200600.5</v>
      </c>
      <c r="L104" s="4">
        <v>0</v>
      </c>
      <c r="M104" s="8"/>
      <c r="N104" s="12" t="s">
        <v>0</v>
      </c>
    </row>
    <row r="105" spans="1:14" ht="15" customHeight="1">
      <c r="A105" s="13"/>
      <c r="B105" s="14" t="s">
        <v>279</v>
      </c>
      <c r="C105" s="1" t="s">
        <v>37</v>
      </c>
      <c r="D105" s="3">
        <v>1150</v>
      </c>
      <c r="E105" s="2" t="s">
        <v>30</v>
      </c>
      <c r="F105" s="4" t="e">
        <f>H105+J105+L105</f>
        <v>#REF!</v>
      </c>
      <c r="G105" s="8" t="e">
        <f t="shared" si="14"/>
        <v>#REF!</v>
      </c>
      <c r="H105" s="4" t="e">
        <f>#REF!</f>
        <v>#REF!</v>
      </c>
      <c r="I105" s="8" t="e">
        <f>TRUNC(H105*D105,1)</f>
        <v>#REF!</v>
      </c>
      <c r="J105" s="4">
        <v>0</v>
      </c>
      <c r="K105" s="8"/>
      <c r="L105" s="4">
        <v>0</v>
      </c>
      <c r="M105" s="8"/>
      <c r="N105" s="12" t="s">
        <v>0</v>
      </c>
    </row>
    <row r="106" spans="1:14" ht="15" customHeight="1">
      <c r="A106" s="13"/>
      <c r="B106" s="14" t="s">
        <v>286</v>
      </c>
      <c r="C106" s="1" t="s">
        <v>36</v>
      </c>
      <c r="D106" s="3">
        <v>0.56999999999999995</v>
      </c>
      <c r="E106" s="2" t="s">
        <v>31</v>
      </c>
      <c r="F106" s="4" t="e">
        <f>H106+J106+L106</f>
        <v>#REF!</v>
      </c>
      <c r="G106" s="8" t="e">
        <f t="shared" si="14"/>
        <v>#REF!</v>
      </c>
      <c r="H106" s="4" t="e">
        <f>#REF!</f>
        <v>#REF!</v>
      </c>
      <c r="I106" s="8" t="e">
        <f>TRUNC(H106*D106,1)</f>
        <v>#REF!</v>
      </c>
      <c r="J106" s="4">
        <v>0</v>
      </c>
      <c r="K106" s="8"/>
      <c r="L106" s="4">
        <v>0</v>
      </c>
      <c r="M106" s="8"/>
      <c r="N106" s="12" t="s">
        <v>0</v>
      </c>
    </row>
    <row r="107" spans="1:14" ht="15" customHeight="1">
      <c r="A107" s="13"/>
      <c r="B107" s="14" t="s">
        <v>287</v>
      </c>
      <c r="C107" s="1" t="s">
        <v>35</v>
      </c>
      <c r="D107" s="3">
        <v>2.25</v>
      </c>
      <c r="E107" s="2" t="s">
        <v>10</v>
      </c>
      <c r="F107" s="4" t="e">
        <f>H107+J107+L107</f>
        <v>#REF!</v>
      </c>
      <c r="G107" s="8" t="e">
        <f t="shared" si="14"/>
        <v>#REF!</v>
      </c>
      <c r="H107" s="4" t="e">
        <f>#REF!</f>
        <v>#REF!</v>
      </c>
      <c r="I107" s="8" t="e">
        <f>TRUNC(H107*D107,1)</f>
        <v>#REF!</v>
      </c>
      <c r="J107" s="4">
        <v>0</v>
      </c>
      <c r="K107" s="8"/>
      <c r="L107" s="4">
        <v>0</v>
      </c>
      <c r="M107" s="8"/>
      <c r="N107" s="12" t="s">
        <v>0</v>
      </c>
    </row>
    <row r="108" spans="1:14" ht="15" customHeight="1">
      <c r="A108" s="13"/>
      <c r="B108" s="14" t="s">
        <v>288</v>
      </c>
      <c r="C108" s="1" t="s">
        <v>29</v>
      </c>
      <c r="D108" s="1">
        <v>2</v>
      </c>
      <c r="E108" s="2" t="s">
        <v>28</v>
      </c>
      <c r="F108" s="4">
        <f>H108+J108+L108</f>
        <v>0</v>
      </c>
      <c r="G108" s="8">
        <f t="shared" si="14"/>
        <v>4012</v>
      </c>
      <c r="H108" s="2"/>
      <c r="I108" s="8">
        <f>TRUNC((K104*0.02),1)</f>
        <v>4012</v>
      </c>
      <c r="J108" s="2"/>
      <c r="K108" s="8">
        <v>0</v>
      </c>
      <c r="L108" s="2"/>
      <c r="M108" s="8">
        <v>0</v>
      </c>
      <c r="N108" s="12" t="s">
        <v>0</v>
      </c>
    </row>
    <row r="109" spans="1:14" ht="15" customHeight="1">
      <c r="A109" s="16"/>
      <c r="B109" s="15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12"/>
    </row>
    <row r="110" spans="1:14" ht="15" customHeight="1">
      <c r="A110" s="52">
        <f>A103+1</f>
        <v>108</v>
      </c>
      <c r="B110" s="46" t="s">
        <v>289</v>
      </c>
      <c r="C110" s="47" t="s">
        <v>188</v>
      </c>
      <c r="D110" s="47">
        <v>1</v>
      </c>
      <c r="E110" s="48" t="s">
        <v>3</v>
      </c>
      <c r="F110" s="51"/>
      <c r="G110" s="50" t="e">
        <f t="shared" ref="G110:G115" si="15">I110+K110+M110</f>
        <v>#REF!</v>
      </c>
      <c r="H110" s="51"/>
      <c r="I110" s="50" t="e">
        <f>TRUNC(I111+I112+I113+I114+I115,0)</f>
        <v>#REF!</v>
      </c>
      <c r="J110" s="51"/>
      <c r="K110" s="50">
        <f>TRUNC(K111+K112+K113+K114+K115,0)</f>
        <v>183648</v>
      </c>
      <c r="L110" s="51"/>
      <c r="M110" s="50">
        <f>TRUNC(M111+M112+M113+M114+M115,0)</f>
        <v>0</v>
      </c>
      <c r="N110" s="63" t="str">
        <f>N103</f>
        <v>토목6-3-4</v>
      </c>
    </row>
    <row r="111" spans="1:14" ht="15" customHeight="1">
      <c r="A111" s="13"/>
      <c r="B111" s="14" t="s">
        <v>265</v>
      </c>
      <c r="C111" s="1" t="s">
        <v>0</v>
      </c>
      <c r="D111" s="3">
        <v>0.65</v>
      </c>
      <c r="E111" s="2" t="s">
        <v>24</v>
      </c>
      <c r="F111" s="4">
        <f>H111+J111+L111</f>
        <v>282536</v>
      </c>
      <c r="G111" s="8">
        <f t="shared" si="15"/>
        <v>183648.4</v>
      </c>
      <c r="H111" s="4"/>
      <c r="I111" s="8"/>
      <c r="J111" s="4">
        <f>노임!$D$7</f>
        <v>282536</v>
      </c>
      <c r="K111" s="8">
        <f>TRUNC(J111*D111,1)</f>
        <v>183648.4</v>
      </c>
      <c r="L111" s="4">
        <v>0</v>
      </c>
      <c r="M111" s="8"/>
      <c r="N111" s="12" t="s">
        <v>0</v>
      </c>
    </row>
    <row r="112" spans="1:14" ht="15" customHeight="1">
      <c r="A112" s="13"/>
      <c r="B112" s="14" t="s">
        <v>279</v>
      </c>
      <c r="C112" s="1" t="s">
        <v>37</v>
      </c>
      <c r="D112" s="3">
        <v>1060</v>
      </c>
      <c r="E112" s="2" t="s">
        <v>30</v>
      </c>
      <c r="F112" s="4" t="e">
        <f>H112+J112+L112</f>
        <v>#REF!</v>
      </c>
      <c r="G112" s="8" t="e">
        <f t="shared" si="15"/>
        <v>#REF!</v>
      </c>
      <c r="H112" s="4" t="e">
        <f>#REF!</f>
        <v>#REF!</v>
      </c>
      <c r="I112" s="8" t="e">
        <f>TRUNC(H112*D112,1)</f>
        <v>#REF!</v>
      </c>
      <c r="J112" s="4">
        <v>0</v>
      </c>
      <c r="K112" s="8"/>
      <c r="L112" s="4">
        <v>0</v>
      </c>
      <c r="M112" s="8"/>
      <c r="N112" s="12" t="s">
        <v>0</v>
      </c>
    </row>
    <row r="113" spans="1:14" ht="15" customHeight="1">
      <c r="A113" s="13"/>
      <c r="B113" s="14" t="s">
        <v>286</v>
      </c>
      <c r="C113" s="1" t="s">
        <v>36</v>
      </c>
      <c r="D113" s="3">
        <v>0.53</v>
      </c>
      <c r="E113" s="2" t="s">
        <v>31</v>
      </c>
      <c r="F113" s="4" t="e">
        <f>H113+J113+L113</f>
        <v>#REF!</v>
      </c>
      <c r="G113" s="8" t="e">
        <f t="shared" si="15"/>
        <v>#REF!</v>
      </c>
      <c r="H113" s="4" t="e">
        <f>#REF!</f>
        <v>#REF!</v>
      </c>
      <c r="I113" s="8" t="e">
        <f>TRUNC(H113*D113,1)</f>
        <v>#REF!</v>
      </c>
      <c r="J113" s="4">
        <v>0</v>
      </c>
      <c r="K113" s="8"/>
      <c r="L113" s="4">
        <v>0</v>
      </c>
      <c r="M113" s="8"/>
      <c r="N113" s="12" t="s">
        <v>0</v>
      </c>
    </row>
    <row r="114" spans="1:14" ht="15" customHeight="1">
      <c r="A114" s="13"/>
      <c r="B114" s="14" t="s">
        <v>287</v>
      </c>
      <c r="C114" s="1" t="s">
        <v>35</v>
      </c>
      <c r="D114" s="3">
        <v>1.97</v>
      </c>
      <c r="E114" s="2" t="s">
        <v>10</v>
      </c>
      <c r="F114" s="4" t="e">
        <f>H114+J114+L114</f>
        <v>#REF!</v>
      </c>
      <c r="G114" s="8" t="e">
        <f t="shared" si="15"/>
        <v>#REF!</v>
      </c>
      <c r="H114" s="4" t="e">
        <f>#REF!</f>
        <v>#REF!</v>
      </c>
      <c r="I114" s="8" t="e">
        <f>TRUNC(H114*D114,1)</f>
        <v>#REF!</v>
      </c>
      <c r="J114" s="4">
        <v>0</v>
      </c>
      <c r="K114" s="8"/>
      <c r="L114" s="4">
        <v>0</v>
      </c>
      <c r="M114" s="8"/>
      <c r="N114" s="12" t="s">
        <v>0</v>
      </c>
    </row>
    <row r="115" spans="1:14" ht="15" customHeight="1">
      <c r="A115" s="13"/>
      <c r="B115" s="14" t="s">
        <v>288</v>
      </c>
      <c r="C115" s="1" t="s">
        <v>29</v>
      </c>
      <c r="D115" s="1">
        <v>2</v>
      </c>
      <c r="E115" s="2" t="s">
        <v>28</v>
      </c>
      <c r="F115" s="4">
        <f>H115+J115+L115</f>
        <v>0</v>
      </c>
      <c r="G115" s="8">
        <f t="shared" si="15"/>
        <v>3672.9</v>
      </c>
      <c r="H115" s="2"/>
      <c r="I115" s="8">
        <f>TRUNC((K111*0.02),1)</f>
        <v>3672.9</v>
      </c>
      <c r="J115" s="2"/>
      <c r="K115" s="8">
        <v>0</v>
      </c>
      <c r="L115" s="2"/>
      <c r="M115" s="8">
        <v>0</v>
      </c>
      <c r="N115" s="12" t="s">
        <v>0</v>
      </c>
    </row>
    <row r="116" spans="1:14" ht="15" customHeight="1">
      <c r="A116" s="16"/>
      <c r="B116" s="15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12"/>
    </row>
    <row r="117" spans="1:14" ht="15" customHeight="1">
      <c r="A117" s="52">
        <f>A110+1</f>
        <v>109</v>
      </c>
      <c r="B117" s="46" t="s">
        <v>285</v>
      </c>
      <c r="C117" s="47" t="s">
        <v>171</v>
      </c>
      <c r="D117" s="47">
        <v>1</v>
      </c>
      <c r="E117" s="48" t="s">
        <v>3</v>
      </c>
      <c r="F117" s="51"/>
      <c r="G117" s="50" t="e">
        <f t="shared" ref="G117:G122" si="16">I117+K117+M117</f>
        <v>#REF!</v>
      </c>
      <c r="H117" s="51"/>
      <c r="I117" s="50" t="e">
        <f>TRUNC(I118+I119+I120+I121+I122,0)</f>
        <v>#REF!</v>
      </c>
      <c r="J117" s="51"/>
      <c r="K117" s="50">
        <f>TRUNC(K118+K119+K120+K121+K122,0)</f>
        <v>223203</v>
      </c>
      <c r="L117" s="51"/>
      <c r="M117" s="50">
        <f>TRUNC(M118+M119+M120+M121+M122,0)</f>
        <v>0</v>
      </c>
      <c r="N117" s="63" t="str">
        <f>N110</f>
        <v>토목6-3-4</v>
      </c>
    </row>
    <row r="118" spans="1:14" ht="15" customHeight="1">
      <c r="A118" s="13"/>
      <c r="B118" s="14" t="s">
        <v>265</v>
      </c>
      <c r="C118" s="1" t="s">
        <v>0</v>
      </c>
      <c r="D118" s="3">
        <v>0.79</v>
      </c>
      <c r="E118" s="2" t="s">
        <v>24</v>
      </c>
      <c r="F118" s="4">
        <f>H118+J118+L118</f>
        <v>282536</v>
      </c>
      <c r="G118" s="8">
        <f t="shared" si="16"/>
        <v>223203.4</v>
      </c>
      <c r="H118" s="4"/>
      <c r="I118" s="8"/>
      <c r="J118" s="4">
        <f>노임!$D$7</f>
        <v>282536</v>
      </c>
      <c r="K118" s="8">
        <f>TRUNC(J118*D118,1)</f>
        <v>223203.4</v>
      </c>
      <c r="L118" s="4">
        <v>0</v>
      </c>
      <c r="M118" s="8"/>
      <c r="N118" s="12" t="s">
        <v>0</v>
      </c>
    </row>
    <row r="119" spans="1:14" ht="15" customHeight="1">
      <c r="A119" s="13"/>
      <c r="B119" s="14" t="s">
        <v>279</v>
      </c>
      <c r="C119" s="1" t="s">
        <v>37</v>
      </c>
      <c r="D119" s="3">
        <v>1210</v>
      </c>
      <c r="E119" s="2" t="s">
        <v>30</v>
      </c>
      <c r="F119" s="4" t="e">
        <f>H119+J119+L119</f>
        <v>#REF!</v>
      </c>
      <c r="G119" s="8" t="e">
        <f t="shared" si="16"/>
        <v>#REF!</v>
      </c>
      <c r="H119" s="4" t="e">
        <f>#REF!</f>
        <v>#REF!</v>
      </c>
      <c r="I119" s="8" t="e">
        <f>TRUNC(H119*D119,1)</f>
        <v>#REF!</v>
      </c>
      <c r="J119" s="4">
        <v>0</v>
      </c>
      <c r="K119" s="8"/>
      <c r="L119" s="4">
        <v>0</v>
      </c>
      <c r="M119" s="8"/>
      <c r="N119" s="12" t="s">
        <v>0</v>
      </c>
    </row>
    <row r="120" spans="1:14" ht="15" customHeight="1">
      <c r="A120" s="13"/>
      <c r="B120" s="14" t="s">
        <v>286</v>
      </c>
      <c r="C120" s="1" t="s">
        <v>36</v>
      </c>
      <c r="D120" s="3">
        <v>0.61</v>
      </c>
      <c r="E120" s="2" t="s">
        <v>31</v>
      </c>
      <c r="F120" s="4" t="e">
        <f>H120+J120+L120</f>
        <v>#REF!</v>
      </c>
      <c r="G120" s="8" t="e">
        <f t="shared" si="16"/>
        <v>#REF!</v>
      </c>
      <c r="H120" s="4" t="e">
        <f>#REF!</f>
        <v>#REF!</v>
      </c>
      <c r="I120" s="8" t="e">
        <f>TRUNC(H120*D120,1)</f>
        <v>#REF!</v>
      </c>
      <c r="J120" s="4">
        <v>0</v>
      </c>
      <c r="K120" s="8"/>
      <c r="L120" s="4">
        <v>0</v>
      </c>
      <c r="M120" s="8"/>
      <c r="N120" s="12" t="s">
        <v>0</v>
      </c>
    </row>
    <row r="121" spans="1:14" ht="15" customHeight="1">
      <c r="A121" s="13"/>
      <c r="B121" s="14" t="s">
        <v>287</v>
      </c>
      <c r="C121" s="1" t="s">
        <v>35</v>
      </c>
      <c r="D121" s="3">
        <v>2.5299999999999998</v>
      </c>
      <c r="E121" s="2" t="s">
        <v>10</v>
      </c>
      <c r="F121" s="4" t="e">
        <f>H121+J121+L121</f>
        <v>#REF!</v>
      </c>
      <c r="G121" s="8" t="e">
        <f t="shared" si="16"/>
        <v>#REF!</v>
      </c>
      <c r="H121" s="4" t="e">
        <f>#REF!</f>
        <v>#REF!</v>
      </c>
      <c r="I121" s="8" t="e">
        <f>TRUNC(H121*D121,1)</f>
        <v>#REF!</v>
      </c>
      <c r="J121" s="4">
        <v>0</v>
      </c>
      <c r="K121" s="8"/>
      <c r="L121" s="4">
        <v>0</v>
      </c>
      <c r="M121" s="8"/>
      <c r="N121" s="12" t="s">
        <v>0</v>
      </c>
    </row>
    <row r="122" spans="1:14" ht="15" customHeight="1">
      <c r="A122" s="13"/>
      <c r="B122" s="14" t="s">
        <v>288</v>
      </c>
      <c r="C122" s="1" t="s">
        <v>29</v>
      </c>
      <c r="D122" s="1">
        <v>2</v>
      </c>
      <c r="E122" s="2" t="s">
        <v>28</v>
      </c>
      <c r="F122" s="4">
        <f>H122+J122+L122</f>
        <v>0</v>
      </c>
      <c r="G122" s="8">
        <f t="shared" si="16"/>
        <v>4464</v>
      </c>
      <c r="H122" s="2"/>
      <c r="I122" s="8">
        <f>TRUNC((K118*0.02),1)</f>
        <v>4464</v>
      </c>
      <c r="J122" s="2"/>
      <c r="K122" s="8">
        <v>0</v>
      </c>
      <c r="L122" s="2"/>
      <c r="M122" s="8">
        <v>0</v>
      </c>
      <c r="N122" s="12" t="s">
        <v>0</v>
      </c>
    </row>
    <row r="123" spans="1:14" ht="15" customHeight="1">
      <c r="A123" s="16"/>
      <c r="B123" s="15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12"/>
    </row>
    <row r="124" spans="1:14" ht="15" customHeight="1">
      <c r="A124" s="52">
        <f>A117+1</f>
        <v>110</v>
      </c>
      <c r="B124" s="46" t="s">
        <v>289</v>
      </c>
      <c r="C124" s="47" t="s">
        <v>171</v>
      </c>
      <c r="D124" s="47">
        <v>1</v>
      </c>
      <c r="E124" s="48" t="s">
        <v>3</v>
      </c>
      <c r="F124" s="51"/>
      <c r="G124" s="50" t="e">
        <f t="shared" ref="G124:G129" si="17">I124+K124+M124</f>
        <v>#REF!</v>
      </c>
      <c r="H124" s="51"/>
      <c r="I124" s="50" t="e">
        <f>TRUNC(I125+I126+I127+I128+I129,0)</f>
        <v>#REF!</v>
      </c>
      <c r="J124" s="51"/>
      <c r="K124" s="50">
        <f>TRUNC(K125+K126+K127+K128+K129,0)</f>
        <v>197775</v>
      </c>
      <c r="L124" s="51"/>
      <c r="M124" s="50">
        <f>TRUNC(M125+M126+M127+M128+M129,0)</f>
        <v>0</v>
      </c>
      <c r="N124" s="63" t="str">
        <f>N117</f>
        <v>토목6-3-4</v>
      </c>
    </row>
    <row r="125" spans="1:14" ht="15" customHeight="1">
      <c r="A125" s="13"/>
      <c r="B125" s="14" t="s">
        <v>265</v>
      </c>
      <c r="C125" s="1" t="s">
        <v>0</v>
      </c>
      <c r="D125" s="1">
        <v>0.7</v>
      </c>
      <c r="E125" s="2" t="s">
        <v>24</v>
      </c>
      <c r="F125" s="4">
        <f>H125+J125+L125</f>
        <v>282536</v>
      </c>
      <c r="G125" s="8">
        <f t="shared" si="17"/>
        <v>197775.2</v>
      </c>
      <c r="H125" s="4"/>
      <c r="I125" s="8"/>
      <c r="J125" s="4">
        <f>노임!$D$7</f>
        <v>282536</v>
      </c>
      <c r="K125" s="8">
        <f>TRUNC(J125*D125,1)</f>
        <v>197775.2</v>
      </c>
      <c r="L125" s="4">
        <v>0</v>
      </c>
      <c r="M125" s="8"/>
      <c r="N125" s="12" t="s">
        <v>0</v>
      </c>
    </row>
    <row r="126" spans="1:14" ht="15" customHeight="1">
      <c r="A126" s="13"/>
      <c r="B126" s="14" t="s">
        <v>279</v>
      </c>
      <c r="C126" s="1" t="s">
        <v>37</v>
      </c>
      <c r="D126" s="1">
        <v>1100</v>
      </c>
      <c r="E126" s="2" t="s">
        <v>30</v>
      </c>
      <c r="F126" s="4" t="e">
        <f>H126+J126+L126</f>
        <v>#REF!</v>
      </c>
      <c r="G126" s="8" t="e">
        <f t="shared" si="17"/>
        <v>#REF!</v>
      </c>
      <c r="H126" s="4" t="e">
        <f>#REF!</f>
        <v>#REF!</v>
      </c>
      <c r="I126" s="8" t="e">
        <f>TRUNC(H126*D126,1)</f>
        <v>#REF!</v>
      </c>
      <c r="J126" s="4">
        <v>0</v>
      </c>
      <c r="K126" s="8"/>
      <c r="L126" s="4">
        <v>0</v>
      </c>
      <c r="M126" s="8"/>
      <c r="N126" s="12" t="s">
        <v>0</v>
      </c>
    </row>
    <row r="127" spans="1:14" ht="15" customHeight="1">
      <c r="A127" s="13"/>
      <c r="B127" s="14" t="s">
        <v>286</v>
      </c>
      <c r="C127" s="1" t="s">
        <v>36</v>
      </c>
      <c r="D127" s="1">
        <v>0.56000000000000005</v>
      </c>
      <c r="E127" s="2" t="s">
        <v>31</v>
      </c>
      <c r="F127" s="4" t="e">
        <f>H127+J127+L127</f>
        <v>#REF!</v>
      </c>
      <c r="G127" s="8" t="e">
        <f t="shared" si="17"/>
        <v>#REF!</v>
      </c>
      <c r="H127" s="4" t="e">
        <f>#REF!</f>
        <v>#REF!</v>
      </c>
      <c r="I127" s="8" t="e">
        <f>TRUNC(H127*D127,1)</f>
        <v>#REF!</v>
      </c>
      <c r="J127" s="4">
        <v>0</v>
      </c>
      <c r="K127" s="8"/>
      <c r="L127" s="4">
        <v>0</v>
      </c>
      <c r="M127" s="8"/>
      <c r="N127" s="12" t="s">
        <v>0</v>
      </c>
    </row>
    <row r="128" spans="1:14" ht="15" customHeight="1">
      <c r="A128" s="13"/>
      <c r="B128" s="14" t="s">
        <v>287</v>
      </c>
      <c r="C128" s="1" t="s">
        <v>35</v>
      </c>
      <c r="D128" s="1">
        <v>2.2200000000000002</v>
      </c>
      <c r="E128" s="2" t="s">
        <v>10</v>
      </c>
      <c r="F128" s="4" t="e">
        <f>H128+J128+L128</f>
        <v>#REF!</v>
      </c>
      <c r="G128" s="8" t="e">
        <f t="shared" si="17"/>
        <v>#REF!</v>
      </c>
      <c r="H128" s="4" t="e">
        <f>#REF!</f>
        <v>#REF!</v>
      </c>
      <c r="I128" s="8" t="e">
        <f>TRUNC(H128*D128,1)</f>
        <v>#REF!</v>
      </c>
      <c r="J128" s="4">
        <v>0</v>
      </c>
      <c r="K128" s="8"/>
      <c r="L128" s="4">
        <v>0</v>
      </c>
      <c r="M128" s="8"/>
      <c r="N128" s="12" t="s">
        <v>0</v>
      </c>
    </row>
    <row r="129" spans="1:14" ht="15" customHeight="1">
      <c r="A129" s="13"/>
      <c r="B129" s="14" t="s">
        <v>288</v>
      </c>
      <c r="C129" s="1" t="s">
        <v>29</v>
      </c>
      <c r="D129" s="1">
        <v>2</v>
      </c>
      <c r="E129" s="2" t="s">
        <v>28</v>
      </c>
      <c r="F129" s="4">
        <f>H129+J129+L129</f>
        <v>0</v>
      </c>
      <c r="G129" s="8">
        <f t="shared" si="17"/>
        <v>3955.5</v>
      </c>
      <c r="H129" s="2"/>
      <c r="I129" s="8">
        <f>TRUNC((K125*0.02),1)</f>
        <v>3955.5</v>
      </c>
      <c r="J129" s="2"/>
      <c r="K129" s="8">
        <v>0</v>
      </c>
      <c r="L129" s="2"/>
      <c r="M129" s="8">
        <v>0</v>
      </c>
      <c r="N129" s="12" t="s">
        <v>0</v>
      </c>
    </row>
    <row r="130" spans="1:14" ht="15" customHeight="1">
      <c r="A130" s="16"/>
      <c r="B130" s="15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12"/>
    </row>
    <row r="131" spans="1:14" ht="15" customHeight="1">
      <c r="A131" s="52">
        <f>A124+1</f>
        <v>111</v>
      </c>
      <c r="B131" s="46" t="s">
        <v>285</v>
      </c>
      <c r="C131" s="47" t="s">
        <v>189</v>
      </c>
      <c r="D131" s="47">
        <v>1</v>
      </c>
      <c r="E131" s="48" t="s">
        <v>3</v>
      </c>
      <c r="F131" s="51"/>
      <c r="G131" s="50" t="e">
        <f t="shared" ref="G131:G136" si="18">I131+K131+M131</f>
        <v>#REF!</v>
      </c>
      <c r="H131" s="51"/>
      <c r="I131" s="50" t="e">
        <f>TRUNC(I132+I133+I134+I135+I136,0)</f>
        <v>#REF!</v>
      </c>
      <c r="J131" s="51"/>
      <c r="K131" s="50">
        <f>TRUNC(K132+K133+K134+K135+K136,0)</f>
        <v>271234</v>
      </c>
      <c r="L131" s="51"/>
      <c r="M131" s="50">
        <f>TRUNC(M132+M133+M134+M135+M136,0)</f>
        <v>0</v>
      </c>
      <c r="N131" s="63" t="str">
        <f>N124</f>
        <v>토목6-3-4</v>
      </c>
    </row>
    <row r="132" spans="1:14" ht="15" customHeight="1">
      <c r="A132" s="13"/>
      <c r="B132" s="14" t="s">
        <v>265</v>
      </c>
      <c r="C132" s="1" t="s">
        <v>0</v>
      </c>
      <c r="D132" s="3">
        <v>0.96</v>
      </c>
      <c r="E132" s="2" t="s">
        <v>24</v>
      </c>
      <c r="F132" s="4">
        <f>H132+J132+L132</f>
        <v>282536</v>
      </c>
      <c r="G132" s="8">
        <f t="shared" si="18"/>
        <v>271234.5</v>
      </c>
      <c r="H132" s="4"/>
      <c r="I132" s="8"/>
      <c r="J132" s="4">
        <f>노임!$D$7</f>
        <v>282536</v>
      </c>
      <c r="K132" s="8">
        <f>TRUNC(J132*D132,1)</f>
        <v>271234.5</v>
      </c>
      <c r="L132" s="4">
        <v>0</v>
      </c>
      <c r="M132" s="8"/>
      <c r="N132" s="12" t="s">
        <v>0</v>
      </c>
    </row>
    <row r="133" spans="1:14" ht="15" customHeight="1">
      <c r="A133" s="13"/>
      <c r="B133" s="14" t="s">
        <v>279</v>
      </c>
      <c r="C133" s="1" t="s">
        <v>37</v>
      </c>
      <c r="D133" s="3">
        <v>1580</v>
      </c>
      <c r="E133" s="2" t="s">
        <v>30</v>
      </c>
      <c r="F133" s="4" t="e">
        <f>H133+J133+L133</f>
        <v>#REF!</v>
      </c>
      <c r="G133" s="8" t="e">
        <f t="shared" si="18"/>
        <v>#REF!</v>
      </c>
      <c r="H133" s="4" t="e">
        <f>#REF!</f>
        <v>#REF!</v>
      </c>
      <c r="I133" s="8" t="e">
        <f>TRUNC(H133*D133,1)</f>
        <v>#REF!</v>
      </c>
      <c r="J133" s="4">
        <v>0</v>
      </c>
      <c r="K133" s="8"/>
      <c r="L133" s="4">
        <v>0</v>
      </c>
      <c r="M133" s="8"/>
      <c r="N133" s="12" t="s">
        <v>0</v>
      </c>
    </row>
    <row r="134" spans="1:14" ht="15" customHeight="1">
      <c r="A134" s="13"/>
      <c r="B134" s="14" t="s">
        <v>286</v>
      </c>
      <c r="C134" s="1" t="s">
        <v>36</v>
      </c>
      <c r="D134" s="3">
        <v>0.8</v>
      </c>
      <c r="E134" s="2" t="s">
        <v>31</v>
      </c>
      <c r="F134" s="4" t="e">
        <f>H134+J134+L134</f>
        <v>#REF!</v>
      </c>
      <c r="G134" s="8" t="e">
        <f t="shared" si="18"/>
        <v>#REF!</v>
      </c>
      <c r="H134" s="4" t="e">
        <f>#REF!</f>
        <v>#REF!</v>
      </c>
      <c r="I134" s="8" t="e">
        <f>TRUNC(H134*D134,1)</f>
        <v>#REF!</v>
      </c>
      <c r="J134" s="4">
        <v>0</v>
      </c>
      <c r="K134" s="8"/>
      <c r="L134" s="4">
        <v>0</v>
      </c>
      <c r="M134" s="8"/>
      <c r="N134" s="12" t="s">
        <v>0</v>
      </c>
    </row>
    <row r="135" spans="1:14" ht="15" customHeight="1">
      <c r="A135" s="13"/>
      <c r="B135" s="14" t="s">
        <v>287</v>
      </c>
      <c r="C135" s="1" t="s">
        <v>35</v>
      </c>
      <c r="D135" s="3">
        <v>3.18</v>
      </c>
      <c r="E135" s="2" t="s">
        <v>10</v>
      </c>
      <c r="F135" s="4" t="e">
        <f>H135+J135+L135</f>
        <v>#REF!</v>
      </c>
      <c r="G135" s="8" t="e">
        <f t="shared" si="18"/>
        <v>#REF!</v>
      </c>
      <c r="H135" s="4" t="e">
        <f>#REF!</f>
        <v>#REF!</v>
      </c>
      <c r="I135" s="8" t="e">
        <f>TRUNC(H135*D135,1)</f>
        <v>#REF!</v>
      </c>
      <c r="J135" s="4">
        <v>0</v>
      </c>
      <c r="K135" s="8"/>
      <c r="L135" s="4">
        <v>0</v>
      </c>
      <c r="M135" s="8"/>
      <c r="N135" s="12" t="s">
        <v>0</v>
      </c>
    </row>
    <row r="136" spans="1:14" ht="15" customHeight="1">
      <c r="A136" s="13"/>
      <c r="B136" s="14" t="s">
        <v>288</v>
      </c>
      <c r="C136" s="1" t="s">
        <v>29</v>
      </c>
      <c r="D136" s="1">
        <v>2</v>
      </c>
      <c r="E136" s="2" t="s">
        <v>28</v>
      </c>
      <c r="F136" s="4">
        <f>H136+J136+L136</f>
        <v>0</v>
      </c>
      <c r="G136" s="8">
        <f t="shared" si="18"/>
        <v>5424.6</v>
      </c>
      <c r="H136" s="2"/>
      <c r="I136" s="8">
        <f>TRUNC((K132*0.02),1)</f>
        <v>5424.6</v>
      </c>
      <c r="J136" s="2"/>
      <c r="K136" s="8">
        <v>0</v>
      </c>
      <c r="L136" s="2"/>
      <c r="M136" s="8">
        <v>0</v>
      </c>
      <c r="N136" s="12" t="s">
        <v>0</v>
      </c>
    </row>
    <row r="137" spans="1:14" ht="15" customHeight="1">
      <c r="A137" s="16"/>
      <c r="B137" s="15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12"/>
    </row>
    <row r="138" spans="1:14" ht="15" customHeight="1">
      <c r="A138" s="52">
        <f>A131+1</f>
        <v>112</v>
      </c>
      <c r="B138" s="46" t="s">
        <v>289</v>
      </c>
      <c r="C138" s="47" t="s">
        <v>189</v>
      </c>
      <c r="D138" s="47">
        <v>1</v>
      </c>
      <c r="E138" s="48" t="s">
        <v>3</v>
      </c>
      <c r="F138" s="51"/>
      <c r="G138" s="50" t="e">
        <f t="shared" ref="G138:G143" si="19">I138+K138+M138</f>
        <v>#REF!</v>
      </c>
      <c r="H138" s="51"/>
      <c r="I138" s="50" t="e">
        <f>TRUNC(I139+I140+I141+I142+I143,0)</f>
        <v>#REF!</v>
      </c>
      <c r="J138" s="51"/>
      <c r="K138" s="50">
        <f>TRUNC(K139+K140+K141+K142+K143,0)</f>
        <v>240155</v>
      </c>
      <c r="L138" s="51"/>
      <c r="M138" s="50">
        <f>TRUNC(M139+M140+M141+M142+M143,0)</f>
        <v>0</v>
      </c>
      <c r="N138" s="63" t="str">
        <f>N131</f>
        <v>토목6-3-4</v>
      </c>
    </row>
    <row r="139" spans="1:14" ht="15" customHeight="1">
      <c r="A139" s="13"/>
      <c r="B139" s="14" t="s">
        <v>265</v>
      </c>
      <c r="C139" s="1" t="s">
        <v>0</v>
      </c>
      <c r="D139" s="3">
        <v>0.85</v>
      </c>
      <c r="E139" s="2" t="s">
        <v>24</v>
      </c>
      <c r="F139" s="4">
        <f>H139+J139+L139</f>
        <v>282536</v>
      </c>
      <c r="G139" s="8">
        <f t="shared" si="19"/>
        <v>240155.6</v>
      </c>
      <c r="H139" s="4"/>
      <c r="I139" s="8"/>
      <c r="J139" s="4">
        <f>노임!$D$7</f>
        <v>282536</v>
      </c>
      <c r="K139" s="8">
        <f>TRUNC(J139*D139,1)</f>
        <v>240155.6</v>
      </c>
      <c r="L139" s="4">
        <v>0</v>
      </c>
      <c r="M139" s="8"/>
      <c r="N139" s="12" t="s">
        <v>0</v>
      </c>
    </row>
    <row r="140" spans="1:14" ht="15" customHeight="1">
      <c r="A140" s="13"/>
      <c r="B140" s="14" t="s">
        <v>279</v>
      </c>
      <c r="C140" s="1" t="s">
        <v>37</v>
      </c>
      <c r="D140" s="3">
        <v>1300</v>
      </c>
      <c r="E140" s="2" t="s">
        <v>30</v>
      </c>
      <c r="F140" s="4" t="e">
        <f>H140+J140+L140</f>
        <v>#REF!</v>
      </c>
      <c r="G140" s="8" t="e">
        <f t="shared" si="19"/>
        <v>#REF!</v>
      </c>
      <c r="H140" s="4" t="e">
        <f>#REF!</f>
        <v>#REF!</v>
      </c>
      <c r="I140" s="8" t="e">
        <f>TRUNC(H140*D140,1)</f>
        <v>#REF!</v>
      </c>
      <c r="J140" s="4">
        <v>0</v>
      </c>
      <c r="K140" s="8"/>
      <c r="L140" s="4">
        <v>0</v>
      </c>
      <c r="M140" s="8"/>
      <c r="N140" s="12" t="s">
        <v>0</v>
      </c>
    </row>
    <row r="141" spans="1:14" ht="15" customHeight="1">
      <c r="A141" s="13"/>
      <c r="B141" s="14" t="s">
        <v>286</v>
      </c>
      <c r="C141" s="1" t="s">
        <v>36</v>
      </c>
      <c r="D141" s="3">
        <v>0.65</v>
      </c>
      <c r="E141" s="2" t="s">
        <v>31</v>
      </c>
      <c r="F141" s="4" t="e">
        <f>H141+J141+L141</f>
        <v>#REF!</v>
      </c>
      <c r="G141" s="8" t="e">
        <f t="shared" si="19"/>
        <v>#REF!</v>
      </c>
      <c r="H141" s="4" t="e">
        <f>#REF!</f>
        <v>#REF!</v>
      </c>
      <c r="I141" s="8" t="e">
        <f>TRUNC(H141*D141,1)</f>
        <v>#REF!</v>
      </c>
      <c r="J141" s="4">
        <v>0</v>
      </c>
      <c r="K141" s="8"/>
      <c r="L141" s="4">
        <v>0</v>
      </c>
      <c r="M141" s="8"/>
      <c r="N141" s="12" t="s">
        <v>0</v>
      </c>
    </row>
    <row r="142" spans="1:14" ht="15" customHeight="1">
      <c r="A142" s="13"/>
      <c r="B142" s="14" t="s">
        <v>287</v>
      </c>
      <c r="C142" s="1" t="s">
        <v>35</v>
      </c>
      <c r="D142" s="3">
        <v>2.73</v>
      </c>
      <c r="E142" s="2" t="s">
        <v>10</v>
      </c>
      <c r="F142" s="4" t="e">
        <f>H142+J142+L142</f>
        <v>#REF!</v>
      </c>
      <c r="G142" s="8" t="e">
        <f t="shared" si="19"/>
        <v>#REF!</v>
      </c>
      <c r="H142" s="4" t="e">
        <f>#REF!</f>
        <v>#REF!</v>
      </c>
      <c r="I142" s="8" t="e">
        <f>TRUNC(H142*D142,1)</f>
        <v>#REF!</v>
      </c>
      <c r="J142" s="4">
        <v>0</v>
      </c>
      <c r="K142" s="8"/>
      <c r="L142" s="4">
        <v>0</v>
      </c>
      <c r="M142" s="8"/>
      <c r="N142" s="12" t="s">
        <v>0</v>
      </c>
    </row>
    <row r="143" spans="1:14" ht="15" customHeight="1">
      <c r="A143" s="13"/>
      <c r="B143" s="14" t="s">
        <v>288</v>
      </c>
      <c r="C143" s="1" t="s">
        <v>29</v>
      </c>
      <c r="D143" s="1">
        <v>2</v>
      </c>
      <c r="E143" s="2" t="s">
        <v>28</v>
      </c>
      <c r="F143" s="4">
        <f>H143+J143+L143</f>
        <v>0</v>
      </c>
      <c r="G143" s="8">
        <f t="shared" si="19"/>
        <v>4803.1000000000004</v>
      </c>
      <c r="H143" s="2"/>
      <c r="I143" s="8">
        <f>TRUNC((K139*0.02),1)</f>
        <v>4803.1000000000004</v>
      </c>
      <c r="J143" s="2"/>
      <c r="K143" s="8">
        <v>0</v>
      </c>
      <c r="L143" s="2"/>
      <c r="M143" s="8">
        <v>0</v>
      </c>
      <c r="N143" s="12" t="s">
        <v>0</v>
      </c>
    </row>
    <row r="144" spans="1:14" ht="15" customHeight="1">
      <c r="A144" s="16"/>
      <c r="B144" s="15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12"/>
    </row>
    <row r="145" spans="1:14" ht="15" customHeight="1">
      <c r="A145" s="52">
        <f>A138+1</f>
        <v>113</v>
      </c>
      <c r="B145" s="46" t="s">
        <v>285</v>
      </c>
      <c r="C145" s="47" t="s">
        <v>190</v>
      </c>
      <c r="D145" s="47">
        <v>1</v>
      </c>
      <c r="E145" s="48" t="s">
        <v>3</v>
      </c>
      <c r="F145" s="51"/>
      <c r="G145" s="50" t="e">
        <f t="shared" ref="G145:G150" si="20">I145+K145+M145</f>
        <v>#REF!</v>
      </c>
      <c r="H145" s="51"/>
      <c r="I145" s="50" t="e">
        <f>TRUNC(I146+I147+I148+I149+I150,0)</f>
        <v>#REF!</v>
      </c>
      <c r="J145" s="51"/>
      <c r="K145" s="50">
        <f>TRUNC(K146+K147+K148+K149+K150,0)</f>
        <v>293837</v>
      </c>
      <c r="L145" s="51"/>
      <c r="M145" s="50">
        <f>TRUNC(M146+M147+M148+M149+M150,0)</f>
        <v>0</v>
      </c>
      <c r="N145" s="63" t="str">
        <f>N138</f>
        <v>토목6-3-4</v>
      </c>
    </row>
    <row r="146" spans="1:14" ht="15" customHeight="1">
      <c r="A146" s="13"/>
      <c r="B146" s="14" t="s">
        <v>265</v>
      </c>
      <c r="C146" s="1" t="s">
        <v>0</v>
      </c>
      <c r="D146" s="3">
        <v>1.04</v>
      </c>
      <c r="E146" s="2" t="s">
        <v>24</v>
      </c>
      <c r="F146" s="4">
        <f>H146+J146+L146</f>
        <v>282536</v>
      </c>
      <c r="G146" s="8">
        <f t="shared" si="20"/>
        <v>293837.40000000002</v>
      </c>
      <c r="H146" s="4"/>
      <c r="I146" s="8"/>
      <c r="J146" s="4">
        <f>노임!$D$7</f>
        <v>282536</v>
      </c>
      <c r="K146" s="8">
        <f>TRUNC(J146*D146,1)</f>
        <v>293837.40000000002</v>
      </c>
      <c r="L146" s="4">
        <v>0</v>
      </c>
      <c r="M146" s="8"/>
      <c r="N146" s="12" t="s">
        <v>0</v>
      </c>
    </row>
    <row r="147" spans="1:14" ht="15" customHeight="1">
      <c r="A147" s="13"/>
      <c r="B147" s="14" t="s">
        <v>279</v>
      </c>
      <c r="C147" s="1" t="s">
        <v>37</v>
      </c>
      <c r="D147" s="3">
        <v>1650</v>
      </c>
      <c r="E147" s="2" t="s">
        <v>30</v>
      </c>
      <c r="F147" s="4" t="e">
        <f>H147+J147+L147</f>
        <v>#REF!</v>
      </c>
      <c r="G147" s="8" t="e">
        <f t="shared" si="20"/>
        <v>#REF!</v>
      </c>
      <c r="H147" s="4" t="e">
        <f>#REF!</f>
        <v>#REF!</v>
      </c>
      <c r="I147" s="8" t="e">
        <f>TRUNC(H147*D147,1)</f>
        <v>#REF!</v>
      </c>
      <c r="J147" s="4">
        <v>0</v>
      </c>
      <c r="K147" s="8"/>
      <c r="L147" s="4">
        <v>0</v>
      </c>
      <c r="M147" s="8"/>
      <c r="N147" s="12" t="s">
        <v>0</v>
      </c>
    </row>
    <row r="148" spans="1:14" ht="15" customHeight="1">
      <c r="A148" s="13"/>
      <c r="B148" s="14" t="s">
        <v>286</v>
      </c>
      <c r="C148" s="1" t="s">
        <v>36</v>
      </c>
      <c r="D148" s="3">
        <v>0.83</v>
      </c>
      <c r="E148" s="2" t="s">
        <v>31</v>
      </c>
      <c r="F148" s="4" t="e">
        <f>H148+J148+L148</f>
        <v>#REF!</v>
      </c>
      <c r="G148" s="8" t="e">
        <f t="shared" si="20"/>
        <v>#REF!</v>
      </c>
      <c r="H148" s="4" t="e">
        <f>#REF!</f>
        <v>#REF!</v>
      </c>
      <c r="I148" s="8" t="e">
        <f>TRUNC(H148*D148,1)</f>
        <v>#REF!</v>
      </c>
      <c r="J148" s="4">
        <v>0</v>
      </c>
      <c r="K148" s="8"/>
      <c r="L148" s="4">
        <v>0</v>
      </c>
      <c r="M148" s="8"/>
      <c r="N148" s="12" t="s">
        <v>0</v>
      </c>
    </row>
    <row r="149" spans="1:14" ht="15" customHeight="1">
      <c r="A149" s="13"/>
      <c r="B149" s="14" t="s">
        <v>287</v>
      </c>
      <c r="C149" s="1" t="s">
        <v>35</v>
      </c>
      <c r="D149" s="3">
        <v>3.88</v>
      </c>
      <c r="E149" s="2" t="s">
        <v>10</v>
      </c>
      <c r="F149" s="4" t="e">
        <f>H149+J149+L149</f>
        <v>#REF!</v>
      </c>
      <c r="G149" s="8" t="e">
        <f t="shared" si="20"/>
        <v>#REF!</v>
      </c>
      <c r="H149" s="4" t="e">
        <f>#REF!</f>
        <v>#REF!</v>
      </c>
      <c r="I149" s="8" t="e">
        <f>TRUNC(H149*D149,1)</f>
        <v>#REF!</v>
      </c>
      <c r="J149" s="4">
        <v>0</v>
      </c>
      <c r="K149" s="8"/>
      <c r="L149" s="4">
        <v>0</v>
      </c>
      <c r="M149" s="8"/>
      <c r="N149" s="12" t="s">
        <v>0</v>
      </c>
    </row>
    <row r="150" spans="1:14" ht="15" customHeight="1">
      <c r="A150" s="13"/>
      <c r="B150" s="14" t="s">
        <v>288</v>
      </c>
      <c r="C150" s="1" t="s">
        <v>29</v>
      </c>
      <c r="D150" s="1">
        <v>2</v>
      </c>
      <c r="E150" s="2" t="s">
        <v>28</v>
      </c>
      <c r="F150" s="4">
        <f>H150+J150+L150</f>
        <v>0</v>
      </c>
      <c r="G150" s="8">
        <f t="shared" si="20"/>
        <v>5876.7</v>
      </c>
      <c r="H150" s="2"/>
      <c r="I150" s="8">
        <f>TRUNC((K146*0.02),1)</f>
        <v>5876.7</v>
      </c>
      <c r="J150" s="2"/>
      <c r="K150" s="8">
        <v>0</v>
      </c>
      <c r="L150" s="2"/>
      <c r="M150" s="8">
        <v>0</v>
      </c>
      <c r="N150" s="12" t="s">
        <v>0</v>
      </c>
    </row>
    <row r="151" spans="1:14" ht="15" customHeight="1">
      <c r="A151" s="16"/>
      <c r="B151" s="15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12"/>
    </row>
    <row r="152" spans="1:14" ht="15" customHeight="1">
      <c r="A152" s="52">
        <f>A145+1</f>
        <v>114</v>
      </c>
      <c r="B152" s="46" t="s">
        <v>289</v>
      </c>
      <c r="C152" s="47" t="s">
        <v>190</v>
      </c>
      <c r="D152" s="47">
        <v>1</v>
      </c>
      <c r="E152" s="48" t="s">
        <v>3</v>
      </c>
      <c r="F152" s="51"/>
      <c r="G152" s="50" t="e">
        <f t="shared" ref="G152:G157" si="21">I152+K152+M152</f>
        <v>#REF!</v>
      </c>
      <c r="H152" s="51"/>
      <c r="I152" s="50" t="e">
        <f>TRUNC(I153+I154+I155+I156+I157,0)</f>
        <v>#REF!</v>
      </c>
      <c r="J152" s="51"/>
      <c r="K152" s="50">
        <f>TRUNC(K153+K154+K155+K156+K157,0)</f>
        <v>245806</v>
      </c>
      <c r="L152" s="51"/>
      <c r="M152" s="50">
        <f>TRUNC(M153+M154+M155+M156+M157,0)</f>
        <v>0</v>
      </c>
      <c r="N152" s="63" t="str">
        <f>N145</f>
        <v>토목6-3-4</v>
      </c>
    </row>
    <row r="153" spans="1:14" ht="15" customHeight="1">
      <c r="A153" s="13"/>
      <c r="B153" s="14" t="s">
        <v>265</v>
      </c>
      <c r="C153" s="1" t="s">
        <v>0</v>
      </c>
      <c r="D153" s="3">
        <v>0.87</v>
      </c>
      <c r="E153" s="2" t="s">
        <v>24</v>
      </c>
      <c r="F153" s="4">
        <f>H153+J153+L153</f>
        <v>282536</v>
      </c>
      <c r="G153" s="8">
        <f t="shared" si="21"/>
        <v>245806.3</v>
      </c>
      <c r="H153" s="4"/>
      <c r="I153" s="8"/>
      <c r="J153" s="4">
        <f>노임!$D$7</f>
        <v>282536</v>
      </c>
      <c r="K153" s="8">
        <f>TRUNC(J153*D153,1)</f>
        <v>245806.3</v>
      </c>
      <c r="L153" s="4">
        <v>0</v>
      </c>
      <c r="M153" s="8"/>
      <c r="N153" s="12" t="s">
        <v>0</v>
      </c>
    </row>
    <row r="154" spans="1:14" ht="15" customHeight="1">
      <c r="A154" s="13"/>
      <c r="B154" s="14" t="s">
        <v>279</v>
      </c>
      <c r="C154" s="1" t="s">
        <v>37</v>
      </c>
      <c r="D154" s="3">
        <v>1390</v>
      </c>
      <c r="E154" s="2" t="s">
        <v>30</v>
      </c>
      <c r="F154" s="4" t="e">
        <f>H154+J154+L154</f>
        <v>#REF!</v>
      </c>
      <c r="G154" s="8" t="e">
        <f t="shared" si="21"/>
        <v>#REF!</v>
      </c>
      <c r="H154" s="4" t="e">
        <f>#REF!</f>
        <v>#REF!</v>
      </c>
      <c r="I154" s="8" t="e">
        <f>TRUNC(H154*D154,1)</f>
        <v>#REF!</v>
      </c>
      <c r="J154" s="4">
        <v>0</v>
      </c>
      <c r="K154" s="8"/>
      <c r="L154" s="4">
        <v>0</v>
      </c>
      <c r="M154" s="8"/>
      <c r="N154" s="12" t="s">
        <v>0</v>
      </c>
    </row>
    <row r="155" spans="1:14" ht="15" customHeight="1">
      <c r="A155" s="13"/>
      <c r="B155" s="14" t="s">
        <v>286</v>
      </c>
      <c r="C155" s="1" t="s">
        <v>36</v>
      </c>
      <c r="D155" s="3">
        <v>0.69</v>
      </c>
      <c r="E155" s="2" t="s">
        <v>31</v>
      </c>
      <c r="F155" s="4" t="e">
        <f>H155+J155+L155</f>
        <v>#REF!</v>
      </c>
      <c r="G155" s="8" t="e">
        <f t="shared" si="21"/>
        <v>#REF!</v>
      </c>
      <c r="H155" s="4" t="e">
        <f>#REF!</f>
        <v>#REF!</v>
      </c>
      <c r="I155" s="8" t="e">
        <f>TRUNC(H155*D155,1)</f>
        <v>#REF!</v>
      </c>
      <c r="J155" s="4">
        <v>0</v>
      </c>
      <c r="K155" s="8"/>
      <c r="L155" s="4">
        <v>0</v>
      </c>
      <c r="M155" s="8"/>
      <c r="N155" s="12" t="s">
        <v>0</v>
      </c>
    </row>
    <row r="156" spans="1:14" ht="15" customHeight="1">
      <c r="A156" s="13"/>
      <c r="B156" s="14" t="s">
        <v>287</v>
      </c>
      <c r="C156" s="1" t="s">
        <v>35</v>
      </c>
      <c r="D156" s="3">
        <v>3.11</v>
      </c>
      <c r="E156" s="2" t="s">
        <v>10</v>
      </c>
      <c r="F156" s="4" t="e">
        <f>H156+J156+L156</f>
        <v>#REF!</v>
      </c>
      <c r="G156" s="8" t="e">
        <f t="shared" si="21"/>
        <v>#REF!</v>
      </c>
      <c r="H156" s="4" t="e">
        <f>#REF!</f>
        <v>#REF!</v>
      </c>
      <c r="I156" s="8" t="e">
        <f>TRUNC(H156*D156,1)</f>
        <v>#REF!</v>
      </c>
      <c r="J156" s="4">
        <v>0</v>
      </c>
      <c r="K156" s="8"/>
      <c r="L156" s="4">
        <v>0</v>
      </c>
      <c r="M156" s="8"/>
      <c r="N156" s="12" t="s">
        <v>0</v>
      </c>
    </row>
    <row r="157" spans="1:14" ht="15" customHeight="1">
      <c r="A157" s="13"/>
      <c r="B157" s="14" t="s">
        <v>288</v>
      </c>
      <c r="C157" s="1" t="s">
        <v>29</v>
      </c>
      <c r="D157" s="1">
        <v>2</v>
      </c>
      <c r="E157" s="2" t="s">
        <v>28</v>
      </c>
      <c r="F157" s="4">
        <f>H157+J157+L157</f>
        <v>0</v>
      </c>
      <c r="G157" s="8">
        <f t="shared" si="21"/>
        <v>4916.1000000000004</v>
      </c>
      <c r="H157" s="2"/>
      <c r="I157" s="8">
        <f>TRUNC((K153*0.02),1)</f>
        <v>4916.1000000000004</v>
      </c>
      <c r="J157" s="2"/>
      <c r="K157" s="8">
        <v>0</v>
      </c>
      <c r="L157" s="2"/>
      <c r="M157" s="8">
        <v>0</v>
      </c>
      <c r="N157" s="12" t="s">
        <v>0</v>
      </c>
    </row>
    <row r="158" spans="1:14" ht="15" customHeight="1">
      <c r="A158" s="16"/>
      <c r="B158" s="15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12"/>
    </row>
    <row r="159" spans="1:14" ht="15" customHeight="1">
      <c r="A159" s="52">
        <f>A152+1</f>
        <v>115</v>
      </c>
      <c r="B159" s="46" t="s">
        <v>285</v>
      </c>
      <c r="C159" s="47" t="s">
        <v>191</v>
      </c>
      <c r="D159" s="47">
        <v>1</v>
      </c>
      <c r="E159" s="48" t="s">
        <v>3</v>
      </c>
      <c r="F159" s="51"/>
      <c r="G159" s="50" t="e">
        <f t="shared" ref="G159:G164" si="22">I159+K159+M159</f>
        <v>#REF!</v>
      </c>
      <c r="H159" s="51"/>
      <c r="I159" s="50" t="e">
        <f>TRUNC(I160+I161+I162+I163+I164,0)</f>
        <v>#REF!</v>
      </c>
      <c r="J159" s="51"/>
      <c r="K159" s="50">
        <f>TRUNC(K160+K161+K162+K163+K164,0)</f>
        <v>339043</v>
      </c>
      <c r="L159" s="51"/>
      <c r="M159" s="50">
        <f>TRUNC(M160+M161+M162+M163+M164,0)</f>
        <v>0</v>
      </c>
      <c r="N159" s="63" t="str">
        <f>N152</f>
        <v>토목6-3-4</v>
      </c>
    </row>
    <row r="160" spans="1:14" ht="15" customHeight="1">
      <c r="A160" s="13"/>
      <c r="B160" s="14" t="s">
        <v>265</v>
      </c>
      <c r="C160" s="1" t="s">
        <v>0</v>
      </c>
      <c r="D160" s="3">
        <v>1.2</v>
      </c>
      <c r="E160" s="2" t="s">
        <v>24</v>
      </c>
      <c r="F160" s="4">
        <f>H160+J160+L160</f>
        <v>282536</v>
      </c>
      <c r="G160" s="8">
        <f t="shared" si="22"/>
        <v>339043.2</v>
      </c>
      <c r="H160" s="4"/>
      <c r="I160" s="8"/>
      <c r="J160" s="4">
        <f>노임!$D$7</f>
        <v>282536</v>
      </c>
      <c r="K160" s="8">
        <f>TRUNC(J160*D160,1)</f>
        <v>339043.2</v>
      </c>
      <c r="L160" s="4">
        <v>0</v>
      </c>
      <c r="M160" s="8"/>
      <c r="N160" s="12" t="s">
        <v>0</v>
      </c>
    </row>
    <row r="161" spans="1:14" ht="15" customHeight="1">
      <c r="A161" s="13"/>
      <c r="B161" s="14" t="s">
        <v>279</v>
      </c>
      <c r="C161" s="1" t="s">
        <v>37</v>
      </c>
      <c r="D161" s="3">
        <v>1760</v>
      </c>
      <c r="E161" s="2" t="s">
        <v>30</v>
      </c>
      <c r="F161" s="4" t="e">
        <f>H161+J161+L161</f>
        <v>#REF!</v>
      </c>
      <c r="G161" s="8" t="e">
        <f t="shared" si="22"/>
        <v>#REF!</v>
      </c>
      <c r="H161" s="4" t="e">
        <f>#REF!</f>
        <v>#REF!</v>
      </c>
      <c r="I161" s="8" t="e">
        <f>TRUNC(H161*D161,1)</f>
        <v>#REF!</v>
      </c>
      <c r="J161" s="4">
        <v>0</v>
      </c>
      <c r="K161" s="8"/>
      <c r="L161" s="4">
        <v>0</v>
      </c>
      <c r="M161" s="8"/>
      <c r="N161" s="12" t="s">
        <v>0</v>
      </c>
    </row>
    <row r="162" spans="1:14" ht="15" customHeight="1">
      <c r="A162" s="13"/>
      <c r="B162" s="14" t="s">
        <v>286</v>
      </c>
      <c r="C162" s="1" t="s">
        <v>36</v>
      </c>
      <c r="D162" s="3">
        <v>0.88</v>
      </c>
      <c r="E162" s="2" t="s">
        <v>31</v>
      </c>
      <c r="F162" s="4" t="e">
        <f>H162+J162+L162</f>
        <v>#REF!</v>
      </c>
      <c r="G162" s="8" t="e">
        <f t="shared" si="22"/>
        <v>#REF!</v>
      </c>
      <c r="H162" s="4" t="e">
        <f>#REF!</f>
        <v>#REF!</v>
      </c>
      <c r="I162" s="8" t="e">
        <f>TRUNC(H162*D162,1)</f>
        <v>#REF!</v>
      </c>
      <c r="J162" s="4">
        <v>0</v>
      </c>
      <c r="K162" s="8"/>
      <c r="L162" s="4">
        <v>0</v>
      </c>
      <c r="M162" s="8"/>
      <c r="N162" s="12" t="s">
        <v>0</v>
      </c>
    </row>
    <row r="163" spans="1:14" ht="15" customHeight="1">
      <c r="A163" s="13"/>
      <c r="B163" s="14" t="s">
        <v>287</v>
      </c>
      <c r="C163" s="1" t="s">
        <v>35</v>
      </c>
      <c r="D163" s="3">
        <v>4.92</v>
      </c>
      <c r="E163" s="2" t="s">
        <v>10</v>
      </c>
      <c r="F163" s="4" t="e">
        <f>H163+J163+L163</f>
        <v>#REF!</v>
      </c>
      <c r="G163" s="8" t="e">
        <f t="shared" si="22"/>
        <v>#REF!</v>
      </c>
      <c r="H163" s="4" t="e">
        <f>#REF!</f>
        <v>#REF!</v>
      </c>
      <c r="I163" s="8" t="e">
        <f>TRUNC(H163*D163,1)</f>
        <v>#REF!</v>
      </c>
      <c r="J163" s="4">
        <v>0</v>
      </c>
      <c r="K163" s="8"/>
      <c r="L163" s="4">
        <v>0</v>
      </c>
      <c r="M163" s="8"/>
      <c r="N163" s="12" t="s">
        <v>0</v>
      </c>
    </row>
    <row r="164" spans="1:14" ht="15" customHeight="1">
      <c r="A164" s="13"/>
      <c r="B164" s="14" t="s">
        <v>288</v>
      </c>
      <c r="C164" s="1" t="s">
        <v>29</v>
      </c>
      <c r="D164" s="1">
        <v>2</v>
      </c>
      <c r="E164" s="2" t="s">
        <v>28</v>
      </c>
      <c r="F164" s="4">
        <f>H164+J164+L164</f>
        <v>0</v>
      </c>
      <c r="G164" s="8">
        <f t="shared" si="22"/>
        <v>6780.8</v>
      </c>
      <c r="H164" s="2"/>
      <c r="I164" s="8">
        <f>TRUNC((K160*0.02),1)</f>
        <v>6780.8</v>
      </c>
      <c r="J164" s="2"/>
      <c r="K164" s="8">
        <v>0</v>
      </c>
      <c r="L164" s="2"/>
      <c r="M164" s="8">
        <v>0</v>
      </c>
      <c r="N164" s="12" t="s">
        <v>0</v>
      </c>
    </row>
    <row r="165" spans="1:14" ht="15" customHeight="1">
      <c r="A165" s="16"/>
      <c r="B165" s="15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12"/>
    </row>
    <row r="166" spans="1:14" ht="15" customHeight="1">
      <c r="A166" s="52">
        <f>A159+1</f>
        <v>116</v>
      </c>
      <c r="B166" s="46" t="s">
        <v>289</v>
      </c>
      <c r="C166" s="47" t="s">
        <v>191</v>
      </c>
      <c r="D166" s="47">
        <v>1</v>
      </c>
      <c r="E166" s="48" t="s">
        <v>3</v>
      </c>
      <c r="F166" s="51"/>
      <c r="G166" s="50" t="e">
        <f t="shared" ref="G166:G171" si="23">I166+K166+M166</f>
        <v>#REF!</v>
      </c>
      <c r="H166" s="51"/>
      <c r="I166" s="50" t="e">
        <f>TRUNC(I167+I168+I169+I170+I171,0)</f>
        <v>#REF!</v>
      </c>
      <c r="J166" s="51"/>
      <c r="K166" s="50">
        <f>TRUNC(K167+K168+K169+K170+K171,0)</f>
        <v>279710</v>
      </c>
      <c r="L166" s="51"/>
      <c r="M166" s="50">
        <f>TRUNC(M167+M168+M169+M170+M171,0)</f>
        <v>0</v>
      </c>
      <c r="N166" s="63" t="str">
        <f>N159</f>
        <v>토목6-3-4</v>
      </c>
    </row>
    <row r="167" spans="1:14" ht="15" customHeight="1">
      <c r="A167" s="13"/>
      <c r="B167" s="14" t="s">
        <v>265</v>
      </c>
      <c r="C167" s="1" t="s">
        <v>0</v>
      </c>
      <c r="D167" s="3">
        <v>0.99</v>
      </c>
      <c r="E167" s="2" t="s">
        <v>24</v>
      </c>
      <c r="F167" s="4">
        <f>H167+J167+L167</f>
        <v>282536</v>
      </c>
      <c r="G167" s="8">
        <f t="shared" si="23"/>
        <v>279710.59999999998</v>
      </c>
      <c r="H167" s="4"/>
      <c r="I167" s="8"/>
      <c r="J167" s="4">
        <f>노임!$D$7</f>
        <v>282536</v>
      </c>
      <c r="K167" s="8">
        <f>TRUNC(J167*D167,1)</f>
        <v>279710.59999999998</v>
      </c>
      <c r="L167" s="4">
        <v>0</v>
      </c>
      <c r="M167" s="8"/>
      <c r="N167" s="12" t="s">
        <v>0</v>
      </c>
    </row>
    <row r="168" spans="1:14" ht="15" customHeight="1">
      <c r="A168" s="13"/>
      <c r="B168" s="14" t="s">
        <v>279</v>
      </c>
      <c r="C168" s="1" t="s">
        <v>37</v>
      </c>
      <c r="D168" s="3">
        <v>1630</v>
      </c>
      <c r="E168" s="2" t="s">
        <v>30</v>
      </c>
      <c r="F168" s="4" t="e">
        <f>H168+J168+L168</f>
        <v>#REF!</v>
      </c>
      <c r="G168" s="8" t="e">
        <f t="shared" si="23"/>
        <v>#REF!</v>
      </c>
      <c r="H168" s="4" t="e">
        <f>#REF!</f>
        <v>#REF!</v>
      </c>
      <c r="I168" s="8" t="e">
        <f>TRUNC(H168*D168,1)</f>
        <v>#REF!</v>
      </c>
      <c r="J168" s="4">
        <v>0</v>
      </c>
      <c r="K168" s="8"/>
      <c r="L168" s="4">
        <v>0</v>
      </c>
      <c r="M168" s="8"/>
      <c r="N168" s="12" t="s">
        <v>0</v>
      </c>
    </row>
    <row r="169" spans="1:14" ht="15" customHeight="1">
      <c r="A169" s="13"/>
      <c r="B169" s="14" t="s">
        <v>286</v>
      </c>
      <c r="C169" s="1" t="s">
        <v>36</v>
      </c>
      <c r="D169" s="3">
        <v>0.82</v>
      </c>
      <c r="E169" s="2" t="s">
        <v>31</v>
      </c>
      <c r="F169" s="4" t="e">
        <f>H169+J169+L169</f>
        <v>#REF!</v>
      </c>
      <c r="G169" s="8" t="e">
        <f t="shared" si="23"/>
        <v>#REF!</v>
      </c>
      <c r="H169" s="4" t="e">
        <f>#REF!</f>
        <v>#REF!</v>
      </c>
      <c r="I169" s="8" t="e">
        <f>TRUNC(H169*D169,1)</f>
        <v>#REF!</v>
      </c>
      <c r="J169" s="4">
        <v>0</v>
      </c>
      <c r="K169" s="8"/>
      <c r="L169" s="4">
        <v>0</v>
      </c>
      <c r="M169" s="8"/>
      <c r="N169" s="12" t="s">
        <v>0</v>
      </c>
    </row>
    <row r="170" spans="1:14" ht="15" customHeight="1">
      <c r="A170" s="13"/>
      <c r="B170" s="14" t="s">
        <v>287</v>
      </c>
      <c r="C170" s="1" t="s">
        <v>35</v>
      </c>
      <c r="D170" s="3">
        <v>3.27</v>
      </c>
      <c r="E170" s="2" t="s">
        <v>10</v>
      </c>
      <c r="F170" s="4" t="e">
        <f>H170+J170+L170</f>
        <v>#REF!</v>
      </c>
      <c r="G170" s="8" t="e">
        <f t="shared" si="23"/>
        <v>#REF!</v>
      </c>
      <c r="H170" s="4" t="e">
        <f>#REF!</f>
        <v>#REF!</v>
      </c>
      <c r="I170" s="8" t="e">
        <f>TRUNC(H170*D170,1)</f>
        <v>#REF!</v>
      </c>
      <c r="J170" s="4">
        <v>0</v>
      </c>
      <c r="K170" s="8"/>
      <c r="L170" s="4">
        <v>0</v>
      </c>
      <c r="M170" s="8"/>
      <c r="N170" s="12" t="s">
        <v>0</v>
      </c>
    </row>
    <row r="171" spans="1:14" ht="15" customHeight="1">
      <c r="A171" s="13"/>
      <c r="B171" s="14" t="s">
        <v>288</v>
      </c>
      <c r="C171" s="1" t="s">
        <v>29</v>
      </c>
      <c r="D171" s="1">
        <v>2</v>
      </c>
      <c r="E171" s="2" t="s">
        <v>28</v>
      </c>
      <c r="F171" s="4">
        <f>H171+J171+L171</f>
        <v>0</v>
      </c>
      <c r="G171" s="8">
        <f t="shared" si="23"/>
        <v>5594.2</v>
      </c>
      <c r="H171" s="2"/>
      <c r="I171" s="8">
        <f>TRUNC((K167*0.02),1)</f>
        <v>5594.2</v>
      </c>
      <c r="J171" s="2"/>
      <c r="K171" s="8">
        <v>0</v>
      </c>
      <c r="L171" s="2"/>
      <c r="M171" s="8">
        <v>0</v>
      </c>
      <c r="N171" s="12" t="s">
        <v>0</v>
      </c>
    </row>
    <row r="172" spans="1:14" ht="15" customHeight="1">
      <c r="A172" s="16"/>
      <c r="B172" s="15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12"/>
    </row>
    <row r="173" spans="1:14" ht="15" customHeight="1">
      <c r="A173" s="52">
        <f>A166+1</f>
        <v>117</v>
      </c>
      <c r="B173" s="46" t="s">
        <v>285</v>
      </c>
      <c r="C173" s="47" t="s">
        <v>192</v>
      </c>
      <c r="D173" s="47">
        <v>1</v>
      </c>
      <c r="E173" s="48" t="s">
        <v>3</v>
      </c>
      <c r="F173" s="51"/>
      <c r="G173" s="50" t="e">
        <f t="shared" ref="G173:G178" si="24">I173+K173+M173</f>
        <v>#REF!</v>
      </c>
      <c r="H173" s="51"/>
      <c r="I173" s="50" t="e">
        <f>TRUNC(I174+I175+I176+I177+I178,0)</f>
        <v>#REF!</v>
      </c>
      <c r="J173" s="51"/>
      <c r="K173" s="50">
        <f>TRUNC(K174+K175+K176+K177+K178,0)</f>
        <v>415327</v>
      </c>
      <c r="L173" s="51"/>
      <c r="M173" s="50">
        <f>TRUNC(M174+M175+M176+M177+M178,0)</f>
        <v>0</v>
      </c>
      <c r="N173" s="63" t="str">
        <f>N166</f>
        <v>토목6-3-4</v>
      </c>
    </row>
    <row r="174" spans="1:14" ht="15" customHeight="1">
      <c r="A174" s="13"/>
      <c r="B174" s="14" t="s">
        <v>265</v>
      </c>
      <c r="C174" s="1" t="s">
        <v>0</v>
      </c>
      <c r="D174" s="3">
        <v>1.47</v>
      </c>
      <c r="E174" s="2" t="s">
        <v>24</v>
      </c>
      <c r="F174" s="4">
        <f>H174+J174+L174</f>
        <v>282536</v>
      </c>
      <c r="G174" s="8">
        <f t="shared" si="24"/>
        <v>415327.9</v>
      </c>
      <c r="H174" s="4"/>
      <c r="I174" s="8"/>
      <c r="J174" s="4">
        <f>노임!$D$7</f>
        <v>282536</v>
      </c>
      <c r="K174" s="8">
        <f>TRUNC(J174*D174,1)</f>
        <v>415327.9</v>
      </c>
      <c r="L174" s="4">
        <v>0</v>
      </c>
      <c r="M174" s="8"/>
      <c r="N174" s="12" t="s">
        <v>0</v>
      </c>
    </row>
    <row r="175" spans="1:14" ht="15" customHeight="1">
      <c r="A175" s="13"/>
      <c r="B175" s="14" t="s">
        <v>279</v>
      </c>
      <c r="C175" s="1" t="s">
        <v>37</v>
      </c>
      <c r="D175" s="3">
        <v>2150</v>
      </c>
      <c r="E175" s="2" t="s">
        <v>30</v>
      </c>
      <c r="F175" s="4" t="e">
        <f>H175+J175+L175</f>
        <v>#REF!</v>
      </c>
      <c r="G175" s="8" t="e">
        <f t="shared" si="24"/>
        <v>#REF!</v>
      </c>
      <c r="H175" s="4" t="e">
        <f>#REF!</f>
        <v>#REF!</v>
      </c>
      <c r="I175" s="8" t="e">
        <f>TRUNC(H175*D175,1)</f>
        <v>#REF!</v>
      </c>
      <c r="J175" s="4">
        <v>0</v>
      </c>
      <c r="K175" s="8"/>
      <c r="L175" s="4">
        <v>0</v>
      </c>
      <c r="M175" s="8"/>
      <c r="N175" s="12" t="s">
        <v>0</v>
      </c>
    </row>
    <row r="176" spans="1:14" ht="15" customHeight="1">
      <c r="A176" s="13"/>
      <c r="B176" s="14" t="s">
        <v>286</v>
      </c>
      <c r="C176" s="1" t="s">
        <v>36</v>
      </c>
      <c r="D176" s="3">
        <v>1.05</v>
      </c>
      <c r="E176" s="2" t="s">
        <v>31</v>
      </c>
      <c r="F176" s="4" t="e">
        <f>H176+J176+L176</f>
        <v>#REF!</v>
      </c>
      <c r="G176" s="8" t="e">
        <f t="shared" si="24"/>
        <v>#REF!</v>
      </c>
      <c r="H176" s="4" t="e">
        <f>#REF!</f>
        <v>#REF!</v>
      </c>
      <c r="I176" s="8" t="e">
        <f>TRUNC(H176*D176,1)</f>
        <v>#REF!</v>
      </c>
      <c r="J176" s="4">
        <v>0</v>
      </c>
      <c r="K176" s="8"/>
      <c r="L176" s="4">
        <v>0</v>
      </c>
      <c r="M176" s="8"/>
      <c r="N176" s="12" t="s">
        <v>0</v>
      </c>
    </row>
    <row r="177" spans="1:14" ht="15" customHeight="1">
      <c r="A177" s="13"/>
      <c r="B177" s="14" t="s">
        <v>287</v>
      </c>
      <c r="C177" s="1" t="s">
        <v>35</v>
      </c>
      <c r="D177" s="3">
        <v>5.72</v>
      </c>
      <c r="E177" s="2" t="s">
        <v>10</v>
      </c>
      <c r="F177" s="4" t="e">
        <f>H177+J177+L177</f>
        <v>#REF!</v>
      </c>
      <c r="G177" s="8" t="e">
        <f t="shared" si="24"/>
        <v>#REF!</v>
      </c>
      <c r="H177" s="4" t="e">
        <f>#REF!</f>
        <v>#REF!</v>
      </c>
      <c r="I177" s="8" t="e">
        <f>TRUNC(H177*D177,1)</f>
        <v>#REF!</v>
      </c>
      <c r="J177" s="4">
        <v>0</v>
      </c>
      <c r="K177" s="8"/>
      <c r="L177" s="4">
        <v>0</v>
      </c>
      <c r="M177" s="8"/>
      <c r="N177" s="12" t="s">
        <v>0</v>
      </c>
    </row>
    <row r="178" spans="1:14" ht="15" customHeight="1">
      <c r="A178" s="13"/>
      <c r="B178" s="14" t="s">
        <v>288</v>
      </c>
      <c r="C178" s="1" t="s">
        <v>29</v>
      </c>
      <c r="D178" s="1">
        <v>2</v>
      </c>
      <c r="E178" s="2" t="s">
        <v>28</v>
      </c>
      <c r="F178" s="4">
        <f>H178+J178+L178</f>
        <v>0</v>
      </c>
      <c r="G178" s="8">
        <f t="shared" si="24"/>
        <v>8306.5</v>
      </c>
      <c r="H178" s="2"/>
      <c r="I178" s="8">
        <f>TRUNC((K174*0.02),1)</f>
        <v>8306.5</v>
      </c>
      <c r="J178" s="2"/>
      <c r="K178" s="8">
        <v>0</v>
      </c>
      <c r="L178" s="2"/>
      <c r="M178" s="8">
        <v>0</v>
      </c>
      <c r="N178" s="12" t="s">
        <v>0</v>
      </c>
    </row>
    <row r="179" spans="1:14" ht="15" customHeight="1">
      <c r="A179" s="16"/>
      <c r="B179" s="15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12"/>
    </row>
    <row r="180" spans="1:14" ht="15" customHeight="1">
      <c r="A180" s="52">
        <f>A173+1</f>
        <v>118</v>
      </c>
      <c r="B180" s="46" t="s">
        <v>289</v>
      </c>
      <c r="C180" s="47" t="s">
        <v>192</v>
      </c>
      <c r="D180" s="47">
        <v>1</v>
      </c>
      <c r="E180" s="48" t="s">
        <v>3</v>
      </c>
      <c r="F180" s="51"/>
      <c r="G180" s="50" t="e">
        <f t="shared" ref="G180:G185" si="25">I180+K180+M180</f>
        <v>#REF!</v>
      </c>
      <c r="H180" s="51"/>
      <c r="I180" s="50" t="e">
        <f>TRUNC(I181+I182+I183+I184+I185,0)</f>
        <v>#REF!</v>
      </c>
      <c r="J180" s="51"/>
      <c r="K180" s="50">
        <f>TRUNC(K181+K182+K183+K184+K185,0)</f>
        <v>347519</v>
      </c>
      <c r="L180" s="51"/>
      <c r="M180" s="50">
        <f>TRUNC(M181+M182+M183+M184+M185,0)</f>
        <v>0</v>
      </c>
      <c r="N180" s="63" t="str">
        <f>N173</f>
        <v>토목6-3-4</v>
      </c>
    </row>
    <row r="181" spans="1:14" ht="15" customHeight="1">
      <c r="A181" s="13"/>
      <c r="B181" s="14" t="s">
        <v>265</v>
      </c>
      <c r="C181" s="1" t="s">
        <v>0</v>
      </c>
      <c r="D181" s="3">
        <v>1.23</v>
      </c>
      <c r="E181" s="2" t="s">
        <v>24</v>
      </c>
      <c r="F181" s="4">
        <f>H181+J181+L181</f>
        <v>282536</v>
      </c>
      <c r="G181" s="8">
        <f t="shared" si="25"/>
        <v>347519.2</v>
      </c>
      <c r="H181" s="4"/>
      <c r="I181" s="8"/>
      <c r="J181" s="4">
        <f>노임!$D$7</f>
        <v>282536</v>
      </c>
      <c r="K181" s="8">
        <f>TRUNC(J181*D181,1)</f>
        <v>347519.2</v>
      </c>
      <c r="L181" s="4">
        <v>0</v>
      </c>
      <c r="M181" s="8"/>
      <c r="N181" s="12" t="s">
        <v>0</v>
      </c>
    </row>
    <row r="182" spans="1:14" ht="15" customHeight="1">
      <c r="A182" s="13"/>
      <c r="B182" s="14" t="s">
        <v>279</v>
      </c>
      <c r="C182" s="1" t="s">
        <v>37</v>
      </c>
      <c r="D182" s="3">
        <v>1790</v>
      </c>
      <c r="E182" s="2" t="s">
        <v>30</v>
      </c>
      <c r="F182" s="4" t="e">
        <f>H182+J182+L182</f>
        <v>#REF!</v>
      </c>
      <c r="G182" s="8" t="e">
        <f t="shared" si="25"/>
        <v>#REF!</v>
      </c>
      <c r="H182" s="4" t="e">
        <f>#REF!</f>
        <v>#REF!</v>
      </c>
      <c r="I182" s="8" t="e">
        <f>TRUNC(H182*D182,1)</f>
        <v>#REF!</v>
      </c>
      <c r="J182" s="4">
        <v>0</v>
      </c>
      <c r="K182" s="8"/>
      <c r="L182" s="4">
        <v>0</v>
      </c>
      <c r="M182" s="8"/>
      <c r="N182" s="12" t="s">
        <v>0</v>
      </c>
    </row>
    <row r="183" spans="1:14" ht="15" customHeight="1">
      <c r="A183" s="13"/>
      <c r="B183" s="14" t="s">
        <v>286</v>
      </c>
      <c r="C183" s="1" t="s">
        <v>36</v>
      </c>
      <c r="D183" s="3">
        <v>0.89</v>
      </c>
      <c r="E183" s="2" t="s">
        <v>31</v>
      </c>
      <c r="F183" s="4" t="e">
        <f>H183+J183+L183</f>
        <v>#REF!</v>
      </c>
      <c r="G183" s="8" t="e">
        <f t="shared" si="25"/>
        <v>#REF!</v>
      </c>
      <c r="H183" s="4" t="e">
        <f>#REF!</f>
        <v>#REF!</v>
      </c>
      <c r="I183" s="8" t="e">
        <f>TRUNC(H183*D183,1)</f>
        <v>#REF!</v>
      </c>
      <c r="J183" s="4">
        <v>0</v>
      </c>
      <c r="K183" s="8"/>
      <c r="L183" s="4">
        <v>0</v>
      </c>
      <c r="M183" s="8"/>
      <c r="N183" s="12" t="s">
        <v>0</v>
      </c>
    </row>
    <row r="184" spans="1:14" ht="15" customHeight="1">
      <c r="A184" s="13"/>
      <c r="B184" s="14" t="s">
        <v>287</v>
      </c>
      <c r="C184" s="1" t="s">
        <v>35</v>
      </c>
      <c r="D184" s="3">
        <v>4.99</v>
      </c>
      <c r="E184" s="2" t="s">
        <v>10</v>
      </c>
      <c r="F184" s="4" t="e">
        <f>H184+J184+L184</f>
        <v>#REF!</v>
      </c>
      <c r="G184" s="8" t="e">
        <f t="shared" si="25"/>
        <v>#REF!</v>
      </c>
      <c r="H184" s="4" t="e">
        <f>#REF!</f>
        <v>#REF!</v>
      </c>
      <c r="I184" s="8" t="e">
        <f>TRUNC(H184*D184,1)</f>
        <v>#REF!</v>
      </c>
      <c r="J184" s="4">
        <v>0</v>
      </c>
      <c r="K184" s="8"/>
      <c r="L184" s="4">
        <v>0</v>
      </c>
      <c r="M184" s="8"/>
      <c r="N184" s="12" t="s">
        <v>0</v>
      </c>
    </row>
    <row r="185" spans="1:14" ht="15" customHeight="1">
      <c r="A185" s="13"/>
      <c r="B185" s="14" t="s">
        <v>288</v>
      </c>
      <c r="C185" s="1" t="s">
        <v>29</v>
      </c>
      <c r="D185" s="1">
        <v>2</v>
      </c>
      <c r="E185" s="2" t="s">
        <v>28</v>
      </c>
      <c r="F185" s="4">
        <f>H185+J185+L185</f>
        <v>0</v>
      </c>
      <c r="G185" s="8">
        <f t="shared" si="25"/>
        <v>6950.3</v>
      </c>
      <c r="H185" s="2"/>
      <c r="I185" s="8">
        <f>TRUNC((K181*0.02),1)</f>
        <v>6950.3</v>
      </c>
      <c r="J185" s="2"/>
      <c r="K185" s="8">
        <v>0</v>
      </c>
      <c r="L185" s="2"/>
      <c r="M185" s="8">
        <v>0</v>
      </c>
      <c r="N185" s="12" t="s">
        <v>0</v>
      </c>
    </row>
    <row r="186" spans="1:14" ht="15" customHeight="1">
      <c r="A186" s="16"/>
      <c r="B186" s="15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12"/>
    </row>
    <row r="187" spans="1:14" ht="15" customHeight="1">
      <c r="A187" s="52">
        <f>A180+1</f>
        <v>119</v>
      </c>
      <c r="B187" s="46" t="s">
        <v>285</v>
      </c>
      <c r="C187" s="47" t="s">
        <v>193</v>
      </c>
      <c r="D187" s="47">
        <v>1</v>
      </c>
      <c r="E187" s="48" t="s">
        <v>3</v>
      </c>
      <c r="F187" s="51"/>
      <c r="G187" s="50" t="e">
        <f t="shared" ref="G187:G192" si="26">I187+K187+M187</f>
        <v>#REF!</v>
      </c>
      <c r="H187" s="51"/>
      <c r="I187" s="50" t="e">
        <f>TRUNC(I188+I189+I190+I191+I192,0)</f>
        <v>#REF!</v>
      </c>
      <c r="J187" s="51"/>
      <c r="K187" s="50">
        <f>TRUNC(K188+K189+K190+K191+K192,0)</f>
        <v>531167</v>
      </c>
      <c r="L187" s="51"/>
      <c r="M187" s="50">
        <f>TRUNC(M188+M189+M190+M191+M192,0)</f>
        <v>0</v>
      </c>
      <c r="N187" s="63" t="str">
        <f>N180</f>
        <v>토목6-3-4</v>
      </c>
    </row>
    <row r="188" spans="1:14" ht="15" customHeight="1">
      <c r="A188" s="13"/>
      <c r="B188" s="14" t="s">
        <v>265</v>
      </c>
      <c r="C188" s="1" t="s">
        <v>0</v>
      </c>
      <c r="D188" s="3">
        <v>1.88</v>
      </c>
      <c r="E188" s="2" t="s">
        <v>24</v>
      </c>
      <c r="F188" s="4">
        <f>H188+J188+L188</f>
        <v>282536</v>
      </c>
      <c r="G188" s="8">
        <f t="shared" si="26"/>
        <v>531167.6</v>
      </c>
      <c r="H188" s="4"/>
      <c r="I188" s="8"/>
      <c r="J188" s="4">
        <f>노임!$D$7</f>
        <v>282536</v>
      </c>
      <c r="K188" s="8">
        <f>TRUNC(J188*D188,1)</f>
        <v>531167.6</v>
      </c>
      <c r="L188" s="4">
        <v>0</v>
      </c>
      <c r="M188" s="8"/>
      <c r="N188" s="12" t="s">
        <v>0</v>
      </c>
    </row>
    <row r="189" spans="1:14" ht="15" customHeight="1">
      <c r="A189" s="13"/>
      <c r="B189" s="14" t="s">
        <v>279</v>
      </c>
      <c r="C189" s="1" t="s">
        <v>37</v>
      </c>
      <c r="D189" s="3">
        <v>2700</v>
      </c>
      <c r="E189" s="2" t="s">
        <v>30</v>
      </c>
      <c r="F189" s="4" t="e">
        <f>H189+J189+L189</f>
        <v>#REF!</v>
      </c>
      <c r="G189" s="8" t="e">
        <f t="shared" si="26"/>
        <v>#REF!</v>
      </c>
      <c r="H189" s="4" t="e">
        <f>#REF!</f>
        <v>#REF!</v>
      </c>
      <c r="I189" s="8" t="e">
        <f>TRUNC(H189*D189,1)</f>
        <v>#REF!</v>
      </c>
      <c r="J189" s="4">
        <v>0</v>
      </c>
      <c r="K189" s="8"/>
      <c r="L189" s="4">
        <v>0</v>
      </c>
      <c r="M189" s="8"/>
      <c r="N189" s="12" t="s">
        <v>0</v>
      </c>
    </row>
    <row r="190" spans="1:14" ht="15" customHeight="1">
      <c r="A190" s="13"/>
      <c r="B190" s="14" t="s">
        <v>286</v>
      </c>
      <c r="C190" s="1" t="s">
        <v>36</v>
      </c>
      <c r="D190" s="3">
        <v>1.36</v>
      </c>
      <c r="E190" s="2" t="s">
        <v>31</v>
      </c>
      <c r="F190" s="4" t="e">
        <f>H190+J190+L190</f>
        <v>#REF!</v>
      </c>
      <c r="G190" s="8" t="e">
        <f t="shared" si="26"/>
        <v>#REF!</v>
      </c>
      <c r="H190" s="4" t="e">
        <f>#REF!</f>
        <v>#REF!</v>
      </c>
      <c r="I190" s="8" t="e">
        <f>TRUNC(H190*D190,1)</f>
        <v>#REF!</v>
      </c>
      <c r="J190" s="4">
        <v>0</v>
      </c>
      <c r="K190" s="8"/>
      <c r="L190" s="4">
        <v>0</v>
      </c>
      <c r="M190" s="8"/>
      <c r="N190" s="12" t="s">
        <v>0</v>
      </c>
    </row>
    <row r="191" spans="1:14" ht="15" customHeight="1">
      <c r="A191" s="13"/>
      <c r="B191" s="14" t="s">
        <v>287</v>
      </c>
      <c r="C191" s="1" t="s">
        <v>35</v>
      </c>
      <c r="D191" s="3">
        <v>7.41</v>
      </c>
      <c r="E191" s="2" t="s">
        <v>10</v>
      </c>
      <c r="F191" s="4" t="e">
        <f>H191+J191+L191</f>
        <v>#REF!</v>
      </c>
      <c r="G191" s="8" t="e">
        <f t="shared" si="26"/>
        <v>#REF!</v>
      </c>
      <c r="H191" s="4" t="e">
        <f>#REF!</f>
        <v>#REF!</v>
      </c>
      <c r="I191" s="8" t="e">
        <f>TRUNC(H191*D191,1)</f>
        <v>#REF!</v>
      </c>
      <c r="J191" s="4">
        <v>0</v>
      </c>
      <c r="K191" s="8"/>
      <c r="L191" s="4">
        <v>0</v>
      </c>
      <c r="M191" s="8"/>
      <c r="N191" s="12" t="s">
        <v>0</v>
      </c>
    </row>
    <row r="192" spans="1:14" ht="15" customHeight="1">
      <c r="A192" s="13"/>
      <c r="B192" s="14" t="s">
        <v>288</v>
      </c>
      <c r="C192" s="1" t="s">
        <v>29</v>
      </c>
      <c r="D192" s="1">
        <v>2</v>
      </c>
      <c r="E192" s="2" t="s">
        <v>28</v>
      </c>
      <c r="F192" s="4">
        <f>H192+J192+L192</f>
        <v>0</v>
      </c>
      <c r="G192" s="8">
        <f t="shared" si="26"/>
        <v>10623.3</v>
      </c>
      <c r="H192" s="2"/>
      <c r="I192" s="8">
        <f>TRUNC((K188*0.02),1)</f>
        <v>10623.3</v>
      </c>
      <c r="J192" s="2"/>
      <c r="K192" s="8">
        <v>0</v>
      </c>
      <c r="L192" s="2"/>
      <c r="M192" s="8">
        <v>0</v>
      </c>
      <c r="N192" s="12" t="s">
        <v>0</v>
      </c>
    </row>
    <row r="193" spans="1:14" ht="15" customHeight="1">
      <c r="A193" s="16"/>
      <c r="B193" s="15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12"/>
    </row>
    <row r="194" spans="1:14" ht="15" customHeight="1">
      <c r="A194" s="52">
        <f>A187+1</f>
        <v>120</v>
      </c>
      <c r="B194" s="46" t="s">
        <v>289</v>
      </c>
      <c r="C194" s="47" t="s">
        <v>193</v>
      </c>
      <c r="D194" s="47">
        <v>1</v>
      </c>
      <c r="E194" s="48" t="s">
        <v>3</v>
      </c>
      <c r="F194" s="51"/>
      <c r="G194" s="50" t="e">
        <f t="shared" ref="G194:G199" si="27">I194+K194+M194</f>
        <v>#REF!</v>
      </c>
      <c r="H194" s="51"/>
      <c r="I194" s="50" t="e">
        <f>TRUNC(I195+I196+I197+I198+I199,0)</f>
        <v>#REF!</v>
      </c>
      <c r="J194" s="51"/>
      <c r="K194" s="50">
        <f>TRUNC(K195+K196+K197+K198+K199,0)</f>
        <v>418153</v>
      </c>
      <c r="L194" s="51"/>
      <c r="M194" s="50">
        <f>TRUNC(M195+M196+M197+M198+M199,0)</f>
        <v>0</v>
      </c>
      <c r="N194" s="63" t="str">
        <f>N187</f>
        <v>토목6-3-4</v>
      </c>
    </row>
    <row r="195" spans="1:14" ht="15" customHeight="1">
      <c r="A195" s="13"/>
      <c r="B195" s="14" t="s">
        <v>265</v>
      </c>
      <c r="C195" s="1" t="s">
        <v>0</v>
      </c>
      <c r="D195" s="3">
        <v>1.48</v>
      </c>
      <c r="E195" s="2" t="s">
        <v>24</v>
      </c>
      <c r="F195" s="4">
        <f>H195+J195+L195</f>
        <v>282536</v>
      </c>
      <c r="G195" s="8">
        <f t="shared" si="27"/>
        <v>418153.2</v>
      </c>
      <c r="H195" s="4"/>
      <c r="I195" s="8"/>
      <c r="J195" s="4">
        <f>노임!$D$7</f>
        <v>282536</v>
      </c>
      <c r="K195" s="8">
        <f>TRUNC(J195*D195,1)</f>
        <v>418153.2</v>
      </c>
      <c r="L195" s="4">
        <v>0</v>
      </c>
      <c r="M195" s="8"/>
      <c r="N195" s="12" t="s">
        <v>0</v>
      </c>
    </row>
    <row r="196" spans="1:14" ht="15" customHeight="1">
      <c r="A196" s="13"/>
      <c r="B196" s="14" t="s">
        <v>279</v>
      </c>
      <c r="C196" s="1" t="s">
        <v>37</v>
      </c>
      <c r="D196" s="3">
        <v>2160</v>
      </c>
      <c r="E196" s="2" t="s">
        <v>30</v>
      </c>
      <c r="F196" s="4" t="e">
        <f>H196+J196+L196</f>
        <v>#REF!</v>
      </c>
      <c r="G196" s="8" t="e">
        <f t="shared" si="27"/>
        <v>#REF!</v>
      </c>
      <c r="H196" s="4" t="e">
        <f>#REF!</f>
        <v>#REF!</v>
      </c>
      <c r="I196" s="8" t="e">
        <f>TRUNC(H196*D196,1)</f>
        <v>#REF!</v>
      </c>
      <c r="J196" s="4">
        <v>0</v>
      </c>
      <c r="K196" s="8"/>
      <c r="L196" s="4">
        <v>0</v>
      </c>
      <c r="M196" s="8"/>
      <c r="N196" s="12" t="s">
        <v>0</v>
      </c>
    </row>
    <row r="197" spans="1:14" ht="15" customHeight="1">
      <c r="A197" s="13"/>
      <c r="B197" s="14" t="s">
        <v>286</v>
      </c>
      <c r="C197" s="1" t="s">
        <v>36</v>
      </c>
      <c r="D197" s="3">
        <v>1.07</v>
      </c>
      <c r="E197" s="2" t="s">
        <v>31</v>
      </c>
      <c r="F197" s="4" t="e">
        <f>H197+J197+L197</f>
        <v>#REF!</v>
      </c>
      <c r="G197" s="8" t="e">
        <f t="shared" si="27"/>
        <v>#REF!</v>
      </c>
      <c r="H197" s="4" t="e">
        <f>#REF!</f>
        <v>#REF!</v>
      </c>
      <c r="I197" s="8" t="e">
        <f>TRUNC(H197*D197,1)</f>
        <v>#REF!</v>
      </c>
      <c r="J197" s="4">
        <v>0</v>
      </c>
      <c r="K197" s="8"/>
      <c r="L197" s="4">
        <v>0</v>
      </c>
      <c r="M197" s="8"/>
      <c r="N197" s="12" t="s">
        <v>0</v>
      </c>
    </row>
    <row r="198" spans="1:14" ht="15" customHeight="1">
      <c r="A198" s="13"/>
      <c r="B198" s="14" t="s">
        <v>287</v>
      </c>
      <c r="C198" s="1" t="s">
        <v>35</v>
      </c>
      <c r="D198" s="3">
        <v>5.82</v>
      </c>
      <c r="E198" s="2" t="s">
        <v>10</v>
      </c>
      <c r="F198" s="4" t="e">
        <f>H198+J198+L198</f>
        <v>#REF!</v>
      </c>
      <c r="G198" s="8" t="e">
        <f t="shared" si="27"/>
        <v>#REF!</v>
      </c>
      <c r="H198" s="4" t="e">
        <f>#REF!</f>
        <v>#REF!</v>
      </c>
      <c r="I198" s="8" t="e">
        <f>TRUNC(H198*D198,1)</f>
        <v>#REF!</v>
      </c>
      <c r="J198" s="4">
        <v>0</v>
      </c>
      <c r="K198" s="8"/>
      <c r="L198" s="4">
        <v>0</v>
      </c>
      <c r="M198" s="8"/>
      <c r="N198" s="12" t="s">
        <v>0</v>
      </c>
    </row>
    <row r="199" spans="1:14" ht="15" customHeight="1">
      <c r="A199" s="13"/>
      <c r="B199" s="14" t="s">
        <v>288</v>
      </c>
      <c r="C199" s="1" t="s">
        <v>29</v>
      </c>
      <c r="D199" s="1">
        <v>2</v>
      </c>
      <c r="E199" s="2" t="s">
        <v>28</v>
      </c>
      <c r="F199" s="4">
        <f>H199+J199+L199</f>
        <v>0</v>
      </c>
      <c r="G199" s="8">
        <f t="shared" si="27"/>
        <v>8363</v>
      </c>
      <c r="H199" s="2"/>
      <c r="I199" s="8">
        <f>TRUNC((K195*0.02),1)</f>
        <v>8363</v>
      </c>
      <c r="J199" s="2"/>
      <c r="K199" s="8">
        <v>0</v>
      </c>
      <c r="L199" s="2"/>
      <c r="M199" s="8">
        <v>0</v>
      </c>
      <c r="N199" s="12" t="s">
        <v>0</v>
      </c>
    </row>
    <row r="200" spans="1:14" ht="15" customHeight="1">
      <c r="A200" s="16"/>
      <c r="B200" s="15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12"/>
    </row>
    <row r="201" spans="1:14" ht="15" customHeight="1">
      <c r="A201" s="52">
        <f>A194+1</f>
        <v>121</v>
      </c>
      <c r="B201" s="46" t="s">
        <v>285</v>
      </c>
      <c r="C201" s="47" t="s">
        <v>194</v>
      </c>
      <c r="D201" s="47">
        <v>1</v>
      </c>
      <c r="E201" s="48" t="s">
        <v>3</v>
      </c>
      <c r="F201" s="51"/>
      <c r="G201" s="50" t="e">
        <f t="shared" ref="G201:G206" si="28">I201+K201+M201</f>
        <v>#REF!</v>
      </c>
      <c r="H201" s="51"/>
      <c r="I201" s="50" t="e">
        <f>TRUNC(I202+I203+I204+I205+I206,0)</f>
        <v>#REF!</v>
      </c>
      <c r="J201" s="51"/>
      <c r="K201" s="50">
        <f>TRUNC(K202+K203+K204+K205+K206,0)</f>
        <v>604627</v>
      </c>
      <c r="L201" s="51"/>
      <c r="M201" s="50">
        <f>TRUNC(M202+M203+M204+M205+M206,0)</f>
        <v>0</v>
      </c>
      <c r="N201" s="63" t="str">
        <f>N194</f>
        <v>토목6-3-4</v>
      </c>
    </row>
    <row r="202" spans="1:14" ht="15" customHeight="1">
      <c r="A202" s="13"/>
      <c r="B202" s="14" t="s">
        <v>265</v>
      </c>
      <c r="C202" s="1" t="s">
        <v>0</v>
      </c>
      <c r="D202" s="3">
        <v>2.14</v>
      </c>
      <c r="E202" s="2" t="s">
        <v>24</v>
      </c>
      <c r="F202" s="4">
        <f>H202+J202+L202</f>
        <v>282536</v>
      </c>
      <c r="G202" s="8">
        <f t="shared" si="28"/>
        <v>604627</v>
      </c>
      <c r="H202" s="4"/>
      <c r="I202" s="8"/>
      <c r="J202" s="4">
        <f>노임!$D$7</f>
        <v>282536</v>
      </c>
      <c r="K202" s="8">
        <f>TRUNC(J202*D202,1)</f>
        <v>604627</v>
      </c>
      <c r="L202" s="4">
        <v>0</v>
      </c>
      <c r="M202" s="8"/>
      <c r="N202" s="12" t="s">
        <v>0</v>
      </c>
    </row>
    <row r="203" spans="1:14" ht="15" customHeight="1">
      <c r="A203" s="13"/>
      <c r="B203" s="14" t="s">
        <v>279</v>
      </c>
      <c r="C203" s="1" t="s">
        <v>37</v>
      </c>
      <c r="D203" s="3">
        <v>3190</v>
      </c>
      <c r="E203" s="2" t="s">
        <v>30</v>
      </c>
      <c r="F203" s="4" t="e">
        <f>H203+J203+L203</f>
        <v>#REF!</v>
      </c>
      <c r="G203" s="8" t="e">
        <f t="shared" si="28"/>
        <v>#REF!</v>
      </c>
      <c r="H203" s="4" t="e">
        <f>#REF!</f>
        <v>#REF!</v>
      </c>
      <c r="I203" s="8" t="e">
        <f>TRUNC(H203*D203,1)</f>
        <v>#REF!</v>
      </c>
      <c r="J203" s="4">
        <v>0</v>
      </c>
      <c r="K203" s="8"/>
      <c r="L203" s="4">
        <v>0</v>
      </c>
      <c r="M203" s="8"/>
      <c r="N203" s="12" t="s">
        <v>0</v>
      </c>
    </row>
    <row r="204" spans="1:14" ht="15" customHeight="1">
      <c r="A204" s="13"/>
      <c r="B204" s="14" t="s">
        <v>286</v>
      </c>
      <c r="C204" s="1" t="s">
        <v>36</v>
      </c>
      <c r="D204" s="3">
        <v>1.6</v>
      </c>
      <c r="E204" s="2" t="s">
        <v>31</v>
      </c>
      <c r="F204" s="4" t="e">
        <f>H204+J204+L204</f>
        <v>#REF!</v>
      </c>
      <c r="G204" s="8" t="e">
        <f t="shared" si="28"/>
        <v>#REF!</v>
      </c>
      <c r="H204" s="4" t="e">
        <f>#REF!</f>
        <v>#REF!</v>
      </c>
      <c r="I204" s="8" t="e">
        <f>TRUNC(H204*D204,1)</f>
        <v>#REF!</v>
      </c>
      <c r="J204" s="4">
        <v>0</v>
      </c>
      <c r="K204" s="8"/>
      <c r="L204" s="4">
        <v>0</v>
      </c>
      <c r="M204" s="8"/>
      <c r="N204" s="12" t="s">
        <v>0</v>
      </c>
    </row>
    <row r="205" spans="1:14" ht="15" customHeight="1">
      <c r="A205" s="13"/>
      <c r="B205" s="14" t="s">
        <v>287</v>
      </c>
      <c r="C205" s="1" t="s">
        <v>35</v>
      </c>
      <c r="D205" s="3">
        <v>8.4600000000000009</v>
      </c>
      <c r="E205" s="2" t="s">
        <v>10</v>
      </c>
      <c r="F205" s="4" t="e">
        <f>H205+J205+L205</f>
        <v>#REF!</v>
      </c>
      <c r="G205" s="8" t="e">
        <f t="shared" si="28"/>
        <v>#REF!</v>
      </c>
      <c r="H205" s="4" t="e">
        <f>#REF!</f>
        <v>#REF!</v>
      </c>
      <c r="I205" s="8" t="e">
        <f>TRUNC(H205*D205,1)</f>
        <v>#REF!</v>
      </c>
      <c r="J205" s="4">
        <v>0</v>
      </c>
      <c r="K205" s="8"/>
      <c r="L205" s="4">
        <v>0</v>
      </c>
      <c r="M205" s="8"/>
      <c r="N205" s="12" t="s">
        <v>0</v>
      </c>
    </row>
    <row r="206" spans="1:14" ht="15" customHeight="1">
      <c r="A206" s="13"/>
      <c r="B206" s="14" t="s">
        <v>288</v>
      </c>
      <c r="C206" s="1" t="s">
        <v>29</v>
      </c>
      <c r="D206" s="1">
        <v>2</v>
      </c>
      <c r="E206" s="2" t="s">
        <v>28</v>
      </c>
      <c r="F206" s="4">
        <f>H206+J206+L206</f>
        <v>0</v>
      </c>
      <c r="G206" s="8">
        <f t="shared" si="28"/>
        <v>12092.5</v>
      </c>
      <c r="H206" s="2"/>
      <c r="I206" s="8">
        <f>TRUNC((K202*0.02),1)</f>
        <v>12092.5</v>
      </c>
      <c r="J206" s="2"/>
      <c r="K206" s="8">
        <v>0</v>
      </c>
      <c r="L206" s="2"/>
      <c r="M206" s="8">
        <v>0</v>
      </c>
      <c r="N206" s="12" t="s">
        <v>0</v>
      </c>
    </row>
    <row r="207" spans="1:14" ht="15" customHeight="1">
      <c r="A207" s="16"/>
      <c r="B207" s="15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12"/>
    </row>
    <row r="208" spans="1:14" ht="15" customHeight="1">
      <c r="A208" s="52">
        <f>A201+1</f>
        <v>122</v>
      </c>
      <c r="B208" s="46" t="s">
        <v>289</v>
      </c>
      <c r="C208" s="47" t="s">
        <v>194</v>
      </c>
      <c r="D208" s="47">
        <v>1</v>
      </c>
      <c r="E208" s="48" t="s">
        <v>3</v>
      </c>
      <c r="F208" s="51"/>
      <c r="G208" s="50" t="e">
        <f t="shared" ref="G208:G213" si="29">I208+K208+M208</f>
        <v>#REF!</v>
      </c>
      <c r="H208" s="51"/>
      <c r="I208" s="50" t="e">
        <f>TRUNC(I209+I210+I211+I212+I213,0)</f>
        <v>#REF!</v>
      </c>
      <c r="J208" s="51"/>
      <c r="K208" s="50">
        <f>TRUNC(K209+K210+K211+K212+K213,0)</f>
        <v>483136</v>
      </c>
      <c r="L208" s="51"/>
      <c r="M208" s="50">
        <f>TRUNC(M209+M210+M211+M212+M213,0)</f>
        <v>0</v>
      </c>
      <c r="N208" s="63" t="str">
        <f>N201</f>
        <v>토목6-3-4</v>
      </c>
    </row>
    <row r="209" spans="1:15" ht="15" customHeight="1">
      <c r="A209" s="13"/>
      <c r="B209" s="14" t="s">
        <v>265</v>
      </c>
      <c r="C209" s="1" t="s">
        <v>0</v>
      </c>
      <c r="D209" s="3">
        <v>1.71</v>
      </c>
      <c r="E209" s="2" t="s">
        <v>24</v>
      </c>
      <c r="F209" s="4">
        <f>H209+J209+L209</f>
        <v>282536</v>
      </c>
      <c r="G209" s="8">
        <f t="shared" si="29"/>
        <v>483136.5</v>
      </c>
      <c r="H209" s="4"/>
      <c r="I209" s="8"/>
      <c r="J209" s="4">
        <f>노임!$D$7</f>
        <v>282536</v>
      </c>
      <c r="K209" s="8">
        <f>TRUNC(J209*D209,1)</f>
        <v>483136.5</v>
      </c>
      <c r="L209" s="4">
        <v>0</v>
      </c>
      <c r="M209" s="8"/>
      <c r="N209" s="12" t="s">
        <v>0</v>
      </c>
    </row>
    <row r="210" spans="1:15" ht="15" customHeight="1">
      <c r="A210" s="13"/>
      <c r="B210" s="14" t="s">
        <v>279</v>
      </c>
      <c r="C210" s="1" t="s">
        <v>37</v>
      </c>
      <c r="D210" s="3">
        <v>2550</v>
      </c>
      <c r="E210" s="2" t="s">
        <v>30</v>
      </c>
      <c r="F210" s="4" t="e">
        <f>H210+J210+L210</f>
        <v>#REF!</v>
      </c>
      <c r="G210" s="8" t="e">
        <f t="shared" si="29"/>
        <v>#REF!</v>
      </c>
      <c r="H210" s="4" t="e">
        <f>#REF!</f>
        <v>#REF!</v>
      </c>
      <c r="I210" s="8" t="e">
        <f>TRUNC(H210*D210,1)</f>
        <v>#REF!</v>
      </c>
      <c r="J210" s="4">
        <v>0</v>
      </c>
      <c r="K210" s="8"/>
      <c r="L210" s="4">
        <v>0</v>
      </c>
      <c r="M210" s="8"/>
      <c r="N210" s="12" t="s">
        <v>0</v>
      </c>
    </row>
    <row r="211" spans="1:15" ht="15" customHeight="1">
      <c r="A211" s="13"/>
      <c r="B211" s="14" t="s">
        <v>286</v>
      </c>
      <c r="C211" s="1" t="s">
        <v>36</v>
      </c>
      <c r="D211" s="3">
        <v>1.28</v>
      </c>
      <c r="E211" s="2" t="s">
        <v>31</v>
      </c>
      <c r="F211" s="4" t="e">
        <f>H211+J211+L211</f>
        <v>#REF!</v>
      </c>
      <c r="G211" s="8" t="e">
        <f t="shared" si="29"/>
        <v>#REF!</v>
      </c>
      <c r="H211" s="4" t="e">
        <f>#REF!</f>
        <v>#REF!</v>
      </c>
      <c r="I211" s="8" t="e">
        <f>TRUNC(H211*D211,1)</f>
        <v>#REF!</v>
      </c>
      <c r="J211" s="4">
        <v>0</v>
      </c>
      <c r="K211" s="8"/>
      <c r="L211" s="4">
        <v>0</v>
      </c>
      <c r="M211" s="8"/>
      <c r="N211" s="12" t="s">
        <v>0</v>
      </c>
    </row>
    <row r="212" spans="1:15" ht="15" customHeight="1">
      <c r="A212" s="13"/>
      <c r="B212" s="14" t="s">
        <v>287</v>
      </c>
      <c r="C212" s="1" t="s">
        <v>35</v>
      </c>
      <c r="D212" s="3">
        <v>6.77</v>
      </c>
      <c r="E212" s="2" t="s">
        <v>10</v>
      </c>
      <c r="F212" s="4" t="e">
        <f>H212+J212+L212</f>
        <v>#REF!</v>
      </c>
      <c r="G212" s="8" t="e">
        <f t="shared" si="29"/>
        <v>#REF!</v>
      </c>
      <c r="H212" s="4" t="e">
        <f>#REF!</f>
        <v>#REF!</v>
      </c>
      <c r="I212" s="8" t="e">
        <f>TRUNC(H212*D212,1)</f>
        <v>#REF!</v>
      </c>
      <c r="J212" s="4">
        <v>0</v>
      </c>
      <c r="K212" s="8"/>
      <c r="L212" s="4">
        <v>0</v>
      </c>
      <c r="M212" s="8"/>
      <c r="N212" s="12" t="s">
        <v>0</v>
      </c>
    </row>
    <row r="213" spans="1:15" ht="15" customHeight="1">
      <c r="A213" s="13"/>
      <c r="B213" s="14" t="s">
        <v>288</v>
      </c>
      <c r="C213" s="1" t="s">
        <v>29</v>
      </c>
      <c r="D213" s="1">
        <v>2</v>
      </c>
      <c r="E213" s="2" t="s">
        <v>28</v>
      </c>
      <c r="F213" s="4">
        <f>H213+J213+L213</f>
        <v>0</v>
      </c>
      <c r="G213" s="8">
        <f t="shared" si="29"/>
        <v>9662.7000000000007</v>
      </c>
      <c r="H213" s="2"/>
      <c r="I213" s="8">
        <f>TRUNC((K209*0.02),1)</f>
        <v>9662.7000000000007</v>
      </c>
      <c r="J213" s="2"/>
      <c r="K213" s="8">
        <v>0</v>
      </c>
      <c r="L213" s="2"/>
      <c r="M213" s="8">
        <v>0</v>
      </c>
      <c r="N213" s="12" t="s">
        <v>0</v>
      </c>
    </row>
    <row r="214" spans="1:15" ht="15" customHeight="1">
      <c r="A214" s="16"/>
      <c r="B214" s="15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12"/>
    </row>
    <row r="215" spans="1:15" ht="15" customHeight="1">
      <c r="A215" s="52">
        <f>A208+1</f>
        <v>123</v>
      </c>
      <c r="B215" s="46" t="s">
        <v>285</v>
      </c>
      <c r="C215" s="47" t="s">
        <v>195</v>
      </c>
      <c r="D215" s="47">
        <v>1</v>
      </c>
      <c r="E215" s="48" t="s">
        <v>3</v>
      </c>
      <c r="F215" s="51"/>
      <c r="G215" s="50" t="e">
        <f t="shared" ref="G215:G220" si="30">I215+K215+M215</f>
        <v>#REF!</v>
      </c>
      <c r="H215" s="51"/>
      <c r="I215" s="50" t="e">
        <f>TRUNC(I216+I217+I218+I219+I220,0)</f>
        <v>#REF!</v>
      </c>
      <c r="J215" s="51"/>
      <c r="K215" s="50">
        <f>TRUNC(K216+K217+K218+K219+K220,0)</f>
        <v>638531</v>
      </c>
      <c r="L215" s="51"/>
      <c r="M215" s="50">
        <f>TRUNC(M216+M217+M218+M219+M220,0)</f>
        <v>0</v>
      </c>
      <c r="N215" s="63" t="str">
        <f>N208</f>
        <v>토목6-3-4</v>
      </c>
      <c r="O215" t="e">
        <f>G215*0.7/6*0.8</f>
        <v>#REF!</v>
      </c>
    </row>
    <row r="216" spans="1:15" ht="15" customHeight="1">
      <c r="A216" s="13"/>
      <c r="B216" s="14" t="s">
        <v>265</v>
      </c>
      <c r="C216" s="1" t="s">
        <v>0</v>
      </c>
      <c r="D216" s="3">
        <v>2.2599999999999998</v>
      </c>
      <c r="E216" s="2" t="s">
        <v>24</v>
      </c>
      <c r="F216" s="4">
        <f>H216+J216+L216</f>
        <v>282536</v>
      </c>
      <c r="G216" s="8">
        <f t="shared" si="30"/>
        <v>638531.30000000005</v>
      </c>
      <c r="H216" s="4"/>
      <c r="I216" s="8"/>
      <c r="J216" s="4">
        <f>노임!$D$7</f>
        <v>282536</v>
      </c>
      <c r="K216" s="8">
        <f>TRUNC(J216*D216,1)</f>
        <v>638531.30000000005</v>
      </c>
      <c r="L216" s="4">
        <v>0</v>
      </c>
      <c r="M216" s="8"/>
      <c r="N216" s="12" t="s">
        <v>0</v>
      </c>
    </row>
    <row r="217" spans="1:15" ht="15" customHeight="1">
      <c r="A217" s="13"/>
      <c r="B217" s="14" t="s">
        <v>279</v>
      </c>
      <c r="C217" s="1" t="s">
        <v>37</v>
      </c>
      <c r="D217" s="3">
        <v>3360</v>
      </c>
      <c r="E217" s="2" t="s">
        <v>30</v>
      </c>
      <c r="F217" s="4" t="e">
        <f>H217+J217+L217</f>
        <v>#REF!</v>
      </c>
      <c r="G217" s="8" t="e">
        <f t="shared" si="30"/>
        <v>#REF!</v>
      </c>
      <c r="H217" s="4" t="e">
        <f>#REF!</f>
        <v>#REF!</v>
      </c>
      <c r="I217" s="8" t="e">
        <f>TRUNC(H217*D217,1)</f>
        <v>#REF!</v>
      </c>
      <c r="J217" s="4">
        <v>0</v>
      </c>
      <c r="K217" s="8"/>
      <c r="L217" s="4">
        <v>0</v>
      </c>
      <c r="M217" s="8"/>
      <c r="N217" s="12" t="s">
        <v>0</v>
      </c>
    </row>
    <row r="218" spans="1:15" ht="15" customHeight="1">
      <c r="A218" s="13"/>
      <c r="B218" s="14" t="s">
        <v>286</v>
      </c>
      <c r="C218" s="1" t="s">
        <v>36</v>
      </c>
      <c r="D218" s="3">
        <v>1.68</v>
      </c>
      <c r="E218" s="2" t="s">
        <v>31</v>
      </c>
      <c r="F218" s="4" t="e">
        <f>H218+J218+L218</f>
        <v>#REF!</v>
      </c>
      <c r="G218" s="8" t="e">
        <f t="shared" si="30"/>
        <v>#REF!</v>
      </c>
      <c r="H218" s="4" t="e">
        <f>#REF!</f>
        <v>#REF!</v>
      </c>
      <c r="I218" s="8" t="e">
        <f>TRUNC(H218*D218,1)</f>
        <v>#REF!</v>
      </c>
      <c r="J218" s="4">
        <v>0</v>
      </c>
      <c r="K218" s="8"/>
      <c r="L218" s="4">
        <v>0</v>
      </c>
      <c r="M218" s="8"/>
      <c r="N218" s="12" t="s">
        <v>0</v>
      </c>
    </row>
    <row r="219" spans="1:15" ht="15" customHeight="1">
      <c r="A219" s="13"/>
      <c r="B219" s="14" t="s">
        <v>287</v>
      </c>
      <c r="C219" s="1" t="s">
        <v>35</v>
      </c>
      <c r="D219" s="3">
        <v>10.16</v>
      </c>
      <c r="E219" s="2" t="s">
        <v>10</v>
      </c>
      <c r="F219" s="4" t="e">
        <f>H219+J219+L219</f>
        <v>#REF!</v>
      </c>
      <c r="G219" s="8" t="e">
        <f t="shared" si="30"/>
        <v>#REF!</v>
      </c>
      <c r="H219" s="4" t="e">
        <f>#REF!</f>
        <v>#REF!</v>
      </c>
      <c r="I219" s="8" t="e">
        <f>TRUNC(H219*D219,1)</f>
        <v>#REF!</v>
      </c>
      <c r="J219" s="4">
        <v>0</v>
      </c>
      <c r="K219" s="8"/>
      <c r="L219" s="4">
        <v>0</v>
      </c>
      <c r="M219" s="8"/>
      <c r="N219" s="12" t="s">
        <v>0</v>
      </c>
    </row>
    <row r="220" spans="1:15" ht="15" customHeight="1">
      <c r="A220" s="13"/>
      <c r="B220" s="14" t="s">
        <v>288</v>
      </c>
      <c r="C220" s="1" t="s">
        <v>29</v>
      </c>
      <c r="D220" s="1">
        <v>2</v>
      </c>
      <c r="E220" s="2" t="s">
        <v>28</v>
      </c>
      <c r="F220" s="4">
        <f>H220+J220+L220</f>
        <v>0</v>
      </c>
      <c r="G220" s="8">
        <f t="shared" si="30"/>
        <v>12770.6</v>
      </c>
      <c r="H220" s="2"/>
      <c r="I220" s="8">
        <f>TRUNC((K216*0.02),1)</f>
        <v>12770.6</v>
      </c>
      <c r="J220" s="2"/>
      <c r="K220" s="8">
        <v>0</v>
      </c>
      <c r="L220" s="2"/>
      <c r="M220" s="8">
        <v>0</v>
      </c>
      <c r="N220" s="12" t="s">
        <v>0</v>
      </c>
    </row>
    <row r="221" spans="1:15" ht="15" customHeight="1">
      <c r="A221" s="16"/>
      <c r="B221" s="15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12"/>
    </row>
    <row r="222" spans="1:15" ht="15" customHeight="1">
      <c r="A222" s="52">
        <f>A215+1</f>
        <v>124</v>
      </c>
      <c r="B222" s="46" t="s">
        <v>289</v>
      </c>
      <c r="C222" s="47" t="s">
        <v>195</v>
      </c>
      <c r="D222" s="47">
        <v>1</v>
      </c>
      <c r="E222" s="48" t="s">
        <v>3</v>
      </c>
      <c r="F222" s="51"/>
      <c r="G222" s="50" t="e">
        <f t="shared" ref="G222:G227" si="31">I222+K222+M222</f>
        <v>#REF!</v>
      </c>
      <c r="H222" s="51"/>
      <c r="I222" s="50" t="e">
        <f>TRUNC(I223+I224+I225+I226+I227,0)</f>
        <v>#REF!</v>
      </c>
      <c r="J222" s="51"/>
      <c r="K222" s="50">
        <f>TRUNC(K223+K224+K225+K226+K227,0)</f>
        <v>519866</v>
      </c>
      <c r="L222" s="51"/>
      <c r="M222" s="50">
        <f>TRUNC(M223+M224+M225+M226+M227,0)</f>
        <v>0</v>
      </c>
      <c r="N222" s="63" t="str">
        <f>N215</f>
        <v>토목6-3-4</v>
      </c>
      <c r="O222" t="e">
        <f>G222*0.7/6*0.8</f>
        <v>#REF!</v>
      </c>
    </row>
    <row r="223" spans="1:15" ht="15" customHeight="1">
      <c r="A223" s="13"/>
      <c r="B223" s="14" t="s">
        <v>265</v>
      </c>
      <c r="C223" s="1" t="s">
        <v>0</v>
      </c>
      <c r="D223" s="3">
        <v>1.84</v>
      </c>
      <c r="E223" s="2" t="s">
        <v>24</v>
      </c>
      <c r="F223" s="4">
        <f>H223+J223+L223</f>
        <v>282536</v>
      </c>
      <c r="G223" s="8">
        <f t="shared" si="31"/>
        <v>519866.2</v>
      </c>
      <c r="H223" s="4"/>
      <c r="I223" s="8"/>
      <c r="J223" s="4">
        <f>노임!$D$7</f>
        <v>282536</v>
      </c>
      <c r="K223" s="8">
        <f>TRUNC(J223*D223,1)</f>
        <v>519866.2</v>
      </c>
      <c r="L223" s="4">
        <v>0</v>
      </c>
      <c r="M223" s="8"/>
      <c r="N223" s="12" t="s">
        <v>0</v>
      </c>
    </row>
    <row r="224" spans="1:15" ht="15" customHeight="1">
      <c r="A224" s="13"/>
      <c r="B224" s="14" t="s">
        <v>279</v>
      </c>
      <c r="C224" s="1" t="s">
        <v>37</v>
      </c>
      <c r="D224" s="3">
        <v>2630</v>
      </c>
      <c r="E224" s="2" t="s">
        <v>30</v>
      </c>
      <c r="F224" s="4" t="e">
        <f>H224+J224+L224</f>
        <v>#REF!</v>
      </c>
      <c r="G224" s="8" t="e">
        <f t="shared" si="31"/>
        <v>#REF!</v>
      </c>
      <c r="H224" s="4" t="e">
        <f>#REF!</f>
        <v>#REF!</v>
      </c>
      <c r="I224" s="8" t="e">
        <f>TRUNC(H224*D224,1)</f>
        <v>#REF!</v>
      </c>
      <c r="J224" s="4">
        <v>0</v>
      </c>
      <c r="K224" s="8"/>
      <c r="L224" s="4">
        <v>0</v>
      </c>
      <c r="M224" s="8"/>
      <c r="N224" s="12" t="s">
        <v>0</v>
      </c>
    </row>
    <row r="225" spans="1:14" ht="15" customHeight="1">
      <c r="A225" s="13"/>
      <c r="B225" s="14" t="s">
        <v>286</v>
      </c>
      <c r="C225" s="1" t="s">
        <v>36</v>
      </c>
      <c r="D225" s="3">
        <v>1.33</v>
      </c>
      <c r="E225" s="2" t="s">
        <v>31</v>
      </c>
      <c r="F225" s="4" t="e">
        <f>H225+J225+L225</f>
        <v>#REF!</v>
      </c>
      <c r="G225" s="8" t="e">
        <f t="shared" si="31"/>
        <v>#REF!</v>
      </c>
      <c r="H225" s="4" t="e">
        <f>#REF!</f>
        <v>#REF!</v>
      </c>
      <c r="I225" s="8" t="e">
        <f>TRUNC(H225*D225,1)</f>
        <v>#REF!</v>
      </c>
      <c r="J225" s="4">
        <v>0</v>
      </c>
      <c r="K225" s="8"/>
      <c r="L225" s="4">
        <v>0</v>
      </c>
      <c r="M225" s="8"/>
      <c r="N225" s="12" t="s">
        <v>0</v>
      </c>
    </row>
    <row r="226" spans="1:14" ht="15" customHeight="1">
      <c r="A226" s="13"/>
      <c r="B226" s="14" t="s">
        <v>287</v>
      </c>
      <c r="C226" s="1" t="s">
        <v>35</v>
      </c>
      <c r="D226" s="3">
        <v>7.23</v>
      </c>
      <c r="E226" s="2" t="s">
        <v>10</v>
      </c>
      <c r="F226" s="4" t="e">
        <f>H226+J226+L226</f>
        <v>#REF!</v>
      </c>
      <c r="G226" s="8" t="e">
        <f t="shared" si="31"/>
        <v>#REF!</v>
      </c>
      <c r="H226" s="4" t="e">
        <f>#REF!</f>
        <v>#REF!</v>
      </c>
      <c r="I226" s="8" t="e">
        <f>TRUNC(H226*D226,1)</f>
        <v>#REF!</v>
      </c>
      <c r="J226" s="4">
        <v>0</v>
      </c>
      <c r="K226" s="8"/>
      <c r="L226" s="4">
        <v>0</v>
      </c>
      <c r="M226" s="8"/>
      <c r="N226" s="12" t="s">
        <v>0</v>
      </c>
    </row>
    <row r="227" spans="1:14" ht="15" customHeight="1">
      <c r="A227" s="13"/>
      <c r="B227" s="14" t="s">
        <v>288</v>
      </c>
      <c r="C227" s="1" t="s">
        <v>29</v>
      </c>
      <c r="D227" s="1">
        <v>2</v>
      </c>
      <c r="E227" s="2" t="s">
        <v>28</v>
      </c>
      <c r="F227" s="4">
        <f>H227+J227+L227</f>
        <v>0</v>
      </c>
      <c r="G227" s="8">
        <f t="shared" si="31"/>
        <v>10397.299999999999</v>
      </c>
      <c r="H227" s="2"/>
      <c r="I227" s="8">
        <f>TRUNC((K223*0.02),1)</f>
        <v>10397.299999999999</v>
      </c>
      <c r="J227" s="2"/>
      <c r="K227" s="8">
        <v>0</v>
      </c>
      <c r="L227" s="2"/>
      <c r="M227" s="8">
        <v>0</v>
      </c>
      <c r="N227" s="12" t="s">
        <v>0</v>
      </c>
    </row>
    <row r="228" spans="1:14" ht="15" customHeight="1">
      <c r="A228" s="16"/>
      <c r="B228" s="15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12"/>
    </row>
    <row r="229" spans="1:14" ht="15" customHeight="1">
      <c r="A229" s="52">
        <f>A222+1</f>
        <v>125</v>
      </c>
      <c r="B229" s="46" t="s">
        <v>285</v>
      </c>
      <c r="C229" s="47" t="s">
        <v>196</v>
      </c>
      <c r="D229" s="47">
        <v>1</v>
      </c>
      <c r="E229" s="48" t="s">
        <v>3</v>
      </c>
      <c r="F229" s="51"/>
      <c r="G229" s="50" t="e">
        <f t="shared" ref="G229:G234" si="32">I229+K229+M229</f>
        <v>#REF!</v>
      </c>
      <c r="H229" s="51"/>
      <c r="I229" s="50" t="e">
        <f>TRUNC(I230+I231+I232+I233+I234,0)</f>
        <v>#REF!</v>
      </c>
      <c r="J229" s="51"/>
      <c r="K229" s="50">
        <f>TRUNC(K230+K231+K232+K233+K234,0)</f>
        <v>720466</v>
      </c>
      <c r="L229" s="51"/>
      <c r="M229" s="50">
        <f>TRUNC(M230+M231+M232+M233+M234,0)</f>
        <v>0</v>
      </c>
      <c r="N229" s="63" t="str">
        <f>N222</f>
        <v>토목6-3-4</v>
      </c>
    </row>
    <row r="230" spans="1:14" ht="15" customHeight="1">
      <c r="A230" s="13"/>
      <c r="B230" s="14" t="s">
        <v>265</v>
      </c>
      <c r="C230" s="1" t="s">
        <v>0</v>
      </c>
      <c r="D230" s="3">
        <v>2.5499999999999998</v>
      </c>
      <c r="E230" s="2" t="s">
        <v>24</v>
      </c>
      <c r="F230" s="4">
        <f>H230+J230+L230</f>
        <v>282536</v>
      </c>
      <c r="G230" s="8">
        <f t="shared" si="32"/>
        <v>720466.8</v>
      </c>
      <c r="H230" s="4"/>
      <c r="I230" s="8"/>
      <c r="J230" s="4">
        <f>노임!$D$7</f>
        <v>282536</v>
      </c>
      <c r="K230" s="8">
        <f>TRUNC(J230*D230,1)</f>
        <v>720466.8</v>
      </c>
      <c r="L230" s="4">
        <v>0</v>
      </c>
      <c r="M230" s="8"/>
      <c r="N230" s="12" t="s">
        <v>0</v>
      </c>
    </row>
    <row r="231" spans="1:14" ht="15" customHeight="1">
      <c r="A231" s="13"/>
      <c r="B231" s="14" t="s">
        <v>279</v>
      </c>
      <c r="C231" s="1" t="s">
        <v>37</v>
      </c>
      <c r="D231" s="3">
        <v>3920</v>
      </c>
      <c r="E231" s="2" t="s">
        <v>30</v>
      </c>
      <c r="F231" s="4" t="e">
        <f>H231+J231+L231</f>
        <v>#REF!</v>
      </c>
      <c r="G231" s="8" t="e">
        <f t="shared" si="32"/>
        <v>#REF!</v>
      </c>
      <c r="H231" s="4" t="e">
        <f>#REF!</f>
        <v>#REF!</v>
      </c>
      <c r="I231" s="8" t="e">
        <f>TRUNC(H231*D231,1)</f>
        <v>#REF!</v>
      </c>
      <c r="J231" s="4">
        <v>0</v>
      </c>
      <c r="K231" s="8"/>
      <c r="L231" s="4">
        <v>0</v>
      </c>
      <c r="M231" s="8"/>
      <c r="N231" s="12" t="s">
        <v>0</v>
      </c>
    </row>
    <row r="232" spans="1:14" ht="15" customHeight="1">
      <c r="A232" s="13"/>
      <c r="B232" s="14" t="s">
        <v>286</v>
      </c>
      <c r="C232" s="1" t="s">
        <v>36</v>
      </c>
      <c r="D232" s="3">
        <v>1.96</v>
      </c>
      <c r="E232" s="2" t="s">
        <v>31</v>
      </c>
      <c r="F232" s="4" t="e">
        <f>H232+J232+L232</f>
        <v>#REF!</v>
      </c>
      <c r="G232" s="8" t="e">
        <f t="shared" si="32"/>
        <v>#REF!</v>
      </c>
      <c r="H232" s="4" t="e">
        <f>#REF!</f>
        <v>#REF!</v>
      </c>
      <c r="I232" s="8" t="e">
        <f>TRUNC(H232*D232,1)</f>
        <v>#REF!</v>
      </c>
      <c r="J232" s="4">
        <v>0</v>
      </c>
      <c r="K232" s="8"/>
      <c r="L232" s="4">
        <v>0</v>
      </c>
      <c r="M232" s="8"/>
      <c r="N232" s="12" t="s">
        <v>0</v>
      </c>
    </row>
    <row r="233" spans="1:14" ht="15" customHeight="1">
      <c r="A233" s="13"/>
      <c r="B233" s="14" t="s">
        <v>287</v>
      </c>
      <c r="C233" s="1" t="s">
        <v>35</v>
      </c>
      <c r="D233" s="3">
        <v>12.7</v>
      </c>
      <c r="E233" s="2" t="s">
        <v>10</v>
      </c>
      <c r="F233" s="4" t="e">
        <f>H233+J233+L233</f>
        <v>#REF!</v>
      </c>
      <c r="G233" s="8" t="e">
        <f t="shared" si="32"/>
        <v>#REF!</v>
      </c>
      <c r="H233" s="4" t="e">
        <f>#REF!</f>
        <v>#REF!</v>
      </c>
      <c r="I233" s="8" t="e">
        <f>TRUNC(H233*D233,1)</f>
        <v>#REF!</v>
      </c>
      <c r="J233" s="4">
        <v>0</v>
      </c>
      <c r="K233" s="8"/>
      <c r="L233" s="4">
        <v>0</v>
      </c>
      <c r="M233" s="8"/>
      <c r="N233" s="12" t="s">
        <v>0</v>
      </c>
    </row>
    <row r="234" spans="1:14" ht="15" customHeight="1">
      <c r="A234" s="13"/>
      <c r="B234" s="14" t="s">
        <v>288</v>
      </c>
      <c r="C234" s="1" t="s">
        <v>29</v>
      </c>
      <c r="D234" s="1">
        <v>2</v>
      </c>
      <c r="E234" s="2" t="s">
        <v>28</v>
      </c>
      <c r="F234" s="4">
        <f>H234+J234+L234</f>
        <v>0</v>
      </c>
      <c r="G234" s="8">
        <f t="shared" si="32"/>
        <v>14409.3</v>
      </c>
      <c r="H234" s="2"/>
      <c r="I234" s="8">
        <f>TRUNC((K230*0.02),1)</f>
        <v>14409.3</v>
      </c>
      <c r="J234" s="2"/>
      <c r="K234" s="8">
        <v>0</v>
      </c>
      <c r="L234" s="2"/>
      <c r="M234" s="8">
        <v>0</v>
      </c>
      <c r="N234" s="12" t="s">
        <v>0</v>
      </c>
    </row>
    <row r="235" spans="1:14" ht="15" customHeight="1">
      <c r="A235" s="16"/>
      <c r="B235" s="15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12"/>
    </row>
    <row r="236" spans="1:14" ht="15" customHeight="1">
      <c r="A236" s="52">
        <f>A229+1</f>
        <v>126</v>
      </c>
      <c r="B236" s="46" t="s">
        <v>289</v>
      </c>
      <c r="C236" s="47" t="s">
        <v>196</v>
      </c>
      <c r="D236" s="47">
        <v>1</v>
      </c>
      <c r="E236" s="48" t="s">
        <v>3</v>
      </c>
      <c r="F236" s="51"/>
      <c r="G236" s="50" t="e">
        <f t="shared" ref="G236:G241" si="33">I236+K236+M236</f>
        <v>#REF!</v>
      </c>
      <c r="H236" s="51"/>
      <c r="I236" s="50" t="e">
        <f>TRUNC(I237+I238+I239+I240+I241,0)</f>
        <v>#REF!</v>
      </c>
      <c r="J236" s="51"/>
      <c r="K236" s="50">
        <f>TRUNC(K237+K238+K239+K240+K241,0)</f>
        <v>655483</v>
      </c>
      <c r="L236" s="51"/>
      <c r="M236" s="50">
        <f>TRUNC(M237+M238+M239+M240+M241,0)</f>
        <v>0</v>
      </c>
      <c r="N236" s="63" t="str">
        <f>N229</f>
        <v>토목6-3-4</v>
      </c>
    </row>
    <row r="237" spans="1:14" ht="15" customHeight="1">
      <c r="A237" s="13"/>
      <c r="B237" s="14" t="s">
        <v>265</v>
      </c>
      <c r="C237" s="1" t="s">
        <v>0</v>
      </c>
      <c r="D237" s="3">
        <v>2.3199999999999998</v>
      </c>
      <c r="E237" s="2" t="s">
        <v>24</v>
      </c>
      <c r="F237" s="4">
        <f>H237+J237+L237</f>
        <v>282536</v>
      </c>
      <c r="G237" s="8">
        <f t="shared" si="33"/>
        <v>655483.5</v>
      </c>
      <c r="H237" s="4"/>
      <c r="I237" s="8"/>
      <c r="J237" s="4">
        <f>노임!$D$7</f>
        <v>282536</v>
      </c>
      <c r="K237" s="8">
        <f>TRUNC(J237*D237,1)</f>
        <v>655483.5</v>
      </c>
      <c r="L237" s="4">
        <v>0</v>
      </c>
      <c r="M237" s="8"/>
      <c r="N237" s="12" t="s">
        <v>0</v>
      </c>
    </row>
    <row r="238" spans="1:14" ht="15" customHeight="1">
      <c r="A238" s="13"/>
      <c r="B238" s="14" t="s">
        <v>279</v>
      </c>
      <c r="C238" s="1" t="s">
        <v>37</v>
      </c>
      <c r="D238" s="3">
        <v>3580</v>
      </c>
      <c r="E238" s="2" t="s">
        <v>30</v>
      </c>
      <c r="F238" s="4" t="e">
        <f>H238+J238+L238</f>
        <v>#REF!</v>
      </c>
      <c r="G238" s="8" t="e">
        <f t="shared" si="33"/>
        <v>#REF!</v>
      </c>
      <c r="H238" s="4" t="e">
        <f>#REF!</f>
        <v>#REF!</v>
      </c>
      <c r="I238" s="8" t="e">
        <f>TRUNC(H238*D238,1)</f>
        <v>#REF!</v>
      </c>
      <c r="J238" s="4">
        <v>0</v>
      </c>
      <c r="K238" s="8"/>
      <c r="L238" s="4">
        <v>0</v>
      </c>
      <c r="M238" s="8"/>
      <c r="N238" s="12" t="s">
        <v>0</v>
      </c>
    </row>
    <row r="239" spans="1:14" ht="15" customHeight="1">
      <c r="A239" s="13"/>
      <c r="B239" s="14" t="s">
        <v>286</v>
      </c>
      <c r="C239" s="1" t="s">
        <v>36</v>
      </c>
      <c r="D239" s="3">
        <v>1.79</v>
      </c>
      <c r="E239" s="2" t="s">
        <v>31</v>
      </c>
      <c r="F239" s="4" t="e">
        <f>H239+J239+L239</f>
        <v>#REF!</v>
      </c>
      <c r="G239" s="8" t="e">
        <f t="shared" si="33"/>
        <v>#REF!</v>
      </c>
      <c r="H239" s="4" t="e">
        <f>#REF!</f>
        <v>#REF!</v>
      </c>
      <c r="I239" s="8" t="e">
        <f>TRUNC(H239*D239,1)</f>
        <v>#REF!</v>
      </c>
      <c r="J239" s="4">
        <v>0</v>
      </c>
      <c r="K239" s="8"/>
      <c r="L239" s="4">
        <v>0</v>
      </c>
      <c r="M239" s="8"/>
      <c r="N239" s="12" t="s">
        <v>0</v>
      </c>
    </row>
    <row r="240" spans="1:14" ht="15" customHeight="1">
      <c r="A240" s="13"/>
      <c r="B240" s="14" t="s">
        <v>287</v>
      </c>
      <c r="C240" s="1" t="s">
        <v>35</v>
      </c>
      <c r="D240" s="3">
        <v>10.58</v>
      </c>
      <c r="E240" s="2" t="s">
        <v>10</v>
      </c>
      <c r="F240" s="4" t="e">
        <f>H240+J240+L240</f>
        <v>#REF!</v>
      </c>
      <c r="G240" s="8" t="e">
        <f t="shared" si="33"/>
        <v>#REF!</v>
      </c>
      <c r="H240" s="4" t="e">
        <f>#REF!</f>
        <v>#REF!</v>
      </c>
      <c r="I240" s="8" t="e">
        <f>TRUNC(H240*D240,1)</f>
        <v>#REF!</v>
      </c>
      <c r="J240" s="4">
        <v>0</v>
      </c>
      <c r="K240" s="8"/>
      <c r="L240" s="4">
        <v>0</v>
      </c>
      <c r="M240" s="8"/>
      <c r="N240" s="12" t="s">
        <v>0</v>
      </c>
    </row>
    <row r="241" spans="1:14" ht="15" customHeight="1">
      <c r="A241" s="13"/>
      <c r="B241" s="14" t="s">
        <v>288</v>
      </c>
      <c r="C241" s="1" t="s">
        <v>29</v>
      </c>
      <c r="D241" s="1">
        <v>2</v>
      </c>
      <c r="E241" s="2" t="s">
        <v>28</v>
      </c>
      <c r="F241" s="4">
        <f>H241+J241+L241</f>
        <v>0</v>
      </c>
      <c r="G241" s="8">
        <f t="shared" si="33"/>
        <v>13109.6</v>
      </c>
      <c r="H241" s="2"/>
      <c r="I241" s="8">
        <f>TRUNC((K237*0.02),1)</f>
        <v>13109.6</v>
      </c>
      <c r="J241" s="2"/>
      <c r="K241" s="8">
        <v>0</v>
      </c>
      <c r="L241" s="2"/>
      <c r="M241" s="8">
        <v>0</v>
      </c>
      <c r="N241" s="12" t="s">
        <v>0</v>
      </c>
    </row>
    <row r="242" spans="1:14" ht="15" customHeight="1">
      <c r="A242" s="16"/>
      <c r="B242" s="15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12"/>
    </row>
    <row r="243" spans="1:14" ht="15" customHeight="1">
      <c r="A243" s="52">
        <f>A236+1</f>
        <v>127</v>
      </c>
      <c r="B243" s="46" t="s">
        <v>285</v>
      </c>
      <c r="C243" s="47" t="s">
        <v>197</v>
      </c>
      <c r="D243" s="47">
        <v>1</v>
      </c>
      <c r="E243" s="48" t="s">
        <v>3</v>
      </c>
      <c r="F243" s="51"/>
      <c r="G243" s="50" t="e">
        <f t="shared" ref="G243:G248" si="34">I243+K243+M243</f>
        <v>#REF!</v>
      </c>
      <c r="H243" s="51"/>
      <c r="I243" s="50" t="e">
        <f>TRUNC(I244+I245+I246+I247+I248,0)</f>
        <v>#REF!</v>
      </c>
      <c r="J243" s="51"/>
      <c r="K243" s="50">
        <f>TRUNC(K244+K245+K246+K247+K248,0)</f>
        <v>785450</v>
      </c>
      <c r="L243" s="51"/>
      <c r="M243" s="50">
        <f>TRUNC(M244+M245+M246+M247+M248,0)</f>
        <v>0</v>
      </c>
      <c r="N243" s="63" t="str">
        <f>N236</f>
        <v>토목6-3-4</v>
      </c>
    </row>
    <row r="244" spans="1:14" ht="15" customHeight="1">
      <c r="A244" s="13"/>
      <c r="B244" s="14" t="s">
        <v>265</v>
      </c>
      <c r="C244" s="1" t="s">
        <v>0</v>
      </c>
      <c r="D244" s="3">
        <v>2.78</v>
      </c>
      <c r="E244" s="2" t="s">
        <v>24</v>
      </c>
      <c r="F244" s="4">
        <f>H244+J244+L244</f>
        <v>282536</v>
      </c>
      <c r="G244" s="8">
        <f t="shared" si="34"/>
        <v>785450</v>
      </c>
      <c r="H244" s="4"/>
      <c r="I244" s="8"/>
      <c r="J244" s="4">
        <f>노임!$D$7</f>
        <v>282536</v>
      </c>
      <c r="K244" s="8">
        <f>TRUNC(J244*D244,1)</f>
        <v>785450</v>
      </c>
      <c r="L244" s="4">
        <v>0</v>
      </c>
      <c r="M244" s="8"/>
      <c r="N244" s="12"/>
    </row>
    <row r="245" spans="1:14" ht="15" customHeight="1">
      <c r="A245" s="13"/>
      <c r="B245" s="14" t="s">
        <v>279</v>
      </c>
      <c r="C245" s="1" t="s">
        <v>37</v>
      </c>
      <c r="D245" s="3">
        <v>4790.8999999999996</v>
      </c>
      <c r="E245" s="2" t="s">
        <v>30</v>
      </c>
      <c r="F245" s="4" t="e">
        <f>H245+J245+L245</f>
        <v>#REF!</v>
      </c>
      <c r="G245" s="8" t="e">
        <f t="shared" si="34"/>
        <v>#REF!</v>
      </c>
      <c r="H245" s="4" t="e">
        <f>#REF!</f>
        <v>#REF!</v>
      </c>
      <c r="I245" s="8" t="e">
        <f>TRUNC(H245*D245,1)</f>
        <v>#REF!</v>
      </c>
      <c r="J245" s="4">
        <v>0</v>
      </c>
      <c r="K245" s="8"/>
      <c r="L245" s="4">
        <v>0</v>
      </c>
      <c r="M245" s="8"/>
      <c r="N245" s="12" t="s">
        <v>290</v>
      </c>
    </row>
    <row r="246" spans="1:14" ht="15" customHeight="1">
      <c r="A246" s="13"/>
      <c r="B246" s="14" t="s">
        <v>286</v>
      </c>
      <c r="C246" s="1" t="s">
        <v>36</v>
      </c>
      <c r="D246" s="3">
        <v>2.4</v>
      </c>
      <c r="E246" s="2" t="s">
        <v>31</v>
      </c>
      <c r="F246" s="4" t="e">
        <f>H246+J246+L246</f>
        <v>#REF!</v>
      </c>
      <c r="G246" s="8" t="e">
        <f t="shared" si="34"/>
        <v>#REF!</v>
      </c>
      <c r="H246" s="4" t="e">
        <f>#REF!</f>
        <v>#REF!</v>
      </c>
      <c r="I246" s="8" t="e">
        <f>TRUNC(H246*D246,1)</f>
        <v>#REF!</v>
      </c>
      <c r="J246" s="4">
        <v>0</v>
      </c>
      <c r="K246" s="8"/>
      <c r="L246" s="4">
        <v>0</v>
      </c>
      <c r="M246" s="8"/>
      <c r="N246" s="12" t="s">
        <v>0</v>
      </c>
    </row>
    <row r="247" spans="1:14" ht="15" customHeight="1">
      <c r="A247" s="13"/>
      <c r="B247" s="14" t="s">
        <v>287</v>
      </c>
      <c r="C247" s="1" t="s">
        <v>35</v>
      </c>
      <c r="D247" s="3">
        <v>12.7</v>
      </c>
      <c r="E247" s="2" t="s">
        <v>10</v>
      </c>
      <c r="F247" s="4" t="e">
        <f>H247+J247+L247</f>
        <v>#REF!</v>
      </c>
      <c r="G247" s="8" t="e">
        <f t="shared" si="34"/>
        <v>#REF!</v>
      </c>
      <c r="H247" s="4" t="e">
        <f>#REF!</f>
        <v>#REF!</v>
      </c>
      <c r="I247" s="8" t="e">
        <f>TRUNC(H247*D247,1)</f>
        <v>#REF!</v>
      </c>
      <c r="J247" s="4">
        <v>0</v>
      </c>
      <c r="K247" s="8"/>
      <c r="L247" s="4">
        <v>0</v>
      </c>
      <c r="M247" s="8"/>
      <c r="N247" s="12" t="s">
        <v>0</v>
      </c>
    </row>
    <row r="248" spans="1:14" ht="15" customHeight="1">
      <c r="A248" s="13"/>
      <c r="B248" s="14" t="s">
        <v>288</v>
      </c>
      <c r="C248" s="1" t="s">
        <v>29</v>
      </c>
      <c r="D248" s="1">
        <v>2</v>
      </c>
      <c r="E248" s="2" t="s">
        <v>28</v>
      </c>
      <c r="F248" s="4">
        <f>H248+J248+L248</f>
        <v>0</v>
      </c>
      <c r="G248" s="8">
        <f t="shared" si="34"/>
        <v>15709</v>
      </c>
      <c r="H248" s="2"/>
      <c r="I248" s="8">
        <f>TRUNC((K244*0.02),1)</f>
        <v>15709</v>
      </c>
      <c r="J248" s="2"/>
      <c r="K248" s="8">
        <v>0</v>
      </c>
      <c r="L248" s="2"/>
      <c r="M248" s="8">
        <v>0</v>
      </c>
      <c r="N248" s="12" t="s">
        <v>0</v>
      </c>
    </row>
    <row r="249" spans="1:14" ht="15" customHeight="1">
      <c r="A249" s="16"/>
      <c r="B249" s="15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12"/>
    </row>
    <row r="250" spans="1:14" ht="15" customHeight="1">
      <c r="A250" s="52">
        <f>A243+1</f>
        <v>128</v>
      </c>
      <c r="B250" s="46" t="s">
        <v>289</v>
      </c>
      <c r="C250" s="47" t="s">
        <v>197</v>
      </c>
      <c r="D250" s="47">
        <v>1</v>
      </c>
      <c r="E250" s="48" t="s">
        <v>3</v>
      </c>
      <c r="F250" s="51"/>
      <c r="G250" s="50" t="e">
        <f t="shared" ref="G250:G255" si="35">I250+K250+M250</f>
        <v>#REF!</v>
      </c>
      <c r="H250" s="51"/>
      <c r="I250" s="50" t="e">
        <f>TRUNC(I251+I252+I253+I254+I255,0)</f>
        <v>#REF!</v>
      </c>
      <c r="J250" s="51"/>
      <c r="K250" s="50">
        <f>TRUNC(K251+K252+K253+K254+K255,0)</f>
        <v>678086</v>
      </c>
      <c r="L250" s="51"/>
      <c r="M250" s="50">
        <f>TRUNC(M251+M252+M253+M254+M255,0)</f>
        <v>0</v>
      </c>
      <c r="N250" s="63" t="str">
        <f>N243</f>
        <v>토목6-3-4</v>
      </c>
    </row>
    <row r="251" spans="1:14" ht="15" customHeight="1">
      <c r="A251" s="13"/>
      <c r="B251" s="14" t="s">
        <v>265</v>
      </c>
      <c r="C251" s="1" t="s">
        <v>0</v>
      </c>
      <c r="D251" s="3">
        <v>2.4</v>
      </c>
      <c r="E251" s="2" t="s">
        <v>24</v>
      </c>
      <c r="F251" s="4">
        <f>H251+J251+L251</f>
        <v>282536</v>
      </c>
      <c r="G251" s="8">
        <f t="shared" si="35"/>
        <v>678086.4</v>
      </c>
      <c r="H251" s="4"/>
      <c r="I251" s="8"/>
      <c r="J251" s="4">
        <f>노임!$D$7</f>
        <v>282536</v>
      </c>
      <c r="K251" s="8">
        <f>TRUNC(J251*D251,1)</f>
        <v>678086.4</v>
      </c>
      <c r="L251" s="4">
        <v>0</v>
      </c>
      <c r="M251" s="8"/>
      <c r="N251" s="12"/>
    </row>
    <row r="252" spans="1:14" ht="15" customHeight="1">
      <c r="A252" s="13"/>
      <c r="B252" s="14" t="s">
        <v>279</v>
      </c>
      <c r="C252" s="1" t="s">
        <v>37</v>
      </c>
      <c r="D252" s="3">
        <v>3939.4</v>
      </c>
      <c r="E252" s="2" t="s">
        <v>30</v>
      </c>
      <c r="F252" s="4" t="e">
        <f>H252+J252+L252</f>
        <v>#REF!</v>
      </c>
      <c r="G252" s="8" t="e">
        <f t="shared" si="35"/>
        <v>#REF!</v>
      </c>
      <c r="H252" s="4" t="e">
        <f>#REF!</f>
        <v>#REF!</v>
      </c>
      <c r="I252" s="8" t="e">
        <f>TRUNC(H252*D252,1)</f>
        <v>#REF!</v>
      </c>
      <c r="J252" s="4">
        <v>0</v>
      </c>
      <c r="K252" s="8"/>
      <c r="L252" s="4">
        <v>0</v>
      </c>
      <c r="M252" s="8"/>
      <c r="N252" s="12" t="s">
        <v>290</v>
      </c>
    </row>
    <row r="253" spans="1:14" ht="15" customHeight="1">
      <c r="A253" s="13"/>
      <c r="B253" s="14" t="s">
        <v>286</v>
      </c>
      <c r="C253" s="1" t="s">
        <v>36</v>
      </c>
      <c r="D253" s="3">
        <v>1.97</v>
      </c>
      <c r="E253" s="2" t="s">
        <v>31</v>
      </c>
      <c r="F253" s="4" t="e">
        <f>H253+J253+L253</f>
        <v>#REF!</v>
      </c>
      <c r="G253" s="8" t="e">
        <f t="shared" si="35"/>
        <v>#REF!</v>
      </c>
      <c r="H253" s="4" t="e">
        <f>#REF!</f>
        <v>#REF!</v>
      </c>
      <c r="I253" s="8" t="e">
        <f>TRUNC(H253*D253,1)</f>
        <v>#REF!</v>
      </c>
      <c r="J253" s="4">
        <v>0</v>
      </c>
      <c r="K253" s="8"/>
      <c r="L253" s="4">
        <v>0</v>
      </c>
      <c r="M253" s="8"/>
      <c r="N253" s="12" t="s">
        <v>0</v>
      </c>
    </row>
    <row r="254" spans="1:14" ht="15" customHeight="1">
      <c r="A254" s="13"/>
      <c r="B254" s="14" t="s">
        <v>287</v>
      </c>
      <c r="C254" s="1" t="s">
        <v>35</v>
      </c>
      <c r="D254" s="3">
        <v>11.64</v>
      </c>
      <c r="E254" s="2" t="s">
        <v>10</v>
      </c>
      <c r="F254" s="4" t="e">
        <f>H254+J254+L254</f>
        <v>#REF!</v>
      </c>
      <c r="G254" s="8" t="e">
        <f t="shared" si="35"/>
        <v>#REF!</v>
      </c>
      <c r="H254" s="4" t="e">
        <f>#REF!</f>
        <v>#REF!</v>
      </c>
      <c r="I254" s="8" t="e">
        <f>TRUNC(H254*D254,1)</f>
        <v>#REF!</v>
      </c>
      <c r="J254" s="4">
        <v>0</v>
      </c>
      <c r="K254" s="8"/>
      <c r="L254" s="4">
        <v>0</v>
      </c>
      <c r="M254" s="8"/>
      <c r="N254" s="12" t="s">
        <v>0</v>
      </c>
    </row>
    <row r="255" spans="1:14" ht="15" customHeight="1">
      <c r="A255" s="13"/>
      <c r="B255" s="14" t="s">
        <v>288</v>
      </c>
      <c r="C255" s="1" t="s">
        <v>29</v>
      </c>
      <c r="D255" s="1">
        <v>2</v>
      </c>
      <c r="E255" s="2" t="s">
        <v>28</v>
      </c>
      <c r="F255" s="4">
        <f>H255+J255+L255</f>
        <v>0</v>
      </c>
      <c r="G255" s="8">
        <f t="shared" si="35"/>
        <v>13561.7</v>
      </c>
      <c r="H255" s="2"/>
      <c r="I255" s="8">
        <f>TRUNC((K251*0.02),1)</f>
        <v>13561.7</v>
      </c>
      <c r="J255" s="2"/>
      <c r="K255" s="8">
        <v>0</v>
      </c>
      <c r="L255" s="2"/>
      <c r="M255" s="8">
        <v>0</v>
      </c>
      <c r="N255" s="12" t="s">
        <v>0</v>
      </c>
    </row>
    <row r="256" spans="1:14" ht="15" customHeight="1">
      <c r="A256" s="16"/>
      <c r="B256" s="15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12"/>
    </row>
    <row r="257" spans="1:14" ht="15" customHeight="1">
      <c r="A257" s="52">
        <f>A250+1</f>
        <v>129</v>
      </c>
      <c r="B257" s="46" t="s">
        <v>285</v>
      </c>
      <c r="C257" s="47" t="s">
        <v>198</v>
      </c>
      <c r="D257" s="47">
        <v>1</v>
      </c>
      <c r="E257" s="48" t="s">
        <v>3</v>
      </c>
      <c r="F257" s="51"/>
      <c r="G257" s="50" t="e">
        <f t="shared" ref="G257:G262" si="36">I257+K257+M257</f>
        <v>#REF!</v>
      </c>
      <c r="H257" s="51"/>
      <c r="I257" s="50" t="e">
        <f>TRUNC(I258+I259+I260+I261+I262,0)</f>
        <v>#REF!</v>
      </c>
      <c r="J257" s="51"/>
      <c r="K257" s="50">
        <f>TRUNC(K258+K259+K260+K261+K262,0)</f>
        <v>864560</v>
      </c>
      <c r="L257" s="51"/>
      <c r="M257" s="50">
        <f>TRUNC(M258+M259+M260+M261+M262,0)</f>
        <v>0</v>
      </c>
      <c r="N257" s="63" t="str">
        <f>N250</f>
        <v>토목6-3-4</v>
      </c>
    </row>
    <row r="258" spans="1:14" ht="15" customHeight="1">
      <c r="A258" s="13"/>
      <c r="B258" s="14" t="s">
        <v>265</v>
      </c>
      <c r="C258" s="1" t="s">
        <v>0</v>
      </c>
      <c r="D258" s="3">
        <v>3.06</v>
      </c>
      <c r="E258" s="2" t="s">
        <v>24</v>
      </c>
      <c r="F258" s="4">
        <f>H258+J258+L258</f>
        <v>282536</v>
      </c>
      <c r="G258" s="8">
        <f t="shared" si="36"/>
        <v>864560.1</v>
      </c>
      <c r="H258" s="4"/>
      <c r="I258" s="8"/>
      <c r="J258" s="4">
        <f>노임!$D$7</f>
        <v>282536</v>
      </c>
      <c r="K258" s="8">
        <f>TRUNC(J258*D258,1)</f>
        <v>864560.1</v>
      </c>
      <c r="L258" s="4">
        <v>0</v>
      </c>
      <c r="M258" s="8"/>
      <c r="N258" s="12"/>
    </row>
    <row r="259" spans="1:14" ht="15" customHeight="1">
      <c r="A259" s="13"/>
      <c r="B259" s="14" t="s">
        <v>279</v>
      </c>
      <c r="C259" s="1" t="s">
        <v>37</v>
      </c>
      <c r="D259" s="3">
        <v>5748.9</v>
      </c>
      <c r="E259" s="2" t="s">
        <v>30</v>
      </c>
      <c r="F259" s="4" t="e">
        <f>H259+J259+L259</f>
        <v>#REF!</v>
      </c>
      <c r="G259" s="8" t="e">
        <f t="shared" si="36"/>
        <v>#REF!</v>
      </c>
      <c r="H259" s="4" t="e">
        <f>#REF!</f>
        <v>#REF!</v>
      </c>
      <c r="I259" s="8" t="e">
        <f>TRUNC(H259*D259,1)</f>
        <v>#REF!</v>
      </c>
      <c r="J259" s="4">
        <v>0</v>
      </c>
      <c r="K259" s="8"/>
      <c r="L259" s="4">
        <v>0</v>
      </c>
      <c r="M259" s="8"/>
      <c r="N259" s="12" t="s">
        <v>290</v>
      </c>
    </row>
    <row r="260" spans="1:14" ht="15" customHeight="1">
      <c r="A260" s="13"/>
      <c r="B260" s="14" t="s">
        <v>286</v>
      </c>
      <c r="C260" s="1" t="s">
        <v>36</v>
      </c>
      <c r="D260" s="3">
        <v>2.87</v>
      </c>
      <c r="E260" s="2" t="s">
        <v>31</v>
      </c>
      <c r="F260" s="4" t="e">
        <f>H260+J260+L260</f>
        <v>#REF!</v>
      </c>
      <c r="G260" s="8" t="e">
        <f t="shared" si="36"/>
        <v>#REF!</v>
      </c>
      <c r="H260" s="4" t="e">
        <f>#REF!</f>
        <v>#REF!</v>
      </c>
      <c r="I260" s="8" t="e">
        <f>TRUNC(H260*D260,1)</f>
        <v>#REF!</v>
      </c>
      <c r="J260" s="4">
        <v>0</v>
      </c>
      <c r="K260" s="8"/>
      <c r="L260" s="4">
        <v>0</v>
      </c>
      <c r="M260" s="8"/>
      <c r="N260" s="12" t="s">
        <v>0</v>
      </c>
    </row>
    <row r="261" spans="1:14" ht="15" customHeight="1">
      <c r="A261" s="13"/>
      <c r="B261" s="14" t="s">
        <v>287</v>
      </c>
      <c r="C261" s="1" t="s">
        <v>35</v>
      </c>
      <c r="D261" s="3">
        <v>18.63</v>
      </c>
      <c r="E261" s="2" t="s">
        <v>10</v>
      </c>
      <c r="F261" s="4" t="e">
        <f>H261+J261+L261</f>
        <v>#REF!</v>
      </c>
      <c r="G261" s="8" t="e">
        <f t="shared" si="36"/>
        <v>#REF!</v>
      </c>
      <c r="H261" s="4" t="e">
        <f>#REF!</f>
        <v>#REF!</v>
      </c>
      <c r="I261" s="8" t="e">
        <f>TRUNC(H261*D261,1)</f>
        <v>#REF!</v>
      </c>
      <c r="J261" s="4">
        <v>0</v>
      </c>
      <c r="K261" s="8"/>
      <c r="L261" s="4">
        <v>0</v>
      </c>
      <c r="M261" s="8"/>
      <c r="N261" s="12" t="s">
        <v>0</v>
      </c>
    </row>
    <row r="262" spans="1:14" ht="15" customHeight="1">
      <c r="A262" s="13"/>
      <c r="B262" s="14" t="s">
        <v>288</v>
      </c>
      <c r="C262" s="1" t="s">
        <v>29</v>
      </c>
      <c r="D262" s="1">
        <v>2</v>
      </c>
      <c r="E262" s="2" t="s">
        <v>28</v>
      </c>
      <c r="F262" s="4">
        <f>H262+J262+L262</f>
        <v>0</v>
      </c>
      <c r="G262" s="8">
        <f t="shared" si="36"/>
        <v>17291.2</v>
      </c>
      <c r="H262" s="2"/>
      <c r="I262" s="8">
        <f>TRUNC((K258*0.02),1)</f>
        <v>17291.2</v>
      </c>
      <c r="J262" s="2"/>
      <c r="K262" s="8">
        <v>0</v>
      </c>
      <c r="L262" s="2"/>
      <c r="M262" s="8">
        <v>0</v>
      </c>
      <c r="N262" s="12" t="s">
        <v>0</v>
      </c>
    </row>
    <row r="263" spans="1:14" ht="15" customHeight="1">
      <c r="A263" s="16"/>
      <c r="B263" s="15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12"/>
    </row>
    <row r="264" spans="1:14" ht="15" customHeight="1">
      <c r="A264" s="52">
        <f>A257+1</f>
        <v>130</v>
      </c>
      <c r="B264" s="46" t="s">
        <v>289</v>
      </c>
      <c r="C264" s="47" t="s">
        <v>198</v>
      </c>
      <c r="D264" s="47">
        <v>1</v>
      </c>
      <c r="E264" s="48" t="s">
        <v>3</v>
      </c>
      <c r="F264" s="51"/>
      <c r="G264" s="50" t="e">
        <f t="shared" ref="G264:G269" si="37">I264+K264+M264</f>
        <v>#REF!</v>
      </c>
      <c r="H264" s="51"/>
      <c r="I264" s="50" t="e">
        <f>TRUNC(I265+I266+I267+I268+I269,0)</f>
        <v>#REF!</v>
      </c>
      <c r="J264" s="51"/>
      <c r="K264" s="50">
        <f>TRUNC(K265+K266+K267+K268+K269,0)</f>
        <v>751545</v>
      </c>
      <c r="L264" s="51"/>
      <c r="M264" s="50">
        <f>TRUNC(M265+M266+M267+M268+M269,0)</f>
        <v>0</v>
      </c>
      <c r="N264" s="63" t="str">
        <f>N257</f>
        <v>토목6-3-4</v>
      </c>
    </row>
    <row r="265" spans="1:14" ht="15" customHeight="1">
      <c r="A265" s="13"/>
      <c r="B265" s="14" t="s">
        <v>265</v>
      </c>
      <c r="C265" s="1" t="s">
        <v>0</v>
      </c>
      <c r="D265" s="3">
        <v>2.66</v>
      </c>
      <c r="E265" s="2" t="s">
        <v>24</v>
      </c>
      <c r="F265" s="4">
        <f>H265+J265+L265</f>
        <v>282536</v>
      </c>
      <c r="G265" s="8">
        <f t="shared" si="37"/>
        <v>751545.7</v>
      </c>
      <c r="H265" s="4"/>
      <c r="I265" s="8"/>
      <c r="J265" s="4">
        <f>노임!$D$7</f>
        <v>282536</v>
      </c>
      <c r="K265" s="8">
        <f>TRUNC(J265*D265,1)</f>
        <v>751545.7</v>
      </c>
      <c r="L265" s="4">
        <v>0</v>
      </c>
      <c r="M265" s="8"/>
      <c r="N265" s="12"/>
    </row>
    <row r="266" spans="1:14" ht="15" customHeight="1">
      <c r="A266" s="13"/>
      <c r="B266" s="14" t="s">
        <v>279</v>
      </c>
      <c r="C266" s="1" t="s">
        <v>37</v>
      </c>
      <c r="D266" s="3">
        <v>4834.2</v>
      </c>
      <c r="E266" s="2" t="s">
        <v>30</v>
      </c>
      <c r="F266" s="4" t="e">
        <f>H266+J266+L266</f>
        <v>#REF!</v>
      </c>
      <c r="G266" s="8" t="e">
        <f t="shared" si="37"/>
        <v>#REF!</v>
      </c>
      <c r="H266" s="4" t="e">
        <f>#REF!</f>
        <v>#REF!</v>
      </c>
      <c r="I266" s="8" t="e">
        <f>TRUNC(H266*D266,1)</f>
        <v>#REF!</v>
      </c>
      <c r="J266" s="4">
        <v>0</v>
      </c>
      <c r="K266" s="8"/>
      <c r="L266" s="4">
        <v>0</v>
      </c>
      <c r="M266" s="8"/>
      <c r="N266" s="12" t="s">
        <v>290</v>
      </c>
    </row>
    <row r="267" spans="1:14" ht="15" customHeight="1">
      <c r="A267" s="13"/>
      <c r="B267" s="14" t="s">
        <v>286</v>
      </c>
      <c r="C267" s="1" t="s">
        <v>36</v>
      </c>
      <c r="D267" s="3">
        <v>2.42</v>
      </c>
      <c r="E267" s="2" t="s">
        <v>31</v>
      </c>
      <c r="F267" s="4" t="e">
        <f>H267+J267+L267</f>
        <v>#REF!</v>
      </c>
      <c r="G267" s="8" t="e">
        <f t="shared" si="37"/>
        <v>#REF!</v>
      </c>
      <c r="H267" s="4" t="e">
        <f>#REF!</f>
        <v>#REF!</v>
      </c>
      <c r="I267" s="8" t="e">
        <f>TRUNC(H267*D267,1)</f>
        <v>#REF!</v>
      </c>
      <c r="J267" s="4">
        <v>0</v>
      </c>
      <c r="K267" s="8"/>
      <c r="L267" s="4">
        <v>0</v>
      </c>
      <c r="M267" s="8"/>
      <c r="N267" s="12" t="s">
        <v>0</v>
      </c>
    </row>
    <row r="268" spans="1:14" ht="15" customHeight="1">
      <c r="A268" s="13"/>
      <c r="B268" s="14" t="s">
        <v>287</v>
      </c>
      <c r="C268" s="1" t="s">
        <v>35</v>
      </c>
      <c r="D268" s="3">
        <v>14.29</v>
      </c>
      <c r="E268" s="2" t="s">
        <v>10</v>
      </c>
      <c r="F268" s="4" t="e">
        <f>H268+J268+L268</f>
        <v>#REF!</v>
      </c>
      <c r="G268" s="8" t="e">
        <f t="shared" si="37"/>
        <v>#REF!</v>
      </c>
      <c r="H268" s="4" t="e">
        <f>#REF!</f>
        <v>#REF!</v>
      </c>
      <c r="I268" s="8" t="e">
        <f>TRUNC(H268*D268,1)</f>
        <v>#REF!</v>
      </c>
      <c r="J268" s="4">
        <v>0</v>
      </c>
      <c r="K268" s="8"/>
      <c r="L268" s="4">
        <v>0</v>
      </c>
      <c r="M268" s="8"/>
      <c r="N268" s="12" t="s">
        <v>0</v>
      </c>
    </row>
    <row r="269" spans="1:14" ht="15" customHeight="1">
      <c r="A269" s="13"/>
      <c r="B269" s="14" t="s">
        <v>288</v>
      </c>
      <c r="C269" s="1" t="s">
        <v>29</v>
      </c>
      <c r="D269" s="1">
        <v>2</v>
      </c>
      <c r="E269" s="2" t="s">
        <v>28</v>
      </c>
      <c r="F269" s="4">
        <f>H269+J269+L269</f>
        <v>0</v>
      </c>
      <c r="G269" s="8">
        <f t="shared" si="37"/>
        <v>15030.9</v>
      </c>
      <c r="H269" s="2"/>
      <c r="I269" s="8">
        <f>TRUNC((K265*0.02),1)</f>
        <v>15030.9</v>
      </c>
      <c r="J269" s="2"/>
      <c r="K269" s="8">
        <v>0</v>
      </c>
      <c r="L269" s="2"/>
      <c r="M269" s="8">
        <v>0</v>
      </c>
      <c r="N269" s="12" t="s">
        <v>0</v>
      </c>
    </row>
    <row r="270" spans="1:14" ht="15" customHeight="1">
      <c r="A270" s="13"/>
      <c r="B270" s="14"/>
      <c r="C270" s="1"/>
      <c r="D270" s="1"/>
      <c r="E270" s="2"/>
      <c r="F270" s="4"/>
      <c r="G270" s="8"/>
      <c r="H270" s="2"/>
      <c r="I270" s="8"/>
      <c r="J270" s="2"/>
      <c r="K270" s="8"/>
      <c r="L270" s="2"/>
      <c r="M270" s="8"/>
      <c r="N270" s="12"/>
    </row>
    <row r="271" spans="1:14" ht="15" customHeight="1">
      <c r="A271" s="52">
        <f>강관도장!A490+1</f>
        <v>1</v>
      </c>
      <c r="B271" s="46" t="s">
        <v>508</v>
      </c>
      <c r="C271" s="47" t="s">
        <v>200</v>
      </c>
      <c r="D271" s="47">
        <v>1</v>
      </c>
      <c r="E271" s="48" t="s">
        <v>3</v>
      </c>
      <c r="F271" s="51"/>
      <c r="G271" s="50" t="e">
        <f t="shared" ref="G271:G276" si="38">I271+K271+M271</f>
        <v>#REF!</v>
      </c>
      <c r="H271" s="51"/>
      <c r="I271" s="50" t="e">
        <f>TRUNC(I272+I273+I274+I275+I276,0)</f>
        <v>#REF!</v>
      </c>
      <c r="J271" s="51"/>
      <c r="K271" s="50">
        <f>TRUNC(K272+K273+K274+K275+K276,0)</f>
        <v>15822</v>
      </c>
      <c r="L271" s="51"/>
      <c r="M271" s="50">
        <f>TRUNC(M272+M273+M274+M275+M276,0)</f>
        <v>0</v>
      </c>
      <c r="N271" s="63" t="s">
        <v>11</v>
      </c>
    </row>
    <row r="272" spans="1:14" ht="15" customHeight="1">
      <c r="A272" s="13"/>
      <c r="B272" s="14" t="s">
        <v>265</v>
      </c>
      <c r="C272" s="1" t="s">
        <v>510</v>
      </c>
      <c r="D272" s="3">
        <f>0.08*0.7</f>
        <v>5.5999999999999994E-2</v>
      </c>
      <c r="E272" s="2" t="s">
        <v>24</v>
      </c>
      <c r="F272" s="4">
        <f>H272+J272+L272</f>
        <v>282536</v>
      </c>
      <c r="G272" s="8">
        <f t="shared" si="38"/>
        <v>15822</v>
      </c>
      <c r="H272" s="4">
        <v>0</v>
      </c>
      <c r="I272" s="8"/>
      <c r="J272" s="4">
        <f>노임!$D$7</f>
        <v>282536</v>
      </c>
      <c r="K272" s="8">
        <f>TRUNC(J272*D272,1)</f>
        <v>15822</v>
      </c>
      <c r="L272" s="4">
        <v>0</v>
      </c>
      <c r="M272" s="8"/>
      <c r="N272" s="12" t="s">
        <v>0</v>
      </c>
    </row>
    <row r="273" spans="1:14" ht="15" customHeight="1">
      <c r="A273" s="13"/>
      <c r="B273" s="14" t="s">
        <v>279</v>
      </c>
      <c r="C273" s="1" t="s">
        <v>37</v>
      </c>
      <c r="D273" s="3">
        <v>160</v>
      </c>
      <c r="E273" s="2" t="s">
        <v>30</v>
      </c>
      <c r="F273" s="4" t="e">
        <f>H273+J273+L273</f>
        <v>#REF!</v>
      </c>
      <c r="G273" s="8" t="e">
        <f t="shared" si="38"/>
        <v>#REF!</v>
      </c>
      <c r="H273" s="4" t="e">
        <f>#REF!</f>
        <v>#REF!</v>
      </c>
      <c r="I273" s="8" t="e">
        <f>TRUNC(H273*D273,1)</f>
        <v>#REF!</v>
      </c>
      <c r="J273" s="4">
        <v>0</v>
      </c>
      <c r="K273" s="8"/>
      <c r="L273" s="4">
        <v>0</v>
      </c>
      <c r="M273" s="8"/>
      <c r="N273" s="12" t="s">
        <v>0</v>
      </c>
    </row>
    <row r="274" spans="1:14" ht="15" customHeight="1">
      <c r="A274" s="13"/>
      <c r="B274" s="14" t="s">
        <v>286</v>
      </c>
      <c r="C274" s="1" t="s">
        <v>36</v>
      </c>
      <c r="D274" s="3">
        <v>0.08</v>
      </c>
      <c r="E274" s="2" t="s">
        <v>31</v>
      </c>
      <c r="F274" s="4" t="e">
        <f>H274+J274+L274</f>
        <v>#REF!</v>
      </c>
      <c r="G274" s="8" t="e">
        <f t="shared" si="38"/>
        <v>#REF!</v>
      </c>
      <c r="H274" s="4" t="e">
        <f>#REF!</f>
        <v>#REF!</v>
      </c>
      <c r="I274" s="8" t="e">
        <f>TRUNC(H274*D274,1)</f>
        <v>#REF!</v>
      </c>
      <c r="J274" s="4">
        <v>0</v>
      </c>
      <c r="K274" s="8"/>
      <c r="L274" s="4">
        <v>0</v>
      </c>
      <c r="M274" s="8"/>
      <c r="N274" s="12" t="s">
        <v>0</v>
      </c>
    </row>
    <row r="275" spans="1:14" ht="15" customHeight="1">
      <c r="A275" s="13"/>
      <c r="B275" s="14" t="s">
        <v>287</v>
      </c>
      <c r="C275" s="1" t="s">
        <v>35</v>
      </c>
      <c r="D275" s="3">
        <v>0.11</v>
      </c>
      <c r="E275" s="2" t="s">
        <v>10</v>
      </c>
      <c r="F275" s="4" t="e">
        <f>H275+J275+L275</f>
        <v>#REF!</v>
      </c>
      <c r="G275" s="8" t="e">
        <f t="shared" si="38"/>
        <v>#REF!</v>
      </c>
      <c r="H275" s="4" t="e">
        <f>#REF!</f>
        <v>#REF!</v>
      </c>
      <c r="I275" s="8" t="e">
        <f>TRUNC(H275*D275,1)</f>
        <v>#REF!</v>
      </c>
      <c r="J275" s="4">
        <v>0</v>
      </c>
      <c r="K275" s="8"/>
      <c r="L275" s="4">
        <v>0</v>
      </c>
      <c r="M275" s="8"/>
      <c r="N275" s="12" t="s">
        <v>0</v>
      </c>
    </row>
    <row r="276" spans="1:14" ht="15" customHeight="1">
      <c r="A276" s="13"/>
      <c r="B276" s="14" t="s">
        <v>288</v>
      </c>
      <c r="C276" s="1" t="s">
        <v>29</v>
      </c>
      <c r="D276" s="1">
        <v>2</v>
      </c>
      <c r="E276" s="2" t="s">
        <v>28</v>
      </c>
      <c r="F276" s="4">
        <f>H276+J276+L276</f>
        <v>0</v>
      </c>
      <c r="G276" s="8">
        <f t="shared" si="38"/>
        <v>316.39999999999998</v>
      </c>
      <c r="H276" s="2"/>
      <c r="I276" s="8">
        <f>TRUNC((K272*0.02),1)</f>
        <v>316.39999999999998</v>
      </c>
      <c r="J276" s="2"/>
      <c r="K276" s="8">
        <v>0</v>
      </c>
      <c r="L276" s="2"/>
      <c r="M276" s="8">
        <v>0</v>
      </c>
      <c r="N276" s="12" t="s">
        <v>0</v>
      </c>
    </row>
    <row r="277" spans="1:14" ht="15" customHeight="1">
      <c r="A277" s="16"/>
      <c r="B277" s="15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12"/>
    </row>
    <row r="278" spans="1:14" ht="15" customHeight="1">
      <c r="A278" s="52">
        <f>A271+1</f>
        <v>2</v>
      </c>
      <c r="B278" s="46" t="s">
        <v>508</v>
      </c>
      <c r="C278" s="47" t="s">
        <v>177</v>
      </c>
      <c r="D278" s="47">
        <v>1</v>
      </c>
      <c r="E278" s="48" t="s">
        <v>3</v>
      </c>
      <c r="F278" s="51"/>
      <c r="G278" s="50" t="e">
        <f t="shared" ref="G278:G283" si="39">I278+K278+M278</f>
        <v>#REF!</v>
      </c>
      <c r="H278" s="51"/>
      <c r="I278" s="50" t="e">
        <f>TRUNC(I279+I280+I281+I282+I283,0)</f>
        <v>#REF!</v>
      </c>
      <c r="J278" s="51"/>
      <c r="K278" s="50">
        <f>TRUNC(K279+K280+K281+K282+K283,0)</f>
        <v>15822</v>
      </c>
      <c r="L278" s="51"/>
      <c r="M278" s="50">
        <f>TRUNC(M279+M280+M281+M282+M283,0)</f>
        <v>0</v>
      </c>
      <c r="N278" s="63" t="str">
        <f>N271</f>
        <v>토목6-3-4</v>
      </c>
    </row>
    <row r="279" spans="1:14" ht="15" customHeight="1">
      <c r="A279" s="13"/>
      <c r="B279" s="14" t="s">
        <v>265</v>
      </c>
      <c r="C279" s="1" t="s">
        <v>510</v>
      </c>
      <c r="D279" s="3">
        <f>0.08*0.7</f>
        <v>5.5999999999999994E-2</v>
      </c>
      <c r="E279" s="2" t="s">
        <v>24</v>
      </c>
      <c r="F279" s="4">
        <f>H279+J279+L279</f>
        <v>282536</v>
      </c>
      <c r="G279" s="8">
        <f t="shared" si="39"/>
        <v>15822</v>
      </c>
      <c r="H279" s="4"/>
      <c r="I279" s="8"/>
      <c r="J279" s="4">
        <f>노임!$D$7</f>
        <v>282536</v>
      </c>
      <c r="K279" s="8">
        <f>TRUNC(J279*D279,1)</f>
        <v>15822</v>
      </c>
      <c r="L279" s="4">
        <v>0</v>
      </c>
      <c r="M279" s="8"/>
      <c r="N279" s="12" t="s">
        <v>0</v>
      </c>
    </row>
    <row r="280" spans="1:14" ht="15" customHeight="1">
      <c r="A280" s="13"/>
      <c r="B280" s="14" t="s">
        <v>279</v>
      </c>
      <c r="C280" s="1" t="s">
        <v>37</v>
      </c>
      <c r="D280" s="3">
        <v>180</v>
      </c>
      <c r="E280" s="2" t="s">
        <v>30</v>
      </c>
      <c r="F280" s="4" t="e">
        <f>H280+J280+L280</f>
        <v>#REF!</v>
      </c>
      <c r="G280" s="8" t="e">
        <f t="shared" si="39"/>
        <v>#REF!</v>
      </c>
      <c r="H280" s="4" t="e">
        <f>#REF!</f>
        <v>#REF!</v>
      </c>
      <c r="I280" s="8" t="e">
        <f>TRUNC(H280*D280,1)</f>
        <v>#REF!</v>
      </c>
      <c r="J280" s="4">
        <v>0</v>
      </c>
      <c r="K280" s="8"/>
      <c r="L280" s="4">
        <v>0</v>
      </c>
      <c r="M280" s="8"/>
      <c r="N280" s="12" t="s">
        <v>0</v>
      </c>
    </row>
    <row r="281" spans="1:14" ht="15" customHeight="1">
      <c r="A281" s="13"/>
      <c r="B281" s="14" t="s">
        <v>286</v>
      </c>
      <c r="C281" s="1" t="s">
        <v>36</v>
      </c>
      <c r="D281" s="3">
        <v>0.09</v>
      </c>
      <c r="E281" s="2" t="s">
        <v>31</v>
      </c>
      <c r="F281" s="4" t="e">
        <f>H281+J281+L281</f>
        <v>#REF!</v>
      </c>
      <c r="G281" s="8" t="e">
        <f t="shared" si="39"/>
        <v>#REF!</v>
      </c>
      <c r="H281" s="4" t="e">
        <f>#REF!</f>
        <v>#REF!</v>
      </c>
      <c r="I281" s="8" t="e">
        <f>TRUNC(H281*D281,1)</f>
        <v>#REF!</v>
      </c>
      <c r="J281" s="4">
        <v>0</v>
      </c>
      <c r="K281" s="8"/>
      <c r="L281" s="4">
        <v>0</v>
      </c>
      <c r="M281" s="8"/>
      <c r="N281" s="12" t="s">
        <v>0</v>
      </c>
    </row>
    <row r="282" spans="1:14" ht="15" customHeight="1">
      <c r="A282" s="13"/>
      <c r="B282" s="14" t="s">
        <v>287</v>
      </c>
      <c r="C282" s="1" t="s">
        <v>35</v>
      </c>
      <c r="D282" s="3">
        <v>0.16</v>
      </c>
      <c r="E282" s="2" t="s">
        <v>10</v>
      </c>
      <c r="F282" s="4" t="e">
        <f>H282+J282+L282</f>
        <v>#REF!</v>
      </c>
      <c r="G282" s="8" t="e">
        <f t="shared" si="39"/>
        <v>#REF!</v>
      </c>
      <c r="H282" s="4" t="e">
        <f>#REF!</f>
        <v>#REF!</v>
      </c>
      <c r="I282" s="8" t="e">
        <f>TRUNC(H282*D282,1)</f>
        <v>#REF!</v>
      </c>
      <c r="J282" s="4">
        <v>0</v>
      </c>
      <c r="K282" s="8"/>
      <c r="L282" s="4">
        <v>0</v>
      </c>
      <c r="M282" s="8"/>
      <c r="N282" s="12" t="s">
        <v>0</v>
      </c>
    </row>
    <row r="283" spans="1:14" ht="15" customHeight="1">
      <c r="A283" s="13"/>
      <c r="B283" s="14" t="s">
        <v>288</v>
      </c>
      <c r="C283" s="1" t="s">
        <v>29</v>
      </c>
      <c r="D283" s="1">
        <v>2</v>
      </c>
      <c r="E283" s="2" t="s">
        <v>28</v>
      </c>
      <c r="F283" s="4">
        <f>H283+J283+L283</f>
        <v>0</v>
      </c>
      <c r="G283" s="8">
        <f t="shared" si="39"/>
        <v>316.39999999999998</v>
      </c>
      <c r="H283" s="2"/>
      <c r="I283" s="8">
        <f>TRUNC((K279*0.02),1)</f>
        <v>316.39999999999998</v>
      </c>
      <c r="J283" s="2"/>
      <c r="K283" s="8">
        <v>0</v>
      </c>
      <c r="L283" s="2"/>
      <c r="M283" s="8">
        <v>0</v>
      </c>
      <c r="N283" s="12" t="s">
        <v>0</v>
      </c>
    </row>
    <row r="284" spans="1:14" ht="15" customHeight="1">
      <c r="A284" s="16"/>
      <c r="B284" s="15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12"/>
    </row>
    <row r="285" spans="1:14" ht="15" customHeight="1">
      <c r="A285" s="52">
        <f>A278+1</f>
        <v>3</v>
      </c>
      <c r="B285" s="46" t="s">
        <v>508</v>
      </c>
      <c r="C285" s="47" t="s">
        <v>258</v>
      </c>
      <c r="D285" s="47">
        <v>1</v>
      </c>
      <c r="E285" s="48" t="s">
        <v>3</v>
      </c>
      <c r="F285" s="51"/>
      <c r="G285" s="50" t="e">
        <f t="shared" ref="G285:G290" si="40">I285+K285+M285</f>
        <v>#REF!</v>
      </c>
      <c r="H285" s="51"/>
      <c r="I285" s="50" t="e">
        <f>TRUNC(I286+I287+I288+I289+I290,0)</f>
        <v>#REF!</v>
      </c>
      <c r="J285" s="51"/>
      <c r="K285" s="50">
        <f>TRUNC(K286+K287+K288+K289+K290,0)</f>
        <v>17799</v>
      </c>
      <c r="L285" s="51"/>
      <c r="M285" s="50">
        <f>TRUNC(M286+M287+M288+M289+M290,0)</f>
        <v>0</v>
      </c>
      <c r="N285" s="63" t="str">
        <f>N278</f>
        <v>토목6-3-4</v>
      </c>
    </row>
    <row r="286" spans="1:14" ht="15" customHeight="1">
      <c r="A286" s="13"/>
      <c r="B286" s="14" t="s">
        <v>265</v>
      </c>
      <c r="C286" s="1" t="s">
        <v>510</v>
      </c>
      <c r="D286" s="3">
        <f>0.09*0.7</f>
        <v>6.3E-2</v>
      </c>
      <c r="E286" s="2" t="s">
        <v>24</v>
      </c>
      <c r="F286" s="4">
        <f>H286+J286+L286</f>
        <v>282536</v>
      </c>
      <c r="G286" s="8">
        <f t="shared" si="40"/>
        <v>17799.7</v>
      </c>
      <c r="H286" s="4"/>
      <c r="I286" s="8"/>
      <c r="J286" s="4">
        <f>노임!$D$7</f>
        <v>282536</v>
      </c>
      <c r="K286" s="8">
        <f>TRUNC(J286*D286,1)</f>
        <v>17799.7</v>
      </c>
      <c r="L286" s="4">
        <v>0</v>
      </c>
      <c r="M286" s="8"/>
      <c r="N286" s="12" t="s">
        <v>0</v>
      </c>
    </row>
    <row r="287" spans="1:14" ht="15" customHeight="1">
      <c r="A287" s="13"/>
      <c r="B287" s="14" t="s">
        <v>279</v>
      </c>
      <c r="C287" s="1" t="s">
        <v>37</v>
      </c>
      <c r="D287" s="3">
        <v>200</v>
      </c>
      <c r="E287" s="2" t="s">
        <v>30</v>
      </c>
      <c r="F287" s="4" t="e">
        <f>H287+J287+L287</f>
        <v>#REF!</v>
      </c>
      <c r="G287" s="8" t="e">
        <f t="shared" si="40"/>
        <v>#REF!</v>
      </c>
      <c r="H287" s="4" t="e">
        <f>#REF!</f>
        <v>#REF!</v>
      </c>
      <c r="I287" s="8" t="e">
        <f>TRUNC(H287*D287,1)</f>
        <v>#REF!</v>
      </c>
      <c r="J287" s="4">
        <v>0</v>
      </c>
      <c r="K287" s="8"/>
      <c r="L287" s="4">
        <v>0</v>
      </c>
      <c r="M287" s="8"/>
      <c r="N287" s="12" t="s">
        <v>0</v>
      </c>
    </row>
    <row r="288" spans="1:14" ht="15" customHeight="1">
      <c r="A288" s="13"/>
      <c r="B288" s="14" t="s">
        <v>286</v>
      </c>
      <c r="C288" s="1" t="s">
        <v>36</v>
      </c>
      <c r="D288" s="3">
        <v>0.1</v>
      </c>
      <c r="E288" s="2" t="s">
        <v>31</v>
      </c>
      <c r="F288" s="4" t="e">
        <f>H288+J288+L288</f>
        <v>#REF!</v>
      </c>
      <c r="G288" s="8" t="e">
        <f t="shared" si="40"/>
        <v>#REF!</v>
      </c>
      <c r="H288" s="4" t="e">
        <f>#REF!</f>
        <v>#REF!</v>
      </c>
      <c r="I288" s="8" t="e">
        <f>TRUNC(H288*D288,1)</f>
        <v>#REF!</v>
      </c>
      <c r="J288" s="4">
        <v>0</v>
      </c>
      <c r="K288" s="8"/>
      <c r="L288" s="4">
        <v>0</v>
      </c>
      <c r="M288" s="8"/>
      <c r="N288" s="12" t="s">
        <v>0</v>
      </c>
    </row>
    <row r="289" spans="1:14" ht="15" customHeight="1">
      <c r="A289" s="13"/>
      <c r="B289" s="14" t="s">
        <v>287</v>
      </c>
      <c r="C289" s="1" t="s">
        <v>35</v>
      </c>
      <c r="D289" s="3">
        <v>0.21</v>
      </c>
      <c r="E289" s="2" t="s">
        <v>10</v>
      </c>
      <c r="F289" s="4" t="e">
        <f>H289+J289+L289</f>
        <v>#REF!</v>
      </c>
      <c r="G289" s="8" t="e">
        <f t="shared" si="40"/>
        <v>#REF!</v>
      </c>
      <c r="H289" s="4" t="e">
        <f>#REF!</f>
        <v>#REF!</v>
      </c>
      <c r="I289" s="8" t="e">
        <f>TRUNC(H289*D289,1)</f>
        <v>#REF!</v>
      </c>
      <c r="J289" s="4">
        <v>0</v>
      </c>
      <c r="K289" s="8"/>
      <c r="L289" s="4">
        <v>0</v>
      </c>
      <c r="M289" s="8"/>
      <c r="N289" s="12" t="s">
        <v>0</v>
      </c>
    </row>
    <row r="290" spans="1:14" ht="15" customHeight="1">
      <c r="A290" s="13"/>
      <c r="B290" s="14" t="s">
        <v>288</v>
      </c>
      <c r="C290" s="1" t="s">
        <v>29</v>
      </c>
      <c r="D290" s="1">
        <v>2</v>
      </c>
      <c r="E290" s="2" t="s">
        <v>28</v>
      </c>
      <c r="F290" s="4">
        <f>H290+J290+L290</f>
        <v>0</v>
      </c>
      <c r="G290" s="8">
        <f t="shared" si="40"/>
        <v>355.9</v>
      </c>
      <c r="H290" s="2"/>
      <c r="I290" s="8">
        <f>TRUNC((K286*0.02),1)</f>
        <v>355.9</v>
      </c>
      <c r="J290" s="2"/>
      <c r="K290" s="8">
        <v>0</v>
      </c>
      <c r="L290" s="2"/>
      <c r="M290" s="8">
        <v>0</v>
      </c>
      <c r="N290" s="12" t="s">
        <v>0</v>
      </c>
    </row>
    <row r="291" spans="1:14" ht="15" customHeight="1">
      <c r="A291" s="16"/>
      <c r="B291" s="15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12"/>
    </row>
    <row r="292" spans="1:14" ht="15" customHeight="1">
      <c r="A292" s="52">
        <f>A285+1</f>
        <v>4</v>
      </c>
      <c r="B292" s="46" t="s">
        <v>508</v>
      </c>
      <c r="C292" s="47" t="s">
        <v>178</v>
      </c>
      <c r="D292" s="47">
        <v>1</v>
      </c>
      <c r="E292" s="48" t="s">
        <v>3</v>
      </c>
      <c r="F292" s="51"/>
      <c r="G292" s="50" t="e">
        <f t="shared" ref="G292:G297" si="41">I292+K292+M292</f>
        <v>#REF!</v>
      </c>
      <c r="H292" s="51"/>
      <c r="I292" s="50" t="e">
        <f>TRUNC(I293+I294+I295+I296+I297,0)</f>
        <v>#REF!</v>
      </c>
      <c r="J292" s="51"/>
      <c r="K292" s="50">
        <f>TRUNC(K293+K294+K295+K296+K297,0)</f>
        <v>19777</v>
      </c>
      <c r="L292" s="51"/>
      <c r="M292" s="50">
        <f>TRUNC(M293+M294+M295+M296+M297,0)</f>
        <v>0</v>
      </c>
      <c r="N292" s="63" t="str">
        <f>N285</f>
        <v>토목6-3-4</v>
      </c>
    </row>
    <row r="293" spans="1:14" ht="15" customHeight="1">
      <c r="A293" s="13"/>
      <c r="B293" s="14" t="s">
        <v>265</v>
      </c>
      <c r="C293" s="1" t="s">
        <v>510</v>
      </c>
      <c r="D293" s="3">
        <f>0.1*0.7</f>
        <v>6.9999999999999993E-2</v>
      </c>
      <c r="E293" s="2" t="s">
        <v>24</v>
      </c>
      <c r="F293" s="4">
        <f>H293+J293+L293</f>
        <v>282536</v>
      </c>
      <c r="G293" s="8">
        <f t="shared" si="41"/>
        <v>19777.5</v>
      </c>
      <c r="H293" s="4"/>
      <c r="I293" s="8"/>
      <c r="J293" s="4">
        <f>노임!$D$7</f>
        <v>282536</v>
      </c>
      <c r="K293" s="8">
        <f>TRUNC(J293*D293,1)</f>
        <v>19777.5</v>
      </c>
      <c r="L293" s="4">
        <v>0</v>
      </c>
      <c r="M293" s="8"/>
      <c r="N293" s="12" t="s">
        <v>0</v>
      </c>
    </row>
    <row r="294" spans="1:14" ht="15" customHeight="1">
      <c r="A294" s="13"/>
      <c r="B294" s="14" t="s">
        <v>279</v>
      </c>
      <c r="C294" s="1" t="s">
        <v>37</v>
      </c>
      <c r="D294" s="3">
        <v>230</v>
      </c>
      <c r="E294" s="2" t="s">
        <v>30</v>
      </c>
      <c r="F294" s="4" t="e">
        <f>H294+J294+L294</f>
        <v>#REF!</v>
      </c>
      <c r="G294" s="8" t="e">
        <f t="shared" si="41"/>
        <v>#REF!</v>
      </c>
      <c r="H294" s="4" t="e">
        <f>#REF!</f>
        <v>#REF!</v>
      </c>
      <c r="I294" s="8" t="e">
        <f>TRUNC(H294*D294,1)</f>
        <v>#REF!</v>
      </c>
      <c r="J294" s="4">
        <v>0</v>
      </c>
      <c r="K294" s="8"/>
      <c r="L294" s="4">
        <v>0</v>
      </c>
      <c r="M294" s="8"/>
      <c r="N294" s="12" t="s">
        <v>0</v>
      </c>
    </row>
    <row r="295" spans="1:14" ht="15" customHeight="1">
      <c r="A295" s="13"/>
      <c r="B295" s="14" t="s">
        <v>286</v>
      </c>
      <c r="C295" s="1" t="s">
        <v>36</v>
      </c>
      <c r="D295" s="3">
        <v>0.12</v>
      </c>
      <c r="E295" s="2" t="s">
        <v>31</v>
      </c>
      <c r="F295" s="4" t="e">
        <f>H295+J295+L295</f>
        <v>#REF!</v>
      </c>
      <c r="G295" s="8" t="e">
        <f t="shared" si="41"/>
        <v>#REF!</v>
      </c>
      <c r="H295" s="4" t="e">
        <f>#REF!</f>
        <v>#REF!</v>
      </c>
      <c r="I295" s="8" t="e">
        <f>TRUNC(H295*D295,1)</f>
        <v>#REF!</v>
      </c>
      <c r="J295" s="4">
        <v>0</v>
      </c>
      <c r="K295" s="8"/>
      <c r="L295" s="4">
        <v>0</v>
      </c>
      <c r="M295" s="8"/>
      <c r="N295" s="12" t="s">
        <v>0</v>
      </c>
    </row>
    <row r="296" spans="1:14" ht="15" customHeight="1">
      <c r="A296" s="13"/>
      <c r="B296" s="14" t="s">
        <v>287</v>
      </c>
      <c r="C296" s="1" t="s">
        <v>35</v>
      </c>
      <c r="D296" s="3">
        <v>0.27</v>
      </c>
      <c r="E296" s="2" t="s">
        <v>10</v>
      </c>
      <c r="F296" s="4" t="e">
        <f>H296+J296+L296</f>
        <v>#REF!</v>
      </c>
      <c r="G296" s="8" t="e">
        <f t="shared" si="41"/>
        <v>#REF!</v>
      </c>
      <c r="H296" s="4" t="e">
        <f>#REF!</f>
        <v>#REF!</v>
      </c>
      <c r="I296" s="8" t="e">
        <f>TRUNC(H296*D296,1)</f>
        <v>#REF!</v>
      </c>
      <c r="J296" s="4">
        <v>0</v>
      </c>
      <c r="K296" s="8"/>
      <c r="L296" s="4">
        <v>0</v>
      </c>
      <c r="M296" s="8"/>
      <c r="N296" s="12" t="s">
        <v>0</v>
      </c>
    </row>
    <row r="297" spans="1:14" ht="15" customHeight="1">
      <c r="A297" s="13"/>
      <c r="B297" s="14" t="s">
        <v>288</v>
      </c>
      <c r="C297" s="1" t="s">
        <v>29</v>
      </c>
      <c r="D297" s="1">
        <v>2</v>
      </c>
      <c r="E297" s="2" t="s">
        <v>28</v>
      </c>
      <c r="F297" s="4">
        <f>H297+J297+L297</f>
        <v>0</v>
      </c>
      <c r="G297" s="8">
        <f t="shared" si="41"/>
        <v>395.5</v>
      </c>
      <c r="H297" s="2"/>
      <c r="I297" s="8">
        <f>TRUNC((K293*0.02),1)</f>
        <v>395.5</v>
      </c>
      <c r="J297" s="2"/>
      <c r="K297" s="8">
        <v>0</v>
      </c>
      <c r="L297" s="2"/>
      <c r="M297" s="8">
        <v>0</v>
      </c>
      <c r="N297" s="12" t="s">
        <v>0</v>
      </c>
    </row>
    <row r="298" spans="1:14" ht="15" customHeight="1">
      <c r="A298" s="16"/>
      <c r="B298" s="15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12"/>
    </row>
    <row r="299" spans="1:14" ht="15" customHeight="1">
      <c r="A299" s="52">
        <f>A292+1</f>
        <v>5</v>
      </c>
      <c r="B299" s="46" t="s">
        <v>508</v>
      </c>
      <c r="C299" s="47" t="s">
        <v>179</v>
      </c>
      <c r="D299" s="47">
        <v>1</v>
      </c>
      <c r="E299" s="48" t="s">
        <v>3</v>
      </c>
      <c r="F299" s="51"/>
      <c r="G299" s="50" t="e">
        <f t="shared" ref="G299:G304" si="42">I299+K299+M299</f>
        <v>#REF!</v>
      </c>
      <c r="H299" s="51"/>
      <c r="I299" s="50" t="e">
        <f>TRUNC(I300+I301+I302+I303+I304,0)</f>
        <v>#REF!</v>
      </c>
      <c r="J299" s="51"/>
      <c r="K299" s="50">
        <f>TRUNC(K300+K301+K302+K303+K304,0)</f>
        <v>25710</v>
      </c>
      <c r="L299" s="51"/>
      <c r="M299" s="50">
        <f>TRUNC(M300+M301+M302+M303+M304,0)</f>
        <v>0</v>
      </c>
      <c r="N299" s="63" t="str">
        <f>N292</f>
        <v>토목6-3-4</v>
      </c>
    </row>
    <row r="300" spans="1:14" ht="15" customHeight="1">
      <c r="A300" s="13"/>
      <c r="B300" s="14" t="s">
        <v>265</v>
      </c>
      <c r="C300" s="1" t="s">
        <v>510</v>
      </c>
      <c r="D300" s="3">
        <f>0.13*0.7</f>
        <v>9.0999999999999998E-2</v>
      </c>
      <c r="E300" s="2" t="s">
        <v>24</v>
      </c>
      <c r="F300" s="4">
        <f>H300+J300+L300</f>
        <v>282536</v>
      </c>
      <c r="G300" s="8">
        <f t="shared" si="42"/>
        <v>25710.7</v>
      </c>
      <c r="H300" s="4"/>
      <c r="I300" s="8"/>
      <c r="J300" s="4">
        <f>노임!$D$7</f>
        <v>282536</v>
      </c>
      <c r="K300" s="8">
        <f>TRUNC(J300*D300,1)</f>
        <v>25710.7</v>
      </c>
      <c r="L300" s="4">
        <v>0</v>
      </c>
      <c r="M300" s="8"/>
      <c r="N300" s="12" t="s">
        <v>0</v>
      </c>
    </row>
    <row r="301" spans="1:14" ht="15" customHeight="1">
      <c r="A301" s="13"/>
      <c r="B301" s="14" t="s">
        <v>279</v>
      </c>
      <c r="C301" s="1" t="s">
        <v>37</v>
      </c>
      <c r="D301" s="3">
        <v>270</v>
      </c>
      <c r="E301" s="2" t="s">
        <v>30</v>
      </c>
      <c r="F301" s="4" t="e">
        <f>H301+J301+L301</f>
        <v>#REF!</v>
      </c>
      <c r="G301" s="8" t="e">
        <f t="shared" si="42"/>
        <v>#REF!</v>
      </c>
      <c r="H301" s="4" t="e">
        <f>#REF!</f>
        <v>#REF!</v>
      </c>
      <c r="I301" s="8" t="e">
        <f>TRUNC(H301*D301,1)</f>
        <v>#REF!</v>
      </c>
      <c r="J301" s="4">
        <v>0</v>
      </c>
      <c r="K301" s="8"/>
      <c r="L301" s="4">
        <v>0</v>
      </c>
      <c r="M301" s="8"/>
      <c r="N301" s="12" t="s">
        <v>0</v>
      </c>
    </row>
    <row r="302" spans="1:14" ht="15" customHeight="1">
      <c r="A302" s="13"/>
      <c r="B302" s="14" t="s">
        <v>286</v>
      </c>
      <c r="C302" s="1" t="s">
        <v>36</v>
      </c>
      <c r="D302" s="3">
        <v>0.14000000000000001</v>
      </c>
      <c r="E302" s="2" t="s">
        <v>31</v>
      </c>
      <c r="F302" s="4" t="e">
        <f>H302+J302+L302</f>
        <v>#REF!</v>
      </c>
      <c r="G302" s="8" t="e">
        <f t="shared" si="42"/>
        <v>#REF!</v>
      </c>
      <c r="H302" s="4" t="e">
        <f>#REF!</f>
        <v>#REF!</v>
      </c>
      <c r="I302" s="8" t="e">
        <f>TRUNC(H302*D302,1)</f>
        <v>#REF!</v>
      </c>
      <c r="J302" s="4">
        <v>0</v>
      </c>
      <c r="K302" s="8"/>
      <c r="L302" s="4">
        <v>0</v>
      </c>
      <c r="M302" s="8"/>
      <c r="N302" s="12" t="s">
        <v>0</v>
      </c>
    </row>
    <row r="303" spans="1:14" ht="15" customHeight="1">
      <c r="A303" s="13"/>
      <c r="B303" s="14" t="s">
        <v>287</v>
      </c>
      <c r="C303" s="1" t="s">
        <v>35</v>
      </c>
      <c r="D303" s="3">
        <v>0.4</v>
      </c>
      <c r="E303" s="2" t="s">
        <v>10</v>
      </c>
      <c r="F303" s="4" t="e">
        <f>H303+J303+L303</f>
        <v>#REF!</v>
      </c>
      <c r="G303" s="8" t="e">
        <f t="shared" si="42"/>
        <v>#REF!</v>
      </c>
      <c r="H303" s="4" t="e">
        <f>#REF!</f>
        <v>#REF!</v>
      </c>
      <c r="I303" s="8" t="e">
        <f>TRUNC(H303*D303,1)</f>
        <v>#REF!</v>
      </c>
      <c r="J303" s="4">
        <v>0</v>
      </c>
      <c r="K303" s="8"/>
      <c r="L303" s="4">
        <v>0</v>
      </c>
      <c r="M303" s="8"/>
      <c r="N303" s="12" t="s">
        <v>0</v>
      </c>
    </row>
    <row r="304" spans="1:14" ht="15" customHeight="1">
      <c r="A304" s="13"/>
      <c r="B304" s="14" t="s">
        <v>288</v>
      </c>
      <c r="C304" s="1" t="s">
        <v>29</v>
      </c>
      <c r="D304" s="1">
        <v>2</v>
      </c>
      <c r="E304" s="2" t="s">
        <v>28</v>
      </c>
      <c r="F304" s="4">
        <f>H304+J304+L304</f>
        <v>0</v>
      </c>
      <c r="G304" s="8">
        <f t="shared" si="42"/>
        <v>514.20000000000005</v>
      </c>
      <c r="H304" s="2"/>
      <c r="I304" s="8">
        <f>TRUNC((K300*0.02),1)</f>
        <v>514.20000000000005</v>
      </c>
      <c r="J304" s="2"/>
      <c r="K304" s="8">
        <v>0</v>
      </c>
      <c r="L304" s="2"/>
      <c r="M304" s="8">
        <v>0</v>
      </c>
      <c r="N304" s="12" t="s">
        <v>0</v>
      </c>
    </row>
    <row r="305" spans="1:14" ht="15" customHeight="1">
      <c r="A305" s="16"/>
      <c r="B305" s="15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12"/>
    </row>
    <row r="306" spans="1:14" ht="15" customHeight="1">
      <c r="A306" s="52">
        <f>A299+1</f>
        <v>6</v>
      </c>
      <c r="B306" s="46" t="s">
        <v>508</v>
      </c>
      <c r="C306" s="47" t="s">
        <v>180</v>
      </c>
      <c r="D306" s="47">
        <v>1</v>
      </c>
      <c r="E306" s="48" t="s">
        <v>3</v>
      </c>
      <c r="F306" s="51"/>
      <c r="G306" s="50" t="e">
        <f t="shared" ref="G306:G311" si="43">I306+K306+M306</f>
        <v>#REF!</v>
      </c>
      <c r="H306" s="51"/>
      <c r="I306" s="50" t="e">
        <f>TRUNC(I307+I308+I309+I310+I311,0)</f>
        <v>#REF!</v>
      </c>
      <c r="J306" s="51"/>
      <c r="K306" s="50">
        <f>TRUNC(K307+K308+K309+K310+K311,0)</f>
        <v>31644</v>
      </c>
      <c r="L306" s="51"/>
      <c r="M306" s="50">
        <f>TRUNC(M307+M308+M309+M310+M311,0)</f>
        <v>0</v>
      </c>
      <c r="N306" s="63" t="str">
        <f>N299</f>
        <v>토목6-3-4</v>
      </c>
    </row>
    <row r="307" spans="1:14" ht="15" customHeight="1">
      <c r="A307" s="13"/>
      <c r="B307" s="14" t="s">
        <v>265</v>
      </c>
      <c r="C307" s="1" t="s">
        <v>510</v>
      </c>
      <c r="D307" s="3">
        <f>0.16*0.7</f>
        <v>0.11199999999999999</v>
      </c>
      <c r="E307" s="2" t="s">
        <v>24</v>
      </c>
      <c r="F307" s="4">
        <f>H307+J307+L307</f>
        <v>282536</v>
      </c>
      <c r="G307" s="8">
        <f t="shared" si="43"/>
        <v>31644</v>
      </c>
      <c r="H307" s="4"/>
      <c r="I307" s="8"/>
      <c r="J307" s="4">
        <f>노임!$D$7</f>
        <v>282536</v>
      </c>
      <c r="K307" s="8">
        <f>TRUNC(J307*D307,1)</f>
        <v>31644</v>
      </c>
      <c r="L307" s="4">
        <v>0</v>
      </c>
      <c r="M307" s="8"/>
      <c r="N307" s="12" t="s">
        <v>0</v>
      </c>
    </row>
    <row r="308" spans="1:14" ht="15" customHeight="1">
      <c r="A308" s="13"/>
      <c r="B308" s="14" t="s">
        <v>279</v>
      </c>
      <c r="C308" s="1" t="s">
        <v>37</v>
      </c>
      <c r="D308" s="3">
        <v>360</v>
      </c>
      <c r="E308" s="2" t="s">
        <v>30</v>
      </c>
      <c r="F308" s="4" t="e">
        <f>H308+J308+L308</f>
        <v>#REF!</v>
      </c>
      <c r="G308" s="8" t="e">
        <f t="shared" si="43"/>
        <v>#REF!</v>
      </c>
      <c r="H308" s="4" t="e">
        <f>#REF!</f>
        <v>#REF!</v>
      </c>
      <c r="I308" s="8" t="e">
        <f>TRUNC(H308*D308,1)</f>
        <v>#REF!</v>
      </c>
      <c r="J308" s="4">
        <v>0</v>
      </c>
      <c r="K308" s="8"/>
      <c r="L308" s="4">
        <v>0</v>
      </c>
      <c r="M308" s="8"/>
      <c r="N308" s="12" t="s">
        <v>0</v>
      </c>
    </row>
    <row r="309" spans="1:14" ht="15" customHeight="1">
      <c r="A309" s="13"/>
      <c r="B309" s="14" t="s">
        <v>286</v>
      </c>
      <c r="C309" s="1" t="s">
        <v>36</v>
      </c>
      <c r="D309" s="3">
        <v>0.18</v>
      </c>
      <c r="E309" s="2" t="s">
        <v>31</v>
      </c>
      <c r="F309" s="4" t="e">
        <f>H309+J309+L309</f>
        <v>#REF!</v>
      </c>
      <c r="G309" s="8" t="e">
        <f t="shared" si="43"/>
        <v>#REF!</v>
      </c>
      <c r="H309" s="4" t="e">
        <f>#REF!</f>
        <v>#REF!</v>
      </c>
      <c r="I309" s="8" t="e">
        <f>TRUNC(H309*D309,1)</f>
        <v>#REF!</v>
      </c>
      <c r="J309" s="4">
        <v>0</v>
      </c>
      <c r="K309" s="8"/>
      <c r="L309" s="4">
        <v>0</v>
      </c>
      <c r="M309" s="8"/>
      <c r="N309" s="12" t="s">
        <v>0</v>
      </c>
    </row>
    <row r="310" spans="1:14" ht="15" customHeight="1">
      <c r="A310" s="13"/>
      <c r="B310" s="14" t="s">
        <v>287</v>
      </c>
      <c r="C310" s="1" t="s">
        <v>35</v>
      </c>
      <c r="D310" s="3">
        <v>0.57999999999999996</v>
      </c>
      <c r="E310" s="2" t="s">
        <v>10</v>
      </c>
      <c r="F310" s="4" t="e">
        <f>H310+J310+L310</f>
        <v>#REF!</v>
      </c>
      <c r="G310" s="8" t="e">
        <f t="shared" si="43"/>
        <v>#REF!</v>
      </c>
      <c r="H310" s="4" t="e">
        <f>#REF!</f>
        <v>#REF!</v>
      </c>
      <c r="I310" s="8" t="e">
        <f>TRUNC(H310*D310,1)</f>
        <v>#REF!</v>
      </c>
      <c r="J310" s="4">
        <v>0</v>
      </c>
      <c r="K310" s="8"/>
      <c r="L310" s="4">
        <v>0</v>
      </c>
      <c r="M310" s="8"/>
      <c r="N310" s="12" t="s">
        <v>0</v>
      </c>
    </row>
    <row r="311" spans="1:14" ht="15" customHeight="1">
      <c r="A311" s="13"/>
      <c r="B311" s="14" t="s">
        <v>288</v>
      </c>
      <c r="C311" s="1" t="s">
        <v>29</v>
      </c>
      <c r="D311" s="1">
        <v>2</v>
      </c>
      <c r="E311" s="2" t="s">
        <v>28</v>
      </c>
      <c r="F311" s="4">
        <f>H311+J311+L311</f>
        <v>0</v>
      </c>
      <c r="G311" s="8">
        <f t="shared" si="43"/>
        <v>632.79999999999995</v>
      </c>
      <c r="H311" s="2"/>
      <c r="I311" s="8">
        <f>TRUNC((K307*0.02),1)</f>
        <v>632.79999999999995</v>
      </c>
      <c r="J311" s="2"/>
      <c r="K311" s="8">
        <v>0</v>
      </c>
      <c r="L311" s="2"/>
      <c r="M311" s="8">
        <v>0</v>
      </c>
      <c r="N311" s="12" t="s">
        <v>0</v>
      </c>
    </row>
    <row r="312" spans="1:14" ht="15" customHeight="1">
      <c r="A312" s="16"/>
      <c r="B312" s="15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12"/>
    </row>
    <row r="313" spans="1:14" ht="15" customHeight="1">
      <c r="A313" s="52">
        <f>A306+1</f>
        <v>7</v>
      </c>
      <c r="B313" s="46" t="s">
        <v>508</v>
      </c>
      <c r="C313" s="47" t="s">
        <v>181</v>
      </c>
      <c r="D313" s="47">
        <v>1</v>
      </c>
      <c r="E313" s="48" t="s">
        <v>3</v>
      </c>
      <c r="F313" s="51"/>
      <c r="G313" s="50" t="e">
        <f t="shared" ref="G313:G318" si="44">I313+K313+M313</f>
        <v>#REF!</v>
      </c>
      <c r="H313" s="51"/>
      <c r="I313" s="50" t="e">
        <f>TRUNC(I314+I315+I316+I317+I318,0)</f>
        <v>#REF!</v>
      </c>
      <c r="J313" s="51"/>
      <c r="K313" s="50">
        <f>TRUNC(K314+K315+K316+K317+K318,0)</f>
        <v>39555</v>
      </c>
      <c r="L313" s="51"/>
      <c r="M313" s="50">
        <f>TRUNC(M314+M315+M316+M317+M318,0)</f>
        <v>0</v>
      </c>
      <c r="N313" s="63" t="str">
        <f>N306</f>
        <v>토목6-3-4</v>
      </c>
    </row>
    <row r="314" spans="1:14" ht="15" customHeight="1">
      <c r="A314" s="13"/>
      <c r="B314" s="14" t="s">
        <v>265</v>
      </c>
      <c r="C314" s="1" t="s">
        <v>510</v>
      </c>
      <c r="D314" s="3">
        <f>0.2*0.7</f>
        <v>0.13999999999999999</v>
      </c>
      <c r="E314" s="2" t="s">
        <v>24</v>
      </c>
      <c r="F314" s="4">
        <f>H314+J314+L314</f>
        <v>282536</v>
      </c>
      <c r="G314" s="8">
        <f t="shared" si="44"/>
        <v>39555</v>
      </c>
      <c r="H314" s="4"/>
      <c r="I314" s="8"/>
      <c r="J314" s="4">
        <f>노임!$D$7</f>
        <v>282536</v>
      </c>
      <c r="K314" s="8">
        <f>TRUNC(J314*D314,1)</f>
        <v>39555</v>
      </c>
      <c r="L314" s="4">
        <v>0</v>
      </c>
      <c r="M314" s="8"/>
      <c r="N314" s="12" t="s">
        <v>0</v>
      </c>
    </row>
    <row r="315" spans="1:14" ht="15" customHeight="1">
      <c r="A315" s="13"/>
      <c r="B315" s="14" t="s">
        <v>279</v>
      </c>
      <c r="C315" s="1" t="s">
        <v>37</v>
      </c>
      <c r="D315" s="3">
        <v>450</v>
      </c>
      <c r="E315" s="2" t="s">
        <v>30</v>
      </c>
      <c r="F315" s="4" t="e">
        <f>H315+J315+L315</f>
        <v>#REF!</v>
      </c>
      <c r="G315" s="8" t="e">
        <f t="shared" si="44"/>
        <v>#REF!</v>
      </c>
      <c r="H315" s="4" t="e">
        <f>#REF!</f>
        <v>#REF!</v>
      </c>
      <c r="I315" s="8" t="e">
        <f>TRUNC(H315*D315,1)</f>
        <v>#REF!</v>
      </c>
      <c r="J315" s="4">
        <v>0</v>
      </c>
      <c r="K315" s="8"/>
      <c r="L315" s="4">
        <v>0</v>
      </c>
      <c r="M315" s="8"/>
      <c r="N315" s="12" t="s">
        <v>0</v>
      </c>
    </row>
    <row r="316" spans="1:14" ht="15" customHeight="1">
      <c r="A316" s="13"/>
      <c r="B316" s="14" t="s">
        <v>286</v>
      </c>
      <c r="C316" s="1" t="s">
        <v>36</v>
      </c>
      <c r="D316" s="3">
        <v>0.23</v>
      </c>
      <c r="E316" s="2" t="s">
        <v>31</v>
      </c>
      <c r="F316" s="4" t="e">
        <f>H316+J316+L316</f>
        <v>#REF!</v>
      </c>
      <c r="G316" s="8" t="e">
        <f t="shared" si="44"/>
        <v>#REF!</v>
      </c>
      <c r="H316" s="4" t="e">
        <f>#REF!</f>
        <v>#REF!</v>
      </c>
      <c r="I316" s="8" t="e">
        <f>TRUNC(H316*D316,1)</f>
        <v>#REF!</v>
      </c>
      <c r="J316" s="4">
        <v>0</v>
      </c>
      <c r="K316" s="8"/>
      <c r="L316" s="4">
        <v>0</v>
      </c>
      <c r="M316" s="8"/>
      <c r="N316" s="12" t="s">
        <v>0</v>
      </c>
    </row>
    <row r="317" spans="1:14" ht="15" customHeight="1">
      <c r="A317" s="13"/>
      <c r="B317" s="14" t="s">
        <v>287</v>
      </c>
      <c r="C317" s="1" t="s">
        <v>35</v>
      </c>
      <c r="D317" s="3">
        <v>0.73</v>
      </c>
      <c r="E317" s="2" t="s">
        <v>10</v>
      </c>
      <c r="F317" s="4" t="e">
        <f>H317+J317+L317</f>
        <v>#REF!</v>
      </c>
      <c r="G317" s="8" t="e">
        <f t="shared" si="44"/>
        <v>#REF!</v>
      </c>
      <c r="H317" s="4" t="e">
        <f>#REF!</f>
        <v>#REF!</v>
      </c>
      <c r="I317" s="8" t="e">
        <f>TRUNC(H317*D317,1)</f>
        <v>#REF!</v>
      </c>
      <c r="J317" s="4">
        <v>0</v>
      </c>
      <c r="K317" s="8"/>
      <c r="L317" s="4">
        <v>0</v>
      </c>
      <c r="M317" s="8"/>
      <c r="N317" s="12" t="s">
        <v>0</v>
      </c>
    </row>
    <row r="318" spans="1:14" ht="15" customHeight="1">
      <c r="A318" s="13"/>
      <c r="B318" s="14" t="s">
        <v>288</v>
      </c>
      <c r="C318" s="1" t="s">
        <v>29</v>
      </c>
      <c r="D318" s="1">
        <v>2</v>
      </c>
      <c r="E318" s="2" t="s">
        <v>28</v>
      </c>
      <c r="F318" s="4">
        <f>H318+J318+L318</f>
        <v>0</v>
      </c>
      <c r="G318" s="8">
        <f t="shared" si="44"/>
        <v>791.1</v>
      </c>
      <c r="H318" s="2"/>
      <c r="I318" s="8">
        <f>TRUNC((K314*0.02),1)</f>
        <v>791.1</v>
      </c>
      <c r="J318" s="2"/>
      <c r="K318" s="8">
        <v>0</v>
      </c>
      <c r="L318" s="2"/>
      <c r="M318" s="8">
        <v>0</v>
      </c>
      <c r="N318" s="12" t="s">
        <v>0</v>
      </c>
    </row>
    <row r="319" spans="1:14" ht="15" customHeight="1">
      <c r="A319" s="16"/>
      <c r="B319" s="15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12"/>
    </row>
    <row r="320" spans="1:14" ht="15" customHeight="1">
      <c r="A320" s="52">
        <f>A313+1</f>
        <v>8</v>
      </c>
      <c r="B320" s="46" t="s">
        <v>508</v>
      </c>
      <c r="C320" s="47" t="s">
        <v>182</v>
      </c>
      <c r="D320" s="47">
        <v>1</v>
      </c>
      <c r="E320" s="48" t="s">
        <v>3</v>
      </c>
      <c r="F320" s="51"/>
      <c r="G320" s="50" t="e">
        <f t="shared" ref="G320:G325" si="45">I320+K320+M320</f>
        <v>#REF!</v>
      </c>
      <c r="H320" s="51"/>
      <c r="I320" s="50" t="e">
        <f>TRUNC(I321+I322+I323+I324+I325,0)</f>
        <v>#REF!</v>
      </c>
      <c r="J320" s="51"/>
      <c r="K320" s="50">
        <f>TRUNC(K321+K322+K323+K324+K325,0)</f>
        <v>51421</v>
      </c>
      <c r="L320" s="51"/>
      <c r="M320" s="50">
        <f>TRUNC(M321+M322+M323+M324+M325,0)</f>
        <v>0</v>
      </c>
      <c r="N320" s="63" t="str">
        <f>N313</f>
        <v>토목6-3-4</v>
      </c>
    </row>
    <row r="321" spans="1:14" ht="15" customHeight="1">
      <c r="A321" s="13"/>
      <c r="B321" s="14" t="s">
        <v>265</v>
      </c>
      <c r="C321" s="1" t="s">
        <v>510</v>
      </c>
      <c r="D321" s="3">
        <f>0.26*0.7</f>
        <v>0.182</v>
      </c>
      <c r="E321" s="2" t="s">
        <v>24</v>
      </c>
      <c r="F321" s="4">
        <f>H321+J321+L321</f>
        <v>282536</v>
      </c>
      <c r="G321" s="8">
        <f t="shared" si="45"/>
        <v>51421.5</v>
      </c>
      <c r="H321" s="4"/>
      <c r="I321" s="8"/>
      <c r="J321" s="4">
        <f>노임!$D$7</f>
        <v>282536</v>
      </c>
      <c r="K321" s="8">
        <f>TRUNC(J321*D321,1)</f>
        <v>51421.5</v>
      </c>
      <c r="L321" s="4">
        <v>0</v>
      </c>
      <c r="M321" s="8"/>
      <c r="N321" s="12" t="s">
        <v>0</v>
      </c>
    </row>
    <row r="322" spans="1:14" ht="15" customHeight="1">
      <c r="A322" s="13"/>
      <c r="B322" s="14" t="s">
        <v>279</v>
      </c>
      <c r="C322" s="1" t="s">
        <v>37</v>
      </c>
      <c r="D322" s="3">
        <v>500</v>
      </c>
      <c r="E322" s="2" t="s">
        <v>30</v>
      </c>
      <c r="F322" s="4" t="e">
        <f>H322+J322+L322</f>
        <v>#REF!</v>
      </c>
      <c r="G322" s="8" t="e">
        <f t="shared" si="45"/>
        <v>#REF!</v>
      </c>
      <c r="H322" s="4" t="e">
        <f>#REF!</f>
        <v>#REF!</v>
      </c>
      <c r="I322" s="8" t="e">
        <f>TRUNC(H322*D322,1)</f>
        <v>#REF!</v>
      </c>
      <c r="J322" s="4">
        <v>0</v>
      </c>
      <c r="K322" s="8"/>
      <c r="L322" s="4">
        <v>0</v>
      </c>
      <c r="M322" s="8"/>
      <c r="N322" s="12" t="s">
        <v>0</v>
      </c>
    </row>
    <row r="323" spans="1:14" ht="15" customHeight="1">
      <c r="A323" s="13"/>
      <c r="B323" s="14" t="s">
        <v>286</v>
      </c>
      <c r="C323" s="1" t="s">
        <v>36</v>
      </c>
      <c r="D323" s="3">
        <v>0.25</v>
      </c>
      <c r="E323" s="2" t="s">
        <v>31</v>
      </c>
      <c r="F323" s="4" t="e">
        <f>H323+J323+L323</f>
        <v>#REF!</v>
      </c>
      <c r="G323" s="8" t="e">
        <f t="shared" si="45"/>
        <v>#REF!</v>
      </c>
      <c r="H323" s="4" t="e">
        <f>#REF!</f>
        <v>#REF!</v>
      </c>
      <c r="I323" s="8" t="e">
        <f>TRUNC(H323*D323,1)</f>
        <v>#REF!</v>
      </c>
      <c r="J323" s="4">
        <v>0</v>
      </c>
      <c r="K323" s="8"/>
      <c r="L323" s="4">
        <v>0</v>
      </c>
      <c r="M323" s="8"/>
      <c r="N323" s="12" t="s">
        <v>0</v>
      </c>
    </row>
    <row r="324" spans="1:14" ht="15" customHeight="1">
      <c r="A324" s="13"/>
      <c r="B324" s="14" t="s">
        <v>287</v>
      </c>
      <c r="C324" s="1" t="s">
        <v>35</v>
      </c>
      <c r="D324" s="3">
        <v>0.74</v>
      </c>
      <c r="E324" s="2" t="s">
        <v>10</v>
      </c>
      <c r="F324" s="4" t="e">
        <f>H324+J324+L324</f>
        <v>#REF!</v>
      </c>
      <c r="G324" s="8" t="e">
        <f t="shared" si="45"/>
        <v>#REF!</v>
      </c>
      <c r="H324" s="4" t="e">
        <f>#REF!</f>
        <v>#REF!</v>
      </c>
      <c r="I324" s="8" t="e">
        <f>TRUNC(H324*D324,1)</f>
        <v>#REF!</v>
      </c>
      <c r="J324" s="4">
        <v>0</v>
      </c>
      <c r="K324" s="8"/>
      <c r="L324" s="4">
        <v>0</v>
      </c>
      <c r="M324" s="8"/>
      <c r="N324" s="12" t="s">
        <v>0</v>
      </c>
    </row>
    <row r="325" spans="1:14" ht="15" customHeight="1">
      <c r="A325" s="13"/>
      <c r="B325" s="14" t="s">
        <v>288</v>
      </c>
      <c r="C325" s="1" t="s">
        <v>29</v>
      </c>
      <c r="D325" s="1">
        <v>2</v>
      </c>
      <c r="E325" s="2" t="s">
        <v>28</v>
      </c>
      <c r="F325" s="4">
        <f>H325+J325+L325</f>
        <v>0</v>
      </c>
      <c r="G325" s="8">
        <f t="shared" si="45"/>
        <v>1028.4000000000001</v>
      </c>
      <c r="H325" s="2"/>
      <c r="I325" s="8">
        <f>TRUNC((K321*0.02),1)</f>
        <v>1028.4000000000001</v>
      </c>
      <c r="J325" s="2"/>
      <c r="K325" s="8">
        <v>0</v>
      </c>
      <c r="L325" s="2"/>
      <c r="M325" s="8">
        <v>0</v>
      </c>
      <c r="N325" s="12" t="s">
        <v>0</v>
      </c>
    </row>
    <row r="326" spans="1:14" ht="15" customHeight="1">
      <c r="A326" s="16"/>
      <c r="B326" s="15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63"/>
    </row>
    <row r="327" spans="1:14" ht="15" customHeight="1">
      <c r="A327" s="52">
        <f>A320+1</f>
        <v>9</v>
      </c>
      <c r="B327" s="46" t="s">
        <v>508</v>
      </c>
      <c r="C327" s="47" t="s">
        <v>183</v>
      </c>
      <c r="D327" s="47">
        <v>1</v>
      </c>
      <c r="E327" s="48" t="s">
        <v>3</v>
      </c>
      <c r="F327" s="51"/>
      <c r="G327" s="50" t="e">
        <f t="shared" ref="G327:G332" si="46">I327+K327+M327</f>
        <v>#REF!</v>
      </c>
      <c r="H327" s="51"/>
      <c r="I327" s="50" t="e">
        <f>TRUNC(I328+I329+I330+I331+I332,0)</f>
        <v>#REF!</v>
      </c>
      <c r="J327" s="51"/>
      <c r="K327" s="50">
        <f>TRUNC(K328+K329+K330+K331+K332,0)</f>
        <v>61310</v>
      </c>
      <c r="L327" s="51"/>
      <c r="M327" s="50">
        <f>TRUNC(M328+M329+M330+M331+M332,0)</f>
        <v>0</v>
      </c>
      <c r="N327" s="63" t="str">
        <f>N320</f>
        <v>토목6-3-4</v>
      </c>
    </row>
    <row r="328" spans="1:14" ht="15" customHeight="1">
      <c r="A328" s="13"/>
      <c r="B328" s="14" t="s">
        <v>265</v>
      </c>
      <c r="C328" s="1" t="s">
        <v>510</v>
      </c>
      <c r="D328" s="3">
        <f>0.31*0.7</f>
        <v>0.217</v>
      </c>
      <c r="E328" s="2" t="s">
        <v>24</v>
      </c>
      <c r="F328" s="4">
        <f>H328+J328+L328</f>
        <v>282536</v>
      </c>
      <c r="G328" s="8">
        <f t="shared" si="46"/>
        <v>61310.3</v>
      </c>
      <c r="H328" s="4"/>
      <c r="I328" s="8"/>
      <c r="J328" s="4">
        <f>노임!$D$7</f>
        <v>282536</v>
      </c>
      <c r="K328" s="8">
        <f>TRUNC(J328*D328,1)</f>
        <v>61310.3</v>
      </c>
      <c r="L328" s="4">
        <v>0</v>
      </c>
      <c r="M328" s="8"/>
      <c r="N328" s="12" t="s">
        <v>0</v>
      </c>
    </row>
    <row r="329" spans="1:14" ht="15" customHeight="1">
      <c r="A329" s="13"/>
      <c r="B329" s="14" t="s">
        <v>279</v>
      </c>
      <c r="C329" s="1" t="s">
        <v>37</v>
      </c>
      <c r="D329" s="3">
        <v>590</v>
      </c>
      <c r="E329" s="2" t="s">
        <v>30</v>
      </c>
      <c r="F329" s="4" t="e">
        <f>H329+J329+L329</f>
        <v>#REF!</v>
      </c>
      <c r="G329" s="8" t="e">
        <f t="shared" si="46"/>
        <v>#REF!</v>
      </c>
      <c r="H329" s="4" t="e">
        <f>#REF!</f>
        <v>#REF!</v>
      </c>
      <c r="I329" s="8" t="e">
        <f>TRUNC(H329*D329,1)</f>
        <v>#REF!</v>
      </c>
      <c r="J329" s="4">
        <v>0</v>
      </c>
      <c r="K329" s="8"/>
      <c r="L329" s="4">
        <v>0</v>
      </c>
      <c r="M329" s="8"/>
      <c r="N329" s="12" t="s">
        <v>0</v>
      </c>
    </row>
    <row r="330" spans="1:14" ht="15" customHeight="1">
      <c r="A330" s="13"/>
      <c r="B330" s="14" t="s">
        <v>286</v>
      </c>
      <c r="C330" s="1" t="s">
        <v>36</v>
      </c>
      <c r="D330" s="3">
        <v>0.3</v>
      </c>
      <c r="E330" s="2" t="s">
        <v>31</v>
      </c>
      <c r="F330" s="4" t="e">
        <f>H330+J330+L330</f>
        <v>#REF!</v>
      </c>
      <c r="G330" s="8" t="e">
        <f t="shared" si="46"/>
        <v>#REF!</v>
      </c>
      <c r="H330" s="4" t="e">
        <f>#REF!</f>
        <v>#REF!</v>
      </c>
      <c r="I330" s="8" t="e">
        <f>TRUNC(H330*D330,1)</f>
        <v>#REF!</v>
      </c>
      <c r="J330" s="4">
        <v>0</v>
      </c>
      <c r="K330" s="8"/>
      <c r="L330" s="4">
        <v>0</v>
      </c>
      <c r="M330" s="8"/>
      <c r="N330" s="12" t="s">
        <v>0</v>
      </c>
    </row>
    <row r="331" spans="1:14" ht="15" customHeight="1">
      <c r="A331" s="13"/>
      <c r="B331" s="14" t="s">
        <v>287</v>
      </c>
      <c r="C331" s="1" t="s">
        <v>35</v>
      </c>
      <c r="D331" s="3">
        <v>0.84</v>
      </c>
      <c r="E331" s="2" t="s">
        <v>10</v>
      </c>
      <c r="F331" s="4" t="e">
        <f>H331+J331+L331</f>
        <v>#REF!</v>
      </c>
      <c r="G331" s="8" t="e">
        <f t="shared" si="46"/>
        <v>#REF!</v>
      </c>
      <c r="H331" s="4" t="e">
        <f>#REF!</f>
        <v>#REF!</v>
      </c>
      <c r="I331" s="8" t="e">
        <f>TRUNC(H331*D331,1)</f>
        <v>#REF!</v>
      </c>
      <c r="J331" s="4">
        <v>0</v>
      </c>
      <c r="K331" s="8"/>
      <c r="L331" s="4">
        <v>0</v>
      </c>
      <c r="M331" s="8"/>
      <c r="N331" s="12" t="s">
        <v>0</v>
      </c>
    </row>
    <row r="332" spans="1:14" ht="15" customHeight="1">
      <c r="A332" s="13"/>
      <c r="B332" s="14" t="s">
        <v>288</v>
      </c>
      <c r="C332" s="1" t="s">
        <v>29</v>
      </c>
      <c r="D332" s="1">
        <v>2</v>
      </c>
      <c r="E332" s="2" t="s">
        <v>28</v>
      </c>
      <c r="F332" s="4">
        <f>H332+J332+L332</f>
        <v>0</v>
      </c>
      <c r="G332" s="8">
        <f t="shared" si="46"/>
        <v>1226.2</v>
      </c>
      <c r="H332" s="2"/>
      <c r="I332" s="8">
        <f>TRUNC((K328*0.02),1)</f>
        <v>1226.2</v>
      </c>
      <c r="J332" s="2"/>
      <c r="K332" s="8">
        <v>0</v>
      </c>
      <c r="L332" s="2"/>
      <c r="M332" s="8">
        <v>0</v>
      </c>
      <c r="N332" s="12" t="s">
        <v>0</v>
      </c>
    </row>
    <row r="333" spans="1:14" ht="15" customHeight="1">
      <c r="A333" s="16"/>
      <c r="B333" s="15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12"/>
    </row>
    <row r="334" spans="1:14" ht="15" customHeight="1">
      <c r="A334" s="52">
        <f>A327+1</f>
        <v>10</v>
      </c>
      <c r="B334" s="46" t="s">
        <v>508</v>
      </c>
      <c r="C334" s="47" t="s">
        <v>185</v>
      </c>
      <c r="D334" s="47">
        <v>1</v>
      </c>
      <c r="E334" s="48" t="s">
        <v>3</v>
      </c>
      <c r="F334" s="51"/>
      <c r="G334" s="50" t="e">
        <f t="shared" ref="G334:G339" si="47">I334+K334+M334</f>
        <v>#REF!</v>
      </c>
      <c r="H334" s="51"/>
      <c r="I334" s="50" t="e">
        <f>TRUNC(I335+I336+I337+I338+I339,0)</f>
        <v>#REF!</v>
      </c>
      <c r="J334" s="51"/>
      <c r="K334" s="50">
        <f>TRUNC(K335+K336+K337+K338+K339,0)</f>
        <v>71199</v>
      </c>
      <c r="L334" s="51"/>
      <c r="M334" s="50">
        <f>TRUNC(M335+M336+M337+M338+M339,0)</f>
        <v>0</v>
      </c>
      <c r="N334" s="63" t="str">
        <f>N327</f>
        <v>토목6-3-4</v>
      </c>
    </row>
    <row r="335" spans="1:14" ht="15" customHeight="1">
      <c r="A335" s="13"/>
      <c r="B335" s="14" t="s">
        <v>265</v>
      </c>
      <c r="C335" s="1" t="s">
        <v>510</v>
      </c>
      <c r="D335" s="3">
        <f>0.36*0.7</f>
        <v>0.252</v>
      </c>
      <c r="E335" s="2" t="s">
        <v>24</v>
      </c>
      <c r="F335" s="4">
        <f>H335+J335+L335</f>
        <v>282536</v>
      </c>
      <c r="G335" s="8">
        <f t="shared" si="47"/>
        <v>71199</v>
      </c>
      <c r="H335" s="4"/>
      <c r="I335" s="8"/>
      <c r="J335" s="4">
        <f>노임!$D$7</f>
        <v>282536</v>
      </c>
      <c r="K335" s="8">
        <f>TRUNC(J335*D335,1)</f>
        <v>71199</v>
      </c>
      <c r="L335" s="4">
        <v>0</v>
      </c>
      <c r="M335" s="8"/>
      <c r="N335" s="12" t="s">
        <v>0</v>
      </c>
    </row>
    <row r="336" spans="1:14" ht="15" customHeight="1">
      <c r="A336" s="13"/>
      <c r="B336" s="14" t="s">
        <v>279</v>
      </c>
      <c r="C336" s="1" t="s">
        <v>37</v>
      </c>
      <c r="D336" s="3">
        <v>630</v>
      </c>
      <c r="E336" s="2" t="s">
        <v>30</v>
      </c>
      <c r="F336" s="4" t="e">
        <f>H336+J336+L336</f>
        <v>#REF!</v>
      </c>
      <c r="G336" s="8" t="e">
        <f t="shared" si="47"/>
        <v>#REF!</v>
      </c>
      <c r="H336" s="4" t="e">
        <f>#REF!</f>
        <v>#REF!</v>
      </c>
      <c r="I336" s="8" t="e">
        <f>TRUNC(H336*D336,1)</f>
        <v>#REF!</v>
      </c>
      <c r="J336" s="4">
        <v>0</v>
      </c>
      <c r="K336" s="8"/>
      <c r="L336" s="4">
        <v>0</v>
      </c>
      <c r="M336" s="8"/>
      <c r="N336" s="12" t="s">
        <v>0</v>
      </c>
    </row>
    <row r="337" spans="1:14" ht="15" customHeight="1">
      <c r="A337" s="13"/>
      <c r="B337" s="14" t="s">
        <v>286</v>
      </c>
      <c r="C337" s="1" t="s">
        <v>36</v>
      </c>
      <c r="D337" s="3">
        <v>0.32</v>
      </c>
      <c r="E337" s="2" t="s">
        <v>31</v>
      </c>
      <c r="F337" s="4" t="e">
        <f>H337+J337+L337</f>
        <v>#REF!</v>
      </c>
      <c r="G337" s="8" t="e">
        <f t="shared" si="47"/>
        <v>#REF!</v>
      </c>
      <c r="H337" s="4" t="e">
        <f>#REF!</f>
        <v>#REF!</v>
      </c>
      <c r="I337" s="8" t="e">
        <f>TRUNC(H337*D337,1)</f>
        <v>#REF!</v>
      </c>
      <c r="J337" s="4">
        <v>0</v>
      </c>
      <c r="K337" s="8"/>
      <c r="L337" s="4">
        <v>0</v>
      </c>
      <c r="M337" s="8"/>
      <c r="N337" s="12" t="s">
        <v>0</v>
      </c>
    </row>
    <row r="338" spans="1:14" ht="15" customHeight="1">
      <c r="A338" s="13"/>
      <c r="B338" s="14" t="s">
        <v>287</v>
      </c>
      <c r="C338" s="1" t="s">
        <v>35</v>
      </c>
      <c r="D338" s="3">
        <v>0.96</v>
      </c>
      <c r="E338" s="2" t="s">
        <v>10</v>
      </c>
      <c r="F338" s="4" t="e">
        <f>H338+J338+L338</f>
        <v>#REF!</v>
      </c>
      <c r="G338" s="8" t="e">
        <f t="shared" si="47"/>
        <v>#REF!</v>
      </c>
      <c r="H338" s="4" t="e">
        <f>#REF!</f>
        <v>#REF!</v>
      </c>
      <c r="I338" s="8" t="e">
        <f>TRUNC(H338*D338,1)</f>
        <v>#REF!</v>
      </c>
      <c r="J338" s="4">
        <v>0</v>
      </c>
      <c r="K338" s="8"/>
      <c r="L338" s="4">
        <v>0</v>
      </c>
      <c r="M338" s="8"/>
      <c r="N338" s="12" t="s">
        <v>0</v>
      </c>
    </row>
    <row r="339" spans="1:14" ht="15" customHeight="1">
      <c r="A339" s="13"/>
      <c r="B339" s="14" t="s">
        <v>288</v>
      </c>
      <c r="C339" s="1" t="s">
        <v>29</v>
      </c>
      <c r="D339" s="1">
        <v>2</v>
      </c>
      <c r="E339" s="2" t="s">
        <v>28</v>
      </c>
      <c r="F339" s="4">
        <f>H339+J339+L339</f>
        <v>0</v>
      </c>
      <c r="G339" s="8">
        <f t="shared" si="47"/>
        <v>1423.9</v>
      </c>
      <c r="H339" s="2"/>
      <c r="I339" s="8">
        <f>TRUNC((K335*0.02),1)</f>
        <v>1423.9</v>
      </c>
      <c r="J339" s="2"/>
      <c r="K339" s="8">
        <v>0</v>
      </c>
      <c r="L339" s="2"/>
      <c r="M339" s="8">
        <v>0</v>
      </c>
      <c r="N339" s="12" t="s">
        <v>0</v>
      </c>
    </row>
    <row r="340" spans="1:14" ht="15" customHeight="1">
      <c r="A340" s="16"/>
      <c r="B340" s="15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12"/>
    </row>
    <row r="341" spans="1:14" ht="15" customHeight="1">
      <c r="A341" s="52">
        <f>A334+1</f>
        <v>11</v>
      </c>
      <c r="B341" s="46" t="s">
        <v>508</v>
      </c>
      <c r="C341" s="47" t="s">
        <v>184</v>
      </c>
      <c r="D341" s="47">
        <v>1</v>
      </c>
      <c r="E341" s="48" t="s">
        <v>3</v>
      </c>
      <c r="F341" s="51"/>
      <c r="G341" s="50" t="e">
        <f t="shared" ref="G341:G346" si="48">I341+K341+M341</f>
        <v>#REF!</v>
      </c>
      <c r="H341" s="51"/>
      <c r="I341" s="50" t="e">
        <f>TRUNC(I342+I343+I344+I345+I346,0)</f>
        <v>#REF!</v>
      </c>
      <c r="J341" s="51"/>
      <c r="K341" s="50">
        <f>TRUNC(K342+K343+K344+K345+K346,0)</f>
        <v>81087</v>
      </c>
      <c r="L341" s="51"/>
      <c r="M341" s="50">
        <f>TRUNC(M342+M343+M344+M345+M346,0)</f>
        <v>0</v>
      </c>
      <c r="N341" s="63" t="str">
        <f>N334</f>
        <v>토목6-3-4</v>
      </c>
    </row>
    <row r="342" spans="1:14" ht="15" customHeight="1">
      <c r="A342" s="13"/>
      <c r="B342" s="14" t="s">
        <v>265</v>
      </c>
      <c r="C342" s="1" t="s">
        <v>510</v>
      </c>
      <c r="D342" s="3">
        <f>0.41*0.7</f>
        <v>0.28699999999999998</v>
      </c>
      <c r="E342" s="2" t="s">
        <v>24</v>
      </c>
      <c r="F342" s="4">
        <f>H342+J342+L342</f>
        <v>282536</v>
      </c>
      <c r="G342" s="8">
        <f t="shared" si="48"/>
        <v>81087.8</v>
      </c>
      <c r="H342" s="4"/>
      <c r="I342" s="8"/>
      <c r="J342" s="4">
        <f>노임!$D$7</f>
        <v>282536</v>
      </c>
      <c r="K342" s="8">
        <f>TRUNC(J342*D342,1)</f>
        <v>81087.8</v>
      </c>
      <c r="L342" s="4">
        <v>0</v>
      </c>
      <c r="M342" s="8"/>
      <c r="N342" s="12" t="s">
        <v>0</v>
      </c>
    </row>
    <row r="343" spans="1:14" ht="15" customHeight="1">
      <c r="A343" s="13"/>
      <c r="B343" s="14" t="s">
        <v>279</v>
      </c>
      <c r="C343" s="1" t="s">
        <v>37</v>
      </c>
      <c r="D343" s="3">
        <v>720</v>
      </c>
      <c r="E343" s="2" t="s">
        <v>30</v>
      </c>
      <c r="F343" s="4" t="e">
        <f>H343+J343+L343</f>
        <v>#REF!</v>
      </c>
      <c r="G343" s="8" t="e">
        <f t="shared" si="48"/>
        <v>#REF!</v>
      </c>
      <c r="H343" s="4" t="e">
        <f>#REF!</f>
        <v>#REF!</v>
      </c>
      <c r="I343" s="8" t="e">
        <f>TRUNC(H343*D343,1)</f>
        <v>#REF!</v>
      </c>
      <c r="J343" s="4">
        <v>0</v>
      </c>
      <c r="K343" s="8"/>
      <c r="L343" s="4">
        <v>0</v>
      </c>
      <c r="M343" s="8"/>
      <c r="N343" s="12" t="s">
        <v>0</v>
      </c>
    </row>
    <row r="344" spans="1:14" ht="15" customHeight="1">
      <c r="A344" s="13"/>
      <c r="B344" s="14" t="s">
        <v>286</v>
      </c>
      <c r="C344" s="1" t="s">
        <v>36</v>
      </c>
      <c r="D344" s="3">
        <v>0.36</v>
      </c>
      <c r="E344" s="2" t="s">
        <v>31</v>
      </c>
      <c r="F344" s="4" t="e">
        <f>H344+J344+L344</f>
        <v>#REF!</v>
      </c>
      <c r="G344" s="8" t="e">
        <f t="shared" si="48"/>
        <v>#REF!</v>
      </c>
      <c r="H344" s="4" t="e">
        <f>#REF!</f>
        <v>#REF!</v>
      </c>
      <c r="I344" s="8" t="e">
        <f>TRUNC(H344*D344,1)</f>
        <v>#REF!</v>
      </c>
      <c r="J344" s="4">
        <v>0</v>
      </c>
      <c r="K344" s="8"/>
      <c r="L344" s="4">
        <v>0</v>
      </c>
      <c r="M344" s="8"/>
      <c r="N344" s="12" t="s">
        <v>0</v>
      </c>
    </row>
    <row r="345" spans="1:14" ht="15" customHeight="1">
      <c r="A345" s="13"/>
      <c r="B345" s="14" t="s">
        <v>287</v>
      </c>
      <c r="C345" s="1" t="s">
        <v>35</v>
      </c>
      <c r="D345" s="3">
        <v>1.06</v>
      </c>
      <c r="E345" s="2" t="s">
        <v>10</v>
      </c>
      <c r="F345" s="4" t="e">
        <f>H345+J345+L345</f>
        <v>#REF!</v>
      </c>
      <c r="G345" s="8" t="e">
        <f t="shared" si="48"/>
        <v>#REF!</v>
      </c>
      <c r="H345" s="4" t="e">
        <f>#REF!</f>
        <v>#REF!</v>
      </c>
      <c r="I345" s="8" t="e">
        <f>TRUNC(H345*D345,1)</f>
        <v>#REF!</v>
      </c>
      <c r="J345" s="4">
        <v>0</v>
      </c>
      <c r="K345" s="8"/>
      <c r="L345" s="4">
        <v>0</v>
      </c>
      <c r="M345" s="8"/>
      <c r="N345" s="12" t="s">
        <v>0</v>
      </c>
    </row>
    <row r="346" spans="1:14" ht="15" customHeight="1">
      <c r="A346" s="13"/>
      <c r="B346" s="14" t="s">
        <v>288</v>
      </c>
      <c r="C346" s="1" t="s">
        <v>29</v>
      </c>
      <c r="D346" s="1">
        <v>2</v>
      </c>
      <c r="E346" s="2" t="s">
        <v>28</v>
      </c>
      <c r="F346" s="4">
        <f>H346+J346+L346</f>
        <v>0</v>
      </c>
      <c r="G346" s="8">
        <f t="shared" si="48"/>
        <v>1621.7</v>
      </c>
      <c r="H346" s="2"/>
      <c r="I346" s="8">
        <f>TRUNC((K342*0.02),1)</f>
        <v>1621.7</v>
      </c>
      <c r="J346" s="2"/>
      <c r="K346" s="8">
        <v>0</v>
      </c>
      <c r="L346" s="2"/>
      <c r="M346" s="8">
        <v>0</v>
      </c>
      <c r="N346" s="12" t="s">
        <v>0</v>
      </c>
    </row>
    <row r="347" spans="1:14" ht="15" customHeight="1">
      <c r="A347" s="16"/>
      <c r="B347" s="15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12"/>
    </row>
    <row r="348" spans="1:14" ht="15" customHeight="1">
      <c r="A348" s="52">
        <f>A341+1</f>
        <v>12</v>
      </c>
      <c r="B348" s="46" t="s">
        <v>508</v>
      </c>
      <c r="C348" s="47" t="s">
        <v>186</v>
      </c>
      <c r="D348" s="47">
        <v>1</v>
      </c>
      <c r="E348" s="48" t="s">
        <v>3</v>
      </c>
      <c r="F348" s="51"/>
      <c r="G348" s="50" t="e">
        <f t="shared" ref="G348:G353" si="49">I348+K348+M348</f>
        <v>#REF!</v>
      </c>
      <c r="H348" s="51"/>
      <c r="I348" s="50" t="e">
        <f>TRUNC(I349+I350+I351+I352+I353,0)</f>
        <v>#REF!</v>
      </c>
      <c r="J348" s="51"/>
      <c r="K348" s="50">
        <f>TRUNC(K349+K350+K351+K352+K353,0)</f>
        <v>90976</v>
      </c>
      <c r="L348" s="51"/>
      <c r="M348" s="50">
        <f>TRUNC(M349+M350+M351+M352+M353,0)</f>
        <v>0</v>
      </c>
      <c r="N348" s="63" t="str">
        <f>N341</f>
        <v>토목6-3-4</v>
      </c>
    </row>
    <row r="349" spans="1:14" ht="15" customHeight="1">
      <c r="A349" s="13"/>
      <c r="B349" s="14" t="s">
        <v>265</v>
      </c>
      <c r="C349" s="1" t="s">
        <v>510</v>
      </c>
      <c r="D349" s="3">
        <f>0.46*0.7</f>
        <v>0.32200000000000001</v>
      </c>
      <c r="E349" s="2" t="s">
        <v>24</v>
      </c>
      <c r="F349" s="4">
        <f>H349+J349+L349</f>
        <v>282536</v>
      </c>
      <c r="G349" s="8">
        <f t="shared" si="49"/>
        <v>90976.5</v>
      </c>
      <c r="H349" s="4"/>
      <c r="I349" s="8"/>
      <c r="J349" s="4">
        <f>노임!$D$7</f>
        <v>282536</v>
      </c>
      <c r="K349" s="8">
        <f>TRUNC(J349*D349,1)</f>
        <v>90976.5</v>
      </c>
      <c r="L349" s="4">
        <v>0</v>
      </c>
      <c r="M349" s="8"/>
      <c r="N349" s="12" t="s">
        <v>0</v>
      </c>
    </row>
    <row r="350" spans="1:14" ht="15" customHeight="1">
      <c r="A350" s="13"/>
      <c r="B350" s="14" t="s">
        <v>279</v>
      </c>
      <c r="C350" s="1" t="s">
        <v>37</v>
      </c>
      <c r="D350" s="3">
        <v>810</v>
      </c>
      <c r="E350" s="2" t="s">
        <v>30</v>
      </c>
      <c r="F350" s="4" t="e">
        <f>H350+J350+L350</f>
        <v>#REF!</v>
      </c>
      <c r="G350" s="8" t="e">
        <f t="shared" si="49"/>
        <v>#REF!</v>
      </c>
      <c r="H350" s="4" t="e">
        <f>#REF!</f>
        <v>#REF!</v>
      </c>
      <c r="I350" s="8" t="e">
        <f>TRUNC(H350*D350,1)</f>
        <v>#REF!</v>
      </c>
      <c r="J350" s="4">
        <v>0</v>
      </c>
      <c r="K350" s="8"/>
      <c r="L350" s="4">
        <v>0</v>
      </c>
      <c r="M350" s="8"/>
      <c r="N350" s="12" t="s">
        <v>0</v>
      </c>
    </row>
    <row r="351" spans="1:14" ht="15" customHeight="1">
      <c r="A351" s="13"/>
      <c r="B351" s="14" t="s">
        <v>286</v>
      </c>
      <c r="C351" s="1" t="s">
        <v>36</v>
      </c>
      <c r="D351" s="3">
        <v>0.41</v>
      </c>
      <c r="E351" s="2" t="s">
        <v>31</v>
      </c>
      <c r="F351" s="4" t="e">
        <f>H351+J351+L351</f>
        <v>#REF!</v>
      </c>
      <c r="G351" s="8" t="e">
        <f t="shared" si="49"/>
        <v>#REF!</v>
      </c>
      <c r="H351" s="4" t="e">
        <f>#REF!</f>
        <v>#REF!</v>
      </c>
      <c r="I351" s="8" t="e">
        <f>TRUNC(H351*D351,1)</f>
        <v>#REF!</v>
      </c>
      <c r="J351" s="4">
        <v>0</v>
      </c>
      <c r="K351" s="8"/>
      <c r="L351" s="4">
        <v>0</v>
      </c>
      <c r="M351" s="8"/>
      <c r="N351" s="12" t="s">
        <v>0</v>
      </c>
    </row>
    <row r="352" spans="1:14" ht="15" customHeight="1">
      <c r="A352" s="13"/>
      <c r="B352" s="14" t="s">
        <v>287</v>
      </c>
      <c r="C352" s="1" t="s">
        <v>35</v>
      </c>
      <c r="D352" s="3">
        <v>1.27</v>
      </c>
      <c r="E352" s="2" t="s">
        <v>10</v>
      </c>
      <c r="F352" s="4" t="e">
        <f>H352+J352+L352</f>
        <v>#REF!</v>
      </c>
      <c r="G352" s="8" t="e">
        <f t="shared" si="49"/>
        <v>#REF!</v>
      </c>
      <c r="H352" s="4" t="e">
        <f>#REF!</f>
        <v>#REF!</v>
      </c>
      <c r="I352" s="8" t="e">
        <f>TRUNC(H352*D352,1)</f>
        <v>#REF!</v>
      </c>
      <c r="J352" s="4">
        <v>0</v>
      </c>
      <c r="K352" s="8"/>
      <c r="L352" s="4">
        <v>0</v>
      </c>
      <c r="M352" s="8"/>
      <c r="N352" s="12" t="s">
        <v>0</v>
      </c>
    </row>
    <row r="353" spans="1:14" ht="15" customHeight="1">
      <c r="A353" s="13"/>
      <c r="B353" s="14" t="s">
        <v>288</v>
      </c>
      <c r="C353" s="1" t="s">
        <v>29</v>
      </c>
      <c r="D353" s="1">
        <v>2</v>
      </c>
      <c r="E353" s="2" t="s">
        <v>28</v>
      </c>
      <c r="F353" s="4">
        <f>H353+J353+L353</f>
        <v>0</v>
      </c>
      <c r="G353" s="8">
        <f t="shared" si="49"/>
        <v>1819.5</v>
      </c>
      <c r="H353" s="2"/>
      <c r="I353" s="8">
        <f>TRUNC((K349*0.02),1)</f>
        <v>1819.5</v>
      </c>
      <c r="J353" s="2"/>
      <c r="K353" s="8">
        <v>0</v>
      </c>
      <c r="L353" s="2"/>
      <c r="M353" s="8">
        <v>0</v>
      </c>
      <c r="N353" s="12" t="s">
        <v>0</v>
      </c>
    </row>
    <row r="354" spans="1:14" ht="15" customHeight="1">
      <c r="A354" s="16"/>
      <c r="B354" s="15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12"/>
    </row>
    <row r="355" spans="1:14" ht="15" customHeight="1">
      <c r="A355" s="52">
        <f>A348+1</f>
        <v>13</v>
      </c>
      <c r="B355" s="46" t="s">
        <v>508</v>
      </c>
      <c r="C355" s="47" t="s">
        <v>187</v>
      </c>
      <c r="D355" s="47">
        <v>1</v>
      </c>
      <c r="E355" s="48" t="s">
        <v>3</v>
      </c>
      <c r="F355" s="51"/>
      <c r="G355" s="50" t="e">
        <f t="shared" ref="G355:G360" si="50">I355+K355+M355</f>
        <v>#REF!</v>
      </c>
      <c r="H355" s="51"/>
      <c r="I355" s="50" t="e">
        <f>TRUNC(I356+I357+I358+I359+I360,0)</f>
        <v>#REF!</v>
      </c>
      <c r="J355" s="51"/>
      <c r="K355" s="50">
        <f>TRUNC(K356+K357+K358+K359+K360,0)</f>
        <v>122620</v>
      </c>
      <c r="L355" s="51"/>
      <c r="M355" s="50">
        <f>TRUNC(M356+M357+M358+M359+M360,0)</f>
        <v>0</v>
      </c>
      <c r="N355" s="63" t="str">
        <f>N348</f>
        <v>토목6-3-4</v>
      </c>
    </row>
    <row r="356" spans="1:14" ht="15" customHeight="1">
      <c r="A356" s="13"/>
      <c r="B356" s="14" t="s">
        <v>265</v>
      </c>
      <c r="C356" s="1" t="s">
        <v>510</v>
      </c>
      <c r="D356" s="3">
        <f>0.62*0.7</f>
        <v>0.434</v>
      </c>
      <c r="E356" s="2" t="s">
        <v>24</v>
      </c>
      <c r="F356" s="4">
        <f>H356+J356+L356</f>
        <v>282536</v>
      </c>
      <c r="G356" s="8">
        <f t="shared" si="50"/>
        <v>122620.6</v>
      </c>
      <c r="H356" s="4"/>
      <c r="I356" s="8"/>
      <c r="J356" s="4">
        <f>노임!$D$7</f>
        <v>282536</v>
      </c>
      <c r="K356" s="8">
        <f>TRUNC(J356*D356,1)</f>
        <v>122620.6</v>
      </c>
      <c r="L356" s="4">
        <v>0</v>
      </c>
      <c r="M356" s="8"/>
      <c r="N356" s="12" t="s">
        <v>0</v>
      </c>
    </row>
    <row r="357" spans="1:14" ht="15" customHeight="1">
      <c r="A357" s="13"/>
      <c r="B357" s="14" t="s">
        <v>279</v>
      </c>
      <c r="C357" s="1" t="s">
        <v>37</v>
      </c>
      <c r="D357" s="3">
        <v>1020</v>
      </c>
      <c r="E357" s="2" t="s">
        <v>30</v>
      </c>
      <c r="F357" s="4" t="e">
        <f>H357+J357+L357</f>
        <v>#REF!</v>
      </c>
      <c r="G357" s="8" t="e">
        <f t="shared" si="50"/>
        <v>#REF!</v>
      </c>
      <c r="H357" s="4" t="e">
        <f>#REF!</f>
        <v>#REF!</v>
      </c>
      <c r="I357" s="8" t="e">
        <f>TRUNC(H357*D357,1)</f>
        <v>#REF!</v>
      </c>
      <c r="J357" s="4">
        <v>0</v>
      </c>
      <c r="K357" s="8"/>
      <c r="L357" s="4">
        <v>0</v>
      </c>
      <c r="M357" s="8"/>
      <c r="N357" s="12" t="s">
        <v>0</v>
      </c>
    </row>
    <row r="358" spans="1:14" ht="15" customHeight="1">
      <c r="A358" s="13"/>
      <c r="B358" s="14" t="s">
        <v>286</v>
      </c>
      <c r="C358" s="1" t="s">
        <v>36</v>
      </c>
      <c r="D358" s="3">
        <v>0.5</v>
      </c>
      <c r="E358" s="2" t="s">
        <v>31</v>
      </c>
      <c r="F358" s="4" t="e">
        <f>H358+J358+L358</f>
        <v>#REF!</v>
      </c>
      <c r="G358" s="8" t="e">
        <f t="shared" si="50"/>
        <v>#REF!</v>
      </c>
      <c r="H358" s="4" t="e">
        <f>#REF!</f>
        <v>#REF!</v>
      </c>
      <c r="I358" s="8" t="e">
        <f>TRUNC(H358*D358,1)</f>
        <v>#REF!</v>
      </c>
      <c r="J358" s="4">
        <v>0</v>
      </c>
      <c r="K358" s="8"/>
      <c r="L358" s="4">
        <v>0</v>
      </c>
      <c r="M358" s="8"/>
      <c r="N358" s="12" t="s">
        <v>0</v>
      </c>
    </row>
    <row r="359" spans="1:14" ht="15" customHeight="1">
      <c r="A359" s="13"/>
      <c r="B359" s="14" t="s">
        <v>287</v>
      </c>
      <c r="C359" s="1" t="s">
        <v>35</v>
      </c>
      <c r="D359" s="3">
        <v>1.73</v>
      </c>
      <c r="E359" s="2" t="s">
        <v>10</v>
      </c>
      <c r="F359" s="4" t="e">
        <f>H359+J359+L359</f>
        <v>#REF!</v>
      </c>
      <c r="G359" s="8" t="e">
        <f t="shared" si="50"/>
        <v>#REF!</v>
      </c>
      <c r="H359" s="4" t="e">
        <f>#REF!</f>
        <v>#REF!</v>
      </c>
      <c r="I359" s="8" t="e">
        <f>TRUNC(H359*D359,1)</f>
        <v>#REF!</v>
      </c>
      <c r="J359" s="4">
        <v>0</v>
      </c>
      <c r="K359" s="8"/>
      <c r="L359" s="4">
        <v>0</v>
      </c>
      <c r="M359" s="8"/>
      <c r="N359" s="12" t="s">
        <v>0</v>
      </c>
    </row>
    <row r="360" spans="1:14" ht="15" customHeight="1">
      <c r="A360" s="13"/>
      <c r="B360" s="14" t="s">
        <v>288</v>
      </c>
      <c r="C360" s="1" t="s">
        <v>29</v>
      </c>
      <c r="D360" s="1">
        <v>2</v>
      </c>
      <c r="E360" s="2" t="s">
        <v>28</v>
      </c>
      <c r="F360" s="4">
        <f>H360+J360+L360</f>
        <v>0</v>
      </c>
      <c r="G360" s="8">
        <f t="shared" si="50"/>
        <v>2452.4</v>
      </c>
      <c r="H360" s="2"/>
      <c r="I360" s="8">
        <f>TRUNC((K356*0.02),1)</f>
        <v>2452.4</v>
      </c>
      <c r="J360" s="2"/>
      <c r="K360" s="8">
        <v>0</v>
      </c>
      <c r="L360" s="2"/>
      <c r="M360" s="8">
        <v>0</v>
      </c>
      <c r="N360" s="12" t="s">
        <v>0</v>
      </c>
    </row>
    <row r="361" spans="1:14" ht="15" customHeight="1">
      <c r="A361" s="16"/>
      <c r="B361" s="15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12"/>
    </row>
    <row r="362" spans="1:14" ht="15" customHeight="1">
      <c r="A362" s="52">
        <f>A355+1</f>
        <v>14</v>
      </c>
      <c r="B362" s="46" t="s">
        <v>509</v>
      </c>
      <c r="C362" s="47" t="s">
        <v>187</v>
      </c>
      <c r="D362" s="47">
        <v>1</v>
      </c>
      <c r="E362" s="48" t="s">
        <v>3</v>
      </c>
      <c r="F362" s="51"/>
      <c r="G362" s="50" t="e">
        <f t="shared" ref="G362:G367" si="51">I362+K362+M362</f>
        <v>#REF!</v>
      </c>
      <c r="H362" s="51"/>
      <c r="I362" s="50" t="e">
        <f>TRUNC(I363+I364+I365+I366+I367,0)</f>
        <v>#REF!</v>
      </c>
      <c r="J362" s="51"/>
      <c r="K362" s="50">
        <f>TRUNC(K363+K364+K365+K366+K367,0)</f>
        <v>106798</v>
      </c>
      <c r="L362" s="51"/>
      <c r="M362" s="50">
        <f>TRUNC(M363+M364+M365+M366+M367,0)</f>
        <v>0</v>
      </c>
      <c r="N362" s="63" t="str">
        <f>N355</f>
        <v>토목6-3-4</v>
      </c>
    </row>
    <row r="363" spans="1:14" ht="15" customHeight="1">
      <c r="A363" s="13"/>
      <c r="B363" s="14" t="s">
        <v>265</v>
      </c>
      <c r="C363" s="1" t="s">
        <v>510</v>
      </c>
      <c r="D363" s="3">
        <f>0.54*0.7</f>
        <v>0.378</v>
      </c>
      <c r="E363" s="2" t="s">
        <v>24</v>
      </c>
      <c r="F363" s="4">
        <f>H363+J363+L363</f>
        <v>282536</v>
      </c>
      <c r="G363" s="8">
        <f t="shared" si="51"/>
        <v>106798.6</v>
      </c>
      <c r="H363" s="4"/>
      <c r="I363" s="8"/>
      <c r="J363" s="4">
        <f>노임!$D$7</f>
        <v>282536</v>
      </c>
      <c r="K363" s="8">
        <f>TRUNC(J363*D363,1)</f>
        <v>106798.6</v>
      </c>
      <c r="L363" s="4">
        <v>0</v>
      </c>
      <c r="M363" s="8"/>
      <c r="N363" s="12" t="s">
        <v>0</v>
      </c>
    </row>
    <row r="364" spans="1:14" ht="15" customHeight="1">
      <c r="A364" s="13"/>
      <c r="B364" s="14" t="s">
        <v>279</v>
      </c>
      <c r="C364" s="1" t="s">
        <v>37</v>
      </c>
      <c r="D364" s="3">
        <v>990</v>
      </c>
      <c r="E364" s="2" t="s">
        <v>30</v>
      </c>
      <c r="F364" s="4" t="e">
        <f>H364+J364+L364</f>
        <v>#REF!</v>
      </c>
      <c r="G364" s="8" t="e">
        <f t="shared" si="51"/>
        <v>#REF!</v>
      </c>
      <c r="H364" s="4" t="e">
        <f>#REF!</f>
        <v>#REF!</v>
      </c>
      <c r="I364" s="8" t="e">
        <f>TRUNC(H364*D364,1)</f>
        <v>#REF!</v>
      </c>
      <c r="J364" s="4">
        <v>0</v>
      </c>
      <c r="K364" s="8"/>
      <c r="L364" s="4">
        <v>0</v>
      </c>
      <c r="M364" s="8"/>
      <c r="N364" s="12" t="s">
        <v>0</v>
      </c>
    </row>
    <row r="365" spans="1:14" ht="15" customHeight="1">
      <c r="A365" s="13"/>
      <c r="B365" s="14" t="s">
        <v>286</v>
      </c>
      <c r="C365" s="1" t="s">
        <v>36</v>
      </c>
      <c r="D365" s="3">
        <v>0.5</v>
      </c>
      <c r="E365" s="2" t="s">
        <v>31</v>
      </c>
      <c r="F365" s="4" t="e">
        <f>H365+J365+L365</f>
        <v>#REF!</v>
      </c>
      <c r="G365" s="8" t="e">
        <f t="shared" si="51"/>
        <v>#REF!</v>
      </c>
      <c r="H365" s="4" t="e">
        <f>#REF!</f>
        <v>#REF!</v>
      </c>
      <c r="I365" s="8" t="e">
        <f>TRUNC(H365*D365,1)</f>
        <v>#REF!</v>
      </c>
      <c r="J365" s="4">
        <v>0</v>
      </c>
      <c r="K365" s="8"/>
      <c r="L365" s="4">
        <v>0</v>
      </c>
      <c r="M365" s="8"/>
      <c r="N365" s="12" t="s">
        <v>0</v>
      </c>
    </row>
    <row r="366" spans="1:14" ht="15" customHeight="1">
      <c r="A366" s="13"/>
      <c r="B366" s="14" t="s">
        <v>287</v>
      </c>
      <c r="C366" s="1" t="s">
        <v>35</v>
      </c>
      <c r="D366" s="3">
        <v>1.48</v>
      </c>
      <c r="E366" s="2" t="s">
        <v>10</v>
      </c>
      <c r="F366" s="4" t="e">
        <f>H366+J366+L366</f>
        <v>#REF!</v>
      </c>
      <c r="G366" s="8" t="e">
        <f t="shared" si="51"/>
        <v>#REF!</v>
      </c>
      <c r="H366" s="4" t="e">
        <f>#REF!</f>
        <v>#REF!</v>
      </c>
      <c r="I366" s="8" t="e">
        <f>TRUNC(H366*D366,1)</f>
        <v>#REF!</v>
      </c>
      <c r="J366" s="4">
        <v>0</v>
      </c>
      <c r="K366" s="8"/>
      <c r="L366" s="4">
        <v>0</v>
      </c>
      <c r="M366" s="8"/>
      <c r="N366" s="12" t="s">
        <v>0</v>
      </c>
    </row>
    <row r="367" spans="1:14" ht="15" customHeight="1">
      <c r="A367" s="13"/>
      <c r="B367" s="14" t="s">
        <v>288</v>
      </c>
      <c r="C367" s="1" t="s">
        <v>29</v>
      </c>
      <c r="D367" s="1">
        <v>2</v>
      </c>
      <c r="E367" s="2" t="s">
        <v>28</v>
      </c>
      <c r="F367" s="4">
        <f>H367+J367+L367</f>
        <v>0</v>
      </c>
      <c r="G367" s="8">
        <f t="shared" si="51"/>
        <v>2135.9</v>
      </c>
      <c r="H367" s="2"/>
      <c r="I367" s="8">
        <f>TRUNC((K363*0.02),1)</f>
        <v>2135.9</v>
      </c>
      <c r="J367" s="2"/>
      <c r="K367" s="8">
        <v>0</v>
      </c>
      <c r="L367" s="2"/>
      <c r="M367" s="8">
        <v>0</v>
      </c>
      <c r="N367" s="12" t="s">
        <v>0</v>
      </c>
    </row>
    <row r="368" spans="1:14" ht="15" customHeight="1">
      <c r="A368" s="16"/>
      <c r="B368" s="15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12"/>
    </row>
    <row r="369" spans="1:14" ht="15" customHeight="1">
      <c r="A369" s="52">
        <f>A362+1</f>
        <v>15</v>
      </c>
      <c r="B369" s="46" t="s">
        <v>508</v>
      </c>
      <c r="C369" s="47" t="s">
        <v>188</v>
      </c>
      <c r="D369" s="47">
        <v>1</v>
      </c>
      <c r="E369" s="48" t="s">
        <v>3</v>
      </c>
      <c r="F369" s="51"/>
      <c r="G369" s="50" t="e">
        <f t="shared" ref="G369:G374" si="52">I369+K369+M369</f>
        <v>#REF!</v>
      </c>
      <c r="H369" s="51"/>
      <c r="I369" s="50" t="e">
        <f>TRUNC(I370+I371+I372+I373+I374,0)</f>
        <v>#REF!</v>
      </c>
      <c r="J369" s="51"/>
      <c r="K369" s="50">
        <f>TRUNC(K370+K371+K372+K373+K374,0)</f>
        <v>140420</v>
      </c>
      <c r="L369" s="51"/>
      <c r="M369" s="50">
        <f>TRUNC(M370+M371+M372+M373+M374,0)</f>
        <v>0</v>
      </c>
      <c r="N369" s="63" t="str">
        <f>N362</f>
        <v>토목6-3-4</v>
      </c>
    </row>
    <row r="370" spans="1:14" ht="15" customHeight="1">
      <c r="A370" s="13"/>
      <c r="B370" s="14" t="s">
        <v>265</v>
      </c>
      <c r="C370" s="1" t="s">
        <v>510</v>
      </c>
      <c r="D370" s="3">
        <f>0.71*0.7</f>
        <v>0.49699999999999994</v>
      </c>
      <c r="E370" s="2" t="s">
        <v>24</v>
      </c>
      <c r="F370" s="4">
        <f>H370+J370+L370</f>
        <v>282536</v>
      </c>
      <c r="G370" s="8">
        <f t="shared" si="52"/>
        <v>140420.29999999999</v>
      </c>
      <c r="H370" s="4"/>
      <c r="I370" s="8"/>
      <c r="J370" s="4">
        <f>노임!$D$7</f>
        <v>282536</v>
      </c>
      <c r="K370" s="8">
        <f>TRUNC(J370*D370,1)</f>
        <v>140420.29999999999</v>
      </c>
      <c r="L370" s="4">
        <v>0</v>
      </c>
      <c r="M370" s="8"/>
      <c r="N370" s="12" t="s">
        <v>0</v>
      </c>
    </row>
    <row r="371" spans="1:14" ht="15" customHeight="1">
      <c r="A371" s="13"/>
      <c r="B371" s="14" t="s">
        <v>279</v>
      </c>
      <c r="C371" s="1" t="s">
        <v>37</v>
      </c>
      <c r="D371" s="3">
        <v>1150</v>
      </c>
      <c r="E371" s="2" t="s">
        <v>30</v>
      </c>
      <c r="F371" s="4" t="e">
        <f>H371+J371+L371</f>
        <v>#REF!</v>
      </c>
      <c r="G371" s="8" t="e">
        <f t="shared" si="52"/>
        <v>#REF!</v>
      </c>
      <c r="H371" s="4" t="e">
        <f>#REF!</f>
        <v>#REF!</v>
      </c>
      <c r="I371" s="8" t="e">
        <f>TRUNC(H371*D371,1)</f>
        <v>#REF!</v>
      </c>
      <c r="J371" s="4">
        <v>0</v>
      </c>
      <c r="K371" s="8"/>
      <c r="L371" s="4">
        <v>0</v>
      </c>
      <c r="M371" s="8"/>
      <c r="N371" s="12" t="s">
        <v>0</v>
      </c>
    </row>
    <row r="372" spans="1:14" ht="15" customHeight="1">
      <c r="A372" s="13"/>
      <c r="B372" s="14" t="s">
        <v>286</v>
      </c>
      <c r="C372" s="1" t="s">
        <v>36</v>
      </c>
      <c r="D372" s="3">
        <v>0.56999999999999995</v>
      </c>
      <c r="E372" s="2" t="s">
        <v>31</v>
      </c>
      <c r="F372" s="4" t="e">
        <f>H372+J372+L372</f>
        <v>#REF!</v>
      </c>
      <c r="G372" s="8" t="e">
        <f t="shared" si="52"/>
        <v>#REF!</v>
      </c>
      <c r="H372" s="4" t="e">
        <f>#REF!</f>
        <v>#REF!</v>
      </c>
      <c r="I372" s="8" t="e">
        <f>TRUNC(H372*D372,1)</f>
        <v>#REF!</v>
      </c>
      <c r="J372" s="4">
        <v>0</v>
      </c>
      <c r="K372" s="8"/>
      <c r="L372" s="4">
        <v>0</v>
      </c>
      <c r="M372" s="8"/>
      <c r="N372" s="12" t="s">
        <v>0</v>
      </c>
    </row>
    <row r="373" spans="1:14" ht="15" customHeight="1">
      <c r="A373" s="13"/>
      <c r="B373" s="14" t="s">
        <v>287</v>
      </c>
      <c r="C373" s="1" t="s">
        <v>35</v>
      </c>
      <c r="D373" s="3">
        <v>2.25</v>
      </c>
      <c r="E373" s="2" t="s">
        <v>10</v>
      </c>
      <c r="F373" s="4" t="e">
        <f>H373+J373+L373</f>
        <v>#REF!</v>
      </c>
      <c r="G373" s="8" t="e">
        <f t="shared" si="52"/>
        <v>#REF!</v>
      </c>
      <c r="H373" s="4" t="e">
        <f>#REF!</f>
        <v>#REF!</v>
      </c>
      <c r="I373" s="8" t="e">
        <f>TRUNC(H373*D373,1)</f>
        <v>#REF!</v>
      </c>
      <c r="J373" s="4">
        <v>0</v>
      </c>
      <c r="K373" s="8"/>
      <c r="L373" s="4">
        <v>0</v>
      </c>
      <c r="M373" s="8"/>
      <c r="N373" s="12" t="s">
        <v>0</v>
      </c>
    </row>
    <row r="374" spans="1:14" ht="15" customHeight="1">
      <c r="A374" s="13"/>
      <c r="B374" s="14" t="s">
        <v>288</v>
      </c>
      <c r="C374" s="1" t="s">
        <v>29</v>
      </c>
      <c r="D374" s="1">
        <v>2</v>
      </c>
      <c r="E374" s="2" t="s">
        <v>28</v>
      </c>
      <c r="F374" s="4">
        <f>H374+J374+L374</f>
        <v>0</v>
      </c>
      <c r="G374" s="8">
        <f t="shared" si="52"/>
        <v>2808.4</v>
      </c>
      <c r="H374" s="2"/>
      <c r="I374" s="8">
        <f>TRUNC((K370*0.02),1)</f>
        <v>2808.4</v>
      </c>
      <c r="J374" s="2"/>
      <c r="K374" s="8">
        <v>0</v>
      </c>
      <c r="L374" s="2"/>
      <c r="M374" s="8">
        <v>0</v>
      </c>
      <c r="N374" s="12" t="s">
        <v>0</v>
      </c>
    </row>
    <row r="375" spans="1:14" ht="15" customHeight="1">
      <c r="A375" s="16"/>
      <c r="B375" s="15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12"/>
    </row>
    <row r="376" spans="1:14" ht="15" customHeight="1">
      <c r="A376" s="52">
        <f>A369+1</f>
        <v>16</v>
      </c>
      <c r="B376" s="46" t="s">
        <v>509</v>
      </c>
      <c r="C376" s="47" t="s">
        <v>188</v>
      </c>
      <c r="D376" s="47">
        <v>1</v>
      </c>
      <c r="E376" s="48" t="s">
        <v>3</v>
      </c>
      <c r="F376" s="51"/>
      <c r="G376" s="50" t="e">
        <f t="shared" ref="G376:G381" si="53">I376+K376+M376</f>
        <v>#REF!</v>
      </c>
      <c r="H376" s="51"/>
      <c r="I376" s="50" t="e">
        <f>TRUNC(I377+I378+I379+I380+I381,0)</f>
        <v>#REF!</v>
      </c>
      <c r="J376" s="51"/>
      <c r="K376" s="50">
        <f>TRUNC(K377+K378+K379+K380+K381,0)</f>
        <v>128553</v>
      </c>
      <c r="L376" s="51"/>
      <c r="M376" s="50">
        <f>TRUNC(M377+M378+M379+M380+M381,0)</f>
        <v>0</v>
      </c>
      <c r="N376" s="63" t="str">
        <f>N369</f>
        <v>토목6-3-4</v>
      </c>
    </row>
    <row r="377" spans="1:14" ht="15" customHeight="1">
      <c r="A377" s="13"/>
      <c r="B377" s="14" t="s">
        <v>265</v>
      </c>
      <c r="C377" s="1" t="s">
        <v>510</v>
      </c>
      <c r="D377" s="3">
        <f>0.65*0.7</f>
        <v>0.45499999999999996</v>
      </c>
      <c r="E377" s="2" t="s">
        <v>24</v>
      </c>
      <c r="F377" s="4">
        <f>H377+J377+L377</f>
        <v>282536</v>
      </c>
      <c r="G377" s="8">
        <f t="shared" si="53"/>
        <v>128553.8</v>
      </c>
      <c r="H377" s="4"/>
      <c r="I377" s="8"/>
      <c r="J377" s="4">
        <f>노임!$D$7</f>
        <v>282536</v>
      </c>
      <c r="K377" s="8">
        <f>TRUNC(J377*D377,1)</f>
        <v>128553.8</v>
      </c>
      <c r="L377" s="4">
        <v>0</v>
      </c>
      <c r="M377" s="8"/>
      <c r="N377" s="12" t="s">
        <v>0</v>
      </c>
    </row>
    <row r="378" spans="1:14" ht="15" customHeight="1">
      <c r="A378" s="13"/>
      <c r="B378" s="14" t="s">
        <v>279</v>
      </c>
      <c r="C378" s="1" t="s">
        <v>37</v>
      </c>
      <c r="D378" s="3">
        <v>1060</v>
      </c>
      <c r="E378" s="2" t="s">
        <v>30</v>
      </c>
      <c r="F378" s="4" t="e">
        <f>H378+J378+L378</f>
        <v>#REF!</v>
      </c>
      <c r="G378" s="8" t="e">
        <f t="shared" si="53"/>
        <v>#REF!</v>
      </c>
      <c r="H378" s="4" t="e">
        <f>#REF!</f>
        <v>#REF!</v>
      </c>
      <c r="I378" s="8" t="e">
        <f>TRUNC(H378*D378,1)</f>
        <v>#REF!</v>
      </c>
      <c r="J378" s="4">
        <v>0</v>
      </c>
      <c r="K378" s="8"/>
      <c r="L378" s="4">
        <v>0</v>
      </c>
      <c r="M378" s="8"/>
      <c r="N378" s="12" t="s">
        <v>0</v>
      </c>
    </row>
    <row r="379" spans="1:14" ht="15" customHeight="1">
      <c r="A379" s="13"/>
      <c r="B379" s="14" t="s">
        <v>286</v>
      </c>
      <c r="C379" s="1" t="s">
        <v>36</v>
      </c>
      <c r="D379" s="3">
        <v>0.53</v>
      </c>
      <c r="E379" s="2" t="s">
        <v>31</v>
      </c>
      <c r="F379" s="4" t="e">
        <f>H379+J379+L379</f>
        <v>#REF!</v>
      </c>
      <c r="G379" s="8" t="e">
        <f t="shared" si="53"/>
        <v>#REF!</v>
      </c>
      <c r="H379" s="4" t="e">
        <f>#REF!</f>
        <v>#REF!</v>
      </c>
      <c r="I379" s="8" t="e">
        <f>TRUNC(H379*D379,1)</f>
        <v>#REF!</v>
      </c>
      <c r="J379" s="4">
        <v>0</v>
      </c>
      <c r="K379" s="8"/>
      <c r="L379" s="4">
        <v>0</v>
      </c>
      <c r="M379" s="8"/>
      <c r="N379" s="12" t="s">
        <v>0</v>
      </c>
    </row>
    <row r="380" spans="1:14" ht="15" customHeight="1">
      <c r="A380" s="13"/>
      <c r="B380" s="14" t="s">
        <v>287</v>
      </c>
      <c r="C380" s="1" t="s">
        <v>35</v>
      </c>
      <c r="D380" s="3">
        <v>1.97</v>
      </c>
      <c r="E380" s="2" t="s">
        <v>10</v>
      </c>
      <c r="F380" s="4" t="e">
        <f>H380+J380+L380</f>
        <v>#REF!</v>
      </c>
      <c r="G380" s="8" t="e">
        <f t="shared" si="53"/>
        <v>#REF!</v>
      </c>
      <c r="H380" s="4" t="e">
        <f>#REF!</f>
        <v>#REF!</v>
      </c>
      <c r="I380" s="8" t="e">
        <f>TRUNC(H380*D380,1)</f>
        <v>#REF!</v>
      </c>
      <c r="J380" s="4">
        <v>0</v>
      </c>
      <c r="K380" s="8"/>
      <c r="L380" s="4">
        <v>0</v>
      </c>
      <c r="M380" s="8"/>
      <c r="N380" s="12" t="s">
        <v>0</v>
      </c>
    </row>
    <row r="381" spans="1:14" ht="15" customHeight="1">
      <c r="A381" s="13"/>
      <c r="B381" s="14" t="s">
        <v>288</v>
      </c>
      <c r="C381" s="1" t="s">
        <v>29</v>
      </c>
      <c r="D381" s="1">
        <v>2</v>
      </c>
      <c r="E381" s="2" t="s">
        <v>28</v>
      </c>
      <c r="F381" s="4">
        <f>H381+J381+L381</f>
        <v>0</v>
      </c>
      <c r="G381" s="8">
        <f t="shared" si="53"/>
        <v>2571</v>
      </c>
      <c r="H381" s="2"/>
      <c r="I381" s="8">
        <f>TRUNC((K377*0.02),1)</f>
        <v>2571</v>
      </c>
      <c r="J381" s="2"/>
      <c r="K381" s="8">
        <v>0</v>
      </c>
      <c r="L381" s="2"/>
      <c r="M381" s="8">
        <v>0</v>
      </c>
      <c r="N381" s="12" t="s">
        <v>0</v>
      </c>
    </row>
    <row r="382" spans="1:14" ht="15" customHeight="1">
      <c r="A382" s="16"/>
      <c r="B382" s="15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12"/>
    </row>
    <row r="383" spans="1:14" ht="15" customHeight="1">
      <c r="A383" s="52">
        <f>A376+1</f>
        <v>17</v>
      </c>
      <c r="B383" s="46" t="s">
        <v>508</v>
      </c>
      <c r="C383" s="47" t="s">
        <v>171</v>
      </c>
      <c r="D383" s="47">
        <v>1</v>
      </c>
      <c r="E383" s="48" t="s">
        <v>3</v>
      </c>
      <c r="F383" s="51"/>
      <c r="G383" s="50" t="e">
        <f t="shared" ref="G383:G388" si="54">I383+K383+M383</f>
        <v>#REF!</v>
      </c>
      <c r="H383" s="51"/>
      <c r="I383" s="50" t="e">
        <f>TRUNC(I384+I385+I386+I387+I388,0)</f>
        <v>#REF!</v>
      </c>
      <c r="J383" s="51"/>
      <c r="K383" s="50">
        <f>TRUNC(K384+K385+K386+K387+K388,0)</f>
        <v>156242</v>
      </c>
      <c r="L383" s="51"/>
      <c r="M383" s="50">
        <f>TRUNC(M384+M385+M386+M387+M388,0)</f>
        <v>0</v>
      </c>
      <c r="N383" s="63" t="str">
        <f>N376</f>
        <v>토목6-3-4</v>
      </c>
    </row>
    <row r="384" spans="1:14" ht="15" customHeight="1">
      <c r="A384" s="13"/>
      <c r="B384" s="14" t="s">
        <v>265</v>
      </c>
      <c r="C384" s="1" t="s">
        <v>510</v>
      </c>
      <c r="D384" s="3">
        <f>0.79*0.7</f>
        <v>0.55299999999999994</v>
      </c>
      <c r="E384" s="2" t="s">
        <v>24</v>
      </c>
      <c r="F384" s="4">
        <f>H384+J384+L384</f>
        <v>282536</v>
      </c>
      <c r="G384" s="8">
        <f t="shared" si="54"/>
        <v>156242.4</v>
      </c>
      <c r="H384" s="4"/>
      <c r="I384" s="8"/>
      <c r="J384" s="4">
        <f>노임!$D$7</f>
        <v>282536</v>
      </c>
      <c r="K384" s="8">
        <f>TRUNC(J384*D384,1)</f>
        <v>156242.4</v>
      </c>
      <c r="L384" s="4">
        <v>0</v>
      </c>
      <c r="M384" s="8"/>
      <c r="N384" s="12" t="s">
        <v>0</v>
      </c>
    </row>
    <row r="385" spans="1:14" ht="15" customHeight="1">
      <c r="A385" s="13"/>
      <c r="B385" s="14" t="s">
        <v>279</v>
      </c>
      <c r="C385" s="1" t="s">
        <v>37</v>
      </c>
      <c r="D385" s="3">
        <v>1210</v>
      </c>
      <c r="E385" s="2" t="s">
        <v>30</v>
      </c>
      <c r="F385" s="4" t="e">
        <f>H385+J385+L385</f>
        <v>#REF!</v>
      </c>
      <c r="G385" s="8" t="e">
        <f t="shared" si="54"/>
        <v>#REF!</v>
      </c>
      <c r="H385" s="4" t="e">
        <f>#REF!</f>
        <v>#REF!</v>
      </c>
      <c r="I385" s="8" t="e">
        <f>TRUNC(H385*D385,1)</f>
        <v>#REF!</v>
      </c>
      <c r="J385" s="4">
        <v>0</v>
      </c>
      <c r="K385" s="8"/>
      <c r="L385" s="4">
        <v>0</v>
      </c>
      <c r="M385" s="8"/>
      <c r="N385" s="12" t="s">
        <v>0</v>
      </c>
    </row>
    <row r="386" spans="1:14" ht="15" customHeight="1">
      <c r="A386" s="13"/>
      <c r="B386" s="14" t="s">
        <v>286</v>
      </c>
      <c r="C386" s="1" t="s">
        <v>36</v>
      </c>
      <c r="D386" s="3">
        <v>0.61</v>
      </c>
      <c r="E386" s="2" t="s">
        <v>31</v>
      </c>
      <c r="F386" s="4" t="e">
        <f>H386+J386+L386</f>
        <v>#REF!</v>
      </c>
      <c r="G386" s="8" t="e">
        <f t="shared" si="54"/>
        <v>#REF!</v>
      </c>
      <c r="H386" s="4" t="e">
        <f>#REF!</f>
        <v>#REF!</v>
      </c>
      <c r="I386" s="8" t="e">
        <f>TRUNC(H386*D386,1)</f>
        <v>#REF!</v>
      </c>
      <c r="J386" s="4">
        <v>0</v>
      </c>
      <c r="K386" s="8"/>
      <c r="L386" s="4">
        <v>0</v>
      </c>
      <c r="M386" s="8"/>
      <c r="N386" s="12" t="s">
        <v>0</v>
      </c>
    </row>
    <row r="387" spans="1:14" ht="15" customHeight="1">
      <c r="A387" s="13"/>
      <c r="B387" s="14" t="s">
        <v>287</v>
      </c>
      <c r="C387" s="1" t="s">
        <v>35</v>
      </c>
      <c r="D387" s="3">
        <v>2.5299999999999998</v>
      </c>
      <c r="E387" s="2" t="s">
        <v>10</v>
      </c>
      <c r="F387" s="4" t="e">
        <f>H387+J387+L387</f>
        <v>#REF!</v>
      </c>
      <c r="G387" s="8" t="e">
        <f t="shared" si="54"/>
        <v>#REF!</v>
      </c>
      <c r="H387" s="4" t="e">
        <f>#REF!</f>
        <v>#REF!</v>
      </c>
      <c r="I387" s="8" t="e">
        <f>TRUNC(H387*D387,1)</f>
        <v>#REF!</v>
      </c>
      <c r="J387" s="4">
        <v>0</v>
      </c>
      <c r="K387" s="8"/>
      <c r="L387" s="4">
        <v>0</v>
      </c>
      <c r="M387" s="8"/>
      <c r="N387" s="12" t="s">
        <v>0</v>
      </c>
    </row>
    <row r="388" spans="1:14" ht="15" customHeight="1">
      <c r="A388" s="13"/>
      <c r="B388" s="14" t="s">
        <v>288</v>
      </c>
      <c r="C388" s="1" t="s">
        <v>29</v>
      </c>
      <c r="D388" s="1">
        <v>2</v>
      </c>
      <c r="E388" s="2" t="s">
        <v>28</v>
      </c>
      <c r="F388" s="4">
        <f>H388+J388+L388</f>
        <v>0</v>
      </c>
      <c r="G388" s="8">
        <f t="shared" si="54"/>
        <v>3124.8</v>
      </c>
      <c r="H388" s="2"/>
      <c r="I388" s="8">
        <f>TRUNC((K384*0.02),1)</f>
        <v>3124.8</v>
      </c>
      <c r="J388" s="2"/>
      <c r="K388" s="8">
        <v>0</v>
      </c>
      <c r="L388" s="2"/>
      <c r="M388" s="8">
        <v>0</v>
      </c>
      <c r="N388" s="12" t="s">
        <v>0</v>
      </c>
    </row>
    <row r="389" spans="1:14" ht="15" customHeight="1">
      <c r="A389" s="16"/>
      <c r="B389" s="15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12"/>
    </row>
    <row r="390" spans="1:14" ht="15" customHeight="1">
      <c r="A390" s="52">
        <f>A383+1</f>
        <v>18</v>
      </c>
      <c r="B390" s="46" t="s">
        <v>509</v>
      </c>
      <c r="C390" s="47" t="s">
        <v>171</v>
      </c>
      <c r="D390" s="47">
        <v>1</v>
      </c>
      <c r="E390" s="48" t="s">
        <v>3</v>
      </c>
      <c r="F390" s="51"/>
      <c r="G390" s="50" t="e">
        <f t="shared" ref="G390:G395" si="55">I390+K390+M390</f>
        <v>#REF!</v>
      </c>
      <c r="H390" s="51"/>
      <c r="I390" s="50" t="e">
        <f>TRUNC(I391+I392+I393+I394+I395,0)</f>
        <v>#REF!</v>
      </c>
      <c r="J390" s="51"/>
      <c r="K390" s="50">
        <f>TRUNC(K391+K392+K393+K394+K395,0)</f>
        <v>138442</v>
      </c>
      <c r="L390" s="51"/>
      <c r="M390" s="50">
        <f>TRUNC(M391+M392+M393+M394+M395,0)</f>
        <v>0</v>
      </c>
      <c r="N390" s="63" t="str">
        <f>N383</f>
        <v>토목6-3-4</v>
      </c>
    </row>
    <row r="391" spans="1:14" ht="15" customHeight="1">
      <c r="A391" s="13"/>
      <c r="B391" s="14" t="s">
        <v>265</v>
      </c>
      <c r="C391" s="1" t="s">
        <v>510</v>
      </c>
      <c r="D391" s="3">
        <f>0.7*0.7</f>
        <v>0.48999999999999994</v>
      </c>
      <c r="E391" s="2" t="s">
        <v>24</v>
      </c>
      <c r="F391" s="4">
        <f>H391+J391+L391</f>
        <v>282536</v>
      </c>
      <c r="G391" s="8">
        <f t="shared" si="55"/>
        <v>138442.6</v>
      </c>
      <c r="H391" s="4"/>
      <c r="I391" s="8"/>
      <c r="J391" s="4">
        <f>노임!$D$7</f>
        <v>282536</v>
      </c>
      <c r="K391" s="8">
        <f>TRUNC(J391*D391,1)</f>
        <v>138442.6</v>
      </c>
      <c r="L391" s="4">
        <v>0</v>
      </c>
      <c r="M391" s="8"/>
      <c r="N391" s="12" t="s">
        <v>0</v>
      </c>
    </row>
    <row r="392" spans="1:14" ht="15" customHeight="1">
      <c r="A392" s="13"/>
      <c r="B392" s="14" t="s">
        <v>279</v>
      </c>
      <c r="C392" s="1" t="s">
        <v>37</v>
      </c>
      <c r="D392" s="1">
        <v>1100</v>
      </c>
      <c r="E392" s="2" t="s">
        <v>30</v>
      </c>
      <c r="F392" s="4" t="e">
        <f>H392+J392+L392</f>
        <v>#REF!</v>
      </c>
      <c r="G392" s="8" t="e">
        <f t="shared" si="55"/>
        <v>#REF!</v>
      </c>
      <c r="H392" s="4" t="e">
        <f>#REF!</f>
        <v>#REF!</v>
      </c>
      <c r="I392" s="8" t="e">
        <f>TRUNC(H392*D392,1)</f>
        <v>#REF!</v>
      </c>
      <c r="J392" s="4">
        <v>0</v>
      </c>
      <c r="K392" s="8"/>
      <c r="L392" s="4">
        <v>0</v>
      </c>
      <c r="M392" s="8"/>
      <c r="N392" s="12" t="s">
        <v>0</v>
      </c>
    </row>
    <row r="393" spans="1:14" ht="15" customHeight="1">
      <c r="A393" s="13"/>
      <c r="B393" s="14" t="s">
        <v>286</v>
      </c>
      <c r="C393" s="1" t="s">
        <v>36</v>
      </c>
      <c r="D393" s="1">
        <v>0.56000000000000005</v>
      </c>
      <c r="E393" s="2" t="s">
        <v>31</v>
      </c>
      <c r="F393" s="4" t="e">
        <f>H393+J393+L393</f>
        <v>#REF!</v>
      </c>
      <c r="G393" s="8" t="e">
        <f t="shared" si="55"/>
        <v>#REF!</v>
      </c>
      <c r="H393" s="4" t="e">
        <f>#REF!</f>
        <v>#REF!</v>
      </c>
      <c r="I393" s="8" t="e">
        <f>TRUNC(H393*D393,1)</f>
        <v>#REF!</v>
      </c>
      <c r="J393" s="4">
        <v>0</v>
      </c>
      <c r="K393" s="8"/>
      <c r="L393" s="4">
        <v>0</v>
      </c>
      <c r="M393" s="8"/>
      <c r="N393" s="12" t="s">
        <v>0</v>
      </c>
    </row>
    <row r="394" spans="1:14" ht="15" customHeight="1">
      <c r="A394" s="13"/>
      <c r="B394" s="14" t="s">
        <v>287</v>
      </c>
      <c r="C394" s="1" t="s">
        <v>35</v>
      </c>
      <c r="D394" s="1">
        <v>2.2200000000000002</v>
      </c>
      <c r="E394" s="2" t="s">
        <v>10</v>
      </c>
      <c r="F394" s="4" t="e">
        <f>H394+J394+L394</f>
        <v>#REF!</v>
      </c>
      <c r="G394" s="8" t="e">
        <f t="shared" si="55"/>
        <v>#REF!</v>
      </c>
      <c r="H394" s="4" t="e">
        <f>#REF!</f>
        <v>#REF!</v>
      </c>
      <c r="I394" s="8" t="e">
        <f>TRUNC(H394*D394,1)</f>
        <v>#REF!</v>
      </c>
      <c r="J394" s="4">
        <v>0</v>
      </c>
      <c r="K394" s="8"/>
      <c r="L394" s="4">
        <v>0</v>
      </c>
      <c r="M394" s="8"/>
      <c r="N394" s="12" t="s">
        <v>0</v>
      </c>
    </row>
    <row r="395" spans="1:14" ht="15" customHeight="1">
      <c r="A395" s="13"/>
      <c r="B395" s="14" t="s">
        <v>288</v>
      </c>
      <c r="C395" s="1" t="s">
        <v>29</v>
      </c>
      <c r="D395" s="1">
        <v>2</v>
      </c>
      <c r="E395" s="2" t="s">
        <v>28</v>
      </c>
      <c r="F395" s="4">
        <f>H395+J395+L395</f>
        <v>0</v>
      </c>
      <c r="G395" s="8">
        <f t="shared" si="55"/>
        <v>2768.8</v>
      </c>
      <c r="H395" s="2"/>
      <c r="I395" s="8">
        <f>TRUNC((K391*0.02),1)</f>
        <v>2768.8</v>
      </c>
      <c r="J395" s="2"/>
      <c r="K395" s="8">
        <v>0</v>
      </c>
      <c r="L395" s="2"/>
      <c r="M395" s="8">
        <v>0</v>
      </c>
      <c r="N395" s="12" t="s">
        <v>0</v>
      </c>
    </row>
    <row r="396" spans="1:14" ht="15" customHeight="1">
      <c r="A396" s="16"/>
      <c r="B396" s="15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12"/>
    </row>
    <row r="397" spans="1:14" ht="15" customHeight="1">
      <c r="A397" s="52">
        <f>A390+1</f>
        <v>19</v>
      </c>
      <c r="B397" s="46" t="s">
        <v>508</v>
      </c>
      <c r="C397" s="47" t="s">
        <v>189</v>
      </c>
      <c r="D397" s="47">
        <v>1</v>
      </c>
      <c r="E397" s="48" t="s">
        <v>3</v>
      </c>
      <c r="F397" s="51"/>
      <c r="G397" s="50" t="e">
        <f t="shared" ref="G397:G402" si="56">I397+K397+M397</f>
        <v>#REF!</v>
      </c>
      <c r="H397" s="51"/>
      <c r="I397" s="50" t="e">
        <f>TRUNC(I398+I399+I400+I401+I402,0)</f>
        <v>#REF!</v>
      </c>
      <c r="J397" s="51"/>
      <c r="K397" s="50">
        <f>TRUNC(K398+K399+K400+K401+K402,0)</f>
        <v>189864</v>
      </c>
      <c r="L397" s="51"/>
      <c r="M397" s="50">
        <f>TRUNC(M398+M399+M400+M401+M402,0)</f>
        <v>0</v>
      </c>
      <c r="N397" s="63" t="str">
        <f>N390</f>
        <v>토목6-3-4</v>
      </c>
    </row>
    <row r="398" spans="1:14" ht="15" customHeight="1">
      <c r="A398" s="13"/>
      <c r="B398" s="14" t="s">
        <v>265</v>
      </c>
      <c r="C398" s="1" t="s">
        <v>510</v>
      </c>
      <c r="D398" s="3">
        <f>0.96*0.7</f>
        <v>0.67199999999999993</v>
      </c>
      <c r="E398" s="2" t="s">
        <v>24</v>
      </c>
      <c r="F398" s="4">
        <f>H398+J398+L398</f>
        <v>282536</v>
      </c>
      <c r="G398" s="8">
        <f t="shared" si="56"/>
        <v>189864.1</v>
      </c>
      <c r="H398" s="4"/>
      <c r="I398" s="8"/>
      <c r="J398" s="4">
        <f>노임!$D$7</f>
        <v>282536</v>
      </c>
      <c r="K398" s="8">
        <f>TRUNC(J398*D398,1)</f>
        <v>189864.1</v>
      </c>
      <c r="L398" s="4">
        <v>0</v>
      </c>
      <c r="M398" s="8"/>
      <c r="N398" s="12" t="s">
        <v>0</v>
      </c>
    </row>
    <row r="399" spans="1:14" ht="15" customHeight="1">
      <c r="A399" s="13"/>
      <c r="B399" s="14" t="s">
        <v>279</v>
      </c>
      <c r="C399" s="1" t="s">
        <v>37</v>
      </c>
      <c r="D399" s="3">
        <v>1580</v>
      </c>
      <c r="E399" s="2" t="s">
        <v>30</v>
      </c>
      <c r="F399" s="4" t="e">
        <f>H399+J399+L399</f>
        <v>#REF!</v>
      </c>
      <c r="G399" s="8" t="e">
        <f t="shared" si="56"/>
        <v>#REF!</v>
      </c>
      <c r="H399" s="4" t="e">
        <f>#REF!</f>
        <v>#REF!</v>
      </c>
      <c r="I399" s="8" t="e">
        <f>TRUNC(H399*D399,1)</f>
        <v>#REF!</v>
      </c>
      <c r="J399" s="4">
        <v>0</v>
      </c>
      <c r="K399" s="8"/>
      <c r="L399" s="4">
        <v>0</v>
      </c>
      <c r="M399" s="8"/>
      <c r="N399" s="12" t="s">
        <v>0</v>
      </c>
    </row>
    <row r="400" spans="1:14" ht="15" customHeight="1">
      <c r="A400" s="13"/>
      <c r="B400" s="14" t="s">
        <v>286</v>
      </c>
      <c r="C400" s="1" t="s">
        <v>36</v>
      </c>
      <c r="D400" s="3">
        <v>0.8</v>
      </c>
      <c r="E400" s="2" t="s">
        <v>31</v>
      </c>
      <c r="F400" s="4" t="e">
        <f>H400+J400+L400</f>
        <v>#REF!</v>
      </c>
      <c r="G400" s="8" t="e">
        <f t="shared" si="56"/>
        <v>#REF!</v>
      </c>
      <c r="H400" s="4" t="e">
        <f>#REF!</f>
        <v>#REF!</v>
      </c>
      <c r="I400" s="8" t="e">
        <f>TRUNC(H400*D400,1)</f>
        <v>#REF!</v>
      </c>
      <c r="J400" s="4">
        <v>0</v>
      </c>
      <c r="K400" s="8"/>
      <c r="L400" s="4">
        <v>0</v>
      </c>
      <c r="M400" s="8"/>
      <c r="N400" s="12" t="s">
        <v>0</v>
      </c>
    </row>
    <row r="401" spans="1:14" ht="15" customHeight="1">
      <c r="A401" s="13"/>
      <c r="B401" s="14" t="s">
        <v>287</v>
      </c>
      <c r="C401" s="1" t="s">
        <v>35</v>
      </c>
      <c r="D401" s="3">
        <v>3.18</v>
      </c>
      <c r="E401" s="2" t="s">
        <v>10</v>
      </c>
      <c r="F401" s="4" t="e">
        <f>H401+J401+L401</f>
        <v>#REF!</v>
      </c>
      <c r="G401" s="8" t="e">
        <f t="shared" si="56"/>
        <v>#REF!</v>
      </c>
      <c r="H401" s="4" t="e">
        <f>#REF!</f>
        <v>#REF!</v>
      </c>
      <c r="I401" s="8" t="e">
        <f>TRUNC(H401*D401,1)</f>
        <v>#REF!</v>
      </c>
      <c r="J401" s="4">
        <v>0</v>
      </c>
      <c r="K401" s="8"/>
      <c r="L401" s="4">
        <v>0</v>
      </c>
      <c r="M401" s="8"/>
      <c r="N401" s="12" t="s">
        <v>0</v>
      </c>
    </row>
    <row r="402" spans="1:14" ht="15" customHeight="1">
      <c r="A402" s="13"/>
      <c r="B402" s="14" t="s">
        <v>288</v>
      </c>
      <c r="C402" s="1" t="s">
        <v>29</v>
      </c>
      <c r="D402" s="1">
        <v>2</v>
      </c>
      <c r="E402" s="2" t="s">
        <v>28</v>
      </c>
      <c r="F402" s="4">
        <f>H402+J402+L402</f>
        <v>0</v>
      </c>
      <c r="G402" s="8">
        <f t="shared" si="56"/>
        <v>3797.2</v>
      </c>
      <c r="H402" s="2"/>
      <c r="I402" s="8">
        <f>TRUNC((K398*0.02),1)</f>
        <v>3797.2</v>
      </c>
      <c r="J402" s="2"/>
      <c r="K402" s="8">
        <v>0</v>
      </c>
      <c r="L402" s="2"/>
      <c r="M402" s="8">
        <v>0</v>
      </c>
      <c r="N402" s="12" t="s">
        <v>0</v>
      </c>
    </row>
    <row r="403" spans="1:14" ht="15" customHeight="1">
      <c r="A403" s="16"/>
      <c r="B403" s="15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12"/>
    </row>
    <row r="404" spans="1:14" ht="15" customHeight="1">
      <c r="A404" s="52">
        <f>A397+1</f>
        <v>20</v>
      </c>
      <c r="B404" s="46" t="s">
        <v>509</v>
      </c>
      <c r="C404" s="47" t="s">
        <v>189</v>
      </c>
      <c r="D404" s="47">
        <v>1</v>
      </c>
      <c r="E404" s="48" t="s">
        <v>3</v>
      </c>
      <c r="F404" s="51"/>
      <c r="G404" s="50" t="e">
        <f t="shared" ref="G404:G409" si="57">I404+K404+M404</f>
        <v>#REF!</v>
      </c>
      <c r="H404" s="51"/>
      <c r="I404" s="50" t="e">
        <f>TRUNC(I405+I406+I407+I408+I409,0)</f>
        <v>#REF!</v>
      </c>
      <c r="J404" s="51"/>
      <c r="K404" s="50">
        <f>TRUNC(K405+K406+K407+K408+K409,0)</f>
        <v>168108</v>
      </c>
      <c r="L404" s="51"/>
      <c r="M404" s="50">
        <f>TRUNC(M405+M406+M407+M408+M409,0)</f>
        <v>0</v>
      </c>
      <c r="N404" s="63" t="str">
        <f>N397</f>
        <v>토목6-3-4</v>
      </c>
    </row>
    <row r="405" spans="1:14" ht="15" customHeight="1">
      <c r="A405" s="13"/>
      <c r="B405" s="14" t="s">
        <v>265</v>
      </c>
      <c r="C405" s="1" t="s">
        <v>510</v>
      </c>
      <c r="D405" s="3">
        <f>0.85*0.7</f>
        <v>0.59499999999999997</v>
      </c>
      <c r="E405" s="2" t="s">
        <v>24</v>
      </c>
      <c r="F405" s="4">
        <f>H405+J405+L405</f>
        <v>282536</v>
      </c>
      <c r="G405" s="8">
        <f t="shared" si="57"/>
        <v>168108.9</v>
      </c>
      <c r="H405" s="4"/>
      <c r="I405" s="8"/>
      <c r="J405" s="4">
        <f>노임!$D$7</f>
        <v>282536</v>
      </c>
      <c r="K405" s="8">
        <f>TRUNC(J405*D405,1)</f>
        <v>168108.9</v>
      </c>
      <c r="L405" s="4">
        <v>0</v>
      </c>
      <c r="M405" s="8"/>
      <c r="N405" s="12" t="s">
        <v>0</v>
      </c>
    </row>
    <row r="406" spans="1:14" ht="15" customHeight="1">
      <c r="A406" s="13"/>
      <c r="B406" s="14" t="s">
        <v>279</v>
      </c>
      <c r="C406" s="1" t="s">
        <v>37</v>
      </c>
      <c r="D406" s="3">
        <v>1300</v>
      </c>
      <c r="E406" s="2" t="s">
        <v>30</v>
      </c>
      <c r="F406" s="4" t="e">
        <f>H406+J406+L406</f>
        <v>#REF!</v>
      </c>
      <c r="G406" s="8" t="e">
        <f t="shared" si="57"/>
        <v>#REF!</v>
      </c>
      <c r="H406" s="4" t="e">
        <f>#REF!</f>
        <v>#REF!</v>
      </c>
      <c r="I406" s="8" t="e">
        <f>TRUNC(H406*D406,1)</f>
        <v>#REF!</v>
      </c>
      <c r="J406" s="4">
        <v>0</v>
      </c>
      <c r="K406" s="8"/>
      <c r="L406" s="4">
        <v>0</v>
      </c>
      <c r="M406" s="8"/>
      <c r="N406" s="12" t="s">
        <v>0</v>
      </c>
    </row>
    <row r="407" spans="1:14" ht="15" customHeight="1">
      <c r="A407" s="13"/>
      <c r="B407" s="14" t="s">
        <v>286</v>
      </c>
      <c r="C407" s="1" t="s">
        <v>36</v>
      </c>
      <c r="D407" s="3">
        <v>0.65</v>
      </c>
      <c r="E407" s="2" t="s">
        <v>31</v>
      </c>
      <c r="F407" s="4" t="e">
        <f>H407+J407+L407</f>
        <v>#REF!</v>
      </c>
      <c r="G407" s="8" t="e">
        <f t="shared" si="57"/>
        <v>#REF!</v>
      </c>
      <c r="H407" s="4" t="e">
        <f>#REF!</f>
        <v>#REF!</v>
      </c>
      <c r="I407" s="8" t="e">
        <f>TRUNC(H407*D407,1)</f>
        <v>#REF!</v>
      </c>
      <c r="J407" s="4">
        <v>0</v>
      </c>
      <c r="K407" s="8"/>
      <c r="L407" s="4">
        <v>0</v>
      </c>
      <c r="M407" s="8"/>
      <c r="N407" s="12" t="s">
        <v>0</v>
      </c>
    </row>
    <row r="408" spans="1:14" ht="15" customHeight="1">
      <c r="A408" s="13"/>
      <c r="B408" s="14" t="s">
        <v>287</v>
      </c>
      <c r="C408" s="1" t="s">
        <v>35</v>
      </c>
      <c r="D408" s="3">
        <v>2.73</v>
      </c>
      <c r="E408" s="2" t="s">
        <v>10</v>
      </c>
      <c r="F408" s="4" t="e">
        <f>H408+J408+L408</f>
        <v>#REF!</v>
      </c>
      <c r="G408" s="8" t="e">
        <f t="shared" si="57"/>
        <v>#REF!</v>
      </c>
      <c r="H408" s="4" t="e">
        <f>#REF!</f>
        <v>#REF!</v>
      </c>
      <c r="I408" s="8" t="e">
        <f>TRUNC(H408*D408,1)</f>
        <v>#REF!</v>
      </c>
      <c r="J408" s="4">
        <v>0</v>
      </c>
      <c r="K408" s="8"/>
      <c r="L408" s="4">
        <v>0</v>
      </c>
      <c r="M408" s="8"/>
      <c r="N408" s="12" t="s">
        <v>0</v>
      </c>
    </row>
    <row r="409" spans="1:14" ht="15" customHeight="1">
      <c r="A409" s="13"/>
      <c r="B409" s="14" t="s">
        <v>288</v>
      </c>
      <c r="C409" s="1" t="s">
        <v>29</v>
      </c>
      <c r="D409" s="1">
        <v>2</v>
      </c>
      <c r="E409" s="2" t="s">
        <v>28</v>
      </c>
      <c r="F409" s="4">
        <f>H409+J409+L409</f>
        <v>0</v>
      </c>
      <c r="G409" s="8">
        <f t="shared" si="57"/>
        <v>3362.1</v>
      </c>
      <c r="H409" s="2"/>
      <c r="I409" s="8">
        <f>TRUNC((K405*0.02),1)</f>
        <v>3362.1</v>
      </c>
      <c r="J409" s="2"/>
      <c r="K409" s="8">
        <v>0</v>
      </c>
      <c r="L409" s="2"/>
      <c r="M409" s="8">
        <v>0</v>
      </c>
      <c r="N409" s="12" t="s">
        <v>0</v>
      </c>
    </row>
    <row r="410" spans="1:14" ht="15" customHeight="1">
      <c r="A410" s="16"/>
      <c r="B410" s="15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12"/>
    </row>
    <row r="411" spans="1:14" ht="15" customHeight="1">
      <c r="A411" s="52">
        <f>A404+1</f>
        <v>21</v>
      </c>
      <c r="B411" s="46" t="s">
        <v>508</v>
      </c>
      <c r="C411" s="47" t="s">
        <v>190</v>
      </c>
      <c r="D411" s="47">
        <v>1</v>
      </c>
      <c r="E411" s="48" t="s">
        <v>3</v>
      </c>
      <c r="F411" s="51"/>
      <c r="G411" s="50" t="e">
        <f t="shared" ref="G411:G416" si="58">I411+K411+M411</f>
        <v>#REF!</v>
      </c>
      <c r="H411" s="51"/>
      <c r="I411" s="50" t="e">
        <f>TRUNC(I412+I413+I414+I415+I416,0)</f>
        <v>#REF!</v>
      </c>
      <c r="J411" s="51"/>
      <c r="K411" s="50">
        <f>TRUNC(K412+K413+K414+K415+K416,0)</f>
        <v>205686</v>
      </c>
      <c r="L411" s="51"/>
      <c r="M411" s="50">
        <f>TRUNC(M412+M413+M414+M415+M416,0)</f>
        <v>0</v>
      </c>
      <c r="N411" s="63" t="str">
        <f>N404</f>
        <v>토목6-3-4</v>
      </c>
    </row>
    <row r="412" spans="1:14" ht="15" customHeight="1">
      <c r="A412" s="13"/>
      <c r="B412" s="14" t="s">
        <v>265</v>
      </c>
      <c r="C412" s="1" t="s">
        <v>510</v>
      </c>
      <c r="D412" s="3">
        <f>1.04*0.7</f>
        <v>0.72799999999999998</v>
      </c>
      <c r="E412" s="2" t="s">
        <v>24</v>
      </c>
      <c r="F412" s="4">
        <f>H412+J412+L412</f>
        <v>282536</v>
      </c>
      <c r="G412" s="8">
        <f t="shared" si="58"/>
        <v>205686.2</v>
      </c>
      <c r="H412" s="4"/>
      <c r="I412" s="8"/>
      <c r="J412" s="4">
        <f>노임!$D$7</f>
        <v>282536</v>
      </c>
      <c r="K412" s="8">
        <f>TRUNC(J412*D412,1)</f>
        <v>205686.2</v>
      </c>
      <c r="L412" s="4">
        <v>0</v>
      </c>
      <c r="M412" s="8"/>
      <c r="N412" s="12" t="s">
        <v>0</v>
      </c>
    </row>
    <row r="413" spans="1:14" ht="15" customHeight="1">
      <c r="A413" s="13"/>
      <c r="B413" s="14" t="s">
        <v>279</v>
      </c>
      <c r="C413" s="1" t="s">
        <v>37</v>
      </c>
      <c r="D413" s="3">
        <v>1650</v>
      </c>
      <c r="E413" s="2" t="s">
        <v>30</v>
      </c>
      <c r="F413" s="4" t="e">
        <f>H413+J413+L413</f>
        <v>#REF!</v>
      </c>
      <c r="G413" s="8" t="e">
        <f t="shared" si="58"/>
        <v>#REF!</v>
      </c>
      <c r="H413" s="4" t="e">
        <f>#REF!</f>
        <v>#REF!</v>
      </c>
      <c r="I413" s="8" t="e">
        <f>TRUNC(H413*D413,1)</f>
        <v>#REF!</v>
      </c>
      <c r="J413" s="4">
        <v>0</v>
      </c>
      <c r="K413" s="8"/>
      <c r="L413" s="4">
        <v>0</v>
      </c>
      <c r="M413" s="8"/>
      <c r="N413" s="12" t="s">
        <v>0</v>
      </c>
    </row>
    <row r="414" spans="1:14" ht="15" customHeight="1">
      <c r="A414" s="13"/>
      <c r="B414" s="14" t="s">
        <v>286</v>
      </c>
      <c r="C414" s="1" t="s">
        <v>36</v>
      </c>
      <c r="D414" s="3">
        <v>0.83</v>
      </c>
      <c r="E414" s="2" t="s">
        <v>31</v>
      </c>
      <c r="F414" s="4" t="e">
        <f>H414+J414+L414</f>
        <v>#REF!</v>
      </c>
      <c r="G414" s="8" t="e">
        <f t="shared" si="58"/>
        <v>#REF!</v>
      </c>
      <c r="H414" s="4" t="e">
        <f>#REF!</f>
        <v>#REF!</v>
      </c>
      <c r="I414" s="8" t="e">
        <f>TRUNC(H414*D414,1)</f>
        <v>#REF!</v>
      </c>
      <c r="J414" s="4">
        <v>0</v>
      </c>
      <c r="K414" s="8"/>
      <c r="L414" s="4">
        <v>0</v>
      </c>
      <c r="M414" s="8"/>
      <c r="N414" s="12" t="s">
        <v>0</v>
      </c>
    </row>
    <row r="415" spans="1:14" ht="15" customHeight="1">
      <c r="A415" s="13"/>
      <c r="B415" s="14" t="s">
        <v>287</v>
      </c>
      <c r="C415" s="1" t="s">
        <v>35</v>
      </c>
      <c r="D415" s="3">
        <v>3.88</v>
      </c>
      <c r="E415" s="2" t="s">
        <v>10</v>
      </c>
      <c r="F415" s="4" t="e">
        <f>H415+J415+L415</f>
        <v>#REF!</v>
      </c>
      <c r="G415" s="8" t="e">
        <f t="shared" si="58"/>
        <v>#REF!</v>
      </c>
      <c r="H415" s="4" t="e">
        <f>#REF!</f>
        <v>#REF!</v>
      </c>
      <c r="I415" s="8" t="e">
        <f>TRUNC(H415*D415,1)</f>
        <v>#REF!</v>
      </c>
      <c r="J415" s="4">
        <v>0</v>
      </c>
      <c r="K415" s="8"/>
      <c r="L415" s="4">
        <v>0</v>
      </c>
      <c r="M415" s="8"/>
      <c r="N415" s="12" t="s">
        <v>0</v>
      </c>
    </row>
    <row r="416" spans="1:14" ht="15" customHeight="1">
      <c r="A416" s="13"/>
      <c r="B416" s="14" t="s">
        <v>288</v>
      </c>
      <c r="C416" s="1" t="s">
        <v>29</v>
      </c>
      <c r="D416" s="1">
        <v>2</v>
      </c>
      <c r="E416" s="2" t="s">
        <v>28</v>
      </c>
      <c r="F416" s="4">
        <f>H416+J416+L416</f>
        <v>0</v>
      </c>
      <c r="G416" s="8">
        <f t="shared" si="58"/>
        <v>4113.7</v>
      </c>
      <c r="H416" s="2"/>
      <c r="I416" s="8">
        <f>TRUNC((K412*0.02),1)</f>
        <v>4113.7</v>
      </c>
      <c r="J416" s="2"/>
      <c r="K416" s="8">
        <v>0</v>
      </c>
      <c r="L416" s="2"/>
      <c r="M416" s="8">
        <v>0</v>
      </c>
      <c r="N416" s="12" t="s">
        <v>0</v>
      </c>
    </row>
    <row r="417" spans="1:14" ht="15" customHeight="1">
      <c r="A417" s="16"/>
      <c r="B417" s="15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12"/>
    </row>
    <row r="418" spans="1:14" ht="15" customHeight="1">
      <c r="A418" s="52">
        <f>A411+1</f>
        <v>22</v>
      </c>
      <c r="B418" s="46" t="s">
        <v>509</v>
      </c>
      <c r="C418" s="47" t="s">
        <v>190</v>
      </c>
      <c r="D418" s="47">
        <v>1</v>
      </c>
      <c r="E418" s="48" t="s">
        <v>3</v>
      </c>
      <c r="F418" s="51"/>
      <c r="G418" s="50" t="e">
        <f t="shared" ref="G418:G423" si="59">I418+K418+M418</f>
        <v>#REF!</v>
      </c>
      <c r="H418" s="51"/>
      <c r="I418" s="50" t="e">
        <f>TRUNC(I419+I420+I421+I422+I423,0)</f>
        <v>#REF!</v>
      </c>
      <c r="J418" s="51"/>
      <c r="K418" s="50">
        <f>TRUNC(K419+K420+K421+K422+K423,0)</f>
        <v>172064</v>
      </c>
      <c r="L418" s="51"/>
      <c r="M418" s="50">
        <f>TRUNC(M419+M420+M421+M422+M423,0)</f>
        <v>0</v>
      </c>
      <c r="N418" s="63" t="str">
        <f>N411</f>
        <v>토목6-3-4</v>
      </c>
    </row>
    <row r="419" spans="1:14" ht="15" customHeight="1">
      <c r="A419" s="13"/>
      <c r="B419" s="14" t="s">
        <v>265</v>
      </c>
      <c r="C419" s="1" t="s">
        <v>510</v>
      </c>
      <c r="D419" s="3">
        <f>0.87*0.7</f>
        <v>0.60899999999999999</v>
      </c>
      <c r="E419" s="2" t="s">
        <v>24</v>
      </c>
      <c r="F419" s="4">
        <f>H419+J419+L419</f>
        <v>282536</v>
      </c>
      <c r="G419" s="8">
        <f t="shared" si="59"/>
        <v>172064.4</v>
      </c>
      <c r="H419" s="4"/>
      <c r="I419" s="8"/>
      <c r="J419" s="4">
        <f>노임!$D$7</f>
        <v>282536</v>
      </c>
      <c r="K419" s="8">
        <f>TRUNC(J419*D419,1)</f>
        <v>172064.4</v>
      </c>
      <c r="L419" s="4">
        <v>0</v>
      </c>
      <c r="M419" s="8"/>
      <c r="N419" s="12" t="s">
        <v>0</v>
      </c>
    </row>
    <row r="420" spans="1:14" ht="15" customHeight="1">
      <c r="A420" s="13"/>
      <c r="B420" s="14" t="s">
        <v>279</v>
      </c>
      <c r="C420" s="1" t="s">
        <v>37</v>
      </c>
      <c r="D420" s="3">
        <v>1390</v>
      </c>
      <c r="E420" s="2" t="s">
        <v>30</v>
      </c>
      <c r="F420" s="4" t="e">
        <f>H420+J420+L420</f>
        <v>#REF!</v>
      </c>
      <c r="G420" s="8" t="e">
        <f t="shared" si="59"/>
        <v>#REF!</v>
      </c>
      <c r="H420" s="4" t="e">
        <f>#REF!</f>
        <v>#REF!</v>
      </c>
      <c r="I420" s="8" t="e">
        <f>TRUNC(H420*D420,1)</f>
        <v>#REF!</v>
      </c>
      <c r="J420" s="4">
        <v>0</v>
      </c>
      <c r="K420" s="8"/>
      <c r="L420" s="4">
        <v>0</v>
      </c>
      <c r="M420" s="8"/>
      <c r="N420" s="12" t="s">
        <v>0</v>
      </c>
    </row>
    <row r="421" spans="1:14" ht="15" customHeight="1">
      <c r="A421" s="13"/>
      <c r="B421" s="14" t="s">
        <v>286</v>
      </c>
      <c r="C421" s="1" t="s">
        <v>36</v>
      </c>
      <c r="D421" s="3">
        <v>0.69</v>
      </c>
      <c r="E421" s="2" t="s">
        <v>31</v>
      </c>
      <c r="F421" s="4" t="e">
        <f>H421+J421+L421</f>
        <v>#REF!</v>
      </c>
      <c r="G421" s="8" t="e">
        <f t="shared" si="59"/>
        <v>#REF!</v>
      </c>
      <c r="H421" s="4" t="e">
        <f>#REF!</f>
        <v>#REF!</v>
      </c>
      <c r="I421" s="8" t="e">
        <f>TRUNC(H421*D421,1)</f>
        <v>#REF!</v>
      </c>
      <c r="J421" s="4">
        <v>0</v>
      </c>
      <c r="K421" s="8"/>
      <c r="L421" s="4">
        <v>0</v>
      </c>
      <c r="M421" s="8"/>
      <c r="N421" s="12" t="s">
        <v>0</v>
      </c>
    </row>
    <row r="422" spans="1:14" ht="15" customHeight="1">
      <c r="A422" s="13"/>
      <c r="B422" s="14" t="s">
        <v>287</v>
      </c>
      <c r="C422" s="1" t="s">
        <v>35</v>
      </c>
      <c r="D422" s="3">
        <v>3.11</v>
      </c>
      <c r="E422" s="2" t="s">
        <v>10</v>
      </c>
      <c r="F422" s="4" t="e">
        <f>H422+J422+L422</f>
        <v>#REF!</v>
      </c>
      <c r="G422" s="8" t="e">
        <f t="shared" si="59"/>
        <v>#REF!</v>
      </c>
      <c r="H422" s="4" t="e">
        <f>#REF!</f>
        <v>#REF!</v>
      </c>
      <c r="I422" s="8" t="e">
        <f>TRUNC(H422*D422,1)</f>
        <v>#REF!</v>
      </c>
      <c r="J422" s="4">
        <v>0</v>
      </c>
      <c r="K422" s="8"/>
      <c r="L422" s="4">
        <v>0</v>
      </c>
      <c r="M422" s="8"/>
      <c r="N422" s="12" t="s">
        <v>0</v>
      </c>
    </row>
    <row r="423" spans="1:14" ht="15" customHeight="1">
      <c r="A423" s="13"/>
      <c r="B423" s="14" t="s">
        <v>288</v>
      </c>
      <c r="C423" s="1" t="s">
        <v>29</v>
      </c>
      <c r="D423" s="1">
        <v>2</v>
      </c>
      <c r="E423" s="2" t="s">
        <v>28</v>
      </c>
      <c r="F423" s="4">
        <f>H423+J423+L423</f>
        <v>0</v>
      </c>
      <c r="G423" s="8">
        <f t="shared" si="59"/>
        <v>3441.2</v>
      </c>
      <c r="H423" s="2"/>
      <c r="I423" s="8">
        <f>TRUNC((K419*0.02),1)</f>
        <v>3441.2</v>
      </c>
      <c r="J423" s="2"/>
      <c r="K423" s="8">
        <v>0</v>
      </c>
      <c r="L423" s="2"/>
      <c r="M423" s="8">
        <v>0</v>
      </c>
      <c r="N423" s="12" t="s">
        <v>0</v>
      </c>
    </row>
    <row r="424" spans="1:14" ht="15" customHeight="1">
      <c r="A424" s="16"/>
      <c r="B424" s="15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12"/>
    </row>
    <row r="425" spans="1:14" ht="15" customHeight="1">
      <c r="A425" s="52">
        <f>A418+1</f>
        <v>23</v>
      </c>
      <c r="B425" s="46" t="s">
        <v>508</v>
      </c>
      <c r="C425" s="47" t="s">
        <v>191</v>
      </c>
      <c r="D425" s="47">
        <v>1</v>
      </c>
      <c r="E425" s="48" t="s">
        <v>3</v>
      </c>
      <c r="F425" s="51"/>
      <c r="G425" s="50" t="e">
        <f t="shared" ref="G425:G430" si="60">I425+K425+M425</f>
        <v>#REF!</v>
      </c>
      <c r="H425" s="51"/>
      <c r="I425" s="50" t="e">
        <f>TRUNC(I426+I427+I428+I429+I430,0)</f>
        <v>#REF!</v>
      </c>
      <c r="J425" s="51"/>
      <c r="K425" s="50">
        <f>TRUNC(K426+K427+K428+K429+K430,0)</f>
        <v>237330</v>
      </c>
      <c r="L425" s="51"/>
      <c r="M425" s="50">
        <f>TRUNC(M426+M427+M428+M429+M430,0)</f>
        <v>0</v>
      </c>
      <c r="N425" s="63" t="str">
        <f>N418</f>
        <v>토목6-3-4</v>
      </c>
    </row>
    <row r="426" spans="1:14" ht="15" customHeight="1">
      <c r="A426" s="13"/>
      <c r="B426" s="14" t="s">
        <v>265</v>
      </c>
      <c r="C426" s="1" t="s">
        <v>510</v>
      </c>
      <c r="D426" s="3">
        <f>1.2*0.7</f>
        <v>0.84</v>
      </c>
      <c r="E426" s="2" t="s">
        <v>24</v>
      </c>
      <c r="F426" s="4">
        <f>H426+J426+L426</f>
        <v>282536</v>
      </c>
      <c r="G426" s="8">
        <f t="shared" si="60"/>
        <v>237330.2</v>
      </c>
      <c r="H426" s="4"/>
      <c r="I426" s="8"/>
      <c r="J426" s="4">
        <f>노임!$D$7</f>
        <v>282536</v>
      </c>
      <c r="K426" s="8">
        <f>TRUNC(J426*D426,1)</f>
        <v>237330.2</v>
      </c>
      <c r="L426" s="4">
        <v>0</v>
      </c>
      <c r="M426" s="8"/>
      <c r="N426" s="12" t="s">
        <v>0</v>
      </c>
    </row>
    <row r="427" spans="1:14" ht="15" customHeight="1">
      <c r="A427" s="13"/>
      <c r="B427" s="14" t="s">
        <v>279</v>
      </c>
      <c r="C427" s="1" t="s">
        <v>37</v>
      </c>
      <c r="D427" s="3">
        <v>1760</v>
      </c>
      <c r="E427" s="2" t="s">
        <v>30</v>
      </c>
      <c r="F427" s="4" t="e">
        <f>H427+J427+L427</f>
        <v>#REF!</v>
      </c>
      <c r="G427" s="8" t="e">
        <f t="shared" si="60"/>
        <v>#REF!</v>
      </c>
      <c r="H427" s="4" t="e">
        <f>#REF!</f>
        <v>#REF!</v>
      </c>
      <c r="I427" s="8" t="e">
        <f>TRUNC(H427*D427,1)</f>
        <v>#REF!</v>
      </c>
      <c r="J427" s="4">
        <v>0</v>
      </c>
      <c r="K427" s="8"/>
      <c r="L427" s="4">
        <v>0</v>
      </c>
      <c r="M427" s="8"/>
      <c r="N427" s="12" t="s">
        <v>0</v>
      </c>
    </row>
    <row r="428" spans="1:14" ht="15" customHeight="1">
      <c r="A428" s="13"/>
      <c r="B428" s="14" t="s">
        <v>286</v>
      </c>
      <c r="C428" s="1" t="s">
        <v>36</v>
      </c>
      <c r="D428" s="3">
        <v>0.88</v>
      </c>
      <c r="E428" s="2" t="s">
        <v>31</v>
      </c>
      <c r="F428" s="4" t="e">
        <f>H428+J428+L428</f>
        <v>#REF!</v>
      </c>
      <c r="G428" s="8" t="e">
        <f t="shared" si="60"/>
        <v>#REF!</v>
      </c>
      <c r="H428" s="4" t="e">
        <f>#REF!</f>
        <v>#REF!</v>
      </c>
      <c r="I428" s="8" t="e">
        <f>TRUNC(H428*D428,1)</f>
        <v>#REF!</v>
      </c>
      <c r="J428" s="4">
        <v>0</v>
      </c>
      <c r="K428" s="8"/>
      <c r="L428" s="4">
        <v>0</v>
      </c>
      <c r="M428" s="8"/>
      <c r="N428" s="12" t="s">
        <v>0</v>
      </c>
    </row>
    <row r="429" spans="1:14" ht="15" customHeight="1">
      <c r="A429" s="13"/>
      <c r="B429" s="14" t="s">
        <v>287</v>
      </c>
      <c r="C429" s="1" t="s">
        <v>35</v>
      </c>
      <c r="D429" s="3">
        <v>4.92</v>
      </c>
      <c r="E429" s="2" t="s">
        <v>10</v>
      </c>
      <c r="F429" s="4" t="e">
        <f>H429+J429+L429</f>
        <v>#REF!</v>
      </c>
      <c r="G429" s="8" t="e">
        <f t="shared" si="60"/>
        <v>#REF!</v>
      </c>
      <c r="H429" s="4" t="e">
        <f>#REF!</f>
        <v>#REF!</v>
      </c>
      <c r="I429" s="8" t="e">
        <f>TRUNC(H429*D429,1)</f>
        <v>#REF!</v>
      </c>
      <c r="J429" s="4">
        <v>0</v>
      </c>
      <c r="K429" s="8"/>
      <c r="L429" s="4">
        <v>0</v>
      </c>
      <c r="M429" s="8"/>
      <c r="N429" s="12" t="s">
        <v>0</v>
      </c>
    </row>
    <row r="430" spans="1:14" ht="15" customHeight="1">
      <c r="A430" s="13"/>
      <c r="B430" s="14" t="s">
        <v>288</v>
      </c>
      <c r="C430" s="1" t="s">
        <v>29</v>
      </c>
      <c r="D430" s="1">
        <v>2</v>
      </c>
      <c r="E430" s="2" t="s">
        <v>28</v>
      </c>
      <c r="F430" s="4">
        <f>H430+J430+L430</f>
        <v>0</v>
      </c>
      <c r="G430" s="8">
        <f t="shared" si="60"/>
        <v>4746.6000000000004</v>
      </c>
      <c r="H430" s="2"/>
      <c r="I430" s="8">
        <f>TRUNC((K426*0.02),1)</f>
        <v>4746.6000000000004</v>
      </c>
      <c r="J430" s="2"/>
      <c r="K430" s="8">
        <v>0</v>
      </c>
      <c r="L430" s="2"/>
      <c r="M430" s="8">
        <v>0</v>
      </c>
      <c r="N430" s="12" t="s">
        <v>0</v>
      </c>
    </row>
    <row r="431" spans="1:14" ht="15" customHeight="1">
      <c r="A431" s="16"/>
      <c r="B431" s="15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12"/>
    </row>
    <row r="432" spans="1:14" ht="15" customHeight="1">
      <c r="A432" s="52">
        <f>A425+1</f>
        <v>24</v>
      </c>
      <c r="B432" s="46" t="s">
        <v>509</v>
      </c>
      <c r="C432" s="47" t="s">
        <v>191</v>
      </c>
      <c r="D432" s="47">
        <v>1</v>
      </c>
      <c r="E432" s="48" t="s">
        <v>3</v>
      </c>
      <c r="F432" s="51"/>
      <c r="G432" s="50" t="e">
        <f t="shared" ref="G432:G437" si="61">I432+K432+M432</f>
        <v>#REF!</v>
      </c>
      <c r="H432" s="51"/>
      <c r="I432" s="50" t="e">
        <f>TRUNC(I433+I434+I435+I436+I437,0)</f>
        <v>#REF!</v>
      </c>
      <c r="J432" s="51"/>
      <c r="K432" s="50">
        <f>TRUNC(K433+K434+K435+K436+K437,0)</f>
        <v>195797</v>
      </c>
      <c r="L432" s="51"/>
      <c r="M432" s="50">
        <f>TRUNC(M433+M434+M435+M436+M437,0)</f>
        <v>0</v>
      </c>
      <c r="N432" s="63" t="str">
        <f>N425</f>
        <v>토목6-3-4</v>
      </c>
    </row>
    <row r="433" spans="1:14" ht="15" customHeight="1">
      <c r="A433" s="13"/>
      <c r="B433" s="14" t="s">
        <v>265</v>
      </c>
      <c r="C433" s="1" t="s">
        <v>510</v>
      </c>
      <c r="D433" s="3">
        <f>0.99*0.7</f>
        <v>0.69299999999999995</v>
      </c>
      <c r="E433" s="2" t="s">
        <v>24</v>
      </c>
      <c r="F433" s="4">
        <f>H433+J433+L433</f>
        <v>282536</v>
      </c>
      <c r="G433" s="8">
        <f t="shared" si="61"/>
        <v>195797.4</v>
      </c>
      <c r="H433" s="4"/>
      <c r="I433" s="8"/>
      <c r="J433" s="4">
        <f>노임!$D$7</f>
        <v>282536</v>
      </c>
      <c r="K433" s="8">
        <f>TRUNC(J433*D433,1)</f>
        <v>195797.4</v>
      </c>
      <c r="L433" s="4">
        <v>0</v>
      </c>
      <c r="M433" s="8"/>
      <c r="N433" s="12" t="s">
        <v>0</v>
      </c>
    </row>
    <row r="434" spans="1:14" ht="15" customHeight="1">
      <c r="A434" s="13"/>
      <c r="B434" s="14" t="s">
        <v>279</v>
      </c>
      <c r="C434" s="1" t="s">
        <v>37</v>
      </c>
      <c r="D434" s="3">
        <v>1630</v>
      </c>
      <c r="E434" s="2" t="s">
        <v>30</v>
      </c>
      <c r="F434" s="4" t="e">
        <f>H434+J434+L434</f>
        <v>#REF!</v>
      </c>
      <c r="G434" s="8" t="e">
        <f t="shared" si="61"/>
        <v>#REF!</v>
      </c>
      <c r="H434" s="4" t="e">
        <f>#REF!</f>
        <v>#REF!</v>
      </c>
      <c r="I434" s="8" t="e">
        <f>TRUNC(H434*D434,1)</f>
        <v>#REF!</v>
      </c>
      <c r="J434" s="4">
        <v>0</v>
      </c>
      <c r="K434" s="8"/>
      <c r="L434" s="4">
        <v>0</v>
      </c>
      <c r="M434" s="8"/>
      <c r="N434" s="12" t="s">
        <v>0</v>
      </c>
    </row>
    <row r="435" spans="1:14" ht="15" customHeight="1">
      <c r="A435" s="13"/>
      <c r="B435" s="14" t="s">
        <v>286</v>
      </c>
      <c r="C435" s="1" t="s">
        <v>36</v>
      </c>
      <c r="D435" s="3">
        <v>0.82</v>
      </c>
      <c r="E435" s="2" t="s">
        <v>31</v>
      </c>
      <c r="F435" s="4" t="e">
        <f>H435+J435+L435</f>
        <v>#REF!</v>
      </c>
      <c r="G435" s="8" t="e">
        <f t="shared" si="61"/>
        <v>#REF!</v>
      </c>
      <c r="H435" s="4" t="e">
        <f>#REF!</f>
        <v>#REF!</v>
      </c>
      <c r="I435" s="8" t="e">
        <f>TRUNC(H435*D435,1)</f>
        <v>#REF!</v>
      </c>
      <c r="J435" s="4">
        <v>0</v>
      </c>
      <c r="K435" s="8"/>
      <c r="L435" s="4">
        <v>0</v>
      </c>
      <c r="M435" s="8"/>
      <c r="N435" s="12" t="s">
        <v>0</v>
      </c>
    </row>
    <row r="436" spans="1:14" ht="15" customHeight="1">
      <c r="A436" s="13"/>
      <c r="B436" s="14" t="s">
        <v>287</v>
      </c>
      <c r="C436" s="1" t="s">
        <v>35</v>
      </c>
      <c r="D436" s="3">
        <v>3.27</v>
      </c>
      <c r="E436" s="2" t="s">
        <v>10</v>
      </c>
      <c r="F436" s="4" t="e">
        <f>H436+J436+L436</f>
        <v>#REF!</v>
      </c>
      <c r="G436" s="8" t="e">
        <f t="shared" si="61"/>
        <v>#REF!</v>
      </c>
      <c r="H436" s="4" t="e">
        <f>#REF!</f>
        <v>#REF!</v>
      </c>
      <c r="I436" s="8" t="e">
        <f>TRUNC(H436*D436,1)</f>
        <v>#REF!</v>
      </c>
      <c r="J436" s="4">
        <v>0</v>
      </c>
      <c r="K436" s="8"/>
      <c r="L436" s="4">
        <v>0</v>
      </c>
      <c r="M436" s="8"/>
      <c r="N436" s="12" t="s">
        <v>0</v>
      </c>
    </row>
    <row r="437" spans="1:14" ht="15" customHeight="1">
      <c r="A437" s="13"/>
      <c r="B437" s="14" t="s">
        <v>288</v>
      </c>
      <c r="C437" s="1" t="s">
        <v>29</v>
      </c>
      <c r="D437" s="1">
        <v>2</v>
      </c>
      <c r="E437" s="2" t="s">
        <v>28</v>
      </c>
      <c r="F437" s="4">
        <f>H437+J437+L437</f>
        <v>0</v>
      </c>
      <c r="G437" s="8">
        <f t="shared" si="61"/>
        <v>3915.9</v>
      </c>
      <c r="H437" s="2"/>
      <c r="I437" s="8">
        <f>TRUNC((K433*0.02),1)</f>
        <v>3915.9</v>
      </c>
      <c r="J437" s="2"/>
      <c r="K437" s="8">
        <v>0</v>
      </c>
      <c r="L437" s="2"/>
      <c r="M437" s="8">
        <v>0</v>
      </c>
      <c r="N437" s="12" t="s">
        <v>0</v>
      </c>
    </row>
    <row r="438" spans="1:14" ht="15" customHeight="1">
      <c r="A438" s="16"/>
      <c r="B438" s="15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12"/>
    </row>
    <row r="439" spans="1:14" ht="15" customHeight="1">
      <c r="A439" s="52">
        <f>A432+1</f>
        <v>25</v>
      </c>
      <c r="B439" s="46" t="s">
        <v>508</v>
      </c>
      <c r="C439" s="47" t="s">
        <v>192</v>
      </c>
      <c r="D439" s="47">
        <v>1</v>
      </c>
      <c r="E439" s="48" t="s">
        <v>3</v>
      </c>
      <c r="F439" s="51"/>
      <c r="G439" s="50" t="e">
        <f t="shared" ref="G439:G444" si="62">I439+K439+M439</f>
        <v>#REF!</v>
      </c>
      <c r="H439" s="51"/>
      <c r="I439" s="50" t="e">
        <f>TRUNC(I440+I441+I442+I443+I444,0)</f>
        <v>#REF!</v>
      </c>
      <c r="J439" s="51"/>
      <c r="K439" s="50">
        <f>TRUNC(K440+K441+K442+K443+K444,0)</f>
        <v>290729</v>
      </c>
      <c r="L439" s="51"/>
      <c r="M439" s="50">
        <f>TRUNC(M440+M441+M442+M443+M444,0)</f>
        <v>0</v>
      </c>
      <c r="N439" s="63" t="str">
        <f>N432</f>
        <v>토목6-3-4</v>
      </c>
    </row>
    <row r="440" spans="1:14" ht="15" customHeight="1">
      <c r="A440" s="13"/>
      <c r="B440" s="14" t="s">
        <v>265</v>
      </c>
      <c r="C440" s="1" t="s">
        <v>510</v>
      </c>
      <c r="D440" s="3">
        <f>1.47*0.7</f>
        <v>1.0289999999999999</v>
      </c>
      <c r="E440" s="2" t="s">
        <v>24</v>
      </c>
      <c r="F440" s="4">
        <f>H440+J440+L440</f>
        <v>282536</v>
      </c>
      <c r="G440" s="8">
        <f t="shared" si="62"/>
        <v>290729.5</v>
      </c>
      <c r="H440" s="4"/>
      <c r="I440" s="8"/>
      <c r="J440" s="4">
        <f>노임!$D$7</f>
        <v>282536</v>
      </c>
      <c r="K440" s="8">
        <f>TRUNC(J440*D440,1)</f>
        <v>290729.5</v>
      </c>
      <c r="L440" s="4">
        <v>0</v>
      </c>
      <c r="M440" s="8"/>
      <c r="N440" s="12" t="s">
        <v>0</v>
      </c>
    </row>
    <row r="441" spans="1:14" ht="15" customHeight="1">
      <c r="A441" s="13"/>
      <c r="B441" s="14" t="s">
        <v>279</v>
      </c>
      <c r="C441" s="1" t="s">
        <v>37</v>
      </c>
      <c r="D441" s="3">
        <v>2150</v>
      </c>
      <c r="E441" s="2" t="s">
        <v>30</v>
      </c>
      <c r="F441" s="4" t="e">
        <f>H441+J441+L441</f>
        <v>#REF!</v>
      </c>
      <c r="G441" s="8" t="e">
        <f t="shared" si="62"/>
        <v>#REF!</v>
      </c>
      <c r="H441" s="4" t="e">
        <f>#REF!</f>
        <v>#REF!</v>
      </c>
      <c r="I441" s="8" t="e">
        <f>TRUNC(H441*D441,1)</f>
        <v>#REF!</v>
      </c>
      <c r="J441" s="4">
        <v>0</v>
      </c>
      <c r="K441" s="8"/>
      <c r="L441" s="4">
        <v>0</v>
      </c>
      <c r="M441" s="8"/>
      <c r="N441" s="12" t="s">
        <v>0</v>
      </c>
    </row>
    <row r="442" spans="1:14" ht="15" customHeight="1">
      <c r="A442" s="13"/>
      <c r="B442" s="14" t="s">
        <v>286</v>
      </c>
      <c r="C442" s="1" t="s">
        <v>36</v>
      </c>
      <c r="D442" s="3">
        <v>1.05</v>
      </c>
      <c r="E442" s="2" t="s">
        <v>31</v>
      </c>
      <c r="F442" s="4" t="e">
        <f>H442+J442+L442</f>
        <v>#REF!</v>
      </c>
      <c r="G442" s="8" t="e">
        <f t="shared" si="62"/>
        <v>#REF!</v>
      </c>
      <c r="H442" s="4" t="e">
        <f>#REF!</f>
        <v>#REF!</v>
      </c>
      <c r="I442" s="8" t="e">
        <f>TRUNC(H442*D442,1)</f>
        <v>#REF!</v>
      </c>
      <c r="J442" s="4">
        <v>0</v>
      </c>
      <c r="K442" s="8"/>
      <c r="L442" s="4">
        <v>0</v>
      </c>
      <c r="M442" s="8"/>
      <c r="N442" s="12" t="s">
        <v>0</v>
      </c>
    </row>
    <row r="443" spans="1:14" ht="15" customHeight="1">
      <c r="A443" s="13"/>
      <c r="B443" s="14" t="s">
        <v>287</v>
      </c>
      <c r="C443" s="1" t="s">
        <v>35</v>
      </c>
      <c r="D443" s="3">
        <v>5.72</v>
      </c>
      <c r="E443" s="2" t="s">
        <v>10</v>
      </c>
      <c r="F443" s="4" t="e">
        <f>H443+J443+L443</f>
        <v>#REF!</v>
      </c>
      <c r="G443" s="8" t="e">
        <f t="shared" si="62"/>
        <v>#REF!</v>
      </c>
      <c r="H443" s="4" t="e">
        <f>#REF!</f>
        <v>#REF!</v>
      </c>
      <c r="I443" s="8" t="e">
        <f>TRUNC(H443*D443,1)</f>
        <v>#REF!</v>
      </c>
      <c r="J443" s="4">
        <v>0</v>
      </c>
      <c r="K443" s="8"/>
      <c r="L443" s="4">
        <v>0</v>
      </c>
      <c r="M443" s="8"/>
      <c r="N443" s="12" t="s">
        <v>0</v>
      </c>
    </row>
    <row r="444" spans="1:14" ht="15" customHeight="1">
      <c r="A444" s="13"/>
      <c r="B444" s="14" t="s">
        <v>288</v>
      </c>
      <c r="C444" s="1" t="s">
        <v>29</v>
      </c>
      <c r="D444" s="1">
        <v>2</v>
      </c>
      <c r="E444" s="2" t="s">
        <v>28</v>
      </c>
      <c r="F444" s="4">
        <f>H444+J444+L444</f>
        <v>0</v>
      </c>
      <c r="G444" s="8">
        <f t="shared" si="62"/>
        <v>5814.5</v>
      </c>
      <c r="H444" s="2"/>
      <c r="I444" s="8">
        <f>TRUNC((K440*0.02),1)</f>
        <v>5814.5</v>
      </c>
      <c r="J444" s="2"/>
      <c r="K444" s="8">
        <v>0</v>
      </c>
      <c r="L444" s="2"/>
      <c r="M444" s="8">
        <v>0</v>
      </c>
      <c r="N444" s="12" t="s">
        <v>0</v>
      </c>
    </row>
    <row r="445" spans="1:14" ht="15" customHeight="1">
      <c r="A445" s="16"/>
      <c r="B445" s="15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12"/>
    </row>
    <row r="446" spans="1:14" ht="15" customHeight="1">
      <c r="A446" s="52">
        <f>A439+1</f>
        <v>26</v>
      </c>
      <c r="B446" s="46" t="s">
        <v>509</v>
      </c>
      <c r="C446" s="47" t="s">
        <v>192</v>
      </c>
      <c r="D446" s="47">
        <v>1</v>
      </c>
      <c r="E446" s="48" t="s">
        <v>3</v>
      </c>
      <c r="F446" s="51"/>
      <c r="G446" s="50" t="e">
        <f t="shared" ref="G446:G451" si="63">I446+K446+M446</f>
        <v>#REF!</v>
      </c>
      <c r="H446" s="51"/>
      <c r="I446" s="50" t="e">
        <f>TRUNC(I447+I448+I449+I450+I451,0)</f>
        <v>#REF!</v>
      </c>
      <c r="J446" s="51"/>
      <c r="K446" s="50">
        <f>TRUNC(K447+K448+K449+K450+K451,0)</f>
        <v>243263</v>
      </c>
      <c r="L446" s="51"/>
      <c r="M446" s="50">
        <f>TRUNC(M447+M448+M449+M450+M451,0)</f>
        <v>0</v>
      </c>
      <c r="N446" s="63" t="str">
        <f>N439</f>
        <v>토목6-3-4</v>
      </c>
    </row>
    <row r="447" spans="1:14" ht="15" customHeight="1">
      <c r="A447" s="13"/>
      <c r="B447" s="14" t="s">
        <v>265</v>
      </c>
      <c r="C447" s="1" t="s">
        <v>510</v>
      </c>
      <c r="D447" s="3">
        <f>1.23*0.7</f>
        <v>0.86099999999999999</v>
      </c>
      <c r="E447" s="2" t="s">
        <v>24</v>
      </c>
      <c r="F447" s="4">
        <f>H447+J447+L447</f>
        <v>282536</v>
      </c>
      <c r="G447" s="8">
        <f t="shared" si="63"/>
        <v>243263.4</v>
      </c>
      <c r="H447" s="4"/>
      <c r="I447" s="8"/>
      <c r="J447" s="4">
        <f>노임!$D$7</f>
        <v>282536</v>
      </c>
      <c r="K447" s="8">
        <f>TRUNC(J447*D447,1)</f>
        <v>243263.4</v>
      </c>
      <c r="L447" s="4">
        <v>0</v>
      </c>
      <c r="M447" s="8"/>
      <c r="N447" s="12" t="s">
        <v>0</v>
      </c>
    </row>
    <row r="448" spans="1:14" ht="15" customHeight="1">
      <c r="A448" s="13"/>
      <c r="B448" s="14" t="s">
        <v>279</v>
      </c>
      <c r="C448" s="1" t="s">
        <v>37</v>
      </c>
      <c r="D448" s="3">
        <v>1790</v>
      </c>
      <c r="E448" s="2" t="s">
        <v>30</v>
      </c>
      <c r="F448" s="4" t="e">
        <f>H448+J448+L448</f>
        <v>#REF!</v>
      </c>
      <c r="G448" s="8" t="e">
        <f t="shared" si="63"/>
        <v>#REF!</v>
      </c>
      <c r="H448" s="4" t="e">
        <f>#REF!</f>
        <v>#REF!</v>
      </c>
      <c r="I448" s="8" t="e">
        <f>TRUNC(H448*D448,1)</f>
        <v>#REF!</v>
      </c>
      <c r="J448" s="4">
        <v>0</v>
      </c>
      <c r="K448" s="8"/>
      <c r="L448" s="4">
        <v>0</v>
      </c>
      <c r="M448" s="8"/>
      <c r="N448" s="12" t="s">
        <v>0</v>
      </c>
    </row>
    <row r="449" spans="1:14" ht="15" customHeight="1">
      <c r="A449" s="13"/>
      <c r="B449" s="14" t="s">
        <v>286</v>
      </c>
      <c r="C449" s="1" t="s">
        <v>36</v>
      </c>
      <c r="D449" s="3">
        <v>0.89</v>
      </c>
      <c r="E449" s="2" t="s">
        <v>31</v>
      </c>
      <c r="F449" s="4" t="e">
        <f>H449+J449+L449</f>
        <v>#REF!</v>
      </c>
      <c r="G449" s="8" t="e">
        <f t="shared" si="63"/>
        <v>#REF!</v>
      </c>
      <c r="H449" s="4" t="e">
        <f>#REF!</f>
        <v>#REF!</v>
      </c>
      <c r="I449" s="8" t="e">
        <f>TRUNC(H449*D449,1)</f>
        <v>#REF!</v>
      </c>
      <c r="J449" s="4">
        <v>0</v>
      </c>
      <c r="K449" s="8"/>
      <c r="L449" s="4">
        <v>0</v>
      </c>
      <c r="M449" s="8"/>
      <c r="N449" s="12" t="s">
        <v>0</v>
      </c>
    </row>
    <row r="450" spans="1:14" ht="15" customHeight="1">
      <c r="A450" s="13"/>
      <c r="B450" s="14" t="s">
        <v>287</v>
      </c>
      <c r="C450" s="1" t="s">
        <v>35</v>
      </c>
      <c r="D450" s="3">
        <v>4.99</v>
      </c>
      <c r="E450" s="2" t="s">
        <v>10</v>
      </c>
      <c r="F450" s="4" t="e">
        <f>H450+J450+L450</f>
        <v>#REF!</v>
      </c>
      <c r="G450" s="8" t="e">
        <f t="shared" si="63"/>
        <v>#REF!</v>
      </c>
      <c r="H450" s="4" t="e">
        <f>#REF!</f>
        <v>#REF!</v>
      </c>
      <c r="I450" s="8" t="e">
        <f>TRUNC(H450*D450,1)</f>
        <v>#REF!</v>
      </c>
      <c r="J450" s="4">
        <v>0</v>
      </c>
      <c r="K450" s="8"/>
      <c r="L450" s="4">
        <v>0</v>
      </c>
      <c r="M450" s="8"/>
      <c r="N450" s="12" t="s">
        <v>0</v>
      </c>
    </row>
    <row r="451" spans="1:14" ht="15" customHeight="1">
      <c r="A451" s="13"/>
      <c r="B451" s="14" t="s">
        <v>288</v>
      </c>
      <c r="C451" s="1" t="s">
        <v>29</v>
      </c>
      <c r="D451" s="1">
        <v>2</v>
      </c>
      <c r="E451" s="2" t="s">
        <v>28</v>
      </c>
      <c r="F451" s="4">
        <f>H451+J451+L451</f>
        <v>0</v>
      </c>
      <c r="G451" s="8">
        <f t="shared" si="63"/>
        <v>4865.2</v>
      </c>
      <c r="H451" s="2"/>
      <c r="I451" s="8">
        <f>TRUNC((K447*0.02),1)</f>
        <v>4865.2</v>
      </c>
      <c r="J451" s="2"/>
      <c r="K451" s="8">
        <v>0</v>
      </c>
      <c r="L451" s="2"/>
      <c r="M451" s="8">
        <v>0</v>
      </c>
      <c r="N451" s="12" t="s">
        <v>0</v>
      </c>
    </row>
    <row r="452" spans="1:14" ht="15" customHeight="1">
      <c r="A452" s="16"/>
      <c r="B452" s="15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12"/>
    </row>
    <row r="453" spans="1:14" ht="15" customHeight="1">
      <c r="A453" s="52">
        <f>A446+1</f>
        <v>27</v>
      </c>
      <c r="B453" s="46" t="s">
        <v>508</v>
      </c>
      <c r="C453" s="47" t="s">
        <v>193</v>
      </c>
      <c r="D453" s="47">
        <v>1</v>
      </c>
      <c r="E453" s="48" t="s">
        <v>3</v>
      </c>
      <c r="F453" s="51"/>
      <c r="G453" s="50" t="e">
        <f t="shared" ref="G453:G458" si="64">I453+K453+M453</f>
        <v>#REF!</v>
      </c>
      <c r="H453" s="51"/>
      <c r="I453" s="50" t="e">
        <f>TRUNC(I454+I455+I456+I457+I458,0)</f>
        <v>#REF!</v>
      </c>
      <c r="J453" s="51"/>
      <c r="K453" s="50">
        <f>TRUNC(K454+K455+K456+K457+K458,0)</f>
        <v>371817</v>
      </c>
      <c r="L453" s="51"/>
      <c r="M453" s="50">
        <f>TRUNC(M454+M455+M456+M457+M458,0)</f>
        <v>0</v>
      </c>
      <c r="N453" s="63" t="str">
        <f>N446</f>
        <v>토목6-3-4</v>
      </c>
    </row>
    <row r="454" spans="1:14" ht="15" customHeight="1">
      <c r="A454" s="13"/>
      <c r="B454" s="14" t="s">
        <v>265</v>
      </c>
      <c r="C454" s="1" t="s">
        <v>510</v>
      </c>
      <c r="D454" s="3">
        <f>1.88*0.7</f>
        <v>1.3159999999999998</v>
      </c>
      <c r="E454" s="2" t="s">
        <v>24</v>
      </c>
      <c r="F454" s="4">
        <f>H454+J454+L454</f>
        <v>282536</v>
      </c>
      <c r="G454" s="8">
        <f t="shared" si="64"/>
        <v>371817.3</v>
      </c>
      <c r="H454" s="4"/>
      <c r="I454" s="8"/>
      <c r="J454" s="4">
        <f>노임!$D$7</f>
        <v>282536</v>
      </c>
      <c r="K454" s="8">
        <f>TRUNC(J454*D454,1)</f>
        <v>371817.3</v>
      </c>
      <c r="L454" s="4">
        <v>0</v>
      </c>
      <c r="M454" s="8"/>
      <c r="N454" s="12" t="s">
        <v>0</v>
      </c>
    </row>
    <row r="455" spans="1:14" ht="15" customHeight="1">
      <c r="A455" s="13"/>
      <c r="B455" s="14" t="s">
        <v>279</v>
      </c>
      <c r="C455" s="1" t="s">
        <v>37</v>
      </c>
      <c r="D455" s="3">
        <v>2700</v>
      </c>
      <c r="E455" s="2" t="s">
        <v>30</v>
      </c>
      <c r="F455" s="4" t="e">
        <f>H455+J455+L455</f>
        <v>#REF!</v>
      </c>
      <c r="G455" s="8" t="e">
        <f t="shared" si="64"/>
        <v>#REF!</v>
      </c>
      <c r="H455" s="4" t="e">
        <f>#REF!</f>
        <v>#REF!</v>
      </c>
      <c r="I455" s="8" t="e">
        <f>TRUNC(H455*D455,1)</f>
        <v>#REF!</v>
      </c>
      <c r="J455" s="4">
        <v>0</v>
      </c>
      <c r="K455" s="8"/>
      <c r="L455" s="4">
        <v>0</v>
      </c>
      <c r="M455" s="8"/>
      <c r="N455" s="12" t="s">
        <v>0</v>
      </c>
    </row>
    <row r="456" spans="1:14" ht="15" customHeight="1">
      <c r="A456" s="13"/>
      <c r="B456" s="14" t="s">
        <v>286</v>
      </c>
      <c r="C456" s="1" t="s">
        <v>36</v>
      </c>
      <c r="D456" s="3">
        <v>1.36</v>
      </c>
      <c r="E456" s="2" t="s">
        <v>31</v>
      </c>
      <c r="F456" s="4" t="e">
        <f>H456+J456+L456</f>
        <v>#REF!</v>
      </c>
      <c r="G456" s="8" t="e">
        <f t="shared" si="64"/>
        <v>#REF!</v>
      </c>
      <c r="H456" s="4" t="e">
        <f>#REF!</f>
        <v>#REF!</v>
      </c>
      <c r="I456" s="8" t="e">
        <f>TRUNC(H456*D456,1)</f>
        <v>#REF!</v>
      </c>
      <c r="J456" s="4">
        <v>0</v>
      </c>
      <c r="K456" s="8"/>
      <c r="L456" s="4">
        <v>0</v>
      </c>
      <c r="M456" s="8"/>
      <c r="N456" s="12" t="s">
        <v>0</v>
      </c>
    </row>
    <row r="457" spans="1:14" ht="15" customHeight="1">
      <c r="A457" s="13"/>
      <c r="B457" s="14" t="s">
        <v>287</v>
      </c>
      <c r="C457" s="1" t="s">
        <v>35</v>
      </c>
      <c r="D457" s="3">
        <v>7.41</v>
      </c>
      <c r="E457" s="2" t="s">
        <v>10</v>
      </c>
      <c r="F457" s="4" t="e">
        <f>H457+J457+L457</f>
        <v>#REF!</v>
      </c>
      <c r="G457" s="8" t="e">
        <f t="shared" si="64"/>
        <v>#REF!</v>
      </c>
      <c r="H457" s="4" t="e">
        <f>#REF!</f>
        <v>#REF!</v>
      </c>
      <c r="I457" s="8" t="e">
        <f>TRUNC(H457*D457,1)</f>
        <v>#REF!</v>
      </c>
      <c r="J457" s="4">
        <v>0</v>
      </c>
      <c r="K457" s="8"/>
      <c r="L457" s="4">
        <v>0</v>
      </c>
      <c r="M457" s="8"/>
      <c r="N457" s="12" t="s">
        <v>0</v>
      </c>
    </row>
    <row r="458" spans="1:14" ht="15" customHeight="1">
      <c r="A458" s="13"/>
      <c r="B458" s="14" t="s">
        <v>288</v>
      </c>
      <c r="C458" s="1" t="s">
        <v>29</v>
      </c>
      <c r="D458" s="1">
        <v>2</v>
      </c>
      <c r="E458" s="2" t="s">
        <v>28</v>
      </c>
      <c r="F458" s="4">
        <f>H458+J458+L458</f>
        <v>0</v>
      </c>
      <c r="G458" s="8">
        <f t="shared" si="64"/>
        <v>7436.3</v>
      </c>
      <c r="H458" s="2"/>
      <c r="I458" s="8">
        <f>TRUNC((K454*0.02),1)</f>
        <v>7436.3</v>
      </c>
      <c r="J458" s="2"/>
      <c r="K458" s="8">
        <v>0</v>
      </c>
      <c r="L458" s="2"/>
      <c r="M458" s="8">
        <v>0</v>
      </c>
      <c r="N458" s="12" t="s">
        <v>0</v>
      </c>
    </row>
    <row r="459" spans="1:14" ht="15" customHeight="1">
      <c r="A459" s="16"/>
      <c r="B459" s="15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12"/>
    </row>
    <row r="460" spans="1:14" ht="15" customHeight="1">
      <c r="A460" s="52">
        <f>A453+1</f>
        <v>28</v>
      </c>
      <c r="B460" s="46" t="s">
        <v>509</v>
      </c>
      <c r="C460" s="47" t="s">
        <v>193</v>
      </c>
      <c r="D460" s="47">
        <v>1</v>
      </c>
      <c r="E460" s="48" t="s">
        <v>3</v>
      </c>
      <c r="F460" s="51"/>
      <c r="G460" s="50" t="e">
        <f t="shared" ref="G460:G465" si="65">I460+K460+M460</f>
        <v>#REF!</v>
      </c>
      <c r="H460" s="51"/>
      <c r="I460" s="50" t="e">
        <f>TRUNC(I461+I462+I463+I464+I465,0)</f>
        <v>#REF!</v>
      </c>
      <c r="J460" s="51"/>
      <c r="K460" s="50">
        <f>TRUNC(K461+K462+K463+K464+K465,0)</f>
        <v>292707</v>
      </c>
      <c r="L460" s="51"/>
      <c r="M460" s="50">
        <f>TRUNC(M461+M462+M463+M464+M465,0)</f>
        <v>0</v>
      </c>
      <c r="N460" s="63" t="str">
        <f>N453</f>
        <v>토목6-3-4</v>
      </c>
    </row>
    <row r="461" spans="1:14" ht="15" customHeight="1">
      <c r="A461" s="13"/>
      <c r="B461" s="14" t="s">
        <v>265</v>
      </c>
      <c r="C461" s="1" t="s">
        <v>510</v>
      </c>
      <c r="D461" s="3">
        <f>1.48*0.7</f>
        <v>1.036</v>
      </c>
      <c r="E461" s="2" t="s">
        <v>24</v>
      </c>
      <c r="F461" s="4">
        <f>H461+J461+L461</f>
        <v>282536</v>
      </c>
      <c r="G461" s="8">
        <f t="shared" si="65"/>
        <v>292707.20000000001</v>
      </c>
      <c r="H461" s="4"/>
      <c r="I461" s="8"/>
      <c r="J461" s="4">
        <f>노임!$D$7</f>
        <v>282536</v>
      </c>
      <c r="K461" s="8">
        <f>TRUNC(J461*D461,1)</f>
        <v>292707.20000000001</v>
      </c>
      <c r="L461" s="4">
        <v>0</v>
      </c>
      <c r="M461" s="8"/>
      <c r="N461" s="12" t="s">
        <v>0</v>
      </c>
    </row>
    <row r="462" spans="1:14" ht="15" customHeight="1">
      <c r="A462" s="13"/>
      <c r="B462" s="14" t="s">
        <v>279</v>
      </c>
      <c r="C462" s="1" t="s">
        <v>37</v>
      </c>
      <c r="D462" s="3">
        <v>2160</v>
      </c>
      <c r="E462" s="2" t="s">
        <v>30</v>
      </c>
      <c r="F462" s="4" t="e">
        <f>H462+J462+L462</f>
        <v>#REF!</v>
      </c>
      <c r="G462" s="8" t="e">
        <f t="shared" si="65"/>
        <v>#REF!</v>
      </c>
      <c r="H462" s="4" t="e">
        <f>#REF!</f>
        <v>#REF!</v>
      </c>
      <c r="I462" s="8" t="e">
        <f>TRUNC(H462*D462,1)</f>
        <v>#REF!</v>
      </c>
      <c r="J462" s="4">
        <v>0</v>
      </c>
      <c r="K462" s="8"/>
      <c r="L462" s="4">
        <v>0</v>
      </c>
      <c r="M462" s="8"/>
      <c r="N462" s="12" t="s">
        <v>0</v>
      </c>
    </row>
    <row r="463" spans="1:14" ht="15" customHeight="1">
      <c r="A463" s="13"/>
      <c r="B463" s="14" t="s">
        <v>286</v>
      </c>
      <c r="C463" s="1" t="s">
        <v>36</v>
      </c>
      <c r="D463" s="3">
        <v>1.07</v>
      </c>
      <c r="E463" s="2" t="s">
        <v>31</v>
      </c>
      <c r="F463" s="4" t="e">
        <f>H463+J463+L463</f>
        <v>#REF!</v>
      </c>
      <c r="G463" s="8" t="e">
        <f t="shared" si="65"/>
        <v>#REF!</v>
      </c>
      <c r="H463" s="4" t="e">
        <f>#REF!</f>
        <v>#REF!</v>
      </c>
      <c r="I463" s="8" t="e">
        <f>TRUNC(H463*D463,1)</f>
        <v>#REF!</v>
      </c>
      <c r="J463" s="4">
        <v>0</v>
      </c>
      <c r="K463" s="8"/>
      <c r="L463" s="4">
        <v>0</v>
      </c>
      <c r="M463" s="8"/>
      <c r="N463" s="12" t="s">
        <v>0</v>
      </c>
    </row>
    <row r="464" spans="1:14" ht="15" customHeight="1">
      <c r="A464" s="13"/>
      <c r="B464" s="14" t="s">
        <v>287</v>
      </c>
      <c r="C464" s="1" t="s">
        <v>35</v>
      </c>
      <c r="D464" s="3">
        <v>5.82</v>
      </c>
      <c r="E464" s="2" t="s">
        <v>10</v>
      </c>
      <c r="F464" s="4" t="e">
        <f>H464+J464+L464</f>
        <v>#REF!</v>
      </c>
      <c r="G464" s="8" t="e">
        <f t="shared" si="65"/>
        <v>#REF!</v>
      </c>
      <c r="H464" s="4" t="e">
        <f>#REF!</f>
        <v>#REF!</v>
      </c>
      <c r="I464" s="8" t="e">
        <f>TRUNC(H464*D464,1)</f>
        <v>#REF!</v>
      </c>
      <c r="J464" s="4">
        <v>0</v>
      </c>
      <c r="K464" s="8"/>
      <c r="L464" s="4">
        <v>0</v>
      </c>
      <c r="M464" s="8"/>
      <c r="N464" s="12" t="s">
        <v>0</v>
      </c>
    </row>
    <row r="465" spans="1:14" ht="15" customHeight="1">
      <c r="A465" s="13"/>
      <c r="B465" s="14" t="s">
        <v>288</v>
      </c>
      <c r="C465" s="1" t="s">
        <v>29</v>
      </c>
      <c r="D465" s="1">
        <v>2</v>
      </c>
      <c r="E465" s="2" t="s">
        <v>28</v>
      </c>
      <c r="F465" s="4">
        <f>H465+J465+L465</f>
        <v>0</v>
      </c>
      <c r="G465" s="8">
        <f t="shared" si="65"/>
        <v>5854.1</v>
      </c>
      <c r="H465" s="2"/>
      <c r="I465" s="8">
        <f>TRUNC((K461*0.02),1)</f>
        <v>5854.1</v>
      </c>
      <c r="J465" s="2"/>
      <c r="K465" s="8">
        <v>0</v>
      </c>
      <c r="L465" s="2"/>
      <c r="M465" s="8">
        <v>0</v>
      </c>
      <c r="N465" s="12" t="s">
        <v>0</v>
      </c>
    </row>
    <row r="466" spans="1:14" ht="15" customHeight="1">
      <c r="A466" s="16"/>
      <c r="B466" s="15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12"/>
    </row>
    <row r="467" spans="1:14" ht="15" customHeight="1">
      <c r="A467" s="52">
        <f>A460+1</f>
        <v>29</v>
      </c>
      <c r="B467" s="46" t="s">
        <v>508</v>
      </c>
      <c r="C467" s="47" t="s">
        <v>194</v>
      </c>
      <c r="D467" s="47">
        <v>1</v>
      </c>
      <c r="E467" s="48" t="s">
        <v>3</v>
      </c>
      <c r="F467" s="51"/>
      <c r="G467" s="50" t="e">
        <f t="shared" ref="G467:G472" si="66">I467+K467+M467</f>
        <v>#REF!</v>
      </c>
      <c r="H467" s="51"/>
      <c r="I467" s="50" t="e">
        <f>TRUNC(I468+I469+I470+I471+I472,0)</f>
        <v>#REF!</v>
      </c>
      <c r="J467" s="51"/>
      <c r="K467" s="50">
        <f>TRUNC(K468+K469+K470+K471+K472,0)</f>
        <v>423238</v>
      </c>
      <c r="L467" s="51"/>
      <c r="M467" s="50">
        <f>TRUNC(M468+M469+M470+M471+M472,0)</f>
        <v>0</v>
      </c>
      <c r="N467" s="63" t="str">
        <f>N460</f>
        <v>토목6-3-4</v>
      </c>
    </row>
    <row r="468" spans="1:14" ht="15" customHeight="1">
      <c r="A468" s="13"/>
      <c r="B468" s="14" t="s">
        <v>265</v>
      </c>
      <c r="C468" s="1" t="s">
        <v>510</v>
      </c>
      <c r="D468" s="3">
        <f>2.14*0.7</f>
        <v>1.498</v>
      </c>
      <c r="E468" s="2" t="s">
        <v>24</v>
      </c>
      <c r="F468" s="4">
        <f>H468+J468+L468</f>
        <v>282536</v>
      </c>
      <c r="G468" s="8">
        <f t="shared" si="66"/>
        <v>423238.9</v>
      </c>
      <c r="H468" s="4"/>
      <c r="I468" s="8"/>
      <c r="J468" s="4">
        <f>노임!$D$7</f>
        <v>282536</v>
      </c>
      <c r="K468" s="8">
        <f>TRUNC(J468*D468,1)</f>
        <v>423238.9</v>
      </c>
      <c r="L468" s="4">
        <v>0</v>
      </c>
      <c r="M468" s="8"/>
      <c r="N468" s="12" t="s">
        <v>0</v>
      </c>
    </row>
    <row r="469" spans="1:14" ht="15" customHeight="1">
      <c r="A469" s="13"/>
      <c r="B469" s="14" t="s">
        <v>279</v>
      </c>
      <c r="C469" s="1" t="s">
        <v>37</v>
      </c>
      <c r="D469" s="3">
        <v>3190</v>
      </c>
      <c r="E469" s="2" t="s">
        <v>30</v>
      </c>
      <c r="F469" s="4" t="e">
        <f>H469+J469+L469</f>
        <v>#REF!</v>
      </c>
      <c r="G469" s="8" t="e">
        <f t="shared" si="66"/>
        <v>#REF!</v>
      </c>
      <c r="H469" s="4" t="e">
        <f>#REF!</f>
        <v>#REF!</v>
      </c>
      <c r="I469" s="8" t="e">
        <f>TRUNC(H469*D469,1)</f>
        <v>#REF!</v>
      </c>
      <c r="J469" s="4">
        <v>0</v>
      </c>
      <c r="K469" s="8"/>
      <c r="L469" s="4">
        <v>0</v>
      </c>
      <c r="M469" s="8"/>
      <c r="N469" s="12" t="s">
        <v>0</v>
      </c>
    </row>
    <row r="470" spans="1:14" ht="15" customHeight="1">
      <c r="A470" s="13"/>
      <c r="B470" s="14" t="s">
        <v>286</v>
      </c>
      <c r="C470" s="1" t="s">
        <v>36</v>
      </c>
      <c r="D470" s="3">
        <v>1.6</v>
      </c>
      <c r="E470" s="2" t="s">
        <v>31</v>
      </c>
      <c r="F470" s="4" t="e">
        <f>H470+J470+L470</f>
        <v>#REF!</v>
      </c>
      <c r="G470" s="8" t="e">
        <f t="shared" si="66"/>
        <v>#REF!</v>
      </c>
      <c r="H470" s="4" t="e">
        <f>#REF!</f>
        <v>#REF!</v>
      </c>
      <c r="I470" s="8" t="e">
        <f>TRUNC(H470*D470,1)</f>
        <v>#REF!</v>
      </c>
      <c r="J470" s="4">
        <v>0</v>
      </c>
      <c r="K470" s="8"/>
      <c r="L470" s="4">
        <v>0</v>
      </c>
      <c r="M470" s="8"/>
      <c r="N470" s="12" t="s">
        <v>0</v>
      </c>
    </row>
    <row r="471" spans="1:14" ht="15" customHeight="1">
      <c r="A471" s="13"/>
      <c r="B471" s="14" t="s">
        <v>287</v>
      </c>
      <c r="C471" s="1" t="s">
        <v>35</v>
      </c>
      <c r="D471" s="3">
        <v>8.4600000000000009</v>
      </c>
      <c r="E471" s="2" t="s">
        <v>10</v>
      </c>
      <c r="F471" s="4" t="e">
        <f>H471+J471+L471</f>
        <v>#REF!</v>
      </c>
      <c r="G471" s="8" t="e">
        <f t="shared" si="66"/>
        <v>#REF!</v>
      </c>
      <c r="H471" s="4" t="e">
        <f>#REF!</f>
        <v>#REF!</v>
      </c>
      <c r="I471" s="8" t="e">
        <f>TRUNC(H471*D471,1)</f>
        <v>#REF!</v>
      </c>
      <c r="J471" s="4">
        <v>0</v>
      </c>
      <c r="K471" s="8"/>
      <c r="L471" s="4">
        <v>0</v>
      </c>
      <c r="M471" s="8"/>
      <c r="N471" s="12" t="s">
        <v>0</v>
      </c>
    </row>
    <row r="472" spans="1:14" ht="15" customHeight="1">
      <c r="A472" s="13"/>
      <c r="B472" s="14" t="s">
        <v>288</v>
      </c>
      <c r="C472" s="1" t="s">
        <v>29</v>
      </c>
      <c r="D472" s="1">
        <v>2</v>
      </c>
      <c r="E472" s="2" t="s">
        <v>28</v>
      </c>
      <c r="F472" s="4">
        <f>H472+J472+L472</f>
        <v>0</v>
      </c>
      <c r="G472" s="8">
        <f t="shared" si="66"/>
        <v>8464.7000000000007</v>
      </c>
      <c r="H472" s="2"/>
      <c r="I472" s="8">
        <f>TRUNC((K468*0.02),1)</f>
        <v>8464.7000000000007</v>
      </c>
      <c r="J472" s="2"/>
      <c r="K472" s="8">
        <v>0</v>
      </c>
      <c r="L472" s="2"/>
      <c r="M472" s="8">
        <v>0</v>
      </c>
      <c r="N472" s="12" t="s">
        <v>0</v>
      </c>
    </row>
    <row r="473" spans="1:14" ht="15" customHeight="1">
      <c r="A473" s="16"/>
      <c r="B473" s="15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12"/>
    </row>
    <row r="474" spans="1:14" ht="15" customHeight="1">
      <c r="A474" s="52">
        <f>A467+1</f>
        <v>30</v>
      </c>
      <c r="B474" s="46" t="s">
        <v>509</v>
      </c>
      <c r="C474" s="47" t="s">
        <v>194</v>
      </c>
      <c r="D474" s="47">
        <v>1</v>
      </c>
      <c r="E474" s="48" t="s">
        <v>3</v>
      </c>
      <c r="F474" s="51"/>
      <c r="G474" s="50" t="e">
        <f t="shared" ref="G474:G479" si="67">I474+K474+M474</f>
        <v>#REF!</v>
      </c>
      <c r="H474" s="51"/>
      <c r="I474" s="50" t="e">
        <f>TRUNC(I475+I476+I477+I478+I479,0)</f>
        <v>#REF!</v>
      </c>
      <c r="J474" s="51"/>
      <c r="K474" s="50">
        <f>TRUNC(K475+K476+K477+K478+K479,0)</f>
        <v>338195</v>
      </c>
      <c r="L474" s="51"/>
      <c r="M474" s="50">
        <f>TRUNC(M475+M476+M477+M478+M479,0)</f>
        <v>0</v>
      </c>
      <c r="N474" s="63" t="str">
        <f>N467</f>
        <v>토목6-3-4</v>
      </c>
    </row>
    <row r="475" spans="1:14" ht="15" customHeight="1">
      <c r="A475" s="13"/>
      <c r="B475" s="14" t="s">
        <v>265</v>
      </c>
      <c r="C475" s="1" t="s">
        <v>510</v>
      </c>
      <c r="D475" s="3">
        <f>1.71*0.7</f>
        <v>1.1969999999999998</v>
      </c>
      <c r="E475" s="2" t="s">
        <v>24</v>
      </c>
      <c r="F475" s="4">
        <f>H475+J475+L475</f>
        <v>282536</v>
      </c>
      <c r="G475" s="8">
        <f t="shared" si="67"/>
        <v>338195.5</v>
      </c>
      <c r="H475" s="4"/>
      <c r="I475" s="8"/>
      <c r="J475" s="4">
        <f>노임!$D$7</f>
        <v>282536</v>
      </c>
      <c r="K475" s="8">
        <f>TRUNC(J475*D475,1)</f>
        <v>338195.5</v>
      </c>
      <c r="L475" s="4">
        <v>0</v>
      </c>
      <c r="M475" s="8"/>
      <c r="N475" s="12" t="s">
        <v>0</v>
      </c>
    </row>
    <row r="476" spans="1:14" ht="15" customHeight="1">
      <c r="A476" s="13"/>
      <c r="B476" s="14" t="s">
        <v>279</v>
      </c>
      <c r="C476" s="1" t="s">
        <v>37</v>
      </c>
      <c r="D476" s="3">
        <v>2550</v>
      </c>
      <c r="E476" s="2" t="s">
        <v>30</v>
      </c>
      <c r="F476" s="4" t="e">
        <f>H476+J476+L476</f>
        <v>#REF!</v>
      </c>
      <c r="G476" s="8" t="e">
        <f t="shared" si="67"/>
        <v>#REF!</v>
      </c>
      <c r="H476" s="4" t="e">
        <f>#REF!</f>
        <v>#REF!</v>
      </c>
      <c r="I476" s="8" t="e">
        <f>TRUNC(H476*D476,1)</f>
        <v>#REF!</v>
      </c>
      <c r="J476" s="4">
        <v>0</v>
      </c>
      <c r="K476" s="8"/>
      <c r="L476" s="4">
        <v>0</v>
      </c>
      <c r="M476" s="8"/>
      <c r="N476" s="12" t="s">
        <v>0</v>
      </c>
    </row>
    <row r="477" spans="1:14" ht="15" customHeight="1">
      <c r="A477" s="13"/>
      <c r="B477" s="14" t="s">
        <v>286</v>
      </c>
      <c r="C477" s="1" t="s">
        <v>36</v>
      </c>
      <c r="D477" s="3">
        <v>1.28</v>
      </c>
      <c r="E477" s="2" t="s">
        <v>31</v>
      </c>
      <c r="F477" s="4" t="e">
        <f>H477+J477+L477</f>
        <v>#REF!</v>
      </c>
      <c r="G477" s="8" t="e">
        <f t="shared" si="67"/>
        <v>#REF!</v>
      </c>
      <c r="H477" s="4" t="e">
        <f>#REF!</f>
        <v>#REF!</v>
      </c>
      <c r="I477" s="8" t="e">
        <f>TRUNC(H477*D477,1)</f>
        <v>#REF!</v>
      </c>
      <c r="J477" s="4">
        <v>0</v>
      </c>
      <c r="K477" s="8"/>
      <c r="L477" s="4">
        <v>0</v>
      </c>
      <c r="M477" s="8"/>
      <c r="N477" s="12" t="s">
        <v>0</v>
      </c>
    </row>
    <row r="478" spans="1:14" ht="15" customHeight="1">
      <c r="A478" s="13"/>
      <c r="B478" s="14" t="s">
        <v>287</v>
      </c>
      <c r="C478" s="1" t="s">
        <v>35</v>
      </c>
      <c r="D478" s="3">
        <v>6.77</v>
      </c>
      <c r="E478" s="2" t="s">
        <v>10</v>
      </c>
      <c r="F478" s="4" t="e">
        <f>H478+J478+L478</f>
        <v>#REF!</v>
      </c>
      <c r="G478" s="8" t="e">
        <f t="shared" si="67"/>
        <v>#REF!</v>
      </c>
      <c r="H478" s="4" t="e">
        <f>#REF!</f>
        <v>#REF!</v>
      </c>
      <c r="I478" s="8" t="e">
        <f>TRUNC(H478*D478,1)</f>
        <v>#REF!</v>
      </c>
      <c r="J478" s="4">
        <v>0</v>
      </c>
      <c r="K478" s="8"/>
      <c r="L478" s="4">
        <v>0</v>
      </c>
      <c r="M478" s="8"/>
      <c r="N478" s="12" t="s">
        <v>0</v>
      </c>
    </row>
    <row r="479" spans="1:14" ht="15" customHeight="1">
      <c r="A479" s="13"/>
      <c r="B479" s="14" t="s">
        <v>288</v>
      </c>
      <c r="C479" s="1" t="s">
        <v>29</v>
      </c>
      <c r="D479" s="1">
        <v>2</v>
      </c>
      <c r="E479" s="2" t="s">
        <v>28</v>
      </c>
      <c r="F479" s="4">
        <f>H479+J479+L479</f>
        <v>0</v>
      </c>
      <c r="G479" s="8">
        <f t="shared" si="67"/>
        <v>6763.9</v>
      </c>
      <c r="H479" s="2"/>
      <c r="I479" s="8">
        <f>TRUNC((K475*0.02),1)</f>
        <v>6763.9</v>
      </c>
      <c r="J479" s="2"/>
      <c r="K479" s="8">
        <v>0</v>
      </c>
      <c r="L479" s="2"/>
      <c r="M479" s="8">
        <v>0</v>
      </c>
      <c r="N479" s="12" t="s">
        <v>0</v>
      </c>
    </row>
    <row r="480" spans="1:14" ht="15" customHeight="1">
      <c r="A480" s="16"/>
      <c r="B480" s="15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12"/>
    </row>
    <row r="481" spans="1:14" ht="15" customHeight="1">
      <c r="A481" s="52">
        <f>A474+1</f>
        <v>31</v>
      </c>
      <c r="B481" s="46" t="s">
        <v>508</v>
      </c>
      <c r="C481" s="47" t="s">
        <v>195</v>
      </c>
      <c r="D481" s="47">
        <v>1</v>
      </c>
      <c r="E481" s="48" t="s">
        <v>3</v>
      </c>
      <c r="F481" s="51"/>
      <c r="G481" s="50" t="e">
        <f t="shared" ref="G481:G486" si="68">I481+K481+M481</f>
        <v>#REF!</v>
      </c>
      <c r="H481" s="51"/>
      <c r="I481" s="50" t="e">
        <f>TRUNC(I482+I483+I484+I485+I486,0)</f>
        <v>#REF!</v>
      </c>
      <c r="J481" s="51"/>
      <c r="K481" s="50">
        <f>TRUNC(K482+K483+K484+K485+K486,0)</f>
        <v>446971</v>
      </c>
      <c r="L481" s="51"/>
      <c r="M481" s="50">
        <f>TRUNC(M482+M483+M484+M485+M486,0)</f>
        <v>0</v>
      </c>
      <c r="N481" s="63" t="str">
        <f>N474</f>
        <v>토목6-3-4</v>
      </c>
    </row>
    <row r="482" spans="1:14" ht="15" customHeight="1">
      <c r="A482" s="13"/>
      <c r="B482" s="14" t="s">
        <v>265</v>
      </c>
      <c r="C482" s="1" t="s">
        <v>510</v>
      </c>
      <c r="D482" s="3">
        <f>2.26*0.7</f>
        <v>1.5819999999999999</v>
      </c>
      <c r="E482" s="2" t="s">
        <v>24</v>
      </c>
      <c r="F482" s="4">
        <f>H482+J482+L482</f>
        <v>282536</v>
      </c>
      <c r="G482" s="8">
        <f t="shared" si="68"/>
        <v>446971.9</v>
      </c>
      <c r="H482" s="4"/>
      <c r="I482" s="8"/>
      <c r="J482" s="4">
        <f>노임!$D$7</f>
        <v>282536</v>
      </c>
      <c r="K482" s="8">
        <f>TRUNC(J482*D482,1)</f>
        <v>446971.9</v>
      </c>
      <c r="L482" s="4">
        <v>0</v>
      </c>
      <c r="M482" s="8"/>
      <c r="N482" s="12" t="s">
        <v>0</v>
      </c>
    </row>
    <row r="483" spans="1:14" ht="15" customHeight="1">
      <c r="A483" s="13"/>
      <c r="B483" s="14" t="s">
        <v>279</v>
      </c>
      <c r="C483" s="1" t="s">
        <v>37</v>
      </c>
      <c r="D483" s="3">
        <v>3360</v>
      </c>
      <c r="E483" s="2" t="s">
        <v>30</v>
      </c>
      <c r="F483" s="4" t="e">
        <f>H483+J483+L483</f>
        <v>#REF!</v>
      </c>
      <c r="G483" s="8" t="e">
        <f t="shared" si="68"/>
        <v>#REF!</v>
      </c>
      <c r="H483" s="4" t="e">
        <f>#REF!</f>
        <v>#REF!</v>
      </c>
      <c r="I483" s="8" t="e">
        <f>TRUNC(H483*D483,1)</f>
        <v>#REF!</v>
      </c>
      <c r="J483" s="4">
        <v>0</v>
      </c>
      <c r="K483" s="8"/>
      <c r="L483" s="4">
        <v>0</v>
      </c>
      <c r="M483" s="8"/>
      <c r="N483" s="12" t="s">
        <v>0</v>
      </c>
    </row>
    <row r="484" spans="1:14" ht="15" customHeight="1">
      <c r="A484" s="13"/>
      <c r="B484" s="14" t="s">
        <v>286</v>
      </c>
      <c r="C484" s="1" t="s">
        <v>36</v>
      </c>
      <c r="D484" s="3">
        <v>1.68</v>
      </c>
      <c r="E484" s="2" t="s">
        <v>31</v>
      </c>
      <c r="F484" s="4" t="e">
        <f>H484+J484+L484</f>
        <v>#REF!</v>
      </c>
      <c r="G484" s="8" t="e">
        <f t="shared" si="68"/>
        <v>#REF!</v>
      </c>
      <c r="H484" s="4" t="e">
        <f>#REF!</f>
        <v>#REF!</v>
      </c>
      <c r="I484" s="8" t="e">
        <f>TRUNC(H484*D484,1)</f>
        <v>#REF!</v>
      </c>
      <c r="J484" s="4">
        <v>0</v>
      </c>
      <c r="K484" s="8"/>
      <c r="L484" s="4">
        <v>0</v>
      </c>
      <c r="M484" s="8"/>
      <c r="N484" s="12" t="s">
        <v>0</v>
      </c>
    </row>
    <row r="485" spans="1:14" ht="15" customHeight="1">
      <c r="A485" s="13"/>
      <c r="B485" s="14" t="s">
        <v>287</v>
      </c>
      <c r="C485" s="1" t="s">
        <v>35</v>
      </c>
      <c r="D485" s="3">
        <v>10.16</v>
      </c>
      <c r="E485" s="2" t="s">
        <v>10</v>
      </c>
      <c r="F485" s="4" t="e">
        <f>H485+J485+L485</f>
        <v>#REF!</v>
      </c>
      <c r="G485" s="8" t="e">
        <f t="shared" si="68"/>
        <v>#REF!</v>
      </c>
      <c r="H485" s="4" t="e">
        <f>#REF!</f>
        <v>#REF!</v>
      </c>
      <c r="I485" s="8" t="e">
        <f>TRUNC(H485*D485,1)</f>
        <v>#REF!</v>
      </c>
      <c r="J485" s="4">
        <v>0</v>
      </c>
      <c r="K485" s="8"/>
      <c r="L485" s="4">
        <v>0</v>
      </c>
      <c r="M485" s="8"/>
      <c r="N485" s="12" t="s">
        <v>0</v>
      </c>
    </row>
    <row r="486" spans="1:14" ht="15" customHeight="1">
      <c r="A486" s="13"/>
      <c r="B486" s="14" t="s">
        <v>288</v>
      </c>
      <c r="C486" s="1" t="s">
        <v>29</v>
      </c>
      <c r="D486" s="1">
        <v>2</v>
      </c>
      <c r="E486" s="2" t="s">
        <v>28</v>
      </c>
      <c r="F486" s="4">
        <f>H486+J486+L486</f>
        <v>0</v>
      </c>
      <c r="G486" s="8">
        <f t="shared" si="68"/>
        <v>8939.4</v>
      </c>
      <c r="H486" s="2"/>
      <c r="I486" s="8">
        <f>TRUNC((K482*0.02),1)</f>
        <v>8939.4</v>
      </c>
      <c r="J486" s="2"/>
      <c r="K486" s="8">
        <v>0</v>
      </c>
      <c r="L486" s="2"/>
      <c r="M486" s="8">
        <v>0</v>
      </c>
      <c r="N486" s="12" t="s">
        <v>0</v>
      </c>
    </row>
    <row r="487" spans="1:14" ht="15" customHeight="1">
      <c r="A487" s="16"/>
      <c r="B487" s="15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12"/>
    </row>
    <row r="488" spans="1:14" ht="15" customHeight="1">
      <c r="A488" s="52">
        <f>A481+1</f>
        <v>32</v>
      </c>
      <c r="B488" s="46" t="s">
        <v>509</v>
      </c>
      <c r="C488" s="47" t="s">
        <v>195</v>
      </c>
      <c r="D488" s="47">
        <v>1</v>
      </c>
      <c r="E488" s="48" t="s">
        <v>3</v>
      </c>
      <c r="F488" s="51"/>
      <c r="G488" s="50" t="e">
        <f t="shared" ref="G488:G493" si="69">I488+K488+M488</f>
        <v>#REF!</v>
      </c>
      <c r="H488" s="51"/>
      <c r="I488" s="50" t="e">
        <f>TRUNC(I489+I490+I491+I492+I493,0)</f>
        <v>#REF!</v>
      </c>
      <c r="J488" s="51"/>
      <c r="K488" s="50">
        <f>TRUNC(K489+K490+K491+K492+K493,0)</f>
        <v>363906</v>
      </c>
      <c r="L488" s="51"/>
      <c r="M488" s="50">
        <f>TRUNC(M489+M490+M491+M492+M493,0)</f>
        <v>0</v>
      </c>
      <c r="N488" s="63" t="str">
        <f>N481</f>
        <v>토목6-3-4</v>
      </c>
    </row>
    <row r="489" spans="1:14" ht="15" customHeight="1">
      <c r="A489" s="13"/>
      <c r="B489" s="14" t="s">
        <v>265</v>
      </c>
      <c r="C489" s="1" t="s">
        <v>510</v>
      </c>
      <c r="D489" s="3">
        <f>1.84*0.7</f>
        <v>1.288</v>
      </c>
      <c r="E489" s="2" t="s">
        <v>24</v>
      </c>
      <c r="F489" s="4">
        <f>H489+J489+L489</f>
        <v>282536</v>
      </c>
      <c r="G489" s="8">
        <f t="shared" si="69"/>
        <v>363906.3</v>
      </c>
      <c r="H489" s="4"/>
      <c r="I489" s="8"/>
      <c r="J489" s="4">
        <f>노임!$D$7</f>
        <v>282536</v>
      </c>
      <c r="K489" s="8">
        <f>TRUNC(J489*D489,1)</f>
        <v>363906.3</v>
      </c>
      <c r="L489" s="4">
        <v>0</v>
      </c>
      <c r="M489" s="8"/>
      <c r="N489" s="12" t="s">
        <v>0</v>
      </c>
    </row>
    <row r="490" spans="1:14" ht="15" customHeight="1">
      <c r="A490" s="13"/>
      <c r="B490" s="14" t="s">
        <v>279</v>
      </c>
      <c r="C490" s="1" t="s">
        <v>37</v>
      </c>
      <c r="D490" s="3">
        <v>2630</v>
      </c>
      <c r="E490" s="2" t="s">
        <v>30</v>
      </c>
      <c r="F490" s="4" t="e">
        <f>H490+J490+L490</f>
        <v>#REF!</v>
      </c>
      <c r="G490" s="8" t="e">
        <f t="shared" si="69"/>
        <v>#REF!</v>
      </c>
      <c r="H490" s="4" t="e">
        <f>#REF!</f>
        <v>#REF!</v>
      </c>
      <c r="I490" s="8" t="e">
        <f>TRUNC(H490*D490,1)</f>
        <v>#REF!</v>
      </c>
      <c r="J490" s="4">
        <v>0</v>
      </c>
      <c r="K490" s="8"/>
      <c r="L490" s="4">
        <v>0</v>
      </c>
      <c r="M490" s="8"/>
      <c r="N490" s="12" t="s">
        <v>0</v>
      </c>
    </row>
    <row r="491" spans="1:14" ht="15" customHeight="1">
      <c r="A491" s="13"/>
      <c r="B491" s="14" t="s">
        <v>286</v>
      </c>
      <c r="C491" s="1" t="s">
        <v>36</v>
      </c>
      <c r="D491" s="3">
        <v>1.33</v>
      </c>
      <c r="E491" s="2" t="s">
        <v>31</v>
      </c>
      <c r="F491" s="4" t="e">
        <f>H491+J491+L491</f>
        <v>#REF!</v>
      </c>
      <c r="G491" s="8" t="e">
        <f t="shared" si="69"/>
        <v>#REF!</v>
      </c>
      <c r="H491" s="4" t="e">
        <f>#REF!</f>
        <v>#REF!</v>
      </c>
      <c r="I491" s="8" t="e">
        <f>TRUNC(H491*D491,1)</f>
        <v>#REF!</v>
      </c>
      <c r="J491" s="4">
        <v>0</v>
      </c>
      <c r="K491" s="8"/>
      <c r="L491" s="4">
        <v>0</v>
      </c>
      <c r="M491" s="8"/>
      <c r="N491" s="12" t="s">
        <v>0</v>
      </c>
    </row>
    <row r="492" spans="1:14" ht="15" customHeight="1">
      <c r="A492" s="13"/>
      <c r="B492" s="14" t="s">
        <v>287</v>
      </c>
      <c r="C492" s="1" t="s">
        <v>35</v>
      </c>
      <c r="D492" s="3">
        <v>7.23</v>
      </c>
      <c r="E492" s="2" t="s">
        <v>10</v>
      </c>
      <c r="F492" s="4" t="e">
        <f>H492+J492+L492</f>
        <v>#REF!</v>
      </c>
      <c r="G492" s="8" t="e">
        <f t="shared" si="69"/>
        <v>#REF!</v>
      </c>
      <c r="H492" s="4" t="e">
        <f>#REF!</f>
        <v>#REF!</v>
      </c>
      <c r="I492" s="8" t="e">
        <f>TRUNC(H492*D492,1)</f>
        <v>#REF!</v>
      </c>
      <c r="J492" s="4">
        <v>0</v>
      </c>
      <c r="K492" s="8"/>
      <c r="L492" s="4">
        <v>0</v>
      </c>
      <c r="M492" s="8"/>
      <c r="N492" s="12" t="s">
        <v>0</v>
      </c>
    </row>
    <row r="493" spans="1:14" ht="15" customHeight="1">
      <c r="A493" s="13"/>
      <c r="B493" s="14" t="s">
        <v>288</v>
      </c>
      <c r="C493" s="1" t="s">
        <v>29</v>
      </c>
      <c r="D493" s="1">
        <v>2</v>
      </c>
      <c r="E493" s="2" t="s">
        <v>28</v>
      </c>
      <c r="F493" s="4">
        <f>H493+J493+L493</f>
        <v>0</v>
      </c>
      <c r="G493" s="8">
        <f t="shared" si="69"/>
        <v>7278.1</v>
      </c>
      <c r="H493" s="2"/>
      <c r="I493" s="8">
        <f>TRUNC((K489*0.02),1)</f>
        <v>7278.1</v>
      </c>
      <c r="J493" s="2"/>
      <c r="K493" s="8">
        <v>0</v>
      </c>
      <c r="L493" s="2"/>
      <c r="M493" s="8">
        <v>0</v>
      </c>
      <c r="N493" s="12" t="s">
        <v>0</v>
      </c>
    </row>
    <row r="494" spans="1:14" ht="15" customHeight="1">
      <c r="A494" s="16"/>
      <c r="B494" s="15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12"/>
    </row>
    <row r="495" spans="1:14" ht="15" customHeight="1">
      <c r="A495" s="52">
        <f>A488+1</f>
        <v>33</v>
      </c>
      <c r="B495" s="46" t="s">
        <v>508</v>
      </c>
      <c r="C495" s="47" t="s">
        <v>196</v>
      </c>
      <c r="D495" s="47">
        <v>1</v>
      </c>
      <c r="E495" s="48" t="s">
        <v>3</v>
      </c>
      <c r="F495" s="51"/>
      <c r="G495" s="50" t="e">
        <f t="shared" ref="G495:G500" si="70">I495+K495+M495</f>
        <v>#REF!</v>
      </c>
      <c r="H495" s="51"/>
      <c r="I495" s="50" t="e">
        <f>TRUNC(I496+I497+I498+I499+I500,0)</f>
        <v>#REF!</v>
      </c>
      <c r="J495" s="51"/>
      <c r="K495" s="50">
        <f>TRUNC(K496+K497+K498+K499+K500,0)</f>
        <v>504326</v>
      </c>
      <c r="L495" s="51"/>
      <c r="M495" s="50">
        <f>TRUNC(M496+M497+M498+M499+M500,0)</f>
        <v>0</v>
      </c>
      <c r="N495" s="63" t="str">
        <f>N488</f>
        <v>토목6-3-4</v>
      </c>
    </row>
    <row r="496" spans="1:14" ht="15" customHeight="1">
      <c r="A496" s="13"/>
      <c r="B496" s="14" t="s">
        <v>265</v>
      </c>
      <c r="C496" s="1" t="s">
        <v>510</v>
      </c>
      <c r="D496" s="3">
        <f>2.55*0.7</f>
        <v>1.7849999999999997</v>
      </c>
      <c r="E496" s="2" t="s">
        <v>24</v>
      </c>
      <c r="F496" s="4">
        <f>H496+J496+L496</f>
        <v>282536</v>
      </c>
      <c r="G496" s="8">
        <f t="shared" si="70"/>
        <v>504326.7</v>
      </c>
      <c r="H496" s="4"/>
      <c r="I496" s="8"/>
      <c r="J496" s="4">
        <f>노임!$D$7</f>
        <v>282536</v>
      </c>
      <c r="K496" s="8">
        <f>TRUNC(J496*D496,1)</f>
        <v>504326.7</v>
      </c>
      <c r="L496" s="4">
        <v>0</v>
      </c>
      <c r="M496" s="8"/>
      <c r="N496" s="12" t="s">
        <v>0</v>
      </c>
    </row>
    <row r="497" spans="1:14" ht="15" customHeight="1">
      <c r="A497" s="13"/>
      <c r="B497" s="14" t="s">
        <v>279</v>
      </c>
      <c r="C497" s="1" t="s">
        <v>37</v>
      </c>
      <c r="D497" s="3">
        <v>3920</v>
      </c>
      <c r="E497" s="2" t="s">
        <v>30</v>
      </c>
      <c r="F497" s="4" t="e">
        <f>H497+J497+L497</f>
        <v>#REF!</v>
      </c>
      <c r="G497" s="8" t="e">
        <f t="shared" si="70"/>
        <v>#REF!</v>
      </c>
      <c r="H497" s="4" t="e">
        <f>#REF!</f>
        <v>#REF!</v>
      </c>
      <c r="I497" s="8" t="e">
        <f>TRUNC(H497*D497,1)</f>
        <v>#REF!</v>
      </c>
      <c r="J497" s="4">
        <v>0</v>
      </c>
      <c r="K497" s="8"/>
      <c r="L497" s="4">
        <v>0</v>
      </c>
      <c r="M497" s="8"/>
      <c r="N497" s="12" t="s">
        <v>0</v>
      </c>
    </row>
    <row r="498" spans="1:14" ht="15" customHeight="1">
      <c r="A498" s="13"/>
      <c r="B498" s="14" t="s">
        <v>286</v>
      </c>
      <c r="C498" s="1" t="s">
        <v>36</v>
      </c>
      <c r="D498" s="3">
        <v>1.96</v>
      </c>
      <c r="E498" s="2" t="s">
        <v>31</v>
      </c>
      <c r="F498" s="4" t="e">
        <f>H498+J498+L498</f>
        <v>#REF!</v>
      </c>
      <c r="G498" s="8" t="e">
        <f t="shared" si="70"/>
        <v>#REF!</v>
      </c>
      <c r="H498" s="4" t="e">
        <f>#REF!</f>
        <v>#REF!</v>
      </c>
      <c r="I498" s="8" t="e">
        <f>TRUNC(H498*D498,1)</f>
        <v>#REF!</v>
      </c>
      <c r="J498" s="4">
        <v>0</v>
      </c>
      <c r="K498" s="8"/>
      <c r="L498" s="4">
        <v>0</v>
      </c>
      <c r="M498" s="8"/>
      <c r="N498" s="12" t="s">
        <v>0</v>
      </c>
    </row>
    <row r="499" spans="1:14" ht="15" customHeight="1">
      <c r="A499" s="13"/>
      <c r="B499" s="14" t="s">
        <v>287</v>
      </c>
      <c r="C499" s="1" t="s">
        <v>35</v>
      </c>
      <c r="D499" s="3">
        <v>12.7</v>
      </c>
      <c r="E499" s="2" t="s">
        <v>10</v>
      </c>
      <c r="F499" s="4" t="e">
        <f>H499+J499+L499</f>
        <v>#REF!</v>
      </c>
      <c r="G499" s="8" t="e">
        <f t="shared" si="70"/>
        <v>#REF!</v>
      </c>
      <c r="H499" s="4" t="e">
        <f>#REF!</f>
        <v>#REF!</v>
      </c>
      <c r="I499" s="8" t="e">
        <f>TRUNC(H499*D499,1)</f>
        <v>#REF!</v>
      </c>
      <c r="J499" s="4">
        <v>0</v>
      </c>
      <c r="K499" s="8"/>
      <c r="L499" s="4">
        <v>0</v>
      </c>
      <c r="M499" s="8"/>
      <c r="N499" s="12" t="s">
        <v>0</v>
      </c>
    </row>
    <row r="500" spans="1:14" ht="15" customHeight="1">
      <c r="A500" s="13"/>
      <c r="B500" s="14" t="s">
        <v>288</v>
      </c>
      <c r="C500" s="1" t="s">
        <v>29</v>
      </c>
      <c r="D500" s="1">
        <v>2</v>
      </c>
      <c r="E500" s="2" t="s">
        <v>28</v>
      </c>
      <c r="F500" s="4">
        <f>H500+J500+L500</f>
        <v>0</v>
      </c>
      <c r="G500" s="8">
        <f t="shared" si="70"/>
        <v>10086.5</v>
      </c>
      <c r="H500" s="2"/>
      <c r="I500" s="8">
        <f>TRUNC((K496*0.02),1)</f>
        <v>10086.5</v>
      </c>
      <c r="J500" s="2"/>
      <c r="K500" s="8">
        <v>0</v>
      </c>
      <c r="L500" s="2"/>
      <c r="M500" s="8">
        <v>0</v>
      </c>
      <c r="N500" s="12" t="s">
        <v>0</v>
      </c>
    </row>
    <row r="501" spans="1:14" ht="15" customHeight="1">
      <c r="A501" s="16"/>
      <c r="B501" s="15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12"/>
    </row>
    <row r="502" spans="1:14" ht="15" customHeight="1">
      <c r="A502" s="52">
        <f>A495+1</f>
        <v>34</v>
      </c>
      <c r="B502" s="46" t="s">
        <v>509</v>
      </c>
      <c r="C502" s="47" t="s">
        <v>196</v>
      </c>
      <c r="D502" s="47">
        <v>1</v>
      </c>
      <c r="E502" s="48" t="s">
        <v>3</v>
      </c>
      <c r="F502" s="51"/>
      <c r="G502" s="50" t="e">
        <f t="shared" ref="G502:G507" si="71">I502+K502+M502</f>
        <v>#REF!</v>
      </c>
      <c r="H502" s="51"/>
      <c r="I502" s="50" t="e">
        <f>TRUNC(I503+I504+I505+I506+I507,0)</f>
        <v>#REF!</v>
      </c>
      <c r="J502" s="51"/>
      <c r="K502" s="50">
        <f>TRUNC(K503+K504+K505+K506+K507,0)</f>
        <v>458838</v>
      </c>
      <c r="L502" s="51"/>
      <c r="M502" s="50">
        <f>TRUNC(M503+M504+M505+M506+M507,0)</f>
        <v>0</v>
      </c>
      <c r="N502" s="63" t="str">
        <f>N495</f>
        <v>토목6-3-4</v>
      </c>
    </row>
    <row r="503" spans="1:14" ht="15" customHeight="1">
      <c r="A503" s="13"/>
      <c r="B503" s="14" t="s">
        <v>265</v>
      </c>
      <c r="C503" s="1" t="s">
        <v>510</v>
      </c>
      <c r="D503" s="3">
        <f>2.32*0.7</f>
        <v>1.6239999999999999</v>
      </c>
      <c r="E503" s="2" t="s">
        <v>24</v>
      </c>
      <c r="F503" s="4">
        <f>H503+J503+L503</f>
        <v>282536</v>
      </c>
      <c r="G503" s="8">
        <f t="shared" si="71"/>
        <v>458838.4</v>
      </c>
      <c r="H503" s="4"/>
      <c r="I503" s="8"/>
      <c r="J503" s="4">
        <f>노임!$D$7</f>
        <v>282536</v>
      </c>
      <c r="K503" s="8">
        <f>TRUNC(J503*D503,1)</f>
        <v>458838.4</v>
      </c>
      <c r="L503" s="4">
        <v>0</v>
      </c>
      <c r="M503" s="8"/>
      <c r="N503" s="12" t="s">
        <v>0</v>
      </c>
    </row>
    <row r="504" spans="1:14" ht="15" customHeight="1">
      <c r="A504" s="13"/>
      <c r="B504" s="14" t="s">
        <v>279</v>
      </c>
      <c r="C504" s="1" t="s">
        <v>37</v>
      </c>
      <c r="D504" s="3">
        <v>3580</v>
      </c>
      <c r="E504" s="2" t="s">
        <v>30</v>
      </c>
      <c r="F504" s="4" t="e">
        <f>H504+J504+L504</f>
        <v>#REF!</v>
      </c>
      <c r="G504" s="8" t="e">
        <f t="shared" si="71"/>
        <v>#REF!</v>
      </c>
      <c r="H504" s="4" t="e">
        <f>#REF!</f>
        <v>#REF!</v>
      </c>
      <c r="I504" s="8" t="e">
        <f>TRUNC(H504*D504,1)</f>
        <v>#REF!</v>
      </c>
      <c r="J504" s="4">
        <v>0</v>
      </c>
      <c r="K504" s="8"/>
      <c r="L504" s="4">
        <v>0</v>
      </c>
      <c r="M504" s="8"/>
      <c r="N504" s="12" t="s">
        <v>0</v>
      </c>
    </row>
    <row r="505" spans="1:14" ht="15" customHeight="1">
      <c r="A505" s="13"/>
      <c r="B505" s="14" t="s">
        <v>286</v>
      </c>
      <c r="C505" s="1" t="s">
        <v>36</v>
      </c>
      <c r="D505" s="3">
        <v>1.79</v>
      </c>
      <c r="E505" s="2" t="s">
        <v>31</v>
      </c>
      <c r="F505" s="4" t="e">
        <f>H505+J505+L505</f>
        <v>#REF!</v>
      </c>
      <c r="G505" s="8" t="e">
        <f t="shared" si="71"/>
        <v>#REF!</v>
      </c>
      <c r="H505" s="4" t="e">
        <f>#REF!</f>
        <v>#REF!</v>
      </c>
      <c r="I505" s="8" t="e">
        <f>TRUNC(H505*D505,1)</f>
        <v>#REF!</v>
      </c>
      <c r="J505" s="4">
        <v>0</v>
      </c>
      <c r="K505" s="8"/>
      <c r="L505" s="4">
        <v>0</v>
      </c>
      <c r="M505" s="8"/>
      <c r="N505" s="12" t="s">
        <v>0</v>
      </c>
    </row>
    <row r="506" spans="1:14" ht="15" customHeight="1">
      <c r="A506" s="13"/>
      <c r="B506" s="14" t="s">
        <v>287</v>
      </c>
      <c r="C506" s="1" t="s">
        <v>35</v>
      </c>
      <c r="D506" s="3">
        <v>10.58</v>
      </c>
      <c r="E506" s="2" t="s">
        <v>10</v>
      </c>
      <c r="F506" s="4" t="e">
        <f>H506+J506+L506</f>
        <v>#REF!</v>
      </c>
      <c r="G506" s="8" t="e">
        <f t="shared" si="71"/>
        <v>#REF!</v>
      </c>
      <c r="H506" s="4" t="e">
        <f>#REF!</f>
        <v>#REF!</v>
      </c>
      <c r="I506" s="8" t="e">
        <f>TRUNC(H506*D506,1)</f>
        <v>#REF!</v>
      </c>
      <c r="J506" s="4">
        <v>0</v>
      </c>
      <c r="K506" s="8"/>
      <c r="L506" s="4">
        <v>0</v>
      </c>
      <c r="M506" s="8"/>
      <c r="N506" s="12" t="s">
        <v>0</v>
      </c>
    </row>
    <row r="507" spans="1:14" ht="15" customHeight="1">
      <c r="A507" s="13"/>
      <c r="B507" s="14" t="s">
        <v>288</v>
      </c>
      <c r="C507" s="1" t="s">
        <v>29</v>
      </c>
      <c r="D507" s="1">
        <v>2</v>
      </c>
      <c r="E507" s="2" t="s">
        <v>28</v>
      </c>
      <c r="F507" s="4">
        <f>H507+J507+L507</f>
        <v>0</v>
      </c>
      <c r="G507" s="8">
        <f t="shared" si="71"/>
        <v>9176.7000000000007</v>
      </c>
      <c r="H507" s="2"/>
      <c r="I507" s="8">
        <f>TRUNC((K503*0.02),1)</f>
        <v>9176.7000000000007</v>
      </c>
      <c r="J507" s="2"/>
      <c r="K507" s="8">
        <v>0</v>
      </c>
      <c r="L507" s="2"/>
      <c r="M507" s="8">
        <v>0</v>
      </c>
      <c r="N507" s="12" t="s">
        <v>0</v>
      </c>
    </row>
    <row r="508" spans="1:14" ht="15" customHeight="1">
      <c r="A508" s="16"/>
      <c r="B508" s="15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12"/>
    </row>
    <row r="509" spans="1:14" ht="15" customHeight="1">
      <c r="A509" s="52">
        <f>A502+1</f>
        <v>35</v>
      </c>
      <c r="B509" s="46" t="s">
        <v>508</v>
      </c>
      <c r="C509" s="47" t="s">
        <v>197</v>
      </c>
      <c r="D509" s="47">
        <v>1</v>
      </c>
      <c r="E509" s="48" t="s">
        <v>3</v>
      </c>
      <c r="F509" s="51"/>
      <c r="G509" s="50" t="e">
        <f t="shared" ref="G509:G514" si="72">I509+K509+M509</f>
        <v>#REF!</v>
      </c>
      <c r="H509" s="51"/>
      <c r="I509" s="50" t="e">
        <f>TRUNC(I510+I511+I512+I513+I514,0)</f>
        <v>#REF!</v>
      </c>
      <c r="J509" s="51"/>
      <c r="K509" s="50">
        <f>TRUNC(K510+K511+K512+K513+K514,0)</f>
        <v>549815</v>
      </c>
      <c r="L509" s="51"/>
      <c r="M509" s="50">
        <f>TRUNC(M510+M511+M512+M513+M514,0)</f>
        <v>0</v>
      </c>
      <c r="N509" s="63" t="str">
        <f>N502</f>
        <v>토목6-3-4</v>
      </c>
    </row>
    <row r="510" spans="1:14" ht="15" customHeight="1">
      <c r="A510" s="13"/>
      <c r="B510" s="14" t="s">
        <v>265</v>
      </c>
      <c r="C510" s="1" t="s">
        <v>510</v>
      </c>
      <c r="D510" s="3">
        <f>2.78*0.7</f>
        <v>1.9459999999999997</v>
      </c>
      <c r="E510" s="2" t="s">
        <v>24</v>
      </c>
      <c r="F510" s="4">
        <f>H510+J510+L510</f>
        <v>282536</v>
      </c>
      <c r="G510" s="8">
        <f t="shared" si="72"/>
        <v>549815</v>
      </c>
      <c r="H510" s="4"/>
      <c r="I510" s="8"/>
      <c r="J510" s="4">
        <f>노임!$D$7</f>
        <v>282536</v>
      </c>
      <c r="K510" s="8">
        <f>TRUNC(J510*D510,1)</f>
        <v>549815</v>
      </c>
      <c r="L510" s="4">
        <v>0</v>
      </c>
      <c r="M510" s="8"/>
      <c r="N510" s="12"/>
    </row>
    <row r="511" spans="1:14" ht="15" customHeight="1">
      <c r="A511" s="13"/>
      <c r="B511" s="14" t="s">
        <v>279</v>
      </c>
      <c r="C511" s="1" t="s">
        <v>37</v>
      </c>
      <c r="D511" s="3">
        <v>4790.8999999999996</v>
      </c>
      <c r="E511" s="2" t="s">
        <v>30</v>
      </c>
      <c r="F511" s="4" t="e">
        <f>H511+J511+L511</f>
        <v>#REF!</v>
      </c>
      <c r="G511" s="8" t="e">
        <f t="shared" si="72"/>
        <v>#REF!</v>
      </c>
      <c r="H511" s="4" t="e">
        <f>#REF!</f>
        <v>#REF!</v>
      </c>
      <c r="I511" s="8" t="e">
        <f>TRUNC(H511*D511,1)</f>
        <v>#REF!</v>
      </c>
      <c r="J511" s="4">
        <v>0</v>
      </c>
      <c r="K511" s="8"/>
      <c r="L511" s="4">
        <v>0</v>
      </c>
      <c r="M511" s="8"/>
      <c r="N511" s="12" t="s">
        <v>290</v>
      </c>
    </row>
    <row r="512" spans="1:14" ht="15" customHeight="1">
      <c r="A512" s="13"/>
      <c r="B512" s="14" t="s">
        <v>286</v>
      </c>
      <c r="C512" s="1" t="s">
        <v>36</v>
      </c>
      <c r="D512" s="3">
        <v>2.4</v>
      </c>
      <c r="E512" s="2" t="s">
        <v>31</v>
      </c>
      <c r="F512" s="4" t="e">
        <f>H512+J512+L512</f>
        <v>#REF!</v>
      </c>
      <c r="G512" s="8" t="e">
        <f t="shared" si="72"/>
        <v>#REF!</v>
      </c>
      <c r="H512" s="4" t="e">
        <f>#REF!</f>
        <v>#REF!</v>
      </c>
      <c r="I512" s="8" t="e">
        <f>TRUNC(H512*D512,1)</f>
        <v>#REF!</v>
      </c>
      <c r="J512" s="4">
        <v>0</v>
      </c>
      <c r="K512" s="8"/>
      <c r="L512" s="4">
        <v>0</v>
      </c>
      <c r="M512" s="8"/>
      <c r="N512" s="12" t="s">
        <v>0</v>
      </c>
    </row>
    <row r="513" spans="1:14" ht="15" customHeight="1">
      <c r="A513" s="13"/>
      <c r="B513" s="14" t="s">
        <v>287</v>
      </c>
      <c r="C513" s="1" t="s">
        <v>35</v>
      </c>
      <c r="D513" s="3">
        <v>12.7</v>
      </c>
      <c r="E513" s="2" t="s">
        <v>10</v>
      </c>
      <c r="F513" s="4" t="e">
        <f>H513+J513+L513</f>
        <v>#REF!</v>
      </c>
      <c r="G513" s="8" t="e">
        <f t="shared" si="72"/>
        <v>#REF!</v>
      </c>
      <c r="H513" s="4" t="e">
        <f>#REF!</f>
        <v>#REF!</v>
      </c>
      <c r="I513" s="8" t="e">
        <f>TRUNC(H513*D513,1)</f>
        <v>#REF!</v>
      </c>
      <c r="J513" s="4">
        <v>0</v>
      </c>
      <c r="K513" s="8"/>
      <c r="L513" s="4">
        <v>0</v>
      </c>
      <c r="M513" s="8"/>
      <c r="N513" s="12" t="s">
        <v>0</v>
      </c>
    </row>
    <row r="514" spans="1:14" ht="15" customHeight="1">
      <c r="A514" s="13"/>
      <c r="B514" s="14" t="s">
        <v>288</v>
      </c>
      <c r="C514" s="1" t="s">
        <v>29</v>
      </c>
      <c r="D514" s="1">
        <v>2</v>
      </c>
      <c r="E514" s="2" t="s">
        <v>28</v>
      </c>
      <c r="F514" s="4">
        <f>H514+J514+L514</f>
        <v>0</v>
      </c>
      <c r="G514" s="8">
        <f t="shared" si="72"/>
        <v>10996.3</v>
      </c>
      <c r="H514" s="2"/>
      <c r="I514" s="8">
        <f>TRUNC((K510*0.02),1)</f>
        <v>10996.3</v>
      </c>
      <c r="J514" s="2"/>
      <c r="K514" s="8">
        <v>0</v>
      </c>
      <c r="L514" s="2"/>
      <c r="M514" s="8">
        <v>0</v>
      </c>
      <c r="N514" s="12" t="s">
        <v>0</v>
      </c>
    </row>
    <row r="515" spans="1:14" ht="15" customHeight="1">
      <c r="A515" s="16"/>
      <c r="B515" s="15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12"/>
    </row>
    <row r="516" spans="1:14" ht="15" customHeight="1">
      <c r="A516" s="52">
        <f>A509+1</f>
        <v>36</v>
      </c>
      <c r="B516" s="46" t="s">
        <v>509</v>
      </c>
      <c r="C516" s="47" t="s">
        <v>197</v>
      </c>
      <c r="D516" s="47">
        <v>1</v>
      </c>
      <c r="E516" s="48" t="s">
        <v>3</v>
      </c>
      <c r="F516" s="51"/>
      <c r="G516" s="50" t="e">
        <f t="shared" ref="G516:G521" si="73">I516+K516+M516</f>
        <v>#REF!</v>
      </c>
      <c r="H516" s="51"/>
      <c r="I516" s="50" t="e">
        <f>TRUNC(I517+I518+I519+I520+I521,0)</f>
        <v>#REF!</v>
      </c>
      <c r="J516" s="51"/>
      <c r="K516" s="50">
        <f>TRUNC(K517+K518+K519+K520+K521,0)</f>
        <v>474660</v>
      </c>
      <c r="L516" s="51"/>
      <c r="M516" s="50">
        <f>TRUNC(M517+M518+M519+M520+M521,0)</f>
        <v>0</v>
      </c>
      <c r="N516" s="63" t="str">
        <f>N509</f>
        <v>토목6-3-4</v>
      </c>
    </row>
    <row r="517" spans="1:14" ht="15" customHeight="1">
      <c r="A517" s="13"/>
      <c r="B517" s="14" t="s">
        <v>265</v>
      </c>
      <c r="C517" s="1" t="s">
        <v>510</v>
      </c>
      <c r="D517" s="3">
        <f>2.4*0.7</f>
        <v>1.68</v>
      </c>
      <c r="E517" s="2" t="s">
        <v>24</v>
      </c>
      <c r="F517" s="4">
        <f>H517+J517+L517</f>
        <v>282536</v>
      </c>
      <c r="G517" s="8">
        <f t="shared" si="73"/>
        <v>474660.4</v>
      </c>
      <c r="H517" s="4"/>
      <c r="I517" s="8"/>
      <c r="J517" s="4">
        <f>노임!$D$7</f>
        <v>282536</v>
      </c>
      <c r="K517" s="8">
        <f>TRUNC(J517*D517,1)</f>
        <v>474660.4</v>
      </c>
      <c r="L517" s="4">
        <v>0</v>
      </c>
      <c r="M517" s="8"/>
      <c r="N517" s="12"/>
    </row>
    <row r="518" spans="1:14" ht="15" customHeight="1">
      <c r="A518" s="13"/>
      <c r="B518" s="14" t="s">
        <v>279</v>
      </c>
      <c r="C518" s="1" t="s">
        <v>37</v>
      </c>
      <c r="D518" s="3">
        <v>3939.4</v>
      </c>
      <c r="E518" s="2" t="s">
        <v>30</v>
      </c>
      <c r="F518" s="4" t="e">
        <f>H518+J518+L518</f>
        <v>#REF!</v>
      </c>
      <c r="G518" s="8" t="e">
        <f t="shared" si="73"/>
        <v>#REF!</v>
      </c>
      <c r="H518" s="4" t="e">
        <f>#REF!</f>
        <v>#REF!</v>
      </c>
      <c r="I518" s="8" t="e">
        <f>TRUNC(H518*D518,1)</f>
        <v>#REF!</v>
      </c>
      <c r="J518" s="4">
        <v>0</v>
      </c>
      <c r="K518" s="8"/>
      <c r="L518" s="4">
        <v>0</v>
      </c>
      <c r="M518" s="8"/>
      <c r="N518" s="12" t="s">
        <v>290</v>
      </c>
    </row>
    <row r="519" spans="1:14" ht="15" customHeight="1">
      <c r="A519" s="13"/>
      <c r="B519" s="14" t="s">
        <v>286</v>
      </c>
      <c r="C519" s="1" t="s">
        <v>36</v>
      </c>
      <c r="D519" s="3">
        <v>1.97</v>
      </c>
      <c r="E519" s="2" t="s">
        <v>31</v>
      </c>
      <c r="F519" s="4" t="e">
        <f>H519+J519+L519</f>
        <v>#REF!</v>
      </c>
      <c r="G519" s="8" t="e">
        <f t="shared" si="73"/>
        <v>#REF!</v>
      </c>
      <c r="H519" s="4" t="e">
        <f>#REF!</f>
        <v>#REF!</v>
      </c>
      <c r="I519" s="8" t="e">
        <f>TRUNC(H519*D519,1)</f>
        <v>#REF!</v>
      </c>
      <c r="J519" s="4">
        <v>0</v>
      </c>
      <c r="K519" s="8"/>
      <c r="L519" s="4">
        <v>0</v>
      </c>
      <c r="M519" s="8"/>
      <c r="N519" s="12" t="s">
        <v>0</v>
      </c>
    </row>
    <row r="520" spans="1:14" ht="15" customHeight="1">
      <c r="A520" s="13"/>
      <c r="B520" s="14" t="s">
        <v>287</v>
      </c>
      <c r="C520" s="1" t="s">
        <v>35</v>
      </c>
      <c r="D520" s="3">
        <v>11.64</v>
      </c>
      <c r="E520" s="2" t="s">
        <v>10</v>
      </c>
      <c r="F520" s="4" t="e">
        <f>H520+J520+L520</f>
        <v>#REF!</v>
      </c>
      <c r="G520" s="8" t="e">
        <f t="shared" si="73"/>
        <v>#REF!</v>
      </c>
      <c r="H520" s="4" t="e">
        <f>#REF!</f>
        <v>#REF!</v>
      </c>
      <c r="I520" s="8" t="e">
        <f>TRUNC(H520*D520,1)</f>
        <v>#REF!</v>
      </c>
      <c r="J520" s="4">
        <v>0</v>
      </c>
      <c r="K520" s="8"/>
      <c r="L520" s="4">
        <v>0</v>
      </c>
      <c r="M520" s="8"/>
      <c r="N520" s="12" t="s">
        <v>0</v>
      </c>
    </row>
    <row r="521" spans="1:14" ht="15" customHeight="1">
      <c r="A521" s="13"/>
      <c r="B521" s="14" t="s">
        <v>288</v>
      </c>
      <c r="C521" s="1" t="s">
        <v>29</v>
      </c>
      <c r="D521" s="1">
        <v>2</v>
      </c>
      <c r="E521" s="2" t="s">
        <v>28</v>
      </c>
      <c r="F521" s="4">
        <f>H521+J521+L521</f>
        <v>0</v>
      </c>
      <c r="G521" s="8">
        <f t="shared" si="73"/>
        <v>9493.2000000000007</v>
      </c>
      <c r="H521" s="2"/>
      <c r="I521" s="8">
        <f>TRUNC((K517*0.02),1)</f>
        <v>9493.2000000000007</v>
      </c>
      <c r="J521" s="2"/>
      <c r="K521" s="8">
        <v>0</v>
      </c>
      <c r="L521" s="2"/>
      <c r="M521" s="8">
        <v>0</v>
      </c>
      <c r="N521" s="12" t="s">
        <v>0</v>
      </c>
    </row>
    <row r="522" spans="1:14" ht="15" customHeight="1">
      <c r="A522" s="16"/>
      <c r="B522" s="15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12"/>
    </row>
    <row r="523" spans="1:14" ht="15" customHeight="1">
      <c r="A523" s="52">
        <f>A516+1</f>
        <v>37</v>
      </c>
      <c r="B523" s="46" t="s">
        <v>508</v>
      </c>
      <c r="C523" s="47" t="s">
        <v>198</v>
      </c>
      <c r="D523" s="47">
        <v>1</v>
      </c>
      <c r="E523" s="48" t="s">
        <v>3</v>
      </c>
      <c r="F523" s="51"/>
      <c r="G523" s="50" t="e">
        <f t="shared" ref="G523:G528" si="74">I523+K523+M523</f>
        <v>#REF!</v>
      </c>
      <c r="H523" s="51"/>
      <c r="I523" s="50" t="e">
        <f>TRUNC(I524+I525+I526+I527+I528,0)</f>
        <v>#REF!</v>
      </c>
      <c r="J523" s="51"/>
      <c r="K523" s="50">
        <f>TRUNC(K524+K525+K526+K527+K528,0)</f>
        <v>605192</v>
      </c>
      <c r="L523" s="51"/>
      <c r="M523" s="50">
        <f>TRUNC(M524+M525+M526+M527+M528,0)</f>
        <v>0</v>
      </c>
      <c r="N523" s="63" t="str">
        <f>N516</f>
        <v>토목6-3-4</v>
      </c>
    </row>
    <row r="524" spans="1:14" ht="15" customHeight="1">
      <c r="A524" s="13"/>
      <c r="B524" s="14" t="s">
        <v>265</v>
      </c>
      <c r="C524" s="1" t="s">
        <v>510</v>
      </c>
      <c r="D524" s="3">
        <f>3.06*0.7</f>
        <v>2.1419999999999999</v>
      </c>
      <c r="E524" s="2" t="s">
        <v>24</v>
      </c>
      <c r="F524" s="4">
        <f>H524+J524+L524</f>
        <v>282536</v>
      </c>
      <c r="G524" s="8">
        <f t="shared" si="74"/>
        <v>605192.1</v>
      </c>
      <c r="H524" s="4"/>
      <c r="I524" s="8"/>
      <c r="J524" s="4">
        <f>노임!$D$7</f>
        <v>282536</v>
      </c>
      <c r="K524" s="8">
        <f>TRUNC(J524*D524,1)</f>
        <v>605192.1</v>
      </c>
      <c r="L524" s="4">
        <v>0</v>
      </c>
      <c r="M524" s="8"/>
      <c r="N524" s="12"/>
    </row>
    <row r="525" spans="1:14" ht="15" customHeight="1">
      <c r="A525" s="13"/>
      <c r="B525" s="14" t="s">
        <v>279</v>
      </c>
      <c r="C525" s="1" t="s">
        <v>37</v>
      </c>
      <c r="D525" s="3">
        <v>5748.9</v>
      </c>
      <c r="E525" s="2" t="s">
        <v>30</v>
      </c>
      <c r="F525" s="4" t="e">
        <f>H525+J525+L525</f>
        <v>#REF!</v>
      </c>
      <c r="G525" s="8" t="e">
        <f t="shared" si="74"/>
        <v>#REF!</v>
      </c>
      <c r="H525" s="4" t="e">
        <f>#REF!</f>
        <v>#REF!</v>
      </c>
      <c r="I525" s="8" t="e">
        <f>TRUNC(H525*D525,1)</f>
        <v>#REF!</v>
      </c>
      <c r="J525" s="4">
        <v>0</v>
      </c>
      <c r="K525" s="8"/>
      <c r="L525" s="4">
        <v>0</v>
      </c>
      <c r="M525" s="8"/>
      <c r="N525" s="12" t="s">
        <v>290</v>
      </c>
    </row>
    <row r="526" spans="1:14" ht="15" customHeight="1">
      <c r="A526" s="13"/>
      <c r="B526" s="14" t="s">
        <v>286</v>
      </c>
      <c r="C526" s="1" t="s">
        <v>36</v>
      </c>
      <c r="D526" s="3">
        <v>2.87</v>
      </c>
      <c r="E526" s="2" t="s">
        <v>31</v>
      </c>
      <c r="F526" s="4" t="e">
        <f>H526+J526+L526</f>
        <v>#REF!</v>
      </c>
      <c r="G526" s="8" t="e">
        <f t="shared" si="74"/>
        <v>#REF!</v>
      </c>
      <c r="H526" s="4" t="e">
        <f>#REF!</f>
        <v>#REF!</v>
      </c>
      <c r="I526" s="8" t="e">
        <f>TRUNC(H526*D526,1)</f>
        <v>#REF!</v>
      </c>
      <c r="J526" s="4">
        <v>0</v>
      </c>
      <c r="K526" s="8"/>
      <c r="L526" s="4">
        <v>0</v>
      </c>
      <c r="M526" s="8"/>
      <c r="N526" s="12" t="s">
        <v>0</v>
      </c>
    </row>
    <row r="527" spans="1:14" ht="15" customHeight="1">
      <c r="A527" s="13"/>
      <c r="B527" s="14" t="s">
        <v>287</v>
      </c>
      <c r="C527" s="1" t="s">
        <v>35</v>
      </c>
      <c r="D527" s="3">
        <v>18.63</v>
      </c>
      <c r="E527" s="2" t="s">
        <v>10</v>
      </c>
      <c r="F527" s="4" t="e">
        <f>H527+J527+L527</f>
        <v>#REF!</v>
      </c>
      <c r="G527" s="8" t="e">
        <f t="shared" si="74"/>
        <v>#REF!</v>
      </c>
      <c r="H527" s="4" t="e">
        <f>#REF!</f>
        <v>#REF!</v>
      </c>
      <c r="I527" s="8" t="e">
        <f>TRUNC(H527*D527,1)</f>
        <v>#REF!</v>
      </c>
      <c r="J527" s="4">
        <v>0</v>
      </c>
      <c r="K527" s="8"/>
      <c r="L527" s="4">
        <v>0</v>
      </c>
      <c r="M527" s="8"/>
      <c r="N527" s="12" t="s">
        <v>0</v>
      </c>
    </row>
    <row r="528" spans="1:14" ht="15" customHeight="1">
      <c r="A528" s="13"/>
      <c r="B528" s="14" t="s">
        <v>288</v>
      </c>
      <c r="C528" s="1" t="s">
        <v>29</v>
      </c>
      <c r="D528" s="1">
        <v>2</v>
      </c>
      <c r="E528" s="2" t="s">
        <v>28</v>
      </c>
      <c r="F528" s="4">
        <f>H528+J528+L528</f>
        <v>0</v>
      </c>
      <c r="G528" s="8">
        <f t="shared" si="74"/>
        <v>12103.8</v>
      </c>
      <c r="H528" s="2"/>
      <c r="I528" s="8">
        <f>TRUNC((K524*0.02),1)</f>
        <v>12103.8</v>
      </c>
      <c r="J528" s="2"/>
      <c r="K528" s="8">
        <v>0</v>
      </c>
      <c r="L528" s="2"/>
      <c r="M528" s="8">
        <v>0</v>
      </c>
      <c r="N528" s="12" t="s">
        <v>0</v>
      </c>
    </row>
    <row r="529" spans="1:14" ht="15" customHeight="1">
      <c r="A529" s="16"/>
      <c r="B529" s="15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12"/>
    </row>
    <row r="530" spans="1:14" ht="15" customHeight="1">
      <c r="A530" s="52">
        <f>A523+1</f>
        <v>38</v>
      </c>
      <c r="B530" s="46" t="s">
        <v>509</v>
      </c>
      <c r="C530" s="47" t="s">
        <v>198</v>
      </c>
      <c r="D530" s="47">
        <v>1</v>
      </c>
      <c r="E530" s="48" t="s">
        <v>3</v>
      </c>
      <c r="F530" s="51"/>
      <c r="G530" s="50" t="e">
        <f t="shared" ref="G530:G535" si="75">I530+K530+M530</f>
        <v>#REF!</v>
      </c>
      <c r="H530" s="51"/>
      <c r="I530" s="50" t="e">
        <f>TRUNC(I531+I532+I533+I534+I535,0)</f>
        <v>#REF!</v>
      </c>
      <c r="J530" s="51"/>
      <c r="K530" s="50">
        <f>TRUNC(K531+K532+K533+K534+K535,0)</f>
        <v>526082</v>
      </c>
      <c r="L530" s="51"/>
      <c r="M530" s="50">
        <f>TRUNC(M531+M532+M533+M534+M535,0)</f>
        <v>0</v>
      </c>
      <c r="N530" s="63" t="str">
        <f>N523</f>
        <v>토목6-3-4</v>
      </c>
    </row>
    <row r="531" spans="1:14" ht="15" customHeight="1">
      <c r="A531" s="13"/>
      <c r="B531" s="14" t="s">
        <v>265</v>
      </c>
      <c r="C531" s="1" t="s">
        <v>510</v>
      </c>
      <c r="D531" s="3">
        <f>2.66*0.7</f>
        <v>1.8619999999999999</v>
      </c>
      <c r="E531" s="2" t="s">
        <v>24</v>
      </c>
      <c r="F531" s="4">
        <f>H531+J531+L531</f>
        <v>282536</v>
      </c>
      <c r="G531" s="8">
        <f t="shared" si="75"/>
        <v>526082</v>
      </c>
      <c r="H531" s="4"/>
      <c r="I531" s="8"/>
      <c r="J531" s="4">
        <f>노임!$D$7</f>
        <v>282536</v>
      </c>
      <c r="K531" s="8">
        <f>TRUNC(J531*D531,1)</f>
        <v>526082</v>
      </c>
      <c r="L531" s="4">
        <v>0</v>
      </c>
      <c r="M531" s="8"/>
      <c r="N531" s="12"/>
    </row>
    <row r="532" spans="1:14" ht="15" customHeight="1">
      <c r="A532" s="13"/>
      <c r="B532" s="14" t="s">
        <v>279</v>
      </c>
      <c r="C532" s="1" t="s">
        <v>37</v>
      </c>
      <c r="D532" s="3">
        <v>4834.2</v>
      </c>
      <c r="E532" s="2" t="s">
        <v>30</v>
      </c>
      <c r="F532" s="4" t="e">
        <f>H532+J532+L532</f>
        <v>#REF!</v>
      </c>
      <c r="G532" s="8" t="e">
        <f t="shared" si="75"/>
        <v>#REF!</v>
      </c>
      <c r="H532" s="4" t="e">
        <f>#REF!</f>
        <v>#REF!</v>
      </c>
      <c r="I532" s="8" t="e">
        <f>TRUNC(H532*D532,1)</f>
        <v>#REF!</v>
      </c>
      <c r="J532" s="4">
        <v>0</v>
      </c>
      <c r="K532" s="8"/>
      <c r="L532" s="4">
        <v>0</v>
      </c>
      <c r="M532" s="8"/>
      <c r="N532" s="12" t="s">
        <v>290</v>
      </c>
    </row>
    <row r="533" spans="1:14" ht="15" customHeight="1">
      <c r="A533" s="13"/>
      <c r="B533" s="14" t="s">
        <v>286</v>
      </c>
      <c r="C533" s="1" t="s">
        <v>36</v>
      </c>
      <c r="D533" s="3">
        <v>2.42</v>
      </c>
      <c r="E533" s="2" t="s">
        <v>31</v>
      </c>
      <c r="F533" s="4" t="e">
        <f>H533+J533+L533</f>
        <v>#REF!</v>
      </c>
      <c r="G533" s="8" t="e">
        <f t="shared" si="75"/>
        <v>#REF!</v>
      </c>
      <c r="H533" s="4" t="e">
        <f>#REF!</f>
        <v>#REF!</v>
      </c>
      <c r="I533" s="8" t="e">
        <f>TRUNC(H533*D533,1)</f>
        <v>#REF!</v>
      </c>
      <c r="J533" s="4">
        <v>0</v>
      </c>
      <c r="K533" s="8"/>
      <c r="L533" s="4">
        <v>0</v>
      </c>
      <c r="M533" s="8"/>
      <c r="N533" s="12" t="s">
        <v>0</v>
      </c>
    </row>
    <row r="534" spans="1:14" ht="15" customHeight="1">
      <c r="A534" s="13"/>
      <c r="B534" s="14" t="s">
        <v>287</v>
      </c>
      <c r="C534" s="1" t="s">
        <v>35</v>
      </c>
      <c r="D534" s="3">
        <v>14.29</v>
      </c>
      <c r="E534" s="2" t="s">
        <v>10</v>
      </c>
      <c r="F534" s="4" t="e">
        <f>H534+J534+L534</f>
        <v>#REF!</v>
      </c>
      <c r="G534" s="8" t="e">
        <f t="shared" si="75"/>
        <v>#REF!</v>
      </c>
      <c r="H534" s="4" t="e">
        <f>#REF!</f>
        <v>#REF!</v>
      </c>
      <c r="I534" s="8" t="e">
        <f>TRUNC(H534*D534,1)</f>
        <v>#REF!</v>
      </c>
      <c r="J534" s="4">
        <v>0</v>
      </c>
      <c r="K534" s="8"/>
      <c r="L534" s="4">
        <v>0</v>
      </c>
      <c r="M534" s="8"/>
      <c r="N534" s="12" t="s">
        <v>0</v>
      </c>
    </row>
    <row r="535" spans="1:14" ht="15" customHeight="1">
      <c r="A535" s="13"/>
      <c r="B535" s="14" t="s">
        <v>288</v>
      </c>
      <c r="C535" s="1" t="s">
        <v>29</v>
      </c>
      <c r="D535" s="1">
        <v>2</v>
      </c>
      <c r="E535" s="2" t="s">
        <v>28</v>
      </c>
      <c r="F535" s="4">
        <f>H535+J535+L535</f>
        <v>0</v>
      </c>
      <c r="G535" s="8">
        <f t="shared" si="75"/>
        <v>10521.6</v>
      </c>
      <c r="H535" s="2"/>
      <c r="I535" s="8">
        <f>TRUNC((K531*0.02),1)</f>
        <v>10521.6</v>
      </c>
      <c r="J535" s="2"/>
      <c r="K535" s="8">
        <v>0</v>
      </c>
      <c r="L535" s="2"/>
      <c r="M535" s="8">
        <v>0</v>
      </c>
      <c r="N535" s="12" t="s">
        <v>0</v>
      </c>
    </row>
    <row r="536" spans="1:14" ht="15" customHeight="1">
      <c r="A536" s="13"/>
      <c r="B536" s="14"/>
      <c r="C536" s="1"/>
      <c r="D536" s="1"/>
      <c r="E536" s="2"/>
      <c r="F536" s="4"/>
      <c r="G536" s="8"/>
      <c r="H536" s="2"/>
      <c r="I536" s="8"/>
      <c r="J536" s="2"/>
      <c r="K536" s="8"/>
      <c r="L536" s="2"/>
      <c r="M536" s="8"/>
      <c r="N536" s="12"/>
    </row>
    <row r="537" spans="1:14" ht="15" customHeight="1">
      <c r="A537" s="13"/>
      <c r="B537" s="14"/>
      <c r="C537" s="1"/>
      <c r="D537" s="1"/>
      <c r="E537" s="2"/>
      <c r="F537" s="4"/>
      <c r="G537" s="8"/>
      <c r="H537" s="2"/>
      <c r="I537" s="8"/>
      <c r="J537" s="2"/>
      <c r="K537" s="8"/>
      <c r="L537" s="2"/>
      <c r="M537" s="8"/>
      <c r="N537" s="12"/>
    </row>
    <row r="538" spans="1:14" ht="15" customHeight="1">
      <c r="A538" s="13"/>
      <c r="B538" s="14"/>
      <c r="C538" s="1"/>
      <c r="D538" s="1"/>
      <c r="E538" s="2"/>
      <c r="F538" s="4"/>
      <c r="G538" s="8"/>
      <c r="H538" s="2"/>
      <c r="I538" s="8"/>
      <c r="J538" s="2"/>
      <c r="K538" s="8"/>
      <c r="L538" s="2"/>
      <c r="M538" s="8"/>
      <c r="N538" s="12"/>
    </row>
    <row r="539" spans="1:14" ht="15" customHeight="1">
      <c r="A539" s="13"/>
      <c r="B539" s="14"/>
      <c r="C539" s="1"/>
      <c r="D539" s="1"/>
      <c r="E539" s="2"/>
      <c r="F539" s="4"/>
      <c r="G539" s="8"/>
      <c r="H539" s="2"/>
      <c r="I539" s="8"/>
      <c r="J539" s="2"/>
      <c r="K539" s="8"/>
      <c r="L539" s="2"/>
      <c r="M539" s="8"/>
      <c r="N539" s="12"/>
    </row>
    <row r="540" spans="1:14" ht="15" customHeight="1">
      <c r="A540" s="13"/>
      <c r="B540" s="14"/>
      <c r="C540" s="1"/>
      <c r="D540" s="1"/>
      <c r="E540" s="2"/>
      <c r="F540" s="4"/>
      <c r="G540" s="8"/>
      <c r="H540" s="2"/>
      <c r="I540" s="8"/>
      <c r="J540" s="2"/>
      <c r="K540" s="8"/>
      <c r="L540" s="2"/>
      <c r="M540" s="8"/>
      <c r="N540" s="12"/>
    </row>
    <row r="541" spans="1:14" ht="15" customHeight="1">
      <c r="A541" s="13"/>
      <c r="B541" s="14"/>
      <c r="C541" s="1"/>
      <c r="D541" s="1"/>
      <c r="E541" s="2"/>
      <c r="F541" s="4"/>
      <c r="G541" s="8"/>
      <c r="H541" s="2"/>
      <c r="I541" s="8"/>
      <c r="J541" s="2"/>
      <c r="K541" s="8"/>
      <c r="L541" s="2"/>
      <c r="M541" s="8"/>
      <c r="N541" s="12"/>
    </row>
    <row r="542" spans="1:14" ht="15" customHeight="1">
      <c r="A542" s="13"/>
      <c r="B542" s="14"/>
      <c r="C542" s="1"/>
      <c r="D542" s="1"/>
      <c r="E542" s="2"/>
      <c r="F542" s="4"/>
      <c r="G542" s="8"/>
      <c r="H542" s="2"/>
      <c r="I542" s="8"/>
      <c r="J542" s="2"/>
      <c r="K542" s="8"/>
      <c r="L542" s="2"/>
      <c r="M542" s="8"/>
      <c r="N542" s="12"/>
    </row>
    <row r="543" spans="1:14" ht="15" customHeight="1">
      <c r="A543" s="13"/>
      <c r="B543" s="14"/>
      <c r="C543" s="1"/>
      <c r="D543" s="1"/>
      <c r="E543" s="2"/>
      <c r="F543" s="4"/>
      <c r="G543" s="8"/>
      <c r="H543" s="2"/>
      <c r="I543" s="8"/>
      <c r="J543" s="2"/>
      <c r="K543" s="8"/>
      <c r="L543" s="2"/>
      <c r="M543" s="8"/>
      <c r="N543" s="12"/>
    </row>
    <row r="544" spans="1:14" ht="15" customHeight="1">
      <c r="A544" s="13"/>
      <c r="B544" s="14"/>
      <c r="C544" s="1"/>
      <c r="D544" s="1"/>
      <c r="E544" s="2"/>
      <c r="F544" s="4"/>
      <c r="G544" s="8"/>
      <c r="H544" s="2"/>
      <c r="I544" s="8"/>
      <c r="J544" s="2"/>
      <c r="K544" s="8"/>
      <c r="L544" s="2"/>
      <c r="M544" s="8"/>
      <c r="N544" s="12"/>
    </row>
    <row r="545" spans="1:14" ht="15" customHeight="1">
      <c r="A545" s="13"/>
      <c r="B545" s="14"/>
      <c r="C545" s="1"/>
      <c r="D545" s="1"/>
      <c r="E545" s="2"/>
      <c r="F545" s="4"/>
      <c r="G545" s="8"/>
      <c r="H545" s="2"/>
      <c r="I545" s="8"/>
      <c r="J545" s="2"/>
      <c r="K545" s="8"/>
      <c r="L545" s="2"/>
      <c r="M545" s="8"/>
      <c r="N545" s="12"/>
    </row>
    <row r="546" spans="1:14" ht="15" customHeight="1">
      <c r="A546" s="13"/>
      <c r="B546" s="14"/>
      <c r="C546" s="1"/>
      <c r="D546" s="1"/>
      <c r="E546" s="2"/>
      <c r="F546" s="4"/>
      <c r="G546" s="8"/>
      <c r="H546" s="2"/>
      <c r="I546" s="8"/>
      <c r="J546" s="2"/>
      <c r="K546" s="8"/>
      <c r="L546" s="2"/>
      <c r="M546" s="8"/>
      <c r="N546" s="12"/>
    </row>
    <row r="547" spans="1:14" ht="15" customHeight="1">
      <c r="A547" s="13"/>
      <c r="B547" s="14"/>
      <c r="C547" s="1"/>
      <c r="D547" s="1"/>
      <c r="E547" s="2"/>
      <c r="F547" s="4"/>
      <c r="G547" s="8"/>
      <c r="H547" s="2"/>
      <c r="I547" s="8"/>
      <c r="J547" s="2"/>
      <c r="K547" s="8"/>
      <c r="L547" s="2"/>
      <c r="M547" s="8"/>
      <c r="N547" s="12"/>
    </row>
    <row r="548" spans="1:14" ht="15" customHeight="1">
      <c r="A548" s="13"/>
      <c r="B548" s="14"/>
      <c r="C548" s="1"/>
      <c r="D548" s="1"/>
      <c r="E548" s="2"/>
      <c r="F548" s="4"/>
      <c r="G548" s="8"/>
      <c r="H548" s="2"/>
      <c r="I548" s="8"/>
      <c r="J548" s="2"/>
      <c r="K548" s="8"/>
      <c r="L548" s="2"/>
      <c r="M548" s="8"/>
      <c r="N548" s="12"/>
    </row>
    <row r="549" spans="1:14" ht="15" customHeight="1">
      <c r="A549" s="13"/>
      <c r="B549" s="14"/>
      <c r="C549" s="1"/>
      <c r="D549" s="1"/>
      <c r="E549" s="2"/>
      <c r="F549" s="4"/>
      <c r="G549" s="8"/>
      <c r="H549" s="2"/>
      <c r="I549" s="8"/>
      <c r="J549" s="2"/>
      <c r="K549" s="8"/>
      <c r="L549" s="2"/>
      <c r="M549" s="8"/>
      <c r="N549" s="12"/>
    </row>
    <row r="550" spans="1:14" ht="15" customHeight="1">
      <c r="A550" s="16"/>
      <c r="B550" s="15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12"/>
    </row>
  </sheetData>
  <mergeCells count="9">
    <mergeCell ref="A2:B3"/>
    <mergeCell ref="J2:K2"/>
    <mergeCell ref="L2:M2"/>
    <mergeCell ref="N2:N3"/>
    <mergeCell ref="C2:C3"/>
    <mergeCell ref="D2:D3"/>
    <mergeCell ref="E2:E3"/>
    <mergeCell ref="F2:G2"/>
    <mergeCell ref="H2:I2"/>
  </mergeCells>
  <phoneticPr fontId="2" type="noConversion"/>
  <pageMargins left="0.31496062992125984" right="0.31496062992125984" top="1" bottom="0.59055118110236215" header="0.5" footer="0.5"/>
  <pageSetup paperSize="9" orientation="landscape" r:id="rId1"/>
  <headerFooter alignWithMargins="0">
    <oddHeader>&amp;RPage : &amp;P/&amp;N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70C0"/>
  </sheetPr>
  <dimension ref="A1:N148"/>
  <sheetViews>
    <sheetView workbookViewId="0">
      <pane ySplit="3" topLeftCell="A34" activePane="bottomLeft" state="frozen"/>
      <selection activeCell="N21" sqref="N21"/>
      <selection pane="bottomLeft" activeCell="N21" sqref="N21"/>
    </sheetView>
  </sheetViews>
  <sheetFormatPr defaultRowHeight="12.75" customHeight="1"/>
  <cols>
    <col min="1" max="1" width="8.83203125" customWidth="1"/>
    <col min="2" max="3" width="35.83203125" customWidth="1"/>
    <col min="4" max="4" width="10.83203125" customWidth="1"/>
    <col min="5" max="5" width="8.83203125" customWidth="1"/>
    <col min="6" max="6" width="12.83203125" customWidth="1"/>
    <col min="7" max="7" width="14.83203125" customWidth="1"/>
    <col min="8" max="8" width="12.83203125" customWidth="1"/>
    <col min="9" max="9" width="14.83203125" customWidth="1"/>
    <col min="10" max="10" width="12.83203125" customWidth="1"/>
    <col min="11" max="11" width="14.83203125" customWidth="1"/>
    <col min="12" max="12" width="12.83203125" customWidth="1"/>
    <col min="13" max="13" width="14.83203125" customWidth="1"/>
    <col min="14" max="14" width="15.83203125" style="11" customWidth="1"/>
    <col min="15" max="24" width="9.33203125" customWidth="1"/>
  </cols>
  <sheetData>
    <row r="1" spans="1:14" ht="15" customHeight="1">
      <c r="A1" s="72" t="s">
        <v>303</v>
      </c>
    </row>
    <row r="2" spans="1:14" ht="15" customHeight="1">
      <c r="A2" s="339" t="s">
        <v>23</v>
      </c>
      <c r="B2" s="340"/>
      <c r="C2" s="345" t="s">
        <v>46</v>
      </c>
      <c r="D2" s="345" t="s">
        <v>45</v>
      </c>
      <c r="E2" s="345" t="s">
        <v>44</v>
      </c>
      <c r="F2" s="345" t="s">
        <v>19</v>
      </c>
      <c r="G2" s="345" t="s">
        <v>0</v>
      </c>
      <c r="H2" s="345" t="s">
        <v>18</v>
      </c>
      <c r="I2" s="345" t="s">
        <v>0</v>
      </c>
      <c r="J2" s="345" t="s">
        <v>17</v>
      </c>
      <c r="K2" s="345" t="s">
        <v>0</v>
      </c>
      <c r="L2" s="345" t="s">
        <v>16</v>
      </c>
      <c r="M2" s="345" t="s">
        <v>0</v>
      </c>
      <c r="N2" s="346" t="s">
        <v>15</v>
      </c>
    </row>
    <row r="3" spans="1:14" ht="15" customHeight="1">
      <c r="A3" s="339"/>
      <c r="B3" s="340"/>
      <c r="C3" s="345" t="s">
        <v>0</v>
      </c>
      <c r="D3" s="345" t="s">
        <v>0</v>
      </c>
      <c r="E3" s="345" t="s">
        <v>0</v>
      </c>
      <c r="F3" s="2" t="s">
        <v>43</v>
      </c>
      <c r="G3" s="2" t="s">
        <v>42</v>
      </c>
      <c r="H3" s="2" t="s">
        <v>43</v>
      </c>
      <c r="I3" s="2" t="s">
        <v>42</v>
      </c>
      <c r="J3" s="2" t="s">
        <v>43</v>
      </c>
      <c r="K3" s="2" t="s">
        <v>42</v>
      </c>
      <c r="L3" s="2" t="s">
        <v>43</v>
      </c>
      <c r="M3" s="2" t="s">
        <v>42</v>
      </c>
      <c r="N3" s="346" t="s">
        <v>0</v>
      </c>
    </row>
    <row r="4" spans="1:14" ht="15" customHeight="1">
      <c r="A4" s="13"/>
      <c r="B4" s="14"/>
      <c r="C4" s="1"/>
      <c r="D4" s="1"/>
      <c r="E4" s="1"/>
      <c r="F4" s="4"/>
      <c r="G4" s="8"/>
      <c r="H4" s="4"/>
      <c r="I4" s="8"/>
      <c r="J4" s="4"/>
      <c r="K4" s="8"/>
      <c r="L4" s="4"/>
      <c r="M4" s="8"/>
      <c r="N4" s="12"/>
    </row>
    <row r="5" spans="1:14" ht="15" customHeight="1">
      <c r="A5" s="64">
        <f>절단!A65+1</f>
        <v>57</v>
      </c>
      <c r="B5" s="46" t="s">
        <v>304</v>
      </c>
      <c r="C5" s="47" t="s">
        <v>200</v>
      </c>
      <c r="D5" s="47">
        <v>1</v>
      </c>
      <c r="E5" s="47" t="s">
        <v>3</v>
      </c>
      <c r="F5" s="51"/>
      <c r="G5" s="50" t="e">
        <f>I5+K5+M5</f>
        <v>#REF!</v>
      </c>
      <c r="H5" s="51"/>
      <c r="I5" s="50" t="e">
        <f>TRUNC(I6+I7+I8+I9,0)</f>
        <v>#REF!</v>
      </c>
      <c r="J5" s="51"/>
      <c r="K5" s="50">
        <f>TRUNC(K6+K7+K8,0)</f>
        <v>16570</v>
      </c>
      <c r="L5" s="50">
        <f>TRUNC(L6+L7+L8,0)</f>
        <v>0</v>
      </c>
      <c r="M5" s="50">
        <f>TRUNC(M6+M7+M8,0)</f>
        <v>331</v>
      </c>
      <c r="N5" s="63" t="s">
        <v>249</v>
      </c>
    </row>
    <row r="6" spans="1:14" ht="15" customHeight="1">
      <c r="A6" s="13"/>
      <c r="B6" s="14" t="s">
        <v>261</v>
      </c>
      <c r="C6" s="1" t="s">
        <v>32</v>
      </c>
      <c r="D6" s="3">
        <v>0.05</v>
      </c>
      <c r="E6" s="1" t="s">
        <v>24</v>
      </c>
      <c r="F6" s="4">
        <f>H6+J6+L6</f>
        <v>262580</v>
      </c>
      <c r="G6" s="8">
        <f>I6+K6+M6</f>
        <v>13129</v>
      </c>
      <c r="H6" s="4">
        <v>0</v>
      </c>
      <c r="I6" s="8"/>
      <c r="J6" s="4">
        <f>노임!$D$10</f>
        <v>262580</v>
      </c>
      <c r="K6" s="8">
        <f>TRUNC(J6*D6,1)</f>
        <v>13129</v>
      </c>
      <c r="L6" s="4">
        <v>0</v>
      </c>
      <c r="M6" s="8"/>
      <c r="N6" s="12" t="s">
        <v>0</v>
      </c>
    </row>
    <row r="7" spans="1:14" ht="15" customHeight="1">
      <c r="A7" s="13"/>
      <c r="B7" s="14" t="s">
        <v>262</v>
      </c>
      <c r="C7" s="1" t="s">
        <v>0</v>
      </c>
      <c r="D7" s="3">
        <v>0.02</v>
      </c>
      <c r="E7" s="1" t="s">
        <v>24</v>
      </c>
      <c r="F7" s="4">
        <f>H7+J7+L7</f>
        <v>172068</v>
      </c>
      <c r="G7" s="8">
        <f>I7+K7+M7</f>
        <v>3441.3</v>
      </c>
      <c r="H7" s="4">
        <v>0</v>
      </c>
      <c r="I7" s="8"/>
      <c r="J7" s="4">
        <f>노임!$D$3</f>
        <v>172068</v>
      </c>
      <c r="K7" s="8">
        <f>TRUNC(J7*D7,1)</f>
        <v>3441.3</v>
      </c>
      <c r="L7" s="4">
        <v>0</v>
      </c>
      <c r="M7" s="8"/>
      <c r="N7" s="12" t="s">
        <v>0</v>
      </c>
    </row>
    <row r="8" spans="1:14" ht="15" customHeight="1">
      <c r="A8" s="13"/>
      <c r="B8" s="14" t="s">
        <v>288</v>
      </c>
      <c r="C8" s="1" t="s">
        <v>220</v>
      </c>
      <c r="D8" s="3">
        <v>2</v>
      </c>
      <c r="E8" s="1" t="s">
        <v>221</v>
      </c>
      <c r="F8" s="4">
        <f>H8+J8+L8</f>
        <v>0</v>
      </c>
      <c r="G8" s="8">
        <f>I8+K8+M8</f>
        <v>331.4</v>
      </c>
      <c r="H8" s="4"/>
      <c r="I8" s="8"/>
      <c r="J8" s="4"/>
      <c r="K8" s="8"/>
      <c r="L8" s="4"/>
      <c r="M8" s="8">
        <f>TRUNC((K6+K7)*D8%,1)</f>
        <v>331.4</v>
      </c>
      <c r="N8" s="12"/>
    </row>
    <row r="9" spans="1:14" ht="15" customHeight="1">
      <c r="A9" s="13"/>
      <c r="B9" s="14" t="s">
        <v>532</v>
      </c>
      <c r="C9" s="1" t="s">
        <v>413</v>
      </c>
      <c r="D9" s="3">
        <v>1</v>
      </c>
      <c r="E9" s="1" t="s">
        <v>531</v>
      </c>
      <c r="F9" s="4"/>
      <c r="G9" s="8"/>
      <c r="H9" s="4" t="e">
        <f>#REF!</f>
        <v>#REF!</v>
      </c>
      <c r="I9" s="8" t="e">
        <f>TRUNC(H9*D9,1)</f>
        <v>#REF!</v>
      </c>
      <c r="J9" s="4"/>
      <c r="K9" s="8"/>
      <c r="L9" s="4"/>
      <c r="M9" s="8"/>
      <c r="N9" s="12"/>
    </row>
    <row r="10" spans="1:14" ht="15" customHeight="1">
      <c r="A10" s="16"/>
      <c r="B10" s="15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12"/>
    </row>
    <row r="11" spans="1:14" ht="15" customHeight="1">
      <c r="A11" s="64">
        <f>A5+1</f>
        <v>58</v>
      </c>
      <c r="B11" s="46" t="s">
        <v>304</v>
      </c>
      <c r="C11" s="47" t="s">
        <v>177</v>
      </c>
      <c r="D11" s="47">
        <v>1</v>
      </c>
      <c r="E11" s="47" t="s">
        <v>3</v>
      </c>
      <c r="F11" s="51"/>
      <c r="G11" s="50" t="e">
        <f>I11+K11+M11</f>
        <v>#REF!</v>
      </c>
      <c r="H11" s="51"/>
      <c r="I11" s="50" t="e">
        <f>TRUNC(I12+I13+I14+I15,0)</f>
        <v>#REF!</v>
      </c>
      <c r="J11" s="51"/>
      <c r="K11" s="50">
        <f t="shared" ref="K11" si="0">TRUNC(K12+K13+K14,0)</f>
        <v>25263</v>
      </c>
      <c r="L11" s="50">
        <f t="shared" ref="L11" si="1">TRUNC(L12+L13+L14,0)</f>
        <v>0</v>
      </c>
      <c r="M11" s="50">
        <f t="shared" ref="M11" si="2">TRUNC(M12+M13+M14,0)</f>
        <v>505</v>
      </c>
      <c r="N11" s="63" t="s">
        <v>249</v>
      </c>
    </row>
    <row r="12" spans="1:14" ht="15" customHeight="1">
      <c r="A12" s="13"/>
      <c r="B12" s="14" t="s">
        <v>261</v>
      </c>
      <c r="C12" s="1" t="s">
        <v>32</v>
      </c>
      <c r="D12" s="3">
        <v>7.0000000000000007E-2</v>
      </c>
      <c r="E12" s="1" t="s">
        <v>24</v>
      </c>
      <c r="F12" s="4">
        <f>H12+J12+L12</f>
        <v>262580</v>
      </c>
      <c r="G12" s="8">
        <f>I12+K12+M12</f>
        <v>18380.599999999999</v>
      </c>
      <c r="H12" s="4">
        <v>0</v>
      </c>
      <c r="I12" s="8"/>
      <c r="J12" s="4">
        <f>노임!$D$10</f>
        <v>262580</v>
      </c>
      <c r="K12" s="8">
        <f>TRUNC(J12*D12,1)</f>
        <v>18380.599999999999</v>
      </c>
      <c r="L12" s="4">
        <v>0</v>
      </c>
      <c r="M12" s="8"/>
      <c r="N12" s="12" t="s">
        <v>0</v>
      </c>
    </row>
    <row r="13" spans="1:14" ht="15" customHeight="1">
      <c r="A13" s="13"/>
      <c r="B13" s="14" t="s">
        <v>262</v>
      </c>
      <c r="C13" s="1" t="s">
        <v>0</v>
      </c>
      <c r="D13" s="3">
        <v>0.04</v>
      </c>
      <c r="E13" s="1" t="s">
        <v>24</v>
      </c>
      <c r="F13" s="4">
        <f>H13+J13+L13</f>
        <v>172068</v>
      </c>
      <c r="G13" s="8">
        <f>I13+K13+M13</f>
        <v>6882.7</v>
      </c>
      <c r="H13" s="4">
        <v>0</v>
      </c>
      <c r="I13" s="8"/>
      <c r="J13" s="4">
        <f>노임!$D$3</f>
        <v>172068</v>
      </c>
      <c r="K13" s="8">
        <f>TRUNC(J13*D13,1)</f>
        <v>6882.7</v>
      </c>
      <c r="L13" s="4">
        <v>0</v>
      </c>
      <c r="M13" s="8"/>
      <c r="N13" s="12" t="s">
        <v>0</v>
      </c>
    </row>
    <row r="14" spans="1:14" ht="15" customHeight="1">
      <c r="A14" s="13"/>
      <c r="B14" s="14" t="s">
        <v>288</v>
      </c>
      <c r="C14" s="1" t="s">
        <v>220</v>
      </c>
      <c r="D14" s="3">
        <v>2</v>
      </c>
      <c r="E14" s="1" t="s">
        <v>221</v>
      </c>
      <c r="F14" s="4">
        <f>H14+J14+L14</f>
        <v>0</v>
      </c>
      <c r="G14" s="8">
        <f>I14+K14+M14</f>
        <v>505.2</v>
      </c>
      <c r="H14" s="4"/>
      <c r="I14" s="8"/>
      <c r="J14" s="4"/>
      <c r="K14" s="8"/>
      <c r="L14" s="4"/>
      <c r="M14" s="8">
        <f>TRUNC((K12+K13)*D14%,1)</f>
        <v>505.2</v>
      </c>
      <c r="N14" s="12"/>
    </row>
    <row r="15" spans="1:14" ht="15" customHeight="1">
      <c r="A15" s="13"/>
      <c r="B15" s="14" t="s">
        <v>532</v>
      </c>
      <c r="C15" s="1" t="s">
        <v>414</v>
      </c>
      <c r="D15" s="3">
        <v>1</v>
      </c>
      <c r="E15" s="1" t="s">
        <v>531</v>
      </c>
      <c r="F15" s="4"/>
      <c r="G15" s="8"/>
      <c r="H15" s="4" t="e">
        <f>#REF!</f>
        <v>#REF!</v>
      </c>
      <c r="I15" s="8" t="e">
        <f>TRUNC(H15*D15,1)</f>
        <v>#REF!</v>
      </c>
      <c r="J15" s="4"/>
      <c r="K15" s="8"/>
      <c r="L15" s="4"/>
      <c r="M15" s="8"/>
      <c r="N15" s="12"/>
    </row>
    <row r="16" spans="1:14" ht="15" customHeight="1">
      <c r="A16" s="16"/>
      <c r="B16" s="15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12"/>
    </row>
    <row r="17" spans="1:14" ht="15" customHeight="1">
      <c r="A17" s="64">
        <f>A11+1</f>
        <v>59</v>
      </c>
      <c r="B17" s="46" t="s">
        <v>304</v>
      </c>
      <c r="C17" s="47" t="s">
        <v>178</v>
      </c>
      <c r="D17" s="47">
        <v>1</v>
      </c>
      <c r="E17" s="47" t="s">
        <v>3</v>
      </c>
      <c r="F17" s="51"/>
      <c r="G17" s="50" t="e">
        <f>I17+K17+M17</f>
        <v>#REF!</v>
      </c>
      <c r="H17" s="51"/>
      <c r="I17" s="50" t="e">
        <f>TRUNC(I18+I19+I20+I21,0)</f>
        <v>#REF!</v>
      </c>
      <c r="J17" s="51"/>
      <c r="K17" s="50">
        <f t="shared" ref="K17" si="3">TRUNC(K18+K19+K20,0)</f>
        <v>32235</v>
      </c>
      <c r="L17" s="50">
        <f t="shared" ref="L17" si="4">TRUNC(L18+L19+L20,0)</f>
        <v>0</v>
      </c>
      <c r="M17" s="50">
        <f t="shared" ref="M17" si="5">TRUNC(M18+M19+M20,0)</f>
        <v>644</v>
      </c>
      <c r="N17" s="63" t="s">
        <v>249</v>
      </c>
    </row>
    <row r="18" spans="1:14" ht="15" customHeight="1">
      <c r="A18" s="13"/>
      <c r="B18" s="14" t="s">
        <v>261</v>
      </c>
      <c r="C18" s="1" t="s">
        <v>32</v>
      </c>
      <c r="D18" s="3">
        <v>0.09</v>
      </c>
      <c r="E18" s="1" t="s">
        <v>24</v>
      </c>
      <c r="F18" s="4">
        <f>H18+J18+L18</f>
        <v>262580</v>
      </c>
      <c r="G18" s="8">
        <f>I18+K18+M18</f>
        <v>23632.2</v>
      </c>
      <c r="H18" s="4">
        <v>0</v>
      </c>
      <c r="I18" s="8"/>
      <c r="J18" s="4">
        <f>노임!$D$10</f>
        <v>262580</v>
      </c>
      <c r="K18" s="8">
        <f>TRUNC(J18*D18,1)</f>
        <v>23632.2</v>
      </c>
      <c r="L18" s="4">
        <v>0</v>
      </c>
      <c r="M18" s="8"/>
      <c r="N18" s="12" t="s">
        <v>0</v>
      </c>
    </row>
    <row r="19" spans="1:14" ht="15" customHeight="1">
      <c r="A19" s="13"/>
      <c r="B19" s="14" t="s">
        <v>262</v>
      </c>
      <c r="C19" s="1" t="s">
        <v>0</v>
      </c>
      <c r="D19" s="3">
        <v>0.05</v>
      </c>
      <c r="E19" s="1" t="s">
        <v>24</v>
      </c>
      <c r="F19" s="4">
        <f>H19+J19+L19</f>
        <v>172068</v>
      </c>
      <c r="G19" s="8">
        <f>I19+K19+M19</f>
        <v>8603.4</v>
      </c>
      <c r="H19" s="4">
        <v>0</v>
      </c>
      <c r="I19" s="8"/>
      <c r="J19" s="4">
        <f>노임!$D$3</f>
        <v>172068</v>
      </c>
      <c r="K19" s="8">
        <f>TRUNC(J19*D19,1)</f>
        <v>8603.4</v>
      </c>
      <c r="L19" s="4">
        <v>0</v>
      </c>
      <c r="M19" s="8"/>
      <c r="N19" s="12" t="s">
        <v>0</v>
      </c>
    </row>
    <row r="20" spans="1:14" ht="15" customHeight="1">
      <c r="A20" s="13"/>
      <c r="B20" s="14" t="s">
        <v>288</v>
      </c>
      <c r="C20" s="1" t="s">
        <v>220</v>
      </c>
      <c r="D20" s="3">
        <v>2</v>
      </c>
      <c r="E20" s="1" t="s">
        <v>221</v>
      </c>
      <c r="F20" s="4">
        <f>H20+J20+L20</f>
        <v>0</v>
      </c>
      <c r="G20" s="8">
        <f>I20+K20+M20</f>
        <v>644.70000000000005</v>
      </c>
      <c r="H20" s="4"/>
      <c r="I20" s="8"/>
      <c r="J20" s="4"/>
      <c r="K20" s="8"/>
      <c r="L20" s="4"/>
      <c r="M20" s="8">
        <f>TRUNC((K18+K19)*D20%,1)</f>
        <v>644.70000000000005</v>
      </c>
      <c r="N20" s="12"/>
    </row>
    <row r="21" spans="1:14" ht="15" customHeight="1">
      <c r="A21" s="13"/>
      <c r="B21" s="14" t="s">
        <v>532</v>
      </c>
      <c r="C21" s="1" t="s">
        <v>415</v>
      </c>
      <c r="D21" s="3">
        <v>1</v>
      </c>
      <c r="E21" s="1" t="s">
        <v>531</v>
      </c>
      <c r="F21" s="4"/>
      <c r="G21" s="8"/>
      <c r="H21" s="4" t="e">
        <f>#REF!</f>
        <v>#REF!</v>
      </c>
      <c r="I21" s="8" t="e">
        <f>TRUNC(H21*D21,1)</f>
        <v>#REF!</v>
      </c>
      <c r="J21" s="4"/>
      <c r="K21" s="8"/>
      <c r="L21" s="4"/>
      <c r="M21" s="8"/>
      <c r="N21" s="12"/>
    </row>
    <row r="22" spans="1:14" ht="15" customHeight="1">
      <c r="A22" s="16"/>
      <c r="B22" s="15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12"/>
    </row>
    <row r="23" spans="1:14" ht="15" customHeight="1">
      <c r="A23" s="64">
        <f>A17+1</f>
        <v>60</v>
      </c>
      <c r="B23" s="46" t="s">
        <v>304</v>
      </c>
      <c r="C23" s="47" t="s">
        <v>179</v>
      </c>
      <c r="D23" s="47">
        <v>1</v>
      </c>
      <c r="E23" s="47" t="s">
        <v>3</v>
      </c>
      <c r="F23" s="51"/>
      <c r="G23" s="50" t="e">
        <f>I23+K23+M23</f>
        <v>#REF!</v>
      </c>
      <c r="H23" s="51"/>
      <c r="I23" s="50" t="e">
        <f>TRUNC(I24+I25+I26+I27,0)</f>
        <v>#REF!</v>
      </c>
      <c r="J23" s="51"/>
      <c r="K23" s="50">
        <f t="shared" ref="K23" si="6">TRUNC(K24+K25+K26,0)</f>
        <v>39207</v>
      </c>
      <c r="L23" s="50">
        <f t="shared" ref="L23" si="7">TRUNC(L24+L25+L26,0)</f>
        <v>0</v>
      </c>
      <c r="M23" s="50">
        <f t="shared" ref="M23" si="8">TRUNC(M24+M25+M26,0)</f>
        <v>784</v>
      </c>
      <c r="N23" s="63" t="s">
        <v>249</v>
      </c>
    </row>
    <row r="24" spans="1:14" ht="15" customHeight="1">
      <c r="A24" s="13"/>
      <c r="B24" s="14" t="s">
        <v>261</v>
      </c>
      <c r="C24" s="1" t="s">
        <v>32</v>
      </c>
      <c r="D24" s="3">
        <v>0.11</v>
      </c>
      <c r="E24" s="1" t="s">
        <v>24</v>
      </c>
      <c r="F24" s="4">
        <f>H24+J24+L24</f>
        <v>262580</v>
      </c>
      <c r="G24" s="8">
        <f>I24+K24+M24</f>
        <v>28883.8</v>
      </c>
      <c r="H24" s="4">
        <v>0</v>
      </c>
      <c r="I24" s="8"/>
      <c r="J24" s="4">
        <f>노임!$D$10</f>
        <v>262580</v>
      </c>
      <c r="K24" s="8">
        <f>TRUNC(J24*D24,1)</f>
        <v>28883.8</v>
      </c>
      <c r="L24" s="4">
        <v>0</v>
      </c>
      <c r="M24" s="8"/>
      <c r="N24" s="12" t="s">
        <v>0</v>
      </c>
    </row>
    <row r="25" spans="1:14" ht="15" customHeight="1">
      <c r="A25" s="13"/>
      <c r="B25" s="14" t="s">
        <v>262</v>
      </c>
      <c r="C25" s="1" t="s">
        <v>0</v>
      </c>
      <c r="D25" s="3">
        <v>0.06</v>
      </c>
      <c r="E25" s="1" t="s">
        <v>24</v>
      </c>
      <c r="F25" s="4">
        <f>H25+J25+L25</f>
        <v>172068</v>
      </c>
      <c r="G25" s="8">
        <f>I25+K25+M25</f>
        <v>10324</v>
      </c>
      <c r="H25" s="4">
        <v>0</v>
      </c>
      <c r="I25" s="8"/>
      <c r="J25" s="4">
        <f>노임!$D$3</f>
        <v>172068</v>
      </c>
      <c r="K25" s="8">
        <f>TRUNC(J25*D25,1)</f>
        <v>10324</v>
      </c>
      <c r="L25" s="4">
        <v>0</v>
      </c>
      <c r="M25" s="8"/>
      <c r="N25" s="12" t="s">
        <v>0</v>
      </c>
    </row>
    <row r="26" spans="1:14" ht="15" customHeight="1">
      <c r="A26" s="13"/>
      <c r="B26" s="14" t="s">
        <v>288</v>
      </c>
      <c r="C26" s="1" t="s">
        <v>220</v>
      </c>
      <c r="D26" s="3">
        <v>2</v>
      </c>
      <c r="E26" s="1" t="s">
        <v>221</v>
      </c>
      <c r="F26" s="4">
        <f>H26+J26+L26</f>
        <v>0</v>
      </c>
      <c r="G26" s="8">
        <f>I26+K26+M26</f>
        <v>784.1</v>
      </c>
      <c r="H26" s="4"/>
      <c r="I26" s="8"/>
      <c r="J26" s="4"/>
      <c r="K26" s="8"/>
      <c r="L26" s="4"/>
      <c r="M26" s="8">
        <f>TRUNC((K24+K25)*D26%,1)</f>
        <v>784.1</v>
      </c>
      <c r="N26" s="12"/>
    </row>
    <row r="27" spans="1:14" ht="15" customHeight="1">
      <c r="A27" s="13"/>
      <c r="B27" s="14" t="s">
        <v>532</v>
      </c>
      <c r="C27" s="1" t="s">
        <v>416</v>
      </c>
      <c r="D27" s="3">
        <v>1</v>
      </c>
      <c r="E27" s="1" t="s">
        <v>531</v>
      </c>
      <c r="F27" s="4"/>
      <c r="G27" s="8"/>
      <c r="H27" s="4" t="e">
        <f>#REF!</f>
        <v>#REF!</v>
      </c>
      <c r="I27" s="8" t="e">
        <f>TRUNC(H27*D27,1)</f>
        <v>#REF!</v>
      </c>
      <c r="J27" s="4"/>
      <c r="K27" s="8"/>
      <c r="L27" s="4"/>
      <c r="M27" s="8"/>
      <c r="N27" s="12"/>
    </row>
    <row r="28" spans="1:14" ht="15" customHeight="1">
      <c r="A28" s="16"/>
      <c r="B28" s="15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12"/>
    </row>
    <row r="29" spans="1:14" ht="15" customHeight="1">
      <c r="A29" s="64">
        <f>A23+1</f>
        <v>61</v>
      </c>
      <c r="B29" s="46" t="s">
        <v>304</v>
      </c>
      <c r="C29" s="47" t="s">
        <v>180</v>
      </c>
      <c r="D29" s="47">
        <v>1</v>
      </c>
      <c r="E29" s="47" t="s">
        <v>3</v>
      </c>
      <c r="F29" s="51"/>
      <c r="G29" s="50" t="e">
        <f>I29+K29+M29</f>
        <v>#REF!</v>
      </c>
      <c r="H29" s="51"/>
      <c r="I29" s="50" t="e">
        <f>TRUNC(I30+I31+I32+I33,0)</f>
        <v>#REF!</v>
      </c>
      <c r="J29" s="51"/>
      <c r="K29" s="50">
        <f t="shared" ref="K29" si="9">TRUNC(K30+K31+K32,0)</f>
        <v>48805</v>
      </c>
      <c r="L29" s="50">
        <f t="shared" ref="L29" si="10">TRUNC(L30+L31+L32,0)</f>
        <v>0</v>
      </c>
      <c r="M29" s="50">
        <f t="shared" ref="M29" si="11">TRUNC(M30+M31+M32,0)</f>
        <v>976</v>
      </c>
      <c r="N29" s="63" t="s">
        <v>249</v>
      </c>
    </row>
    <row r="30" spans="1:14" ht="15" customHeight="1">
      <c r="A30" s="13"/>
      <c r="B30" s="14" t="s">
        <v>261</v>
      </c>
      <c r="C30" s="1" t="s">
        <v>32</v>
      </c>
      <c r="D30" s="3">
        <v>0.14000000000000001</v>
      </c>
      <c r="E30" s="1" t="s">
        <v>24</v>
      </c>
      <c r="F30" s="4">
        <f>H30+J30+L30</f>
        <v>262580</v>
      </c>
      <c r="G30" s="8">
        <f>I30+K30+M30</f>
        <v>36761.199999999997</v>
      </c>
      <c r="H30" s="4">
        <v>0</v>
      </c>
      <c r="I30" s="8"/>
      <c r="J30" s="4">
        <f>노임!$D$10</f>
        <v>262580</v>
      </c>
      <c r="K30" s="8">
        <f>TRUNC(J30*D30,1)</f>
        <v>36761.199999999997</v>
      </c>
      <c r="L30" s="4">
        <v>0</v>
      </c>
      <c r="M30" s="8"/>
      <c r="N30" s="12" t="s">
        <v>0</v>
      </c>
    </row>
    <row r="31" spans="1:14" ht="15" customHeight="1">
      <c r="A31" s="13"/>
      <c r="B31" s="14" t="s">
        <v>262</v>
      </c>
      <c r="C31" s="1" t="s">
        <v>0</v>
      </c>
      <c r="D31" s="3">
        <v>7.0000000000000007E-2</v>
      </c>
      <c r="E31" s="1" t="s">
        <v>24</v>
      </c>
      <c r="F31" s="4">
        <f>H31+J31+L31</f>
        <v>172068</v>
      </c>
      <c r="G31" s="8">
        <f>I31+K31+M31</f>
        <v>12044.7</v>
      </c>
      <c r="H31" s="4">
        <v>0</v>
      </c>
      <c r="I31" s="8"/>
      <c r="J31" s="4">
        <f>노임!$D$3</f>
        <v>172068</v>
      </c>
      <c r="K31" s="8">
        <f>TRUNC(J31*D31,1)</f>
        <v>12044.7</v>
      </c>
      <c r="L31" s="4">
        <v>0</v>
      </c>
      <c r="M31" s="8"/>
      <c r="N31" s="12" t="s">
        <v>0</v>
      </c>
    </row>
    <row r="32" spans="1:14" ht="15" customHeight="1">
      <c r="A32" s="13"/>
      <c r="B32" s="14" t="s">
        <v>288</v>
      </c>
      <c r="C32" s="1" t="s">
        <v>220</v>
      </c>
      <c r="D32" s="3">
        <v>2</v>
      </c>
      <c r="E32" s="1" t="s">
        <v>221</v>
      </c>
      <c r="F32" s="4">
        <f>H32+J32+L32</f>
        <v>0</v>
      </c>
      <c r="G32" s="8">
        <f>I32+K32+M32</f>
        <v>976.1</v>
      </c>
      <c r="H32" s="4"/>
      <c r="I32" s="8"/>
      <c r="J32" s="4"/>
      <c r="K32" s="8"/>
      <c r="L32" s="4"/>
      <c r="M32" s="8">
        <f>TRUNC((K30+K31)*D32%,1)</f>
        <v>976.1</v>
      </c>
      <c r="N32" s="12"/>
    </row>
    <row r="33" spans="1:14" ht="15" customHeight="1">
      <c r="A33" s="13"/>
      <c r="B33" s="14" t="s">
        <v>532</v>
      </c>
      <c r="C33" s="1" t="s">
        <v>417</v>
      </c>
      <c r="D33" s="3">
        <v>1</v>
      </c>
      <c r="E33" s="1" t="s">
        <v>531</v>
      </c>
      <c r="F33" s="4"/>
      <c r="G33" s="8"/>
      <c r="H33" s="4" t="e">
        <f>#REF!</f>
        <v>#REF!</v>
      </c>
      <c r="I33" s="8" t="e">
        <f>TRUNC(H33*D33,1)</f>
        <v>#REF!</v>
      </c>
      <c r="J33" s="4"/>
      <c r="K33" s="8"/>
      <c r="L33" s="4"/>
      <c r="M33" s="8"/>
      <c r="N33" s="12"/>
    </row>
    <row r="34" spans="1:14" ht="15" customHeight="1">
      <c r="A34" s="16"/>
      <c r="B34" s="15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12"/>
    </row>
    <row r="35" spans="1:14" ht="15" customHeight="1">
      <c r="A35" s="64">
        <f>A29+1</f>
        <v>62</v>
      </c>
      <c r="B35" s="46" t="s">
        <v>304</v>
      </c>
      <c r="C35" s="47" t="s">
        <v>181</v>
      </c>
      <c r="D35" s="47">
        <v>1</v>
      </c>
      <c r="E35" s="47" t="s">
        <v>3</v>
      </c>
      <c r="F35" s="51"/>
      <c r="G35" s="50" t="e">
        <f>I35+K35+M35</f>
        <v>#REF!</v>
      </c>
      <c r="H35" s="51"/>
      <c r="I35" s="50" t="e">
        <f>TRUNC(I36+I37+I38+I39,0)</f>
        <v>#REF!</v>
      </c>
      <c r="J35" s="51"/>
      <c r="K35" s="50">
        <f t="shared" ref="K35" si="12">TRUNC(K36+K37+K38,0)</f>
        <v>48805</v>
      </c>
      <c r="L35" s="50">
        <f t="shared" ref="L35" si="13">TRUNC(L36+L37+L38,0)</f>
        <v>0</v>
      </c>
      <c r="M35" s="50">
        <f t="shared" ref="M35" si="14">TRUNC(M36+M37+M38,0)</f>
        <v>976</v>
      </c>
      <c r="N35" s="63" t="s">
        <v>249</v>
      </c>
    </row>
    <row r="36" spans="1:14" ht="15" customHeight="1">
      <c r="A36" s="13"/>
      <c r="B36" s="14" t="s">
        <v>261</v>
      </c>
      <c r="C36" s="1" t="s">
        <v>32</v>
      </c>
      <c r="D36" s="3">
        <v>0.14000000000000001</v>
      </c>
      <c r="E36" s="1" t="s">
        <v>24</v>
      </c>
      <c r="F36" s="4">
        <f>H36+J36+L36</f>
        <v>262580</v>
      </c>
      <c r="G36" s="8">
        <f>I36+K36+M36</f>
        <v>36761.199999999997</v>
      </c>
      <c r="H36" s="4">
        <v>0</v>
      </c>
      <c r="I36" s="8"/>
      <c r="J36" s="4">
        <f>노임!$D$10</f>
        <v>262580</v>
      </c>
      <c r="K36" s="8">
        <f>TRUNC(J36*D36,1)</f>
        <v>36761.199999999997</v>
      </c>
      <c r="L36" s="4">
        <v>0</v>
      </c>
      <c r="M36" s="8"/>
      <c r="N36" s="12" t="s">
        <v>0</v>
      </c>
    </row>
    <row r="37" spans="1:14" ht="15" customHeight="1">
      <c r="A37" s="13"/>
      <c r="B37" s="14" t="s">
        <v>262</v>
      </c>
      <c r="C37" s="1" t="s">
        <v>0</v>
      </c>
      <c r="D37" s="3">
        <v>7.0000000000000007E-2</v>
      </c>
      <c r="E37" s="1" t="s">
        <v>24</v>
      </c>
      <c r="F37" s="4">
        <f>H37+J37+L37</f>
        <v>172068</v>
      </c>
      <c r="G37" s="8">
        <f>I37+K37+M37</f>
        <v>12044.7</v>
      </c>
      <c r="H37" s="4">
        <v>0</v>
      </c>
      <c r="I37" s="8"/>
      <c r="J37" s="4">
        <f>노임!$D$3</f>
        <v>172068</v>
      </c>
      <c r="K37" s="8">
        <f>TRUNC(J37*D37,1)</f>
        <v>12044.7</v>
      </c>
      <c r="L37" s="4">
        <v>0</v>
      </c>
      <c r="M37" s="8"/>
      <c r="N37" s="12" t="s">
        <v>0</v>
      </c>
    </row>
    <row r="38" spans="1:14" ht="15" customHeight="1">
      <c r="A38" s="13"/>
      <c r="B38" s="14" t="s">
        <v>288</v>
      </c>
      <c r="C38" s="1" t="s">
        <v>220</v>
      </c>
      <c r="D38" s="3">
        <v>2</v>
      </c>
      <c r="E38" s="1" t="s">
        <v>221</v>
      </c>
      <c r="F38" s="4">
        <f>H38+J38+L38</f>
        <v>0</v>
      </c>
      <c r="G38" s="8">
        <f>I38+K38+M38</f>
        <v>976.1</v>
      </c>
      <c r="H38" s="4"/>
      <c r="I38" s="8"/>
      <c r="J38" s="4"/>
      <c r="K38" s="8"/>
      <c r="L38" s="4"/>
      <c r="M38" s="8">
        <f>TRUNC((K36+K37)*D38%,1)</f>
        <v>976.1</v>
      </c>
      <c r="N38" s="12"/>
    </row>
    <row r="39" spans="1:14" ht="15" customHeight="1">
      <c r="A39" s="13"/>
      <c r="B39" s="14" t="s">
        <v>532</v>
      </c>
      <c r="C39" s="1" t="s">
        <v>418</v>
      </c>
      <c r="D39" s="3">
        <v>1</v>
      </c>
      <c r="E39" s="1" t="s">
        <v>531</v>
      </c>
      <c r="F39" s="4"/>
      <c r="G39" s="8"/>
      <c r="H39" s="4" t="e">
        <f>#REF!</f>
        <v>#REF!</v>
      </c>
      <c r="I39" s="8" t="e">
        <f>TRUNC(H39*D39,1)</f>
        <v>#REF!</v>
      </c>
      <c r="J39" s="4"/>
      <c r="K39" s="8"/>
      <c r="L39" s="4"/>
      <c r="M39" s="8"/>
      <c r="N39" s="12"/>
    </row>
    <row r="40" spans="1:14" ht="15" customHeight="1">
      <c r="A40" s="16"/>
      <c r="B40" s="15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12"/>
    </row>
    <row r="41" spans="1:14" ht="15" customHeight="1">
      <c r="A41" s="64">
        <f>A35+1</f>
        <v>63</v>
      </c>
      <c r="B41" s="46" t="s">
        <v>304</v>
      </c>
      <c r="C41" s="47" t="s">
        <v>182</v>
      </c>
      <c r="D41" s="47">
        <v>1</v>
      </c>
      <c r="E41" s="47" t="s">
        <v>3</v>
      </c>
      <c r="F41" s="51"/>
      <c r="G41" s="50" t="e">
        <f>I41+K41+M41</f>
        <v>#REF!</v>
      </c>
      <c r="H41" s="51"/>
      <c r="I41" s="50" t="e">
        <f>TRUNC(I42+I43+I44+I45,0)</f>
        <v>#REF!</v>
      </c>
      <c r="J41" s="51"/>
      <c r="K41" s="50">
        <f t="shared" ref="K41" si="15">TRUNC(K42+K43+K44,0)</f>
        <v>55778</v>
      </c>
      <c r="L41" s="50">
        <f t="shared" ref="L41" si="16">TRUNC(L42+L43+L44,0)</f>
        <v>0</v>
      </c>
      <c r="M41" s="50">
        <f t="shared" ref="M41" si="17">TRUNC(M42+M43+M44,0)</f>
        <v>1115</v>
      </c>
      <c r="N41" s="63" t="s">
        <v>249</v>
      </c>
    </row>
    <row r="42" spans="1:14" ht="15" customHeight="1">
      <c r="A42" s="13"/>
      <c r="B42" s="14" t="s">
        <v>261</v>
      </c>
      <c r="C42" s="1" t="s">
        <v>32</v>
      </c>
      <c r="D42" s="3">
        <v>0.16</v>
      </c>
      <c r="E42" s="1" t="s">
        <v>24</v>
      </c>
      <c r="F42" s="4">
        <f>H42+J42+L42</f>
        <v>262580</v>
      </c>
      <c r="G42" s="8">
        <f>I42+K42+M42</f>
        <v>42012.800000000003</v>
      </c>
      <c r="H42" s="4">
        <v>0</v>
      </c>
      <c r="I42" s="8"/>
      <c r="J42" s="4">
        <f>노임!$D$10</f>
        <v>262580</v>
      </c>
      <c r="K42" s="8">
        <f>TRUNC(J42*D42,1)</f>
        <v>42012.800000000003</v>
      </c>
      <c r="L42" s="4">
        <v>0</v>
      </c>
      <c r="M42" s="8"/>
      <c r="N42" s="12" t="s">
        <v>0</v>
      </c>
    </row>
    <row r="43" spans="1:14" ht="15" customHeight="1">
      <c r="A43" s="13"/>
      <c r="B43" s="14" t="s">
        <v>262</v>
      </c>
      <c r="C43" s="1" t="s">
        <v>0</v>
      </c>
      <c r="D43" s="3">
        <v>0.08</v>
      </c>
      <c r="E43" s="1" t="s">
        <v>24</v>
      </c>
      <c r="F43" s="4">
        <f>H43+J43+L43</f>
        <v>172068</v>
      </c>
      <c r="G43" s="8">
        <f>I43+K43+M43</f>
        <v>13765.4</v>
      </c>
      <c r="H43" s="4">
        <v>0</v>
      </c>
      <c r="I43" s="8"/>
      <c r="J43" s="4">
        <f>노임!$D$3</f>
        <v>172068</v>
      </c>
      <c r="K43" s="8">
        <f>TRUNC(J43*D43,1)</f>
        <v>13765.4</v>
      </c>
      <c r="L43" s="4">
        <v>0</v>
      </c>
      <c r="M43" s="8"/>
      <c r="N43" s="12" t="s">
        <v>0</v>
      </c>
    </row>
    <row r="44" spans="1:14" ht="15" customHeight="1">
      <c r="A44" s="13"/>
      <c r="B44" s="14" t="s">
        <v>288</v>
      </c>
      <c r="C44" s="1" t="s">
        <v>220</v>
      </c>
      <c r="D44" s="3">
        <v>2</v>
      </c>
      <c r="E44" s="1" t="s">
        <v>221</v>
      </c>
      <c r="F44" s="4">
        <f>H44+J44+L44</f>
        <v>0</v>
      </c>
      <c r="G44" s="8">
        <f>I44+K44+M44</f>
        <v>1115.5</v>
      </c>
      <c r="H44" s="4"/>
      <c r="I44" s="8"/>
      <c r="J44" s="4"/>
      <c r="K44" s="8"/>
      <c r="L44" s="4"/>
      <c r="M44" s="8">
        <f>TRUNC((K42+K43)*D44%,1)</f>
        <v>1115.5</v>
      </c>
      <c r="N44" s="12"/>
    </row>
    <row r="45" spans="1:14" ht="15" customHeight="1">
      <c r="A45" s="13"/>
      <c r="B45" s="14" t="s">
        <v>532</v>
      </c>
      <c r="C45" s="1" t="s">
        <v>419</v>
      </c>
      <c r="D45" s="3">
        <v>1</v>
      </c>
      <c r="E45" s="1" t="s">
        <v>531</v>
      </c>
      <c r="F45" s="4"/>
      <c r="G45" s="8"/>
      <c r="H45" s="4" t="e">
        <f>#REF!</f>
        <v>#REF!</v>
      </c>
      <c r="I45" s="8" t="e">
        <f>TRUNC(H45*D45,1)</f>
        <v>#REF!</v>
      </c>
      <c r="J45" s="4"/>
      <c r="K45" s="8"/>
      <c r="L45" s="4"/>
      <c r="M45" s="8"/>
      <c r="N45" s="12"/>
    </row>
    <row r="46" spans="1:14" ht="15" customHeight="1">
      <c r="A46" s="16"/>
      <c r="B46" s="15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12"/>
    </row>
    <row r="47" spans="1:14" ht="15" customHeight="1">
      <c r="A47" s="64">
        <f>A41+1</f>
        <v>64</v>
      </c>
      <c r="B47" s="46" t="s">
        <v>304</v>
      </c>
      <c r="C47" s="47" t="s">
        <v>183</v>
      </c>
      <c r="D47" s="47">
        <v>1</v>
      </c>
      <c r="E47" s="47" t="s">
        <v>3</v>
      </c>
      <c r="F47" s="51"/>
      <c r="G47" s="50" t="e">
        <f>I47+K47+M47</f>
        <v>#REF!</v>
      </c>
      <c r="H47" s="51"/>
      <c r="I47" s="50" t="e">
        <f>TRUNC(I48+I49+I50+I51,0)</f>
        <v>#REF!</v>
      </c>
      <c r="J47" s="51"/>
      <c r="K47" s="50">
        <f t="shared" ref="K47" si="18">TRUNC(K48+K49+K50,0)</f>
        <v>62750</v>
      </c>
      <c r="L47" s="50">
        <f t="shared" ref="L47" si="19">TRUNC(L48+L49+L50,0)</f>
        <v>0</v>
      </c>
      <c r="M47" s="50">
        <f t="shared" ref="M47" si="20">TRUNC(M48+M49+M50,0)</f>
        <v>1255</v>
      </c>
      <c r="N47" s="63" t="s">
        <v>249</v>
      </c>
    </row>
    <row r="48" spans="1:14" ht="15" customHeight="1">
      <c r="A48" s="13"/>
      <c r="B48" s="14" t="s">
        <v>261</v>
      </c>
      <c r="C48" s="1" t="s">
        <v>32</v>
      </c>
      <c r="D48" s="3">
        <v>0.18</v>
      </c>
      <c r="E48" s="1" t="s">
        <v>24</v>
      </c>
      <c r="F48" s="4">
        <f>H48+J48+L48</f>
        <v>262580</v>
      </c>
      <c r="G48" s="8">
        <f>I48+K48+M48</f>
        <v>47264.4</v>
      </c>
      <c r="H48" s="4">
        <v>0</v>
      </c>
      <c r="I48" s="8"/>
      <c r="J48" s="4">
        <f>노임!$D$10</f>
        <v>262580</v>
      </c>
      <c r="K48" s="8">
        <f>TRUNC(J48*D48,1)</f>
        <v>47264.4</v>
      </c>
      <c r="L48" s="4">
        <v>0</v>
      </c>
      <c r="M48" s="8"/>
      <c r="N48" s="12" t="s">
        <v>0</v>
      </c>
    </row>
    <row r="49" spans="1:14" ht="15" customHeight="1">
      <c r="A49" s="13"/>
      <c r="B49" s="14" t="s">
        <v>262</v>
      </c>
      <c r="C49" s="1" t="s">
        <v>0</v>
      </c>
      <c r="D49" s="3">
        <v>0.09</v>
      </c>
      <c r="E49" s="1" t="s">
        <v>24</v>
      </c>
      <c r="F49" s="4">
        <f>H49+J49+L49</f>
        <v>172068</v>
      </c>
      <c r="G49" s="8">
        <f>I49+K49+M49</f>
        <v>15486.1</v>
      </c>
      <c r="H49" s="4">
        <v>0</v>
      </c>
      <c r="I49" s="8"/>
      <c r="J49" s="4">
        <f>노임!$D$3</f>
        <v>172068</v>
      </c>
      <c r="K49" s="8">
        <f>TRUNC(J49*D49,1)</f>
        <v>15486.1</v>
      </c>
      <c r="L49" s="4">
        <v>0</v>
      </c>
      <c r="M49" s="8"/>
      <c r="N49" s="12" t="s">
        <v>0</v>
      </c>
    </row>
    <row r="50" spans="1:14" ht="15" customHeight="1">
      <c r="A50" s="13"/>
      <c r="B50" s="14" t="s">
        <v>288</v>
      </c>
      <c r="C50" s="1" t="s">
        <v>220</v>
      </c>
      <c r="D50" s="3">
        <v>2</v>
      </c>
      <c r="E50" s="1" t="s">
        <v>221</v>
      </c>
      <c r="F50" s="4">
        <f>H50+J50+L50</f>
        <v>0</v>
      </c>
      <c r="G50" s="8">
        <f>I50+K50+M50</f>
        <v>1255</v>
      </c>
      <c r="H50" s="4"/>
      <c r="I50" s="8"/>
      <c r="J50" s="4"/>
      <c r="K50" s="8"/>
      <c r="L50" s="4"/>
      <c r="M50" s="8">
        <f>TRUNC((K48+K49)*D50%,1)</f>
        <v>1255</v>
      </c>
      <c r="N50" s="12"/>
    </row>
    <row r="51" spans="1:14" ht="15" customHeight="1">
      <c r="A51" s="13"/>
      <c r="B51" s="14" t="s">
        <v>532</v>
      </c>
      <c r="C51" s="1" t="s">
        <v>420</v>
      </c>
      <c r="D51" s="3">
        <v>1</v>
      </c>
      <c r="E51" s="1" t="s">
        <v>531</v>
      </c>
      <c r="F51" s="4"/>
      <c r="G51" s="8"/>
      <c r="H51" s="4" t="e">
        <f>#REF!</f>
        <v>#REF!</v>
      </c>
      <c r="I51" s="8" t="e">
        <f>TRUNC(H51*D51,1)</f>
        <v>#REF!</v>
      </c>
      <c r="J51" s="4"/>
      <c r="K51" s="8"/>
      <c r="L51" s="4"/>
      <c r="M51" s="8"/>
      <c r="N51" s="12"/>
    </row>
    <row r="52" spans="1:14" ht="15" customHeight="1">
      <c r="A52" s="16"/>
      <c r="B52" s="15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12"/>
    </row>
    <row r="53" spans="1:14" ht="15" customHeight="1">
      <c r="A53" s="64">
        <f>A47+1</f>
        <v>65</v>
      </c>
      <c r="B53" s="46" t="s">
        <v>304</v>
      </c>
      <c r="C53" s="47" t="s">
        <v>185</v>
      </c>
      <c r="D53" s="47">
        <v>1</v>
      </c>
      <c r="E53" s="47" t="s">
        <v>3</v>
      </c>
      <c r="F53" s="51"/>
      <c r="G53" s="50" t="e">
        <f>I53+K53+M53</f>
        <v>#REF!</v>
      </c>
      <c r="H53" s="51"/>
      <c r="I53" s="50" t="e">
        <f>TRUNC(I54+I55+I56+I57,0)</f>
        <v>#REF!</v>
      </c>
      <c r="J53" s="51"/>
      <c r="K53" s="50">
        <f t="shared" ref="K53" si="21">TRUNC(K54+K55+K56,0)</f>
        <v>69722</v>
      </c>
      <c r="L53" s="50">
        <f t="shared" ref="L53" si="22">TRUNC(L54+L55+L56,0)</f>
        <v>0</v>
      </c>
      <c r="M53" s="50">
        <f t="shared" ref="M53" si="23">TRUNC(M54+M55+M56,0)</f>
        <v>1394</v>
      </c>
      <c r="N53" s="63" t="s">
        <v>249</v>
      </c>
    </row>
    <row r="54" spans="1:14" ht="15" customHeight="1">
      <c r="A54" s="13"/>
      <c r="B54" s="14" t="s">
        <v>261</v>
      </c>
      <c r="C54" s="1" t="s">
        <v>32</v>
      </c>
      <c r="D54" s="3">
        <v>0.2</v>
      </c>
      <c r="E54" s="1" t="s">
        <v>24</v>
      </c>
      <c r="F54" s="4">
        <f>H54+J54+L54</f>
        <v>262580</v>
      </c>
      <c r="G54" s="8">
        <f>I54+K54+M54</f>
        <v>52516</v>
      </c>
      <c r="H54" s="4">
        <v>0</v>
      </c>
      <c r="I54" s="8"/>
      <c r="J54" s="4">
        <f>노임!$D$10</f>
        <v>262580</v>
      </c>
      <c r="K54" s="8">
        <f>TRUNC(J54*D54,1)</f>
        <v>52516</v>
      </c>
      <c r="L54" s="4">
        <v>0</v>
      </c>
      <c r="M54" s="8"/>
      <c r="N54" s="12" t="s">
        <v>0</v>
      </c>
    </row>
    <row r="55" spans="1:14" ht="15" customHeight="1">
      <c r="A55" s="13"/>
      <c r="B55" s="14" t="s">
        <v>262</v>
      </c>
      <c r="C55" s="1" t="s">
        <v>0</v>
      </c>
      <c r="D55" s="3">
        <v>0.1</v>
      </c>
      <c r="E55" s="1" t="s">
        <v>24</v>
      </c>
      <c r="F55" s="4">
        <f>H55+J55+L55</f>
        <v>172068</v>
      </c>
      <c r="G55" s="8">
        <f>I55+K55+M55</f>
        <v>17206.8</v>
      </c>
      <c r="H55" s="4">
        <v>0</v>
      </c>
      <c r="I55" s="8"/>
      <c r="J55" s="4">
        <f>노임!$D$3</f>
        <v>172068</v>
      </c>
      <c r="K55" s="8">
        <f>TRUNC(J55*D55,1)</f>
        <v>17206.8</v>
      </c>
      <c r="L55" s="4">
        <v>0</v>
      </c>
      <c r="M55" s="8"/>
      <c r="N55" s="12" t="s">
        <v>0</v>
      </c>
    </row>
    <row r="56" spans="1:14" ht="15" customHeight="1">
      <c r="A56" s="13"/>
      <c r="B56" s="14" t="s">
        <v>288</v>
      </c>
      <c r="C56" s="1" t="s">
        <v>220</v>
      </c>
      <c r="D56" s="3">
        <v>2</v>
      </c>
      <c r="E56" s="1" t="s">
        <v>221</v>
      </c>
      <c r="F56" s="4">
        <f>H56+J56+L56</f>
        <v>0</v>
      </c>
      <c r="G56" s="8">
        <f>I56+K56+M56</f>
        <v>1394.4</v>
      </c>
      <c r="H56" s="4"/>
      <c r="I56" s="8"/>
      <c r="J56" s="4"/>
      <c r="K56" s="8"/>
      <c r="L56" s="4"/>
      <c r="M56" s="8">
        <f>TRUNC((K54+K55)*D56%,1)</f>
        <v>1394.4</v>
      </c>
      <c r="N56" s="12"/>
    </row>
    <row r="57" spans="1:14" ht="15" customHeight="1">
      <c r="A57" s="13"/>
      <c r="B57" s="14" t="s">
        <v>532</v>
      </c>
      <c r="C57" s="1" t="s">
        <v>421</v>
      </c>
      <c r="D57" s="3">
        <v>1</v>
      </c>
      <c r="E57" s="1" t="s">
        <v>531</v>
      </c>
      <c r="F57" s="4"/>
      <c r="G57" s="8"/>
      <c r="H57" s="4" t="e">
        <f>#REF!</f>
        <v>#REF!</v>
      </c>
      <c r="I57" s="8" t="e">
        <f>TRUNC(H57*D57,1)</f>
        <v>#REF!</v>
      </c>
      <c r="J57" s="4"/>
      <c r="K57" s="8"/>
      <c r="L57" s="4"/>
      <c r="M57" s="8"/>
      <c r="N57" s="12"/>
    </row>
    <row r="58" spans="1:14" ht="15" customHeight="1">
      <c r="A58" s="16"/>
      <c r="B58" s="15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12"/>
    </row>
    <row r="59" spans="1:14" ht="15" customHeight="1">
      <c r="A59" s="64">
        <f>A53+1</f>
        <v>66</v>
      </c>
      <c r="B59" s="46" t="s">
        <v>304</v>
      </c>
      <c r="C59" s="47" t="s">
        <v>184</v>
      </c>
      <c r="D59" s="47">
        <v>1</v>
      </c>
      <c r="E59" s="47" t="s">
        <v>3</v>
      </c>
      <c r="F59" s="51"/>
      <c r="G59" s="50" t="e">
        <f>I59+K59+M59</f>
        <v>#REF!</v>
      </c>
      <c r="H59" s="51"/>
      <c r="I59" s="50" t="e">
        <f>TRUNC(I60+I61+I62+I63,0)</f>
        <v>#REF!</v>
      </c>
      <c r="J59" s="51"/>
      <c r="K59" s="50">
        <f t="shared" ref="K59" si="24">TRUNC(K60+K61+K62,0)</f>
        <v>76695</v>
      </c>
      <c r="L59" s="50">
        <f t="shared" ref="L59" si="25">TRUNC(L60+L61+L62,0)</f>
        <v>0</v>
      </c>
      <c r="M59" s="50">
        <f t="shared" ref="M59" si="26">TRUNC(M60+M61+M62,0)</f>
        <v>1533</v>
      </c>
      <c r="N59" s="63" t="s">
        <v>249</v>
      </c>
    </row>
    <row r="60" spans="1:14" ht="15" customHeight="1">
      <c r="A60" s="13"/>
      <c r="B60" s="14" t="s">
        <v>261</v>
      </c>
      <c r="C60" s="1" t="s">
        <v>32</v>
      </c>
      <c r="D60" s="3">
        <v>0.22</v>
      </c>
      <c r="E60" s="1" t="s">
        <v>24</v>
      </c>
      <c r="F60" s="4">
        <f>H60+J60+L60</f>
        <v>262580</v>
      </c>
      <c r="G60" s="8">
        <f>I60+K60+M60</f>
        <v>57767.6</v>
      </c>
      <c r="H60" s="4">
        <v>0</v>
      </c>
      <c r="I60" s="8"/>
      <c r="J60" s="4">
        <f>노임!$D$10</f>
        <v>262580</v>
      </c>
      <c r="K60" s="8">
        <f>TRUNC(J60*D60,1)</f>
        <v>57767.6</v>
      </c>
      <c r="L60" s="4">
        <v>0</v>
      </c>
      <c r="M60" s="8"/>
      <c r="N60" s="12" t="s">
        <v>0</v>
      </c>
    </row>
    <row r="61" spans="1:14" ht="15" customHeight="1">
      <c r="A61" s="13"/>
      <c r="B61" s="14" t="s">
        <v>262</v>
      </c>
      <c r="C61" s="1" t="s">
        <v>0</v>
      </c>
      <c r="D61" s="3">
        <v>0.11</v>
      </c>
      <c r="E61" s="1" t="s">
        <v>24</v>
      </c>
      <c r="F61" s="4">
        <f>H61+J61+L61</f>
        <v>172068</v>
      </c>
      <c r="G61" s="8">
        <f>I61+K61+M61</f>
        <v>18927.400000000001</v>
      </c>
      <c r="H61" s="4">
        <v>0</v>
      </c>
      <c r="I61" s="8"/>
      <c r="J61" s="4">
        <f>노임!$D$3</f>
        <v>172068</v>
      </c>
      <c r="K61" s="8">
        <f>TRUNC(J61*D61,1)</f>
        <v>18927.400000000001</v>
      </c>
      <c r="L61" s="4">
        <v>0</v>
      </c>
      <c r="M61" s="8"/>
      <c r="N61" s="12" t="s">
        <v>0</v>
      </c>
    </row>
    <row r="62" spans="1:14" ht="15" customHeight="1">
      <c r="A62" s="13"/>
      <c r="B62" s="14" t="s">
        <v>288</v>
      </c>
      <c r="C62" s="1" t="s">
        <v>220</v>
      </c>
      <c r="D62" s="3">
        <v>2</v>
      </c>
      <c r="E62" s="1" t="s">
        <v>221</v>
      </c>
      <c r="F62" s="4">
        <f>H62+J62+L62</f>
        <v>0</v>
      </c>
      <c r="G62" s="8">
        <f>I62+K62+M62</f>
        <v>1533.9</v>
      </c>
      <c r="H62" s="4"/>
      <c r="I62" s="8"/>
      <c r="J62" s="4"/>
      <c r="K62" s="8"/>
      <c r="L62" s="4"/>
      <c r="M62" s="8">
        <f>TRUNC((K60+K61)*D62%,1)</f>
        <v>1533.9</v>
      </c>
      <c r="N62" s="12"/>
    </row>
    <row r="63" spans="1:14" ht="15" customHeight="1">
      <c r="A63" s="13"/>
      <c r="B63" s="14" t="s">
        <v>532</v>
      </c>
      <c r="C63" s="1" t="s">
        <v>422</v>
      </c>
      <c r="D63" s="3">
        <v>1</v>
      </c>
      <c r="E63" s="1" t="s">
        <v>531</v>
      </c>
      <c r="F63" s="4"/>
      <c r="G63" s="8"/>
      <c r="H63" s="4" t="e">
        <f>#REF!</f>
        <v>#REF!</v>
      </c>
      <c r="I63" s="8" t="e">
        <f>TRUNC(H63*D63,1)</f>
        <v>#REF!</v>
      </c>
      <c r="J63" s="4"/>
      <c r="K63" s="8"/>
      <c r="L63" s="4"/>
      <c r="M63" s="8"/>
      <c r="N63" s="12"/>
    </row>
    <row r="64" spans="1:14" ht="15" customHeight="1">
      <c r="A64" s="16"/>
      <c r="B64" s="15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12"/>
    </row>
    <row r="65" spans="1:14" ht="15" customHeight="1">
      <c r="A65" s="64">
        <f>A59+1</f>
        <v>67</v>
      </c>
      <c r="B65" s="46" t="s">
        <v>304</v>
      </c>
      <c r="C65" s="47" t="s">
        <v>186</v>
      </c>
      <c r="D65" s="47">
        <v>1</v>
      </c>
      <c r="E65" s="47" t="s">
        <v>3</v>
      </c>
      <c r="F65" s="51"/>
      <c r="G65" s="50" t="e">
        <f>I65+K65+M65</f>
        <v>#REF!</v>
      </c>
      <c r="H65" s="51"/>
      <c r="I65" s="50" t="e">
        <f>TRUNC(I66+I67+I68+I69,0)</f>
        <v>#REF!</v>
      </c>
      <c r="J65" s="51"/>
      <c r="K65" s="50">
        <f t="shared" ref="K65" si="27">TRUNC(K66+K67+K68,0)</f>
        <v>83667</v>
      </c>
      <c r="L65" s="50">
        <f t="shared" ref="L65" si="28">TRUNC(L66+L67+L68,0)</f>
        <v>0</v>
      </c>
      <c r="M65" s="50">
        <f t="shared" ref="M65" si="29">TRUNC(M66+M67+M68,0)</f>
        <v>1673</v>
      </c>
      <c r="N65" s="63" t="s">
        <v>249</v>
      </c>
    </row>
    <row r="66" spans="1:14" ht="15" customHeight="1">
      <c r="A66" s="13"/>
      <c r="B66" s="14" t="s">
        <v>261</v>
      </c>
      <c r="C66" s="1" t="s">
        <v>32</v>
      </c>
      <c r="D66" s="3">
        <v>0.24</v>
      </c>
      <c r="E66" s="1" t="s">
        <v>24</v>
      </c>
      <c r="F66" s="4">
        <f>H66+J66+L66</f>
        <v>262580</v>
      </c>
      <c r="G66" s="8">
        <f>I66+K66+M66</f>
        <v>63019.199999999997</v>
      </c>
      <c r="H66" s="4">
        <v>0</v>
      </c>
      <c r="I66" s="8"/>
      <c r="J66" s="4">
        <f>노임!$D$10</f>
        <v>262580</v>
      </c>
      <c r="K66" s="8">
        <f>TRUNC(J66*D66,1)</f>
        <v>63019.199999999997</v>
      </c>
      <c r="L66" s="4">
        <v>0</v>
      </c>
      <c r="M66" s="8"/>
      <c r="N66" s="12" t="s">
        <v>0</v>
      </c>
    </row>
    <row r="67" spans="1:14" ht="15" customHeight="1">
      <c r="A67" s="13"/>
      <c r="B67" s="14" t="s">
        <v>262</v>
      </c>
      <c r="C67" s="1" t="s">
        <v>0</v>
      </c>
      <c r="D67" s="3">
        <v>0.12</v>
      </c>
      <c r="E67" s="1" t="s">
        <v>24</v>
      </c>
      <c r="F67" s="4">
        <f>H67+J67+L67</f>
        <v>172068</v>
      </c>
      <c r="G67" s="8">
        <f>I67+K67+M67</f>
        <v>20648.099999999999</v>
      </c>
      <c r="H67" s="4">
        <v>0</v>
      </c>
      <c r="I67" s="8"/>
      <c r="J67" s="4">
        <f>노임!$D$3</f>
        <v>172068</v>
      </c>
      <c r="K67" s="8">
        <f>TRUNC(J67*D67,1)</f>
        <v>20648.099999999999</v>
      </c>
      <c r="L67" s="4">
        <v>0</v>
      </c>
      <c r="M67" s="8"/>
      <c r="N67" s="12" t="s">
        <v>0</v>
      </c>
    </row>
    <row r="68" spans="1:14" ht="15" customHeight="1">
      <c r="A68" s="13"/>
      <c r="B68" s="14" t="s">
        <v>288</v>
      </c>
      <c r="C68" s="1" t="s">
        <v>220</v>
      </c>
      <c r="D68" s="3">
        <v>2</v>
      </c>
      <c r="E68" s="1" t="s">
        <v>221</v>
      </c>
      <c r="F68" s="4">
        <f>H68+J68+L68</f>
        <v>0</v>
      </c>
      <c r="G68" s="8">
        <f>I68+K68+M68</f>
        <v>1673.3</v>
      </c>
      <c r="H68" s="4"/>
      <c r="I68" s="8"/>
      <c r="J68" s="4"/>
      <c r="K68" s="8"/>
      <c r="L68" s="4"/>
      <c r="M68" s="8">
        <f>TRUNC((K66+K67)*D68%,1)</f>
        <v>1673.3</v>
      </c>
      <c r="N68" s="12"/>
    </row>
    <row r="69" spans="1:14" ht="15" customHeight="1">
      <c r="A69" s="13"/>
      <c r="B69" s="14" t="s">
        <v>532</v>
      </c>
      <c r="C69" s="1" t="s">
        <v>423</v>
      </c>
      <c r="D69" s="3">
        <v>1</v>
      </c>
      <c r="E69" s="1" t="s">
        <v>531</v>
      </c>
      <c r="F69" s="4"/>
      <c r="G69" s="8"/>
      <c r="H69" s="4" t="e">
        <f>#REF!</f>
        <v>#REF!</v>
      </c>
      <c r="I69" s="8" t="e">
        <f>TRUNC(H69*D69,1)</f>
        <v>#REF!</v>
      </c>
      <c r="J69" s="4"/>
      <c r="K69" s="8"/>
      <c r="L69" s="4"/>
      <c r="M69" s="8"/>
      <c r="N69" s="12"/>
    </row>
    <row r="70" spans="1:14" ht="15" customHeight="1">
      <c r="A70" s="16"/>
      <c r="B70" s="15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12"/>
    </row>
    <row r="71" spans="1:14" ht="15" customHeight="1">
      <c r="A71" s="64">
        <f>A65+1</f>
        <v>68</v>
      </c>
      <c r="B71" s="46" t="s">
        <v>304</v>
      </c>
      <c r="C71" s="47" t="s">
        <v>187</v>
      </c>
      <c r="D71" s="47">
        <v>1</v>
      </c>
      <c r="E71" s="47" t="s">
        <v>3</v>
      </c>
      <c r="F71" s="51"/>
      <c r="G71" s="50" t="e">
        <f>I71+K71+M71</f>
        <v>#REF!</v>
      </c>
      <c r="H71" s="51"/>
      <c r="I71" s="50" t="e">
        <f>TRUNC(I72+I73+I74+I75,0)</f>
        <v>#REF!</v>
      </c>
      <c r="J71" s="51"/>
      <c r="K71" s="50">
        <f t="shared" ref="K71" si="30">TRUNC(K72+K73+K74,0)</f>
        <v>94986</v>
      </c>
      <c r="L71" s="50">
        <f t="shared" ref="L71" si="31">TRUNC(L72+L73+L74,0)</f>
        <v>0</v>
      </c>
      <c r="M71" s="50">
        <f t="shared" ref="M71" si="32">TRUNC(M72+M73+M74,0)</f>
        <v>1899</v>
      </c>
      <c r="N71" s="63" t="s">
        <v>249</v>
      </c>
    </row>
    <row r="72" spans="1:14" ht="15" customHeight="1">
      <c r="A72" s="13"/>
      <c r="B72" s="14" t="s">
        <v>261</v>
      </c>
      <c r="C72" s="1" t="s">
        <v>32</v>
      </c>
      <c r="D72" s="3">
        <v>0.27</v>
      </c>
      <c r="E72" s="1" t="s">
        <v>24</v>
      </c>
      <c r="F72" s="4">
        <f>H72+J72+L72</f>
        <v>262580</v>
      </c>
      <c r="G72" s="8">
        <f>I72+K72+M72</f>
        <v>70896.600000000006</v>
      </c>
      <c r="H72" s="4">
        <v>0</v>
      </c>
      <c r="I72" s="8"/>
      <c r="J72" s="4">
        <f>노임!$D$10</f>
        <v>262580</v>
      </c>
      <c r="K72" s="8">
        <f>TRUNC(J72*D72,1)</f>
        <v>70896.600000000006</v>
      </c>
      <c r="L72" s="4">
        <v>0</v>
      </c>
      <c r="M72" s="8"/>
      <c r="N72" s="12" t="s">
        <v>0</v>
      </c>
    </row>
    <row r="73" spans="1:14" ht="15" customHeight="1">
      <c r="A73" s="13"/>
      <c r="B73" s="14" t="s">
        <v>262</v>
      </c>
      <c r="C73" s="1" t="s">
        <v>0</v>
      </c>
      <c r="D73" s="3">
        <v>0.14000000000000001</v>
      </c>
      <c r="E73" s="1" t="s">
        <v>24</v>
      </c>
      <c r="F73" s="4">
        <f>H73+J73+L73</f>
        <v>172068</v>
      </c>
      <c r="G73" s="8">
        <f>I73+K73+M73</f>
        <v>24089.5</v>
      </c>
      <c r="H73" s="4">
        <v>0</v>
      </c>
      <c r="I73" s="8"/>
      <c r="J73" s="4">
        <f>노임!$D$3</f>
        <v>172068</v>
      </c>
      <c r="K73" s="8">
        <f>TRUNC(J73*D73,1)</f>
        <v>24089.5</v>
      </c>
      <c r="L73" s="4">
        <v>0</v>
      </c>
      <c r="M73" s="8"/>
      <c r="N73" s="12" t="s">
        <v>0</v>
      </c>
    </row>
    <row r="74" spans="1:14" ht="15" customHeight="1">
      <c r="A74" s="13"/>
      <c r="B74" s="14" t="s">
        <v>288</v>
      </c>
      <c r="C74" s="1" t="s">
        <v>220</v>
      </c>
      <c r="D74" s="3">
        <v>2</v>
      </c>
      <c r="E74" s="1" t="s">
        <v>221</v>
      </c>
      <c r="F74" s="4">
        <f>H74+J74+L74</f>
        <v>0</v>
      </c>
      <c r="G74" s="8">
        <f>I74+K74+M74</f>
        <v>1899.7</v>
      </c>
      <c r="H74" s="4"/>
      <c r="I74" s="8"/>
      <c r="J74" s="4"/>
      <c r="K74" s="8"/>
      <c r="L74" s="4"/>
      <c r="M74" s="8">
        <f>TRUNC((K72+K73)*D74%,1)</f>
        <v>1899.7</v>
      </c>
      <c r="N74" s="12"/>
    </row>
    <row r="75" spans="1:14" ht="15" customHeight="1">
      <c r="A75" s="13"/>
      <c r="B75" s="14" t="s">
        <v>532</v>
      </c>
      <c r="C75" s="1" t="s">
        <v>424</v>
      </c>
      <c r="D75" s="3">
        <v>1</v>
      </c>
      <c r="E75" s="1" t="s">
        <v>531</v>
      </c>
      <c r="F75" s="4"/>
      <c r="G75" s="8"/>
      <c r="H75" s="4" t="e">
        <f>#REF!</f>
        <v>#REF!</v>
      </c>
      <c r="I75" s="8" t="e">
        <f>TRUNC(H75*D75,1)</f>
        <v>#REF!</v>
      </c>
      <c r="J75" s="4"/>
      <c r="K75" s="8"/>
      <c r="L75" s="4"/>
      <c r="M75" s="8"/>
      <c r="N75" s="12"/>
    </row>
    <row r="76" spans="1:14" ht="15" customHeight="1">
      <c r="A76" s="16"/>
      <c r="B76" s="15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12"/>
    </row>
    <row r="77" spans="1:14" ht="15" customHeight="1">
      <c r="A77" s="64">
        <f>A71+1</f>
        <v>69</v>
      </c>
      <c r="B77" s="46" t="s">
        <v>304</v>
      </c>
      <c r="C77" s="47" t="s">
        <v>188</v>
      </c>
      <c r="D77" s="47">
        <v>1</v>
      </c>
      <c r="E77" s="47" t="s">
        <v>3</v>
      </c>
      <c r="F77" s="51"/>
      <c r="G77" s="50" t="e">
        <f>I77+K77+M77</f>
        <v>#REF!</v>
      </c>
      <c r="H77" s="51"/>
      <c r="I77" s="50" t="e">
        <f>TRUNC(I78+I79+I80+I81,0)</f>
        <v>#REF!</v>
      </c>
      <c r="J77" s="51"/>
      <c r="K77" s="50">
        <f t="shared" ref="K77" si="33">TRUNC(K78+K79+K80,0)</f>
        <v>100237</v>
      </c>
      <c r="L77" s="50">
        <f t="shared" ref="L77" si="34">TRUNC(L78+L79+L80,0)</f>
        <v>0</v>
      </c>
      <c r="M77" s="50">
        <f t="shared" ref="M77" si="35">TRUNC(M78+M79+M80,0)</f>
        <v>2004</v>
      </c>
      <c r="N77" s="63" t="s">
        <v>249</v>
      </c>
    </row>
    <row r="78" spans="1:14" ht="15" customHeight="1">
      <c r="A78" s="13"/>
      <c r="B78" s="14" t="s">
        <v>261</v>
      </c>
      <c r="C78" s="1" t="s">
        <v>32</v>
      </c>
      <c r="D78" s="3">
        <v>0.28999999999999998</v>
      </c>
      <c r="E78" s="1" t="s">
        <v>24</v>
      </c>
      <c r="F78" s="4">
        <f>H78+J78+L78</f>
        <v>262580</v>
      </c>
      <c r="G78" s="8">
        <f>I78+K78+M78</f>
        <v>76148.2</v>
      </c>
      <c r="H78" s="4">
        <v>0</v>
      </c>
      <c r="I78" s="8"/>
      <c r="J78" s="4">
        <f>노임!$D$10</f>
        <v>262580</v>
      </c>
      <c r="K78" s="8">
        <f>TRUNC(J78*D78,1)</f>
        <v>76148.2</v>
      </c>
      <c r="L78" s="4">
        <v>0</v>
      </c>
      <c r="M78" s="8"/>
      <c r="N78" s="12" t="s">
        <v>0</v>
      </c>
    </row>
    <row r="79" spans="1:14" ht="15" customHeight="1">
      <c r="A79" s="13"/>
      <c r="B79" s="14" t="s">
        <v>262</v>
      </c>
      <c r="C79" s="1" t="s">
        <v>0</v>
      </c>
      <c r="D79" s="3">
        <v>0.14000000000000001</v>
      </c>
      <c r="E79" s="1" t="s">
        <v>24</v>
      </c>
      <c r="F79" s="4">
        <f>H79+J79+L79</f>
        <v>172068</v>
      </c>
      <c r="G79" s="8">
        <f>I79+K79+M79</f>
        <v>24089.5</v>
      </c>
      <c r="H79" s="4">
        <v>0</v>
      </c>
      <c r="I79" s="8"/>
      <c r="J79" s="4">
        <f>노임!$D$3</f>
        <v>172068</v>
      </c>
      <c r="K79" s="8">
        <f>TRUNC(J79*D79,1)</f>
        <v>24089.5</v>
      </c>
      <c r="L79" s="4">
        <v>0</v>
      </c>
      <c r="M79" s="8"/>
      <c r="N79" s="12" t="s">
        <v>0</v>
      </c>
    </row>
    <row r="80" spans="1:14" ht="15" customHeight="1">
      <c r="A80" s="13"/>
      <c r="B80" s="14" t="s">
        <v>288</v>
      </c>
      <c r="C80" s="1" t="s">
        <v>220</v>
      </c>
      <c r="D80" s="3">
        <v>2</v>
      </c>
      <c r="E80" s="1" t="s">
        <v>221</v>
      </c>
      <c r="F80" s="4">
        <f>H80+J80+L80</f>
        <v>0</v>
      </c>
      <c r="G80" s="8">
        <f>I80+K80+M80</f>
        <v>2004.7</v>
      </c>
      <c r="H80" s="4"/>
      <c r="I80" s="8"/>
      <c r="J80" s="4"/>
      <c r="K80" s="8"/>
      <c r="L80" s="4"/>
      <c r="M80" s="8">
        <f>TRUNC((K78+K79)*D80%,1)</f>
        <v>2004.7</v>
      </c>
      <c r="N80" s="12"/>
    </row>
    <row r="81" spans="1:14" ht="15" customHeight="1">
      <c r="A81" s="13"/>
      <c r="B81" s="14" t="s">
        <v>532</v>
      </c>
      <c r="C81" s="1" t="s">
        <v>425</v>
      </c>
      <c r="D81" s="3">
        <v>1</v>
      </c>
      <c r="E81" s="1" t="s">
        <v>531</v>
      </c>
      <c r="F81" s="4"/>
      <c r="G81" s="8"/>
      <c r="H81" s="4" t="e">
        <f>#REF!</f>
        <v>#REF!</v>
      </c>
      <c r="I81" s="8" t="e">
        <f>TRUNC(H81*D81,1)</f>
        <v>#REF!</v>
      </c>
      <c r="J81" s="4"/>
      <c r="K81" s="8"/>
      <c r="L81" s="4"/>
      <c r="M81" s="8"/>
      <c r="N81" s="12"/>
    </row>
    <row r="82" spans="1:14" ht="15" customHeight="1">
      <c r="A82" s="16"/>
      <c r="B82" s="15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12"/>
    </row>
    <row r="83" spans="1:14" ht="15" customHeight="1">
      <c r="A83" s="64">
        <f>A77+1</f>
        <v>70</v>
      </c>
      <c r="B83" s="46" t="s">
        <v>304</v>
      </c>
      <c r="C83" s="47" t="s">
        <v>171</v>
      </c>
      <c r="D83" s="47">
        <v>1</v>
      </c>
      <c r="E83" s="47" t="s">
        <v>3</v>
      </c>
      <c r="F83" s="51"/>
      <c r="G83" s="50" t="e">
        <f>I83+K83+M83</f>
        <v>#REF!</v>
      </c>
      <c r="H83" s="51"/>
      <c r="I83" s="50" t="e">
        <f>TRUNC(I84+I85+I86+I87,0)</f>
        <v>#REF!</v>
      </c>
      <c r="J83" s="51"/>
      <c r="K83" s="50">
        <f t="shared" ref="K83" si="36">TRUNC(K84+K85+K86,0)</f>
        <v>107210</v>
      </c>
      <c r="L83" s="50">
        <f t="shared" ref="L83" si="37">TRUNC(L84+L85+L86,0)</f>
        <v>0</v>
      </c>
      <c r="M83" s="50">
        <f t="shared" ref="M83" si="38">TRUNC(M84+M85+M86,0)</f>
        <v>2144</v>
      </c>
      <c r="N83" s="63" t="s">
        <v>249</v>
      </c>
    </row>
    <row r="84" spans="1:14" ht="15" customHeight="1">
      <c r="A84" s="13"/>
      <c r="B84" s="14" t="s">
        <v>261</v>
      </c>
      <c r="C84" s="1" t="s">
        <v>32</v>
      </c>
      <c r="D84" s="3">
        <v>0.31</v>
      </c>
      <c r="E84" s="1" t="s">
        <v>24</v>
      </c>
      <c r="F84" s="4">
        <f>H84+J84+L84</f>
        <v>262580</v>
      </c>
      <c r="G84" s="8">
        <f>I84+K84+M84</f>
        <v>81399.8</v>
      </c>
      <c r="H84" s="4">
        <v>0</v>
      </c>
      <c r="I84" s="8"/>
      <c r="J84" s="4">
        <f>노임!$D$10</f>
        <v>262580</v>
      </c>
      <c r="K84" s="8">
        <f>TRUNC(J84*D84,1)</f>
        <v>81399.8</v>
      </c>
      <c r="L84" s="4">
        <v>0</v>
      </c>
      <c r="M84" s="8"/>
      <c r="N84" s="12" t="s">
        <v>0</v>
      </c>
    </row>
    <row r="85" spans="1:14" ht="15" customHeight="1">
      <c r="A85" s="13"/>
      <c r="B85" s="14" t="s">
        <v>262</v>
      </c>
      <c r="C85" s="1" t="s">
        <v>0</v>
      </c>
      <c r="D85" s="3">
        <v>0.15</v>
      </c>
      <c r="E85" s="1" t="s">
        <v>24</v>
      </c>
      <c r="F85" s="4">
        <f>H85+J85+L85</f>
        <v>172068</v>
      </c>
      <c r="G85" s="8">
        <f>I85+K85+M85</f>
        <v>25810.2</v>
      </c>
      <c r="H85" s="4">
        <v>0</v>
      </c>
      <c r="I85" s="8"/>
      <c r="J85" s="4">
        <f>노임!$D$3</f>
        <v>172068</v>
      </c>
      <c r="K85" s="8">
        <f>TRUNC(J85*D85,1)</f>
        <v>25810.2</v>
      </c>
      <c r="L85" s="4">
        <v>0</v>
      </c>
      <c r="M85" s="8"/>
      <c r="N85" s="12" t="s">
        <v>0</v>
      </c>
    </row>
    <row r="86" spans="1:14" ht="15" customHeight="1">
      <c r="A86" s="13"/>
      <c r="B86" s="14" t="s">
        <v>288</v>
      </c>
      <c r="C86" s="1" t="s">
        <v>220</v>
      </c>
      <c r="D86" s="3">
        <v>2</v>
      </c>
      <c r="E86" s="1" t="s">
        <v>221</v>
      </c>
      <c r="F86" s="4">
        <f>H86+J86+L86</f>
        <v>0</v>
      </c>
      <c r="G86" s="8">
        <f>I86+K86+M86</f>
        <v>2144.1999999999998</v>
      </c>
      <c r="H86" s="4"/>
      <c r="I86" s="8"/>
      <c r="J86" s="4"/>
      <c r="K86" s="8"/>
      <c r="L86" s="4"/>
      <c r="M86" s="8">
        <f>TRUNC((K84+K85)*D86%,1)</f>
        <v>2144.1999999999998</v>
      </c>
      <c r="N86" s="12"/>
    </row>
    <row r="87" spans="1:14" ht="15" customHeight="1">
      <c r="A87" s="13"/>
      <c r="B87" s="14" t="s">
        <v>532</v>
      </c>
      <c r="C87" s="1" t="s">
        <v>426</v>
      </c>
      <c r="D87" s="3">
        <v>1</v>
      </c>
      <c r="E87" s="1" t="s">
        <v>531</v>
      </c>
      <c r="F87" s="4"/>
      <c r="G87" s="8"/>
      <c r="H87" s="4" t="e">
        <f>#REF!</f>
        <v>#REF!</v>
      </c>
      <c r="I87" s="8" t="e">
        <f>TRUNC(H87*D87,1)</f>
        <v>#REF!</v>
      </c>
      <c r="J87" s="4"/>
      <c r="K87" s="8"/>
      <c r="L87" s="4"/>
      <c r="M87" s="8"/>
      <c r="N87" s="12"/>
    </row>
    <row r="88" spans="1:14" ht="15" customHeight="1">
      <c r="A88" s="16"/>
      <c r="B88" s="15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12"/>
    </row>
    <row r="89" spans="1:14" ht="15" customHeight="1">
      <c r="A89" s="64">
        <f>A83+1</f>
        <v>71</v>
      </c>
      <c r="B89" s="46" t="s">
        <v>304</v>
      </c>
      <c r="C89" s="47" t="s">
        <v>189</v>
      </c>
      <c r="D89" s="47">
        <v>1</v>
      </c>
      <c r="E89" s="47" t="s">
        <v>3</v>
      </c>
      <c r="F89" s="51"/>
      <c r="G89" s="50" t="e">
        <f>I89+K89+M89</f>
        <v>#REF!</v>
      </c>
      <c r="H89" s="51"/>
      <c r="I89" s="50" t="e">
        <f>TRUNC(I90+I91+I92+I93,0)</f>
        <v>#REF!</v>
      </c>
      <c r="J89" s="51"/>
      <c r="K89" s="50">
        <f t="shared" ref="K89" si="39">TRUNC(K90+K91+K92,0)</f>
        <v>121154</v>
      </c>
      <c r="L89" s="50">
        <f t="shared" ref="L89" si="40">TRUNC(L90+L91+L92,0)</f>
        <v>0</v>
      </c>
      <c r="M89" s="50">
        <f t="shared" ref="M89" si="41">TRUNC(M90+M91+M92,0)</f>
        <v>2423</v>
      </c>
      <c r="N89" s="63" t="s">
        <v>249</v>
      </c>
    </row>
    <row r="90" spans="1:14" ht="15" customHeight="1">
      <c r="A90" s="13"/>
      <c r="B90" s="14" t="s">
        <v>261</v>
      </c>
      <c r="C90" s="1" t="s">
        <v>32</v>
      </c>
      <c r="D90" s="3">
        <v>0.35</v>
      </c>
      <c r="E90" s="1" t="s">
        <v>24</v>
      </c>
      <c r="F90" s="4">
        <f>H90+J90+L90</f>
        <v>262580</v>
      </c>
      <c r="G90" s="8">
        <f>I90+K90+M90</f>
        <v>91903</v>
      </c>
      <c r="H90" s="4">
        <v>0</v>
      </c>
      <c r="I90" s="8"/>
      <c r="J90" s="4">
        <f>노임!$D$10</f>
        <v>262580</v>
      </c>
      <c r="K90" s="8">
        <f>TRUNC(J90*D90,1)</f>
        <v>91903</v>
      </c>
      <c r="L90" s="4">
        <v>0</v>
      </c>
      <c r="M90" s="8"/>
      <c r="N90" s="12" t="s">
        <v>0</v>
      </c>
    </row>
    <row r="91" spans="1:14" ht="15" customHeight="1">
      <c r="A91" s="13"/>
      <c r="B91" s="14" t="s">
        <v>262</v>
      </c>
      <c r="C91" s="1" t="s">
        <v>0</v>
      </c>
      <c r="D91" s="3">
        <v>0.17</v>
      </c>
      <c r="E91" s="1" t="s">
        <v>24</v>
      </c>
      <c r="F91" s="4">
        <f>H91+J91+L91</f>
        <v>172068</v>
      </c>
      <c r="G91" s="8">
        <f>I91+K91+M91</f>
        <v>29251.5</v>
      </c>
      <c r="H91" s="4">
        <v>0</v>
      </c>
      <c r="I91" s="8"/>
      <c r="J91" s="4">
        <f>노임!$D$3</f>
        <v>172068</v>
      </c>
      <c r="K91" s="8">
        <f>TRUNC(J91*D91,1)</f>
        <v>29251.5</v>
      </c>
      <c r="L91" s="4">
        <v>0</v>
      </c>
      <c r="M91" s="8"/>
      <c r="N91" s="12" t="s">
        <v>0</v>
      </c>
    </row>
    <row r="92" spans="1:14" ht="15" customHeight="1">
      <c r="A92" s="13"/>
      <c r="B92" s="14" t="s">
        <v>288</v>
      </c>
      <c r="C92" s="1" t="s">
        <v>220</v>
      </c>
      <c r="D92" s="3">
        <v>2</v>
      </c>
      <c r="E92" s="1" t="s">
        <v>221</v>
      </c>
      <c r="F92" s="4">
        <f>H92+J92+L92</f>
        <v>0</v>
      </c>
      <c r="G92" s="8">
        <f>I92+K92+M92</f>
        <v>2423</v>
      </c>
      <c r="H92" s="4"/>
      <c r="I92" s="8"/>
      <c r="J92" s="4"/>
      <c r="K92" s="8"/>
      <c r="L92" s="4"/>
      <c r="M92" s="8">
        <f>TRUNC((K90+K91)*D92%,1)</f>
        <v>2423</v>
      </c>
      <c r="N92" s="12"/>
    </row>
    <row r="93" spans="1:14" ht="15" customHeight="1">
      <c r="A93" s="13"/>
      <c r="B93" s="14" t="s">
        <v>532</v>
      </c>
      <c r="C93" s="1" t="s">
        <v>427</v>
      </c>
      <c r="D93" s="3">
        <v>1</v>
      </c>
      <c r="E93" s="1" t="s">
        <v>531</v>
      </c>
      <c r="F93" s="4"/>
      <c r="G93" s="8"/>
      <c r="H93" s="4" t="e">
        <f>#REF!</f>
        <v>#REF!</v>
      </c>
      <c r="I93" s="8" t="e">
        <f>TRUNC(H93*D93,1)</f>
        <v>#REF!</v>
      </c>
      <c r="J93" s="4"/>
      <c r="K93" s="8"/>
      <c r="L93" s="4"/>
      <c r="M93" s="8"/>
      <c r="N93" s="12"/>
    </row>
    <row r="94" spans="1:14" ht="15" customHeight="1">
      <c r="A94" s="16"/>
      <c r="B94" s="15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12"/>
    </row>
    <row r="95" spans="1:14" ht="15" customHeight="1">
      <c r="A95" s="64">
        <f>A89+1</f>
        <v>72</v>
      </c>
      <c r="B95" s="46" t="s">
        <v>304</v>
      </c>
      <c r="C95" s="47" t="s">
        <v>190</v>
      </c>
      <c r="D95" s="47">
        <v>1</v>
      </c>
      <c r="E95" s="47" t="s">
        <v>3</v>
      </c>
      <c r="F95" s="51"/>
      <c r="G95" s="50" t="e">
        <f>I95+K95+M95</f>
        <v>#REF!</v>
      </c>
      <c r="H95" s="51"/>
      <c r="I95" s="50" t="e">
        <f>TRUNC(I96+I97+I98+I99,0)</f>
        <v>#REF!</v>
      </c>
      <c r="J95" s="51"/>
      <c r="K95" s="50">
        <f t="shared" ref="K95:M95" si="42">TRUNC(K96+K97+K98,0)</f>
        <v>130300</v>
      </c>
      <c r="L95" s="50">
        <f t="shared" si="42"/>
        <v>0</v>
      </c>
      <c r="M95" s="50">
        <f t="shared" si="42"/>
        <v>2606</v>
      </c>
      <c r="N95" s="63"/>
    </row>
    <row r="96" spans="1:14" ht="15" customHeight="1">
      <c r="A96" s="13"/>
      <c r="B96" s="14" t="s">
        <v>261</v>
      </c>
      <c r="C96" s="1" t="s">
        <v>32</v>
      </c>
      <c r="D96" s="3">
        <v>0.375</v>
      </c>
      <c r="E96" s="1" t="s">
        <v>24</v>
      </c>
      <c r="F96" s="4">
        <f>H96+J96+L96</f>
        <v>262580</v>
      </c>
      <c r="G96" s="8">
        <f>I96+K96+M96</f>
        <v>98467.5</v>
      </c>
      <c r="H96" s="4">
        <v>0</v>
      </c>
      <c r="I96" s="8"/>
      <c r="J96" s="4">
        <f>노임!$D$10</f>
        <v>262580</v>
      </c>
      <c r="K96" s="8">
        <f>TRUNC(J96*D96,1)</f>
        <v>98467.5</v>
      </c>
      <c r="L96" s="4">
        <v>0</v>
      </c>
      <c r="M96" s="8"/>
      <c r="N96" s="12" t="s">
        <v>0</v>
      </c>
    </row>
    <row r="97" spans="1:14" ht="15" customHeight="1">
      <c r="A97" s="13"/>
      <c r="B97" s="14" t="s">
        <v>262</v>
      </c>
      <c r="C97" s="1" t="s">
        <v>0</v>
      </c>
      <c r="D97" s="3">
        <v>0.185</v>
      </c>
      <c r="E97" s="1" t="s">
        <v>24</v>
      </c>
      <c r="F97" s="4">
        <f>H97+J97+L97</f>
        <v>172068</v>
      </c>
      <c r="G97" s="8">
        <f>I97+K97+M97</f>
        <v>31832.5</v>
      </c>
      <c r="H97" s="4">
        <v>0</v>
      </c>
      <c r="I97" s="8"/>
      <c r="J97" s="4">
        <f>노임!$D$3</f>
        <v>172068</v>
      </c>
      <c r="K97" s="8">
        <f>TRUNC(J97*D97,1)</f>
        <v>31832.5</v>
      </c>
      <c r="L97" s="4">
        <v>0</v>
      </c>
      <c r="M97" s="8"/>
      <c r="N97" s="12" t="s">
        <v>0</v>
      </c>
    </row>
    <row r="98" spans="1:14" ht="15" customHeight="1">
      <c r="A98" s="13"/>
      <c r="B98" s="14" t="s">
        <v>288</v>
      </c>
      <c r="C98" s="1" t="s">
        <v>220</v>
      </c>
      <c r="D98" s="3">
        <v>2</v>
      </c>
      <c r="E98" s="1" t="s">
        <v>221</v>
      </c>
      <c r="F98" s="4">
        <f>H98+J98+L98</f>
        <v>0</v>
      </c>
      <c r="G98" s="8">
        <f>I98+K98+M98</f>
        <v>2606</v>
      </c>
      <c r="H98" s="4"/>
      <c r="I98" s="8"/>
      <c r="J98" s="4"/>
      <c r="K98" s="8"/>
      <c r="L98" s="4"/>
      <c r="M98" s="8">
        <f>TRUNC((K96+K97)*D98%,1)</f>
        <v>2606</v>
      </c>
      <c r="N98" s="12"/>
    </row>
    <row r="99" spans="1:14" ht="15" customHeight="1">
      <c r="A99" s="13"/>
      <c r="B99" s="14" t="s">
        <v>532</v>
      </c>
      <c r="C99" s="1" t="s">
        <v>428</v>
      </c>
      <c r="D99" s="3">
        <v>1</v>
      </c>
      <c r="E99" s="1" t="s">
        <v>531</v>
      </c>
      <c r="F99" s="4"/>
      <c r="G99" s="8"/>
      <c r="H99" s="4" t="e">
        <f>#REF!</f>
        <v>#REF!</v>
      </c>
      <c r="I99" s="8" t="e">
        <f>TRUNC(H99*D99,1)</f>
        <v>#REF!</v>
      </c>
      <c r="J99" s="4"/>
      <c r="K99" s="8"/>
      <c r="L99" s="4"/>
      <c r="M99" s="8"/>
      <c r="N99" s="12"/>
    </row>
    <row r="100" spans="1:14" ht="15" customHeight="1">
      <c r="A100" s="16"/>
      <c r="B100" s="15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12"/>
    </row>
    <row r="101" spans="1:14" ht="15" customHeight="1">
      <c r="A101" s="64">
        <f>A95+1</f>
        <v>73</v>
      </c>
      <c r="B101" s="46" t="s">
        <v>304</v>
      </c>
      <c r="C101" s="47" t="s">
        <v>191</v>
      </c>
      <c r="D101" s="47">
        <v>1</v>
      </c>
      <c r="E101" s="47" t="s">
        <v>3</v>
      </c>
      <c r="F101" s="51"/>
      <c r="G101" s="50" t="e">
        <f>I101+K101+M101</f>
        <v>#REF!</v>
      </c>
      <c r="H101" s="51"/>
      <c r="I101" s="50" t="e">
        <f>TRUNC(I102+I103+I104+I105,0)</f>
        <v>#REF!</v>
      </c>
      <c r="J101" s="51"/>
      <c r="K101" s="50">
        <f t="shared" ref="K101" si="43">TRUNC(K102+K103+K104,0)</f>
        <v>139445</v>
      </c>
      <c r="L101" s="50">
        <f t="shared" ref="L101" si="44">TRUNC(L102+L103+L104,0)</f>
        <v>0</v>
      </c>
      <c r="M101" s="50">
        <f t="shared" ref="M101" si="45">TRUNC(M102+M103+M104,0)</f>
        <v>2788</v>
      </c>
      <c r="N101" s="63" t="s">
        <v>249</v>
      </c>
    </row>
    <row r="102" spans="1:14" ht="15" customHeight="1">
      <c r="A102" s="13"/>
      <c r="B102" s="14" t="s">
        <v>261</v>
      </c>
      <c r="C102" s="1" t="s">
        <v>32</v>
      </c>
      <c r="D102" s="3">
        <v>0.4</v>
      </c>
      <c r="E102" s="1" t="s">
        <v>24</v>
      </c>
      <c r="F102" s="4">
        <f>H102+J102+L102</f>
        <v>262580</v>
      </c>
      <c r="G102" s="8">
        <f>I102+K102+M102</f>
        <v>105032</v>
      </c>
      <c r="H102" s="4">
        <v>0</v>
      </c>
      <c r="I102" s="8"/>
      <c r="J102" s="4">
        <f>노임!$D$10</f>
        <v>262580</v>
      </c>
      <c r="K102" s="8">
        <f>TRUNC(J102*D102,1)</f>
        <v>105032</v>
      </c>
      <c r="L102" s="4">
        <v>0</v>
      </c>
      <c r="M102" s="8"/>
      <c r="N102" s="12" t="s">
        <v>0</v>
      </c>
    </row>
    <row r="103" spans="1:14" ht="15" customHeight="1">
      <c r="A103" s="13"/>
      <c r="B103" s="14" t="s">
        <v>262</v>
      </c>
      <c r="C103" s="1" t="s">
        <v>0</v>
      </c>
      <c r="D103" s="3">
        <v>0.2</v>
      </c>
      <c r="E103" s="1" t="s">
        <v>24</v>
      </c>
      <c r="F103" s="4">
        <f>H103+J103+L103</f>
        <v>172068</v>
      </c>
      <c r="G103" s="8">
        <f>I103+K103+M103</f>
        <v>34413.599999999999</v>
      </c>
      <c r="H103" s="4">
        <v>0</v>
      </c>
      <c r="I103" s="8"/>
      <c r="J103" s="4">
        <f>노임!$D$3</f>
        <v>172068</v>
      </c>
      <c r="K103" s="8">
        <f>TRUNC(J103*D103,1)</f>
        <v>34413.599999999999</v>
      </c>
      <c r="L103" s="4">
        <v>0</v>
      </c>
      <c r="M103" s="8"/>
      <c r="N103" s="12" t="s">
        <v>0</v>
      </c>
    </row>
    <row r="104" spans="1:14" ht="15" customHeight="1">
      <c r="A104" s="13"/>
      <c r="B104" s="14" t="s">
        <v>288</v>
      </c>
      <c r="C104" s="1" t="s">
        <v>220</v>
      </c>
      <c r="D104" s="3">
        <v>2</v>
      </c>
      <c r="E104" s="1" t="s">
        <v>221</v>
      </c>
      <c r="F104" s="4">
        <f>H104+J104+L104</f>
        <v>0</v>
      </c>
      <c r="G104" s="8">
        <f>I104+K104+M104</f>
        <v>2788.9</v>
      </c>
      <c r="H104" s="4"/>
      <c r="I104" s="8"/>
      <c r="J104" s="4"/>
      <c r="K104" s="8"/>
      <c r="L104" s="4"/>
      <c r="M104" s="8">
        <f>TRUNC((K102+K103)*D104%,1)</f>
        <v>2788.9</v>
      </c>
      <c r="N104" s="12"/>
    </row>
    <row r="105" spans="1:14" ht="15" customHeight="1">
      <c r="A105" s="13"/>
      <c r="B105" s="14" t="s">
        <v>532</v>
      </c>
      <c r="C105" s="1" t="s">
        <v>429</v>
      </c>
      <c r="D105" s="3">
        <v>1</v>
      </c>
      <c r="E105" s="1" t="s">
        <v>531</v>
      </c>
      <c r="F105" s="4"/>
      <c r="G105" s="8"/>
      <c r="H105" s="4" t="e">
        <f>#REF!</f>
        <v>#REF!</v>
      </c>
      <c r="I105" s="8" t="e">
        <f>TRUNC(H105*D105,1)</f>
        <v>#REF!</v>
      </c>
      <c r="J105" s="4"/>
      <c r="K105" s="8"/>
      <c r="L105" s="4"/>
      <c r="M105" s="8"/>
      <c r="N105" s="12"/>
    </row>
    <row r="106" spans="1:14" ht="15" customHeight="1">
      <c r="A106" s="16"/>
      <c r="B106" s="15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12"/>
    </row>
    <row r="107" spans="1:14" ht="15" customHeight="1">
      <c r="A107" s="64">
        <f>A101+1</f>
        <v>74</v>
      </c>
      <c r="B107" s="46" t="s">
        <v>304</v>
      </c>
      <c r="C107" s="47" t="s">
        <v>192</v>
      </c>
      <c r="D107" s="47">
        <v>1</v>
      </c>
      <c r="E107" s="47" t="s">
        <v>3</v>
      </c>
      <c r="F107" s="51"/>
      <c r="G107" s="50">
        <f>I107+K107+M107</f>
        <v>146667</v>
      </c>
      <c r="H107" s="51"/>
      <c r="I107" s="50">
        <f>TRUNC(I108+I109+I110+I111,0)</f>
        <v>0</v>
      </c>
      <c r="J107" s="51"/>
      <c r="K107" s="50">
        <f t="shared" ref="K107" si="46">TRUNC(K108+K109+K110,0)</f>
        <v>143792</v>
      </c>
      <c r="L107" s="50">
        <f t="shared" ref="L107" si="47">TRUNC(L108+L109+L110,0)</f>
        <v>0</v>
      </c>
      <c r="M107" s="50">
        <f t="shared" ref="M107" si="48">TRUNC(M108+M109+M110,0)</f>
        <v>2875</v>
      </c>
      <c r="N107" s="63" t="s">
        <v>249</v>
      </c>
    </row>
    <row r="108" spans="1:14" ht="15" customHeight="1">
      <c r="A108" s="13"/>
      <c r="B108" s="14" t="s">
        <v>261</v>
      </c>
      <c r="C108" s="1" t="s">
        <v>32</v>
      </c>
      <c r="D108" s="3">
        <v>0.41</v>
      </c>
      <c r="E108" s="1" t="s">
        <v>24</v>
      </c>
      <c r="F108" s="4">
        <f>H108+J108+L108</f>
        <v>262580</v>
      </c>
      <c r="G108" s="8">
        <f>I108+K108+M108</f>
        <v>107657.8</v>
      </c>
      <c r="H108" s="4">
        <v>0</v>
      </c>
      <c r="I108" s="8"/>
      <c r="J108" s="4">
        <f>노임!$D$10</f>
        <v>262580</v>
      </c>
      <c r="K108" s="8">
        <f>TRUNC(J108*D108,1)</f>
        <v>107657.8</v>
      </c>
      <c r="L108" s="4">
        <v>0</v>
      </c>
      <c r="M108" s="8"/>
      <c r="N108" s="12" t="s">
        <v>0</v>
      </c>
    </row>
    <row r="109" spans="1:14" ht="15" customHeight="1">
      <c r="A109" s="13"/>
      <c r="B109" s="14" t="s">
        <v>262</v>
      </c>
      <c r="C109" s="1" t="s">
        <v>0</v>
      </c>
      <c r="D109" s="3">
        <v>0.21</v>
      </c>
      <c r="E109" s="1" t="s">
        <v>24</v>
      </c>
      <c r="F109" s="4">
        <f>H109+J109+L109</f>
        <v>172068</v>
      </c>
      <c r="G109" s="8">
        <f>I109+K109+M109</f>
        <v>36134.199999999997</v>
      </c>
      <c r="H109" s="4">
        <v>0</v>
      </c>
      <c r="I109" s="8"/>
      <c r="J109" s="4">
        <f>노임!$D$3</f>
        <v>172068</v>
      </c>
      <c r="K109" s="8">
        <f>TRUNC(J109*D109,1)</f>
        <v>36134.199999999997</v>
      </c>
      <c r="L109" s="4">
        <v>0</v>
      </c>
      <c r="M109" s="8"/>
      <c r="N109" s="12" t="s">
        <v>0</v>
      </c>
    </row>
    <row r="110" spans="1:14" ht="15" customHeight="1">
      <c r="A110" s="13"/>
      <c r="B110" s="14" t="s">
        <v>288</v>
      </c>
      <c r="C110" s="1" t="s">
        <v>220</v>
      </c>
      <c r="D110" s="3">
        <v>2</v>
      </c>
      <c r="E110" s="1" t="s">
        <v>221</v>
      </c>
      <c r="F110" s="4">
        <f>H110+J110+L110</f>
        <v>0</v>
      </c>
      <c r="G110" s="8">
        <f>I110+K110+M110</f>
        <v>2875.8</v>
      </c>
      <c r="H110" s="4"/>
      <c r="I110" s="8"/>
      <c r="J110" s="4"/>
      <c r="K110" s="8"/>
      <c r="L110" s="4"/>
      <c r="M110" s="8">
        <f>TRUNC((K108+K109)*D110%,1)</f>
        <v>2875.8</v>
      </c>
      <c r="N110" s="12"/>
    </row>
    <row r="111" spans="1:14" ht="15" customHeight="1">
      <c r="A111" s="13"/>
      <c r="B111" s="14" t="s">
        <v>532</v>
      </c>
      <c r="C111" s="1" t="s">
        <v>430</v>
      </c>
      <c r="D111" s="3">
        <v>1</v>
      </c>
      <c r="E111" s="1" t="s">
        <v>531</v>
      </c>
      <c r="F111" s="4"/>
      <c r="G111" s="8"/>
      <c r="H111" s="4"/>
      <c r="I111" s="8">
        <f>TRUNC(H111*D111,1)</f>
        <v>0</v>
      </c>
      <c r="J111" s="4"/>
      <c r="K111" s="8"/>
      <c r="L111" s="4"/>
      <c r="M111" s="8"/>
      <c r="N111" s="12"/>
    </row>
    <row r="112" spans="1:14" ht="15" customHeight="1">
      <c r="A112" s="16"/>
      <c r="B112" s="15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12"/>
    </row>
    <row r="113" spans="1:14" ht="15" customHeight="1">
      <c r="A113" s="64">
        <f>A107+1</f>
        <v>75</v>
      </c>
      <c r="B113" s="46" t="s">
        <v>304</v>
      </c>
      <c r="C113" s="47" t="s">
        <v>193</v>
      </c>
      <c r="D113" s="47">
        <v>1</v>
      </c>
      <c r="E113" s="47" t="s">
        <v>3</v>
      </c>
      <c r="F113" s="51"/>
      <c r="G113" s="50">
        <f>I113+K113+M113</f>
        <v>163569</v>
      </c>
      <c r="H113" s="51"/>
      <c r="I113" s="50">
        <f>TRUNC(I114+I115+I116+I117,0)</f>
        <v>0</v>
      </c>
      <c r="J113" s="51"/>
      <c r="K113" s="50">
        <f t="shared" ref="K113" si="49">TRUNC(K114+K115+K116,0)</f>
        <v>160362</v>
      </c>
      <c r="L113" s="50">
        <f t="shared" ref="L113" si="50">TRUNC(L114+L115+L116,0)</f>
        <v>0</v>
      </c>
      <c r="M113" s="50">
        <f t="shared" ref="M113" si="51">TRUNC(M114+M115+M116,0)</f>
        <v>3207</v>
      </c>
      <c r="N113" s="63" t="s">
        <v>249</v>
      </c>
    </row>
    <row r="114" spans="1:14" ht="15" customHeight="1">
      <c r="A114" s="13"/>
      <c r="B114" s="14" t="s">
        <v>261</v>
      </c>
      <c r="C114" s="1" t="s">
        <v>32</v>
      </c>
      <c r="D114" s="3">
        <v>0.46</v>
      </c>
      <c r="E114" s="1" t="s">
        <v>24</v>
      </c>
      <c r="F114" s="4">
        <f>H114+J114+L114</f>
        <v>262580</v>
      </c>
      <c r="G114" s="8">
        <f>I114+K114+M114</f>
        <v>120786.8</v>
      </c>
      <c r="H114" s="4">
        <v>0</v>
      </c>
      <c r="I114" s="8"/>
      <c r="J114" s="4">
        <f>노임!$D$10</f>
        <v>262580</v>
      </c>
      <c r="K114" s="8">
        <f>TRUNC(J114*D114,1)</f>
        <v>120786.8</v>
      </c>
      <c r="L114" s="4">
        <v>0</v>
      </c>
      <c r="M114" s="8"/>
      <c r="N114" s="12" t="s">
        <v>0</v>
      </c>
    </row>
    <row r="115" spans="1:14" ht="15" customHeight="1">
      <c r="A115" s="13"/>
      <c r="B115" s="14" t="s">
        <v>262</v>
      </c>
      <c r="C115" s="1" t="s">
        <v>0</v>
      </c>
      <c r="D115" s="3">
        <v>0.23</v>
      </c>
      <c r="E115" s="1" t="s">
        <v>24</v>
      </c>
      <c r="F115" s="4">
        <f>H115+J115+L115</f>
        <v>172068</v>
      </c>
      <c r="G115" s="8">
        <f>I115+K115+M115</f>
        <v>39575.599999999999</v>
      </c>
      <c r="H115" s="4">
        <v>0</v>
      </c>
      <c r="I115" s="8"/>
      <c r="J115" s="4">
        <f>노임!$D$3</f>
        <v>172068</v>
      </c>
      <c r="K115" s="8">
        <f>TRUNC(J115*D115,1)</f>
        <v>39575.599999999999</v>
      </c>
      <c r="L115" s="4">
        <v>0</v>
      </c>
      <c r="M115" s="8"/>
      <c r="N115" s="12" t="s">
        <v>0</v>
      </c>
    </row>
    <row r="116" spans="1:14" ht="15" customHeight="1">
      <c r="A116" s="13"/>
      <c r="B116" s="14" t="s">
        <v>288</v>
      </c>
      <c r="C116" s="1" t="s">
        <v>220</v>
      </c>
      <c r="D116" s="3">
        <v>2</v>
      </c>
      <c r="E116" s="1" t="s">
        <v>221</v>
      </c>
      <c r="F116" s="4">
        <f>H116+J116+L116</f>
        <v>0</v>
      </c>
      <c r="G116" s="8">
        <f>I116+K116+M116</f>
        <v>3207.2</v>
      </c>
      <c r="H116" s="4"/>
      <c r="I116" s="8"/>
      <c r="J116" s="4"/>
      <c r="K116" s="8"/>
      <c r="L116" s="4"/>
      <c r="M116" s="8">
        <f>TRUNC((K114+K115)*D116%,1)</f>
        <v>3207.2</v>
      </c>
      <c r="N116" s="12"/>
    </row>
    <row r="117" spans="1:14" ht="15" customHeight="1">
      <c r="A117" s="13"/>
      <c r="B117" s="14" t="s">
        <v>532</v>
      </c>
      <c r="C117" s="1" t="s">
        <v>431</v>
      </c>
      <c r="D117" s="3">
        <v>1</v>
      </c>
      <c r="E117" s="1" t="s">
        <v>531</v>
      </c>
      <c r="F117" s="4"/>
      <c r="G117" s="8"/>
      <c r="H117" s="4"/>
      <c r="I117" s="8">
        <f>TRUNC(H117*D117,1)</f>
        <v>0</v>
      </c>
      <c r="J117" s="4"/>
      <c r="K117" s="8"/>
      <c r="L117" s="4"/>
      <c r="M117" s="8"/>
      <c r="N117" s="12"/>
    </row>
    <row r="118" spans="1:14" ht="15" customHeight="1">
      <c r="A118" s="16"/>
      <c r="B118" s="15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12"/>
    </row>
    <row r="119" spans="1:14" ht="15" customHeight="1">
      <c r="A119" s="64">
        <f>A113+1</f>
        <v>76</v>
      </c>
      <c r="B119" s="46" t="s">
        <v>304</v>
      </c>
      <c r="C119" s="47" t="s">
        <v>194</v>
      </c>
      <c r="D119" s="47">
        <v>1</v>
      </c>
      <c r="E119" s="47" t="s">
        <v>3</v>
      </c>
      <c r="F119" s="51"/>
      <c r="G119" s="50">
        <f>I119+K119+M119</f>
        <v>184904</v>
      </c>
      <c r="H119" s="51"/>
      <c r="I119" s="50">
        <f>TRUNC(I120+I121+I122+I123,0)</f>
        <v>0</v>
      </c>
      <c r="J119" s="51"/>
      <c r="K119" s="50">
        <f t="shared" ref="K119" si="52">TRUNC(K120+K121+K122,0)</f>
        <v>181279</v>
      </c>
      <c r="L119" s="50">
        <f t="shared" ref="L119" si="53">TRUNC(L120+L121+L122,0)</f>
        <v>0</v>
      </c>
      <c r="M119" s="50">
        <f t="shared" ref="M119" si="54">TRUNC(M120+M121+M122,0)</f>
        <v>3625</v>
      </c>
      <c r="N119" s="63" t="s">
        <v>249</v>
      </c>
    </row>
    <row r="120" spans="1:14" ht="15" customHeight="1">
      <c r="A120" s="13"/>
      <c r="B120" s="14" t="s">
        <v>261</v>
      </c>
      <c r="C120" s="1" t="s">
        <v>32</v>
      </c>
      <c r="D120" s="3">
        <v>0.52</v>
      </c>
      <c r="E120" s="1" t="s">
        <v>24</v>
      </c>
      <c r="F120" s="4">
        <f>H120+J120+L120</f>
        <v>262580</v>
      </c>
      <c r="G120" s="8">
        <f>I120+K120+M120</f>
        <v>136541.6</v>
      </c>
      <c r="H120" s="4">
        <v>0</v>
      </c>
      <c r="I120" s="8"/>
      <c r="J120" s="4">
        <f>노임!$D$10</f>
        <v>262580</v>
      </c>
      <c r="K120" s="8">
        <f>TRUNC(J120*D120,1)</f>
        <v>136541.6</v>
      </c>
      <c r="L120" s="4">
        <v>0</v>
      </c>
      <c r="M120" s="8"/>
      <c r="N120" s="12" t="s">
        <v>0</v>
      </c>
    </row>
    <row r="121" spans="1:14" ht="15" customHeight="1">
      <c r="A121" s="13"/>
      <c r="B121" s="14" t="s">
        <v>262</v>
      </c>
      <c r="C121" s="1" t="s">
        <v>0</v>
      </c>
      <c r="D121" s="3">
        <v>0.26</v>
      </c>
      <c r="E121" s="1" t="s">
        <v>24</v>
      </c>
      <c r="F121" s="4">
        <f>H121+J121+L121</f>
        <v>172068</v>
      </c>
      <c r="G121" s="8">
        <f>I121+K121+M121</f>
        <v>44737.599999999999</v>
      </c>
      <c r="H121" s="4">
        <v>0</v>
      </c>
      <c r="I121" s="8"/>
      <c r="J121" s="4">
        <f>노임!$D$3</f>
        <v>172068</v>
      </c>
      <c r="K121" s="8">
        <f>TRUNC(J121*D121,1)</f>
        <v>44737.599999999999</v>
      </c>
      <c r="L121" s="4">
        <v>0</v>
      </c>
      <c r="M121" s="8"/>
      <c r="N121" s="12" t="s">
        <v>0</v>
      </c>
    </row>
    <row r="122" spans="1:14" ht="15" customHeight="1">
      <c r="A122" s="13"/>
      <c r="B122" s="14" t="s">
        <v>288</v>
      </c>
      <c r="C122" s="1" t="s">
        <v>220</v>
      </c>
      <c r="D122" s="3">
        <v>2</v>
      </c>
      <c r="E122" s="1" t="s">
        <v>221</v>
      </c>
      <c r="F122" s="4">
        <f>H122+J122+L122</f>
        <v>0</v>
      </c>
      <c r="G122" s="8">
        <f>I122+K122+M122</f>
        <v>3625.5</v>
      </c>
      <c r="H122" s="4"/>
      <c r="I122" s="8"/>
      <c r="J122" s="4"/>
      <c r="K122" s="8"/>
      <c r="L122" s="4"/>
      <c r="M122" s="8">
        <f>TRUNC((K120+K121)*D122%,1)</f>
        <v>3625.5</v>
      </c>
      <c r="N122" s="12"/>
    </row>
    <row r="123" spans="1:14" ht="15" customHeight="1">
      <c r="A123" s="13"/>
      <c r="B123" s="14" t="s">
        <v>532</v>
      </c>
      <c r="C123" s="1" t="s">
        <v>432</v>
      </c>
      <c r="D123" s="3">
        <v>1</v>
      </c>
      <c r="E123" s="1" t="s">
        <v>531</v>
      </c>
      <c r="F123" s="4"/>
      <c r="G123" s="8"/>
      <c r="H123" s="4"/>
      <c r="I123" s="8">
        <f>TRUNC(H123*D123,1)</f>
        <v>0</v>
      </c>
      <c r="J123" s="4"/>
      <c r="K123" s="8"/>
      <c r="L123" s="4"/>
      <c r="M123" s="8"/>
      <c r="N123" s="12"/>
    </row>
    <row r="124" spans="1:14" ht="15" customHeight="1">
      <c r="A124" s="16"/>
      <c r="B124" s="15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12"/>
    </row>
    <row r="125" spans="1:14" ht="15" customHeight="1">
      <c r="A125" s="64">
        <f>A119+1</f>
        <v>77</v>
      </c>
      <c r="B125" s="46" t="s">
        <v>304</v>
      </c>
      <c r="C125" s="47" t="s">
        <v>195</v>
      </c>
      <c r="D125" s="47">
        <v>1</v>
      </c>
      <c r="E125" s="47" t="s">
        <v>3</v>
      </c>
      <c r="F125" s="51"/>
      <c r="G125" s="50">
        <f>I125+K125+M125</f>
        <v>203561</v>
      </c>
      <c r="H125" s="51"/>
      <c r="I125" s="50">
        <f>TRUNC(I126+I127+I128+I129,0)</f>
        <v>0</v>
      </c>
      <c r="J125" s="51"/>
      <c r="K125" s="50">
        <f t="shared" ref="K125" si="55">TRUNC(K126+K127+K128,0)</f>
        <v>199570</v>
      </c>
      <c r="L125" s="50">
        <f t="shared" ref="L125" si="56">TRUNC(L126+L127+L128,0)</f>
        <v>0</v>
      </c>
      <c r="M125" s="50">
        <f t="shared" ref="M125" si="57">TRUNC(M126+M127+M128,0)</f>
        <v>3991</v>
      </c>
      <c r="N125" s="63" t="s">
        <v>249</v>
      </c>
    </row>
    <row r="126" spans="1:14" ht="15" customHeight="1">
      <c r="A126" s="13"/>
      <c r="B126" s="14" t="s">
        <v>261</v>
      </c>
      <c r="C126" s="1" t="s">
        <v>32</v>
      </c>
      <c r="D126" s="3">
        <v>0.56999999999999995</v>
      </c>
      <c r="E126" s="1" t="s">
        <v>24</v>
      </c>
      <c r="F126" s="4">
        <f>H126+J126+L126</f>
        <v>262580</v>
      </c>
      <c r="G126" s="8">
        <f>I126+K126+M126</f>
        <v>149670.6</v>
      </c>
      <c r="H126" s="4">
        <v>0</v>
      </c>
      <c r="I126" s="8"/>
      <c r="J126" s="4">
        <f>노임!$D$10</f>
        <v>262580</v>
      </c>
      <c r="K126" s="8">
        <f>TRUNC(J126*D126,1)</f>
        <v>149670.6</v>
      </c>
      <c r="L126" s="4">
        <v>0</v>
      </c>
      <c r="M126" s="8"/>
      <c r="N126" s="12" t="s">
        <v>0</v>
      </c>
    </row>
    <row r="127" spans="1:14" ht="15" customHeight="1">
      <c r="A127" s="13"/>
      <c r="B127" s="14" t="s">
        <v>262</v>
      </c>
      <c r="C127" s="1" t="s">
        <v>0</v>
      </c>
      <c r="D127" s="3">
        <v>0.28999999999999998</v>
      </c>
      <c r="E127" s="1" t="s">
        <v>24</v>
      </c>
      <c r="F127" s="4">
        <f>H127+J127+L127</f>
        <v>172068</v>
      </c>
      <c r="G127" s="8">
        <f>I127+K127+M127</f>
        <v>49899.7</v>
      </c>
      <c r="H127" s="4">
        <v>0</v>
      </c>
      <c r="I127" s="8"/>
      <c r="J127" s="4">
        <f>노임!$D$3</f>
        <v>172068</v>
      </c>
      <c r="K127" s="8">
        <f>TRUNC(J127*D127,1)</f>
        <v>49899.7</v>
      </c>
      <c r="L127" s="4">
        <v>0</v>
      </c>
      <c r="M127" s="8"/>
      <c r="N127" s="12" t="s">
        <v>0</v>
      </c>
    </row>
    <row r="128" spans="1:14" ht="15" customHeight="1">
      <c r="A128" s="13"/>
      <c r="B128" s="14" t="s">
        <v>288</v>
      </c>
      <c r="C128" s="1" t="s">
        <v>220</v>
      </c>
      <c r="D128" s="3">
        <v>2</v>
      </c>
      <c r="E128" s="1" t="s">
        <v>221</v>
      </c>
      <c r="F128" s="4">
        <f>H128+J128+L128</f>
        <v>0</v>
      </c>
      <c r="G128" s="8">
        <f>I128+K128+M128</f>
        <v>3991.4</v>
      </c>
      <c r="H128" s="4"/>
      <c r="I128" s="8"/>
      <c r="J128" s="4"/>
      <c r="K128" s="8"/>
      <c r="L128" s="4"/>
      <c r="M128" s="8">
        <f>TRUNC((K126+K127)*D128%,1)</f>
        <v>3991.4</v>
      </c>
      <c r="N128" s="12"/>
    </row>
    <row r="129" spans="1:14" ht="15" customHeight="1">
      <c r="A129" s="13"/>
      <c r="B129" s="14" t="s">
        <v>532</v>
      </c>
      <c r="C129" s="1" t="s">
        <v>433</v>
      </c>
      <c r="D129" s="3">
        <v>1</v>
      </c>
      <c r="E129" s="1" t="s">
        <v>531</v>
      </c>
      <c r="F129" s="4"/>
      <c r="G129" s="8"/>
      <c r="H129" s="4"/>
      <c r="I129" s="8">
        <f>TRUNC(H129*D129,1)</f>
        <v>0</v>
      </c>
      <c r="J129" s="4"/>
      <c r="K129" s="8"/>
      <c r="L129" s="4"/>
      <c r="M129" s="8"/>
      <c r="N129" s="12"/>
    </row>
    <row r="130" spans="1:14" ht="15" customHeight="1">
      <c r="A130" s="16"/>
      <c r="B130" s="15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12"/>
    </row>
    <row r="131" spans="1:14" ht="15" customHeight="1">
      <c r="A131" s="64">
        <f>A125+1</f>
        <v>78</v>
      </c>
      <c r="B131" s="46" t="s">
        <v>304</v>
      </c>
      <c r="C131" s="47" t="s">
        <v>196</v>
      </c>
      <c r="D131" s="47">
        <v>1</v>
      </c>
      <c r="E131" s="47" t="s">
        <v>3</v>
      </c>
      <c r="F131" s="51"/>
      <c r="G131" s="50">
        <f>I131+K131+M131</f>
        <v>224896</v>
      </c>
      <c r="H131" s="51"/>
      <c r="I131" s="50">
        <f>TRUNC(I132+I133+I134+I135,0)</f>
        <v>0</v>
      </c>
      <c r="J131" s="51"/>
      <c r="K131" s="50">
        <f t="shared" ref="K131" si="58">TRUNC(K132+K133+K134,0)</f>
        <v>220487</v>
      </c>
      <c r="L131" s="50">
        <f t="shared" ref="L131" si="59">TRUNC(L132+L133+L134,0)</f>
        <v>0</v>
      </c>
      <c r="M131" s="50">
        <f t="shared" ref="M131" si="60">TRUNC(M132+M133+M134,0)</f>
        <v>4409</v>
      </c>
      <c r="N131" s="63" t="s">
        <v>249</v>
      </c>
    </row>
    <row r="132" spans="1:14" ht="15" customHeight="1">
      <c r="A132" s="13"/>
      <c r="B132" s="14" t="s">
        <v>261</v>
      </c>
      <c r="C132" s="1" t="s">
        <v>32</v>
      </c>
      <c r="D132" s="3">
        <v>0.63</v>
      </c>
      <c r="E132" s="1" t="s">
        <v>24</v>
      </c>
      <c r="F132" s="4">
        <f>H132+J132+L132</f>
        <v>262580</v>
      </c>
      <c r="G132" s="8">
        <f>I132+K132+M132</f>
        <v>165425.4</v>
      </c>
      <c r="H132" s="4">
        <v>0</v>
      </c>
      <c r="I132" s="8"/>
      <c r="J132" s="4">
        <f>노임!$D$10</f>
        <v>262580</v>
      </c>
      <c r="K132" s="8">
        <f>TRUNC(J132*D132,1)</f>
        <v>165425.4</v>
      </c>
      <c r="L132" s="4">
        <v>0</v>
      </c>
      <c r="M132" s="8"/>
      <c r="N132" s="12" t="s">
        <v>0</v>
      </c>
    </row>
    <row r="133" spans="1:14" ht="15" customHeight="1">
      <c r="A133" s="13"/>
      <c r="B133" s="14" t="s">
        <v>262</v>
      </c>
      <c r="C133" s="1" t="s">
        <v>0</v>
      </c>
      <c r="D133" s="3">
        <v>0.32</v>
      </c>
      <c r="E133" s="1" t="s">
        <v>24</v>
      </c>
      <c r="F133" s="4">
        <f>H133+J133+L133</f>
        <v>172068</v>
      </c>
      <c r="G133" s="8">
        <f>I133+K133+M133</f>
        <v>55061.7</v>
      </c>
      <c r="H133" s="4">
        <v>0</v>
      </c>
      <c r="I133" s="8"/>
      <c r="J133" s="4">
        <f>노임!$D$3</f>
        <v>172068</v>
      </c>
      <c r="K133" s="8">
        <f>TRUNC(J133*D133,1)</f>
        <v>55061.7</v>
      </c>
      <c r="L133" s="4">
        <v>0</v>
      </c>
      <c r="M133" s="8"/>
      <c r="N133" s="12" t="s">
        <v>0</v>
      </c>
    </row>
    <row r="134" spans="1:14" ht="15" customHeight="1">
      <c r="A134" s="13"/>
      <c r="B134" s="14" t="s">
        <v>288</v>
      </c>
      <c r="C134" s="1" t="s">
        <v>220</v>
      </c>
      <c r="D134" s="3">
        <v>2</v>
      </c>
      <c r="E134" s="1" t="s">
        <v>221</v>
      </c>
      <c r="F134" s="4">
        <f>H134+J134+L134</f>
        <v>0</v>
      </c>
      <c r="G134" s="8">
        <f>I134+K134+M134</f>
        <v>4409.7</v>
      </c>
      <c r="H134" s="4"/>
      <c r="I134" s="8"/>
      <c r="J134" s="4"/>
      <c r="K134" s="8"/>
      <c r="L134" s="4"/>
      <c r="M134" s="8">
        <f>TRUNC((K132+K133)*D134%,1)</f>
        <v>4409.7</v>
      </c>
      <c r="N134" s="12"/>
    </row>
    <row r="135" spans="1:14" ht="15" customHeight="1">
      <c r="A135" s="13"/>
      <c r="B135" s="14" t="s">
        <v>532</v>
      </c>
      <c r="C135" s="1" t="s">
        <v>434</v>
      </c>
      <c r="D135" s="3">
        <v>1</v>
      </c>
      <c r="E135" s="1" t="s">
        <v>531</v>
      </c>
      <c r="F135" s="4"/>
      <c r="G135" s="8"/>
      <c r="H135" s="4"/>
      <c r="I135" s="8">
        <f>TRUNC(H135*D135,1)</f>
        <v>0</v>
      </c>
      <c r="J135" s="4"/>
      <c r="K135" s="8"/>
      <c r="L135" s="4"/>
      <c r="M135" s="8"/>
      <c r="N135" s="12"/>
    </row>
    <row r="136" spans="1:14" ht="15" customHeight="1">
      <c r="A136" s="16"/>
      <c r="B136" s="15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12"/>
    </row>
    <row r="137" spans="1:14" ht="15" customHeight="1">
      <c r="A137" s="64">
        <f>A131+1</f>
        <v>79</v>
      </c>
      <c r="B137" s="46" t="s">
        <v>304</v>
      </c>
      <c r="C137" s="47" t="s">
        <v>197</v>
      </c>
      <c r="D137" s="47">
        <v>1</v>
      </c>
      <c r="E137" s="47" t="s">
        <v>3</v>
      </c>
      <c r="F137" s="51"/>
      <c r="G137" s="50">
        <f>I137+K137+M137</f>
        <v>244476</v>
      </c>
      <c r="H137" s="51"/>
      <c r="I137" s="50">
        <f>TRUNC(I138+I139+I140+I141,0)</f>
        <v>0</v>
      </c>
      <c r="J137" s="51"/>
      <c r="K137" s="50">
        <f t="shared" ref="K137" si="61">TRUNC(K138+K139+K140,0)</f>
        <v>239683</v>
      </c>
      <c r="L137" s="50">
        <f t="shared" ref="L137" si="62">TRUNC(L138+L139+L140,0)</f>
        <v>0</v>
      </c>
      <c r="M137" s="50">
        <f t="shared" ref="M137" si="63">TRUNC(M138+M139+M140,0)</f>
        <v>4793</v>
      </c>
      <c r="N137" s="63" t="s">
        <v>249</v>
      </c>
    </row>
    <row r="138" spans="1:14" ht="15" customHeight="1">
      <c r="A138" s="13"/>
      <c r="B138" s="14" t="s">
        <v>261</v>
      </c>
      <c r="C138" s="1" t="s">
        <v>32</v>
      </c>
      <c r="D138" s="3">
        <v>0.69</v>
      </c>
      <c r="E138" s="1" t="s">
        <v>24</v>
      </c>
      <c r="F138" s="4">
        <f>H138+J138+L138</f>
        <v>262580</v>
      </c>
      <c r="G138" s="8">
        <f>I138+K138+M138</f>
        <v>181180.2</v>
      </c>
      <c r="H138" s="4">
        <v>0</v>
      </c>
      <c r="I138" s="8"/>
      <c r="J138" s="4">
        <f>노임!$D$10</f>
        <v>262580</v>
      </c>
      <c r="K138" s="8">
        <f>TRUNC(J138*D138,1)</f>
        <v>181180.2</v>
      </c>
      <c r="L138" s="4">
        <v>0</v>
      </c>
      <c r="M138" s="8"/>
      <c r="N138" s="12" t="s">
        <v>0</v>
      </c>
    </row>
    <row r="139" spans="1:14" ht="15" customHeight="1">
      <c r="A139" s="13"/>
      <c r="B139" s="14" t="s">
        <v>262</v>
      </c>
      <c r="C139" s="1" t="s">
        <v>0</v>
      </c>
      <c r="D139" s="3">
        <v>0.34</v>
      </c>
      <c r="E139" s="1" t="s">
        <v>24</v>
      </c>
      <c r="F139" s="4">
        <f>H139+J139+L139</f>
        <v>172068</v>
      </c>
      <c r="G139" s="8">
        <f>I139+K139+M139</f>
        <v>58503.1</v>
      </c>
      <c r="H139" s="4">
        <v>0</v>
      </c>
      <c r="I139" s="8"/>
      <c r="J139" s="4">
        <f>노임!$D$3</f>
        <v>172068</v>
      </c>
      <c r="K139" s="8">
        <f>TRUNC(J139*D139,1)</f>
        <v>58503.1</v>
      </c>
      <c r="L139" s="4">
        <v>0</v>
      </c>
      <c r="M139" s="8"/>
      <c r="N139" s="12" t="s">
        <v>0</v>
      </c>
    </row>
    <row r="140" spans="1:14" ht="15" customHeight="1">
      <c r="A140" s="13"/>
      <c r="B140" s="14" t="s">
        <v>288</v>
      </c>
      <c r="C140" s="1" t="s">
        <v>220</v>
      </c>
      <c r="D140" s="3">
        <v>2</v>
      </c>
      <c r="E140" s="1" t="s">
        <v>221</v>
      </c>
      <c r="F140" s="4">
        <f>H140+J140+L140</f>
        <v>0</v>
      </c>
      <c r="G140" s="8">
        <f>I140+K140+M140</f>
        <v>4793.6000000000004</v>
      </c>
      <c r="H140" s="4"/>
      <c r="I140" s="8"/>
      <c r="J140" s="4"/>
      <c r="K140" s="8"/>
      <c r="L140" s="4"/>
      <c r="M140" s="8">
        <f>TRUNC((K138+K139)*D140%,1)</f>
        <v>4793.6000000000004</v>
      </c>
      <c r="N140" s="12"/>
    </row>
    <row r="141" spans="1:14" ht="15" customHeight="1">
      <c r="A141" s="13"/>
      <c r="B141" s="14" t="s">
        <v>532</v>
      </c>
      <c r="C141" s="1" t="s">
        <v>435</v>
      </c>
      <c r="D141" s="3">
        <v>1</v>
      </c>
      <c r="E141" s="1" t="s">
        <v>531</v>
      </c>
      <c r="F141" s="4"/>
      <c r="G141" s="8"/>
      <c r="H141" s="4"/>
      <c r="I141" s="8">
        <f>TRUNC(H141*D141,1)</f>
        <v>0</v>
      </c>
      <c r="J141" s="4"/>
      <c r="K141" s="8"/>
      <c r="L141" s="4"/>
      <c r="M141" s="8"/>
      <c r="N141" s="12"/>
    </row>
    <row r="142" spans="1:14" ht="15" customHeight="1">
      <c r="A142" s="16"/>
      <c r="B142" s="15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12"/>
    </row>
    <row r="143" spans="1:14" ht="15" customHeight="1">
      <c r="A143" s="64">
        <f>A137+1</f>
        <v>80</v>
      </c>
      <c r="B143" s="46" t="s">
        <v>304</v>
      </c>
      <c r="C143" s="47" t="s">
        <v>198</v>
      </c>
      <c r="D143" s="47">
        <v>1</v>
      </c>
      <c r="E143" s="47" t="s">
        <v>3</v>
      </c>
      <c r="F143" s="51"/>
      <c r="G143" s="50">
        <f>I143+K143+M143</f>
        <v>263133</v>
      </c>
      <c r="H143" s="51"/>
      <c r="I143" s="50">
        <f>TRUNC(I144+I145+I146+I147,0)</f>
        <v>0</v>
      </c>
      <c r="J143" s="51"/>
      <c r="K143" s="50">
        <f t="shared" ref="K143" si="64">TRUNC(K144+K145+K146,0)</f>
        <v>257974</v>
      </c>
      <c r="L143" s="50">
        <f t="shared" ref="L143" si="65">TRUNC(L144+L145+L146,0)</f>
        <v>0</v>
      </c>
      <c r="M143" s="50">
        <f t="shared" ref="M143" si="66">TRUNC(M144+M145+M146,0)</f>
        <v>5159</v>
      </c>
      <c r="N143" s="63" t="s">
        <v>249</v>
      </c>
    </row>
    <row r="144" spans="1:14" ht="15" customHeight="1">
      <c r="A144" s="13"/>
      <c r="B144" s="14" t="s">
        <v>261</v>
      </c>
      <c r="C144" s="1" t="s">
        <v>32</v>
      </c>
      <c r="D144" s="3">
        <v>0.74</v>
      </c>
      <c r="E144" s="1" t="s">
        <v>24</v>
      </c>
      <c r="F144" s="4">
        <f>H144+J144+L144</f>
        <v>262580</v>
      </c>
      <c r="G144" s="8">
        <f>I144+K144+M144</f>
        <v>194309.2</v>
      </c>
      <c r="H144" s="4">
        <v>0</v>
      </c>
      <c r="I144" s="8"/>
      <c r="J144" s="4">
        <f>노임!$D$10</f>
        <v>262580</v>
      </c>
      <c r="K144" s="8">
        <f>TRUNC(J144*D144,1)</f>
        <v>194309.2</v>
      </c>
      <c r="L144" s="4">
        <v>0</v>
      </c>
      <c r="M144" s="8"/>
      <c r="N144" s="12" t="s">
        <v>0</v>
      </c>
    </row>
    <row r="145" spans="1:14" ht="15" customHeight="1">
      <c r="A145" s="13"/>
      <c r="B145" s="14" t="s">
        <v>262</v>
      </c>
      <c r="C145" s="1" t="s">
        <v>0</v>
      </c>
      <c r="D145" s="3">
        <v>0.37</v>
      </c>
      <c r="E145" s="1" t="s">
        <v>24</v>
      </c>
      <c r="F145" s="4">
        <f>H145+J145+L145</f>
        <v>172068</v>
      </c>
      <c r="G145" s="8">
        <f>I145+K145+M145</f>
        <v>63665.1</v>
      </c>
      <c r="H145" s="4">
        <v>0</v>
      </c>
      <c r="I145" s="8"/>
      <c r="J145" s="4">
        <f>노임!$D$3</f>
        <v>172068</v>
      </c>
      <c r="K145" s="8">
        <f>TRUNC(J145*D145,1)</f>
        <v>63665.1</v>
      </c>
      <c r="L145" s="4">
        <v>0</v>
      </c>
      <c r="M145" s="8"/>
      <c r="N145" s="12" t="s">
        <v>0</v>
      </c>
    </row>
    <row r="146" spans="1:14" ht="15" customHeight="1">
      <c r="A146" s="13"/>
      <c r="B146" s="14" t="s">
        <v>288</v>
      </c>
      <c r="C146" s="1" t="s">
        <v>220</v>
      </c>
      <c r="D146" s="3">
        <v>2</v>
      </c>
      <c r="E146" s="1" t="s">
        <v>221</v>
      </c>
      <c r="F146" s="4">
        <f>H146+J146+L146</f>
        <v>0</v>
      </c>
      <c r="G146" s="8">
        <f>I146+K146+M146</f>
        <v>5159.3999999999996</v>
      </c>
      <c r="H146" s="4"/>
      <c r="I146" s="8"/>
      <c r="J146" s="4"/>
      <c r="K146" s="8"/>
      <c r="L146" s="4"/>
      <c r="M146" s="8">
        <f>TRUNC((K144+K145)*D146%,1)</f>
        <v>5159.3999999999996</v>
      </c>
      <c r="N146" s="12"/>
    </row>
    <row r="147" spans="1:14" ht="15" customHeight="1">
      <c r="A147" s="13"/>
      <c r="B147" s="14" t="s">
        <v>532</v>
      </c>
      <c r="C147" s="1" t="s">
        <v>436</v>
      </c>
      <c r="D147" s="3">
        <v>1</v>
      </c>
      <c r="E147" s="1" t="s">
        <v>531</v>
      </c>
      <c r="F147" s="4"/>
      <c r="G147" s="8"/>
      <c r="H147" s="4"/>
      <c r="I147" s="8">
        <f>TRUNC(H147*D147,1)</f>
        <v>0</v>
      </c>
      <c r="J147" s="4"/>
      <c r="K147" s="8"/>
      <c r="L147" s="4"/>
      <c r="M147" s="8"/>
      <c r="N147" s="12"/>
    </row>
    <row r="148" spans="1:14" ht="15" customHeight="1">
      <c r="A148" s="16"/>
      <c r="B148" s="15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12"/>
    </row>
  </sheetData>
  <autoFilter ref="A1:N170" xr:uid="{00000000-0009-0000-0000-000008000000}"/>
  <mergeCells count="9">
    <mergeCell ref="A2:B3"/>
    <mergeCell ref="J2:K2"/>
    <mergeCell ref="L2:M2"/>
    <mergeCell ref="N2:N3"/>
    <mergeCell ref="C2:C3"/>
    <mergeCell ref="D2:D3"/>
    <mergeCell ref="E2:E3"/>
    <mergeCell ref="F2:G2"/>
    <mergeCell ref="H2:I2"/>
  </mergeCells>
  <phoneticPr fontId="2" type="noConversion"/>
  <pageMargins left="0.31496062992125984" right="0.31496062992125984" top="1" bottom="0.59055118110236215" header="0.5" footer="0.5"/>
  <pageSetup paperSize="9" orientation="landscape" copies="0"/>
  <headerFooter alignWithMargins="0">
    <oddHeader>&amp;RPage : &amp;P/&amp;N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N212"/>
  <sheetViews>
    <sheetView zoomScaleNormal="100" workbookViewId="0">
      <pane ySplit="2" topLeftCell="A35" activePane="bottomLeft" state="frozen"/>
      <selection activeCell="N21" sqref="N21"/>
      <selection pane="bottomLeft" activeCell="N21" sqref="N21"/>
    </sheetView>
  </sheetViews>
  <sheetFormatPr defaultRowHeight="12.75" customHeight="1"/>
  <cols>
    <col min="1" max="1" width="8.83203125" customWidth="1"/>
    <col min="2" max="3" width="35.83203125" customWidth="1"/>
    <col min="4" max="4" width="10.83203125" customWidth="1"/>
    <col min="5" max="5" width="8.83203125" style="11" customWidth="1"/>
    <col min="6" max="6" width="12.83203125" style="11" hidden="1" customWidth="1"/>
    <col min="7" max="7" width="14.83203125" customWidth="1"/>
    <col min="8" max="8" width="12.83203125" hidden="1" customWidth="1"/>
    <col min="9" max="9" width="14.83203125" customWidth="1"/>
    <col min="10" max="10" width="12.83203125" hidden="1" customWidth="1"/>
    <col min="11" max="11" width="14.83203125" customWidth="1"/>
    <col min="12" max="12" width="12.83203125" hidden="1" customWidth="1"/>
    <col min="13" max="13" width="14.83203125" customWidth="1"/>
    <col min="14" max="14" width="15.83203125" style="11" customWidth="1"/>
  </cols>
  <sheetData>
    <row r="1" spans="1:14" ht="18" customHeight="1">
      <c r="A1" s="71" t="s">
        <v>305</v>
      </c>
    </row>
    <row r="2" spans="1:14" ht="18" customHeight="1">
      <c r="A2" s="339" t="s">
        <v>23</v>
      </c>
      <c r="B2" s="340"/>
      <c r="C2" s="2" t="s">
        <v>22</v>
      </c>
      <c r="D2" s="2" t="s">
        <v>21</v>
      </c>
      <c r="E2" s="2" t="s">
        <v>20</v>
      </c>
      <c r="F2" s="2"/>
      <c r="G2" s="2" t="s">
        <v>19</v>
      </c>
      <c r="H2" s="2"/>
      <c r="I2" s="2" t="s">
        <v>18</v>
      </c>
      <c r="J2" s="2"/>
      <c r="K2" s="2" t="s">
        <v>17</v>
      </c>
      <c r="L2" s="2"/>
      <c r="M2" s="2" t="s">
        <v>16</v>
      </c>
      <c r="N2" s="2" t="s">
        <v>15</v>
      </c>
    </row>
    <row r="3" spans="1:14" ht="18" customHeight="1">
      <c r="A3" s="13"/>
      <c r="B3" s="14"/>
      <c r="C3" s="1"/>
      <c r="D3" s="1"/>
      <c r="E3" s="2"/>
      <c r="F3" s="2"/>
      <c r="G3" s="5"/>
      <c r="H3" s="5"/>
      <c r="I3" s="5"/>
      <c r="J3" s="5"/>
      <c r="K3" s="5"/>
      <c r="L3" s="5"/>
      <c r="M3" s="5"/>
      <c r="N3" s="2"/>
    </row>
    <row r="4" spans="1:14" ht="18" customHeight="1">
      <c r="A4" s="39">
        <f>KP메카니컬접합부설!A5</f>
        <v>1</v>
      </c>
      <c r="B4" s="53" t="str">
        <f>KP메카니컬접합부설!B5</f>
        <v>K.P메카니컬 접합 및 부설</v>
      </c>
      <c r="C4" s="3" t="str">
        <f>KP메카니컬접합부설!C5</f>
        <v>D80㎜(인력)</v>
      </c>
      <c r="D4" s="1">
        <v>1</v>
      </c>
      <c r="E4" s="2" t="s">
        <v>253</v>
      </c>
      <c r="F4" s="2"/>
      <c r="G4" s="34" t="e">
        <f t="shared" ref="G4:G59" si="0">I4+K4+M4</f>
        <v>#REF!</v>
      </c>
      <c r="H4" s="34"/>
      <c r="I4" s="34" t="e">
        <f>KP메카니컬접합부설!I5</f>
        <v>#REF!</v>
      </c>
      <c r="J4" s="34"/>
      <c r="K4" s="34" t="e">
        <f>KP메카니컬접합부설!K5</f>
        <v>#REF!</v>
      </c>
      <c r="L4" s="34"/>
      <c r="M4" s="34" t="e">
        <f>KP메카니컬접합부설!M5</f>
        <v>#REF!</v>
      </c>
      <c r="N4" s="2"/>
    </row>
    <row r="5" spans="1:14" ht="18" customHeight="1">
      <c r="A5" s="39">
        <f>KP메카니컬접합부설!A12</f>
        <v>2</v>
      </c>
      <c r="B5" s="54" t="str">
        <f>KP메카니컬접합부설!B12</f>
        <v>K.P메카니컬 접합 및 부설</v>
      </c>
      <c r="C5" s="39" t="str">
        <f>KP메카니컬접합부설!C12</f>
        <v>D80㎜(인력), 이탈방지압륜</v>
      </c>
      <c r="D5" s="1">
        <v>1</v>
      </c>
      <c r="E5" s="2" t="s">
        <v>253</v>
      </c>
      <c r="F5" s="2"/>
      <c r="G5" s="34" t="e">
        <f t="shared" si="0"/>
        <v>#REF!</v>
      </c>
      <c r="H5" s="34"/>
      <c r="I5" s="34" t="e">
        <f>KP메카니컬접합부설!I12</f>
        <v>#REF!</v>
      </c>
      <c r="J5" s="34"/>
      <c r="K5" s="34" t="e">
        <f>KP메카니컬접합부설!K12</f>
        <v>#REF!</v>
      </c>
      <c r="L5" s="34"/>
      <c r="M5" s="34" t="e">
        <f>KP메카니컬접합부설!M12</f>
        <v>#REF!</v>
      </c>
      <c r="N5" s="2"/>
    </row>
    <row r="6" spans="1:14" ht="18" customHeight="1">
      <c r="A6" s="39">
        <f>KP메카니컬접합부설!A20</f>
        <v>3</v>
      </c>
      <c r="B6" s="54" t="str">
        <f>KP메카니컬접합부설!B20</f>
        <v>K.P메카니컬 접합 및 부설</v>
      </c>
      <c r="C6" s="39" t="str">
        <f>KP메카니컬접합부설!C20</f>
        <v>D80㎜</v>
      </c>
      <c r="D6" s="1">
        <v>1</v>
      </c>
      <c r="E6" s="2" t="s">
        <v>253</v>
      </c>
      <c r="F6" s="2"/>
      <c r="G6" s="34" t="e">
        <f t="shared" si="0"/>
        <v>#REF!</v>
      </c>
      <c r="H6" s="34"/>
      <c r="I6" s="34" t="e">
        <f>KP메카니컬접합부설!I20</f>
        <v>#REF!</v>
      </c>
      <c r="J6" s="34"/>
      <c r="K6" s="34" t="e">
        <f>KP메카니컬접합부설!K20</f>
        <v>#REF!</v>
      </c>
      <c r="L6" s="34"/>
      <c r="M6" s="34" t="e">
        <f>KP메카니컬접합부설!M20</f>
        <v>#REF!</v>
      </c>
      <c r="N6" s="2"/>
    </row>
    <row r="7" spans="1:14" ht="18" customHeight="1">
      <c r="A7" s="39">
        <f>KP메카니컬접합부설!A27</f>
        <v>4</v>
      </c>
      <c r="B7" s="54" t="str">
        <f>KP메카니컬접합부설!B27</f>
        <v>K.P메카니컬 접합 및 부설</v>
      </c>
      <c r="C7" s="39" t="str">
        <f>KP메카니컬접합부설!C27</f>
        <v>D80㎜, 이탈방지압륜</v>
      </c>
      <c r="D7" s="1">
        <v>1</v>
      </c>
      <c r="E7" s="2" t="s">
        <v>253</v>
      </c>
      <c r="F7" s="2"/>
      <c r="G7" s="34" t="e">
        <f t="shared" si="0"/>
        <v>#REF!</v>
      </c>
      <c r="H7" s="34"/>
      <c r="I7" s="34" t="e">
        <f>KP메카니컬접합부설!I27</f>
        <v>#REF!</v>
      </c>
      <c r="J7" s="34"/>
      <c r="K7" s="34" t="e">
        <f>KP메카니컬접합부설!K27</f>
        <v>#REF!</v>
      </c>
      <c r="L7" s="34"/>
      <c r="M7" s="34" t="e">
        <f>KP메카니컬접합부설!M27</f>
        <v>#REF!</v>
      </c>
      <c r="N7" s="2"/>
    </row>
    <row r="8" spans="1:14" ht="18" customHeight="1">
      <c r="A8" s="39">
        <f>KP메카니컬접합부설!A35</f>
        <v>5</v>
      </c>
      <c r="B8" s="54" t="str">
        <f>KP메카니컬접합부설!B35</f>
        <v>K.P메카니컬 접합 및 부설</v>
      </c>
      <c r="C8" s="39" t="str">
        <f>KP메카니컬접합부설!C35</f>
        <v>D100㎜(인력)</v>
      </c>
      <c r="D8" s="1">
        <v>1</v>
      </c>
      <c r="E8" s="2" t="s">
        <v>253</v>
      </c>
      <c r="F8" s="2"/>
      <c r="G8" s="34" t="e">
        <f t="shared" si="0"/>
        <v>#REF!</v>
      </c>
      <c r="H8" s="34"/>
      <c r="I8" s="34" t="e">
        <f>KP메카니컬접합부설!I35</f>
        <v>#REF!</v>
      </c>
      <c r="J8" s="34"/>
      <c r="K8" s="34" t="e">
        <f>KP메카니컬접합부설!K35</f>
        <v>#REF!</v>
      </c>
      <c r="L8" s="34"/>
      <c r="M8" s="34" t="e">
        <f>KP메카니컬접합부설!M35</f>
        <v>#REF!</v>
      </c>
      <c r="N8" s="2"/>
    </row>
    <row r="9" spans="1:14" ht="18" customHeight="1">
      <c r="A9" s="39">
        <f>KP메카니컬접합부설!A42</f>
        <v>6</v>
      </c>
      <c r="B9" s="54" t="str">
        <f>KP메카니컬접합부설!B42</f>
        <v>K.P메카니컬 접합 및 부설</v>
      </c>
      <c r="C9" s="39" t="str">
        <f>KP메카니컬접합부설!C42</f>
        <v>D100㎜(인력), 이탈방지압륜</v>
      </c>
      <c r="D9" s="1">
        <v>1</v>
      </c>
      <c r="E9" s="2" t="s">
        <v>253</v>
      </c>
      <c r="F9" s="2"/>
      <c r="G9" s="34" t="e">
        <f t="shared" si="0"/>
        <v>#REF!</v>
      </c>
      <c r="H9" s="34"/>
      <c r="I9" s="34" t="e">
        <f>KP메카니컬접합부설!I42</f>
        <v>#REF!</v>
      </c>
      <c r="J9" s="34"/>
      <c r="K9" s="34" t="e">
        <f>KP메카니컬접합부설!K42</f>
        <v>#REF!</v>
      </c>
      <c r="L9" s="34"/>
      <c r="M9" s="34" t="e">
        <f>KP메카니컬접합부설!M42</f>
        <v>#REF!</v>
      </c>
      <c r="N9" s="2"/>
    </row>
    <row r="10" spans="1:14" ht="18" customHeight="1">
      <c r="A10" s="39">
        <f>KP메카니컬접합부설!A50</f>
        <v>7</v>
      </c>
      <c r="B10" s="54" t="str">
        <f>KP메카니컬접합부설!B50</f>
        <v>K.P메카니컬 접합 및 부설</v>
      </c>
      <c r="C10" s="39" t="str">
        <f>KP메카니컬접합부설!C50</f>
        <v>D100㎜이하</v>
      </c>
      <c r="D10" s="1">
        <v>1</v>
      </c>
      <c r="E10" s="2" t="s">
        <v>253</v>
      </c>
      <c r="F10" s="2"/>
      <c r="G10" s="34" t="e">
        <f t="shared" si="0"/>
        <v>#REF!</v>
      </c>
      <c r="H10" s="34"/>
      <c r="I10" s="34" t="e">
        <f>KP메카니컬접합부설!I50</f>
        <v>#REF!</v>
      </c>
      <c r="J10" s="34"/>
      <c r="K10" s="34" t="e">
        <f>KP메카니컬접합부설!K50</f>
        <v>#REF!</v>
      </c>
      <c r="L10" s="34"/>
      <c r="M10" s="34" t="e">
        <f>KP메카니컬접합부설!M50</f>
        <v>#REF!</v>
      </c>
      <c r="N10" s="2"/>
    </row>
    <row r="11" spans="1:14" ht="18" customHeight="1">
      <c r="A11" s="39">
        <f>KP메카니컬접합부설!A57</f>
        <v>8</v>
      </c>
      <c r="B11" s="54" t="str">
        <f>KP메카니컬접합부설!B57</f>
        <v>K.P메카니컬 접합 및 부설</v>
      </c>
      <c r="C11" s="39" t="str">
        <f>KP메카니컬접합부설!C57</f>
        <v>D100㎜, 이탈방지압륜</v>
      </c>
      <c r="D11" s="1">
        <v>1</v>
      </c>
      <c r="E11" s="2" t="s">
        <v>253</v>
      </c>
      <c r="F11" s="2"/>
      <c r="G11" s="34" t="e">
        <f t="shared" si="0"/>
        <v>#REF!</v>
      </c>
      <c r="H11" s="34"/>
      <c r="I11" s="34" t="e">
        <f>KP메카니컬접합부설!I57</f>
        <v>#REF!</v>
      </c>
      <c r="J11" s="34"/>
      <c r="K11" s="34" t="e">
        <f>KP메카니컬접합부설!K57</f>
        <v>#REF!</v>
      </c>
      <c r="L11" s="34"/>
      <c r="M11" s="34" t="e">
        <f>KP메카니컬접합부설!M57</f>
        <v>#REF!</v>
      </c>
      <c r="N11" s="2"/>
    </row>
    <row r="12" spans="1:14" ht="18" customHeight="1">
      <c r="A12" s="39">
        <f>KP메카니컬접합부설!A65</f>
        <v>9</v>
      </c>
      <c r="B12" s="54" t="str">
        <f>KP메카니컬접합부설!B65</f>
        <v>K.P메카니컬 접합 및 부설</v>
      </c>
      <c r="C12" s="39" t="str">
        <f>KP메카니컬접합부설!C65</f>
        <v>D150㎜(인력)</v>
      </c>
      <c r="D12" s="1">
        <v>1</v>
      </c>
      <c r="E12" s="2" t="s">
        <v>253</v>
      </c>
      <c r="F12" s="2"/>
      <c r="G12" s="34" t="e">
        <f t="shared" si="0"/>
        <v>#REF!</v>
      </c>
      <c r="H12" s="34"/>
      <c r="I12" s="34" t="e">
        <f>KP메카니컬접합부설!I65</f>
        <v>#REF!</v>
      </c>
      <c r="J12" s="34"/>
      <c r="K12" s="34" t="e">
        <f>KP메카니컬접합부설!K65</f>
        <v>#REF!</v>
      </c>
      <c r="L12" s="34"/>
      <c r="M12" s="34" t="e">
        <f>KP메카니컬접합부설!M65</f>
        <v>#REF!</v>
      </c>
      <c r="N12" s="2"/>
    </row>
    <row r="13" spans="1:14" ht="18" customHeight="1">
      <c r="A13" s="39">
        <f>KP메카니컬접합부설!A72</f>
        <v>10</v>
      </c>
      <c r="B13" s="54" t="str">
        <f>KP메카니컬접합부설!B72</f>
        <v>K.P메카니컬 접합 및 부설</v>
      </c>
      <c r="C13" s="39" t="str">
        <f>KP메카니컬접합부설!C72</f>
        <v>D150㎜(인력), 이탈방지압륜</v>
      </c>
      <c r="D13" s="1">
        <v>1</v>
      </c>
      <c r="E13" s="2" t="s">
        <v>253</v>
      </c>
      <c r="F13" s="2"/>
      <c r="G13" s="34" t="e">
        <f t="shared" si="0"/>
        <v>#REF!</v>
      </c>
      <c r="H13" s="34"/>
      <c r="I13" s="34" t="e">
        <f>KP메카니컬접합부설!I72</f>
        <v>#REF!</v>
      </c>
      <c r="J13" s="34"/>
      <c r="K13" s="34" t="e">
        <f>KP메카니컬접합부설!K72</f>
        <v>#REF!</v>
      </c>
      <c r="L13" s="34"/>
      <c r="M13" s="34" t="e">
        <f>KP메카니컬접합부설!M72</f>
        <v>#REF!</v>
      </c>
      <c r="N13" s="2"/>
    </row>
    <row r="14" spans="1:14" ht="18" customHeight="1">
      <c r="A14" s="39">
        <f>KP메카니컬접합부설!A80</f>
        <v>11</v>
      </c>
      <c r="B14" s="54" t="str">
        <f>KP메카니컬접합부설!B80</f>
        <v>K.P메카니컬 접합 및 부설</v>
      </c>
      <c r="C14" s="39" t="str">
        <f>KP메카니컬접합부설!C80</f>
        <v>D150㎜</v>
      </c>
      <c r="D14" s="1">
        <v>1</v>
      </c>
      <c r="E14" s="2" t="s">
        <v>253</v>
      </c>
      <c r="F14" s="2"/>
      <c r="G14" s="34" t="e">
        <f t="shared" si="0"/>
        <v>#REF!</v>
      </c>
      <c r="H14" s="34"/>
      <c r="I14" s="34" t="e">
        <f>KP메카니컬접합부설!I80</f>
        <v>#REF!</v>
      </c>
      <c r="J14" s="34"/>
      <c r="K14" s="34" t="e">
        <f>KP메카니컬접합부설!K80</f>
        <v>#REF!</v>
      </c>
      <c r="L14" s="34"/>
      <c r="M14" s="34" t="e">
        <f>KP메카니컬접합부설!M80</f>
        <v>#REF!</v>
      </c>
      <c r="N14" s="2"/>
    </row>
    <row r="15" spans="1:14" ht="18" customHeight="1">
      <c r="A15" s="39">
        <f>KP메카니컬접합부설!A87</f>
        <v>12</v>
      </c>
      <c r="B15" s="54" t="str">
        <f>KP메카니컬접합부설!B87</f>
        <v>K.P메카니컬 접합 및 부설</v>
      </c>
      <c r="C15" s="39" t="str">
        <f>KP메카니컬접합부설!C87</f>
        <v>D150㎜, 이탈방지압륜</v>
      </c>
      <c r="D15" s="1">
        <v>1</v>
      </c>
      <c r="E15" s="2" t="s">
        <v>253</v>
      </c>
      <c r="F15" s="2"/>
      <c r="G15" s="34" t="e">
        <f t="shared" si="0"/>
        <v>#REF!</v>
      </c>
      <c r="H15" s="34"/>
      <c r="I15" s="34" t="e">
        <f>KP메카니컬접합부설!I87</f>
        <v>#REF!</v>
      </c>
      <c r="J15" s="34"/>
      <c r="K15" s="34" t="e">
        <f>KP메카니컬접합부설!K87</f>
        <v>#REF!</v>
      </c>
      <c r="L15" s="34"/>
      <c r="M15" s="34" t="e">
        <f>KP메카니컬접합부설!M87</f>
        <v>#REF!</v>
      </c>
      <c r="N15" s="2"/>
    </row>
    <row r="16" spans="1:14" ht="18" customHeight="1">
      <c r="A16" s="39">
        <f>KP메카니컬접합부설!A95</f>
        <v>13</v>
      </c>
      <c r="B16" s="54" t="str">
        <f>KP메카니컬접합부설!B95</f>
        <v>K.P메카니컬 접합 및 부설</v>
      </c>
      <c r="C16" s="39" t="str">
        <f>KP메카니컬접합부설!C95</f>
        <v>D200㎜</v>
      </c>
      <c r="D16" s="1">
        <v>1</v>
      </c>
      <c r="E16" s="2" t="s">
        <v>253</v>
      </c>
      <c r="F16" s="2"/>
      <c r="G16" s="34" t="e">
        <f t="shared" si="0"/>
        <v>#REF!</v>
      </c>
      <c r="H16" s="34"/>
      <c r="I16" s="34" t="e">
        <f>KP메카니컬접합부설!I95</f>
        <v>#REF!</v>
      </c>
      <c r="J16" s="34"/>
      <c r="K16" s="34" t="e">
        <f>KP메카니컬접합부설!K95</f>
        <v>#REF!</v>
      </c>
      <c r="L16" s="34"/>
      <c r="M16" s="34" t="e">
        <f>KP메카니컬접합부설!M95</f>
        <v>#REF!</v>
      </c>
      <c r="N16" s="2"/>
    </row>
    <row r="17" spans="1:14" ht="18" customHeight="1">
      <c r="A17" s="39">
        <f>KP메카니컬접합부설!A102</f>
        <v>14</v>
      </c>
      <c r="B17" s="54" t="str">
        <f>KP메카니컬접합부설!B102</f>
        <v>K.P메카니컬 접합 및 부설</v>
      </c>
      <c r="C17" s="39" t="str">
        <f>KP메카니컬접합부설!C102</f>
        <v>D200㎜, 이탈방지압륜</v>
      </c>
      <c r="D17" s="1">
        <v>1</v>
      </c>
      <c r="E17" s="2" t="s">
        <v>253</v>
      </c>
      <c r="F17" s="2"/>
      <c r="G17" s="34" t="e">
        <f t="shared" si="0"/>
        <v>#REF!</v>
      </c>
      <c r="H17" s="34"/>
      <c r="I17" s="34" t="e">
        <f>KP메카니컬접합부설!I102</f>
        <v>#REF!</v>
      </c>
      <c r="J17" s="34"/>
      <c r="K17" s="34" t="e">
        <f>KP메카니컬접합부설!K102</f>
        <v>#REF!</v>
      </c>
      <c r="L17" s="34"/>
      <c r="M17" s="34" t="e">
        <f>KP메카니컬접합부설!M102</f>
        <v>#REF!</v>
      </c>
      <c r="N17" s="2"/>
    </row>
    <row r="18" spans="1:14" ht="18" customHeight="1">
      <c r="A18" s="39">
        <f>KP메카니컬접합부설!A110</f>
        <v>15</v>
      </c>
      <c r="B18" s="54" t="str">
        <f>KP메카니컬접합부설!B110</f>
        <v>K.P메카니컬 접합 및 부설</v>
      </c>
      <c r="C18" s="39" t="str">
        <f>KP메카니컬접합부설!C110</f>
        <v>D250㎜</v>
      </c>
      <c r="D18" s="1">
        <v>1</v>
      </c>
      <c r="E18" s="2" t="s">
        <v>253</v>
      </c>
      <c r="F18" s="2"/>
      <c r="G18" s="34" t="e">
        <f t="shared" si="0"/>
        <v>#REF!</v>
      </c>
      <c r="H18" s="34"/>
      <c r="I18" s="34" t="e">
        <f>KP메카니컬접합부설!I110</f>
        <v>#REF!</v>
      </c>
      <c r="J18" s="34"/>
      <c r="K18" s="34" t="e">
        <f>KP메카니컬접합부설!K110</f>
        <v>#REF!</v>
      </c>
      <c r="L18" s="34"/>
      <c r="M18" s="34" t="e">
        <f>KP메카니컬접합부설!M110</f>
        <v>#REF!</v>
      </c>
      <c r="N18" s="2"/>
    </row>
    <row r="19" spans="1:14" ht="18" customHeight="1">
      <c r="A19" s="39">
        <f>KP메카니컬접합부설!A117</f>
        <v>16</v>
      </c>
      <c r="B19" s="54" t="str">
        <f>KP메카니컬접합부설!B117</f>
        <v>K.P메카니컬 접합 및 부설</v>
      </c>
      <c r="C19" s="39" t="str">
        <f>KP메카니컬접합부설!C117</f>
        <v>D250㎜, 이탈방지압륜</v>
      </c>
      <c r="D19" s="1">
        <v>1</v>
      </c>
      <c r="E19" s="2" t="s">
        <v>253</v>
      </c>
      <c r="F19" s="2"/>
      <c r="G19" s="34" t="e">
        <f t="shared" si="0"/>
        <v>#REF!</v>
      </c>
      <c r="H19" s="34"/>
      <c r="I19" s="34" t="e">
        <f>KP메카니컬접합부설!I117</f>
        <v>#REF!</v>
      </c>
      <c r="J19" s="34"/>
      <c r="K19" s="34" t="e">
        <f>KP메카니컬접합부설!K117</f>
        <v>#REF!</v>
      </c>
      <c r="L19" s="34"/>
      <c r="M19" s="34" t="e">
        <f>KP메카니컬접합부설!M117</f>
        <v>#REF!</v>
      </c>
      <c r="N19" s="2"/>
    </row>
    <row r="20" spans="1:14" ht="18" customHeight="1">
      <c r="A20" s="39">
        <f>KP메카니컬접합부설!A125</f>
        <v>17</v>
      </c>
      <c r="B20" s="54" t="str">
        <f>KP메카니컬접합부설!B125</f>
        <v>K.P메카니컬 접합 및 부설</v>
      </c>
      <c r="C20" s="39" t="str">
        <f>KP메카니컬접합부설!C125</f>
        <v>D300㎜</v>
      </c>
      <c r="D20" s="1">
        <v>1</v>
      </c>
      <c r="E20" s="2" t="s">
        <v>253</v>
      </c>
      <c r="F20" s="2"/>
      <c r="G20" s="34" t="e">
        <f t="shared" si="0"/>
        <v>#REF!</v>
      </c>
      <c r="H20" s="34"/>
      <c r="I20" s="34" t="e">
        <f>KP메카니컬접합부설!I125</f>
        <v>#REF!</v>
      </c>
      <c r="J20" s="34"/>
      <c r="K20" s="34" t="e">
        <f>KP메카니컬접합부설!K125</f>
        <v>#REF!</v>
      </c>
      <c r="L20" s="34"/>
      <c r="M20" s="34" t="e">
        <f>KP메카니컬접합부설!M125</f>
        <v>#REF!</v>
      </c>
      <c r="N20" s="2"/>
    </row>
    <row r="21" spans="1:14" ht="18" customHeight="1">
      <c r="A21" s="39">
        <f>KP메카니컬접합부설!A132</f>
        <v>18</v>
      </c>
      <c r="B21" s="54" t="str">
        <f>KP메카니컬접합부설!B132</f>
        <v>K.P메카니컬 접합 및 부설</v>
      </c>
      <c r="C21" s="39" t="str">
        <f>KP메카니컬접합부설!C132</f>
        <v>D300㎜, 이탈방지압륜</v>
      </c>
      <c r="D21" s="1">
        <v>1</v>
      </c>
      <c r="E21" s="2" t="s">
        <v>253</v>
      </c>
      <c r="F21" s="2"/>
      <c r="G21" s="34" t="e">
        <f t="shared" si="0"/>
        <v>#REF!</v>
      </c>
      <c r="H21" s="34"/>
      <c r="I21" s="34" t="e">
        <f>KP메카니컬접합부설!I132</f>
        <v>#REF!</v>
      </c>
      <c r="J21" s="34"/>
      <c r="K21" s="34" t="e">
        <f>KP메카니컬접합부설!K132</f>
        <v>#REF!</v>
      </c>
      <c r="L21" s="34"/>
      <c r="M21" s="34" t="e">
        <f>KP메카니컬접합부설!M132</f>
        <v>#REF!</v>
      </c>
      <c r="N21" s="2"/>
    </row>
    <row r="22" spans="1:14" ht="18" customHeight="1">
      <c r="A22" s="39">
        <f>KP메카니컬접합부설!A140</f>
        <v>19</v>
      </c>
      <c r="B22" s="54" t="str">
        <f>KP메카니컬접합부설!B140</f>
        <v>K.P메카니컬 접합 및 부설</v>
      </c>
      <c r="C22" s="39" t="str">
        <f>KP메카니컬접합부설!C140</f>
        <v>D350㎜</v>
      </c>
      <c r="D22" s="1">
        <v>1</v>
      </c>
      <c r="E22" s="2" t="s">
        <v>253</v>
      </c>
      <c r="F22" s="2"/>
      <c r="G22" s="34" t="e">
        <f t="shared" si="0"/>
        <v>#REF!</v>
      </c>
      <c r="H22" s="34"/>
      <c r="I22" s="34" t="e">
        <f>KP메카니컬접합부설!I140</f>
        <v>#REF!</v>
      </c>
      <c r="J22" s="34"/>
      <c r="K22" s="34" t="e">
        <f>KP메카니컬접합부설!K140</f>
        <v>#REF!</v>
      </c>
      <c r="L22" s="34"/>
      <c r="M22" s="34" t="e">
        <f>KP메카니컬접합부설!M140</f>
        <v>#REF!</v>
      </c>
      <c r="N22" s="2"/>
    </row>
    <row r="23" spans="1:14" ht="18" customHeight="1">
      <c r="A23" s="39">
        <f>KP메카니컬접합부설!A147</f>
        <v>20</v>
      </c>
      <c r="B23" s="54" t="str">
        <f>KP메카니컬접합부설!B147</f>
        <v>K.P메카니컬 접합 및 부설</v>
      </c>
      <c r="C23" s="39" t="str">
        <f>KP메카니컬접합부설!C147</f>
        <v>D350㎜, 이탈방지압륜</v>
      </c>
      <c r="D23" s="1">
        <v>1</v>
      </c>
      <c r="E23" s="2" t="s">
        <v>253</v>
      </c>
      <c r="F23" s="2"/>
      <c r="G23" s="34" t="e">
        <f t="shared" si="0"/>
        <v>#REF!</v>
      </c>
      <c r="H23" s="34"/>
      <c r="I23" s="34" t="e">
        <f>KP메카니컬접합부설!I147</f>
        <v>#REF!</v>
      </c>
      <c r="J23" s="34"/>
      <c r="K23" s="34" t="e">
        <f>KP메카니컬접합부설!K147</f>
        <v>#REF!</v>
      </c>
      <c r="L23" s="34"/>
      <c r="M23" s="34" t="e">
        <f>KP메카니컬접합부설!M147</f>
        <v>#REF!</v>
      </c>
      <c r="N23" s="2"/>
    </row>
    <row r="24" spans="1:14" ht="18" customHeight="1">
      <c r="A24" s="39">
        <f>KP메카니컬접합부설!A155</f>
        <v>21</v>
      </c>
      <c r="B24" s="54" t="str">
        <f>KP메카니컬접합부설!B155</f>
        <v>K.P메카니컬 접합 및 부설</v>
      </c>
      <c r="C24" s="39" t="str">
        <f>KP메카니컬접합부설!C155</f>
        <v>D400㎜</v>
      </c>
      <c r="D24" s="1">
        <v>1</v>
      </c>
      <c r="E24" s="2" t="s">
        <v>253</v>
      </c>
      <c r="F24" s="2"/>
      <c r="G24" s="34" t="e">
        <f t="shared" si="0"/>
        <v>#REF!</v>
      </c>
      <c r="H24" s="34"/>
      <c r="I24" s="34" t="e">
        <f>KP메카니컬접합부설!I155</f>
        <v>#REF!</v>
      </c>
      <c r="J24" s="34"/>
      <c r="K24" s="34" t="e">
        <f>KP메카니컬접합부설!K155</f>
        <v>#REF!</v>
      </c>
      <c r="L24" s="34"/>
      <c r="M24" s="34" t="e">
        <f>KP메카니컬접합부설!M155</f>
        <v>#REF!</v>
      </c>
      <c r="N24" s="2"/>
    </row>
    <row r="25" spans="1:14" ht="18" customHeight="1">
      <c r="A25" s="39">
        <f>KP메카니컬접합부설!A162</f>
        <v>22</v>
      </c>
      <c r="B25" s="54" t="str">
        <f>KP메카니컬접합부설!B162</f>
        <v>K.P메카니컬 접합 및 부설</v>
      </c>
      <c r="C25" s="39" t="str">
        <f>KP메카니컬접합부설!C162</f>
        <v>D400㎜, 이탈방지압륜</v>
      </c>
      <c r="D25" s="1">
        <v>1</v>
      </c>
      <c r="E25" s="2" t="s">
        <v>253</v>
      </c>
      <c r="F25" s="2"/>
      <c r="G25" s="34" t="e">
        <f t="shared" si="0"/>
        <v>#REF!</v>
      </c>
      <c r="H25" s="34"/>
      <c r="I25" s="34" t="e">
        <f>KP메카니컬접합부설!I162</f>
        <v>#REF!</v>
      </c>
      <c r="J25" s="34"/>
      <c r="K25" s="34" t="e">
        <f>KP메카니컬접합부설!K162</f>
        <v>#REF!</v>
      </c>
      <c r="L25" s="34"/>
      <c r="M25" s="34" t="e">
        <f>KP메카니컬접합부설!M162</f>
        <v>#REF!</v>
      </c>
      <c r="N25" s="2"/>
    </row>
    <row r="26" spans="1:14" ht="18" customHeight="1">
      <c r="A26" s="39">
        <f>KP메카니컬접합부설!A170</f>
        <v>23</v>
      </c>
      <c r="B26" s="54" t="str">
        <f>KP메카니컬접합부설!B170</f>
        <v>K.P메카니컬 접합 및 부설</v>
      </c>
      <c r="C26" s="39" t="str">
        <f>KP메카니컬접합부설!C170</f>
        <v>D450㎜</v>
      </c>
      <c r="D26" s="1">
        <v>1</v>
      </c>
      <c r="E26" s="2" t="s">
        <v>253</v>
      </c>
      <c r="F26" s="2"/>
      <c r="G26" s="34" t="e">
        <f t="shared" si="0"/>
        <v>#REF!</v>
      </c>
      <c r="H26" s="34"/>
      <c r="I26" s="34" t="e">
        <f>KP메카니컬접합부설!I170</f>
        <v>#REF!</v>
      </c>
      <c r="J26" s="34"/>
      <c r="K26" s="34" t="e">
        <f>KP메카니컬접합부설!K170</f>
        <v>#REF!</v>
      </c>
      <c r="L26" s="34"/>
      <c r="M26" s="34" t="e">
        <f>KP메카니컬접합부설!M170</f>
        <v>#REF!</v>
      </c>
      <c r="N26" s="2"/>
    </row>
    <row r="27" spans="1:14" ht="18" customHeight="1">
      <c r="A27" s="39">
        <f>KP메카니컬접합부설!A177</f>
        <v>24</v>
      </c>
      <c r="B27" s="54" t="str">
        <f>KP메카니컬접합부설!B177</f>
        <v>K.P메카니컬 접합 및 부설</v>
      </c>
      <c r="C27" s="39" t="str">
        <f>KP메카니컬접합부설!C177</f>
        <v>D450㎜, 이탈방지압륜</v>
      </c>
      <c r="D27" s="1">
        <v>1</v>
      </c>
      <c r="E27" s="2" t="s">
        <v>253</v>
      </c>
      <c r="F27" s="2"/>
      <c r="G27" s="34" t="e">
        <f t="shared" si="0"/>
        <v>#REF!</v>
      </c>
      <c r="H27" s="34"/>
      <c r="I27" s="34" t="e">
        <f>KP메카니컬접합부설!I177</f>
        <v>#REF!</v>
      </c>
      <c r="J27" s="34"/>
      <c r="K27" s="34" t="e">
        <f>KP메카니컬접합부설!K177</f>
        <v>#REF!</v>
      </c>
      <c r="L27" s="34"/>
      <c r="M27" s="34" t="e">
        <f>KP메카니컬접합부설!M177</f>
        <v>#REF!</v>
      </c>
      <c r="N27" s="2"/>
    </row>
    <row r="28" spans="1:14" ht="18" customHeight="1">
      <c r="A28" s="39">
        <f>KP메카니컬접합부설!A185</f>
        <v>25</v>
      </c>
      <c r="B28" s="54" t="str">
        <f>KP메카니컬접합부설!B185</f>
        <v>K.P메카니컬 접합 및 부설</v>
      </c>
      <c r="C28" s="39" t="str">
        <f>KP메카니컬접합부설!C185</f>
        <v>D500㎜</v>
      </c>
      <c r="D28" s="1">
        <v>1</v>
      </c>
      <c r="E28" s="2" t="s">
        <v>253</v>
      </c>
      <c r="F28" s="2"/>
      <c r="G28" s="34" t="e">
        <f t="shared" si="0"/>
        <v>#REF!</v>
      </c>
      <c r="H28" s="34"/>
      <c r="I28" s="34" t="e">
        <f>KP메카니컬접합부설!I185</f>
        <v>#REF!</v>
      </c>
      <c r="J28" s="34"/>
      <c r="K28" s="34" t="e">
        <f>KP메카니컬접합부설!K185</f>
        <v>#REF!</v>
      </c>
      <c r="L28" s="34"/>
      <c r="M28" s="34" t="e">
        <f>KP메카니컬접합부설!M185</f>
        <v>#REF!</v>
      </c>
      <c r="N28" s="2"/>
    </row>
    <row r="29" spans="1:14" ht="18" customHeight="1">
      <c r="A29" s="39">
        <f>KP메카니컬접합부설!A192</f>
        <v>26</v>
      </c>
      <c r="B29" s="54" t="str">
        <f>KP메카니컬접합부설!B192</f>
        <v>K.P메카니컬 접합 및 부설</v>
      </c>
      <c r="C29" s="39" t="str">
        <f>KP메카니컬접합부설!C192</f>
        <v>D500㎜, 이탈방지압륜</v>
      </c>
      <c r="D29" s="1">
        <v>1</v>
      </c>
      <c r="E29" s="2" t="s">
        <v>253</v>
      </c>
      <c r="F29" s="2"/>
      <c r="G29" s="34" t="e">
        <f t="shared" si="0"/>
        <v>#REF!</v>
      </c>
      <c r="H29" s="34"/>
      <c r="I29" s="34" t="e">
        <f>KP메카니컬접합부설!I192</f>
        <v>#REF!</v>
      </c>
      <c r="J29" s="34"/>
      <c r="K29" s="34" t="e">
        <f>KP메카니컬접합부설!K192</f>
        <v>#REF!</v>
      </c>
      <c r="L29" s="34"/>
      <c r="M29" s="34" t="e">
        <f>KP메카니컬접합부설!M192</f>
        <v>#REF!</v>
      </c>
      <c r="N29" s="2"/>
    </row>
    <row r="30" spans="1:14" ht="18" customHeight="1">
      <c r="A30" s="39">
        <f>KP메카니컬접합부설!A200</f>
        <v>27</v>
      </c>
      <c r="B30" s="54" t="str">
        <f>KP메카니컬접합부설!B200</f>
        <v>K.P메카니컬 접합 및 부설</v>
      </c>
      <c r="C30" s="39" t="str">
        <f>KP메카니컬접합부설!C200</f>
        <v>D600㎜</v>
      </c>
      <c r="D30" s="1">
        <v>1</v>
      </c>
      <c r="E30" s="2" t="s">
        <v>253</v>
      </c>
      <c r="F30" s="2"/>
      <c r="G30" s="34" t="e">
        <f t="shared" si="0"/>
        <v>#REF!</v>
      </c>
      <c r="H30" s="34"/>
      <c r="I30" s="34" t="e">
        <f>KP메카니컬접합부설!I200</f>
        <v>#REF!</v>
      </c>
      <c r="J30" s="34"/>
      <c r="K30" s="34" t="e">
        <f>KP메카니컬접합부설!K200</f>
        <v>#REF!</v>
      </c>
      <c r="L30" s="34"/>
      <c r="M30" s="34" t="e">
        <f>KP메카니컬접합부설!M200</f>
        <v>#REF!</v>
      </c>
      <c r="N30" s="2"/>
    </row>
    <row r="31" spans="1:14" ht="18" customHeight="1">
      <c r="A31" s="39">
        <f>KP메카니컬접합부설!A207</f>
        <v>28</v>
      </c>
      <c r="B31" s="54" t="str">
        <f>KP메카니컬접합부설!B207</f>
        <v>K.P메카니컬 접합 및 부설</v>
      </c>
      <c r="C31" s="39" t="str">
        <f>KP메카니컬접합부설!C207</f>
        <v>D600㎜, 이탈방지압륜</v>
      </c>
      <c r="D31" s="1">
        <v>1</v>
      </c>
      <c r="E31" s="2" t="s">
        <v>253</v>
      </c>
      <c r="F31" s="2"/>
      <c r="G31" s="34" t="e">
        <f t="shared" si="0"/>
        <v>#REF!</v>
      </c>
      <c r="H31" s="34"/>
      <c r="I31" s="34" t="e">
        <f>KP메카니컬접합부설!I207</f>
        <v>#REF!</v>
      </c>
      <c r="J31" s="34"/>
      <c r="K31" s="34" t="e">
        <f>KP메카니컬접합부설!K207</f>
        <v>#REF!</v>
      </c>
      <c r="L31" s="34"/>
      <c r="M31" s="34" t="e">
        <f>KP메카니컬접합부설!M207</f>
        <v>#REF!</v>
      </c>
      <c r="N31" s="2"/>
    </row>
    <row r="32" spans="1:14" ht="18" customHeight="1">
      <c r="A32" s="39">
        <f>KP메카니컬접합부설!A215</f>
        <v>29</v>
      </c>
      <c r="B32" s="54" t="str">
        <f>KP메카니컬접합부설!B215</f>
        <v>K.P메카니컬 접합 및 부설</v>
      </c>
      <c r="C32" s="39" t="str">
        <f>KP메카니컬접합부설!C215</f>
        <v>D700㎜</v>
      </c>
      <c r="D32" s="1">
        <v>1</v>
      </c>
      <c r="E32" s="2" t="s">
        <v>3</v>
      </c>
      <c r="F32" s="2"/>
      <c r="G32" s="34" t="e">
        <f t="shared" si="0"/>
        <v>#REF!</v>
      </c>
      <c r="H32" s="34"/>
      <c r="I32" s="34" t="e">
        <f>KP메카니컬접합부설!I215</f>
        <v>#REF!</v>
      </c>
      <c r="J32" s="34"/>
      <c r="K32" s="34" t="e">
        <f>KP메카니컬접합부설!K215</f>
        <v>#REF!</v>
      </c>
      <c r="L32" s="34"/>
      <c r="M32" s="34" t="e">
        <f>KP메카니컬접합부설!M215</f>
        <v>#REF!</v>
      </c>
      <c r="N32" s="2"/>
    </row>
    <row r="33" spans="1:14" ht="18" customHeight="1">
      <c r="A33" s="39">
        <f>KP메카니컬접합부설!A222</f>
        <v>30</v>
      </c>
      <c r="B33" s="54" t="str">
        <f>KP메카니컬접합부설!B222</f>
        <v>K.P메카니컬 접합 및 부설</v>
      </c>
      <c r="C33" s="39" t="str">
        <f>KP메카니컬접합부설!C222</f>
        <v>D700㎜, 이탈방지압륜</v>
      </c>
      <c r="D33" s="1">
        <v>1</v>
      </c>
      <c r="E33" s="2" t="s">
        <v>3</v>
      </c>
      <c r="F33" s="2"/>
      <c r="G33" s="34" t="e">
        <f t="shared" si="0"/>
        <v>#REF!</v>
      </c>
      <c r="H33" s="34"/>
      <c r="I33" s="34" t="e">
        <f>KP메카니컬접합부설!I222</f>
        <v>#REF!</v>
      </c>
      <c r="J33" s="34"/>
      <c r="K33" s="34" t="e">
        <f>KP메카니컬접합부설!K222</f>
        <v>#REF!</v>
      </c>
      <c r="L33" s="34"/>
      <c r="M33" s="34" t="e">
        <f>KP메카니컬접합부설!M222</f>
        <v>#REF!</v>
      </c>
      <c r="N33" s="2"/>
    </row>
    <row r="34" spans="1:14" ht="18" customHeight="1">
      <c r="A34" s="39">
        <f>KP메카니컬접합부설!A230</f>
        <v>31</v>
      </c>
      <c r="B34" s="54" t="str">
        <f>KP메카니컬접합부설!B230</f>
        <v>K.P메카니컬 접합 및 부설</v>
      </c>
      <c r="C34" s="39" t="str">
        <f>KP메카니컬접합부설!C230</f>
        <v>D800㎜</v>
      </c>
      <c r="D34" s="1">
        <v>1</v>
      </c>
      <c r="E34" s="2" t="s">
        <v>3</v>
      </c>
      <c r="F34" s="2"/>
      <c r="G34" s="34" t="e">
        <f t="shared" si="0"/>
        <v>#REF!</v>
      </c>
      <c r="H34" s="34"/>
      <c r="I34" s="35" t="e">
        <f>KP메카니컬접합부설!I230</f>
        <v>#REF!</v>
      </c>
      <c r="J34" s="34"/>
      <c r="K34" s="35" t="e">
        <f>KP메카니컬접합부설!K230</f>
        <v>#REF!</v>
      </c>
      <c r="L34" s="34"/>
      <c r="M34" s="35" t="e">
        <f>KP메카니컬접합부설!M230</f>
        <v>#REF!</v>
      </c>
      <c r="N34" s="2"/>
    </row>
    <row r="35" spans="1:14" ht="18" customHeight="1">
      <c r="A35" s="39">
        <f>KP메카니컬접합부설!A237</f>
        <v>32</v>
      </c>
      <c r="B35" s="54" t="str">
        <f>KP메카니컬접합부설!B237</f>
        <v>K.P메카니컬 접합 및 부설</v>
      </c>
      <c r="C35" s="39" t="str">
        <f>KP메카니컬접합부설!C237</f>
        <v>D800㎜, 이탈방지압륜</v>
      </c>
      <c r="D35" s="1">
        <v>1</v>
      </c>
      <c r="E35" s="2" t="s">
        <v>3</v>
      </c>
      <c r="F35" s="2"/>
      <c r="G35" s="34" t="e">
        <f t="shared" si="0"/>
        <v>#REF!</v>
      </c>
      <c r="H35" s="34"/>
      <c r="I35" s="34" t="e">
        <f>KP메카니컬접합부설!I237</f>
        <v>#REF!</v>
      </c>
      <c r="J35" s="34"/>
      <c r="K35" s="34" t="e">
        <f>KP메카니컬접합부설!K237</f>
        <v>#REF!</v>
      </c>
      <c r="L35" s="34"/>
      <c r="M35" s="34" t="e">
        <f>KP메카니컬접합부설!M237</f>
        <v>#REF!</v>
      </c>
      <c r="N35" s="2"/>
    </row>
    <row r="36" spans="1:14" ht="18" customHeight="1">
      <c r="A36" s="39">
        <f>KP메카니컬접합부설!A245</f>
        <v>33</v>
      </c>
      <c r="B36" s="54" t="str">
        <f>KP메카니컬접합부설!B245</f>
        <v>K.P메카니컬 접합 및 부설</v>
      </c>
      <c r="C36" s="39" t="str">
        <f>KP메카니컬접합부설!C245</f>
        <v>D900㎜</v>
      </c>
      <c r="D36" s="1">
        <v>1</v>
      </c>
      <c r="E36" s="2" t="s">
        <v>3</v>
      </c>
      <c r="F36" s="2"/>
      <c r="G36" s="34" t="e">
        <f t="shared" si="0"/>
        <v>#REF!</v>
      </c>
      <c r="H36" s="34"/>
      <c r="I36" s="34" t="e">
        <f>KP메카니컬접합부설!I245</f>
        <v>#REF!</v>
      </c>
      <c r="J36" s="34"/>
      <c r="K36" s="34" t="e">
        <f>KP메카니컬접합부설!K245</f>
        <v>#REF!</v>
      </c>
      <c r="L36" s="34"/>
      <c r="M36" s="34" t="e">
        <f>KP메카니컬접합부설!M245</f>
        <v>#REF!</v>
      </c>
      <c r="N36" s="2"/>
    </row>
    <row r="37" spans="1:14" ht="18" customHeight="1">
      <c r="A37" s="39">
        <f>KP메카니컬접합부설!A252</f>
        <v>34</v>
      </c>
      <c r="B37" s="54" t="str">
        <f>KP메카니컬접합부설!B252</f>
        <v>K.P메카니컬 접합 및 부설</v>
      </c>
      <c r="C37" s="39" t="str">
        <f>KP메카니컬접합부설!C252</f>
        <v>D900㎜, 이탈방지압륜</v>
      </c>
      <c r="D37" s="1">
        <v>1</v>
      </c>
      <c r="E37" s="2" t="s">
        <v>3</v>
      </c>
      <c r="F37" s="2"/>
      <c r="G37" s="34" t="e">
        <f t="shared" si="0"/>
        <v>#REF!</v>
      </c>
      <c r="H37" s="34"/>
      <c r="I37" s="34" t="e">
        <f>KP메카니컬접합부설!I252</f>
        <v>#REF!</v>
      </c>
      <c r="J37" s="34"/>
      <c r="K37" s="34" t="e">
        <f>KP메카니컬접합부설!K252</f>
        <v>#REF!</v>
      </c>
      <c r="L37" s="34"/>
      <c r="M37" s="34" t="e">
        <f>KP메카니컬접합부설!M252</f>
        <v>#REF!</v>
      </c>
      <c r="N37" s="2"/>
    </row>
    <row r="38" spans="1:14" ht="18" customHeight="1">
      <c r="A38" s="39">
        <f>KP메카니컬접합부설!A260</f>
        <v>35</v>
      </c>
      <c r="B38" s="54" t="str">
        <f>KP메카니컬접합부설!B260</f>
        <v>K.P메카니컬 접합 및 부설</v>
      </c>
      <c r="C38" s="39" t="str">
        <f>KP메카니컬접합부설!C260</f>
        <v>D1000㎜</v>
      </c>
      <c r="D38" s="1">
        <v>1</v>
      </c>
      <c r="E38" s="2" t="s">
        <v>3</v>
      </c>
      <c r="F38" s="2"/>
      <c r="G38" s="34" t="e">
        <f t="shared" si="0"/>
        <v>#REF!</v>
      </c>
      <c r="H38" s="34"/>
      <c r="I38" s="34" t="e">
        <f>KP메카니컬접합부설!I260</f>
        <v>#REF!</v>
      </c>
      <c r="J38" s="34"/>
      <c r="K38" s="34" t="e">
        <f>KP메카니컬접합부설!K260</f>
        <v>#REF!</v>
      </c>
      <c r="L38" s="34"/>
      <c r="M38" s="34" t="e">
        <f>KP메카니컬접합부설!M260</f>
        <v>#REF!</v>
      </c>
      <c r="N38" s="2"/>
    </row>
    <row r="39" spans="1:14" ht="18" customHeight="1">
      <c r="A39" s="39">
        <f>KP메카니컬접합부설!A267</f>
        <v>36</v>
      </c>
      <c r="B39" s="54" t="str">
        <f>KP메카니컬접합부설!B267</f>
        <v>K.P메카니컬 접합 및 부설</v>
      </c>
      <c r="C39" s="39" t="str">
        <f>KP메카니컬접합부설!C267</f>
        <v>D1000㎜, 이탈방지압륜</v>
      </c>
      <c r="D39" s="1">
        <v>1</v>
      </c>
      <c r="E39" s="2" t="s">
        <v>3</v>
      </c>
      <c r="F39" s="2"/>
      <c r="G39" s="34" t="e">
        <f t="shared" si="0"/>
        <v>#REF!</v>
      </c>
      <c r="H39" s="34"/>
      <c r="I39" s="34" t="e">
        <f>KP메카니컬접합부설!I267</f>
        <v>#REF!</v>
      </c>
      <c r="J39" s="34"/>
      <c r="K39" s="34" t="e">
        <f>KP메카니컬접합부설!K267</f>
        <v>#REF!</v>
      </c>
      <c r="L39" s="34"/>
      <c r="M39" s="34" t="e">
        <f>KP메카니컬접합부설!M267</f>
        <v>#REF!</v>
      </c>
      <c r="N39" s="2"/>
    </row>
    <row r="40" spans="1:14" ht="18" customHeight="1">
      <c r="A40" s="39">
        <f>KP메카니컬접합부설!A275</f>
        <v>37</v>
      </c>
      <c r="B40" s="54" t="str">
        <f>KP메카니컬접합부설!B275</f>
        <v>K.P메카니컬 접합 및 부설</v>
      </c>
      <c r="C40" s="39" t="str">
        <f>KP메카니컬접합부설!C275</f>
        <v>D1100㎜</v>
      </c>
      <c r="D40" s="1">
        <v>1</v>
      </c>
      <c r="E40" s="2" t="s">
        <v>3</v>
      </c>
      <c r="F40" s="2"/>
      <c r="G40" s="34" t="e">
        <f t="shared" si="0"/>
        <v>#REF!</v>
      </c>
      <c r="H40" s="34"/>
      <c r="I40" s="34" t="e">
        <f>KP메카니컬접합부설!I275</f>
        <v>#REF!</v>
      </c>
      <c r="J40" s="34"/>
      <c r="K40" s="34" t="e">
        <f>KP메카니컬접합부설!K275</f>
        <v>#REF!</v>
      </c>
      <c r="L40" s="34"/>
      <c r="M40" s="34" t="e">
        <f>KP메카니컬접합부설!M275</f>
        <v>#REF!</v>
      </c>
      <c r="N40" s="2"/>
    </row>
    <row r="41" spans="1:14" ht="18" customHeight="1">
      <c r="A41" s="39">
        <f>KP메카니컬접합부설!A282</f>
        <v>38</v>
      </c>
      <c r="B41" s="54" t="str">
        <f>KP메카니컬접합부설!B282</f>
        <v>K.P메카니컬 접합 및 부설</v>
      </c>
      <c r="C41" s="39" t="str">
        <f>KP메카니컬접합부설!C282</f>
        <v>D1100㎜, 이탈방지압륜</v>
      </c>
      <c r="D41" s="1">
        <v>1</v>
      </c>
      <c r="E41" s="2" t="s">
        <v>3</v>
      </c>
      <c r="F41" s="2"/>
      <c r="G41" s="34" t="e">
        <f t="shared" si="0"/>
        <v>#REF!</v>
      </c>
      <c r="H41" s="34"/>
      <c r="I41" s="34" t="e">
        <f>KP메카니컬접합부설!I282</f>
        <v>#REF!</v>
      </c>
      <c r="J41" s="34"/>
      <c r="K41" s="34" t="e">
        <f>KP메카니컬접합부설!K282</f>
        <v>#REF!</v>
      </c>
      <c r="L41" s="34"/>
      <c r="M41" s="34" t="e">
        <f>KP메카니컬접합부설!M282</f>
        <v>#REF!</v>
      </c>
      <c r="N41" s="2"/>
    </row>
    <row r="42" spans="1:14" ht="18" customHeight="1">
      <c r="A42" s="39">
        <f>KP메카니컬접합부설!A290</f>
        <v>39</v>
      </c>
      <c r="B42" s="54" t="str">
        <f>KP메카니컬접합부설!B290</f>
        <v>K.P메카니컬 접합 및 부설</v>
      </c>
      <c r="C42" s="39" t="str">
        <f>KP메카니컬접합부설!C290</f>
        <v>D1200㎜</v>
      </c>
      <c r="D42" s="1">
        <v>1</v>
      </c>
      <c r="E42" s="2" t="s">
        <v>3</v>
      </c>
      <c r="F42" s="2"/>
      <c r="G42" s="34" t="e">
        <f t="shared" si="0"/>
        <v>#REF!</v>
      </c>
      <c r="H42" s="34"/>
      <c r="I42" s="34" t="e">
        <f>KP메카니컬접합부설!I290</f>
        <v>#REF!</v>
      </c>
      <c r="J42" s="34"/>
      <c r="K42" s="34" t="e">
        <f>KP메카니컬접합부설!K290</f>
        <v>#REF!</v>
      </c>
      <c r="L42" s="34"/>
      <c r="M42" s="34" t="e">
        <f>KP메카니컬접합부설!M290</f>
        <v>#REF!</v>
      </c>
      <c r="N42" s="2"/>
    </row>
    <row r="43" spans="1:14" ht="18" customHeight="1">
      <c r="A43" s="39">
        <f>KP메카니컬접합부설!A297</f>
        <v>40</v>
      </c>
      <c r="B43" s="54" t="str">
        <f>KP메카니컬접합부설!B297</f>
        <v>K.P메카니컬 접합 및 부설</v>
      </c>
      <c r="C43" s="39" t="str">
        <f>KP메카니컬접합부설!C297</f>
        <v>D1200㎜, 이탈방지압륜</v>
      </c>
      <c r="D43" s="1">
        <v>1</v>
      </c>
      <c r="E43" s="2" t="s">
        <v>3</v>
      </c>
      <c r="F43" s="2"/>
      <c r="G43" s="34" t="e">
        <f t="shared" si="0"/>
        <v>#REF!</v>
      </c>
      <c r="H43" s="34"/>
      <c r="I43" s="34" t="e">
        <f>KP메카니컬접합부설!I297</f>
        <v>#REF!</v>
      </c>
      <c r="J43" s="34"/>
      <c r="K43" s="34" t="e">
        <f>KP메카니컬접합부설!K297</f>
        <v>#REF!</v>
      </c>
      <c r="L43" s="34"/>
      <c r="M43" s="34" t="e">
        <f>KP메카니컬접합부설!M297</f>
        <v>#REF!</v>
      </c>
      <c r="N43" s="2"/>
    </row>
    <row r="44" spans="1:14" ht="18" customHeight="1">
      <c r="A44" s="39">
        <f>절단!A5</f>
        <v>41</v>
      </c>
      <c r="B44" s="54" t="str">
        <f>절단!B5</f>
        <v>주철관 절단</v>
      </c>
      <c r="C44" s="33" t="str">
        <f>절단!C5</f>
        <v>D80㎜</v>
      </c>
      <c r="D44" s="1">
        <v>1</v>
      </c>
      <c r="E44" s="2" t="s">
        <v>3</v>
      </c>
      <c r="F44" s="2"/>
      <c r="G44" s="34">
        <f t="shared" si="0"/>
        <v>0</v>
      </c>
      <c r="H44" s="34"/>
      <c r="I44" s="34">
        <f>절단!I5</f>
        <v>0</v>
      </c>
      <c r="J44" s="34"/>
      <c r="K44" s="34">
        <f>절단!K5</f>
        <v>0</v>
      </c>
      <c r="L44" s="34">
        <f>절단!L5</f>
        <v>0</v>
      </c>
      <c r="M44" s="34">
        <f>절단!M5</f>
        <v>0</v>
      </c>
      <c r="N44" s="2"/>
    </row>
    <row r="45" spans="1:14" ht="18" customHeight="1">
      <c r="A45" s="39">
        <f>절단!A9</f>
        <v>42</v>
      </c>
      <c r="B45" s="54" t="str">
        <f>절단!B9</f>
        <v>주철관 절단</v>
      </c>
      <c r="C45" s="33" t="str">
        <f>절단!C9</f>
        <v>D100㎜</v>
      </c>
      <c r="D45" s="1">
        <v>1</v>
      </c>
      <c r="E45" s="2" t="s">
        <v>3</v>
      </c>
      <c r="F45" s="2"/>
      <c r="G45" s="34">
        <f t="shared" si="0"/>
        <v>22056</v>
      </c>
      <c r="H45" s="34"/>
      <c r="I45" s="34">
        <f>절단!I9</f>
        <v>0</v>
      </c>
      <c r="J45" s="34"/>
      <c r="K45" s="34">
        <f>절단!K9</f>
        <v>21006</v>
      </c>
      <c r="L45" s="34"/>
      <c r="M45" s="34">
        <f>절단!M9</f>
        <v>1050</v>
      </c>
      <c r="N45" s="2"/>
    </row>
    <row r="46" spans="1:14" ht="18" customHeight="1">
      <c r="A46" s="39">
        <f>절단!A13</f>
        <v>43</v>
      </c>
      <c r="B46" s="54" t="str">
        <f>절단!B13</f>
        <v>주철관 절단</v>
      </c>
      <c r="C46" s="33" t="str">
        <f>절단!C13</f>
        <v>D150㎜</v>
      </c>
      <c r="D46" s="1">
        <v>1</v>
      </c>
      <c r="E46" s="2" t="s">
        <v>3</v>
      </c>
      <c r="F46" s="2"/>
      <c r="G46" s="34">
        <f t="shared" si="0"/>
        <v>27570</v>
      </c>
      <c r="H46" s="34"/>
      <c r="I46" s="34">
        <f>절단!I13</f>
        <v>0</v>
      </c>
      <c r="J46" s="34"/>
      <c r="K46" s="34">
        <f>절단!K13</f>
        <v>26258</v>
      </c>
      <c r="L46" s="34"/>
      <c r="M46" s="34">
        <f>절단!M13</f>
        <v>1312</v>
      </c>
      <c r="N46" s="2"/>
    </row>
    <row r="47" spans="1:14" ht="18" customHeight="1">
      <c r="A47" s="39">
        <f>절단!A17</f>
        <v>44</v>
      </c>
      <c r="B47" s="54" t="str">
        <f>절단!B17</f>
        <v>주철관 절단</v>
      </c>
      <c r="C47" s="33" t="str">
        <f>절단!C17</f>
        <v>D200㎜</v>
      </c>
      <c r="D47" s="1">
        <v>1</v>
      </c>
      <c r="E47" s="2" t="s">
        <v>3</v>
      </c>
      <c r="F47" s="2"/>
      <c r="G47" s="34">
        <f t="shared" si="0"/>
        <v>33084</v>
      </c>
      <c r="H47" s="34"/>
      <c r="I47" s="34">
        <f>절단!I17</f>
        <v>0</v>
      </c>
      <c r="J47" s="34"/>
      <c r="K47" s="34">
        <f>절단!K17</f>
        <v>31509</v>
      </c>
      <c r="L47" s="34"/>
      <c r="M47" s="34">
        <f>절단!M17</f>
        <v>1575</v>
      </c>
      <c r="N47" s="2"/>
    </row>
    <row r="48" spans="1:14" ht="18" customHeight="1">
      <c r="A48" s="39">
        <f>절단!A21</f>
        <v>45</v>
      </c>
      <c r="B48" s="54" t="str">
        <f>절단!B21</f>
        <v>주철관 절단</v>
      </c>
      <c r="C48" s="33" t="str">
        <f>절단!C21</f>
        <v>D250㎜</v>
      </c>
      <c r="D48" s="1">
        <v>1</v>
      </c>
      <c r="E48" s="2" t="s">
        <v>3</v>
      </c>
      <c r="F48" s="2"/>
      <c r="G48" s="34">
        <f t="shared" si="0"/>
        <v>38599</v>
      </c>
      <c r="H48" s="34"/>
      <c r="I48" s="34">
        <f>절단!I21</f>
        <v>0</v>
      </c>
      <c r="J48" s="34"/>
      <c r="K48" s="34">
        <f>절단!K21</f>
        <v>36761</v>
      </c>
      <c r="L48" s="34"/>
      <c r="M48" s="34">
        <f>절단!M21</f>
        <v>1838</v>
      </c>
      <c r="N48" s="2"/>
    </row>
    <row r="49" spans="1:14" ht="18" customHeight="1">
      <c r="A49" s="39">
        <f>절단!A25</f>
        <v>46</v>
      </c>
      <c r="B49" s="54" t="str">
        <f>절단!B25</f>
        <v>주철관 절단</v>
      </c>
      <c r="C49" s="33" t="str">
        <f>절단!C25</f>
        <v>D300㎜</v>
      </c>
      <c r="D49" s="1">
        <v>1</v>
      </c>
      <c r="E49" s="2" t="s">
        <v>3</v>
      </c>
      <c r="F49" s="2"/>
      <c r="G49" s="34">
        <f t="shared" si="0"/>
        <v>44112</v>
      </c>
      <c r="H49" s="34"/>
      <c r="I49" s="34">
        <f>절단!I25</f>
        <v>0</v>
      </c>
      <c r="J49" s="34"/>
      <c r="K49" s="34">
        <f>절단!K25</f>
        <v>42012</v>
      </c>
      <c r="L49" s="34"/>
      <c r="M49" s="34">
        <f>절단!M25</f>
        <v>2100</v>
      </c>
      <c r="N49" s="2"/>
    </row>
    <row r="50" spans="1:14" ht="18" customHeight="1">
      <c r="A50" s="39">
        <f>절단!A29</f>
        <v>47</v>
      </c>
      <c r="B50" s="54" t="str">
        <f>절단!B29</f>
        <v>주철관 절단</v>
      </c>
      <c r="C50" s="33" t="str">
        <f>절단!C29</f>
        <v>D400㎜</v>
      </c>
      <c r="D50" s="1">
        <v>1</v>
      </c>
      <c r="E50" s="2" t="s">
        <v>3</v>
      </c>
      <c r="F50" s="2"/>
      <c r="G50" s="34">
        <f t="shared" si="0"/>
        <v>55141</v>
      </c>
      <c r="H50" s="34"/>
      <c r="I50" s="34">
        <f>절단!I29</f>
        <v>0</v>
      </c>
      <c r="J50" s="34"/>
      <c r="K50" s="34">
        <f>절단!K29</f>
        <v>52516</v>
      </c>
      <c r="L50" s="34"/>
      <c r="M50" s="34">
        <f>절단!M29</f>
        <v>2625</v>
      </c>
      <c r="N50" s="2"/>
    </row>
    <row r="51" spans="1:14" ht="18" customHeight="1">
      <c r="A51" s="39">
        <f>절단!A33</f>
        <v>48</v>
      </c>
      <c r="B51" s="54" t="str">
        <f>절단!B33</f>
        <v>주철관 절단</v>
      </c>
      <c r="C51" s="33" t="str">
        <f>절단!C33</f>
        <v>D450㎜</v>
      </c>
      <c r="D51" s="1">
        <v>1</v>
      </c>
      <c r="E51" s="2" t="s">
        <v>3</v>
      </c>
      <c r="F51" s="2"/>
      <c r="G51" s="34">
        <f t="shared" si="0"/>
        <v>60655</v>
      </c>
      <c r="H51" s="34"/>
      <c r="I51" s="34">
        <f>절단!I33</f>
        <v>0</v>
      </c>
      <c r="J51" s="34"/>
      <c r="K51" s="34">
        <f>절단!K33</f>
        <v>57767</v>
      </c>
      <c r="L51" s="34"/>
      <c r="M51" s="34">
        <f>절단!M33</f>
        <v>2888</v>
      </c>
      <c r="N51" s="2"/>
    </row>
    <row r="52" spans="1:14" ht="18" customHeight="1">
      <c r="A52" s="39">
        <f>절단!A37</f>
        <v>49</v>
      </c>
      <c r="B52" s="54" t="str">
        <f>절단!B37</f>
        <v>주철관 절단</v>
      </c>
      <c r="C52" s="33" t="str">
        <f>절단!C37</f>
        <v>D500㎜</v>
      </c>
      <c r="D52" s="1">
        <v>1</v>
      </c>
      <c r="E52" s="2" t="s">
        <v>3</v>
      </c>
      <c r="F52" s="2"/>
      <c r="G52" s="34">
        <f t="shared" si="0"/>
        <v>66169</v>
      </c>
      <c r="H52" s="34"/>
      <c r="I52" s="34">
        <f>절단!I37</f>
        <v>0</v>
      </c>
      <c r="J52" s="34"/>
      <c r="K52" s="34">
        <f>절단!K37</f>
        <v>63019</v>
      </c>
      <c r="L52" s="34"/>
      <c r="M52" s="34">
        <f>절단!M37</f>
        <v>3150</v>
      </c>
      <c r="N52" s="2"/>
    </row>
    <row r="53" spans="1:14" ht="18" customHeight="1">
      <c r="A53" s="39">
        <f>절단!A41</f>
        <v>50</v>
      </c>
      <c r="B53" s="54" t="str">
        <f>절단!B41</f>
        <v>주철관 절단</v>
      </c>
      <c r="C53" s="33" t="str">
        <f>절단!C41</f>
        <v>D600㎜</v>
      </c>
      <c r="D53" s="1">
        <v>1</v>
      </c>
      <c r="E53" s="2" t="s">
        <v>3</v>
      </c>
      <c r="F53" s="2"/>
      <c r="G53" s="34">
        <f t="shared" si="0"/>
        <v>77198</v>
      </c>
      <c r="H53" s="34"/>
      <c r="I53" s="34">
        <f>절단!I41</f>
        <v>0</v>
      </c>
      <c r="J53" s="34"/>
      <c r="K53" s="34">
        <f>절단!K41</f>
        <v>73522</v>
      </c>
      <c r="L53" s="34"/>
      <c r="M53" s="34">
        <f>절단!M41</f>
        <v>3676</v>
      </c>
      <c r="N53" s="2"/>
    </row>
    <row r="54" spans="1:14" ht="18" customHeight="1">
      <c r="A54" s="39">
        <f>절단!A45</f>
        <v>51</v>
      </c>
      <c r="B54" s="54" t="str">
        <f>절단!B45</f>
        <v>주철관 절단</v>
      </c>
      <c r="C54" s="33" t="str">
        <f>절단!C45</f>
        <v>D700㎜</v>
      </c>
      <c r="D54" s="1">
        <v>1</v>
      </c>
      <c r="E54" s="2" t="s">
        <v>3</v>
      </c>
      <c r="F54" s="2"/>
      <c r="G54" s="34">
        <f t="shared" si="0"/>
        <v>88226</v>
      </c>
      <c r="H54" s="34"/>
      <c r="I54" s="34">
        <f>절단!I45</f>
        <v>0</v>
      </c>
      <c r="J54" s="34"/>
      <c r="K54" s="34">
        <f>절단!K45</f>
        <v>84025</v>
      </c>
      <c r="L54" s="34"/>
      <c r="M54" s="34">
        <f>절단!M45</f>
        <v>4201</v>
      </c>
      <c r="N54" s="2"/>
    </row>
    <row r="55" spans="1:14" ht="18" customHeight="1">
      <c r="A55" s="39">
        <f>절단!A49</f>
        <v>52</v>
      </c>
      <c r="B55" s="54" t="str">
        <f>절단!B49</f>
        <v>주철관 절단</v>
      </c>
      <c r="C55" s="33" t="str">
        <f>절단!C49</f>
        <v>D800㎜</v>
      </c>
      <c r="D55" s="1">
        <v>1</v>
      </c>
      <c r="E55" s="2" t="s">
        <v>3</v>
      </c>
      <c r="F55" s="2"/>
      <c r="G55" s="34">
        <f t="shared" si="0"/>
        <v>99254</v>
      </c>
      <c r="H55" s="34"/>
      <c r="I55" s="34">
        <f>절단!I49</f>
        <v>0</v>
      </c>
      <c r="J55" s="34"/>
      <c r="K55" s="34">
        <f>절단!K49</f>
        <v>94528</v>
      </c>
      <c r="L55" s="34"/>
      <c r="M55" s="34">
        <f>절단!M49</f>
        <v>4726</v>
      </c>
      <c r="N55" s="2"/>
    </row>
    <row r="56" spans="1:14" ht="18" customHeight="1">
      <c r="A56" s="39">
        <f>절단!A53</f>
        <v>53</v>
      </c>
      <c r="B56" s="54" t="str">
        <f>절단!B53</f>
        <v>주철관 절단</v>
      </c>
      <c r="C56" s="33" t="str">
        <f>절단!C53</f>
        <v>D900㎜</v>
      </c>
      <c r="D56" s="1">
        <v>1</v>
      </c>
      <c r="E56" s="2" t="s">
        <v>3</v>
      </c>
      <c r="F56" s="2"/>
      <c r="G56" s="34">
        <f t="shared" si="0"/>
        <v>110283</v>
      </c>
      <c r="H56" s="34"/>
      <c r="I56" s="34">
        <f>절단!I53</f>
        <v>0</v>
      </c>
      <c r="J56" s="34"/>
      <c r="K56" s="34">
        <f>절단!K53</f>
        <v>105032</v>
      </c>
      <c r="L56" s="34"/>
      <c r="M56" s="34">
        <f>절단!M53</f>
        <v>5251</v>
      </c>
      <c r="N56" s="2"/>
    </row>
    <row r="57" spans="1:14" ht="18" customHeight="1">
      <c r="A57" s="39">
        <f>절단!A57</f>
        <v>54</v>
      </c>
      <c r="B57" s="54" t="str">
        <f>절단!B57</f>
        <v>주철관 절단</v>
      </c>
      <c r="C57" s="33" t="str">
        <f>절단!C57</f>
        <v>D1000㎜</v>
      </c>
      <c r="D57" s="1">
        <v>1</v>
      </c>
      <c r="E57" s="2" t="s">
        <v>3</v>
      </c>
      <c r="F57" s="2"/>
      <c r="G57" s="34">
        <f t="shared" si="0"/>
        <v>121311</v>
      </c>
      <c r="H57" s="34"/>
      <c r="I57" s="34">
        <f>절단!I57</f>
        <v>0</v>
      </c>
      <c r="J57" s="34"/>
      <c r="K57" s="34">
        <f>절단!K57</f>
        <v>115535</v>
      </c>
      <c r="L57" s="34"/>
      <c r="M57" s="34">
        <f>절단!M57</f>
        <v>5776</v>
      </c>
      <c r="N57" s="2"/>
    </row>
    <row r="58" spans="1:14" ht="18" customHeight="1">
      <c r="A58" s="39">
        <f>절단!A61</f>
        <v>55</v>
      </c>
      <c r="B58" s="54" t="str">
        <f>절단!B61</f>
        <v>주철관 절단</v>
      </c>
      <c r="C58" s="33" t="str">
        <f>절단!C61</f>
        <v>D1100㎜</v>
      </c>
      <c r="D58" s="1">
        <v>1</v>
      </c>
      <c r="E58" s="2" t="s">
        <v>3</v>
      </c>
      <c r="F58" s="2"/>
      <c r="G58" s="34">
        <f t="shared" si="0"/>
        <v>132339</v>
      </c>
      <c r="H58" s="34"/>
      <c r="I58" s="34">
        <f>절단!I61</f>
        <v>0</v>
      </c>
      <c r="J58" s="34"/>
      <c r="K58" s="34">
        <f>절단!K61</f>
        <v>126038</v>
      </c>
      <c r="L58" s="34"/>
      <c r="M58" s="34">
        <f>절단!M61</f>
        <v>6301</v>
      </c>
      <c r="N58" s="2"/>
    </row>
    <row r="59" spans="1:14" ht="18" customHeight="1">
      <c r="A59" s="39">
        <f>절단!A65</f>
        <v>56</v>
      </c>
      <c r="B59" s="54" t="str">
        <f>절단!B65</f>
        <v>주철관 절단</v>
      </c>
      <c r="C59" s="33" t="str">
        <f>절단!C65</f>
        <v>D1200㎜</v>
      </c>
      <c r="D59" s="1">
        <v>1</v>
      </c>
      <c r="E59" s="2" t="s">
        <v>3</v>
      </c>
      <c r="F59" s="2"/>
      <c r="G59" s="34">
        <f t="shared" si="0"/>
        <v>143368</v>
      </c>
      <c r="H59" s="34"/>
      <c r="I59" s="34">
        <f>절단!I65</f>
        <v>0</v>
      </c>
      <c r="J59" s="34"/>
      <c r="K59" s="34">
        <f>절단!K65</f>
        <v>136541</v>
      </c>
      <c r="L59" s="34"/>
      <c r="M59" s="34">
        <f>절단!M65</f>
        <v>6827</v>
      </c>
      <c r="N59" s="2"/>
    </row>
    <row r="60" spans="1:14" ht="18" customHeight="1">
      <c r="A60" s="39"/>
      <c r="B60" s="54"/>
      <c r="C60" s="33"/>
      <c r="D60" s="1"/>
      <c r="E60" s="2"/>
      <c r="F60" s="2"/>
      <c r="G60" s="34"/>
      <c r="H60" s="34"/>
      <c r="I60" s="34"/>
      <c r="J60" s="34"/>
      <c r="K60" s="34"/>
      <c r="L60" s="34"/>
      <c r="M60" s="34"/>
      <c r="N60" s="2"/>
    </row>
    <row r="61" spans="1:14" ht="18" customHeight="1">
      <c r="A61" s="39"/>
      <c r="B61" s="54"/>
      <c r="C61" s="33"/>
      <c r="D61" s="1"/>
      <c r="E61" s="2"/>
      <c r="F61" s="2"/>
      <c r="G61" s="34"/>
      <c r="H61" s="34"/>
      <c r="I61" s="34"/>
      <c r="J61" s="34"/>
      <c r="K61" s="34"/>
      <c r="L61" s="34"/>
      <c r="M61" s="34"/>
      <c r="N61" s="2"/>
    </row>
    <row r="62" spans="1:14" ht="18" customHeight="1">
      <c r="A62" s="39"/>
      <c r="B62" s="54"/>
      <c r="C62" s="33"/>
      <c r="D62" s="1"/>
      <c r="E62" s="2"/>
      <c r="F62" s="2"/>
      <c r="G62" s="34"/>
      <c r="H62" s="34"/>
      <c r="I62" s="34"/>
      <c r="J62" s="34"/>
      <c r="K62" s="34"/>
      <c r="L62" s="34"/>
      <c r="M62" s="34"/>
      <c r="N62" s="2"/>
    </row>
    <row r="63" spans="1:14" ht="18" customHeight="1">
      <c r="A63" s="39"/>
      <c r="B63" s="54"/>
      <c r="C63" s="33"/>
      <c r="D63" s="1"/>
      <c r="E63" s="2"/>
      <c r="F63" s="2"/>
      <c r="G63" s="34"/>
      <c r="H63" s="34"/>
      <c r="I63" s="34"/>
      <c r="J63" s="34"/>
      <c r="K63" s="34"/>
      <c r="L63" s="34"/>
      <c r="M63" s="34"/>
      <c r="N63" s="2"/>
    </row>
    <row r="64" spans="1:14" ht="18" customHeight="1">
      <c r="A64" s="39"/>
      <c r="B64" s="54"/>
      <c r="C64" s="33"/>
      <c r="D64" s="1"/>
      <c r="E64" s="2"/>
      <c r="F64" s="2"/>
      <c r="G64" s="34"/>
      <c r="H64" s="34"/>
      <c r="I64" s="34"/>
      <c r="J64" s="34"/>
      <c r="K64" s="34"/>
      <c r="L64" s="34"/>
      <c r="M64" s="34"/>
      <c r="N64" s="2"/>
    </row>
    <row r="65" spans="1:14" ht="18" customHeight="1">
      <c r="A65" s="39"/>
      <c r="B65" s="54"/>
      <c r="C65" s="33"/>
      <c r="D65" s="1"/>
      <c r="E65" s="2"/>
      <c r="F65" s="2"/>
      <c r="G65" s="34"/>
      <c r="H65" s="34"/>
      <c r="I65" s="34"/>
      <c r="J65" s="34"/>
      <c r="K65" s="34"/>
      <c r="L65" s="34"/>
      <c r="M65" s="34"/>
      <c r="N65" s="2"/>
    </row>
    <row r="66" spans="1:14" ht="18" customHeight="1">
      <c r="A66" s="39"/>
      <c r="B66" s="54"/>
      <c r="C66" s="33"/>
      <c r="D66" s="1"/>
      <c r="E66" s="2"/>
      <c r="F66" s="2"/>
      <c r="G66" s="34"/>
      <c r="H66" s="34"/>
      <c r="I66" s="34"/>
      <c r="J66" s="34"/>
      <c r="K66" s="34"/>
      <c r="L66" s="34"/>
      <c r="M66" s="34"/>
      <c r="N66" s="2"/>
    </row>
    <row r="67" spans="1:14" ht="18" customHeight="1">
      <c r="A67" s="39"/>
      <c r="B67" s="54"/>
      <c r="C67" s="33"/>
      <c r="D67" s="1"/>
      <c r="E67" s="2"/>
      <c r="F67" s="2"/>
      <c r="G67" s="34"/>
      <c r="H67" s="34"/>
      <c r="I67" s="34"/>
      <c r="J67" s="34"/>
      <c r="K67" s="34"/>
      <c r="L67" s="34"/>
      <c r="M67" s="34"/>
      <c r="N67" s="2"/>
    </row>
    <row r="68" spans="1:14" ht="18" customHeight="1">
      <c r="A68" s="39"/>
      <c r="B68" s="54"/>
      <c r="C68" s="33"/>
      <c r="D68" s="1"/>
      <c r="E68" s="2"/>
      <c r="F68" s="2"/>
      <c r="G68" s="34"/>
      <c r="H68" s="34"/>
      <c r="I68" s="34"/>
      <c r="J68" s="34"/>
      <c r="K68" s="34"/>
      <c r="L68" s="34"/>
      <c r="M68" s="34"/>
      <c r="N68" s="2"/>
    </row>
    <row r="69" spans="1:14" ht="18" customHeight="1">
      <c r="A69" s="39"/>
      <c r="B69" s="54"/>
      <c r="C69" s="33"/>
      <c r="D69" s="1"/>
      <c r="E69" s="2"/>
      <c r="F69" s="2"/>
      <c r="G69" s="34"/>
      <c r="H69" s="34"/>
      <c r="I69" s="34"/>
      <c r="J69" s="34"/>
      <c r="K69" s="34"/>
      <c r="L69" s="34"/>
      <c r="M69" s="34"/>
      <c r="N69" s="2"/>
    </row>
    <row r="70" spans="1:14" ht="18" customHeight="1">
      <c r="A70" s="39"/>
      <c r="B70" s="54"/>
      <c r="C70" s="33"/>
      <c r="D70" s="1"/>
      <c r="E70" s="2"/>
      <c r="F70" s="2"/>
      <c r="G70" s="34"/>
      <c r="H70" s="34"/>
      <c r="I70" s="34"/>
      <c r="J70" s="34"/>
      <c r="K70" s="34"/>
      <c r="L70" s="34"/>
      <c r="M70" s="34"/>
      <c r="N70" s="2"/>
    </row>
    <row r="71" spans="1:14" ht="18" customHeight="1">
      <c r="A71" s="39"/>
      <c r="B71" s="53"/>
      <c r="C71" s="3"/>
      <c r="D71" s="1"/>
      <c r="E71" s="2"/>
      <c r="F71" s="2"/>
      <c r="G71" s="34"/>
      <c r="H71" s="34"/>
      <c r="I71" s="34"/>
      <c r="J71" s="34"/>
      <c r="K71" s="34"/>
      <c r="L71" s="34"/>
      <c r="M71" s="34"/>
      <c r="N71" s="2"/>
    </row>
    <row r="72" spans="1:14" ht="18" customHeight="1">
      <c r="A72" s="39"/>
      <c r="B72" s="54"/>
      <c r="C72" s="33"/>
      <c r="D72" s="1"/>
      <c r="E72" s="2"/>
      <c r="F72" s="2"/>
      <c r="G72" s="34"/>
      <c r="H72" s="34"/>
      <c r="I72" s="34"/>
      <c r="J72" s="34"/>
      <c r="K72" s="34"/>
      <c r="L72" s="34"/>
      <c r="M72" s="34"/>
      <c r="N72" s="2"/>
    </row>
    <row r="73" spans="1:14" ht="18" customHeight="1">
      <c r="A73" s="39"/>
      <c r="B73" s="54"/>
      <c r="C73" s="33"/>
      <c r="D73" s="1"/>
      <c r="E73" s="2"/>
      <c r="F73" s="2"/>
      <c r="G73" s="34"/>
      <c r="H73" s="34"/>
      <c r="I73" s="34"/>
      <c r="J73" s="34"/>
      <c r="K73" s="34"/>
      <c r="L73" s="34"/>
      <c r="M73" s="34"/>
      <c r="N73" s="2"/>
    </row>
    <row r="74" spans="1:14" ht="18" customHeight="1">
      <c r="A74" s="39"/>
      <c r="B74" s="54"/>
      <c r="C74" s="33"/>
      <c r="D74" s="1"/>
      <c r="E74" s="2"/>
      <c r="F74" s="2"/>
      <c r="G74" s="34"/>
      <c r="H74" s="34"/>
      <c r="I74" s="34"/>
      <c r="J74" s="34"/>
      <c r="K74" s="34"/>
      <c r="L74" s="34"/>
      <c r="M74" s="34"/>
      <c r="N74" s="2"/>
    </row>
    <row r="75" spans="1:14" ht="18" customHeight="1">
      <c r="A75" s="39"/>
      <c r="B75" s="54"/>
      <c r="C75" s="33"/>
      <c r="D75" s="1"/>
      <c r="E75" s="2"/>
      <c r="F75" s="2"/>
      <c r="G75" s="34"/>
      <c r="H75" s="34"/>
      <c r="I75" s="34"/>
      <c r="J75" s="34"/>
      <c r="K75" s="34"/>
      <c r="L75" s="34"/>
      <c r="M75" s="34"/>
      <c r="N75" s="2"/>
    </row>
    <row r="76" spans="1:14" ht="18" customHeight="1">
      <c r="A76" s="39"/>
      <c r="B76" s="54"/>
      <c r="C76" s="33"/>
      <c r="D76" s="1"/>
      <c r="E76" s="2"/>
      <c r="F76" s="2"/>
      <c r="G76" s="34"/>
      <c r="H76" s="34"/>
      <c r="I76" s="34"/>
      <c r="J76" s="34"/>
      <c r="K76" s="34"/>
      <c r="L76" s="34"/>
      <c r="M76" s="34"/>
      <c r="N76" s="2"/>
    </row>
    <row r="77" spans="1:14" ht="18" customHeight="1">
      <c r="A77" s="39"/>
      <c r="B77" s="54"/>
      <c r="C77" s="33"/>
      <c r="D77" s="1"/>
      <c r="E77" s="2"/>
      <c r="F77" s="2"/>
      <c r="G77" s="34"/>
      <c r="H77" s="34"/>
      <c r="I77" s="34"/>
      <c r="J77" s="34"/>
      <c r="K77" s="34"/>
      <c r="L77" s="34"/>
      <c r="M77" s="34"/>
      <c r="N77" s="2"/>
    </row>
    <row r="78" spans="1:14" ht="18" customHeight="1">
      <c r="A78" s="39"/>
      <c r="B78" s="54"/>
      <c r="C78" s="33"/>
      <c r="D78" s="1"/>
      <c r="E78" s="2"/>
      <c r="F78" s="2"/>
      <c r="G78" s="34"/>
      <c r="H78" s="34"/>
      <c r="I78" s="34"/>
      <c r="J78" s="34"/>
      <c r="K78" s="34"/>
      <c r="L78" s="34"/>
      <c r="M78" s="34"/>
      <c r="N78" s="2"/>
    </row>
    <row r="79" spans="1:14" ht="18" customHeight="1">
      <c r="A79" s="39"/>
      <c r="B79" s="54"/>
      <c r="C79" s="33"/>
      <c r="D79" s="1"/>
      <c r="E79" s="2"/>
      <c r="F79" s="2"/>
      <c r="G79" s="34"/>
      <c r="H79" s="34"/>
      <c r="I79" s="34"/>
      <c r="J79" s="34"/>
      <c r="K79" s="34"/>
      <c r="L79" s="34"/>
      <c r="M79" s="34"/>
      <c r="N79" s="2"/>
    </row>
    <row r="80" spans="1:14" ht="18" customHeight="1">
      <c r="A80" s="39"/>
      <c r="B80" s="54"/>
      <c r="C80" s="33"/>
      <c r="D80" s="1"/>
      <c r="E80" s="2"/>
      <c r="F80" s="2"/>
      <c r="G80" s="34"/>
      <c r="H80" s="34"/>
      <c r="I80" s="34"/>
      <c r="J80" s="34"/>
      <c r="K80" s="34"/>
      <c r="L80" s="34"/>
      <c r="M80" s="34"/>
      <c r="N80" s="2"/>
    </row>
    <row r="81" spans="1:14" ht="18" customHeight="1">
      <c r="A81" s="39"/>
      <c r="B81" s="54"/>
      <c r="C81" s="33"/>
      <c r="D81" s="1"/>
      <c r="E81" s="2"/>
      <c r="F81" s="2"/>
      <c r="G81" s="34"/>
      <c r="H81" s="34"/>
      <c r="I81" s="34"/>
      <c r="J81" s="34"/>
      <c r="K81" s="34"/>
      <c r="L81" s="34"/>
      <c r="M81" s="34"/>
      <c r="N81" s="2"/>
    </row>
    <row r="82" spans="1:14" ht="18" customHeight="1">
      <c r="A82" s="39"/>
      <c r="B82" s="54"/>
      <c r="C82" s="33"/>
      <c r="D82" s="1"/>
      <c r="E82" s="2"/>
      <c r="F82" s="2"/>
      <c r="G82" s="34"/>
      <c r="H82" s="34"/>
      <c r="I82" s="34"/>
      <c r="J82" s="34"/>
      <c r="K82" s="34"/>
      <c r="L82" s="34"/>
      <c r="M82" s="34"/>
      <c r="N82" s="2"/>
    </row>
    <row r="83" spans="1:14" ht="18" customHeight="1">
      <c r="A83" s="39"/>
      <c r="B83" s="54"/>
      <c r="C83" s="33"/>
      <c r="D83" s="1"/>
      <c r="E83" s="2"/>
      <c r="F83" s="2"/>
      <c r="G83" s="34"/>
      <c r="H83" s="34"/>
      <c r="I83" s="34"/>
      <c r="J83" s="34"/>
      <c r="K83" s="34"/>
      <c r="L83" s="34"/>
      <c r="M83" s="34"/>
      <c r="N83" s="2"/>
    </row>
    <row r="84" spans="1:14" ht="18" customHeight="1">
      <c r="A84" s="39"/>
      <c r="B84" s="54"/>
      <c r="C84" s="33"/>
      <c r="D84" s="1"/>
      <c r="E84" s="2"/>
      <c r="F84" s="2"/>
      <c r="G84" s="34"/>
      <c r="H84" s="34"/>
      <c r="I84" s="34"/>
      <c r="J84" s="34"/>
      <c r="K84" s="34"/>
      <c r="L84" s="34"/>
      <c r="M84" s="34"/>
      <c r="N84" s="2"/>
    </row>
    <row r="85" spans="1:14" ht="18" customHeight="1">
      <c r="A85" s="39"/>
      <c r="B85" s="54"/>
      <c r="C85" s="33"/>
      <c r="D85" s="1"/>
      <c r="E85" s="2"/>
      <c r="F85" s="2"/>
      <c r="G85" s="34"/>
      <c r="H85" s="34"/>
      <c r="I85" s="34"/>
      <c r="J85" s="34"/>
      <c r="K85" s="34"/>
      <c r="L85" s="34"/>
      <c r="M85" s="34"/>
      <c r="N85" s="2"/>
    </row>
    <row r="86" spans="1:14" ht="18" customHeight="1">
      <c r="A86" s="39"/>
      <c r="B86" s="54"/>
      <c r="C86" s="33"/>
      <c r="D86" s="1"/>
      <c r="E86" s="2"/>
      <c r="F86" s="2"/>
      <c r="G86" s="34"/>
      <c r="H86" s="34"/>
      <c r="I86" s="34"/>
      <c r="J86" s="34"/>
      <c r="K86" s="34"/>
      <c r="L86" s="34"/>
      <c r="M86" s="34"/>
      <c r="N86" s="2"/>
    </row>
    <row r="87" spans="1:14" ht="18" customHeight="1">
      <c r="A87" s="39"/>
      <c r="B87" s="54"/>
      <c r="C87" s="33"/>
      <c r="D87" s="1"/>
      <c r="E87" s="2"/>
      <c r="F87" s="2"/>
      <c r="G87" s="34"/>
      <c r="H87" s="34"/>
      <c r="I87" s="34"/>
      <c r="J87" s="34"/>
      <c r="K87" s="34"/>
      <c r="L87" s="34"/>
      <c r="M87" s="34"/>
      <c r="N87" s="2"/>
    </row>
    <row r="88" spans="1:14" ht="18" customHeight="1">
      <c r="A88" s="39"/>
      <c r="B88" s="54"/>
      <c r="C88" s="33"/>
      <c r="D88" s="1"/>
      <c r="E88" s="2"/>
      <c r="F88" s="2"/>
      <c r="G88" s="34"/>
      <c r="H88" s="34"/>
      <c r="I88" s="34"/>
      <c r="J88" s="34"/>
      <c r="K88" s="34"/>
      <c r="L88" s="34"/>
      <c r="M88" s="34"/>
      <c r="N88" s="2"/>
    </row>
    <row r="89" spans="1:14" ht="18" customHeight="1">
      <c r="A89" s="39"/>
      <c r="B89" s="54"/>
      <c r="C89" s="33"/>
      <c r="D89" s="1"/>
      <c r="E89" s="2"/>
      <c r="F89" s="2"/>
      <c r="G89" s="34"/>
      <c r="H89" s="34"/>
      <c r="I89" s="34"/>
      <c r="J89" s="34"/>
      <c r="K89" s="34"/>
      <c r="L89" s="34"/>
      <c r="M89" s="34"/>
      <c r="N89" s="2"/>
    </row>
    <row r="90" spans="1:14" ht="18" customHeight="1">
      <c r="A90" s="39"/>
      <c r="B90" s="54"/>
      <c r="C90" s="33"/>
      <c r="D90" s="1"/>
      <c r="E90" s="2"/>
      <c r="F90" s="2"/>
      <c r="G90" s="34"/>
      <c r="H90" s="34"/>
      <c r="I90" s="34"/>
      <c r="J90" s="34"/>
      <c r="K90" s="34"/>
      <c r="L90" s="34"/>
      <c r="M90" s="34"/>
      <c r="N90" s="2"/>
    </row>
    <row r="91" spans="1:14" ht="18" customHeight="1">
      <c r="A91" s="39"/>
      <c r="B91" s="54"/>
      <c r="C91" s="33"/>
      <c r="D91" s="1"/>
      <c r="E91" s="2"/>
      <c r="F91" s="2"/>
      <c r="G91" s="34"/>
      <c r="H91" s="34"/>
      <c r="I91" s="34"/>
      <c r="J91" s="34"/>
      <c r="K91" s="34"/>
      <c r="L91" s="34"/>
      <c r="M91" s="34"/>
      <c r="N91" s="2"/>
    </row>
    <row r="92" spans="1:14" ht="18" customHeight="1">
      <c r="A92" s="39"/>
      <c r="B92" s="54"/>
      <c r="C92" s="33"/>
      <c r="D92" s="1"/>
      <c r="E92" s="2"/>
      <c r="F92" s="2"/>
      <c r="G92" s="34"/>
      <c r="H92" s="34"/>
      <c r="I92" s="34"/>
      <c r="J92" s="34"/>
      <c r="K92" s="34"/>
      <c r="L92" s="34"/>
      <c r="M92" s="34"/>
      <c r="N92" s="2"/>
    </row>
    <row r="93" spans="1:14" ht="18" customHeight="1">
      <c r="A93" s="39"/>
      <c r="B93" s="54"/>
      <c r="C93" s="33"/>
      <c r="D93" s="1"/>
      <c r="E93" s="2"/>
      <c r="F93" s="2"/>
      <c r="G93" s="34"/>
      <c r="H93" s="34"/>
      <c r="I93" s="34"/>
      <c r="J93" s="34"/>
      <c r="K93" s="34"/>
      <c r="L93" s="34"/>
      <c r="M93" s="34"/>
      <c r="N93" s="2"/>
    </row>
    <row r="94" spans="1:14" ht="18" customHeight="1">
      <c r="A94" s="39"/>
      <c r="B94" s="54"/>
      <c r="C94" s="33"/>
      <c r="D94" s="1"/>
      <c r="E94" s="2"/>
      <c r="F94" s="2"/>
      <c r="G94" s="34"/>
      <c r="H94" s="34"/>
      <c r="I94" s="34"/>
      <c r="J94" s="34"/>
      <c r="K94" s="34"/>
      <c r="L94" s="34"/>
      <c r="M94" s="34"/>
      <c r="N94" s="2"/>
    </row>
    <row r="95" spans="1:14" ht="18" customHeight="1">
      <c r="A95" s="39"/>
      <c r="B95" s="54"/>
      <c r="C95" s="33"/>
      <c r="D95" s="1"/>
      <c r="E95" s="2"/>
      <c r="F95" s="2"/>
      <c r="G95" s="34"/>
      <c r="H95" s="34"/>
      <c r="I95" s="34"/>
      <c r="J95" s="34"/>
      <c r="K95" s="34"/>
      <c r="L95" s="34"/>
      <c r="M95" s="34"/>
      <c r="N95" s="2"/>
    </row>
    <row r="96" spans="1:14" ht="18" customHeight="1">
      <c r="A96" s="39"/>
      <c r="B96" s="54"/>
      <c r="C96" s="33"/>
      <c r="D96" s="1"/>
      <c r="E96" s="2"/>
      <c r="F96" s="2"/>
      <c r="G96" s="34"/>
      <c r="H96" s="34"/>
      <c r="I96" s="34"/>
      <c r="J96" s="34"/>
      <c r="K96" s="34"/>
      <c r="L96" s="34"/>
      <c r="M96" s="34"/>
      <c r="N96" s="2"/>
    </row>
    <row r="97" spans="1:14" ht="18" customHeight="1">
      <c r="A97" s="39"/>
      <c r="B97" s="54"/>
      <c r="C97" s="33"/>
      <c r="D97" s="1"/>
      <c r="E97" s="2"/>
      <c r="F97" s="2"/>
      <c r="G97" s="34"/>
      <c r="H97" s="34"/>
      <c r="I97" s="34"/>
      <c r="J97" s="34"/>
      <c r="K97" s="34"/>
      <c r="L97" s="34"/>
      <c r="M97" s="34"/>
      <c r="N97" s="2"/>
    </row>
    <row r="98" spans="1:14" ht="18" customHeight="1">
      <c r="A98" s="39"/>
      <c r="B98" s="54"/>
      <c r="C98" s="33"/>
      <c r="D98" s="1"/>
      <c r="E98" s="2"/>
      <c r="F98" s="2"/>
      <c r="G98" s="34"/>
      <c r="H98" s="34"/>
      <c r="I98" s="34"/>
      <c r="J98" s="34"/>
      <c r="K98" s="34"/>
      <c r="L98" s="34"/>
      <c r="M98" s="34"/>
      <c r="N98" s="2"/>
    </row>
    <row r="99" spans="1:14" ht="18" customHeight="1">
      <c r="A99" s="39"/>
      <c r="B99" s="54"/>
      <c r="C99" s="33"/>
      <c r="D99" s="1"/>
      <c r="E99" s="2"/>
      <c r="F99" s="2"/>
      <c r="G99" s="34"/>
      <c r="H99" s="34"/>
      <c r="I99" s="34"/>
      <c r="J99" s="34"/>
      <c r="K99" s="34"/>
      <c r="L99" s="34"/>
      <c r="M99" s="34"/>
      <c r="N99" s="2"/>
    </row>
    <row r="100" spans="1:14" ht="18" customHeight="1">
      <c r="A100" s="39"/>
      <c r="B100" s="54"/>
      <c r="C100" s="33"/>
      <c r="D100" s="1"/>
      <c r="E100" s="2"/>
      <c r="F100" s="2"/>
      <c r="G100" s="34"/>
      <c r="H100" s="34"/>
      <c r="I100" s="34"/>
      <c r="J100" s="34"/>
      <c r="K100" s="34"/>
      <c r="L100" s="34"/>
      <c r="M100" s="34"/>
      <c r="N100" s="2"/>
    </row>
    <row r="101" spans="1:14" ht="18" customHeight="1">
      <c r="A101" s="39"/>
      <c r="B101" s="54"/>
      <c r="C101" s="33"/>
      <c r="D101" s="1"/>
      <c r="E101" s="2"/>
      <c r="F101" s="2"/>
      <c r="G101" s="34"/>
      <c r="H101" s="34"/>
      <c r="I101" s="34"/>
      <c r="J101" s="34"/>
      <c r="K101" s="34"/>
      <c r="L101" s="34"/>
      <c r="M101" s="34"/>
      <c r="N101" s="2"/>
    </row>
    <row r="102" spans="1:14" ht="18" customHeight="1">
      <c r="A102" s="39"/>
      <c r="B102" s="54"/>
      <c r="C102" s="33"/>
      <c r="D102" s="1"/>
      <c r="E102" s="2"/>
      <c r="F102" s="2"/>
      <c r="G102" s="34"/>
      <c r="H102" s="34"/>
      <c r="I102" s="34"/>
      <c r="J102" s="34"/>
      <c r="K102" s="34"/>
      <c r="L102" s="34"/>
      <c r="M102" s="34"/>
      <c r="N102" s="2"/>
    </row>
    <row r="103" spans="1:14" ht="18" customHeight="1">
      <c r="A103" s="39"/>
      <c r="B103" s="54"/>
      <c r="C103" s="33"/>
      <c r="D103" s="1"/>
      <c r="E103" s="2"/>
      <c r="F103" s="2"/>
      <c r="G103" s="34"/>
      <c r="H103" s="34"/>
      <c r="I103" s="34"/>
      <c r="J103" s="34"/>
      <c r="K103" s="34"/>
      <c r="L103" s="34"/>
      <c r="M103" s="34"/>
      <c r="N103" s="2"/>
    </row>
    <row r="104" spans="1:14" ht="18" customHeight="1">
      <c r="A104" s="39"/>
      <c r="B104" s="54"/>
      <c r="C104" s="33"/>
      <c r="D104" s="1"/>
      <c r="E104" s="2"/>
      <c r="F104" s="2"/>
      <c r="G104" s="34"/>
      <c r="H104" s="34"/>
      <c r="I104" s="34"/>
      <c r="J104" s="34"/>
      <c r="K104" s="34"/>
      <c r="L104" s="34"/>
      <c r="M104" s="34"/>
      <c r="N104" s="2"/>
    </row>
    <row r="105" spans="1:14" ht="18" customHeight="1">
      <c r="A105" s="39"/>
      <c r="B105" s="54"/>
      <c r="C105" s="33"/>
      <c r="D105" s="1"/>
      <c r="E105" s="2"/>
      <c r="F105" s="2"/>
      <c r="G105" s="34"/>
      <c r="H105" s="34"/>
      <c r="I105" s="34"/>
      <c r="J105" s="34"/>
      <c r="K105" s="34"/>
      <c r="L105" s="34"/>
      <c r="M105" s="34"/>
      <c r="N105" s="2"/>
    </row>
    <row r="106" spans="1:14" ht="18" customHeight="1">
      <c r="A106" s="39"/>
      <c r="B106" s="54"/>
      <c r="C106" s="33"/>
      <c r="D106" s="1"/>
      <c r="E106" s="2"/>
      <c r="F106" s="2"/>
      <c r="G106" s="34"/>
      <c r="H106" s="34"/>
      <c r="I106" s="34"/>
      <c r="J106" s="34"/>
      <c r="K106" s="34"/>
      <c r="L106" s="34"/>
      <c r="M106" s="34"/>
      <c r="N106" s="2"/>
    </row>
    <row r="107" spans="1:14" ht="18" customHeight="1">
      <c r="A107" s="39"/>
      <c r="B107" s="54"/>
      <c r="C107" s="33"/>
      <c r="D107" s="1"/>
      <c r="E107" s="2"/>
      <c r="F107" s="2"/>
      <c r="G107" s="34"/>
      <c r="H107" s="34"/>
      <c r="I107" s="34"/>
      <c r="J107" s="34"/>
      <c r="K107" s="34"/>
      <c r="L107" s="34"/>
      <c r="M107" s="34"/>
      <c r="N107" s="2"/>
    </row>
    <row r="108" spans="1:14" ht="18" customHeight="1">
      <c r="A108" s="39"/>
      <c r="B108" s="54"/>
      <c r="C108" s="33"/>
      <c r="D108" s="1"/>
      <c r="E108" s="2"/>
      <c r="F108" s="2"/>
      <c r="G108" s="34"/>
      <c r="H108" s="34"/>
      <c r="I108" s="34"/>
      <c r="J108" s="34"/>
      <c r="K108" s="34"/>
      <c r="L108" s="34"/>
      <c r="M108" s="34"/>
      <c r="N108" s="2"/>
    </row>
    <row r="109" spans="1:14" ht="18" customHeight="1">
      <c r="A109" s="39"/>
      <c r="B109" s="54"/>
      <c r="C109" s="33"/>
      <c r="D109" s="1"/>
      <c r="E109" s="2"/>
      <c r="F109" s="2"/>
      <c r="G109" s="34"/>
      <c r="H109" s="34"/>
      <c r="I109" s="34"/>
      <c r="J109" s="34"/>
      <c r="K109" s="34"/>
      <c r="L109" s="34"/>
      <c r="M109" s="34"/>
      <c r="N109" s="2"/>
    </row>
    <row r="110" spans="1:14" ht="18" customHeight="1">
      <c r="A110" s="39"/>
      <c r="B110" s="54"/>
      <c r="C110" s="33"/>
      <c r="D110" s="1"/>
      <c r="E110" s="2"/>
      <c r="F110" s="2"/>
      <c r="G110" s="34"/>
      <c r="H110" s="34"/>
      <c r="I110" s="34"/>
      <c r="J110" s="34"/>
      <c r="K110" s="34"/>
      <c r="L110" s="34"/>
      <c r="M110" s="34"/>
      <c r="N110" s="2"/>
    </row>
    <row r="111" spans="1:14" ht="18" customHeight="1">
      <c r="A111" s="39"/>
      <c r="B111" s="54"/>
      <c r="C111" s="33"/>
      <c r="D111" s="1"/>
      <c r="E111" s="2"/>
      <c r="F111" s="2"/>
      <c r="G111" s="34"/>
      <c r="H111" s="34"/>
      <c r="I111" s="34"/>
      <c r="J111" s="34"/>
      <c r="K111" s="34"/>
      <c r="L111" s="34"/>
      <c r="M111" s="34"/>
      <c r="N111" s="2"/>
    </row>
    <row r="112" spans="1:14" ht="18" customHeight="1">
      <c r="A112" s="39"/>
      <c r="B112" s="54"/>
      <c r="C112" s="33"/>
      <c r="D112" s="1"/>
      <c r="E112" s="2"/>
      <c r="F112" s="2"/>
      <c r="G112" s="34"/>
      <c r="H112" s="34"/>
      <c r="I112" s="34"/>
      <c r="J112" s="34"/>
      <c r="K112" s="34"/>
      <c r="L112" s="34"/>
      <c r="M112" s="34"/>
      <c r="N112" s="2"/>
    </row>
    <row r="113" spans="1:14" ht="18" customHeight="1">
      <c r="A113" s="39"/>
      <c r="B113" s="54"/>
      <c r="C113" s="33"/>
      <c r="D113" s="1"/>
      <c r="E113" s="2"/>
      <c r="F113" s="2"/>
      <c r="G113" s="34"/>
      <c r="H113" s="34"/>
      <c r="I113" s="34"/>
      <c r="J113" s="34"/>
      <c r="K113" s="34"/>
      <c r="L113" s="34"/>
      <c r="M113" s="34"/>
      <c r="N113" s="2"/>
    </row>
    <row r="114" spans="1:14" ht="18" customHeight="1">
      <c r="A114" s="39"/>
      <c r="B114" s="54"/>
      <c r="C114" s="33"/>
      <c r="D114" s="1"/>
      <c r="E114" s="2"/>
      <c r="F114" s="2"/>
      <c r="G114" s="34"/>
      <c r="H114" s="34"/>
      <c r="I114" s="34"/>
      <c r="J114" s="34"/>
      <c r="K114" s="34"/>
      <c r="L114" s="34"/>
      <c r="M114" s="34"/>
      <c r="N114" s="2"/>
    </row>
    <row r="115" spans="1:14" ht="18" customHeight="1">
      <c r="A115" s="39"/>
      <c r="B115" s="54"/>
      <c r="C115" s="33"/>
      <c r="D115" s="1"/>
      <c r="E115" s="2"/>
      <c r="F115" s="2"/>
      <c r="G115" s="34"/>
      <c r="H115" s="34"/>
      <c r="I115" s="34"/>
      <c r="J115" s="34"/>
      <c r="K115" s="34"/>
      <c r="L115" s="34"/>
      <c r="M115" s="34"/>
      <c r="N115" s="2"/>
    </row>
    <row r="116" spans="1:14" ht="18" customHeight="1">
      <c r="A116" s="39"/>
      <c r="B116" s="54"/>
      <c r="C116" s="33"/>
      <c r="D116" s="1"/>
      <c r="E116" s="2"/>
      <c r="F116" s="2"/>
      <c r="G116" s="34"/>
      <c r="H116" s="34"/>
      <c r="I116" s="34"/>
      <c r="J116" s="34"/>
      <c r="K116" s="34"/>
      <c r="L116" s="34"/>
      <c r="M116" s="34"/>
      <c r="N116" s="2"/>
    </row>
    <row r="117" spans="1:14" ht="18" customHeight="1">
      <c r="A117" s="39"/>
      <c r="B117" s="54"/>
      <c r="C117" s="33"/>
      <c r="D117" s="1"/>
      <c r="E117" s="2"/>
      <c r="F117" s="2"/>
      <c r="G117" s="34"/>
      <c r="H117" s="34"/>
      <c r="I117" s="34"/>
      <c r="J117" s="34"/>
      <c r="K117" s="34"/>
      <c r="L117" s="34"/>
      <c r="M117" s="34"/>
      <c r="N117" s="2"/>
    </row>
    <row r="118" spans="1:14" ht="18" customHeight="1">
      <c r="A118" s="39"/>
      <c r="B118" s="54"/>
      <c r="C118" s="33"/>
      <c r="D118" s="1"/>
      <c r="E118" s="2"/>
      <c r="F118" s="2"/>
      <c r="G118" s="34"/>
      <c r="H118" s="34"/>
      <c r="I118" s="34"/>
      <c r="J118" s="34"/>
      <c r="K118" s="34"/>
      <c r="L118" s="34"/>
      <c r="M118" s="34"/>
      <c r="N118" s="2"/>
    </row>
    <row r="119" spans="1:14" ht="18" customHeight="1">
      <c r="A119" s="39"/>
      <c r="B119" s="54"/>
      <c r="C119" s="33"/>
      <c r="D119" s="1"/>
      <c r="E119" s="2"/>
      <c r="F119" s="2"/>
      <c r="G119" s="34"/>
      <c r="H119" s="34"/>
      <c r="I119" s="34"/>
      <c r="J119" s="34"/>
      <c r="K119" s="34"/>
      <c r="L119" s="34"/>
      <c r="M119" s="34"/>
      <c r="N119" s="2"/>
    </row>
    <row r="120" spans="1:14" ht="18" customHeight="1">
      <c r="A120" s="39"/>
      <c r="B120" s="54"/>
      <c r="C120" s="33"/>
      <c r="D120" s="1"/>
      <c r="E120" s="2"/>
      <c r="F120" s="2"/>
      <c r="G120" s="34"/>
      <c r="H120" s="34"/>
      <c r="I120" s="34"/>
      <c r="J120" s="34"/>
      <c r="K120" s="34"/>
      <c r="L120" s="34"/>
      <c r="M120" s="34"/>
      <c r="N120" s="2"/>
    </row>
    <row r="121" spans="1:14" ht="18" customHeight="1">
      <c r="A121" s="39"/>
      <c r="B121" s="54"/>
      <c r="C121" s="33"/>
      <c r="D121" s="1"/>
      <c r="E121" s="2"/>
      <c r="F121" s="2"/>
      <c r="G121" s="34"/>
      <c r="H121" s="34"/>
      <c r="I121" s="34"/>
      <c r="J121" s="34"/>
      <c r="K121" s="34"/>
      <c r="L121" s="34"/>
      <c r="M121" s="34"/>
      <c r="N121" s="2"/>
    </row>
    <row r="122" spans="1:14" ht="18" customHeight="1">
      <c r="A122" s="39"/>
      <c r="B122" s="54"/>
      <c r="C122" s="33"/>
      <c r="D122" s="1"/>
      <c r="E122" s="2"/>
      <c r="F122" s="2"/>
      <c r="G122" s="34"/>
      <c r="H122" s="34"/>
      <c r="I122" s="34"/>
      <c r="J122" s="34"/>
      <c r="K122" s="34"/>
      <c r="L122" s="34"/>
      <c r="M122" s="34"/>
      <c r="N122" s="2"/>
    </row>
    <row r="123" spans="1:14" ht="18" customHeight="1">
      <c r="A123" s="39"/>
      <c r="B123" s="54"/>
      <c r="C123" s="33"/>
      <c r="D123" s="1"/>
      <c r="E123" s="2"/>
      <c r="F123" s="2"/>
      <c r="G123" s="34"/>
      <c r="H123" s="34"/>
      <c r="I123" s="34"/>
      <c r="J123" s="34"/>
      <c r="K123" s="34"/>
      <c r="L123" s="34"/>
      <c r="M123" s="34"/>
      <c r="N123" s="2"/>
    </row>
    <row r="124" spans="1:14" ht="18" customHeight="1">
      <c r="A124" s="39"/>
      <c r="B124" s="54"/>
      <c r="C124" s="33"/>
      <c r="D124" s="1"/>
      <c r="E124" s="2"/>
      <c r="F124" s="2"/>
      <c r="G124" s="34"/>
      <c r="H124" s="34"/>
      <c r="I124" s="34"/>
      <c r="J124" s="34"/>
      <c r="K124" s="34"/>
      <c r="L124" s="34"/>
      <c r="M124" s="34"/>
      <c r="N124" s="2"/>
    </row>
    <row r="125" spans="1:14" ht="18" customHeight="1">
      <c r="A125" s="39"/>
      <c r="B125" s="54"/>
      <c r="C125" s="33"/>
      <c r="D125" s="1"/>
      <c r="E125" s="2"/>
      <c r="F125" s="2"/>
      <c r="G125" s="34"/>
      <c r="H125" s="34"/>
      <c r="I125" s="34"/>
      <c r="J125" s="34"/>
      <c r="K125" s="34"/>
      <c r="L125" s="34"/>
      <c r="M125" s="34"/>
      <c r="N125" s="2"/>
    </row>
    <row r="126" spans="1:14" ht="18" customHeight="1">
      <c r="A126" s="39"/>
      <c r="B126" s="54"/>
      <c r="C126" s="33"/>
      <c r="D126" s="1"/>
      <c r="E126" s="2"/>
      <c r="F126" s="2"/>
      <c r="G126" s="34"/>
      <c r="H126" s="34"/>
      <c r="I126" s="34"/>
      <c r="J126" s="34"/>
      <c r="K126" s="34"/>
      <c r="L126" s="34"/>
      <c r="M126" s="34"/>
      <c r="N126" s="2"/>
    </row>
    <row r="127" spans="1:14" ht="18" customHeight="1">
      <c r="A127" s="39"/>
      <c r="B127" s="54"/>
      <c r="C127" s="33"/>
      <c r="D127" s="1"/>
      <c r="E127" s="2"/>
      <c r="F127" s="2"/>
      <c r="G127" s="34"/>
      <c r="H127" s="34"/>
      <c r="I127" s="34"/>
      <c r="J127" s="34"/>
      <c r="K127" s="34"/>
      <c r="L127" s="34"/>
      <c r="M127" s="34"/>
      <c r="N127" s="2"/>
    </row>
    <row r="128" spans="1:14" ht="18" customHeight="1">
      <c r="A128" s="39"/>
      <c r="B128" s="54"/>
      <c r="C128" s="33"/>
      <c r="D128" s="1"/>
      <c r="E128" s="2"/>
      <c r="F128" s="2"/>
      <c r="G128" s="34"/>
      <c r="H128" s="34"/>
      <c r="I128" s="34"/>
      <c r="J128" s="34"/>
      <c r="K128" s="34"/>
      <c r="L128" s="34"/>
      <c r="M128" s="34"/>
      <c r="N128" s="2"/>
    </row>
    <row r="129" spans="1:14" ht="18" customHeight="1">
      <c r="A129" s="39"/>
      <c r="B129" s="54"/>
      <c r="C129" s="33"/>
      <c r="D129" s="1"/>
      <c r="E129" s="2"/>
      <c r="F129" s="2"/>
      <c r="G129" s="34"/>
      <c r="H129" s="34"/>
      <c r="I129" s="34"/>
      <c r="J129" s="34"/>
      <c r="K129" s="34"/>
      <c r="L129" s="34"/>
      <c r="M129" s="34"/>
      <c r="N129" s="2"/>
    </row>
    <row r="130" spans="1:14" ht="18" customHeight="1">
      <c r="A130" s="39"/>
      <c r="B130" s="54"/>
      <c r="C130" s="33"/>
      <c r="D130" s="1"/>
      <c r="E130" s="2"/>
      <c r="F130" s="2"/>
      <c r="G130" s="34"/>
      <c r="H130" s="34"/>
      <c r="I130" s="34"/>
      <c r="J130" s="34"/>
      <c r="K130" s="34"/>
      <c r="L130" s="34"/>
      <c r="M130" s="34"/>
      <c r="N130" s="2"/>
    </row>
    <row r="131" spans="1:14" ht="18" customHeight="1">
      <c r="A131" s="39"/>
      <c r="B131" s="54"/>
      <c r="C131" s="33"/>
      <c r="D131" s="1"/>
      <c r="E131" s="2"/>
      <c r="F131" s="2"/>
      <c r="G131" s="34"/>
      <c r="H131" s="34"/>
      <c r="I131" s="34"/>
      <c r="J131" s="34"/>
      <c r="K131" s="34"/>
      <c r="L131" s="34"/>
      <c r="M131" s="34"/>
      <c r="N131" s="2"/>
    </row>
    <row r="132" spans="1:14" ht="18" customHeight="1">
      <c r="A132" s="39"/>
      <c r="B132" s="54"/>
      <c r="C132" s="33"/>
      <c r="D132" s="1"/>
      <c r="E132" s="2"/>
      <c r="F132" s="2"/>
      <c r="G132" s="34"/>
      <c r="H132" s="34"/>
      <c r="I132" s="34"/>
      <c r="J132" s="34"/>
      <c r="K132" s="34"/>
      <c r="L132" s="34"/>
      <c r="M132" s="34"/>
      <c r="N132" s="2"/>
    </row>
    <row r="133" spans="1:14" ht="18" customHeight="1">
      <c r="A133" s="39"/>
      <c r="B133" s="54"/>
      <c r="C133" s="33"/>
      <c r="D133" s="1"/>
      <c r="E133" s="2"/>
      <c r="F133" s="2"/>
      <c r="G133" s="34"/>
      <c r="H133" s="34"/>
      <c r="I133" s="34"/>
      <c r="J133" s="34"/>
      <c r="K133" s="34"/>
      <c r="L133" s="34"/>
      <c r="M133" s="34"/>
      <c r="N133" s="2"/>
    </row>
    <row r="134" spans="1:14" ht="18" customHeight="1">
      <c r="A134" s="39"/>
      <c r="B134" s="54"/>
      <c r="C134" s="33"/>
      <c r="D134" s="1"/>
      <c r="E134" s="2"/>
      <c r="F134" s="2"/>
      <c r="G134" s="34"/>
      <c r="H134" s="34"/>
      <c r="I134" s="34"/>
      <c r="J134" s="34"/>
      <c r="K134" s="34"/>
      <c r="L134" s="34"/>
      <c r="M134" s="34"/>
      <c r="N134" s="2"/>
    </row>
    <row r="135" spans="1:14" ht="18" customHeight="1">
      <c r="A135" s="39"/>
      <c r="B135" s="54"/>
      <c r="C135" s="39"/>
      <c r="D135" s="1"/>
      <c r="E135" s="2"/>
      <c r="F135" s="2"/>
      <c r="G135" s="34"/>
      <c r="H135" s="34"/>
      <c r="I135" s="34"/>
      <c r="J135" s="34"/>
      <c r="K135" s="34"/>
      <c r="L135" s="34"/>
      <c r="M135" s="34"/>
      <c r="N135" s="2"/>
    </row>
    <row r="136" spans="1:14" ht="18" customHeight="1">
      <c r="A136" s="39"/>
      <c r="B136" s="54"/>
      <c r="C136" s="39"/>
      <c r="D136" s="1"/>
      <c r="E136" s="2"/>
      <c r="F136" s="2"/>
      <c r="G136" s="34"/>
      <c r="H136" s="34"/>
      <c r="I136" s="34"/>
      <c r="J136" s="34"/>
      <c r="K136" s="34"/>
      <c r="L136" s="34"/>
      <c r="M136" s="34"/>
      <c r="N136" s="2"/>
    </row>
    <row r="137" spans="1:14" ht="18" customHeight="1">
      <c r="A137" s="39"/>
      <c r="B137" s="54"/>
      <c r="C137" s="39"/>
      <c r="D137" s="1"/>
      <c r="E137" s="2"/>
      <c r="F137" s="2"/>
      <c r="G137" s="34"/>
      <c r="H137" s="34"/>
      <c r="I137" s="34"/>
      <c r="J137" s="34"/>
      <c r="K137" s="34"/>
      <c r="L137" s="34"/>
      <c r="M137" s="34"/>
      <c r="N137" s="2"/>
    </row>
    <row r="138" spans="1:14" ht="18" customHeight="1">
      <c r="A138" s="39"/>
      <c r="B138" s="54"/>
      <c r="C138" s="39"/>
      <c r="D138" s="1"/>
      <c r="E138" s="2"/>
      <c r="F138" s="2"/>
      <c r="G138" s="34"/>
      <c r="H138" s="34"/>
      <c r="I138" s="34"/>
      <c r="J138" s="34"/>
      <c r="K138" s="34"/>
      <c r="L138" s="34"/>
      <c r="M138" s="34"/>
      <c r="N138" s="2"/>
    </row>
    <row r="139" spans="1:14" ht="18" customHeight="1">
      <c r="A139" s="39"/>
      <c r="B139" s="54"/>
      <c r="C139" s="39"/>
      <c r="D139" s="1"/>
      <c r="E139" s="2"/>
      <c r="F139" s="2"/>
      <c r="G139" s="34"/>
      <c r="H139" s="34"/>
      <c r="I139" s="34"/>
      <c r="J139" s="34"/>
      <c r="K139" s="34"/>
      <c r="L139" s="34"/>
      <c r="M139" s="34"/>
      <c r="N139" s="2"/>
    </row>
    <row r="140" spans="1:14" ht="18" customHeight="1">
      <c r="A140" s="39"/>
      <c r="B140" s="54"/>
      <c r="C140" s="39"/>
      <c r="D140" s="1"/>
      <c r="E140" s="2"/>
      <c r="F140" s="2"/>
      <c r="G140" s="34"/>
      <c r="H140" s="34"/>
      <c r="I140" s="34"/>
      <c r="J140" s="34"/>
      <c r="K140" s="34"/>
      <c r="L140" s="34"/>
      <c r="M140" s="34"/>
      <c r="N140" s="2"/>
    </row>
    <row r="141" spans="1:14" ht="18" customHeight="1">
      <c r="A141" s="39"/>
      <c r="B141" s="54"/>
      <c r="C141" s="39"/>
      <c r="D141" s="1"/>
      <c r="E141" s="2"/>
      <c r="F141" s="2"/>
      <c r="G141" s="34"/>
      <c r="H141" s="34"/>
      <c r="I141" s="34"/>
      <c r="J141" s="34"/>
      <c r="K141" s="34"/>
      <c r="L141" s="34"/>
      <c r="M141" s="34"/>
      <c r="N141" s="2"/>
    </row>
    <row r="142" spans="1:14" ht="18" customHeight="1">
      <c r="A142" s="39"/>
      <c r="B142" s="54"/>
      <c r="C142" s="39"/>
      <c r="D142" s="1"/>
      <c r="E142" s="2"/>
      <c r="F142" s="2"/>
      <c r="G142" s="34"/>
      <c r="H142" s="34"/>
      <c r="I142" s="34"/>
      <c r="J142" s="34"/>
      <c r="K142" s="34"/>
      <c r="L142" s="34"/>
      <c r="M142" s="34"/>
      <c r="N142" s="2"/>
    </row>
    <row r="143" spans="1:14" ht="18" customHeight="1">
      <c r="A143" s="39"/>
      <c r="B143" s="54"/>
      <c r="C143" s="39"/>
      <c r="D143" s="1"/>
      <c r="E143" s="2"/>
      <c r="F143" s="2"/>
      <c r="G143" s="34"/>
      <c r="H143" s="34"/>
      <c r="I143" s="34"/>
      <c r="J143" s="34"/>
      <c r="K143" s="34"/>
      <c r="L143" s="34"/>
      <c r="M143" s="34"/>
      <c r="N143" s="2"/>
    </row>
    <row r="144" spans="1:14" ht="18" customHeight="1">
      <c r="A144" s="39"/>
      <c r="B144" s="54"/>
      <c r="C144" s="39"/>
      <c r="D144" s="1"/>
      <c r="E144" s="2"/>
      <c r="F144" s="2"/>
      <c r="G144" s="34"/>
      <c r="H144" s="34"/>
      <c r="I144" s="34"/>
      <c r="J144" s="34"/>
      <c r="K144" s="34"/>
      <c r="L144" s="34"/>
      <c r="M144" s="34"/>
      <c r="N144" s="2"/>
    </row>
    <row r="145" spans="1:14" ht="18" customHeight="1">
      <c r="A145" s="39"/>
      <c r="B145" s="54"/>
      <c r="C145" s="39"/>
      <c r="D145" s="1"/>
      <c r="E145" s="2"/>
      <c r="F145" s="2"/>
      <c r="G145" s="34"/>
      <c r="H145" s="34"/>
      <c r="I145" s="34"/>
      <c r="J145" s="34"/>
      <c r="K145" s="34"/>
      <c r="L145" s="34"/>
      <c r="M145" s="34"/>
      <c r="N145" s="2"/>
    </row>
    <row r="146" spans="1:14" ht="18" customHeight="1">
      <c r="A146" s="39"/>
      <c r="B146" s="54"/>
      <c r="C146" s="39"/>
      <c r="D146" s="1"/>
      <c r="E146" s="2"/>
      <c r="F146" s="2"/>
      <c r="G146" s="34"/>
      <c r="H146" s="34"/>
      <c r="I146" s="34"/>
      <c r="J146" s="34"/>
      <c r="K146" s="34"/>
      <c r="L146" s="34"/>
      <c r="M146" s="34"/>
      <c r="N146" s="2"/>
    </row>
    <row r="147" spans="1:14" ht="18" customHeight="1">
      <c r="A147" s="39"/>
      <c r="B147" s="54"/>
      <c r="C147" s="39"/>
      <c r="D147" s="1"/>
      <c r="E147" s="2"/>
      <c r="F147" s="2"/>
      <c r="G147" s="34"/>
      <c r="H147" s="34"/>
      <c r="I147" s="34"/>
      <c r="J147" s="34"/>
      <c r="K147" s="34"/>
      <c r="L147" s="34"/>
      <c r="M147" s="34"/>
      <c r="N147" s="2"/>
    </row>
    <row r="148" spans="1:14" ht="18" customHeight="1">
      <c r="A148" s="39"/>
      <c r="B148" s="54"/>
      <c r="C148" s="39"/>
      <c r="D148" s="1"/>
      <c r="E148" s="2"/>
      <c r="F148" s="2"/>
      <c r="G148" s="34"/>
      <c r="H148" s="34"/>
      <c r="I148" s="34"/>
      <c r="J148" s="34"/>
      <c r="K148" s="34"/>
      <c r="L148" s="34"/>
      <c r="M148" s="34"/>
      <c r="N148" s="2"/>
    </row>
    <row r="149" spans="1:14" ht="18" customHeight="1">
      <c r="A149" s="39"/>
      <c r="B149" s="54"/>
      <c r="C149" s="39"/>
      <c r="D149" s="1"/>
      <c r="E149" s="2"/>
      <c r="F149" s="2"/>
      <c r="G149" s="34"/>
      <c r="H149" s="34"/>
      <c r="I149" s="34"/>
      <c r="J149" s="34"/>
      <c r="K149" s="34"/>
      <c r="L149" s="34"/>
      <c r="M149" s="34"/>
      <c r="N149" s="2"/>
    </row>
    <row r="150" spans="1:14" ht="18" customHeight="1">
      <c r="A150" s="39"/>
      <c r="B150" s="54"/>
      <c r="C150" s="39"/>
      <c r="D150" s="1"/>
      <c r="E150" s="2"/>
      <c r="F150" s="2"/>
      <c r="G150" s="34"/>
      <c r="H150" s="34"/>
      <c r="I150" s="34"/>
      <c r="J150" s="34"/>
      <c r="K150" s="34"/>
      <c r="L150" s="34"/>
      <c r="M150" s="34"/>
      <c r="N150" s="2"/>
    </row>
    <row r="151" spans="1:14" ht="18" customHeight="1">
      <c r="A151" s="39"/>
      <c r="B151" s="54"/>
      <c r="C151" s="39"/>
      <c r="D151" s="1"/>
      <c r="E151" s="2"/>
      <c r="F151" s="2"/>
      <c r="G151" s="34"/>
      <c r="H151" s="34"/>
      <c r="I151" s="34"/>
      <c r="J151" s="34"/>
      <c r="K151" s="34"/>
      <c r="L151" s="34"/>
      <c r="M151" s="34"/>
      <c r="N151" s="2"/>
    </row>
    <row r="152" spans="1:14" ht="18" customHeight="1">
      <c r="A152" s="39"/>
      <c r="B152" s="54"/>
      <c r="C152" s="39"/>
      <c r="D152" s="1"/>
      <c r="E152" s="2"/>
      <c r="F152" s="2"/>
      <c r="G152" s="34"/>
      <c r="H152" s="34"/>
      <c r="I152" s="34"/>
      <c r="J152" s="34"/>
      <c r="K152" s="34"/>
      <c r="L152" s="34"/>
      <c r="M152" s="34"/>
      <c r="N152" s="2"/>
    </row>
    <row r="153" spans="1:14" ht="18" customHeight="1">
      <c r="A153" s="39"/>
      <c r="B153" s="54"/>
      <c r="C153" s="39"/>
      <c r="D153" s="1"/>
      <c r="E153" s="2"/>
      <c r="F153" s="2"/>
      <c r="G153" s="34"/>
      <c r="H153" s="34"/>
      <c r="I153" s="34"/>
      <c r="J153" s="34"/>
      <c r="K153" s="34"/>
      <c r="L153" s="34"/>
      <c r="M153" s="34"/>
      <c r="N153" s="2"/>
    </row>
    <row r="154" spans="1:14" ht="18" customHeight="1">
      <c r="A154" s="39"/>
      <c r="B154" s="54"/>
      <c r="C154" s="39"/>
      <c r="D154" s="1"/>
      <c r="E154" s="2"/>
      <c r="F154" s="2"/>
      <c r="G154" s="34"/>
      <c r="H154" s="34"/>
      <c r="I154" s="34"/>
      <c r="J154" s="34"/>
      <c r="K154" s="34"/>
      <c r="L154" s="34"/>
      <c r="M154" s="34"/>
      <c r="N154" s="2"/>
    </row>
    <row r="155" spans="1:14" ht="18" customHeight="1">
      <c r="A155" s="39"/>
      <c r="B155" s="54"/>
      <c r="C155" s="39"/>
      <c r="D155" s="1"/>
      <c r="E155" s="2"/>
      <c r="F155" s="2"/>
      <c r="G155" s="34"/>
      <c r="H155" s="34"/>
      <c r="I155" s="34"/>
      <c r="J155" s="34"/>
      <c r="K155" s="34"/>
      <c r="L155" s="34"/>
      <c r="M155" s="34"/>
      <c r="N155" s="2"/>
    </row>
    <row r="156" spans="1:14" ht="18" customHeight="1">
      <c r="A156" s="39"/>
      <c r="B156" s="54"/>
      <c r="C156" s="39"/>
      <c r="D156" s="1"/>
      <c r="E156" s="2"/>
      <c r="F156" s="2"/>
      <c r="G156" s="34"/>
      <c r="H156" s="34"/>
      <c r="I156" s="34"/>
      <c r="J156" s="34"/>
      <c r="K156" s="34"/>
      <c r="L156" s="34"/>
      <c r="M156" s="34"/>
      <c r="N156" s="2"/>
    </row>
    <row r="157" spans="1:14" ht="18" customHeight="1">
      <c r="A157" s="39"/>
      <c r="B157" s="54"/>
      <c r="C157" s="39"/>
      <c r="D157" s="1"/>
      <c r="E157" s="2"/>
      <c r="F157" s="2"/>
      <c r="G157" s="34"/>
      <c r="H157" s="34"/>
      <c r="I157" s="34"/>
      <c r="J157" s="34"/>
      <c r="K157" s="34"/>
      <c r="L157" s="34"/>
      <c r="M157" s="34"/>
      <c r="N157" s="2"/>
    </row>
    <row r="158" spans="1:14" ht="18" customHeight="1">
      <c r="A158" s="39"/>
      <c r="B158" s="54"/>
      <c r="C158" s="39"/>
      <c r="D158" s="1"/>
      <c r="E158" s="2"/>
      <c r="F158" s="2"/>
      <c r="G158" s="34"/>
      <c r="H158" s="34"/>
      <c r="I158" s="34"/>
      <c r="J158" s="34"/>
      <c r="K158" s="34"/>
      <c r="L158" s="34"/>
      <c r="M158" s="34"/>
      <c r="N158" s="2"/>
    </row>
    <row r="159" spans="1:14" ht="18" customHeight="1">
      <c r="A159" s="39"/>
      <c r="B159" s="54"/>
      <c r="C159" s="39"/>
      <c r="D159" s="1"/>
      <c r="E159" s="2"/>
      <c r="F159" s="2"/>
      <c r="G159" s="34"/>
      <c r="H159" s="34"/>
      <c r="I159" s="34"/>
      <c r="J159" s="34"/>
      <c r="K159" s="34"/>
      <c r="L159" s="34"/>
      <c r="M159" s="34"/>
      <c r="N159" s="2"/>
    </row>
    <row r="160" spans="1:14" ht="18" customHeight="1">
      <c r="A160" s="39"/>
      <c r="B160" s="54"/>
      <c r="C160" s="39"/>
      <c r="D160" s="1"/>
      <c r="E160" s="2"/>
      <c r="F160" s="2"/>
      <c r="G160" s="34"/>
      <c r="H160" s="34"/>
      <c r="I160" s="34"/>
      <c r="J160" s="34"/>
      <c r="K160" s="34"/>
      <c r="L160" s="34"/>
      <c r="M160" s="34"/>
      <c r="N160" s="2"/>
    </row>
    <row r="161" spans="1:14" ht="18" customHeight="1">
      <c r="A161" s="39"/>
      <c r="B161" s="54"/>
      <c r="C161" s="39"/>
      <c r="D161" s="1"/>
      <c r="E161" s="2"/>
      <c r="F161" s="2"/>
      <c r="G161" s="34"/>
      <c r="H161" s="34"/>
      <c r="I161" s="34"/>
      <c r="J161" s="34"/>
      <c r="K161" s="34"/>
      <c r="L161" s="34"/>
      <c r="M161" s="34"/>
      <c r="N161" s="2"/>
    </row>
    <row r="162" spans="1:14" ht="18" customHeight="1">
      <c r="A162" s="39"/>
      <c r="B162" s="54"/>
      <c r="C162" s="39"/>
      <c r="D162" s="1"/>
      <c r="E162" s="2"/>
      <c r="F162" s="2"/>
      <c r="G162" s="34"/>
      <c r="H162" s="34"/>
      <c r="I162" s="34"/>
      <c r="J162" s="34"/>
      <c r="K162" s="34"/>
      <c r="L162" s="34"/>
      <c r="M162" s="34"/>
      <c r="N162" s="2"/>
    </row>
    <row r="163" spans="1:14" ht="18" customHeight="1">
      <c r="A163" s="39"/>
      <c r="B163" s="54"/>
      <c r="C163" s="39"/>
      <c r="D163" s="1"/>
      <c r="E163" s="2"/>
      <c r="F163" s="2"/>
      <c r="G163" s="34"/>
      <c r="H163" s="34"/>
      <c r="I163" s="34"/>
      <c r="J163" s="34"/>
      <c r="K163" s="34"/>
      <c r="L163" s="34"/>
      <c r="M163" s="34"/>
      <c r="N163" s="2"/>
    </row>
    <row r="164" spans="1:14" ht="18" customHeight="1">
      <c r="A164" s="39"/>
      <c r="B164" s="54"/>
      <c r="C164" s="39"/>
      <c r="D164" s="1"/>
      <c r="E164" s="2"/>
      <c r="F164" s="2"/>
      <c r="G164" s="34"/>
      <c r="H164" s="34"/>
      <c r="I164" s="34"/>
      <c r="J164" s="34"/>
      <c r="K164" s="34"/>
      <c r="L164" s="34"/>
      <c r="M164" s="34"/>
      <c r="N164" s="2"/>
    </row>
    <row r="165" spans="1:14" ht="18" customHeight="1">
      <c r="A165" s="39"/>
      <c r="B165" s="54"/>
      <c r="C165" s="39"/>
      <c r="D165" s="1"/>
      <c r="E165" s="2"/>
      <c r="F165" s="2"/>
      <c r="G165" s="34"/>
      <c r="H165" s="34"/>
      <c r="I165" s="34"/>
      <c r="J165" s="34"/>
      <c r="K165" s="34"/>
      <c r="L165" s="34"/>
      <c r="M165" s="34"/>
      <c r="N165" s="2"/>
    </row>
    <row r="166" spans="1:14" ht="18" customHeight="1">
      <c r="A166" s="39"/>
      <c r="B166" s="54"/>
      <c r="C166" s="39"/>
      <c r="D166" s="1"/>
      <c r="E166" s="2"/>
      <c r="F166" s="2"/>
      <c r="G166" s="34"/>
      <c r="H166" s="34"/>
      <c r="I166" s="34"/>
      <c r="J166" s="34"/>
      <c r="K166" s="34"/>
      <c r="L166" s="34"/>
      <c r="M166" s="34"/>
      <c r="N166" s="2"/>
    </row>
    <row r="167" spans="1:14" ht="18" customHeight="1">
      <c r="A167" s="39"/>
      <c r="B167" s="54"/>
      <c r="C167" s="39"/>
      <c r="D167" s="1"/>
      <c r="E167" s="2"/>
      <c r="F167" s="2"/>
      <c r="G167" s="34"/>
      <c r="H167" s="34"/>
      <c r="I167" s="34"/>
      <c r="J167" s="34"/>
      <c r="K167" s="34"/>
      <c r="L167" s="34"/>
      <c r="M167" s="34"/>
      <c r="N167" s="2"/>
    </row>
    <row r="168" spans="1:14" ht="18" customHeight="1">
      <c r="A168" s="39"/>
      <c r="B168" s="54"/>
      <c r="C168" s="39"/>
      <c r="D168" s="1"/>
      <c r="E168" s="2"/>
      <c r="F168" s="2"/>
      <c r="G168" s="34"/>
      <c r="H168" s="34"/>
      <c r="I168" s="34"/>
      <c r="J168" s="34"/>
      <c r="K168" s="34"/>
      <c r="L168" s="34"/>
      <c r="M168" s="34"/>
      <c r="N168" s="2"/>
    </row>
    <row r="169" spans="1:14" ht="18" customHeight="1">
      <c r="A169" s="39"/>
      <c r="B169" s="54"/>
      <c r="C169" s="39"/>
      <c r="D169" s="1"/>
      <c r="E169" s="2"/>
      <c r="F169" s="2"/>
      <c r="G169" s="34"/>
      <c r="H169" s="34"/>
      <c r="I169" s="34"/>
      <c r="J169" s="34"/>
      <c r="K169" s="34"/>
      <c r="L169" s="34"/>
      <c r="M169" s="34"/>
      <c r="N169" s="2"/>
    </row>
    <row r="170" spans="1:14" ht="18" customHeight="1">
      <c r="A170" s="39"/>
      <c r="B170" s="54"/>
      <c r="C170" s="39"/>
      <c r="D170" s="1"/>
      <c r="E170" s="2"/>
      <c r="F170" s="2"/>
      <c r="G170" s="34"/>
      <c r="H170" s="34"/>
      <c r="I170" s="34"/>
      <c r="J170" s="34"/>
      <c r="K170" s="34"/>
      <c r="L170" s="34"/>
      <c r="M170" s="34"/>
      <c r="N170" s="2"/>
    </row>
    <row r="171" spans="1:14" ht="18" customHeight="1">
      <c r="A171" s="39"/>
      <c r="B171" s="54"/>
      <c r="C171" s="39"/>
      <c r="D171" s="1"/>
      <c r="E171" s="2"/>
      <c r="F171" s="2"/>
      <c r="G171" s="34"/>
      <c r="H171" s="34"/>
      <c r="I171" s="34"/>
      <c r="J171" s="34"/>
      <c r="K171" s="34"/>
      <c r="L171" s="34"/>
      <c r="M171" s="34"/>
      <c r="N171" s="2"/>
    </row>
    <row r="172" spans="1:14" ht="18" customHeight="1">
      <c r="A172" s="39"/>
      <c r="B172" s="54"/>
      <c r="C172" s="39"/>
      <c r="D172" s="1"/>
      <c r="E172" s="2"/>
      <c r="F172" s="2"/>
      <c r="G172" s="34"/>
      <c r="H172" s="34"/>
      <c r="I172" s="34"/>
      <c r="J172" s="34"/>
      <c r="K172" s="34"/>
      <c r="L172" s="34"/>
      <c r="M172" s="34"/>
      <c r="N172" s="2"/>
    </row>
    <row r="173" spans="1:14" ht="18" customHeight="1">
      <c r="A173" s="39"/>
      <c r="B173" s="54"/>
      <c r="C173" s="39"/>
      <c r="D173" s="1"/>
      <c r="E173" s="2"/>
      <c r="F173" s="2"/>
      <c r="G173" s="34"/>
      <c r="H173" s="34"/>
      <c r="I173" s="34"/>
      <c r="J173" s="34"/>
      <c r="K173" s="34"/>
      <c r="L173" s="34"/>
      <c r="M173" s="34"/>
      <c r="N173" s="2"/>
    </row>
    <row r="174" spans="1:14" ht="18" customHeight="1">
      <c r="A174" s="39"/>
      <c r="B174" s="54"/>
      <c r="C174" s="39"/>
      <c r="D174" s="1"/>
      <c r="E174" s="2"/>
      <c r="F174" s="2"/>
      <c r="G174" s="34"/>
      <c r="H174" s="34"/>
      <c r="I174" s="34"/>
      <c r="J174" s="34"/>
      <c r="K174" s="34"/>
      <c r="L174" s="34"/>
      <c r="M174" s="34"/>
      <c r="N174" s="2"/>
    </row>
    <row r="175" spans="1:14" ht="18" customHeight="1">
      <c r="A175" s="39"/>
      <c r="B175" s="54"/>
      <c r="C175" s="39"/>
      <c r="D175" s="1"/>
      <c r="E175" s="2"/>
      <c r="F175" s="2"/>
      <c r="G175" s="34"/>
      <c r="H175" s="34"/>
      <c r="I175" s="34"/>
      <c r="J175" s="34"/>
      <c r="K175" s="34"/>
      <c r="L175" s="34"/>
      <c r="M175" s="34"/>
      <c r="N175" s="2"/>
    </row>
    <row r="176" spans="1:14" ht="18" customHeight="1">
      <c r="A176" s="39"/>
      <c r="B176" s="54"/>
      <c r="C176" s="39"/>
      <c r="D176" s="1"/>
      <c r="E176" s="2"/>
      <c r="F176" s="2"/>
      <c r="G176" s="34"/>
      <c r="H176" s="34"/>
      <c r="I176" s="34"/>
      <c r="J176" s="34"/>
      <c r="K176" s="34"/>
      <c r="L176" s="34"/>
      <c r="M176" s="34"/>
      <c r="N176" s="2"/>
    </row>
    <row r="177" spans="1:14" ht="18" customHeight="1">
      <c r="A177" s="39"/>
      <c r="B177" s="54"/>
      <c r="C177" s="39"/>
      <c r="D177" s="1"/>
      <c r="E177" s="2"/>
      <c r="F177" s="2"/>
      <c r="G177" s="34"/>
      <c r="H177" s="34"/>
      <c r="I177" s="34"/>
      <c r="J177" s="34"/>
      <c r="K177" s="34"/>
      <c r="L177" s="34"/>
      <c r="M177" s="34"/>
      <c r="N177" s="2"/>
    </row>
    <row r="178" spans="1:14" ht="18" customHeight="1">
      <c r="A178" s="39"/>
      <c r="B178" s="54"/>
      <c r="C178" s="39"/>
      <c r="D178" s="1"/>
      <c r="E178" s="2"/>
      <c r="F178" s="2"/>
      <c r="G178" s="34"/>
      <c r="H178" s="34"/>
      <c r="I178" s="34"/>
      <c r="J178" s="34"/>
      <c r="K178" s="34"/>
      <c r="L178" s="34"/>
      <c r="M178" s="34"/>
      <c r="N178" s="2"/>
    </row>
    <row r="179" spans="1:14" ht="18" customHeight="1">
      <c r="A179" s="39"/>
      <c r="B179" s="54"/>
      <c r="C179" s="39"/>
      <c r="D179" s="1"/>
      <c r="E179" s="2"/>
      <c r="F179" s="2"/>
      <c r="G179" s="34"/>
      <c r="H179" s="34"/>
      <c r="I179" s="34"/>
      <c r="J179" s="34"/>
      <c r="K179" s="34"/>
      <c r="L179" s="34"/>
      <c r="M179" s="34"/>
      <c r="N179" s="2"/>
    </row>
    <row r="180" spans="1:14" ht="18" customHeight="1">
      <c r="A180" s="39"/>
      <c r="B180" s="54"/>
      <c r="C180" s="39"/>
      <c r="D180" s="1"/>
      <c r="E180" s="2"/>
      <c r="F180" s="2"/>
      <c r="G180" s="34"/>
      <c r="H180" s="34"/>
      <c r="I180" s="34"/>
      <c r="J180" s="34"/>
      <c r="K180" s="34"/>
      <c r="L180" s="34"/>
      <c r="M180" s="34"/>
      <c r="N180" s="2"/>
    </row>
    <row r="181" spans="1:14" ht="18" customHeight="1">
      <c r="A181" s="39"/>
      <c r="B181" s="54"/>
      <c r="C181" s="39"/>
      <c r="D181" s="1"/>
      <c r="E181" s="2"/>
      <c r="F181" s="2"/>
      <c r="G181" s="34"/>
      <c r="H181" s="34"/>
      <c r="I181" s="34"/>
      <c r="J181" s="34"/>
      <c r="K181" s="34"/>
      <c r="L181" s="34"/>
      <c r="M181" s="34"/>
      <c r="N181" s="2"/>
    </row>
    <row r="182" spans="1:14" ht="18" customHeight="1">
      <c r="A182" s="39"/>
      <c r="B182" s="54"/>
      <c r="C182" s="39"/>
      <c r="D182" s="1"/>
      <c r="E182" s="2"/>
      <c r="F182" s="2"/>
      <c r="G182" s="34"/>
      <c r="H182" s="34"/>
      <c r="I182" s="34"/>
      <c r="J182" s="34"/>
      <c r="K182" s="34"/>
      <c r="L182" s="34"/>
      <c r="M182" s="34"/>
      <c r="N182" s="2"/>
    </row>
    <row r="183" spans="1:14" ht="18" customHeight="1">
      <c r="A183" s="39"/>
      <c r="B183" s="54"/>
      <c r="C183" s="39"/>
      <c r="D183" s="1"/>
      <c r="E183" s="2"/>
      <c r="F183" s="2"/>
      <c r="G183" s="34"/>
      <c r="H183" s="34"/>
      <c r="I183" s="34"/>
      <c r="J183" s="34"/>
      <c r="K183" s="34"/>
      <c r="L183" s="34"/>
      <c r="M183" s="34"/>
      <c r="N183" s="2"/>
    </row>
    <row r="184" spans="1:14" ht="18" customHeight="1">
      <c r="A184" s="39"/>
      <c r="B184" s="54"/>
      <c r="C184" s="39"/>
      <c r="D184" s="1"/>
      <c r="E184" s="2"/>
      <c r="F184" s="2"/>
      <c r="G184" s="34"/>
      <c r="H184" s="34"/>
      <c r="I184" s="34"/>
      <c r="J184" s="34"/>
      <c r="K184" s="34"/>
      <c r="L184" s="34"/>
      <c r="M184" s="34"/>
      <c r="N184" s="2"/>
    </row>
    <row r="185" spans="1:14" ht="18" customHeight="1">
      <c r="A185" s="39"/>
      <c r="B185" s="54"/>
      <c r="C185" s="39"/>
      <c r="D185" s="1"/>
      <c r="E185" s="2"/>
      <c r="F185" s="2"/>
      <c r="G185" s="34"/>
      <c r="H185" s="34"/>
      <c r="I185" s="34"/>
      <c r="J185" s="34"/>
      <c r="K185" s="34"/>
      <c r="L185" s="34"/>
      <c r="M185" s="34"/>
      <c r="N185" s="2"/>
    </row>
    <row r="186" spans="1:14" ht="18" customHeight="1">
      <c r="A186" s="39"/>
      <c r="B186" s="54"/>
      <c r="C186" s="39"/>
      <c r="D186" s="1"/>
      <c r="E186" s="2"/>
      <c r="F186" s="2"/>
      <c r="G186" s="34"/>
      <c r="H186" s="34"/>
      <c r="I186" s="34"/>
      <c r="J186" s="34"/>
      <c r="K186" s="34"/>
      <c r="L186" s="34"/>
      <c r="M186" s="34"/>
      <c r="N186" s="2"/>
    </row>
    <row r="187" spans="1:14" ht="18" customHeight="1">
      <c r="A187" s="39"/>
      <c r="B187" s="54"/>
      <c r="C187" s="39"/>
      <c r="D187" s="1"/>
      <c r="E187" s="2"/>
      <c r="F187" s="2"/>
      <c r="G187" s="34"/>
      <c r="H187" s="34"/>
      <c r="I187" s="34"/>
      <c r="J187" s="34"/>
      <c r="K187" s="34"/>
      <c r="L187" s="34"/>
      <c r="M187" s="34"/>
      <c r="N187" s="2"/>
    </row>
    <row r="188" spans="1:14" ht="18" customHeight="1">
      <c r="A188" s="39"/>
      <c r="B188" s="54"/>
      <c r="C188" s="39"/>
      <c r="D188" s="1"/>
      <c r="E188" s="2"/>
      <c r="F188" s="2"/>
      <c r="G188" s="34"/>
      <c r="H188" s="34"/>
      <c r="I188" s="34"/>
      <c r="J188" s="34"/>
      <c r="K188" s="34"/>
      <c r="L188" s="34"/>
      <c r="M188" s="34"/>
      <c r="N188" s="2"/>
    </row>
    <row r="189" spans="1:14" ht="18" customHeight="1">
      <c r="A189" s="39"/>
      <c r="B189" s="54"/>
      <c r="C189" s="39"/>
      <c r="D189" s="1"/>
      <c r="E189" s="2"/>
      <c r="F189" s="2"/>
      <c r="G189" s="34"/>
      <c r="H189" s="34"/>
      <c r="I189" s="34"/>
      <c r="J189" s="34"/>
      <c r="K189" s="34"/>
      <c r="L189" s="34"/>
      <c r="M189" s="34"/>
      <c r="N189" s="2"/>
    </row>
    <row r="190" spans="1:14" ht="18" customHeight="1">
      <c r="A190" s="39"/>
      <c r="B190" s="54"/>
      <c r="C190" s="39"/>
      <c r="D190" s="1"/>
      <c r="E190" s="2"/>
      <c r="F190" s="2"/>
      <c r="G190" s="34"/>
      <c r="H190" s="34"/>
      <c r="I190" s="34"/>
      <c r="J190" s="34"/>
      <c r="K190" s="34"/>
      <c r="L190" s="34"/>
      <c r="M190" s="34"/>
      <c r="N190" s="2"/>
    </row>
    <row r="191" spans="1:14" ht="18" customHeight="1">
      <c r="A191" s="39"/>
      <c r="B191" s="54"/>
      <c r="C191" s="39"/>
      <c r="D191" s="1"/>
      <c r="E191" s="2"/>
      <c r="F191" s="2"/>
      <c r="G191" s="34"/>
      <c r="H191" s="34"/>
      <c r="I191" s="34"/>
      <c r="J191" s="34"/>
      <c r="K191" s="34"/>
      <c r="L191" s="34"/>
      <c r="M191" s="34"/>
      <c r="N191" s="2"/>
    </row>
    <row r="192" spans="1:14" ht="18" customHeight="1">
      <c r="A192" s="39"/>
      <c r="B192" s="54"/>
      <c r="C192" s="39"/>
      <c r="D192" s="1"/>
      <c r="E192" s="2"/>
      <c r="F192" s="2"/>
      <c r="G192" s="34"/>
      <c r="H192" s="34"/>
      <c r="I192" s="34"/>
      <c r="J192" s="34"/>
      <c r="K192" s="34"/>
      <c r="L192" s="34"/>
      <c r="M192" s="34"/>
      <c r="N192" s="2"/>
    </row>
    <row r="193" spans="1:14" ht="18" customHeight="1">
      <c r="A193" s="39"/>
      <c r="B193" s="54"/>
      <c r="C193" s="39"/>
      <c r="D193" s="1"/>
      <c r="E193" s="2"/>
      <c r="F193" s="2"/>
      <c r="G193" s="34"/>
      <c r="H193" s="34"/>
      <c r="I193" s="34"/>
      <c r="J193" s="34"/>
      <c r="K193" s="34"/>
      <c r="L193" s="34"/>
      <c r="M193" s="34"/>
      <c r="N193" s="2"/>
    </row>
    <row r="194" spans="1:14" ht="18" customHeight="1">
      <c r="A194" s="39"/>
      <c r="B194" s="54"/>
      <c r="C194" s="39"/>
      <c r="D194" s="1"/>
      <c r="E194" s="2"/>
      <c r="F194" s="2"/>
      <c r="G194" s="34"/>
      <c r="H194" s="34"/>
      <c r="I194" s="34"/>
      <c r="J194" s="34"/>
      <c r="K194" s="34"/>
      <c r="L194" s="34"/>
      <c r="M194" s="34"/>
      <c r="N194" s="2"/>
    </row>
    <row r="195" spans="1:14" ht="18" customHeight="1">
      <c r="A195" s="39"/>
      <c r="B195" s="54"/>
      <c r="C195" s="39"/>
      <c r="D195" s="1"/>
      <c r="E195" s="2"/>
      <c r="F195" s="2"/>
      <c r="G195" s="34"/>
      <c r="H195" s="34"/>
      <c r="I195" s="34"/>
      <c r="J195" s="34"/>
      <c r="K195" s="34"/>
      <c r="L195" s="34"/>
      <c r="M195" s="34"/>
      <c r="N195" s="2"/>
    </row>
    <row r="196" spans="1:14" ht="18" customHeight="1">
      <c r="A196" s="39"/>
      <c r="B196" s="54"/>
      <c r="C196" s="39"/>
      <c r="D196" s="1"/>
      <c r="E196" s="2"/>
      <c r="F196" s="2"/>
      <c r="G196" s="34"/>
      <c r="H196" s="34"/>
      <c r="I196" s="34"/>
      <c r="J196" s="34"/>
      <c r="K196" s="34"/>
      <c r="L196" s="34"/>
      <c r="M196" s="34"/>
      <c r="N196" s="2"/>
    </row>
    <row r="197" spans="1:14" ht="18" customHeight="1">
      <c r="A197" s="39"/>
      <c r="B197" s="54"/>
      <c r="C197" s="39"/>
      <c r="D197" s="1"/>
      <c r="E197" s="2"/>
      <c r="F197" s="2"/>
      <c r="G197" s="34"/>
      <c r="H197" s="34"/>
      <c r="I197" s="34"/>
      <c r="J197" s="34"/>
      <c r="K197" s="34"/>
      <c r="L197" s="34"/>
      <c r="M197" s="34"/>
      <c r="N197" s="2"/>
    </row>
    <row r="198" spans="1:14" ht="18" customHeight="1">
      <c r="A198" s="39"/>
      <c r="B198" s="54"/>
      <c r="C198" s="39"/>
      <c r="D198" s="1"/>
      <c r="E198" s="2"/>
      <c r="F198" s="2"/>
      <c r="G198" s="34"/>
      <c r="H198" s="34"/>
      <c r="I198" s="34"/>
      <c r="J198" s="34"/>
      <c r="K198" s="34"/>
      <c r="L198" s="34"/>
      <c r="M198" s="34"/>
      <c r="N198" s="2"/>
    </row>
    <row r="199" spans="1:14" ht="18" customHeight="1">
      <c r="A199" s="39"/>
      <c r="B199" s="54"/>
      <c r="C199" s="39"/>
      <c r="D199" s="1"/>
      <c r="E199" s="2"/>
      <c r="F199" s="2"/>
      <c r="G199" s="34"/>
      <c r="H199" s="34"/>
      <c r="I199" s="34"/>
      <c r="J199" s="34"/>
      <c r="K199" s="34"/>
      <c r="L199" s="34"/>
      <c r="M199" s="34"/>
      <c r="N199" s="2"/>
    </row>
    <row r="200" spans="1:14" ht="18" customHeight="1">
      <c r="A200" s="39"/>
      <c r="B200" s="54"/>
      <c r="C200" s="39"/>
      <c r="D200" s="1"/>
      <c r="E200" s="2"/>
      <c r="F200" s="2"/>
      <c r="G200" s="34"/>
      <c r="H200" s="34"/>
      <c r="I200" s="34"/>
      <c r="J200" s="34"/>
      <c r="K200" s="34"/>
      <c r="L200" s="34"/>
      <c r="M200" s="34"/>
      <c r="N200" s="2"/>
    </row>
    <row r="201" spans="1:14" ht="18" customHeight="1">
      <c r="A201" s="39"/>
      <c r="B201" s="54"/>
      <c r="C201" s="39"/>
      <c r="D201" s="1"/>
      <c r="E201" s="2"/>
      <c r="F201" s="2"/>
      <c r="G201" s="34"/>
      <c r="H201" s="34"/>
      <c r="I201" s="34"/>
      <c r="J201" s="34"/>
      <c r="K201" s="34"/>
      <c r="L201" s="34"/>
      <c r="M201" s="34"/>
      <c r="N201" s="2"/>
    </row>
    <row r="202" spans="1:14" ht="18" customHeight="1">
      <c r="A202" s="39"/>
      <c r="B202" s="54"/>
      <c r="C202" s="39"/>
      <c r="D202" s="1"/>
      <c r="E202" s="2"/>
      <c r="F202" s="2"/>
      <c r="G202" s="34"/>
      <c r="H202" s="34"/>
      <c r="I202" s="34"/>
      <c r="J202" s="34"/>
      <c r="K202" s="34"/>
      <c r="L202" s="34"/>
      <c r="M202" s="34"/>
      <c r="N202" s="2"/>
    </row>
    <row r="203" spans="1:14" ht="18" customHeight="1">
      <c r="A203" s="39"/>
      <c r="B203" s="54"/>
      <c r="C203" s="39"/>
      <c r="D203" s="1"/>
      <c r="E203" s="2"/>
      <c r="F203" s="2"/>
      <c r="G203" s="34"/>
      <c r="H203" s="34"/>
      <c r="I203" s="34"/>
      <c r="J203" s="34"/>
      <c r="K203" s="34"/>
      <c r="L203" s="34"/>
      <c r="M203" s="34"/>
      <c r="N203" s="2"/>
    </row>
    <row r="204" spans="1:14" ht="18" customHeight="1">
      <c r="A204" s="39"/>
      <c r="B204" s="54"/>
      <c r="C204" s="39"/>
      <c r="D204" s="1"/>
      <c r="E204" s="2"/>
      <c r="F204" s="2"/>
      <c r="G204" s="34"/>
      <c r="H204" s="34"/>
      <c r="I204" s="34"/>
      <c r="J204" s="34"/>
      <c r="K204" s="34"/>
      <c r="L204" s="34"/>
      <c r="M204" s="34"/>
      <c r="N204" s="2"/>
    </row>
    <row r="205" spans="1:14" ht="18" customHeight="1">
      <c r="A205" s="39"/>
      <c r="B205" s="54"/>
      <c r="C205" s="39"/>
      <c r="D205" s="1"/>
      <c r="E205" s="2"/>
      <c r="F205" s="2"/>
      <c r="G205" s="34"/>
      <c r="H205" s="34"/>
      <c r="I205" s="34"/>
      <c r="J205" s="34"/>
      <c r="K205" s="34"/>
      <c r="L205" s="34"/>
      <c r="M205" s="34"/>
      <c r="N205" s="2"/>
    </row>
    <row r="206" spans="1:14" ht="18" customHeight="1">
      <c r="A206" s="39"/>
      <c r="B206" s="54"/>
      <c r="C206" s="39"/>
      <c r="D206" s="1"/>
      <c r="E206" s="2"/>
      <c r="F206" s="2"/>
      <c r="G206" s="34"/>
      <c r="H206" s="34"/>
      <c r="I206" s="34"/>
      <c r="J206" s="34"/>
      <c r="K206" s="34"/>
      <c r="L206" s="34"/>
      <c r="M206" s="34"/>
      <c r="N206" s="2"/>
    </row>
    <row r="207" spans="1:14" ht="18" customHeight="1">
      <c r="A207" s="39"/>
      <c r="B207" s="54"/>
      <c r="C207" s="39"/>
      <c r="D207" s="1"/>
      <c r="E207" s="2"/>
      <c r="F207" s="2"/>
      <c r="G207" s="34"/>
      <c r="H207" s="34"/>
      <c r="I207" s="34"/>
      <c r="J207" s="34"/>
      <c r="K207" s="34"/>
      <c r="L207" s="34"/>
      <c r="M207" s="34"/>
      <c r="N207" s="2"/>
    </row>
    <row r="208" spans="1:14" ht="18" customHeight="1">
      <c r="A208" s="39"/>
      <c r="B208" s="54"/>
      <c r="C208" s="39"/>
      <c r="D208" s="1"/>
      <c r="E208" s="2"/>
      <c r="F208" s="2"/>
      <c r="G208" s="34"/>
      <c r="H208" s="34"/>
      <c r="I208" s="34"/>
      <c r="J208" s="34"/>
      <c r="K208" s="34"/>
      <c r="L208" s="34"/>
      <c r="M208" s="34"/>
      <c r="N208" s="2"/>
    </row>
    <row r="209" spans="1:14" ht="18" customHeight="1">
      <c r="A209" s="39"/>
      <c r="B209" s="54"/>
      <c r="C209" s="39"/>
      <c r="D209" s="1"/>
      <c r="E209" s="2"/>
      <c r="F209" s="2"/>
      <c r="G209" s="34"/>
      <c r="H209" s="34"/>
      <c r="I209" s="34"/>
      <c r="J209" s="34"/>
      <c r="K209" s="34"/>
      <c r="L209" s="34"/>
      <c r="M209" s="34"/>
      <c r="N209" s="2"/>
    </row>
    <row r="210" spans="1:14" ht="18" customHeight="1">
      <c r="A210" s="39"/>
      <c r="B210" s="54"/>
      <c r="C210" s="39"/>
      <c r="D210" s="1"/>
      <c r="E210" s="2"/>
      <c r="F210" s="2"/>
      <c r="G210" s="34"/>
      <c r="H210" s="34"/>
      <c r="I210" s="34"/>
      <c r="J210" s="34"/>
      <c r="K210" s="34"/>
      <c r="L210" s="34"/>
      <c r="M210" s="34"/>
      <c r="N210" s="2"/>
    </row>
    <row r="211" spans="1:14" ht="18" customHeight="1">
      <c r="A211" s="39"/>
      <c r="B211" s="54"/>
      <c r="C211" s="39"/>
      <c r="D211" s="1"/>
      <c r="E211" s="2"/>
      <c r="F211" s="2"/>
      <c r="G211" s="34"/>
      <c r="H211" s="34"/>
      <c r="I211" s="34"/>
      <c r="J211" s="34"/>
      <c r="K211" s="34"/>
      <c r="L211" s="34"/>
      <c r="M211" s="34"/>
      <c r="N211" s="2"/>
    </row>
    <row r="212" spans="1:14" ht="18" customHeight="1">
      <c r="A212" s="39"/>
      <c r="B212" s="54"/>
      <c r="C212" s="33"/>
      <c r="D212" s="1"/>
      <c r="E212" s="2"/>
      <c r="F212" s="2"/>
      <c r="G212" s="34"/>
      <c r="H212" s="34"/>
      <c r="I212" s="34"/>
      <c r="J212" s="34"/>
      <c r="K212" s="34"/>
      <c r="L212" s="34"/>
      <c r="M212" s="34"/>
      <c r="N212" s="2"/>
    </row>
  </sheetData>
  <mergeCells count="1">
    <mergeCell ref="A2:B2"/>
  </mergeCells>
  <phoneticPr fontId="2" type="noConversion"/>
  <pageMargins left="0.31496062992125984" right="0.31496062992125984" top="1" bottom="0.59055118110236215" header="0.5" footer="0.5"/>
  <pageSetup paperSize="9" scale="88" orientation="landscape" r:id="rId1"/>
  <headerFooter alignWithMargins="0">
    <oddHeader>&amp;RPage : &amp;P/&amp;N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N304"/>
  <sheetViews>
    <sheetView workbookViewId="0">
      <pane ySplit="3" topLeftCell="A289" activePane="bottomLeft" state="frozen"/>
      <selection activeCell="N21" sqref="N21"/>
      <selection pane="bottomLeft" activeCell="N21" sqref="N21"/>
    </sheetView>
  </sheetViews>
  <sheetFormatPr defaultRowHeight="12.75" customHeight="1"/>
  <cols>
    <col min="1" max="1" width="8.83203125" style="17" customWidth="1"/>
    <col min="2" max="3" width="35.83203125" style="17" customWidth="1"/>
    <col min="4" max="4" width="10.83203125" style="17" customWidth="1"/>
    <col min="5" max="5" width="8.83203125" style="61" customWidth="1"/>
    <col min="6" max="6" width="12.83203125" style="17" customWidth="1"/>
    <col min="7" max="7" width="14.83203125" style="17" customWidth="1"/>
    <col min="8" max="8" width="12.83203125" style="17" customWidth="1"/>
    <col min="9" max="9" width="14.83203125" style="17" customWidth="1"/>
    <col min="10" max="10" width="12.83203125" style="17" customWidth="1"/>
    <col min="11" max="11" width="14.83203125" style="17" customWidth="1"/>
    <col min="12" max="12" width="12.83203125" style="17" customWidth="1"/>
    <col min="13" max="13" width="14.83203125" style="17" customWidth="1"/>
    <col min="14" max="14" width="15.83203125" style="17" customWidth="1"/>
    <col min="15" max="16384" width="9.33203125" style="17"/>
  </cols>
  <sheetData>
    <row r="1" spans="1:14" ht="15" customHeight="1">
      <c r="A1" s="74" t="s">
        <v>291</v>
      </c>
    </row>
    <row r="2" spans="1:14" ht="15" customHeight="1">
      <c r="A2" s="347" t="s">
        <v>23</v>
      </c>
      <c r="B2" s="348"/>
      <c r="C2" s="349" t="s">
        <v>46</v>
      </c>
      <c r="D2" s="349" t="s">
        <v>45</v>
      </c>
      <c r="E2" s="349" t="s">
        <v>44</v>
      </c>
      <c r="F2" s="349" t="s">
        <v>19</v>
      </c>
      <c r="G2" s="349" t="s">
        <v>0</v>
      </c>
      <c r="H2" s="349" t="s">
        <v>18</v>
      </c>
      <c r="I2" s="349" t="s">
        <v>0</v>
      </c>
      <c r="J2" s="349" t="s">
        <v>17</v>
      </c>
      <c r="K2" s="349" t="s">
        <v>0</v>
      </c>
      <c r="L2" s="349" t="s">
        <v>16</v>
      </c>
      <c r="M2" s="349" t="s">
        <v>0</v>
      </c>
      <c r="N2" s="350" t="s">
        <v>15</v>
      </c>
    </row>
    <row r="3" spans="1:14" ht="15" customHeight="1">
      <c r="A3" s="347"/>
      <c r="B3" s="348"/>
      <c r="C3" s="349" t="s">
        <v>0</v>
      </c>
      <c r="D3" s="349" t="s">
        <v>0</v>
      </c>
      <c r="E3" s="349" t="s">
        <v>0</v>
      </c>
      <c r="F3" s="56" t="s">
        <v>43</v>
      </c>
      <c r="G3" s="56" t="s">
        <v>42</v>
      </c>
      <c r="H3" s="56" t="s">
        <v>43</v>
      </c>
      <c r="I3" s="56" t="s">
        <v>42</v>
      </c>
      <c r="J3" s="56" t="s">
        <v>43</v>
      </c>
      <c r="K3" s="56" t="s">
        <v>42</v>
      </c>
      <c r="L3" s="56" t="s">
        <v>43</v>
      </c>
      <c r="M3" s="56" t="s">
        <v>42</v>
      </c>
      <c r="N3" s="350" t="s">
        <v>0</v>
      </c>
    </row>
    <row r="4" spans="1:14" ht="15" customHeight="1">
      <c r="A4" s="57"/>
      <c r="B4" s="55"/>
      <c r="C4" s="7"/>
      <c r="D4" s="7"/>
      <c r="E4" s="56"/>
      <c r="F4" s="20"/>
      <c r="G4" s="21"/>
      <c r="H4" s="20"/>
      <c r="I4" s="21"/>
      <c r="J4" s="20"/>
      <c r="K4" s="21"/>
      <c r="L4" s="20"/>
      <c r="M4" s="21"/>
      <c r="N4" s="18"/>
    </row>
    <row r="5" spans="1:14" ht="15" customHeight="1">
      <c r="A5" s="64">
        <v>1</v>
      </c>
      <c r="B5" s="65" t="s">
        <v>408</v>
      </c>
      <c r="C5" s="66" t="s">
        <v>215</v>
      </c>
      <c r="D5" s="66">
        <v>1</v>
      </c>
      <c r="E5" s="67" t="s">
        <v>4</v>
      </c>
      <c r="F5" s="70"/>
      <c r="G5" s="68" t="e">
        <f>I5+K5+M5</f>
        <v>#REF!</v>
      </c>
      <c r="H5" s="70"/>
      <c r="I5" s="68" t="e">
        <f>TRUNC(I10,0)</f>
        <v>#REF!</v>
      </c>
      <c r="J5" s="70"/>
      <c r="K5" s="68" t="e">
        <f>TRUNC(K10,0)</f>
        <v>#REF!</v>
      </c>
      <c r="L5" s="70"/>
      <c r="M5" s="68" t="e">
        <f>TRUNC(M10,0)</f>
        <v>#REF!</v>
      </c>
      <c r="N5" s="69" t="s">
        <v>410</v>
      </c>
    </row>
    <row r="6" spans="1:14" ht="15" customHeight="1">
      <c r="A6" s="58"/>
      <c r="B6" s="55" t="s">
        <v>261</v>
      </c>
      <c r="C6" s="7" t="s">
        <v>32</v>
      </c>
      <c r="D6" s="19">
        <v>3</v>
      </c>
      <c r="E6" s="56" t="s">
        <v>24</v>
      </c>
      <c r="F6" s="20">
        <f>H6+J6+L6</f>
        <v>262580</v>
      </c>
      <c r="G6" s="21">
        <f>I6+K6+M6</f>
        <v>787740</v>
      </c>
      <c r="H6" s="20">
        <v>0</v>
      </c>
      <c r="I6" s="21"/>
      <c r="J6" s="20">
        <f>노임!$D$10</f>
        <v>262580</v>
      </c>
      <c r="K6" s="21">
        <f>TRUNC(J6*D6,1)</f>
        <v>787740</v>
      </c>
      <c r="L6" s="20">
        <v>0</v>
      </c>
      <c r="M6" s="21"/>
      <c r="N6" s="18" t="s">
        <v>0</v>
      </c>
    </row>
    <row r="7" spans="1:14" ht="15" customHeight="1">
      <c r="A7" s="58"/>
      <c r="B7" s="55" t="s">
        <v>262</v>
      </c>
      <c r="C7" s="7" t="s">
        <v>0</v>
      </c>
      <c r="D7" s="19">
        <v>1</v>
      </c>
      <c r="E7" s="56" t="s">
        <v>24</v>
      </c>
      <c r="F7" s="20">
        <f>H7+J7+L7</f>
        <v>172068</v>
      </c>
      <c r="G7" s="21">
        <f>I7+K7+M7</f>
        <v>172068</v>
      </c>
      <c r="H7" s="20">
        <v>0</v>
      </c>
      <c r="I7" s="21"/>
      <c r="J7" s="20">
        <f>노임!$D$3</f>
        <v>172068</v>
      </c>
      <c r="K7" s="21">
        <f>TRUNC(J7*D7,1)</f>
        <v>172068</v>
      </c>
      <c r="L7" s="20">
        <v>0</v>
      </c>
      <c r="M7" s="21"/>
      <c r="N7" s="18" t="s">
        <v>0</v>
      </c>
    </row>
    <row r="8" spans="1:14" ht="15" customHeight="1">
      <c r="A8" s="58"/>
      <c r="B8" s="55" t="s">
        <v>263</v>
      </c>
      <c r="C8" s="7" t="s">
        <v>172</v>
      </c>
      <c r="D8" s="19"/>
      <c r="E8" s="56" t="s">
        <v>7</v>
      </c>
      <c r="F8" s="20" t="e">
        <f>H8+J8+L8</f>
        <v>#REF!</v>
      </c>
      <c r="G8" s="21" t="e">
        <f>I8+K8+M8</f>
        <v>#REF!</v>
      </c>
      <c r="H8" s="20" t="e">
        <f>#REF!</f>
        <v>#REF!</v>
      </c>
      <c r="I8" s="21" t="e">
        <f>TRUNC(H8*D8,1)</f>
        <v>#REF!</v>
      </c>
      <c r="J8" s="20" t="e">
        <f>#REF!</f>
        <v>#REF!</v>
      </c>
      <c r="K8" s="21" t="e">
        <f>TRUNC(J8*D8,1)</f>
        <v>#REF!</v>
      </c>
      <c r="L8" s="20" t="e">
        <f>#REF!</f>
        <v>#REF!</v>
      </c>
      <c r="M8" s="21" t="e">
        <f>TRUNC(L8*D8,1)</f>
        <v>#REF!</v>
      </c>
      <c r="N8" s="18"/>
    </row>
    <row r="9" spans="1:14" ht="15" customHeight="1">
      <c r="A9" s="58"/>
      <c r="B9" s="14" t="s">
        <v>409</v>
      </c>
      <c r="C9" s="97" t="s">
        <v>219</v>
      </c>
      <c r="D9" s="3">
        <v>4</v>
      </c>
      <c r="E9" s="2" t="s">
        <v>28</v>
      </c>
      <c r="F9" s="4"/>
      <c r="G9" s="8"/>
      <c r="H9" s="4"/>
      <c r="I9" s="8"/>
      <c r="J9" s="4"/>
      <c r="K9" s="8"/>
      <c r="L9" s="4"/>
      <c r="M9" s="8">
        <f>TRUNC((K6+K7)*D9%,1)</f>
        <v>38392.300000000003</v>
      </c>
      <c r="N9" s="18"/>
    </row>
    <row r="10" spans="1:14" customFormat="1" ht="15" customHeight="1">
      <c r="A10" s="94"/>
      <c r="B10" s="87" t="s">
        <v>376</v>
      </c>
      <c r="C10" s="95">
        <v>13</v>
      </c>
      <c r="D10" s="89">
        <f>ROUND(1/C10,4)</f>
        <v>7.6899999999999996E-2</v>
      </c>
      <c r="E10" s="90" t="s">
        <v>375</v>
      </c>
      <c r="F10" s="91"/>
      <c r="G10" s="92" t="e">
        <f>I10+K10+M10</f>
        <v>#REF!</v>
      </c>
      <c r="H10" s="91"/>
      <c r="I10" s="92" t="e">
        <f>TRUNC(SUM(I6:I9)*$D10,1)</f>
        <v>#REF!</v>
      </c>
      <c r="J10" s="91"/>
      <c r="K10" s="92" t="e">
        <f>TRUNC(SUM(K6:K9)*$D10,1)</f>
        <v>#REF!</v>
      </c>
      <c r="L10" s="91"/>
      <c r="M10" s="92" t="e">
        <f>TRUNC(SUM(M6:M9)*$D10,1)</f>
        <v>#REF!</v>
      </c>
      <c r="N10" s="96"/>
    </row>
    <row r="11" spans="1:14" ht="15" customHeight="1">
      <c r="A11" s="58"/>
      <c r="B11" s="59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22"/>
    </row>
    <row r="12" spans="1:14" ht="15" customHeight="1">
      <c r="A12" s="98">
        <f>A5+1</f>
        <v>2</v>
      </c>
      <c r="B12" s="99" t="s">
        <v>408</v>
      </c>
      <c r="C12" s="100" t="s">
        <v>511</v>
      </c>
      <c r="D12" s="100">
        <v>1</v>
      </c>
      <c r="E12" s="101" t="s">
        <v>4</v>
      </c>
      <c r="F12" s="102"/>
      <c r="G12" s="103" t="e">
        <f>I12+K12+M12</f>
        <v>#REF!</v>
      </c>
      <c r="H12" s="102"/>
      <c r="I12" s="103" t="e">
        <f>SUM(I17:I18)</f>
        <v>#REF!</v>
      </c>
      <c r="J12" s="102"/>
      <c r="K12" s="103" t="e">
        <f>SUM(K17:K18)</f>
        <v>#REF!</v>
      </c>
      <c r="L12" s="102"/>
      <c r="M12" s="103" t="e">
        <f>SUM(M17:M18)</f>
        <v>#REF!</v>
      </c>
      <c r="N12" s="104" t="str">
        <f>N5</f>
        <v>토목6-2-2</v>
      </c>
    </row>
    <row r="13" spans="1:14" ht="15" customHeight="1">
      <c r="A13" s="58"/>
      <c r="B13" s="55" t="s">
        <v>261</v>
      </c>
      <c r="C13" s="7" t="s">
        <v>32</v>
      </c>
      <c r="D13" s="19">
        <v>3</v>
      </c>
      <c r="E13" s="56" t="s">
        <v>24</v>
      </c>
      <c r="F13" s="20">
        <f>H13+J13+L13</f>
        <v>262580</v>
      </c>
      <c r="G13" s="21">
        <f>I13+K13+M13</f>
        <v>787740</v>
      </c>
      <c r="H13" s="20">
        <v>0</v>
      </c>
      <c r="I13" s="21"/>
      <c r="J13" s="20">
        <f>노임!$D$10</f>
        <v>262580</v>
      </c>
      <c r="K13" s="21">
        <f>TRUNC(J13*D13,1)</f>
        <v>787740</v>
      </c>
      <c r="L13" s="20">
        <v>0</v>
      </c>
      <c r="M13" s="21"/>
      <c r="N13" s="18"/>
    </row>
    <row r="14" spans="1:14" ht="15" customHeight="1">
      <c r="A14" s="58"/>
      <c r="B14" s="55" t="s">
        <v>262</v>
      </c>
      <c r="C14" s="7" t="s">
        <v>0</v>
      </c>
      <c r="D14" s="19">
        <v>1</v>
      </c>
      <c r="E14" s="56" t="s">
        <v>24</v>
      </c>
      <c r="F14" s="20">
        <f>H14+J14+L14</f>
        <v>172068</v>
      </c>
      <c r="G14" s="21">
        <f>I14+K14+M14</f>
        <v>172068</v>
      </c>
      <c r="H14" s="20">
        <v>0</v>
      </c>
      <c r="I14" s="21"/>
      <c r="J14" s="20">
        <f>노임!$D$3</f>
        <v>172068</v>
      </c>
      <c r="K14" s="21">
        <f>TRUNC(J14*D14,1)</f>
        <v>172068</v>
      </c>
      <c r="L14" s="20">
        <v>0</v>
      </c>
      <c r="M14" s="21"/>
      <c r="N14" s="18"/>
    </row>
    <row r="15" spans="1:14" ht="15" customHeight="1">
      <c r="A15" s="58"/>
      <c r="B15" s="55" t="s">
        <v>263</v>
      </c>
      <c r="C15" s="7" t="s">
        <v>172</v>
      </c>
      <c r="D15" s="19"/>
      <c r="E15" s="56" t="s">
        <v>7</v>
      </c>
      <c r="F15" s="20" t="e">
        <f>H15+J15+L15</f>
        <v>#REF!</v>
      </c>
      <c r="G15" s="21" t="e">
        <f>I15+K15+M15</f>
        <v>#REF!</v>
      </c>
      <c r="H15" s="20" t="e">
        <f>#REF!</f>
        <v>#REF!</v>
      </c>
      <c r="I15" s="21" t="e">
        <f>TRUNC(H15*D15,1)</f>
        <v>#REF!</v>
      </c>
      <c r="J15" s="20" t="e">
        <f>#REF!</f>
        <v>#REF!</v>
      </c>
      <c r="K15" s="21" t="e">
        <f>TRUNC(J15*D15,1)</f>
        <v>#REF!</v>
      </c>
      <c r="L15" s="20" t="e">
        <f>#REF!</f>
        <v>#REF!</v>
      </c>
      <c r="M15" s="21" t="e">
        <f>TRUNC(L15*D15,1)</f>
        <v>#REF!</v>
      </c>
      <c r="N15" s="18"/>
    </row>
    <row r="16" spans="1:14" ht="15" customHeight="1">
      <c r="A16" s="58"/>
      <c r="B16" s="14" t="s">
        <v>409</v>
      </c>
      <c r="C16" s="97" t="s">
        <v>219</v>
      </c>
      <c r="D16" s="3">
        <v>4</v>
      </c>
      <c r="E16" s="2" t="s">
        <v>28</v>
      </c>
      <c r="F16" s="4"/>
      <c r="G16" s="8"/>
      <c r="H16" s="4"/>
      <c r="I16" s="8"/>
      <c r="J16" s="4"/>
      <c r="K16" s="8"/>
      <c r="L16" s="4"/>
      <c r="M16" s="8">
        <f>TRUNC((K13+K14)*D16%,1)</f>
        <v>38392.300000000003</v>
      </c>
      <c r="N16" s="18"/>
    </row>
    <row r="17" spans="1:14" customFormat="1" ht="15" customHeight="1">
      <c r="A17" s="94"/>
      <c r="B17" s="87" t="s">
        <v>376</v>
      </c>
      <c r="C17" s="95">
        <v>13</v>
      </c>
      <c r="D17" s="89">
        <f>ROUND(1/C17,4)</f>
        <v>7.6899999999999996E-2</v>
      </c>
      <c r="E17" s="90" t="s">
        <v>375</v>
      </c>
      <c r="F17" s="91"/>
      <c r="G17" s="92" t="e">
        <f>I17+K17+M17</f>
        <v>#REF!</v>
      </c>
      <c r="H17" s="91"/>
      <c r="I17" s="92" t="e">
        <f>TRUNC(SUM(I13:I16)*$D17,1)</f>
        <v>#REF!</v>
      </c>
      <c r="J17" s="91"/>
      <c r="K17" s="92" t="e">
        <f>TRUNC(SUM(K13:K16)*$D17,1)</f>
        <v>#REF!</v>
      </c>
      <c r="L17" s="91"/>
      <c r="M17" s="92" t="e">
        <f>TRUNC(SUM(M13:M16)*$D17,1)</f>
        <v>#REF!</v>
      </c>
      <c r="N17" s="96"/>
    </row>
    <row r="18" spans="1:14" customFormat="1" ht="15" customHeight="1">
      <c r="A18" s="94"/>
      <c r="B18" s="87" t="s">
        <v>298</v>
      </c>
      <c r="C18" s="88" t="s">
        <v>220</v>
      </c>
      <c r="D18" s="89">
        <v>30</v>
      </c>
      <c r="E18" s="90" t="s">
        <v>221</v>
      </c>
      <c r="F18" s="91"/>
      <c r="G18" s="92" t="e">
        <f>I18+K18+M18</f>
        <v>#REF!</v>
      </c>
      <c r="H18" s="91"/>
      <c r="I18" s="92" t="e">
        <f>TRUNC(I17*$D18%,1)</f>
        <v>#REF!</v>
      </c>
      <c r="J18" s="91"/>
      <c r="K18" s="92" t="e">
        <f>TRUNC(K17*$D18%,1)</f>
        <v>#REF!</v>
      </c>
      <c r="L18" s="91"/>
      <c r="M18" s="92" t="e">
        <f>TRUNC(M17*$D18%,1)</f>
        <v>#REF!</v>
      </c>
      <c r="N18" s="96"/>
    </row>
    <row r="19" spans="1:14" ht="15" customHeight="1">
      <c r="A19" s="58"/>
      <c r="B19" s="59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22"/>
    </row>
    <row r="20" spans="1:14" ht="15" customHeight="1">
      <c r="A20" s="64">
        <f>A12+1</f>
        <v>3</v>
      </c>
      <c r="B20" s="65" t="s">
        <v>408</v>
      </c>
      <c r="C20" s="66" t="s">
        <v>200</v>
      </c>
      <c r="D20" s="66">
        <v>1</v>
      </c>
      <c r="E20" s="67" t="s">
        <v>4</v>
      </c>
      <c r="F20" s="70"/>
      <c r="G20" s="68" t="e">
        <f>I20+K20+M20</f>
        <v>#REF!</v>
      </c>
      <c r="H20" s="70"/>
      <c r="I20" s="68" t="e">
        <f>TRUNC(I25,0)</f>
        <v>#REF!</v>
      </c>
      <c r="J20" s="70"/>
      <c r="K20" s="68" t="e">
        <f>TRUNC(K25,0)</f>
        <v>#REF!</v>
      </c>
      <c r="L20" s="70"/>
      <c r="M20" s="68" t="e">
        <f>TRUNC(M25,0)</f>
        <v>#REF!</v>
      </c>
      <c r="N20" s="69" t="str">
        <f>N5</f>
        <v>토목6-2-2</v>
      </c>
    </row>
    <row r="21" spans="1:14" ht="15" customHeight="1">
      <c r="A21" s="58"/>
      <c r="B21" s="55" t="s">
        <v>261</v>
      </c>
      <c r="C21" s="7" t="s">
        <v>32</v>
      </c>
      <c r="D21" s="19"/>
      <c r="E21" s="56" t="s">
        <v>24</v>
      </c>
      <c r="F21" s="20">
        <f>H21+J21+L21</f>
        <v>262580</v>
      </c>
      <c r="G21" s="21">
        <f>I21+K21+M21</f>
        <v>0</v>
      </c>
      <c r="H21" s="20">
        <v>0</v>
      </c>
      <c r="I21" s="21"/>
      <c r="J21" s="20">
        <f>노임!$D$10</f>
        <v>262580</v>
      </c>
      <c r="K21" s="21">
        <f>TRUNC(J21*D21,1)</f>
        <v>0</v>
      </c>
      <c r="L21" s="20">
        <v>0</v>
      </c>
      <c r="M21" s="21"/>
      <c r="N21" s="18"/>
    </row>
    <row r="22" spans="1:14" ht="15" customHeight="1">
      <c r="A22" s="58"/>
      <c r="B22" s="55" t="s">
        <v>262</v>
      </c>
      <c r="C22" s="7" t="s">
        <v>0</v>
      </c>
      <c r="D22" s="19"/>
      <c r="E22" s="56" t="s">
        <v>24</v>
      </c>
      <c r="F22" s="20">
        <f>H22+J22+L22</f>
        <v>172068</v>
      </c>
      <c r="G22" s="21">
        <f>I22+K22+M22</f>
        <v>0</v>
      </c>
      <c r="H22" s="20">
        <v>0</v>
      </c>
      <c r="I22" s="21"/>
      <c r="J22" s="20">
        <f>노임!$D$3</f>
        <v>172068</v>
      </c>
      <c r="K22" s="21">
        <f>TRUNC(J22*D22,1)</f>
        <v>0</v>
      </c>
      <c r="L22" s="20">
        <v>0</v>
      </c>
      <c r="M22" s="21"/>
      <c r="N22" s="18"/>
    </row>
    <row r="23" spans="1:14" ht="15" customHeight="1">
      <c r="A23" s="58"/>
      <c r="B23" s="55" t="s">
        <v>263</v>
      </c>
      <c r="C23" s="7" t="s">
        <v>172</v>
      </c>
      <c r="D23" s="19"/>
      <c r="E23" s="56" t="s">
        <v>7</v>
      </c>
      <c r="F23" s="20" t="e">
        <f>H23+J23+L23</f>
        <v>#REF!</v>
      </c>
      <c r="G23" s="21" t="e">
        <f>I23+K23+M23</f>
        <v>#REF!</v>
      </c>
      <c r="H23" s="20" t="e">
        <f>#REF!</f>
        <v>#REF!</v>
      </c>
      <c r="I23" s="21" t="e">
        <f>TRUNC(H23*D23,1)</f>
        <v>#REF!</v>
      </c>
      <c r="J23" s="20" t="e">
        <f>#REF!</f>
        <v>#REF!</v>
      </c>
      <c r="K23" s="21" t="e">
        <f>TRUNC(J23*D23,1)</f>
        <v>#REF!</v>
      </c>
      <c r="L23" s="20" t="e">
        <f>#REF!</f>
        <v>#REF!</v>
      </c>
      <c r="M23" s="21" t="e">
        <f>TRUNC(L23*D23,1)</f>
        <v>#REF!</v>
      </c>
      <c r="N23" s="18"/>
    </row>
    <row r="24" spans="1:14" ht="15" customHeight="1">
      <c r="A24" s="58"/>
      <c r="B24" s="14" t="s">
        <v>409</v>
      </c>
      <c r="C24" s="97" t="s">
        <v>219</v>
      </c>
      <c r="D24" s="3">
        <v>4</v>
      </c>
      <c r="E24" s="2" t="s">
        <v>28</v>
      </c>
      <c r="F24" s="4"/>
      <c r="G24" s="8"/>
      <c r="H24" s="4"/>
      <c r="I24" s="8"/>
      <c r="J24" s="4"/>
      <c r="K24" s="8"/>
      <c r="L24" s="4"/>
      <c r="M24" s="8">
        <f>TRUNC((K21+K22)*D24%,1)</f>
        <v>0</v>
      </c>
      <c r="N24" s="18"/>
    </row>
    <row r="25" spans="1:14" customFormat="1" ht="15" customHeight="1">
      <c r="A25" s="94"/>
      <c r="B25" s="87" t="s">
        <v>376</v>
      </c>
      <c r="C25" s="95">
        <v>17</v>
      </c>
      <c r="D25" s="89">
        <f>ROUND(1/C25,4)</f>
        <v>5.8799999999999998E-2</v>
      </c>
      <c r="E25" s="90" t="s">
        <v>375</v>
      </c>
      <c r="F25" s="91"/>
      <c r="G25" s="92" t="e">
        <f>I25+K25+M25</f>
        <v>#REF!</v>
      </c>
      <c r="H25" s="91"/>
      <c r="I25" s="92" t="e">
        <f>TRUNC(SUM(I21:I24)*$D25,1)</f>
        <v>#REF!</v>
      </c>
      <c r="J25" s="91"/>
      <c r="K25" s="92" t="e">
        <f>TRUNC(SUM(K21:K24)*$D25,1)</f>
        <v>#REF!</v>
      </c>
      <c r="L25" s="91"/>
      <c r="M25" s="92" t="e">
        <f>TRUNC(SUM(M21:M24)*$D25,1)</f>
        <v>#REF!</v>
      </c>
      <c r="N25" s="96"/>
    </row>
    <row r="26" spans="1:14" ht="15" customHeight="1">
      <c r="A26" s="58"/>
      <c r="B26" s="59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22"/>
    </row>
    <row r="27" spans="1:14" ht="15" customHeight="1">
      <c r="A27" s="98">
        <f>A20+1</f>
        <v>4</v>
      </c>
      <c r="B27" s="99" t="s">
        <v>408</v>
      </c>
      <c r="C27" s="100" t="s">
        <v>512</v>
      </c>
      <c r="D27" s="100">
        <v>1</v>
      </c>
      <c r="E27" s="101" t="s">
        <v>4</v>
      </c>
      <c r="F27" s="102"/>
      <c r="G27" s="103" t="e">
        <f>I27+K27+M27</f>
        <v>#REF!</v>
      </c>
      <c r="H27" s="102"/>
      <c r="I27" s="103" t="e">
        <f>SUM(I32:I33)</f>
        <v>#REF!</v>
      </c>
      <c r="J27" s="102"/>
      <c r="K27" s="103" t="e">
        <f>SUM(K32:K33)</f>
        <v>#REF!</v>
      </c>
      <c r="L27" s="102"/>
      <c r="M27" s="103" t="e">
        <f>SUM(M32:M33)</f>
        <v>#REF!</v>
      </c>
      <c r="N27" s="104" t="str">
        <f>N20</f>
        <v>토목6-2-2</v>
      </c>
    </row>
    <row r="28" spans="1:14" ht="15" customHeight="1">
      <c r="A28" s="58"/>
      <c r="B28" s="55" t="s">
        <v>261</v>
      </c>
      <c r="C28" s="7" t="s">
        <v>32</v>
      </c>
      <c r="D28" s="19"/>
      <c r="E28" s="56" t="s">
        <v>24</v>
      </c>
      <c r="F28" s="20">
        <f>H28+J28+L28</f>
        <v>262580</v>
      </c>
      <c r="G28" s="21">
        <f>I28+K28+M28</f>
        <v>0</v>
      </c>
      <c r="H28" s="20">
        <v>0</v>
      </c>
      <c r="I28" s="21"/>
      <c r="J28" s="20">
        <f>노임!$D$10</f>
        <v>262580</v>
      </c>
      <c r="K28" s="21">
        <f>TRUNC(J28*D28,1)</f>
        <v>0</v>
      </c>
      <c r="L28" s="20">
        <v>0</v>
      </c>
      <c r="M28" s="21"/>
      <c r="N28" s="18"/>
    </row>
    <row r="29" spans="1:14" ht="15" customHeight="1">
      <c r="A29" s="58"/>
      <c r="B29" s="55" t="s">
        <v>262</v>
      </c>
      <c r="C29" s="7" t="s">
        <v>0</v>
      </c>
      <c r="D29" s="19"/>
      <c r="E29" s="56" t="s">
        <v>24</v>
      </c>
      <c r="F29" s="20">
        <f>H29+J29+L29</f>
        <v>172068</v>
      </c>
      <c r="G29" s="21">
        <f>I29+K29+M29</f>
        <v>0</v>
      </c>
      <c r="H29" s="20">
        <v>0</v>
      </c>
      <c r="I29" s="21"/>
      <c r="J29" s="20">
        <f>노임!$D$3</f>
        <v>172068</v>
      </c>
      <c r="K29" s="21">
        <f>TRUNC(J29*D29,1)</f>
        <v>0</v>
      </c>
      <c r="L29" s="20">
        <v>0</v>
      </c>
      <c r="M29" s="21"/>
      <c r="N29" s="18"/>
    </row>
    <row r="30" spans="1:14" ht="15" customHeight="1">
      <c r="A30" s="58"/>
      <c r="B30" s="55" t="s">
        <v>263</v>
      </c>
      <c r="C30" s="7" t="s">
        <v>172</v>
      </c>
      <c r="D30" s="19"/>
      <c r="E30" s="56" t="s">
        <v>7</v>
      </c>
      <c r="F30" s="20" t="e">
        <f>H30+J30+L30</f>
        <v>#REF!</v>
      </c>
      <c r="G30" s="21" t="e">
        <f>I30+K30+M30</f>
        <v>#REF!</v>
      </c>
      <c r="H30" s="20" t="e">
        <f>#REF!</f>
        <v>#REF!</v>
      </c>
      <c r="I30" s="21" t="e">
        <f>TRUNC(H30*D30,1)</f>
        <v>#REF!</v>
      </c>
      <c r="J30" s="20" t="e">
        <f>#REF!</f>
        <v>#REF!</v>
      </c>
      <c r="K30" s="21" t="e">
        <f>TRUNC(J30*D30,1)</f>
        <v>#REF!</v>
      </c>
      <c r="L30" s="20" t="e">
        <f>#REF!</f>
        <v>#REF!</v>
      </c>
      <c r="M30" s="21" t="e">
        <f>TRUNC(L30*D30,1)</f>
        <v>#REF!</v>
      </c>
      <c r="N30" s="18"/>
    </row>
    <row r="31" spans="1:14" ht="15" customHeight="1">
      <c r="A31" s="58"/>
      <c r="B31" s="14" t="s">
        <v>409</v>
      </c>
      <c r="C31" s="97" t="s">
        <v>219</v>
      </c>
      <c r="D31" s="3">
        <v>4</v>
      </c>
      <c r="E31" s="2" t="s">
        <v>28</v>
      </c>
      <c r="F31" s="4"/>
      <c r="G31" s="8"/>
      <c r="H31" s="4"/>
      <c r="I31" s="8"/>
      <c r="J31" s="4"/>
      <c r="K31" s="8"/>
      <c r="L31" s="4"/>
      <c r="M31" s="8">
        <f>TRUNC((K28+K29)*D31%,1)</f>
        <v>0</v>
      </c>
      <c r="N31" s="18"/>
    </row>
    <row r="32" spans="1:14" customFormat="1" ht="15" customHeight="1">
      <c r="A32" s="94"/>
      <c r="B32" s="87" t="s">
        <v>376</v>
      </c>
      <c r="C32" s="95">
        <v>17</v>
      </c>
      <c r="D32" s="89">
        <f>ROUND(1/C32,4)</f>
        <v>5.8799999999999998E-2</v>
      </c>
      <c r="E32" s="90" t="s">
        <v>375</v>
      </c>
      <c r="F32" s="91"/>
      <c r="G32" s="92" t="e">
        <f>I32+K32+M32</f>
        <v>#REF!</v>
      </c>
      <c r="H32" s="91"/>
      <c r="I32" s="92" t="e">
        <f>TRUNC(SUM(I28:I31)*$D32,1)</f>
        <v>#REF!</v>
      </c>
      <c r="J32" s="91"/>
      <c r="K32" s="92" t="e">
        <f>TRUNC(SUM(K28:K31)*$D32,1)</f>
        <v>#REF!</v>
      </c>
      <c r="L32" s="91"/>
      <c r="M32" s="92" t="e">
        <f>TRUNC(SUM(M28:M31)*$D32,1)</f>
        <v>#REF!</v>
      </c>
      <c r="N32" s="96"/>
    </row>
    <row r="33" spans="1:14" customFormat="1" ht="15" customHeight="1">
      <c r="A33" s="94"/>
      <c r="B33" s="87" t="s">
        <v>298</v>
      </c>
      <c r="C33" s="88" t="s">
        <v>220</v>
      </c>
      <c r="D33" s="89">
        <v>30</v>
      </c>
      <c r="E33" s="90" t="s">
        <v>221</v>
      </c>
      <c r="F33" s="91"/>
      <c r="G33" s="92" t="e">
        <f>I33+K33+M33</f>
        <v>#REF!</v>
      </c>
      <c r="H33" s="91"/>
      <c r="I33" s="92" t="e">
        <f>TRUNC(I32*$D33%,1)</f>
        <v>#REF!</v>
      </c>
      <c r="J33" s="91"/>
      <c r="K33" s="92" t="e">
        <f>TRUNC(K32*$D33%,1)</f>
        <v>#REF!</v>
      </c>
      <c r="L33" s="91"/>
      <c r="M33" s="92" t="e">
        <f>TRUNC(M32*$D33%,1)</f>
        <v>#REF!</v>
      </c>
      <c r="N33" s="96"/>
    </row>
    <row r="34" spans="1:14" ht="15" customHeight="1">
      <c r="A34" s="58"/>
      <c r="B34" s="59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22"/>
    </row>
    <row r="35" spans="1:14" ht="15" customHeight="1">
      <c r="A35" s="64">
        <f>A27+1</f>
        <v>5</v>
      </c>
      <c r="B35" s="65" t="s">
        <v>408</v>
      </c>
      <c r="C35" s="66" t="s">
        <v>216</v>
      </c>
      <c r="D35" s="66">
        <v>1</v>
      </c>
      <c r="E35" s="67" t="s">
        <v>4</v>
      </c>
      <c r="F35" s="70"/>
      <c r="G35" s="68" t="e">
        <f>I35+K35+M35</f>
        <v>#REF!</v>
      </c>
      <c r="H35" s="70"/>
      <c r="I35" s="68" t="e">
        <f>TRUNC(I40,0)</f>
        <v>#REF!</v>
      </c>
      <c r="J35" s="70"/>
      <c r="K35" s="68" t="e">
        <f>TRUNC(K40,0)</f>
        <v>#REF!</v>
      </c>
      <c r="L35" s="70"/>
      <c r="M35" s="68" t="e">
        <f>TRUNC(M40,0)</f>
        <v>#REF!</v>
      </c>
      <c r="N35" s="69" t="str">
        <f>N5</f>
        <v>토목6-2-2</v>
      </c>
    </row>
    <row r="36" spans="1:14" ht="15" customHeight="1">
      <c r="A36" s="58"/>
      <c r="B36" s="55" t="s">
        <v>261</v>
      </c>
      <c r="C36" s="7" t="s">
        <v>32</v>
      </c>
      <c r="D36" s="19">
        <v>3</v>
      </c>
      <c r="E36" s="56" t="s">
        <v>24</v>
      </c>
      <c r="F36" s="20">
        <f>H36+J36+L36</f>
        <v>262580</v>
      </c>
      <c r="G36" s="21">
        <f>I36+K36+M36</f>
        <v>787740</v>
      </c>
      <c r="H36" s="20">
        <v>0</v>
      </c>
      <c r="I36" s="21"/>
      <c r="J36" s="20">
        <f>노임!D10</f>
        <v>262580</v>
      </c>
      <c r="K36" s="21">
        <f>TRUNC(J36*D36,1)</f>
        <v>787740</v>
      </c>
      <c r="L36" s="20">
        <v>0</v>
      </c>
      <c r="M36" s="21"/>
      <c r="N36" s="18"/>
    </row>
    <row r="37" spans="1:14" ht="15" customHeight="1">
      <c r="A37" s="58"/>
      <c r="B37" s="55" t="s">
        <v>262</v>
      </c>
      <c r="C37" s="7" t="s">
        <v>0</v>
      </c>
      <c r="D37" s="19">
        <v>1</v>
      </c>
      <c r="E37" s="56" t="s">
        <v>24</v>
      </c>
      <c r="F37" s="20">
        <f>H37+J37+L37</f>
        <v>172068</v>
      </c>
      <c r="G37" s="21">
        <f>I37+K37+M37</f>
        <v>172068</v>
      </c>
      <c r="H37" s="20">
        <v>0</v>
      </c>
      <c r="I37" s="21"/>
      <c r="J37" s="20">
        <f>노임!D3</f>
        <v>172068</v>
      </c>
      <c r="K37" s="21">
        <f>TRUNC(J37*D37,1)</f>
        <v>172068</v>
      </c>
      <c r="L37" s="20">
        <v>0</v>
      </c>
      <c r="M37" s="21"/>
      <c r="N37" s="18"/>
    </row>
    <row r="38" spans="1:14" ht="15" customHeight="1">
      <c r="A38" s="58"/>
      <c r="B38" s="55" t="s">
        <v>263</v>
      </c>
      <c r="C38" s="7" t="s">
        <v>172</v>
      </c>
      <c r="D38" s="19"/>
      <c r="E38" s="56" t="s">
        <v>7</v>
      </c>
      <c r="F38" s="20" t="e">
        <f>H38+J38+L38</f>
        <v>#REF!</v>
      </c>
      <c r="G38" s="21" t="e">
        <f>I38+K38+M38</f>
        <v>#REF!</v>
      </c>
      <c r="H38" s="20" t="e">
        <f>#REF!</f>
        <v>#REF!</v>
      </c>
      <c r="I38" s="21" t="e">
        <f>TRUNC(H38*D38,1)</f>
        <v>#REF!</v>
      </c>
      <c r="J38" s="20" t="e">
        <f>#REF!</f>
        <v>#REF!</v>
      </c>
      <c r="K38" s="21" t="e">
        <f>TRUNC(J38*D38,1)</f>
        <v>#REF!</v>
      </c>
      <c r="L38" s="20" t="e">
        <f>#REF!</f>
        <v>#REF!</v>
      </c>
      <c r="M38" s="21" t="e">
        <f>TRUNC(L38*D38,1)</f>
        <v>#REF!</v>
      </c>
      <c r="N38" s="18"/>
    </row>
    <row r="39" spans="1:14" ht="15" customHeight="1">
      <c r="A39" s="58"/>
      <c r="B39" s="14" t="s">
        <v>409</v>
      </c>
      <c r="C39" s="97" t="s">
        <v>219</v>
      </c>
      <c r="D39" s="3">
        <v>4</v>
      </c>
      <c r="E39" s="2" t="s">
        <v>28</v>
      </c>
      <c r="F39" s="4"/>
      <c r="G39" s="8"/>
      <c r="H39" s="4"/>
      <c r="I39" s="8"/>
      <c r="J39" s="4"/>
      <c r="K39" s="8"/>
      <c r="L39" s="4"/>
      <c r="M39" s="8">
        <f>TRUNC((K36+K37)*D39%,1)</f>
        <v>38392.300000000003</v>
      </c>
      <c r="N39" s="18"/>
    </row>
    <row r="40" spans="1:14" customFormat="1" ht="15" customHeight="1">
      <c r="A40" s="94"/>
      <c r="B40" s="87" t="s">
        <v>376</v>
      </c>
      <c r="C40" s="95">
        <v>12</v>
      </c>
      <c r="D40" s="89">
        <f>ROUND(1/C40,4)</f>
        <v>8.3299999999999999E-2</v>
      </c>
      <c r="E40" s="90" t="s">
        <v>375</v>
      </c>
      <c r="F40" s="91"/>
      <c r="G40" s="92" t="e">
        <f>I40+K40+M40</f>
        <v>#REF!</v>
      </c>
      <c r="H40" s="91"/>
      <c r="I40" s="92" t="e">
        <f>TRUNC(SUM(I36:I39)*$D40,1)</f>
        <v>#REF!</v>
      </c>
      <c r="J40" s="91"/>
      <c r="K40" s="92" t="e">
        <f>TRUNC(SUM(K36:K39)*$D40,1)</f>
        <v>#REF!</v>
      </c>
      <c r="L40" s="91"/>
      <c r="M40" s="92" t="e">
        <f>TRUNC(SUM(M36:M39)*$D40,1)</f>
        <v>#REF!</v>
      </c>
      <c r="N40" s="96"/>
    </row>
    <row r="41" spans="1:14" ht="15" customHeight="1">
      <c r="A41" s="58"/>
      <c r="B41" s="59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22"/>
    </row>
    <row r="42" spans="1:14" ht="15" customHeight="1">
      <c r="A42" s="98">
        <f>A35+1</f>
        <v>6</v>
      </c>
      <c r="B42" s="99" t="s">
        <v>408</v>
      </c>
      <c r="C42" s="100" t="s">
        <v>513</v>
      </c>
      <c r="D42" s="100">
        <v>1</v>
      </c>
      <c r="E42" s="101" t="s">
        <v>4</v>
      </c>
      <c r="F42" s="102"/>
      <c r="G42" s="103" t="e">
        <f>I42+K42+M42</f>
        <v>#REF!</v>
      </c>
      <c r="H42" s="102"/>
      <c r="I42" s="103" t="e">
        <f>SUM(I47:I48)</f>
        <v>#REF!</v>
      </c>
      <c r="J42" s="102"/>
      <c r="K42" s="103" t="e">
        <f>SUM(K47:K48)</f>
        <v>#REF!</v>
      </c>
      <c r="L42" s="102"/>
      <c r="M42" s="103" t="e">
        <f>SUM(M47:M48)</f>
        <v>#REF!</v>
      </c>
      <c r="N42" s="104" t="str">
        <f>N35</f>
        <v>토목6-2-2</v>
      </c>
    </row>
    <row r="43" spans="1:14" ht="15" customHeight="1">
      <c r="A43" s="58"/>
      <c r="B43" s="55" t="s">
        <v>261</v>
      </c>
      <c r="C43" s="7" t="s">
        <v>32</v>
      </c>
      <c r="D43" s="19">
        <v>3</v>
      </c>
      <c r="E43" s="56" t="s">
        <v>24</v>
      </c>
      <c r="F43" s="20">
        <f>H43+J43+L43</f>
        <v>262580</v>
      </c>
      <c r="G43" s="21">
        <f>I43+K43+M43</f>
        <v>787740</v>
      </c>
      <c r="H43" s="20">
        <v>0</v>
      </c>
      <c r="I43" s="21"/>
      <c r="J43" s="20">
        <f>노임!$D$10</f>
        <v>262580</v>
      </c>
      <c r="K43" s="21">
        <f>TRUNC(J43*D43,1)</f>
        <v>787740</v>
      </c>
      <c r="L43" s="20">
        <v>0</v>
      </c>
      <c r="M43" s="21"/>
      <c r="N43" s="18"/>
    </row>
    <row r="44" spans="1:14" ht="15" customHeight="1">
      <c r="A44" s="58"/>
      <c r="B44" s="55" t="s">
        <v>262</v>
      </c>
      <c r="C44" s="7" t="s">
        <v>0</v>
      </c>
      <c r="D44" s="19">
        <v>1</v>
      </c>
      <c r="E44" s="56" t="s">
        <v>24</v>
      </c>
      <c r="F44" s="20">
        <f>H44+J44+L44</f>
        <v>172068</v>
      </c>
      <c r="G44" s="21">
        <f>I44+K44+M44</f>
        <v>172068</v>
      </c>
      <c r="H44" s="20">
        <v>0</v>
      </c>
      <c r="I44" s="21"/>
      <c r="J44" s="20">
        <f>노임!$D$3</f>
        <v>172068</v>
      </c>
      <c r="K44" s="21">
        <f>TRUNC(J44*D44,1)</f>
        <v>172068</v>
      </c>
      <c r="L44" s="20">
        <v>0</v>
      </c>
      <c r="M44" s="21"/>
      <c r="N44" s="18"/>
    </row>
    <row r="45" spans="1:14" ht="15" customHeight="1">
      <c r="A45" s="58"/>
      <c r="B45" s="55" t="s">
        <v>263</v>
      </c>
      <c r="C45" s="7" t="s">
        <v>172</v>
      </c>
      <c r="D45" s="19"/>
      <c r="E45" s="56" t="s">
        <v>7</v>
      </c>
      <c r="F45" s="20" t="e">
        <f>H45+J45+L45</f>
        <v>#REF!</v>
      </c>
      <c r="G45" s="21" t="e">
        <f>I45+K45+M45</f>
        <v>#REF!</v>
      </c>
      <c r="H45" s="20" t="e">
        <f>#REF!</f>
        <v>#REF!</v>
      </c>
      <c r="I45" s="21" t="e">
        <f>TRUNC(H45*D45,1)</f>
        <v>#REF!</v>
      </c>
      <c r="J45" s="20" t="e">
        <f>#REF!</f>
        <v>#REF!</v>
      </c>
      <c r="K45" s="21" t="e">
        <f>TRUNC(J45*D45,1)</f>
        <v>#REF!</v>
      </c>
      <c r="L45" s="20" t="e">
        <f>#REF!</f>
        <v>#REF!</v>
      </c>
      <c r="M45" s="21" t="e">
        <f>TRUNC(L45*D45,1)</f>
        <v>#REF!</v>
      </c>
      <c r="N45" s="18"/>
    </row>
    <row r="46" spans="1:14" ht="15" customHeight="1">
      <c r="A46" s="58"/>
      <c r="B46" s="14" t="s">
        <v>409</v>
      </c>
      <c r="C46" s="97" t="s">
        <v>219</v>
      </c>
      <c r="D46" s="3">
        <v>4</v>
      </c>
      <c r="E46" s="2" t="s">
        <v>28</v>
      </c>
      <c r="F46" s="4"/>
      <c r="G46" s="8"/>
      <c r="H46" s="4"/>
      <c r="I46" s="8"/>
      <c r="J46" s="4"/>
      <c r="K46" s="8"/>
      <c r="L46" s="4"/>
      <c r="M46" s="8">
        <f>TRUNC((K43+K44)*D46%,1)</f>
        <v>38392.300000000003</v>
      </c>
      <c r="N46" s="18"/>
    </row>
    <row r="47" spans="1:14" customFormat="1" ht="15" customHeight="1">
      <c r="A47" s="94"/>
      <c r="B47" s="87" t="s">
        <v>376</v>
      </c>
      <c r="C47" s="95">
        <v>12</v>
      </c>
      <c r="D47" s="89">
        <f>ROUND(1/C47,4)</f>
        <v>8.3299999999999999E-2</v>
      </c>
      <c r="E47" s="90" t="s">
        <v>375</v>
      </c>
      <c r="F47" s="91"/>
      <c r="G47" s="92" t="e">
        <f>I47+K47+M47</f>
        <v>#REF!</v>
      </c>
      <c r="H47" s="91"/>
      <c r="I47" s="92" t="e">
        <f>TRUNC(SUM(I43:I46)*$D47,1)</f>
        <v>#REF!</v>
      </c>
      <c r="J47" s="91"/>
      <c r="K47" s="92" t="e">
        <f>TRUNC(SUM(K43:K46)*$D47,1)</f>
        <v>#REF!</v>
      </c>
      <c r="L47" s="91"/>
      <c r="M47" s="92" t="e">
        <f>TRUNC(SUM(M43:M46)*$D47,1)</f>
        <v>#REF!</v>
      </c>
      <c r="N47" s="96"/>
    </row>
    <row r="48" spans="1:14" customFormat="1" ht="15" customHeight="1">
      <c r="A48" s="94"/>
      <c r="B48" s="87" t="s">
        <v>298</v>
      </c>
      <c r="C48" s="88" t="s">
        <v>220</v>
      </c>
      <c r="D48" s="89">
        <v>30</v>
      </c>
      <c r="E48" s="90" t="s">
        <v>221</v>
      </c>
      <c r="F48" s="91"/>
      <c r="G48" s="92" t="e">
        <f>I48+K48+M48</f>
        <v>#REF!</v>
      </c>
      <c r="H48" s="91"/>
      <c r="I48" s="92" t="e">
        <f>TRUNC(I47*$D48%,1)</f>
        <v>#REF!</v>
      </c>
      <c r="J48" s="91"/>
      <c r="K48" s="92" t="e">
        <f>TRUNC(K47*$D48%,1)</f>
        <v>#REF!</v>
      </c>
      <c r="L48" s="91"/>
      <c r="M48" s="92" t="e">
        <f>TRUNC(M47*$D48%,1)</f>
        <v>#REF!</v>
      </c>
      <c r="N48" s="96"/>
    </row>
    <row r="49" spans="1:14" ht="15" customHeight="1">
      <c r="A49" s="58"/>
      <c r="B49" s="55"/>
      <c r="C49" s="7"/>
      <c r="D49" s="19"/>
      <c r="E49" s="56"/>
      <c r="F49" s="20"/>
      <c r="G49" s="21"/>
      <c r="H49" s="20"/>
      <c r="I49" s="21"/>
      <c r="J49" s="20"/>
      <c r="K49" s="21"/>
      <c r="L49" s="20"/>
      <c r="M49" s="21"/>
      <c r="N49" s="18"/>
    </row>
    <row r="50" spans="1:14" ht="15" customHeight="1">
      <c r="A50" s="64">
        <f>A42+1</f>
        <v>7</v>
      </c>
      <c r="B50" s="65" t="s">
        <v>408</v>
      </c>
      <c r="C50" s="66" t="s">
        <v>295</v>
      </c>
      <c r="D50" s="66">
        <v>1</v>
      </c>
      <c r="E50" s="67" t="s">
        <v>4</v>
      </c>
      <c r="F50" s="70"/>
      <c r="G50" s="68" t="e">
        <f>I50+K50+M50</f>
        <v>#REF!</v>
      </c>
      <c r="H50" s="70"/>
      <c r="I50" s="68" t="e">
        <f>TRUNC(I55,0)</f>
        <v>#REF!</v>
      </c>
      <c r="J50" s="70"/>
      <c r="K50" s="68" t="e">
        <f>TRUNC(K55,0)</f>
        <v>#REF!</v>
      </c>
      <c r="L50" s="70"/>
      <c r="M50" s="68" t="e">
        <f>TRUNC(M55,0)</f>
        <v>#REF!</v>
      </c>
      <c r="N50" s="69" t="str">
        <f>N35</f>
        <v>토목6-2-2</v>
      </c>
    </row>
    <row r="51" spans="1:14" ht="15" customHeight="1">
      <c r="A51" s="58"/>
      <c r="B51" s="55" t="s">
        <v>261</v>
      </c>
      <c r="C51" s="7" t="s">
        <v>32</v>
      </c>
      <c r="D51" s="19"/>
      <c r="E51" s="56" t="s">
        <v>24</v>
      </c>
      <c r="F51" s="20">
        <f>H51+J51+L51</f>
        <v>197788</v>
      </c>
      <c r="G51" s="21">
        <f>I51+K51+M51</f>
        <v>0</v>
      </c>
      <c r="H51" s="20">
        <v>0</v>
      </c>
      <c r="I51" s="21"/>
      <c r="J51" s="20">
        <f>노임!D15</f>
        <v>197788</v>
      </c>
      <c r="K51" s="21">
        <f>TRUNC(J51*D51,1)</f>
        <v>0</v>
      </c>
      <c r="L51" s="20">
        <v>0</v>
      </c>
      <c r="M51" s="21"/>
      <c r="N51" s="18"/>
    </row>
    <row r="52" spans="1:14" ht="15" customHeight="1">
      <c r="A52" s="58"/>
      <c r="B52" s="55" t="s">
        <v>262</v>
      </c>
      <c r="C52" s="7" t="s">
        <v>0</v>
      </c>
      <c r="D52" s="19"/>
      <c r="E52" s="56" t="s">
        <v>24</v>
      </c>
      <c r="F52" s="20">
        <f>H52+J52+L52</f>
        <v>282536</v>
      </c>
      <c r="G52" s="21">
        <f>I52+K52+M52</f>
        <v>0</v>
      </c>
      <c r="H52" s="20">
        <v>0</v>
      </c>
      <c r="I52" s="21"/>
      <c r="J52" s="20">
        <f>노임!D7</f>
        <v>282536</v>
      </c>
      <c r="K52" s="21">
        <f>TRUNC(J52*D52,1)</f>
        <v>0</v>
      </c>
      <c r="L52" s="20">
        <v>0</v>
      </c>
      <c r="M52" s="21"/>
      <c r="N52" s="18"/>
    </row>
    <row r="53" spans="1:14" ht="15" customHeight="1">
      <c r="A53" s="58"/>
      <c r="B53" s="55" t="s">
        <v>263</v>
      </c>
      <c r="C53" s="7" t="s">
        <v>172</v>
      </c>
      <c r="D53" s="19"/>
      <c r="E53" s="56" t="s">
        <v>7</v>
      </c>
      <c r="F53" s="20" t="e">
        <f>H53+J53+L53</f>
        <v>#REF!</v>
      </c>
      <c r="G53" s="21" t="e">
        <f>I53+K53+M53</f>
        <v>#REF!</v>
      </c>
      <c r="H53" s="20" t="e">
        <f>#REF!</f>
        <v>#REF!</v>
      </c>
      <c r="I53" s="21" t="e">
        <f>TRUNC(H53*D53,1)</f>
        <v>#REF!</v>
      </c>
      <c r="J53" s="20" t="e">
        <f>#REF!</f>
        <v>#REF!</v>
      </c>
      <c r="K53" s="21" t="e">
        <f>TRUNC(J53*D53,1)</f>
        <v>#REF!</v>
      </c>
      <c r="L53" s="20" t="e">
        <f>#REF!</f>
        <v>#REF!</v>
      </c>
      <c r="M53" s="21" t="e">
        <f>TRUNC(L53*D53,1)</f>
        <v>#REF!</v>
      </c>
      <c r="N53" s="18"/>
    </row>
    <row r="54" spans="1:14" ht="15" customHeight="1">
      <c r="A54" s="58"/>
      <c r="B54" s="14" t="s">
        <v>409</v>
      </c>
      <c r="C54" s="97" t="s">
        <v>219</v>
      </c>
      <c r="D54" s="3">
        <v>4</v>
      </c>
      <c r="E54" s="2" t="s">
        <v>28</v>
      </c>
      <c r="F54" s="4"/>
      <c r="G54" s="8"/>
      <c r="H54" s="4"/>
      <c r="I54" s="8"/>
      <c r="J54" s="4"/>
      <c r="K54" s="8"/>
      <c r="L54" s="4"/>
      <c r="M54" s="8">
        <f>TRUNC((K51+K52)*D54%,1)</f>
        <v>0</v>
      </c>
      <c r="N54" s="18"/>
    </row>
    <row r="55" spans="1:14" customFormat="1" ht="15" customHeight="1">
      <c r="A55" s="94"/>
      <c r="B55" s="87" t="s">
        <v>376</v>
      </c>
      <c r="C55" s="95">
        <v>17</v>
      </c>
      <c r="D55" s="89">
        <f>ROUND(1/C55,4)</f>
        <v>5.8799999999999998E-2</v>
      </c>
      <c r="E55" s="90" t="s">
        <v>375</v>
      </c>
      <c r="F55" s="91"/>
      <c r="G55" s="92" t="e">
        <f>I55+K55+M55</f>
        <v>#REF!</v>
      </c>
      <c r="H55" s="91"/>
      <c r="I55" s="92" t="e">
        <f>TRUNC(SUM(I51:I54)*$D55,1)</f>
        <v>#REF!</v>
      </c>
      <c r="J55" s="91"/>
      <c r="K55" s="92" t="e">
        <f>TRUNC(SUM(K51:K54)*$D55,1)</f>
        <v>#REF!</v>
      </c>
      <c r="L55" s="91"/>
      <c r="M55" s="92" t="e">
        <f>TRUNC(SUM(M51:M54)*$D55,1)</f>
        <v>#REF!</v>
      </c>
      <c r="N55" s="96"/>
    </row>
    <row r="56" spans="1:14" ht="15" customHeight="1">
      <c r="A56" s="58"/>
      <c r="B56" s="59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22"/>
    </row>
    <row r="57" spans="1:14" ht="15" customHeight="1">
      <c r="A57" s="98">
        <f>A50+1</f>
        <v>8</v>
      </c>
      <c r="B57" s="99" t="s">
        <v>408</v>
      </c>
      <c r="C57" s="100" t="s">
        <v>514</v>
      </c>
      <c r="D57" s="100">
        <v>1</v>
      </c>
      <c r="E57" s="101" t="s">
        <v>4</v>
      </c>
      <c r="F57" s="102"/>
      <c r="G57" s="103" t="e">
        <f>I57+K57+M57</f>
        <v>#REF!</v>
      </c>
      <c r="H57" s="102"/>
      <c r="I57" s="103" t="e">
        <f>SUM(I62:I63)</f>
        <v>#REF!</v>
      </c>
      <c r="J57" s="102"/>
      <c r="K57" s="103" t="e">
        <f>SUM(K62:K63)</f>
        <v>#REF!</v>
      </c>
      <c r="L57" s="102"/>
      <c r="M57" s="103" t="e">
        <f>SUM(M62:M63)</f>
        <v>#REF!</v>
      </c>
      <c r="N57" s="104" t="str">
        <f>N50</f>
        <v>토목6-2-2</v>
      </c>
    </row>
    <row r="58" spans="1:14" ht="15" customHeight="1">
      <c r="A58" s="58"/>
      <c r="B58" s="55" t="s">
        <v>261</v>
      </c>
      <c r="C58" s="7" t="s">
        <v>32</v>
      </c>
      <c r="D58" s="19"/>
      <c r="E58" s="56" t="s">
        <v>24</v>
      </c>
      <c r="F58" s="20">
        <f>H58+J58+L58</f>
        <v>262580</v>
      </c>
      <c r="G58" s="21">
        <f>I58+K58+M58</f>
        <v>0</v>
      </c>
      <c r="H58" s="20">
        <v>0</v>
      </c>
      <c r="I58" s="21"/>
      <c r="J58" s="20">
        <f>노임!$D$10</f>
        <v>262580</v>
      </c>
      <c r="K58" s="21">
        <f>TRUNC(J58*D58,1)</f>
        <v>0</v>
      </c>
      <c r="L58" s="20">
        <v>0</v>
      </c>
      <c r="M58" s="21"/>
      <c r="N58" s="18"/>
    </row>
    <row r="59" spans="1:14" ht="15" customHeight="1">
      <c r="A59" s="58"/>
      <c r="B59" s="55" t="s">
        <v>262</v>
      </c>
      <c r="C59" s="7" t="s">
        <v>0</v>
      </c>
      <c r="D59" s="19"/>
      <c r="E59" s="56" t="s">
        <v>24</v>
      </c>
      <c r="F59" s="20">
        <f>H59+J59+L59</f>
        <v>172068</v>
      </c>
      <c r="G59" s="21">
        <f>I59+K59+M59</f>
        <v>0</v>
      </c>
      <c r="H59" s="20">
        <v>0</v>
      </c>
      <c r="I59" s="21"/>
      <c r="J59" s="20">
        <f>노임!$D$3</f>
        <v>172068</v>
      </c>
      <c r="K59" s="21">
        <f>TRUNC(J59*D59,1)</f>
        <v>0</v>
      </c>
      <c r="L59" s="20">
        <v>0</v>
      </c>
      <c r="M59" s="21"/>
      <c r="N59" s="18"/>
    </row>
    <row r="60" spans="1:14" ht="15" customHeight="1">
      <c r="A60" s="58"/>
      <c r="B60" s="55" t="s">
        <v>263</v>
      </c>
      <c r="C60" s="7" t="s">
        <v>172</v>
      </c>
      <c r="D60" s="19"/>
      <c r="E60" s="56" t="s">
        <v>7</v>
      </c>
      <c r="F60" s="20" t="e">
        <f>H60+J60+L60</f>
        <v>#REF!</v>
      </c>
      <c r="G60" s="21" t="e">
        <f>I60+K60+M60</f>
        <v>#REF!</v>
      </c>
      <c r="H60" s="20" t="e">
        <f>#REF!</f>
        <v>#REF!</v>
      </c>
      <c r="I60" s="21" t="e">
        <f>TRUNC(H60*D60,1)</f>
        <v>#REF!</v>
      </c>
      <c r="J60" s="20" t="e">
        <f>#REF!</f>
        <v>#REF!</v>
      </c>
      <c r="K60" s="21" t="e">
        <f>TRUNC(J60*D60,1)</f>
        <v>#REF!</v>
      </c>
      <c r="L60" s="20" t="e">
        <f>#REF!</f>
        <v>#REF!</v>
      </c>
      <c r="M60" s="21" t="e">
        <f>TRUNC(L60*D60,1)</f>
        <v>#REF!</v>
      </c>
      <c r="N60" s="18"/>
    </row>
    <row r="61" spans="1:14" ht="15" customHeight="1">
      <c r="A61" s="58"/>
      <c r="B61" s="14" t="s">
        <v>409</v>
      </c>
      <c r="C61" s="97" t="s">
        <v>219</v>
      </c>
      <c r="D61" s="3">
        <v>4</v>
      </c>
      <c r="E61" s="2" t="s">
        <v>28</v>
      </c>
      <c r="F61" s="4"/>
      <c r="G61" s="8"/>
      <c r="H61" s="4"/>
      <c r="I61" s="8"/>
      <c r="J61" s="4"/>
      <c r="K61" s="8"/>
      <c r="L61" s="4"/>
      <c r="M61" s="8">
        <f>TRUNC((K58+K59)*D61%,1)</f>
        <v>0</v>
      </c>
      <c r="N61" s="18"/>
    </row>
    <row r="62" spans="1:14" customFormat="1" ht="15" customHeight="1">
      <c r="A62" s="94"/>
      <c r="B62" s="87" t="s">
        <v>376</v>
      </c>
      <c r="C62" s="95">
        <v>17</v>
      </c>
      <c r="D62" s="89">
        <f>ROUND(1/C62,4)</f>
        <v>5.8799999999999998E-2</v>
      </c>
      <c r="E62" s="90" t="s">
        <v>375</v>
      </c>
      <c r="F62" s="91"/>
      <c r="G62" s="92" t="e">
        <f>I62+K62+M62</f>
        <v>#REF!</v>
      </c>
      <c r="H62" s="91"/>
      <c r="I62" s="92" t="e">
        <f>TRUNC(SUM(I58:I61)*$D62,1)</f>
        <v>#REF!</v>
      </c>
      <c r="J62" s="91"/>
      <c r="K62" s="92" t="e">
        <f>TRUNC(SUM(K58:K61)*$D62,1)</f>
        <v>#REF!</v>
      </c>
      <c r="L62" s="91"/>
      <c r="M62" s="92" t="e">
        <f>TRUNC(SUM(M58:M61)*$D62,1)</f>
        <v>#REF!</v>
      </c>
      <c r="N62" s="96"/>
    </row>
    <row r="63" spans="1:14" customFormat="1" ht="15" customHeight="1">
      <c r="A63" s="94"/>
      <c r="B63" s="87" t="s">
        <v>298</v>
      </c>
      <c r="C63" s="88" t="s">
        <v>220</v>
      </c>
      <c r="D63" s="89">
        <v>30</v>
      </c>
      <c r="E63" s="90" t="s">
        <v>221</v>
      </c>
      <c r="F63" s="91"/>
      <c r="G63" s="92" t="e">
        <f>I63+K63+M63</f>
        <v>#REF!</v>
      </c>
      <c r="H63" s="91"/>
      <c r="I63" s="92" t="e">
        <f>TRUNC(I62*$D63%,1)</f>
        <v>#REF!</v>
      </c>
      <c r="J63" s="91"/>
      <c r="K63" s="92" t="e">
        <f>TRUNC(K62*$D63%,1)</f>
        <v>#REF!</v>
      </c>
      <c r="L63" s="91"/>
      <c r="M63" s="92" t="e">
        <f>TRUNC(M62*$D63%,1)</f>
        <v>#REF!</v>
      </c>
      <c r="N63" s="96"/>
    </row>
    <row r="64" spans="1:14" ht="15" customHeight="1">
      <c r="A64" s="58"/>
      <c r="B64" s="59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22"/>
    </row>
    <row r="65" spans="1:14" ht="15" customHeight="1">
      <c r="A65" s="64">
        <f>A57+1</f>
        <v>9</v>
      </c>
      <c r="B65" s="65" t="s">
        <v>408</v>
      </c>
      <c r="C65" s="66" t="s">
        <v>217</v>
      </c>
      <c r="D65" s="66">
        <v>1</v>
      </c>
      <c r="E65" s="67" t="s">
        <v>4</v>
      </c>
      <c r="F65" s="70"/>
      <c r="G65" s="68" t="e">
        <f>I65+K65+M65</f>
        <v>#REF!</v>
      </c>
      <c r="H65" s="70"/>
      <c r="I65" s="68" t="e">
        <f>TRUNC(I70,0)</f>
        <v>#REF!</v>
      </c>
      <c r="J65" s="70"/>
      <c r="K65" s="68" t="e">
        <f>TRUNC(K70,0)</f>
        <v>#REF!</v>
      </c>
      <c r="L65" s="70"/>
      <c r="M65" s="68" t="e">
        <f>TRUNC(M70,0)</f>
        <v>#REF!</v>
      </c>
      <c r="N65" s="69" t="str">
        <f>N50</f>
        <v>토목6-2-2</v>
      </c>
    </row>
    <row r="66" spans="1:14" ht="15" customHeight="1">
      <c r="A66" s="58"/>
      <c r="B66" s="55" t="s">
        <v>261</v>
      </c>
      <c r="C66" s="7" t="s">
        <v>32</v>
      </c>
      <c r="D66" s="19">
        <v>4</v>
      </c>
      <c r="E66" s="56" t="s">
        <v>24</v>
      </c>
      <c r="F66" s="20">
        <f>H66+J66+L66</f>
        <v>262580</v>
      </c>
      <c r="G66" s="21">
        <f>I66+K66+M66</f>
        <v>1050320</v>
      </c>
      <c r="H66" s="20">
        <v>0</v>
      </c>
      <c r="I66" s="21"/>
      <c r="J66" s="20">
        <f>노임!$D$10</f>
        <v>262580</v>
      </c>
      <c r="K66" s="21">
        <f>TRUNC(J66*D66,1)</f>
        <v>1050320</v>
      </c>
      <c r="L66" s="20">
        <v>0</v>
      </c>
      <c r="M66" s="21"/>
      <c r="N66" s="18"/>
    </row>
    <row r="67" spans="1:14" ht="15" customHeight="1">
      <c r="A67" s="58"/>
      <c r="B67" s="55" t="s">
        <v>262</v>
      </c>
      <c r="C67" s="7" t="s">
        <v>0</v>
      </c>
      <c r="D67" s="19">
        <v>1</v>
      </c>
      <c r="E67" s="56" t="s">
        <v>24</v>
      </c>
      <c r="F67" s="20">
        <f>H67+J67+L67</f>
        <v>172068</v>
      </c>
      <c r="G67" s="21">
        <f>I67+K67+M67</f>
        <v>172068</v>
      </c>
      <c r="H67" s="20">
        <v>0</v>
      </c>
      <c r="I67" s="21"/>
      <c r="J67" s="20">
        <f>노임!$D$3</f>
        <v>172068</v>
      </c>
      <c r="K67" s="21">
        <f>TRUNC(J67*D67,1)</f>
        <v>172068</v>
      </c>
      <c r="L67" s="20">
        <v>0</v>
      </c>
      <c r="M67" s="21"/>
      <c r="N67" s="18"/>
    </row>
    <row r="68" spans="1:14" ht="15" customHeight="1">
      <c r="A68" s="58"/>
      <c r="B68" s="55" t="s">
        <v>263</v>
      </c>
      <c r="C68" s="7" t="s">
        <v>172</v>
      </c>
      <c r="D68" s="19"/>
      <c r="E68" s="56" t="s">
        <v>7</v>
      </c>
      <c r="F68" s="20" t="e">
        <f>H68+J68+L68</f>
        <v>#REF!</v>
      </c>
      <c r="G68" s="21" t="e">
        <f>I68+K68+M68</f>
        <v>#REF!</v>
      </c>
      <c r="H68" s="20" t="e">
        <f>#REF!</f>
        <v>#REF!</v>
      </c>
      <c r="I68" s="21" t="e">
        <f>TRUNC(H68*D68,1)</f>
        <v>#REF!</v>
      </c>
      <c r="J68" s="20" t="e">
        <f>#REF!</f>
        <v>#REF!</v>
      </c>
      <c r="K68" s="21" t="e">
        <f>TRUNC(J68*D68,1)</f>
        <v>#REF!</v>
      </c>
      <c r="L68" s="20" t="e">
        <f>#REF!</f>
        <v>#REF!</v>
      </c>
      <c r="M68" s="21" t="e">
        <f>TRUNC(L68*D68,1)</f>
        <v>#REF!</v>
      </c>
      <c r="N68" s="18"/>
    </row>
    <row r="69" spans="1:14" ht="15" customHeight="1">
      <c r="A69" s="58"/>
      <c r="B69" s="14" t="s">
        <v>409</v>
      </c>
      <c r="C69" s="97" t="s">
        <v>219</v>
      </c>
      <c r="D69" s="3">
        <v>4</v>
      </c>
      <c r="E69" s="2" t="s">
        <v>28</v>
      </c>
      <c r="F69" s="4"/>
      <c r="G69" s="8"/>
      <c r="H69" s="4"/>
      <c r="I69" s="8"/>
      <c r="J69" s="4"/>
      <c r="K69" s="8"/>
      <c r="L69" s="4"/>
      <c r="M69" s="8">
        <f>TRUNC((K66+K67)*D69%,1)</f>
        <v>48895.5</v>
      </c>
      <c r="N69" s="18"/>
    </row>
    <row r="70" spans="1:14" customFormat="1" ht="15" customHeight="1">
      <c r="A70" s="94"/>
      <c r="B70" s="87" t="s">
        <v>376</v>
      </c>
      <c r="C70" s="95">
        <v>9</v>
      </c>
      <c r="D70" s="89">
        <f>ROUND(1/C70,4)</f>
        <v>0.1111</v>
      </c>
      <c r="E70" s="90" t="s">
        <v>375</v>
      </c>
      <c r="F70" s="91"/>
      <c r="G70" s="92" t="e">
        <f>I70+K70+M70</f>
        <v>#REF!</v>
      </c>
      <c r="H70" s="91"/>
      <c r="I70" s="92" t="e">
        <f>TRUNC(SUM(I66:I69)*$D70,1)</f>
        <v>#REF!</v>
      </c>
      <c r="J70" s="91"/>
      <c r="K70" s="92" t="e">
        <f>TRUNC(SUM(K66:K69)*$D70,1)</f>
        <v>#REF!</v>
      </c>
      <c r="L70" s="91"/>
      <c r="M70" s="92" t="e">
        <f>TRUNC(SUM(M66:M69)*$D70,1)</f>
        <v>#REF!</v>
      </c>
      <c r="N70" s="96"/>
    </row>
    <row r="71" spans="1:14" ht="15" customHeight="1">
      <c r="A71" s="58"/>
      <c r="B71" s="59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22"/>
    </row>
    <row r="72" spans="1:14" ht="15" customHeight="1">
      <c r="A72" s="98">
        <f>A65+1</f>
        <v>10</v>
      </c>
      <c r="B72" s="99" t="s">
        <v>408</v>
      </c>
      <c r="C72" s="100" t="s">
        <v>515</v>
      </c>
      <c r="D72" s="100">
        <v>1</v>
      </c>
      <c r="E72" s="101" t="s">
        <v>4</v>
      </c>
      <c r="F72" s="102"/>
      <c r="G72" s="103" t="e">
        <f>I72+K72+M72</f>
        <v>#REF!</v>
      </c>
      <c r="H72" s="102"/>
      <c r="I72" s="103" t="e">
        <f>SUM(I77:I78)</f>
        <v>#REF!</v>
      </c>
      <c r="J72" s="102"/>
      <c r="K72" s="103" t="e">
        <f>SUM(K77:K78)</f>
        <v>#REF!</v>
      </c>
      <c r="L72" s="102"/>
      <c r="M72" s="103" t="e">
        <f>SUM(M77:M78)</f>
        <v>#REF!</v>
      </c>
      <c r="N72" s="104" t="str">
        <f>N65</f>
        <v>토목6-2-2</v>
      </c>
    </row>
    <row r="73" spans="1:14" ht="15" customHeight="1">
      <c r="A73" s="58"/>
      <c r="B73" s="55" t="s">
        <v>261</v>
      </c>
      <c r="C73" s="7" t="s">
        <v>32</v>
      </c>
      <c r="D73" s="19">
        <v>4</v>
      </c>
      <c r="E73" s="56" t="s">
        <v>24</v>
      </c>
      <c r="F73" s="20">
        <f>H73+J73+L73</f>
        <v>262580</v>
      </c>
      <c r="G73" s="21">
        <f>I73+K73+M73</f>
        <v>1050320</v>
      </c>
      <c r="H73" s="20">
        <v>0</v>
      </c>
      <c r="I73" s="21"/>
      <c r="J73" s="20">
        <f>노임!$D$10</f>
        <v>262580</v>
      </c>
      <c r="K73" s="21">
        <f>TRUNC(J73*D73,1)</f>
        <v>1050320</v>
      </c>
      <c r="L73" s="20">
        <v>0</v>
      </c>
      <c r="M73" s="21"/>
      <c r="N73" s="18"/>
    </row>
    <row r="74" spans="1:14" ht="15" customHeight="1">
      <c r="A74" s="58"/>
      <c r="B74" s="55" t="s">
        <v>262</v>
      </c>
      <c r="C74" s="7" t="s">
        <v>0</v>
      </c>
      <c r="D74" s="19">
        <v>1</v>
      </c>
      <c r="E74" s="56" t="s">
        <v>24</v>
      </c>
      <c r="F74" s="20">
        <f>H74+J74+L74</f>
        <v>172068</v>
      </c>
      <c r="G74" s="21">
        <f>I74+K74+M74</f>
        <v>172068</v>
      </c>
      <c r="H74" s="20">
        <v>0</v>
      </c>
      <c r="I74" s="21"/>
      <c r="J74" s="20">
        <f>노임!$D$3</f>
        <v>172068</v>
      </c>
      <c r="K74" s="21">
        <f>TRUNC(J74*D74,1)</f>
        <v>172068</v>
      </c>
      <c r="L74" s="20">
        <v>0</v>
      </c>
      <c r="M74" s="21"/>
      <c r="N74" s="18"/>
    </row>
    <row r="75" spans="1:14" ht="15" customHeight="1">
      <c r="A75" s="58"/>
      <c r="B75" s="55" t="s">
        <v>263</v>
      </c>
      <c r="C75" s="7" t="s">
        <v>172</v>
      </c>
      <c r="D75" s="19"/>
      <c r="E75" s="56" t="s">
        <v>7</v>
      </c>
      <c r="F75" s="20" t="e">
        <f>H75+J75+L75</f>
        <v>#REF!</v>
      </c>
      <c r="G75" s="21" t="e">
        <f>I75+K75+M75</f>
        <v>#REF!</v>
      </c>
      <c r="H75" s="20" t="e">
        <f>#REF!</f>
        <v>#REF!</v>
      </c>
      <c r="I75" s="21" t="e">
        <f>TRUNC(H75*D75,1)</f>
        <v>#REF!</v>
      </c>
      <c r="J75" s="20" t="e">
        <f>#REF!</f>
        <v>#REF!</v>
      </c>
      <c r="K75" s="21" t="e">
        <f>TRUNC(J75*D75,1)</f>
        <v>#REF!</v>
      </c>
      <c r="L75" s="20" t="e">
        <f>#REF!</f>
        <v>#REF!</v>
      </c>
      <c r="M75" s="21" t="e">
        <f>TRUNC(L75*D75,1)</f>
        <v>#REF!</v>
      </c>
      <c r="N75" s="18"/>
    </row>
    <row r="76" spans="1:14" ht="15" customHeight="1">
      <c r="A76" s="58"/>
      <c r="B76" s="14" t="s">
        <v>409</v>
      </c>
      <c r="C76" s="97" t="s">
        <v>219</v>
      </c>
      <c r="D76" s="3">
        <v>4</v>
      </c>
      <c r="E76" s="2" t="s">
        <v>28</v>
      </c>
      <c r="F76" s="4"/>
      <c r="G76" s="8"/>
      <c r="H76" s="4"/>
      <c r="I76" s="8"/>
      <c r="J76" s="4"/>
      <c r="K76" s="8"/>
      <c r="L76" s="4"/>
      <c r="M76" s="8">
        <f>TRUNC((K73+K74)*D76%,1)</f>
        <v>48895.5</v>
      </c>
      <c r="N76" s="18"/>
    </row>
    <row r="77" spans="1:14" customFormat="1" ht="15" customHeight="1">
      <c r="A77" s="94"/>
      <c r="B77" s="87" t="s">
        <v>376</v>
      </c>
      <c r="C77" s="95">
        <v>9</v>
      </c>
      <c r="D77" s="89">
        <f>ROUND(1/C77,4)</f>
        <v>0.1111</v>
      </c>
      <c r="E77" s="90" t="s">
        <v>375</v>
      </c>
      <c r="F77" s="91"/>
      <c r="G77" s="92" t="e">
        <f>I77+K77+M77</f>
        <v>#REF!</v>
      </c>
      <c r="H77" s="91"/>
      <c r="I77" s="92" t="e">
        <f>TRUNC(SUM(I73:I76)*$D77,1)</f>
        <v>#REF!</v>
      </c>
      <c r="J77" s="91"/>
      <c r="K77" s="92" t="e">
        <f>TRUNC(SUM(K73:K76)*$D77,1)</f>
        <v>#REF!</v>
      </c>
      <c r="L77" s="91"/>
      <c r="M77" s="92" t="e">
        <f>TRUNC(SUM(M73:M76)*$D77,1)</f>
        <v>#REF!</v>
      </c>
      <c r="N77" s="96"/>
    </row>
    <row r="78" spans="1:14" customFormat="1" ht="15" customHeight="1">
      <c r="A78" s="94"/>
      <c r="B78" s="87" t="s">
        <v>298</v>
      </c>
      <c r="C78" s="88" t="s">
        <v>220</v>
      </c>
      <c r="D78" s="89">
        <v>30</v>
      </c>
      <c r="E78" s="90" t="s">
        <v>221</v>
      </c>
      <c r="F78" s="91"/>
      <c r="G78" s="92" t="e">
        <f>I78+K78+M78</f>
        <v>#REF!</v>
      </c>
      <c r="H78" s="91"/>
      <c r="I78" s="92" t="e">
        <f>TRUNC(I77*$D78%,1)</f>
        <v>#REF!</v>
      </c>
      <c r="J78" s="91"/>
      <c r="K78" s="92" t="e">
        <f>TRUNC(K77*$D78%,1)</f>
        <v>#REF!</v>
      </c>
      <c r="L78" s="91"/>
      <c r="M78" s="92" t="e">
        <f>TRUNC(M77*$D78%,1)</f>
        <v>#REF!</v>
      </c>
      <c r="N78" s="96"/>
    </row>
    <row r="79" spans="1:14" ht="15" customHeight="1">
      <c r="A79" s="58"/>
      <c r="B79" s="59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22"/>
    </row>
    <row r="80" spans="1:14" ht="15" customHeight="1">
      <c r="A80" s="64">
        <f>A72+1</f>
        <v>11</v>
      </c>
      <c r="B80" s="65" t="s">
        <v>408</v>
      </c>
      <c r="C80" s="66" t="s">
        <v>222</v>
      </c>
      <c r="D80" s="66">
        <v>1</v>
      </c>
      <c r="E80" s="67" t="s">
        <v>4</v>
      </c>
      <c r="F80" s="70"/>
      <c r="G80" s="68" t="e">
        <f>I80+K80+M80</f>
        <v>#REF!</v>
      </c>
      <c r="H80" s="70"/>
      <c r="I80" s="68" t="e">
        <f>TRUNC(I85,0)</f>
        <v>#REF!</v>
      </c>
      <c r="J80" s="70"/>
      <c r="K80" s="68" t="e">
        <f>TRUNC(K85,0)</f>
        <v>#REF!</v>
      </c>
      <c r="L80" s="70"/>
      <c r="M80" s="68" t="e">
        <f>TRUNC(M85,0)</f>
        <v>#REF!</v>
      </c>
      <c r="N80" s="69" t="str">
        <f>N65</f>
        <v>토목6-2-2</v>
      </c>
    </row>
    <row r="81" spans="1:14" ht="15" customHeight="1">
      <c r="A81" s="58"/>
      <c r="B81" s="55" t="s">
        <v>261</v>
      </c>
      <c r="C81" s="7" t="s">
        <v>32</v>
      </c>
      <c r="D81" s="19">
        <v>2</v>
      </c>
      <c r="E81" s="56" t="s">
        <v>24</v>
      </c>
      <c r="F81" s="20">
        <f>H81+J81+L81</f>
        <v>262580</v>
      </c>
      <c r="G81" s="21">
        <f>I81+K81+M81</f>
        <v>525160</v>
      </c>
      <c r="H81" s="20">
        <v>0</v>
      </c>
      <c r="I81" s="21"/>
      <c r="J81" s="20">
        <f>노임!$D$10</f>
        <v>262580</v>
      </c>
      <c r="K81" s="21">
        <f>TRUNC(J81*D81,1)</f>
        <v>525160</v>
      </c>
      <c r="L81" s="20">
        <v>0</v>
      </c>
      <c r="M81" s="21"/>
      <c r="N81" s="18"/>
    </row>
    <row r="82" spans="1:14" ht="15" customHeight="1">
      <c r="A82" s="58"/>
      <c r="B82" s="55" t="s">
        <v>262</v>
      </c>
      <c r="C82" s="7" t="s">
        <v>0</v>
      </c>
      <c r="D82" s="19">
        <v>1</v>
      </c>
      <c r="E82" s="56" t="s">
        <v>24</v>
      </c>
      <c r="F82" s="20">
        <f>H82+J82+L82</f>
        <v>172068</v>
      </c>
      <c r="G82" s="21">
        <f>I82+K82+M82</f>
        <v>172068</v>
      </c>
      <c r="H82" s="20">
        <v>0</v>
      </c>
      <c r="I82" s="21"/>
      <c r="J82" s="20">
        <f>노임!$D$3</f>
        <v>172068</v>
      </c>
      <c r="K82" s="21">
        <f>TRUNC(J82*D82,1)</f>
        <v>172068</v>
      </c>
      <c r="L82" s="20">
        <v>0</v>
      </c>
      <c r="M82" s="21"/>
      <c r="N82" s="18"/>
    </row>
    <row r="83" spans="1:14" ht="15" customHeight="1">
      <c r="A83" s="58"/>
      <c r="B83" s="55" t="s">
        <v>263</v>
      </c>
      <c r="C83" s="7" t="s">
        <v>172</v>
      </c>
      <c r="D83" s="19">
        <v>8</v>
      </c>
      <c r="E83" s="56" t="s">
        <v>7</v>
      </c>
      <c r="F83" s="20" t="e">
        <f>H83+J83+L83</f>
        <v>#REF!</v>
      </c>
      <c r="G83" s="21" t="e">
        <f>I83+K83+M83</f>
        <v>#REF!</v>
      </c>
      <c r="H83" s="20" t="e">
        <f>#REF!</f>
        <v>#REF!</v>
      </c>
      <c r="I83" s="21" t="e">
        <f>TRUNC(H83*D83,1)</f>
        <v>#REF!</v>
      </c>
      <c r="J83" s="20" t="e">
        <f>#REF!</f>
        <v>#REF!</v>
      </c>
      <c r="K83" s="21" t="e">
        <f>TRUNC(J83*D83,1)</f>
        <v>#REF!</v>
      </c>
      <c r="L83" s="20" t="e">
        <f>#REF!</f>
        <v>#REF!</v>
      </c>
      <c r="M83" s="21" t="e">
        <f>TRUNC(L83*D83,1)</f>
        <v>#REF!</v>
      </c>
      <c r="N83" s="18"/>
    </row>
    <row r="84" spans="1:14" ht="15" customHeight="1">
      <c r="A84" s="58"/>
      <c r="B84" s="14" t="s">
        <v>409</v>
      </c>
      <c r="C84" s="97" t="s">
        <v>219</v>
      </c>
      <c r="D84" s="3">
        <v>4</v>
      </c>
      <c r="E84" s="2" t="s">
        <v>28</v>
      </c>
      <c r="F84" s="4"/>
      <c r="G84" s="8"/>
      <c r="H84" s="4"/>
      <c r="I84" s="8"/>
      <c r="J84" s="4"/>
      <c r="K84" s="8"/>
      <c r="L84" s="4"/>
      <c r="M84" s="8">
        <f>TRUNC((K81+K82)*D84%,1)</f>
        <v>27889.1</v>
      </c>
      <c r="N84" s="18"/>
    </row>
    <row r="85" spans="1:14" customFormat="1" ht="15" customHeight="1">
      <c r="A85" s="94"/>
      <c r="B85" s="87" t="s">
        <v>376</v>
      </c>
      <c r="C85" s="95">
        <v>14</v>
      </c>
      <c r="D85" s="89">
        <f>ROUND(1/C85,4)</f>
        <v>7.1400000000000005E-2</v>
      </c>
      <c r="E85" s="90" t="s">
        <v>375</v>
      </c>
      <c r="F85" s="91"/>
      <c r="G85" s="92" t="e">
        <f>I85+K85+M85</f>
        <v>#REF!</v>
      </c>
      <c r="H85" s="91"/>
      <c r="I85" s="92" t="e">
        <f>TRUNC(SUM(I81:I84)*$D85,1)</f>
        <v>#REF!</v>
      </c>
      <c r="J85" s="91"/>
      <c r="K85" s="92" t="e">
        <f>TRUNC(SUM(K81:K84)*$D85,1)</f>
        <v>#REF!</v>
      </c>
      <c r="L85" s="91"/>
      <c r="M85" s="92" t="e">
        <f>TRUNC(SUM(M81:M84)*$D85,1)</f>
        <v>#REF!</v>
      </c>
      <c r="N85" s="96"/>
    </row>
    <row r="86" spans="1:14" ht="15" customHeight="1">
      <c r="A86" s="58"/>
      <c r="B86" s="59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22"/>
    </row>
    <row r="87" spans="1:14" ht="15" customHeight="1">
      <c r="A87" s="98">
        <f>A80+1</f>
        <v>12</v>
      </c>
      <c r="B87" s="99" t="s">
        <v>408</v>
      </c>
      <c r="C87" s="100" t="s">
        <v>516</v>
      </c>
      <c r="D87" s="100">
        <v>1</v>
      </c>
      <c r="E87" s="101" t="s">
        <v>4</v>
      </c>
      <c r="F87" s="102"/>
      <c r="G87" s="103" t="e">
        <f>I87+K87+M87</f>
        <v>#REF!</v>
      </c>
      <c r="H87" s="102"/>
      <c r="I87" s="103" t="e">
        <f>SUM(I92:I93)</f>
        <v>#REF!</v>
      </c>
      <c r="J87" s="102"/>
      <c r="K87" s="103" t="e">
        <f>SUM(K92:K93)</f>
        <v>#REF!</v>
      </c>
      <c r="L87" s="102"/>
      <c r="M87" s="103" t="e">
        <f>SUM(M92:M93)</f>
        <v>#REF!</v>
      </c>
      <c r="N87" s="104" t="str">
        <f>N80</f>
        <v>토목6-2-2</v>
      </c>
    </row>
    <row r="88" spans="1:14" ht="15" customHeight="1">
      <c r="A88" s="58"/>
      <c r="B88" s="55" t="s">
        <v>261</v>
      </c>
      <c r="C88" s="7" t="s">
        <v>32</v>
      </c>
      <c r="D88" s="19">
        <v>2</v>
      </c>
      <c r="E88" s="56" t="s">
        <v>24</v>
      </c>
      <c r="F88" s="20">
        <f>H88+J88+L88</f>
        <v>262580</v>
      </c>
      <c r="G88" s="21">
        <f>I88+K88+M88</f>
        <v>525160</v>
      </c>
      <c r="H88" s="20">
        <v>0</v>
      </c>
      <c r="I88" s="21"/>
      <c r="J88" s="20">
        <f>노임!$D$10</f>
        <v>262580</v>
      </c>
      <c r="K88" s="21">
        <f>TRUNC(J88*D88,1)</f>
        <v>525160</v>
      </c>
      <c r="L88" s="20">
        <v>0</v>
      </c>
      <c r="M88" s="21"/>
      <c r="N88" s="18"/>
    </row>
    <row r="89" spans="1:14" ht="15" customHeight="1">
      <c r="A89" s="58"/>
      <c r="B89" s="55" t="s">
        <v>262</v>
      </c>
      <c r="C89" s="7" t="s">
        <v>0</v>
      </c>
      <c r="D89" s="19">
        <v>1</v>
      </c>
      <c r="E89" s="56" t="s">
        <v>24</v>
      </c>
      <c r="F89" s="20">
        <f>H89+J89+L89</f>
        <v>172068</v>
      </c>
      <c r="G89" s="21">
        <f>I89+K89+M89</f>
        <v>172068</v>
      </c>
      <c r="H89" s="20">
        <v>0</v>
      </c>
      <c r="I89" s="21"/>
      <c r="J89" s="20">
        <f>노임!$D$3</f>
        <v>172068</v>
      </c>
      <c r="K89" s="21">
        <f>TRUNC(J89*D89,1)</f>
        <v>172068</v>
      </c>
      <c r="L89" s="20">
        <v>0</v>
      </c>
      <c r="M89" s="21"/>
      <c r="N89" s="18"/>
    </row>
    <row r="90" spans="1:14" ht="15" customHeight="1">
      <c r="A90" s="58"/>
      <c r="B90" s="55" t="s">
        <v>263</v>
      </c>
      <c r="C90" s="7" t="s">
        <v>172</v>
      </c>
      <c r="D90" s="19">
        <v>8</v>
      </c>
      <c r="E90" s="56" t="s">
        <v>7</v>
      </c>
      <c r="F90" s="20" t="e">
        <f>H90+J90+L90</f>
        <v>#REF!</v>
      </c>
      <c r="G90" s="21" t="e">
        <f>I90+K90+M90</f>
        <v>#REF!</v>
      </c>
      <c r="H90" s="20" t="e">
        <f>#REF!</f>
        <v>#REF!</v>
      </c>
      <c r="I90" s="21" t="e">
        <f>TRUNC(H90*D90,1)</f>
        <v>#REF!</v>
      </c>
      <c r="J90" s="20" t="e">
        <f>#REF!</f>
        <v>#REF!</v>
      </c>
      <c r="K90" s="21" t="e">
        <f>TRUNC(J90*D90,1)</f>
        <v>#REF!</v>
      </c>
      <c r="L90" s="20" t="e">
        <f>#REF!</f>
        <v>#REF!</v>
      </c>
      <c r="M90" s="21" t="e">
        <f>TRUNC(L90*D90,1)</f>
        <v>#REF!</v>
      </c>
      <c r="N90" s="18"/>
    </row>
    <row r="91" spans="1:14" ht="15" customHeight="1">
      <c r="A91" s="58"/>
      <c r="B91" s="14" t="s">
        <v>409</v>
      </c>
      <c r="C91" s="97" t="s">
        <v>219</v>
      </c>
      <c r="D91" s="3">
        <v>4</v>
      </c>
      <c r="E91" s="2" t="s">
        <v>28</v>
      </c>
      <c r="F91" s="4"/>
      <c r="G91" s="8"/>
      <c r="H91" s="4"/>
      <c r="I91" s="8"/>
      <c r="J91" s="4"/>
      <c r="K91" s="8"/>
      <c r="L91" s="4"/>
      <c r="M91" s="8">
        <f>TRUNC((K88+K89)*D91%,1)</f>
        <v>27889.1</v>
      </c>
      <c r="N91" s="18"/>
    </row>
    <row r="92" spans="1:14" customFormat="1" ht="15" customHeight="1">
      <c r="A92" s="94"/>
      <c r="B92" s="87" t="s">
        <v>376</v>
      </c>
      <c r="C92" s="95">
        <v>14</v>
      </c>
      <c r="D92" s="89">
        <f>ROUND(1/C92,4)</f>
        <v>7.1400000000000005E-2</v>
      </c>
      <c r="E92" s="90" t="s">
        <v>375</v>
      </c>
      <c r="F92" s="91"/>
      <c r="G92" s="92" t="e">
        <f>I92+K92+M92</f>
        <v>#REF!</v>
      </c>
      <c r="H92" s="91"/>
      <c r="I92" s="92" t="e">
        <f>TRUNC(SUM(I88:I91)*$D92,1)</f>
        <v>#REF!</v>
      </c>
      <c r="J92" s="91"/>
      <c r="K92" s="92" t="e">
        <f>TRUNC(SUM(K88:K91)*$D92,1)</f>
        <v>#REF!</v>
      </c>
      <c r="L92" s="91"/>
      <c r="M92" s="92" t="e">
        <f>TRUNC(SUM(M88:M91)*$D92,1)</f>
        <v>#REF!</v>
      </c>
      <c r="N92" s="96"/>
    </row>
    <row r="93" spans="1:14" customFormat="1" ht="15" customHeight="1">
      <c r="A93" s="94"/>
      <c r="B93" s="87" t="s">
        <v>298</v>
      </c>
      <c r="C93" s="88" t="s">
        <v>220</v>
      </c>
      <c r="D93" s="89">
        <v>30</v>
      </c>
      <c r="E93" s="90" t="s">
        <v>221</v>
      </c>
      <c r="F93" s="91"/>
      <c r="G93" s="92" t="e">
        <f>I93+K93+M93</f>
        <v>#REF!</v>
      </c>
      <c r="H93" s="91"/>
      <c r="I93" s="92" t="e">
        <f>TRUNC(I92*$D93%,1)</f>
        <v>#REF!</v>
      </c>
      <c r="J93" s="91"/>
      <c r="K93" s="92" t="e">
        <f>TRUNC(K92*$D93%,1)</f>
        <v>#REF!</v>
      </c>
      <c r="L93" s="91"/>
      <c r="M93" s="92" t="e">
        <f>TRUNC(M92*$D93%,1)</f>
        <v>#REF!</v>
      </c>
      <c r="N93" s="96"/>
    </row>
    <row r="94" spans="1:14" ht="15" customHeight="1">
      <c r="A94" s="58"/>
      <c r="B94" s="59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22"/>
    </row>
    <row r="95" spans="1:14" ht="15" customHeight="1">
      <c r="A95" s="64">
        <f>A87+1</f>
        <v>13</v>
      </c>
      <c r="B95" s="65" t="s">
        <v>408</v>
      </c>
      <c r="C95" s="66" t="s">
        <v>179</v>
      </c>
      <c r="D95" s="66">
        <v>1</v>
      </c>
      <c r="E95" s="67" t="s">
        <v>4</v>
      </c>
      <c r="F95" s="70"/>
      <c r="G95" s="68" t="e">
        <f>I95+K95+M95</f>
        <v>#REF!</v>
      </c>
      <c r="H95" s="70"/>
      <c r="I95" s="68" t="e">
        <f>TRUNC(I100,0)</f>
        <v>#REF!</v>
      </c>
      <c r="J95" s="70"/>
      <c r="K95" s="68" t="e">
        <f>TRUNC(K100,0)</f>
        <v>#REF!</v>
      </c>
      <c r="L95" s="70"/>
      <c r="M95" s="68" t="e">
        <f>TRUNC(M100,0)</f>
        <v>#REF!</v>
      </c>
      <c r="N95" s="69" t="str">
        <f>N80</f>
        <v>토목6-2-2</v>
      </c>
    </row>
    <row r="96" spans="1:14" ht="15" customHeight="1">
      <c r="A96" s="58"/>
      <c r="B96" s="55" t="s">
        <v>261</v>
      </c>
      <c r="C96" s="7" t="s">
        <v>32</v>
      </c>
      <c r="D96" s="19">
        <v>2</v>
      </c>
      <c r="E96" s="56" t="s">
        <v>24</v>
      </c>
      <c r="F96" s="20">
        <f>H96+J96+L96</f>
        <v>262580</v>
      </c>
      <c r="G96" s="21">
        <f>I96+K96+M96</f>
        <v>525160</v>
      </c>
      <c r="H96" s="20">
        <v>0</v>
      </c>
      <c r="I96" s="21"/>
      <c r="J96" s="20">
        <f>노임!$D$10</f>
        <v>262580</v>
      </c>
      <c r="K96" s="21">
        <f>TRUNC(J96*D96,1)</f>
        <v>525160</v>
      </c>
      <c r="L96" s="20">
        <v>0</v>
      </c>
      <c r="M96" s="21"/>
      <c r="N96" s="18"/>
    </row>
    <row r="97" spans="1:14" ht="15" customHeight="1">
      <c r="A97" s="58"/>
      <c r="B97" s="55" t="s">
        <v>262</v>
      </c>
      <c r="C97" s="7" t="s">
        <v>0</v>
      </c>
      <c r="D97" s="19">
        <v>1</v>
      </c>
      <c r="E97" s="56" t="s">
        <v>24</v>
      </c>
      <c r="F97" s="20">
        <f>H97+J97+L97</f>
        <v>172068</v>
      </c>
      <c r="G97" s="21">
        <f>I97+K97+M97</f>
        <v>172068</v>
      </c>
      <c r="H97" s="20">
        <v>0</v>
      </c>
      <c r="I97" s="21"/>
      <c r="J97" s="20">
        <f>노임!$D$3</f>
        <v>172068</v>
      </c>
      <c r="K97" s="21">
        <f>TRUNC(J97*D97,1)</f>
        <v>172068</v>
      </c>
      <c r="L97" s="20">
        <v>0</v>
      </c>
      <c r="M97" s="21"/>
      <c r="N97" s="18"/>
    </row>
    <row r="98" spans="1:14" ht="15" customHeight="1">
      <c r="A98" s="58"/>
      <c r="B98" s="55" t="s">
        <v>263</v>
      </c>
      <c r="C98" s="7" t="s">
        <v>172</v>
      </c>
      <c r="D98" s="19">
        <v>8</v>
      </c>
      <c r="E98" s="56" t="s">
        <v>7</v>
      </c>
      <c r="F98" s="20" t="e">
        <f>H98+J98+L98</f>
        <v>#REF!</v>
      </c>
      <c r="G98" s="21" t="e">
        <f>I98+K98+M98</f>
        <v>#REF!</v>
      </c>
      <c r="H98" s="20" t="e">
        <f>#REF!</f>
        <v>#REF!</v>
      </c>
      <c r="I98" s="21" t="e">
        <f>TRUNC(H98*D98,1)</f>
        <v>#REF!</v>
      </c>
      <c r="J98" s="20" t="e">
        <f>#REF!</f>
        <v>#REF!</v>
      </c>
      <c r="K98" s="21" t="e">
        <f>TRUNC(J98*D98,1)</f>
        <v>#REF!</v>
      </c>
      <c r="L98" s="20" t="e">
        <f>#REF!</f>
        <v>#REF!</v>
      </c>
      <c r="M98" s="21" t="e">
        <f>TRUNC(L98*D98,1)</f>
        <v>#REF!</v>
      </c>
      <c r="N98" s="18"/>
    </row>
    <row r="99" spans="1:14" ht="15" customHeight="1">
      <c r="A99" s="58"/>
      <c r="B99" s="14" t="s">
        <v>409</v>
      </c>
      <c r="C99" s="97" t="s">
        <v>219</v>
      </c>
      <c r="D99" s="3">
        <v>4</v>
      </c>
      <c r="E99" s="2" t="s">
        <v>28</v>
      </c>
      <c r="F99" s="4"/>
      <c r="G99" s="8"/>
      <c r="H99" s="4"/>
      <c r="I99" s="8"/>
      <c r="J99" s="4"/>
      <c r="K99" s="8"/>
      <c r="L99" s="4"/>
      <c r="M99" s="8">
        <f>TRUNC((K96+K97)*D99%,1)</f>
        <v>27889.1</v>
      </c>
      <c r="N99" s="18"/>
    </row>
    <row r="100" spans="1:14" customFormat="1" ht="15" customHeight="1">
      <c r="A100" s="94"/>
      <c r="B100" s="87" t="s">
        <v>376</v>
      </c>
      <c r="C100" s="95">
        <v>11</v>
      </c>
      <c r="D100" s="89">
        <f>ROUND(1/C100,4)</f>
        <v>9.0899999999999995E-2</v>
      </c>
      <c r="E100" s="90" t="s">
        <v>375</v>
      </c>
      <c r="F100" s="91"/>
      <c r="G100" s="92" t="e">
        <f>I100+K100+M100</f>
        <v>#REF!</v>
      </c>
      <c r="H100" s="91"/>
      <c r="I100" s="92" t="e">
        <f>TRUNC(SUM(I96:I99)*$D100,1)</f>
        <v>#REF!</v>
      </c>
      <c r="J100" s="91"/>
      <c r="K100" s="92" t="e">
        <f>TRUNC(SUM(K96:K99)*$D100,1)</f>
        <v>#REF!</v>
      </c>
      <c r="L100" s="91"/>
      <c r="M100" s="92" t="e">
        <f>TRUNC(SUM(M96:M99)*$D100,1)</f>
        <v>#REF!</v>
      </c>
      <c r="N100" s="96"/>
    </row>
    <row r="101" spans="1:14" ht="15" customHeight="1">
      <c r="A101" s="58"/>
      <c r="B101" s="59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22"/>
    </row>
    <row r="102" spans="1:14" ht="15" customHeight="1">
      <c r="A102" s="98">
        <f>A95+1</f>
        <v>14</v>
      </c>
      <c r="B102" s="99" t="s">
        <v>408</v>
      </c>
      <c r="C102" s="100" t="s">
        <v>517</v>
      </c>
      <c r="D102" s="100">
        <v>1</v>
      </c>
      <c r="E102" s="101" t="s">
        <v>4</v>
      </c>
      <c r="F102" s="102"/>
      <c r="G102" s="103" t="e">
        <f>I102+K102+M102</f>
        <v>#REF!</v>
      </c>
      <c r="H102" s="102"/>
      <c r="I102" s="103" t="e">
        <f>SUM(I107:I108)</f>
        <v>#REF!</v>
      </c>
      <c r="J102" s="102"/>
      <c r="K102" s="103" t="e">
        <f>SUM(K107:K108)</f>
        <v>#REF!</v>
      </c>
      <c r="L102" s="102"/>
      <c r="M102" s="103" t="e">
        <f>SUM(M107:M108)</f>
        <v>#REF!</v>
      </c>
      <c r="N102" s="104" t="str">
        <f>N95</f>
        <v>토목6-2-2</v>
      </c>
    </row>
    <row r="103" spans="1:14" ht="15" customHeight="1">
      <c r="A103" s="58"/>
      <c r="B103" s="55" t="s">
        <v>261</v>
      </c>
      <c r="C103" s="7" t="s">
        <v>32</v>
      </c>
      <c r="D103" s="19">
        <v>2</v>
      </c>
      <c r="E103" s="56" t="s">
        <v>24</v>
      </c>
      <c r="F103" s="20">
        <f>H103+J103+L103</f>
        <v>262580</v>
      </c>
      <c r="G103" s="21">
        <f>I103+K103+M103</f>
        <v>525160</v>
      </c>
      <c r="H103" s="20">
        <v>0</v>
      </c>
      <c r="I103" s="21"/>
      <c r="J103" s="20">
        <f>노임!$D$10</f>
        <v>262580</v>
      </c>
      <c r="K103" s="21">
        <f>TRUNC(J103*D103,1)</f>
        <v>525160</v>
      </c>
      <c r="L103" s="20">
        <v>0</v>
      </c>
      <c r="M103" s="21"/>
      <c r="N103" s="18"/>
    </row>
    <row r="104" spans="1:14" ht="15" customHeight="1">
      <c r="A104" s="58"/>
      <c r="B104" s="55" t="s">
        <v>262</v>
      </c>
      <c r="C104" s="7" t="s">
        <v>0</v>
      </c>
      <c r="D104" s="19">
        <v>1</v>
      </c>
      <c r="E104" s="56" t="s">
        <v>24</v>
      </c>
      <c r="F104" s="20">
        <f>H104+J104+L104</f>
        <v>172068</v>
      </c>
      <c r="G104" s="21">
        <f>I104+K104+M104</f>
        <v>172068</v>
      </c>
      <c r="H104" s="20">
        <v>0</v>
      </c>
      <c r="I104" s="21"/>
      <c r="J104" s="20">
        <f>노임!$D$3</f>
        <v>172068</v>
      </c>
      <c r="K104" s="21">
        <f>TRUNC(J104*D104,1)</f>
        <v>172068</v>
      </c>
      <c r="L104" s="20">
        <v>0</v>
      </c>
      <c r="M104" s="21"/>
      <c r="N104" s="18"/>
    </row>
    <row r="105" spans="1:14" ht="15" customHeight="1">
      <c r="A105" s="58"/>
      <c r="B105" s="55" t="s">
        <v>263</v>
      </c>
      <c r="C105" s="7" t="s">
        <v>172</v>
      </c>
      <c r="D105" s="19">
        <v>8</v>
      </c>
      <c r="E105" s="56" t="s">
        <v>7</v>
      </c>
      <c r="F105" s="20" t="e">
        <f>H105+J105+L105</f>
        <v>#REF!</v>
      </c>
      <c r="G105" s="21" t="e">
        <f>I105+K105+M105</f>
        <v>#REF!</v>
      </c>
      <c r="H105" s="20" t="e">
        <f>#REF!</f>
        <v>#REF!</v>
      </c>
      <c r="I105" s="21" t="e">
        <f>TRUNC(H105*D105,1)</f>
        <v>#REF!</v>
      </c>
      <c r="J105" s="20" t="e">
        <f>#REF!</f>
        <v>#REF!</v>
      </c>
      <c r="K105" s="21" t="e">
        <f>TRUNC(J105*D105,1)</f>
        <v>#REF!</v>
      </c>
      <c r="L105" s="20" t="e">
        <f>#REF!</f>
        <v>#REF!</v>
      </c>
      <c r="M105" s="21" t="e">
        <f>TRUNC(L105*D105,1)</f>
        <v>#REF!</v>
      </c>
      <c r="N105" s="18"/>
    </row>
    <row r="106" spans="1:14" ht="15" customHeight="1">
      <c r="A106" s="58"/>
      <c r="B106" s="14" t="s">
        <v>409</v>
      </c>
      <c r="C106" s="97" t="s">
        <v>219</v>
      </c>
      <c r="D106" s="3">
        <v>4</v>
      </c>
      <c r="E106" s="2" t="s">
        <v>28</v>
      </c>
      <c r="F106" s="4"/>
      <c r="G106" s="8"/>
      <c r="H106" s="4"/>
      <c r="I106" s="8"/>
      <c r="J106" s="4"/>
      <c r="K106" s="8"/>
      <c r="L106" s="4"/>
      <c r="M106" s="8">
        <f>TRUNC((K103+K104)*D106%,1)</f>
        <v>27889.1</v>
      </c>
      <c r="N106" s="18"/>
    </row>
    <row r="107" spans="1:14" customFormat="1" ht="15" customHeight="1">
      <c r="A107" s="94"/>
      <c r="B107" s="87" t="s">
        <v>376</v>
      </c>
      <c r="C107" s="95">
        <v>11</v>
      </c>
      <c r="D107" s="89">
        <f>ROUND(1/C107,4)</f>
        <v>9.0899999999999995E-2</v>
      </c>
      <c r="E107" s="90" t="s">
        <v>375</v>
      </c>
      <c r="F107" s="91"/>
      <c r="G107" s="92" t="e">
        <f>I107+K107+M107</f>
        <v>#REF!</v>
      </c>
      <c r="H107" s="91"/>
      <c r="I107" s="92" t="e">
        <f>TRUNC(SUM(I103:I106)*$D107,1)</f>
        <v>#REF!</v>
      </c>
      <c r="J107" s="91"/>
      <c r="K107" s="92" t="e">
        <f>TRUNC(SUM(K103:K106)*$D107,1)</f>
        <v>#REF!</v>
      </c>
      <c r="L107" s="91"/>
      <c r="M107" s="92" t="e">
        <f>TRUNC(SUM(M103:M106)*$D107,1)</f>
        <v>#REF!</v>
      </c>
      <c r="N107" s="96"/>
    </row>
    <row r="108" spans="1:14" customFormat="1" ht="15" customHeight="1">
      <c r="A108" s="94"/>
      <c r="B108" s="87" t="s">
        <v>298</v>
      </c>
      <c r="C108" s="88" t="s">
        <v>220</v>
      </c>
      <c r="D108" s="89">
        <v>30</v>
      </c>
      <c r="E108" s="90" t="s">
        <v>221</v>
      </c>
      <c r="F108" s="91"/>
      <c r="G108" s="92" t="e">
        <f>I108+K108+M108</f>
        <v>#REF!</v>
      </c>
      <c r="H108" s="91"/>
      <c r="I108" s="92" t="e">
        <f>TRUNC(I107*$D108%,1)</f>
        <v>#REF!</v>
      </c>
      <c r="J108" s="91"/>
      <c r="K108" s="92" t="e">
        <f>TRUNC(K107*$D108%,1)</f>
        <v>#REF!</v>
      </c>
      <c r="L108" s="91"/>
      <c r="M108" s="92" t="e">
        <f>TRUNC(M107*$D108%,1)</f>
        <v>#REF!</v>
      </c>
      <c r="N108" s="96"/>
    </row>
    <row r="109" spans="1:14" ht="15" customHeight="1">
      <c r="A109" s="58"/>
      <c r="B109" s="59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22"/>
    </row>
    <row r="110" spans="1:14" ht="15" customHeight="1">
      <c r="A110" s="64">
        <f>A102+1</f>
        <v>15</v>
      </c>
      <c r="B110" s="65" t="s">
        <v>408</v>
      </c>
      <c r="C110" s="66" t="s">
        <v>180</v>
      </c>
      <c r="D110" s="66">
        <v>1</v>
      </c>
      <c r="E110" s="67" t="s">
        <v>4</v>
      </c>
      <c r="F110" s="70"/>
      <c r="G110" s="68" t="e">
        <f>I110+K110+M110</f>
        <v>#REF!</v>
      </c>
      <c r="H110" s="70"/>
      <c r="I110" s="68" t="e">
        <f>TRUNC(I115,0)</f>
        <v>#REF!</v>
      </c>
      <c r="J110" s="70"/>
      <c r="K110" s="68" t="e">
        <f>TRUNC(K115,0)</f>
        <v>#REF!</v>
      </c>
      <c r="L110" s="70"/>
      <c r="M110" s="68" t="e">
        <f>TRUNC(M115,0)</f>
        <v>#REF!</v>
      </c>
      <c r="N110" s="69" t="str">
        <f>N95</f>
        <v>토목6-2-2</v>
      </c>
    </row>
    <row r="111" spans="1:14" ht="15" customHeight="1">
      <c r="A111" s="58"/>
      <c r="B111" s="55" t="s">
        <v>261</v>
      </c>
      <c r="C111" s="7" t="s">
        <v>32</v>
      </c>
      <c r="D111" s="19">
        <v>2</v>
      </c>
      <c r="E111" s="56" t="s">
        <v>24</v>
      </c>
      <c r="F111" s="20">
        <f>H111+J111+L111</f>
        <v>262580</v>
      </c>
      <c r="G111" s="21">
        <f>I111+K111+M111</f>
        <v>525160</v>
      </c>
      <c r="H111" s="20">
        <v>0</v>
      </c>
      <c r="I111" s="21"/>
      <c r="J111" s="20">
        <f>노임!$D$10</f>
        <v>262580</v>
      </c>
      <c r="K111" s="21">
        <f>TRUNC(J111*D111,1)</f>
        <v>525160</v>
      </c>
      <c r="L111" s="20">
        <v>0</v>
      </c>
      <c r="M111" s="21"/>
      <c r="N111" s="18"/>
    </row>
    <row r="112" spans="1:14" ht="15" customHeight="1">
      <c r="A112" s="58"/>
      <c r="B112" s="55" t="s">
        <v>262</v>
      </c>
      <c r="C112" s="7" t="s">
        <v>0</v>
      </c>
      <c r="D112" s="19">
        <v>1</v>
      </c>
      <c r="E112" s="56" t="s">
        <v>24</v>
      </c>
      <c r="F112" s="20">
        <f>H112+J112+L112</f>
        <v>172068</v>
      </c>
      <c r="G112" s="21">
        <f>I112+K112+M112</f>
        <v>172068</v>
      </c>
      <c r="H112" s="20">
        <v>0</v>
      </c>
      <c r="I112" s="21"/>
      <c r="J112" s="20">
        <f>노임!$D$3</f>
        <v>172068</v>
      </c>
      <c r="K112" s="21">
        <f>TRUNC(J112*D112,1)</f>
        <v>172068</v>
      </c>
      <c r="L112" s="20">
        <v>0</v>
      </c>
      <c r="M112" s="21"/>
      <c r="N112" s="18"/>
    </row>
    <row r="113" spans="1:14" ht="15" customHeight="1">
      <c r="A113" s="58"/>
      <c r="B113" s="55" t="s">
        <v>263</v>
      </c>
      <c r="C113" s="7" t="s">
        <v>172</v>
      </c>
      <c r="D113" s="19">
        <v>8</v>
      </c>
      <c r="E113" s="56" t="s">
        <v>7</v>
      </c>
      <c r="F113" s="20" t="e">
        <f>H113+J113+L113</f>
        <v>#REF!</v>
      </c>
      <c r="G113" s="21" t="e">
        <f>I113+K113+M113</f>
        <v>#REF!</v>
      </c>
      <c r="H113" s="20" t="e">
        <f>#REF!</f>
        <v>#REF!</v>
      </c>
      <c r="I113" s="21" t="e">
        <f>TRUNC(H113*D113,1)</f>
        <v>#REF!</v>
      </c>
      <c r="J113" s="20" t="e">
        <f>#REF!</f>
        <v>#REF!</v>
      </c>
      <c r="K113" s="21" t="e">
        <f>TRUNC(J113*D113,1)</f>
        <v>#REF!</v>
      </c>
      <c r="L113" s="20" t="e">
        <f>#REF!</f>
        <v>#REF!</v>
      </c>
      <c r="M113" s="21" t="e">
        <f>TRUNC(L113*D113,1)</f>
        <v>#REF!</v>
      </c>
      <c r="N113" s="18"/>
    </row>
    <row r="114" spans="1:14" ht="15" customHeight="1">
      <c r="A114" s="58"/>
      <c r="B114" s="14" t="s">
        <v>409</v>
      </c>
      <c r="C114" s="97" t="s">
        <v>219</v>
      </c>
      <c r="D114" s="3">
        <v>4</v>
      </c>
      <c r="E114" s="2" t="s">
        <v>28</v>
      </c>
      <c r="F114" s="4"/>
      <c r="G114" s="8"/>
      <c r="H114" s="4"/>
      <c r="I114" s="8"/>
      <c r="J114" s="4"/>
      <c r="K114" s="8"/>
      <c r="L114" s="4"/>
      <c r="M114" s="8">
        <f>TRUNC((K111+K112)*D114%,1)</f>
        <v>27889.1</v>
      </c>
      <c r="N114" s="18"/>
    </row>
    <row r="115" spans="1:14" customFormat="1" ht="15" customHeight="1">
      <c r="A115" s="94"/>
      <c r="B115" s="87" t="s">
        <v>376</v>
      </c>
      <c r="C115" s="95">
        <v>10</v>
      </c>
      <c r="D115" s="89">
        <f>ROUND(1/C115,4)</f>
        <v>0.1</v>
      </c>
      <c r="E115" s="90" t="s">
        <v>375</v>
      </c>
      <c r="F115" s="91"/>
      <c r="G115" s="92" t="e">
        <f>I115+K115+M115</f>
        <v>#REF!</v>
      </c>
      <c r="H115" s="91"/>
      <c r="I115" s="92" t="e">
        <f>TRUNC(SUM(I111:I114)*$D115,1)</f>
        <v>#REF!</v>
      </c>
      <c r="J115" s="91"/>
      <c r="K115" s="92" t="e">
        <f>TRUNC(SUM(K111:K114)*$D115,1)</f>
        <v>#REF!</v>
      </c>
      <c r="L115" s="91"/>
      <c r="M115" s="92" t="e">
        <f>TRUNC(SUM(M111:M114)*$D115,1)</f>
        <v>#REF!</v>
      </c>
      <c r="N115" s="96"/>
    </row>
    <row r="116" spans="1:14" ht="15" customHeight="1">
      <c r="A116" s="58"/>
      <c r="B116" s="59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22"/>
    </row>
    <row r="117" spans="1:14" ht="15" customHeight="1">
      <c r="A117" s="98">
        <f>A110+1</f>
        <v>16</v>
      </c>
      <c r="B117" s="99" t="s">
        <v>408</v>
      </c>
      <c r="C117" s="100" t="s">
        <v>518</v>
      </c>
      <c r="D117" s="100">
        <v>1</v>
      </c>
      <c r="E117" s="101" t="s">
        <v>4</v>
      </c>
      <c r="F117" s="102"/>
      <c r="G117" s="103" t="e">
        <f>I117+K117+M117</f>
        <v>#REF!</v>
      </c>
      <c r="H117" s="102"/>
      <c r="I117" s="103" t="e">
        <f>SUM(I122:I123)</f>
        <v>#REF!</v>
      </c>
      <c r="J117" s="102"/>
      <c r="K117" s="103" t="e">
        <f>SUM(K122:K123)</f>
        <v>#REF!</v>
      </c>
      <c r="L117" s="102"/>
      <c r="M117" s="103" t="e">
        <f>SUM(M122:M123)</f>
        <v>#REF!</v>
      </c>
      <c r="N117" s="104" t="str">
        <f>N110</f>
        <v>토목6-2-2</v>
      </c>
    </row>
    <row r="118" spans="1:14" ht="15" customHeight="1">
      <c r="A118" s="58"/>
      <c r="B118" s="55" t="s">
        <v>261</v>
      </c>
      <c r="C118" s="7" t="s">
        <v>32</v>
      </c>
      <c r="D118" s="19">
        <v>2</v>
      </c>
      <c r="E118" s="56" t="s">
        <v>24</v>
      </c>
      <c r="F118" s="20">
        <f>H118+J118+L118</f>
        <v>262580</v>
      </c>
      <c r="G118" s="21">
        <f>I118+K118+M118</f>
        <v>525160</v>
      </c>
      <c r="H118" s="20">
        <v>0</v>
      </c>
      <c r="I118" s="21"/>
      <c r="J118" s="20">
        <f>노임!$D$10</f>
        <v>262580</v>
      </c>
      <c r="K118" s="21">
        <f>TRUNC(J118*D118,1)</f>
        <v>525160</v>
      </c>
      <c r="L118" s="20">
        <v>0</v>
      </c>
      <c r="M118" s="21"/>
      <c r="N118" s="18"/>
    </row>
    <row r="119" spans="1:14" ht="15" customHeight="1">
      <c r="A119" s="58"/>
      <c r="B119" s="55" t="s">
        <v>262</v>
      </c>
      <c r="C119" s="7" t="s">
        <v>0</v>
      </c>
      <c r="D119" s="19">
        <v>1</v>
      </c>
      <c r="E119" s="56" t="s">
        <v>24</v>
      </c>
      <c r="F119" s="20">
        <f>H119+J119+L119</f>
        <v>172068</v>
      </c>
      <c r="G119" s="21">
        <f>I119+K119+M119</f>
        <v>172068</v>
      </c>
      <c r="H119" s="20">
        <v>0</v>
      </c>
      <c r="I119" s="21"/>
      <c r="J119" s="20">
        <f>노임!$D$3</f>
        <v>172068</v>
      </c>
      <c r="K119" s="21">
        <f>TRUNC(J119*D119,1)</f>
        <v>172068</v>
      </c>
      <c r="L119" s="20">
        <v>0</v>
      </c>
      <c r="M119" s="21"/>
      <c r="N119" s="18"/>
    </row>
    <row r="120" spans="1:14" ht="15" customHeight="1">
      <c r="A120" s="58"/>
      <c r="B120" s="55" t="s">
        <v>263</v>
      </c>
      <c r="C120" s="7" t="s">
        <v>172</v>
      </c>
      <c r="D120" s="19">
        <v>8</v>
      </c>
      <c r="E120" s="56" t="s">
        <v>7</v>
      </c>
      <c r="F120" s="20" t="e">
        <f>H120+J120+L120</f>
        <v>#REF!</v>
      </c>
      <c r="G120" s="21" t="e">
        <f>I120+K120+M120</f>
        <v>#REF!</v>
      </c>
      <c r="H120" s="20" t="e">
        <f>#REF!</f>
        <v>#REF!</v>
      </c>
      <c r="I120" s="21" t="e">
        <f>TRUNC(H120*D120,1)</f>
        <v>#REF!</v>
      </c>
      <c r="J120" s="20" t="e">
        <f>#REF!</f>
        <v>#REF!</v>
      </c>
      <c r="K120" s="21" t="e">
        <f>TRUNC(J120*D120,1)</f>
        <v>#REF!</v>
      </c>
      <c r="L120" s="20" t="e">
        <f>#REF!</f>
        <v>#REF!</v>
      </c>
      <c r="M120" s="21" t="e">
        <f>TRUNC(L120*D120,1)</f>
        <v>#REF!</v>
      </c>
      <c r="N120" s="18"/>
    </row>
    <row r="121" spans="1:14" ht="15" customHeight="1">
      <c r="A121" s="58"/>
      <c r="B121" s="14" t="s">
        <v>409</v>
      </c>
      <c r="C121" s="97" t="s">
        <v>219</v>
      </c>
      <c r="D121" s="3">
        <v>4</v>
      </c>
      <c r="E121" s="2" t="s">
        <v>28</v>
      </c>
      <c r="F121" s="4"/>
      <c r="G121" s="8"/>
      <c r="H121" s="4"/>
      <c r="I121" s="8"/>
      <c r="J121" s="4"/>
      <c r="K121" s="8"/>
      <c r="L121" s="4"/>
      <c r="M121" s="8">
        <f>TRUNC((K118+K119)*D121%,1)</f>
        <v>27889.1</v>
      </c>
      <c r="N121" s="18"/>
    </row>
    <row r="122" spans="1:14" customFormat="1" ht="15" customHeight="1">
      <c r="A122" s="94"/>
      <c r="B122" s="87" t="s">
        <v>376</v>
      </c>
      <c r="C122" s="95">
        <v>10</v>
      </c>
      <c r="D122" s="89">
        <f>ROUND(1/C122,4)</f>
        <v>0.1</v>
      </c>
      <c r="E122" s="90" t="s">
        <v>375</v>
      </c>
      <c r="F122" s="91"/>
      <c r="G122" s="92" t="e">
        <f>I122+K122+M122</f>
        <v>#REF!</v>
      </c>
      <c r="H122" s="91"/>
      <c r="I122" s="92" t="e">
        <f>TRUNC(SUM(I118:I121)*$D122,1)</f>
        <v>#REF!</v>
      </c>
      <c r="J122" s="91"/>
      <c r="K122" s="92" t="e">
        <f>TRUNC(SUM(K118:K121)*$D122,1)</f>
        <v>#REF!</v>
      </c>
      <c r="L122" s="91"/>
      <c r="M122" s="92" t="e">
        <f>TRUNC(SUM(M118:M121)*$D122,1)</f>
        <v>#REF!</v>
      </c>
      <c r="N122" s="96"/>
    </row>
    <row r="123" spans="1:14" customFormat="1" ht="15" customHeight="1">
      <c r="A123" s="94"/>
      <c r="B123" s="87" t="s">
        <v>298</v>
      </c>
      <c r="C123" s="88" t="s">
        <v>220</v>
      </c>
      <c r="D123" s="89">
        <v>30</v>
      </c>
      <c r="E123" s="90" t="s">
        <v>221</v>
      </c>
      <c r="F123" s="91"/>
      <c r="G123" s="92" t="e">
        <f>I123+K123+M123</f>
        <v>#REF!</v>
      </c>
      <c r="H123" s="91"/>
      <c r="I123" s="92" t="e">
        <f>TRUNC(I122*$D123%,1)</f>
        <v>#REF!</v>
      </c>
      <c r="J123" s="91"/>
      <c r="K123" s="92" t="e">
        <f>TRUNC(K122*$D123%,1)</f>
        <v>#REF!</v>
      </c>
      <c r="L123" s="91"/>
      <c r="M123" s="92" t="e">
        <f>TRUNC(M122*$D123%,1)</f>
        <v>#REF!</v>
      </c>
      <c r="N123" s="96"/>
    </row>
    <row r="124" spans="1:14" ht="15" customHeight="1">
      <c r="A124" s="58"/>
      <c r="B124" s="59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22"/>
    </row>
    <row r="125" spans="1:14" ht="15" customHeight="1">
      <c r="A125" s="64">
        <f>A117+1</f>
        <v>17</v>
      </c>
      <c r="B125" s="65" t="s">
        <v>408</v>
      </c>
      <c r="C125" s="66" t="s">
        <v>181</v>
      </c>
      <c r="D125" s="66">
        <v>1</v>
      </c>
      <c r="E125" s="67" t="s">
        <v>4</v>
      </c>
      <c r="F125" s="70"/>
      <c r="G125" s="68" t="e">
        <f>I125+K125+M125</f>
        <v>#REF!</v>
      </c>
      <c r="H125" s="70"/>
      <c r="I125" s="68" t="e">
        <f>TRUNC(I130,0)</f>
        <v>#REF!</v>
      </c>
      <c r="J125" s="70"/>
      <c r="K125" s="68" t="e">
        <f>TRUNC(K130,0)</f>
        <v>#REF!</v>
      </c>
      <c r="L125" s="70"/>
      <c r="M125" s="68" t="e">
        <f>TRUNC(M130,0)</f>
        <v>#REF!</v>
      </c>
      <c r="N125" s="69" t="str">
        <f>N110</f>
        <v>토목6-2-2</v>
      </c>
    </row>
    <row r="126" spans="1:14" ht="15" customHeight="1">
      <c r="A126" s="58"/>
      <c r="B126" s="55" t="s">
        <v>261</v>
      </c>
      <c r="C126" s="7" t="s">
        <v>32</v>
      </c>
      <c r="D126" s="19">
        <v>2</v>
      </c>
      <c r="E126" s="56" t="s">
        <v>24</v>
      </c>
      <c r="F126" s="20">
        <f>H126+J126+L126</f>
        <v>262580</v>
      </c>
      <c r="G126" s="21">
        <f>I126+K126+M126</f>
        <v>525160</v>
      </c>
      <c r="H126" s="20">
        <v>0</v>
      </c>
      <c r="I126" s="21"/>
      <c r="J126" s="20">
        <f>노임!$D$10</f>
        <v>262580</v>
      </c>
      <c r="K126" s="21">
        <f>TRUNC(J126*D126,1)</f>
        <v>525160</v>
      </c>
      <c r="L126" s="20">
        <v>0</v>
      </c>
      <c r="M126" s="21"/>
      <c r="N126" s="18"/>
    </row>
    <row r="127" spans="1:14" ht="15" customHeight="1">
      <c r="A127" s="58"/>
      <c r="B127" s="55" t="s">
        <v>262</v>
      </c>
      <c r="C127" s="7" t="s">
        <v>0</v>
      </c>
      <c r="D127" s="19">
        <v>1</v>
      </c>
      <c r="E127" s="56" t="s">
        <v>24</v>
      </c>
      <c r="F127" s="20">
        <f>H127+J127+L127</f>
        <v>172068</v>
      </c>
      <c r="G127" s="21">
        <f>I127+K127+M127</f>
        <v>172068</v>
      </c>
      <c r="H127" s="20">
        <v>0</v>
      </c>
      <c r="I127" s="21"/>
      <c r="J127" s="20">
        <f>노임!$D$3</f>
        <v>172068</v>
      </c>
      <c r="K127" s="21">
        <f>TRUNC(J127*D127,1)</f>
        <v>172068</v>
      </c>
      <c r="L127" s="20">
        <v>0</v>
      </c>
      <c r="M127" s="21"/>
      <c r="N127" s="18"/>
    </row>
    <row r="128" spans="1:14" ht="15" customHeight="1">
      <c r="A128" s="58"/>
      <c r="B128" s="55" t="s">
        <v>263</v>
      </c>
      <c r="C128" s="7" t="s">
        <v>172</v>
      </c>
      <c r="D128" s="19">
        <v>8</v>
      </c>
      <c r="E128" s="56" t="s">
        <v>7</v>
      </c>
      <c r="F128" s="20" t="e">
        <f>H128+J128+L128</f>
        <v>#REF!</v>
      </c>
      <c r="G128" s="21" t="e">
        <f>I128+K128+M128</f>
        <v>#REF!</v>
      </c>
      <c r="H128" s="20" t="e">
        <f>#REF!</f>
        <v>#REF!</v>
      </c>
      <c r="I128" s="21" t="e">
        <f>TRUNC(H128*D128,1)</f>
        <v>#REF!</v>
      </c>
      <c r="J128" s="20" t="e">
        <f>#REF!</f>
        <v>#REF!</v>
      </c>
      <c r="K128" s="21" t="e">
        <f>TRUNC(J128*D128,1)</f>
        <v>#REF!</v>
      </c>
      <c r="L128" s="20" t="e">
        <f>#REF!</f>
        <v>#REF!</v>
      </c>
      <c r="M128" s="21" t="e">
        <f>TRUNC(L128*D128,1)</f>
        <v>#REF!</v>
      </c>
      <c r="N128" s="18"/>
    </row>
    <row r="129" spans="1:14" ht="15" customHeight="1">
      <c r="A129" s="58"/>
      <c r="B129" s="14" t="s">
        <v>409</v>
      </c>
      <c r="C129" s="97" t="s">
        <v>219</v>
      </c>
      <c r="D129" s="3">
        <v>4</v>
      </c>
      <c r="E129" s="2" t="s">
        <v>28</v>
      </c>
      <c r="F129" s="4"/>
      <c r="G129" s="8"/>
      <c r="H129" s="4"/>
      <c r="I129" s="8"/>
      <c r="J129" s="4"/>
      <c r="K129" s="8"/>
      <c r="L129" s="4"/>
      <c r="M129" s="8">
        <f>TRUNC((K126+K127)*D129%,1)</f>
        <v>27889.1</v>
      </c>
      <c r="N129" s="18"/>
    </row>
    <row r="130" spans="1:14" customFormat="1" ht="15" customHeight="1">
      <c r="A130" s="94"/>
      <c r="B130" s="87" t="s">
        <v>376</v>
      </c>
      <c r="C130" s="95">
        <v>8</v>
      </c>
      <c r="D130" s="89">
        <f>ROUND(1/C130,4)</f>
        <v>0.125</v>
      </c>
      <c r="E130" s="90" t="s">
        <v>375</v>
      </c>
      <c r="F130" s="91"/>
      <c r="G130" s="92" t="e">
        <f>I130+K130+M130</f>
        <v>#REF!</v>
      </c>
      <c r="H130" s="91"/>
      <c r="I130" s="92" t="e">
        <f>TRUNC(SUM(I126:I129)*$D130,1)</f>
        <v>#REF!</v>
      </c>
      <c r="J130" s="91"/>
      <c r="K130" s="92" t="e">
        <f>TRUNC(SUM(K126:K129)*$D130,1)</f>
        <v>#REF!</v>
      </c>
      <c r="L130" s="91"/>
      <c r="M130" s="92" t="e">
        <f>TRUNC(SUM(M126:M129)*$D130,1)</f>
        <v>#REF!</v>
      </c>
      <c r="N130" s="96"/>
    </row>
    <row r="131" spans="1:14" ht="15" customHeight="1">
      <c r="A131" s="58"/>
      <c r="B131" s="59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22"/>
    </row>
    <row r="132" spans="1:14" ht="15" customHeight="1">
      <c r="A132" s="98">
        <f>A125+1</f>
        <v>18</v>
      </c>
      <c r="B132" s="99" t="s">
        <v>408</v>
      </c>
      <c r="C132" s="100" t="s">
        <v>519</v>
      </c>
      <c r="D132" s="100">
        <v>1</v>
      </c>
      <c r="E132" s="101" t="s">
        <v>4</v>
      </c>
      <c r="F132" s="102"/>
      <c r="G132" s="103" t="e">
        <f>I132+K132+M132</f>
        <v>#REF!</v>
      </c>
      <c r="H132" s="102"/>
      <c r="I132" s="103" t="e">
        <f>SUM(I137:I138)</f>
        <v>#REF!</v>
      </c>
      <c r="J132" s="102"/>
      <c r="K132" s="103" t="e">
        <f>SUM(K137:K138)</f>
        <v>#REF!</v>
      </c>
      <c r="L132" s="102"/>
      <c r="M132" s="103" t="e">
        <f>SUM(M137:M138)</f>
        <v>#REF!</v>
      </c>
      <c r="N132" s="104" t="str">
        <f>N125</f>
        <v>토목6-2-2</v>
      </c>
    </row>
    <row r="133" spans="1:14" ht="15" customHeight="1">
      <c r="A133" s="58"/>
      <c r="B133" s="55" t="s">
        <v>261</v>
      </c>
      <c r="C133" s="7" t="s">
        <v>32</v>
      </c>
      <c r="D133" s="19">
        <v>2</v>
      </c>
      <c r="E133" s="56" t="s">
        <v>24</v>
      </c>
      <c r="F133" s="20">
        <f>H133+J133+L133</f>
        <v>262580</v>
      </c>
      <c r="G133" s="21">
        <f>I133+K133+M133</f>
        <v>525160</v>
      </c>
      <c r="H133" s="20">
        <v>0</v>
      </c>
      <c r="I133" s="21"/>
      <c r="J133" s="20">
        <f>노임!$D$10</f>
        <v>262580</v>
      </c>
      <c r="K133" s="21">
        <f>TRUNC(J133*D133,1)</f>
        <v>525160</v>
      </c>
      <c r="L133" s="20">
        <v>0</v>
      </c>
      <c r="M133" s="21"/>
      <c r="N133" s="18"/>
    </row>
    <row r="134" spans="1:14" ht="15" customHeight="1">
      <c r="A134" s="58"/>
      <c r="B134" s="55" t="s">
        <v>262</v>
      </c>
      <c r="C134" s="7" t="s">
        <v>0</v>
      </c>
      <c r="D134" s="19">
        <v>1</v>
      </c>
      <c r="E134" s="56" t="s">
        <v>24</v>
      </c>
      <c r="F134" s="20">
        <f>H134+J134+L134</f>
        <v>172068</v>
      </c>
      <c r="G134" s="21">
        <f>I134+K134+M134</f>
        <v>172068</v>
      </c>
      <c r="H134" s="20">
        <v>0</v>
      </c>
      <c r="I134" s="21"/>
      <c r="J134" s="20">
        <f>노임!$D$3</f>
        <v>172068</v>
      </c>
      <c r="K134" s="21">
        <f>TRUNC(J134*D134,1)</f>
        <v>172068</v>
      </c>
      <c r="L134" s="20">
        <v>0</v>
      </c>
      <c r="M134" s="21"/>
      <c r="N134" s="18"/>
    </row>
    <row r="135" spans="1:14" ht="15" customHeight="1">
      <c r="A135" s="58"/>
      <c r="B135" s="55" t="s">
        <v>263</v>
      </c>
      <c r="C135" s="7" t="s">
        <v>172</v>
      </c>
      <c r="D135" s="19">
        <v>8</v>
      </c>
      <c r="E135" s="56" t="s">
        <v>7</v>
      </c>
      <c r="F135" s="20" t="e">
        <f>H135+J135+L135</f>
        <v>#REF!</v>
      </c>
      <c r="G135" s="21" t="e">
        <f>I135+K135+M135</f>
        <v>#REF!</v>
      </c>
      <c r="H135" s="20" t="e">
        <f>#REF!</f>
        <v>#REF!</v>
      </c>
      <c r="I135" s="21" t="e">
        <f>TRUNC(H135*D135,1)</f>
        <v>#REF!</v>
      </c>
      <c r="J135" s="20" t="e">
        <f>#REF!</f>
        <v>#REF!</v>
      </c>
      <c r="K135" s="21" t="e">
        <f>TRUNC(J135*D135,1)</f>
        <v>#REF!</v>
      </c>
      <c r="L135" s="20" t="e">
        <f>#REF!</f>
        <v>#REF!</v>
      </c>
      <c r="M135" s="21" t="e">
        <f>TRUNC(L135*D135,1)</f>
        <v>#REF!</v>
      </c>
      <c r="N135" s="18"/>
    </row>
    <row r="136" spans="1:14" ht="15" customHeight="1">
      <c r="A136" s="58"/>
      <c r="B136" s="14" t="s">
        <v>409</v>
      </c>
      <c r="C136" s="97" t="s">
        <v>219</v>
      </c>
      <c r="D136" s="3">
        <v>4</v>
      </c>
      <c r="E136" s="2" t="s">
        <v>28</v>
      </c>
      <c r="F136" s="4"/>
      <c r="G136" s="8"/>
      <c r="H136" s="4"/>
      <c r="I136" s="8"/>
      <c r="J136" s="4"/>
      <c r="K136" s="8"/>
      <c r="L136" s="4"/>
      <c r="M136" s="8">
        <f>TRUNC((K133+K134)*D136%,1)</f>
        <v>27889.1</v>
      </c>
      <c r="N136" s="18"/>
    </row>
    <row r="137" spans="1:14" customFormat="1" ht="15" customHeight="1">
      <c r="A137" s="94"/>
      <c r="B137" s="87" t="s">
        <v>376</v>
      </c>
      <c r="C137" s="95">
        <v>8</v>
      </c>
      <c r="D137" s="89">
        <f>ROUND(1/C137,4)</f>
        <v>0.125</v>
      </c>
      <c r="E137" s="90" t="s">
        <v>375</v>
      </c>
      <c r="F137" s="91"/>
      <c r="G137" s="92" t="e">
        <f>I137+K137+M137</f>
        <v>#REF!</v>
      </c>
      <c r="H137" s="91"/>
      <c r="I137" s="92" t="e">
        <f>TRUNC(SUM(I133:I136)*$D137,1)</f>
        <v>#REF!</v>
      </c>
      <c r="J137" s="91"/>
      <c r="K137" s="92" t="e">
        <f>TRUNC(SUM(K133:K136)*$D137,1)</f>
        <v>#REF!</v>
      </c>
      <c r="L137" s="91"/>
      <c r="M137" s="92" t="e">
        <f>TRUNC(SUM(M133:M136)*$D137,1)</f>
        <v>#REF!</v>
      </c>
      <c r="N137" s="96"/>
    </row>
    <row r="138" spans="1:14" customFormat="1" ht="15" customHeight="1">
      <c r="A138" s="94"/>
      <c r="B138" s="87" t="s">
        <v>298</v>
      </c>
      <c r="C138" s="88" t="s">
        <v>220</v>
      </c>
      <c r="D138" s="89">
        <v>30</v>
      </c>
      <c r="E138" s="90" t="s">
        <v>221</v>
      </c>
      <c r="F138" s="91"/>
      <c r="G138" s="92" t="e">
        <f>I138+K138+M138</f>
        <v>#REF!</v>
      </c>
      <c r="H138" s="91"/>
      <c r="I138" s="92" t="e">
        <f>TRUNC(I137*$D138%,1)</f>
        <v>#REF!</v>
      </c>
      <c r="J138" s="91"/>
      <c r="K138" s="92" t="e">
        <f>TRUNC(K137*$D138%,1)</f>
        <v>#REF!</v>
      </c>
      <c r="L138" s="91"/>
      <c r="M138" s="92" t="e">
        <f>TRUNC(M137*$D138%,1)</f>
        <v>#REF!</v>
      </c>
      <c r="N138" s="96"/>
    </row>
    <row r="139" spans="1:14" ht="15" customHeight="1">
      <c r="A139" s="58"/>
      <c r="B139" s="59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22"/>
    </row>
    <row r="140" spans="1:14" ht="15" customHeight="1">
      <c r="A140" s="64">
        <f>A132+1</f>
        <v>19</v>
      </c>
      <c r="B140" s="65" t="s">
        <v>408</v>
      </c>
      <c r="C140" s="66" t="s">
        <v>182</v>
      </c>
      <c r="D140" s="66">
        <v>1</v>
      </c>
      <c r="E140" s="67" t="s">
        <v>4</v>
      </c>
      <c r="F140" s="70"/>
      <c r="G140" s="68" t="e">
        <f>I140+K140+M140</f>
        <v>#REF!</v>
      </c>
      <c r="H140" s="70"/>
      <c r="I140" s="68" t="e">
        <f>TRUNC(I145,0)</f>
        <v>#REF!</v>
      </c>
      <c r="J140" s="70"/>
      <c r="K140" s="68" t="e">
        <f>TRUNC(K145,0)</f>
        <v>#REF!</v>
      </c>
      <c r="L140" s="70"/>
      <c r="M140" s="68" t="e">
        <f>TRUNC(M145,0)</f>
        <v>#REF!</v>
      </c>
      <c r="N140" s="69" t="str">
        <f>N125</f>
        <v>토목6-2-2</v>
      </c>
    </row>
    <row r="141" spans="1:14" ht="15" customHeight="1">
      <c r="A141" s="58"/>
      <c r="B141" s="55" t="s">
        <v>261</v>
      </c>
      <c r="C141" s="7" t="s">
        <v>32</v>
      </c>
      <c r="D141" s="19">
        <v>3</v>
      </c>
      <c r="E141" s="56" t="s">
        <v>24</v>
      </c>
      <c r="F141" s="20">
        <f>H141+J141+L141</f>
        <v>262580</v>
      </c>
      <c r="G141" s="21">
        <f>I141+K141+M141</f>
        <v>787740</v>
      </c>
      <c r="H141" s="20">
        <v>0</v>
      </c>
      <c r="I141" s="21"/>
      <c r="J141" s="20">
        <f>노임!$D$10</f>
        <v>262580</v>
      </c>
      <c r="K141" s="21">
        <f>TRUNC(J141*D141,1)</f>
        <v>787740</v>
      </c>
      <c r="L141" s="20">
        <v>0</v>
      </c>
      <c r="M141" s="21"/>
      <c r="N141" s="18"/>
    </row>
    <row r="142" spans="1:14" ht="15" customHeight="1">
      <c r="A142" s="58"/>
      <c r="B142" s="55" t="s">
        <v>262</v>
      </c>
      <c r="C142" s="7" t="s">
        <v>0</v>
      </c>
      <c r="D142" s="19">
        <v>1</v>
      </c>
      <c r="E142" s="56" t="s">
        <v>24</v>
      </c>
      <c r="F142" s="20">
        <f>H142+J142+L142</f>
        <v>172068</v>
      </c>
      <c r="G142" s="21">
        <f>I142+K142+M142</f>
        <v>172068</v>
      </c>
      <c r="H142" s="20">
        <v>0</v>
      </c>
      <c r="I142" s="21"/>
      <c r="J142" s="20">
        <f>노임!$D$3</f>
        <v>172068</v>
      </c>
      <c r="K142" s="21">
        <f>TRUNC(J142*D142,1)</f>
        <v>172068</v>
      </c>
      <c r="L142" s="20">
        <v>0</v>
      </c>
      <c r="M142" s="21"/>
      <c r="N142" s="18"/>
    </row>
    <row r="143" spans="1:14" ht="15" customHeight="1">
      <c r="A143" s="58"/>
      <c r="B143" s="55" t="s">
        <v>263</v>
      </c>
      <c r="C143" s="7" t="s">
        <v>172</v>
      </c>
      <c r="D143" s="19">
        <v>8</v>
      </c>
      <c r="E143" s="56" t="s">
        <v>7</v>
      </c>
      <c r="F143" s="20" t="e">
        <f>H143+J143+L143</f>
        <v>#REF!</v>
      </c>
      <c r="G143" s="21" t="e">
        <f>I143+K143+M143</f>
        <v>#REF!</v>
      </c>
      <c r="H143" s="20" t="e">
        <f>#REF!</f>
        <v>#REF!</v>
      </c>
      <c r="I143" s="21" t="e">
        <f>TRUNC(H143*D143,1)</f>
        <v>#REF!</v>
      </c>
      <c r="J143" s="20" t="e">
        <f>#REF!</f>
        <v>#REF!</v>
      </c>
      <c r="K143" s="21" t="e">
        <f>TRUNC(J143*D143,1)</f>
        <v>#REF!</v>
      </c>
      <c r="L143" s="20" t="e">
        <f>#REF!</f>
        <v>#REF!</v>
      </c>
      <c r="M143" s="21" t="e">
        <f>TRUNC(L143*D143,1)</f>
        <v>#REF!</v>
      </c>
      <c r="N143" s="18"/>
    </row>
    <row r="144" spans="1:14" ht="15" customHeight="1">
      <c r="A144" s="58"/>
      <c r="B144" s="14" t="s">
        <v>409</v>
      </c>
      <c r="C144" s="97" t="s">
        <v>219</v>
      </c>
      <c r="D144" s="3">
        <v>3</v>
      </c>
      <c r="E144" s="2" t="s">
        <v>28</v>
      </c>
      <c r="F144" s="4"/>
      <c r="G144" s="8"/>
      <c r="H144" s="4"/>
      <c r="I144" s="8"/>
      <c r="J144" s="4"/>
      <c r="K144" s="8"/>
      <c r="L144" s="4"/>
      <c r="M144" s="8">
        <f>TRUNC((K141+K142)*D144%,1)</f>
        <v>28794.2</v>
      </c>
      <c r="N144" s="18"/>
    </row>
    <row r="145" spans="1:14" customFormat="1" ht="15" customHeight="1">
      <c r="A145" s="94"/>
      <c r="B145" s="87" t="s">
        <v>376</v>
      </c>
      <c r="C145" s="95">
        <v>8.5</v>
      </c>
      <c r="D145" s="89">
        <f>ROUND(1/C145,4)</f>
        <v>0.1176</v>
      </c>
      <c r="E145" s="90" t="s">
        <v>375</v>
      </c>
      <c r="F145" s="91"/>
      <c r="G145" s="92" t="e">
        <f>I145+K145+M145</f>
        <v>#REF!</v>
      </c>
      <c r="H145" s="91"/>
      <c r="I145" s="92" t="e">
        <f>TRUNC(SUM(I141:I144)*$D145,1)</f>
        <v>#REF!</v>
      </c>
      <c r="J145" s="91"/>
      <c r="K145" s="92" t="e">
        <f>TRUNC(SUM(K141:K144)*$D145,1)</f>
        <v>#REF!</v>
      </c>
      <c r="L145" s="91"/>
      <c r="M145" s="92" t="e">
        <f>TRUNC(SUM(M141:M144)*$D145,1)</f>
        <v>#REF!</v>
      </c>
      <c r="N145" s="96"/>
    </row>
    <row r="146" spans="1:14" ht="15" customHeight="1">
      <c r="A146" s="58"/>
      <c r="B146" s="59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22"/>
    </row>
    <row r="147" spans="1:14" ht="15" customHeight="1">
      <c r="A147" s="98">
        <f>A140+1</f>
        <v>20</v>
      </c>
      <c r="B147" s="99" t="s">
        <v>408</v>
      </c>
      <c r="C147" s="100" t="s">
        <v>520</v>
      </c>
      <c r="D147" s="100">
        <v>1</v>
      </c>
      <c r="E147" s="101" t="s">
        <v>4</v>
      </c>
      <c r="F147" s="102"/>
      <c r="G147" s="103" t="e">
        <f>I147+K147+M147</f>
        <v>#REF!</v>
      </c>
      <c r="H147" s="102"/>
      <c r="I147" s="103" t="e">
        <f>SUM(I152:I153)</f>
        <v>#REF!</v>
      </c>
      <c r="J147" s="102"/>
      <c r="K147" s="103" t="e">
        <f>SUM(K152:K153)</f>
        <v>#REF!</v>
      </c>
      <c r="L147" s="102"/>
      <c r="M147" s="103" t="e">
        <f>SUM(M152:M153)</f>
        <v>#REF!</v>
      </c>
      <c r="N147" s="104" t="str">
        <f>N140</f>
        <v>토목6-2-2</v>
      </c>
    </row>
    <row r="148" spans="1:14" ht="15" customHeight="1">
      <c r="A148" s="58"/>
      <c r="B148" s="55" t="s">
        <v>261</v>
      </c>
      <c r="C148" s="7" t="s">
        <v>32</v>
      </c>
      <c r="D148" s="19">
        <v>3</v>
      </c>
      <c r="E148" s="56" t="s">
        <v>24</v>
      </c>
      <c r="F148" s="20">
        <f>H148+J148+L148</f>
        <v>262580</v>
      </c>
      <c r="G148" s="21">
        <f>I148+K148+M148</f>
        <v>787740</v>
      </c>
      <c r="H148" s="20">
        <v>0</v>
      </c>
      <c r="I148" s="21"/>
      <c r="J148" s="20">
        <f>노임!$D$10</f>
        <v>262580</v>
      </c>
      <c r="K148" s="21">
        <f>TRUNC(J148*D148,1)</f>
        <v>787740</v>
      </c>
      <c r="L148" s="20">
        <v>0</v>
      </c>
      <c r="M148" s="21"/>
      <c r="N148" s="18"/>
    </row>
    <row r="149" spans="1:14" ht="15" customHeight="1">
      <c r="A149" s="58"/>
      <c r="B149" s="55" t="s">
        <v>262</v>
      </c>
      <c r="C149" s="7" t="s">
        <v>0</v>
      </c>
      <c r="D149" s="19">
        <v>1</v>
      </c>
      <c r="E149" s="56" t="s">
        <v>24</v>
      </c>
      <c r="F149" s="20">
        <f>H149+J149+L149</f>
        <v>172068</v>
      </c>
      <c r="G149" s="21">
        <f>I149+K149+M149</f>
        <v>172068</v>
      </c>
      <c r="H149" s="20">
        <v>0</v>
      </c>
      <c r="I149" s="21"/>
      <c r="J149" s="20">
        <f>노임!$D$3</f>
        <v>172068</v>
      </c>
      <c r="K149" s="21">
        <f>TRUNC(J149*D149,1)</f>
        <v>172068</v>
      </c>
      <c r="L149" s="20">
        <v>0</v>
      </c>
      <c r="M149" s="21"/>
      <c r="N149" s="18"/>
    </row>
    <row r="150" spans="1:14" ht="15" customHeight="1">
      <c r="A150" s="58"/>
      <c r="B150" s="55" t="s">
        <v>263</v>
      </c>
      <c r="C150" s="7" t="s">
        <v>172</v>
      </c>
      <c r="D150" s="19">
        <v>8</v>
      </c>
      <c r="E150" s="56" t="s">
        <v>7</v>
      </c>
      <c r="F150" s="20" t="e">
        <f>H150+J150+L150</f>
        <v>#REF!</v>
      </c>
      <c r="G150" s="21" t="e">
        <f>I150+K150+M150</f>
        <v>#REF!</v>
      </c>
      <c r="H150" s="20" t="e">
        <f>#REF!</f>
        <v>#REF!</v>
      </c>
      <c r="I150" s="21" t="e">
        <f>TRUNC(H150*D150,1)</f>
        <v>#REF!</v>
      </c>
      <c r="J150" s="20" t="e">
        <f>#REF!</f>
        <v>#REF!</v>
      </c>
      <c r="K150" s="21" t="e">
        <f>TRUNC(J150*D150,1)</f>
        <v>#REF!</v>
      </c>
      <c r="L150" s="20" t="e">
        <f>#REF!</f>
        <v>#REF!</v>
      </c>
      <c r="M150" s="21" t="e">
        <f>TRUNC(L150*D150,1)</f>
        <v>#REF!</v>
      </c>
      <c r="N150" s="18"/>
    </row>
    <row r="151" spans="1:14" ht="15" customHeight="1">
      <c r="A151" s="58"/>
      <c r="B151" s="14" t="s">
        <v>409</v>
      </c>
      <c r="C151" s="97" t="s">
        <v>219</v>
      </c>
      <c r="D151" s="3">
        <v>3</v>
      </c>
      <c r="E151" s="2" t="s">
        <v>28</v>
      </c>
      <c r="F151" s="4"/>
      <c r="G151" s="8"/>
      <c r="H151" s="4"/>
      <c r="I151" s="8"/>
      <c r="J151" s="4"/>
      <c r="K151" s="8"/>
      <c r="L151" s="4"/>
      <c r="M151" s="8">
        <f>TRUNC((K148+K149)*D151%,1)</f>
        <v>28794.2</v>
      </c>
      <c r="N151" s="18"/>
    </row>
    <row r="152" spans="1:14" customFormat="1" ht="15" customHeight="1">
      <c r="A152" s="94"/>
      <c r="B152" s="87" t="s">
        <v>376</v>
      </c>
      <c r="C152" s="95">
        <v>8.5</v>
      </c>
      <c r="D152" s="89">
        <f>ROUND(1/C152,4)</f>
        <v>0.1176</v>
      </c>
      <c r="E152" s="90" t="s">
        <v>375</v>
      </c>
      <c r="F152" s="91"/>
      <c r="G152" s="92" t="e">
        <f>I152+K152+M152</f>
        <v>#REF!</v>
      </c>
      <c r="H152" s="91"/>
      <c r="I152" s="92" t="e">
        <f>TRUNC(SUM(I148:I151)*$D152,1)</f>
        <v>#REF!</v>
      </c>
      <c r="J152" s="91"/>
      <c r="K152" s="92" t="e">
        <f>TRUNC(SUM(K148:K151)*$D152,1)</f>
        <v>#REF!</v>
      </c>
      <c r="L152" s="91"/>
      <c r="M152" s="92" t="e">
        <f>TRUNC(SUM(M148:M151)*$D152,1)</f>
        <v>#REF!</v>
      </c>
      <c r="N152" s="96"/>
    </row>
    <row r="153" spans="1:14" customFormat="1" ht="15" customHeight="1">
      <c r="A153" s="94"/>
      <c r="B153" s="87" t="s">
        <v>298</v>
      </c>
      <c r="C153" s="88" t="s">
        <v>220</v>
      </c>
      <c r="D153" s="89">
        <v>30</v>
      </c>
      <c r="E153" s="90" t="s">
        <v>221</v>
      </c>
      <c r="F153" s="91"/>
      <c r="G153" s="92" t="e">
        <f>I153+K153+M153</f>
        <v>#REF!</v>
      </c>
      <c r="H153" s="91"/>
      <c r="I153" s="92" t="e">
        <f>TRUNC(I152*$D153%,1)</f>
        <v>#REF!</v>
      </c>
      <c r="J153" s="91"/>
      <c r="K153" s="92" t="e">
        <f>TRUNC(K152*$D153%,1)</f>
        <v>#REF!</v>
      </c>
      <c r="L153" s="91"/>
      <c r="M153" s="92" t="e">
        <f>TRUNC(M152*$D153%,1)</f>
        <v>#REF!</v>
      </c>
      <c r="N153" s="96"/>
    </row>
    <row r="154" spans="1:14" ht="15" customHeight="1">
      <c r="A154" s="58"/>
      <c r="B154" s="59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22"/>
    </row>
    <row r="155" spans="1:14" ht="15" customHeight="1">
      <c r="A155" s="64">
        <f>A147+1</f>
        <v>21</v>
      </c>
      <c r="B155" s="65" t="s">
        <v>408</v>
      </c>
      <c r="C155" s="66" t="s">
        <v>183</v>
      </c>
      <c r="D155" s="66">
        <v>1</v>
      </c>
      <c r="E155" s="67" t="s">
        <v>4</v>
      </c>
      <c r="F155" s="70"/>
      <c r="G155" s="68" t="e">
        <f>I155+K155+M155</f>
        <v>#REF!</v>
      </c>
      <c r="H155" s="70"/>
      <c r="I155" s="68" t="e">
        <f>TRUNC(I160,0)</f>
        <v>#REF!</v>
      </c>
      <c r="J155" s="70"/>
      <c r="K155" s="68" t="e">
        <f>TRUNC(K160,0)</f>
        <v>#REF!</v>
      </c>
      <c r="L155" s="70"/>
      <c r="M155" s="68" t="e">
        <f>TRUNC(M160,0)</f>
        <v>#REF!</v>
      </c>
      <c r="N155" s="69" t="str">
        <f>N140</f>
        <v>토목6-2-2</v>
      </c>
    </row>
    <row r="156" spans="1:14" ht="15" customHeight="1">
      <c r="A156" s="58"/>
      <c r="B156" s="55" t="s">
        <v>261</v>
      </c>
      <c r="C156" s="7" t="s">
        <v>32</v>
      </c>
      <c r="D156" s="19">
        <v>3</v>
      </c>
      <c r="E156" s="56" t="s">
        <v>24</v>
      </c>
      <c r="F156" s="20">
        <f>H156+J156+L156</f>
        <v>262580</v>
      </c>
      <c r="G156" s="21">
        <f>I156+K156+M156</f>
        <v>787740</v>
      </c>
      <c r="H156" s="20">
        <v>0</v>
      </c>
      <c r="I156" s="21"/>
      <c r="J156" s="20">
        <f>노임!$D$10</f>
        <v>262580</v>
      </c>
      <c r="K156" s="21">
        <f>TRUNC(J156*D156,1)</f>
        <v>787740</v>
      </c>
      <c r="L156" s="20">
        <v>0</v>
      </c>
      <c r="M156" s="21"/>
      <c r="N156" s="18"/>
    </row>
    <row r="157" spans="1:14" ht="15" customHeight="1">
      <c r="A157" s="58"/>
      <c r="B157" s="55" t="s">
        <v>262</v>
      </c>
      <c r="C157" s="7" t="s">
        <v>0</v>
      </c>
      <c r="D157" s="19">
        <v>1</v>
      </c>
      <c r="E157" s="56" t="s">
        <v>24</v>
      </c>
      <c r="F157" s="20">
        <f>H157+J157+L157</f>
        <v>172068</v>
      </c>
      <c r="G157" s="21">
        <f>I157+K157+M157</f>
        <v>172068</v>
      </c>
      <c r="H157" s="20">
        <v>0</v>
      </c>
      <c r="I157" s="21"/>
      <c r="J157" s="20">
        <f>노임!$D$3</f>
        <v>172068</v>
      </c>
      <c r="K157" s="21">
        <f>TRUNC(J157*D157,1)</f>
        <v>172068</v>
      </c>
      <c r="L157" s="20">
        <v>0</v>
      </c>
      <c r="M157" s="21"/>
      <c r="N157" s="18"/>
    </row>
    <row r="158" spans="1:14" ht="15" customHeight="1">
      <c r="A158" s="58"/>
      <c r="B158" s="55" t="s">
        <v>263</v>
      </c>
      <c r="C158" s="7" t="s">
        <v>172</v>
      </c>
      <c r="D158" s="19">
        <v>8</v>
      </c>
      <c r="E158" s="56" t="s">
        <v>7</v>
      </c>
      <c r="F158" s="20" t="e">
        <f>H158+J158+L158</f>
        <v>#REF!</v>
      </c>
      <c r="G158" s="21" t="e">
        <f>I158+K158+M158</f>
        <v>#REF!</v>
      </c>
      <c r="H158" s="20" t="e">
        <f>#REF!</f>
        <v>#REF!</v>
      </c>
      <c r="I158" s="21" t="e">
        <f>TRUNC(H158*D158,1)</f>
        <v>#REF!</v>
      </c>
      <c r="J158" s="20" t="e">
        <f>#REF!</f>
        <v>#REF!</v>
      </c>
      <c r="K158" s="21" t="e">
        <f>TRUNC(J158*D158,1)</f>
        <v>#REF!</v>
      </c>
      <c r="L158" s="20" t="e">
        <f>#REF!</f>
        <v>#REF!</v>
      </c>
      <c r="M158" s="21" t="e">
        <f>TRUNC(L158*D158,1)</f>
        <v>#REF!</v>
      </c>
      <c r="N158" s="18"/>
    </row>
    <row r="159" spans="1:14" ht="15" customHeight="1">
      <c r="A159" s="58"/>
      <c r="B159" s="14" t="s">
        <v>409</v>
      </c>
      <c r="C159" s="97" t="s">
        <v>219</v>
      </c>
      <c r="D159" s="3">
        <v>3</v>
      </c>
      <c r="E159" s="2" t="s">
        <v>28</v>
      </c>
      <c r="F159" s="4"/>
      <c r="G159" s="8"/>
      <c r="H159" s="4"/>
      <c r="I159" s="8"/>
      <c r="J159" s="4"/>
      <c r="K159" s="8"/>
      <c r="L159" s="4"/>
      <c r="M159" s="8">
        <f>TRUNC((K156+K157)*D159%,1)</f>
        <v>28794.2</v>
      </c>
      <c r="N159" s="18"/>
    </row>
    <row r="160" spans="1:14" customFormat="1" ht="15" customHeight="1">
      <c r="A160" s="94"/>
      <c r="B160" s="87" t="s">
        <v>376</v>
      </c>
      <c r="C160" s="95">
        <v>7.5</v>
      </c>
      <c r="D160" s="89">
        <f>ROUND(1/C160,4)</f>
        <v>0.1333</v>
      </c>
      <c r="E160" s="90" t="s">
        <v>375</v>
      </c>
      <c r="F160" s="91"/>
      <c r="G160" s="92" t="e">
        <f>I160+K160+M160</f>
        <v>#REF!</v>
      </c>
      <c r="H160" s="91"/>
      <c r="I160" s="92" t="e">
        <f>TRUNC(SUM(I156:I159)*$D160,1)</f>
        <v>#REF!</v>
      </c>
      <c r="J160" s="91"/>
      <c r="K160" s="92" t="e">
        <f>TRUNC(SUM(K156:K159)*$D160,1)</f>
        <v>#REF!</v>
      </c>
      <c r="L160" s="91"/>
      <c r="M160" s="92" t="e">
        <f>TRUNC(SUM(M156:M159)*$D160,1)</f>
        <v>#REF!</v>
      </c>
      <c r="N160" s="96"/>
    </row>
    <row r="161" spans="1:14" ht="15" customHeight="1">
      <c r="A161" s="58"/>
      <c r="B161" s="59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22"/>
    </row>
    <row r="162" spans="1:14" ht="15" customHeight="1">
      <c r="A162" s="98">
        <f>A155+1</f>
        <v>22</v>
      </c>
      <c r="B162" s="99" t="s">
        <v>408</v>
      </c>
      <c r="C162" s="100" t="s">
        <v>521</v>
      </c>
      <c r="D162" s="100">
        <v>1</v>
      </c>
      <c r="E162" s="101" t="s">
        <v>4</v>
      </c>
      <c r="F162" s="102"/>
      <c r="G162" s="103" t="e">
        <f>I162+K162+M162</f>
        <v>#REF!</v>
      </c>
      <c r="H162" s="102"/>
      <c r="I162" s="103" t="e">
        <f>SUM(I167:I168)</f>
        <v>#REF!</v>
      </c>
      <c r="J162" s="102"/>
      <c r="K162" s="103" t="e">
        <f>SUM(K167:K168)</f>
        <v>#REF!</v>
      </c>
      <c r="L162" s="102"/>
      <c r="M162" s="103" t="e">
        <f>SUM(M167:M168)</f>
        <v>#REF!</v>
      </c>
      <c r="N162" s="104" t="str">
        <f>N155</f>
        <v>토목6-2-2</v>
      </c>
    </row>
    <row r="163" spans="1:14" ht="15" customHeight="1">
      <c r="A163" s="58"/>
      <c r="B163" s="55" t="s">
        <v>261</v>
      </c>
      <c r="C163" s="7" t="s">
        <v>32</v>
      </c>
      <c r="D163" s="19">
        <v>3</v>
      </c>
      <c r="E163" s="56" t="s">
        <v>24</v>
      </c>
      <c r="F163" s="20">
        <f>H163+J163+L163</f>
        <v>262580</v>
      </c>
      <c r="G163" s="21">
        <f>I163+K163+M163</f>
        <v>787740</v>
      </c>
      <c r="H163" s="20">
        <v>0</v>
      </c>
      <c r="I163" s="21"/>
      <c r="J163" s="20">
        <f>노임!$D$10</f>
        <v>262580</v>
      </c>
      <c r="K163" s="21">
        <f>TRUNC(J163*D163,1)</f>
        <v>787740</v>
      </c>
      <c r="L163" s="20">
        <v>0</v>
      </c>
      <c r="M163" s="21"/>
      <c r="N163" s="18"/>
    </row>
    <row r="164" spans="1:14" ht="15" customHeight="1">
      <c r="A164" s="58"/>
      <c r="B164" s="55" t="s">
        <v>262</v>
      </c>
      <c r="C164" s="7" t="s">
        <v>0</v>
      </c>
      <c r="D164" s="19">
        <v>1</v>
      </c>
      <c r="E164" s="56" t="s">
        <v>24</v>
      </c>
      <c r="F164" s="20">
        <f>H164+J164+L164</f>
        <v>172068</v>
      </c>
      <c r="G164" s="21">
        <f>I164+K164+M164</f>
        <v>172068</v>
      </c>
      <c r="H164" s="20">
        <v>0</v>
      </c>
      <c r="I164" s="21"/>
      <c r="J164" s="20">
        <f>노임!$D$3</f>
        <v>172068</v>
      </c>
      <c r="K164" s="21">
        <f>TRUNC(J164*D164,1)</f>
        <v>172068</v>
      </c>
      <c r="L164" s="20">
        <v>0</v>
      </c>
      <c r="M164" s="21"/>
      <c r="N164" s="18"/>
    </row>
    <row r="165" spans="1:14" ht="15" customHeight="1">
      <c r="A165" s="58"/>
      <c r="B165" s="55" t="s">
        <v>263</v>
      </c>
      <c r="C165" s="7" t="s">
        <v>172</v>
      </c>
      <c r="D165" s="19">
        <v>8</v>
      </c>
      <c r="E165" s="56" t="s">
        <v>7</v>
      </c>
      <c r="F165" s="20" t="e">
        <f>H165+J165+L165</f>
        <v>#REF!</v>
      </c>
      <c r="G165" s="21" t="e">
        <f>I165+K165+M165</f>
        <v>#REF!</v>
      </c>
      <c r="H165" s="20" t="e">
        <f>#REF!</f>
        <v>#REF!</v>
      </c>
      <c r="I165" s="21" t="e">
        <f>TRUNC(H165*D165,1)</f>
        <v>#REF!</v>
      </c>
      <c r="J165" s="20" t="e">
        <f>#REF!</f>
        <v>#REF!</v>
      </c>
      <c r="K165" s="21" t="e">
        <f>TRUNC(J165*D165,1)</f>
        <v>#REF!</v>
      </c>
      <c r="L165" s="20" t="e">
        <f>#REF!</f>
        <v>#REF!</v>
      </c>
      <c r="M165" s="21" t="e">
        <f>TRUNC(L165*D165,1)</f>
        <v>#REF!</v>
      </c>
      <c r="N165" s="18"/>
    </row>
    <row r="166" spans="1:14" ht="15" customHeight="1">
      <c r="A166" s="58"/>
      <c r="B166" s="14" t="s">
        <v>409</v>
      </c>
      <c r="C166" s="97" t="s">
        <v>219</v>
      </c>
      <c r="D166" s="3">
        <v>3</v>
      </c>
      <c r="E166" s="2" t="s">
        <v>28</v>
      </c>
      <c r="F166" s="4"/>
      <c r="G166" s="8"/>
      <c r="H166" s="4"/>
      <c r="I166" s="8"/>
      <c r="J166" s="4"/>
      <c r="K166" s="8"/>
      <c r="L166" s="4"/>
      <c r="M166" s="8">
        <f>TRUNC((K163+K164)*D166%,1)</f>
        <v>28794.2</v>
      </c>
      <c r="N166" s="18"/>
    </row>
    <row r="167" spans="1:14" customFormat="1" ht="15" customHeight="1">
      <c r="A167" s="94"/>
      <c r="B167" s="87" t="s">
        <v>376</v>
      </c>
      <c r="C167" s="95">
        <v>7.5</v>
      </c>
      <c r="D167" s="89">
        <f>ROUND(1/C167,4)</f>
        <v>0.1333</v>
      </c>
      <c r="E167" s="90" t="s">
        <v>375</v>
      </c>
      <c r="F167" s="91"/>
      <c r="G167" s="92" t="e">
        <f>I167+K167+M167</f>
        <v>#REF!</v>
      </c>
      <c r="H167" s="91"/>
      <c r="I167" s="92" t="e">
        <f>TRUNC(SUM(I163:I166)*$D167,1)</f>
        <v>#REF!</v>
      </c>
      <c r="J167" s="91"/>
      <c r="K167" s="92" t="e">
        <f>TRUNC(SUM(K163:K166)*$D167,1)</f>
        <v>#REF!</v>
      </c>
      <c r="L167" s="91"/>
      <c r="M167" s="92" t="e">
        <f>TRUNC(SUM(M163:M166)*$D167,1)</f>
        <v>#REF!</v>
      </c>
      <c r="N167" s="96"/>
    </row>
    <row r="168" spans="1:14" customFormat="1" ht="15" customHeight="1">
      <c r="A168" s="94"/>
      <c r="B168" s="87" t="s">
        <v>298</v>
      </c>
      <c r="C168" s="88" t="s">
        <v>220</v>
      </c>
      <c r="D168" s="89">
        <v>30</v>
      </c>
      <c r="E168" s="90" t="s">
        <v>221</v>
      </c>
      <c r="F168" s="91"/>
      <c r="G168" s="92" t="e">
        <f>I168+K168+M168</f>
        <v>#REF!</v>
      </c>
      <c r="H168" s="91"/>
      <c r="I168" s="92" t="e">
        <f>TRUNC(I167*$D168%,1)</f>
        <v>#REF!</v>
      </c>
      <c r="J168" s="91"/>
      <c r="K168" s="92" t="e">
        <f>TRUNC(K167*$D168%,1)</f>
        <v>#REF!</v>
      </c>
      <c r="L168" s="91"/>
      <c r="M168" s="92" t="e">
        <f>TRUNC(M167*$D168%,1)</f>
        <v>#REF!</v>
      </c>
      <c r="N168" s="96"/>
    </row>
    <row r="169" spans="1:14" ht="15" customHeight="1">
      <c r="A169" s="58"/>
      <c r="B169" s="59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22"/>
    </row>
    <row r="170" spans="1:14" ht="15" customHeight="1">
      <c r="A170" s="64">
        <f>A162+1</f>
        <v>23</v>
      </c>
      <c r="B170" s="65" t="s">
        <v>408</v>
      </c>
      <c r="C170" s="66" t="s">
        <v>185</v>
      </c>
      <c r="D170" s="66">
        <v>1</v>
      </c>
      <c r="E170" s="67" t="s">
        <v>4</v>
      </c>
      <c r="F170" s="70"/>
      <c r="G170" s="68" t="e">
        <f>I170+K170+M170</f>
        <v>#REF!</v>
      </c>
      <c r="H170" s="70"/>
      <c r="I170" s="68" t="e">
        <f>TRUNC(I175,0)</f>
        <v>#REF!</v>
      </c>
      <c r="J170" s="70"/>
      <c r="K170" s="68" t="e">
        <f>TRUNC(K175,0)</f>
        <v>#REF!</v>
      </c>
      <c r="L170" s="70"/>
      <c r="M170" s="68" t="e">
        <f>TRUNC(M175,0)</f>
        <v>#REF!</v>
      </c>
      <c r="N170" s="69" t="str">
        <f>N155</f>
        <v>토목6-2-2</v>
      </c>
    </row>
    <row r="171" spans="1:14" ht="15" customHeight="1">
      <c r="A171" s="58"/>
      <c r="B171" s="55" t="s">
        <v>261</v>
      </c>
      <c r="C171" s="7" t="s">
        <v>32</v>
      </c>
      <c r="D171" s="19">
        <v>3</v>
      </c>
      <c r="E171" s="56" t="s">
        <v>24</v>
      </c>
      <c r="F171" s="20">
        <f>H171+J171+L171</f>
        <v>262580</v>
      </c>
      <c r="G171" s="21">
        <f>I171+K171+M171</f>
        <v>787740</v>
      </c>
      <c r="H171" s="20">
        <v>0</v>
      </c>
      <c r="I171" s="21"/>
      <c r="J171" s="20">
        <f>노임!$D$10</f>
        <v>262580</v>
      </c>
      <c r="K171" s="21">
        <f>TRUNC(J171*D171,1)</f>
        <v>787740</v>
      </c>
      <c r="L171" s="20">
        <v>0</v>
      </c>
      <c r="M171" s="21"/>
      <c r="N171" s="18"/>
    </row>
    <row r="172" spans="1:14" ht="15" customHeight="1">
      <c r="A172" s="58"/>
      <c r="B172" s="55" t="s">
        <v>262</v>
      </c>
      <c r="C172" s="7" t="s">
        <v>0</v>
      </c>
      <c r="D172" s="19">
        <v>1</v>
      </c>
      <c r="E172" s="56" t="s">
        <v>24</v>
      </c>
      <c r="F172" s="20">
        <f>H172+J172+L172</f>
        <v>172068</v>
      </c>
      <c r="G172" s="21">
        <f>I172+K172+M172</f>
        <v>172068</v>
      </c>
      <c r="H172" s="20">
        <v>0</v>
      </c>
      <c r="I172" s="21"/>
      <c r="J172" s="20">
        <f>노임!$D$3</f>
        <v>172068</v>
      </c>
      <c r="K172" s="21">
        <f>TRUNC(J172*D172,1)</f>
        <v>172068</v>
      </c>
      <c r="L172" s="20">
        <v>0</v>
      </c>
      <c r="M172" s="21"/>
      <c r="N172" s="18"/>
    </row>
    <row r="173" spans="1:14" ht="15" customHeight="1">
      <c r="A173" s="58"/>
      <c r="B173" s="55" t="s">
        <v>263</v>
      </c>
      <c r="C173" s="7" t="s">
        <v>172</v>
      </c>
      <c r="D173" s="19">
        <v>8</v>
      </c>
      <c r="E173" s="56" t="s">
        <v>7</v>
      </c>
      <c r="F173" s="20" t="e">
        <f>H173+J173+L173</f>
        <v>#REF!</v>
      </c>
      <c r="G173" s="21" t="e">
        <f>I173+K173+M173</f>
        <v>#REF!</v>
      </c>
      <c r="H173" s="20" t="e">
        <f>#REF!</f>
        <v>#REF!</v>
      </c>
      <c r="I173" s="21" t="e">
        <f>TRUNC(H173*D173,1)</f>
        <v>#REF!</v>
      </c>
      <c r="J173" s="20" t="e">
        <f>#REF!</f>
        <v>#REF!</v>
      </c>
      <c r="K173" s="21" t="e">
        <f>TRUNC(J173*D173,1)</f>
        <v>#REF!</v>
      </c>
      <c r="L173" s="20" t="e">
        <f>#REF!</f>
        <v>#REF!</v>
      </c>
      <c r="M173" s="21" t="e">
        <f>TRUNC(L173*D173,1)</f>
        <v>#REF!</v>
      </c>
      <c r="N173" s="18"/>
    </row>
    <row r="174" spans="1:14" ht="15" customHeight="1">
      <c r="A174" s="58"/>
      <c r="B174" s="14" t="s">
        <v>409</v>
      </c>
      <c r="C174" s="97" t="s">
        <v>219</v>
      </c>
      <c r="D174" s="3">
        <v>3</v>
      </c>
      <c r="E174" s="2" t="s">
        <v>28</v>
      </c>
      <c r="F174" s="4"/>
      <c r="G174" s="8"/>
      <c r="H174" s="4"/>
      <c r="I174" s="8"/>
      <c r="J174" s="4"/>
      <c r="K174" s="8"/>
      <c r="L174" s="4"/>
      <c r="M174" s="8">
        <f>TRUNC((K171+K172)*D174%,1)</f>
        <v>28794.2</v>
      </c>
      <c r="N174" s="18"/>
    </row>
    <row r="175" spans="1:14" customFormat="1" ht="15" customHeight="1">
      <c r="A175" s="94"/>
      <c r="B175" s="87" t="s">
        <v>376</v>
      </c>
      <c r="C175" s="95">
        <v>6.5</v>
      </c>
      <c r="D175" s="89">
        <f>ROUND(1/C175,4)</f>
        <v>0.15379999999999999</v>
      </c>
      <c r="E175" s="90" t="s">
        <v>375</v>
      </c>
      <c r="F175" s="91"/>
      <c r="G175" s="92" t="e">
        <f>I175+K175+M175</f>
        <v>#REF!</v>
      </c>
      <c r="H175" s="91"/>
      <c r="I175" s="92" t="e">
        <f>TRUNC(SUM(I171:I174)*$D175,1)</f>
        <v>#REF!</v>
      </c>
      <c r="J175" s="91"/>
      <c r="K175" s="92" t="e">
        <f>TRUNC(SUM(K171:K174)*$D175,1)</f>
        <v>#REF!</v>
      </c>
      <c r="L175" s="91"/>
      <c r="M175" s="92" t="e">
        <f>TRUNC(SUM(M171:M174)*$D175,1)</f>
        <v>#REF!</v>
      </c>
      <c r="N175" s="96"/>
    </row>
    <row r="176" spans="1:14" ht="15" customHeight="1">
      <c r="A176" s="58"/>
      <c r="B176" s="59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22"/>
    </row>
    <row r="177" spans="1:14" ht="15" customHeight="1">
      <c r="A177" s="98">
        <f>A170+1</f>
        <v>24</v>
      </c>
      <c r="B177" s="99" t="s">
        <v>408</v>
      </c>
      <c r="C177" s="100" t="s">
        <v>522</v>
      </c>
      <c r="D177" s="100">
        <v>1</v>
      </c>
      <c r="E177" s="101" t="s">
        <v>4</v>
      </c>
      <c r="F177" s="102"/>
      <c r="G177" s="103" t="e">
        <f>I177+K177+M177</f>
        <v>#REF!</v>
      </c>
      <c r="H177" s="102"/>
      <c r="I177" s="103" t="e">
        <f>SUM(I182:I183)</f>
        <v>#REF!</v>
      </c>
      <c r="J177" s="102"/>
      <c r="K177" s="103" t="e">
        <f>SUM(K182:K183)</f>
        <v>#REF!</v>
      </c>
      <c r="L177" s="102"/>
      <c r="M177" s="103" t="e">
        <f>SUM(M182:M183)</f>
        <v>#REF!</v>
      </c>
      <c r="N177" s="104" t="str">
        <f>N170</f>
        <v>토목6-2-2</v>
      </c>
    </row>
    <row r="178" spans="1:14" ht="15" customHeight="1">
      <c r="A178" s="58"/>
      <c r="B178" s="55" t="s">
        <v>261</v>
      </c>
      <c r="C178" s="7" t="s">
        <v>32</v>
      </c>
      <c r="D178" s="19">
        <v>3</v>
      </c>
      <c r="E178" s="56" t="s">
        <v>24</v>
      </c>
      <c r="F178" s="20">
        <f>H178+J178+L178</f>
        <v>262580</v>
      </c>
      <c r="G178" s="21">
        <f>I178+K178+M178</f>
        <v>787740</v>
      </c>
      <c r="H178" s="20">
        <v>0</v>
      </c>
      <c r="I178" s="21"/>
      <c r="J178" s="20">
        <f>노임!$D$10</f>
        <v>262580</v>
      </c>
      <c r="K178" s="21">
        <f>TRUNC(J178*D178,1)</f>
        <v>787740</v>
      </c>
      <c r="L178" s="20">
        <v>0</v>
      </c>
      <c r="M178" s="21"/>
      <c r="N178" s="18"/>
    </row>
    <row r="179" spans="1:14" ht="15" customHeight="1">
      <c r="A179" s="58"/>
      <c r="B179" s="55" t="s">
        <v>262</v>
      </c>
      <c r="C179" s="7" t="s">
        <v>0</v>
      </c>
      <c r="D179" s="19">
        <v>1</v>
      </c>
      <c r="E179" s="56" t="s">
        <v>24</v>
      </c>
      <c r="F179" s="20">
        <f>H179+J179+L179</f>
        <v>172068</v>
      </c>
      <c r="G179" s="21">
        <f>I179+K179+M179</f>
        <v>172068</v>
      </c>
      <c r="H179" s="20">
        <v>0</v>
      </c>
      <c r="I179" s="21"/>
      <c r="J179" s="20">
        <f>노임!$D$3</f>
        <v>172068</v>
      </c>
      <c r="K179" s="21">
        <f>TRUNC(J179*D179,1)</f>
        <v>172068</v>
      </c>
      <c r="L179" s="20">
        <v>0</v>
      </c>
      <c r="M179" s="21"/>
      <c r="N179" s="18"/>
    </row>
    <row r="180" spans="1:14" ht="15" customHeight="1">
      <c r="A180" s="58"/>
      <c r="B180" s="55" t="s">
        <v>263</v>
      </c>
      <c r="C180" s="7" t="s">
        <v>172</v>
      </c>
      <c r="D180" s="19">
        <v>8</v>
      </c>
      <c r="E180" s="56" t="s">
        <v>7</v>
      </c>
      <c r="F180" s="20" t="e">
        <f>H180+J180+L180</f>
        <v>#REF!</v>
      </c>
      <c r="G180" s="21" t="e">
        <f>I180+K180+M180</f>
        <v>#REF!</v>
      </c>
      <c r="H180" s="20" t="e">
        <f>#REF!</f>
        <v>#REF!</v>
      </c>
      <c r="I180" s="21" t="e">
        <f>TRUNC(H180*D180,1)</f>
        <v>#REF!</v>
      </c>
      <c r="J180" s="20" t="e">
        <f>#REF!</f>
        <v>#REF!</v>
      </c>
      <c r="K180" s="21" t="e">
        <f>TRUNC(J180*D180,1)</f>
        <v>#REF!</v>
      </c>
      <c r="L180" s="20" t="e">
        <f>#REF!</f>
        <v>#REF!</v>
      </c>
      <c r="M180" s="21" t="e">
        <f>TRUNC(L180*D180,1)</f>
        <v>#REF!</v>
      </c>
      <c r="N180" s="18"/>
    </row>
    <row r="181" spans="1:14" ht="15" customHeight="1">
      <c r="A181" s="58"/>
      <c r="B181" s="14" t="s">
        <v>409</v>
      </c>
      <c r="C181" s="97" t="s">
        <v>219</v>
      </c>
      <c r="D181" s="3">
        <v>3</v>
      </c>
      <c r="E181" s="2" t="s">
        <v>28</v>
      </c>
      <c r="F181" s="4"/>
      <c r="G181" s="8"/>
      <c r="H181" s="4"/>
      <c r="I181" s="8"/>
      <c r="J181" s="4"/>
      <c r="K181" s="8"/>
      <c r="L181" s="4"/>
      <c r="M181" s="8">
        <f>TRUNC((K178+K179)*D181%,1)</f>
        <v>28794.2</v>
      </c>
      <c r="N181" s="18"/>
    </row>
    <row r="182" spans="1:14" customFormat="1" ht="15" customHeight="1">
      <c r="A182" s="94"/>
      <c r="B182" s="87" t="s">
        <v>376</v>
      </c>
      <c r="C182" s="95">
        <v>6.5</v>
      </c>
      <c r="D182" s="89">
        <f>ROUND(1/C182,4)</f>
        <v>0.15379999999999999</v>
      </c>
      <c r="E182" s="90" t="s">
        <v>375</v>
      </c>
      <c r="F182" s="91"/>
      <c r="G182" s="92" t="e">
        <f>I182+K182+M182</f>
        <v>#REF!</v>
      </c>
      <c r="H182" s="91"/>
      <c r="I182" s="92" t="e">
        <f>TRUNC(SUM(I178:I181)*$D182,1)</f>
        <v>#REF!</v>
      </c>
      <c r="J182" s="91"/>
      <c r="K182" s="92" t="e">
        <f>TRUNC(SUM(K178:K181)*$D182,1)</f>
        <v>#REF!</v>
      </c>
      <c r="L182" s="91"/>
      <c r="M182" s="92" t="e">
        <f>TRUNC(SUM(M178:M181)*$D182,1)</f>
        <v>#REF!</v>
      </c>
      <c r="N182" s="96"/>
    </row>
    <row r="183" spans="1:14" customFormat="1" ht="15" customHeight="1">
      <c r="A183" s="94"/>
      <c r="B183" s="87" t="s">
        <v>298</v>
      </c>
      <c r="C183" s="88" t="s">
        <v>220</v>
      </c>
      <c r="D183" s="89">
        <v>30</v>
      </c>
      <c r="E183" s="90" t="s">
        <v>221</v>
      </c>
      <c r="F183" s="91"/>
      <c r="G183" s="92" t="e">
        <f>I183+K183+M183</f>
        <v>#REF!</v>
      </c>
      <c r="H183" s="91"/>
      <c r="I183" s="92" t="e">
        <f>TRUNC(I182*$D183%,1)</f>
        <v>#REF!</v>
      </c>
      <c r="J183" s="91"/>
      <c r="K183" s="92" t="e">
        <f>TRUNC(K182*$D183%,1)</f>
        <v>#REF!</v>
      </c>
      <c r="L183" s="91"/>
      <c r="M183" s="92" t="e">
        <f>TRUNC(M182*$D183%,1)</f>
        <v>#REF!</v>
      </c>
      <c r="N183" s="96"/>
    </row>
    <row r="184" spans="1:14" ht="15" customHeight="1">
      <c r="A184" s="58"/>
      <c r="B184" s="59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22"/>
    </row>
    <row r="185" spans="1:14" ht="15" customHeight="1">
      <c r="A185" s="64">
        <f>A177+1</f>
        <v>25</v>
      </c>
      <c r="B185" s="65" t="s">
        <v>408</v>
      </c>
      <c r="C185" s="66" t="s">
        <v>184</v>
      </c>
      <c r="D185" s="66">
        <v>1</v>
      </c>
      <c r="E185" s="67" t="s">
        <v>4</v>
      </c>
      <c r="F185" s="70"/>
      <c r="G185" s="68" t="e">
        <f>I185+K185+M185</f>
        <v>#REF!</v>
      </c>
      <c r="H185" s="70"/>
      <c r="I185" s="68" t="e">
        <f>TRUNC(I190,0)</f>
        <v>#REF!</v>
      </c>
      <c r="J185" s="70"/>
      <c r="K185" s="68" t="e">
        <f>TRUNC(K190,0)</f>
        <v>#REF!</v>
      </c>
      <c r="L185" s="70"/>
      <c r="M185" s="68" t="e">
        <f>TRUNC(M190,0)</f>
        <v>#REF!</v>
      </c>
      <c r="N185" s="69" t="str">
        <f>N170</f>
        <v>토목6-2-2</v>
      </c>
    </row>
    <row r="186" spans="1:14" ht="15" customHeight="1">
      <c r="A186" s="58"/>
      <c r="B186" s="55" t="s">
        <v>261</v>
      </c>
      <c r="C186" s="7" t="s">
        <v>32</v>
      </c>
      <c r="D186" s="19">
        <v>3</v>
      </c>
      <c r="E186" s="56" t="s">
        <v>24</v>
      </c>
      <c r="F186" s="20">
        <f>H186+J186+L186</f>
        <v>262580</v>
      </c>
      <c r="G186" s="21">
        <f>I186+K186+M186</f>
        <v>787740</v>
      </c>
      <c r="H186" s="20">
        <v>0</v>
      </c>
      <c r="I186" s="21"/>
      <c r="J186" s="20">
        <f>노임!$D$10</f>
        <v>262580</v>
      </c>
      <c r="K186" s="21">
        <f>TRUNC(J186*D186,1)</f>
        <v>787740</v>
      </c>
      <c r="L186" s="20">
        <v>0</v>
      </c>
      <c r="M186" s="21"/>
      <c r="N186" s="18"/>
    </row>
    <row r="187" spans="1:14" ht="15" customHeight="1">
      <c r="A187" s="58"/>
      <c r="B187" s="55" t="s">
        <v>262</v>
      </c>
      <c r="C187" s="7" t="s">
        <v>0</v>
      </c>
      <c r="D187" s="19">
        <v>1</v>
      </c>
      <c r="E187" s="56" t="s">
        <v>24</v>
      </c>
      <c r="F187" s="20">
        <f>H187+J187+L187</f>
        <v>172068</v>
      </c>
      <c r="G187" s="21">
        <f>I187+K187+M187</f>
        <v>172068</v>
      </c>
      <c r="H187" s="20">
        <v>0</v>
      </c>
      <c r="I187" s="21"/>
      <c r="J187" s="20">
        <f>노임!$D$3</f>
        <v>172068</v>
      </c>
      <c r="K187" s="21">
        <f>TRUNC(J187*D187,1)</f>
        <v>172068</v>
      </c>
      <c r="L187" s="20">
        <v>0</v>
      </c>
      <c r="M187" s="21"/>
      <c r="N187" s="18"/>
    </row>
    <row r="188" spans="1:14" ht="15" customHeight="1">
      <c r="A188" s="58"/>
      <c r="B188" s="55" t="s">
        <v>263</v>
      </c>
      <c r="C188" s="7" t="s">
        <v>172</v>
      </c>
      <c r="D188" s="19">
        <v>8</v>
      </c>
      <c r="E188" s="56" t="s">
        <v>7</v>
      </c>
      <c r="F188" s="20" t="e">
        <f>H188+J188+L188</f>
        <v>#REF!</v>
      </c>
      <c r="G188" s="21" t="e">
        <f>I188+K188+M188</f>
        <v>#REF!</v>
      </c>
      <c r="H188" s="20" t="e">
        <f>#REF!</f>
        <v>#REF!</v>
      </c>
      <c r="I188" s="21" t="e">
        <f>TRUNC(H188*D188,1)</f>
        <v>#REF!</v>
      </c>
      <c r="J188" s="20" t="e">
        <f>#REF!</f>
        <v>#REF!</v>
      </c>
      <c r="K188" s="21" t="e">
        <f>TRUNC(J188*D188,1)</f>
        <v>#REF!</v>
      </c>
      <c r="L188" s="20" t="e">
        <f>#REF!</f>
        <v>#REF!</v>
      </c>
      <c r="M188" s="21" t="e">
        <f>TRUNC(L188*D188,1)</f>
        <v>#REF!</v>
      </c>
      <c r="N188" s="18"/>
    </row>
    <row r="189" spans="1:14" ht="15" customHeight="1">
      <c r="A189" s="58"/>
      <c r="B189" s="14" t="s">
        <v>409</v>
      </c>
      <c r="C189" s="97" t="s">
        <v>219</v>
      </c>
      <c r="D189" s="3">
        <v>3</v>
      </c>
      <c r="E189" s="2" t="s">
        <v>28</v>
      </c>
      <c r="F189" s="4"/>
      <c r="G189" s="8"/>
      <c r="H189" s="4"/>
      <c r="I189" s="8"/>
      <c r="J189" s="4"/>
      <c r="K189" s="8"/>
      <c r="L189" s="4"/>
      <c r="M189" s="8">
        <f>TRUNC((K186+K187)*D189%,1)</f>
        <v>28794.2</v>
      </c>
      <c r="N189" s="18"/>
    </row>
    <row r="190" spans="1:14" customFormat="1" ht="15" customHeight="1">
      <c r="A190" s="94"/>
      <c r="B190" s="87" t="s">
        <v>376</v>
      </c>
      <c r="C190" s="95">
        <v>6</v>
      </c>
      <c r="D190" s="89">
        <f>ROUND(1/C190,4)</f>
        <v>0.16669999999999999</v>
      </c>
      <c r="E190" s="90" t="s">
        <v>375</v>
      </c>
      <c r="F190" s="91"/>
      <c r="G190" s="92" t="e">
        <f>I190+K190+M190</f>
        <v>#REF!</v>
      </c>
      <c r="H190" s="91"/>
      <c r="I190" s="92" t="e">
        <f>TRUNC(SUM(I186:I189)*$D190,1)</f>
        <v>#REF!</v>
      </c>
      <c r="J190" s="91"/>
      <c r="K190" s="92" t="e">
        <f>TRUNC(SUM(K186:K189)*$D190,1)</f>
        <v>#REF!</v>
      </c>
      <c r="L190" s="91"/>
      <c r="M190" s="92" t="e">
        <f>TRUNC(SUM(M186:M189)*$D190,1)</f>
        <v>#REF!</v>
      </c>
      <c r="N190" s="96"/>
    </row>
    <row r="191" spans="1:14" ht="15" customHeight="1">
      <c r="A191" s="58"/>
      <c r="B191" s="59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22"/>
    </row>
    <row r="192" spans="1:14" ht="15" customHeight="1">
      <c r="A192" s="98">
        <f>A185+1</f>
        <v>26</v>
      </c>
      <c r="B192" s="99" t="s">
        <v>408</v>
      </c>
      <c r="C192" s="100" t="s">
        <v>231</v>
      </c>
      <c r="D192" s="100">
        <v>1</v>
      </c>
      <c r="E192" s="101" t="s">
        <v>4</v>
      </c>
      <c r="F192" s="102"/>
      <c r="G192" s="103" t="e">
        <f>I192+K192+M192</f>
        <v>#REF!</v>
      </c>
      <c r="H192" s="102"/>
      <c r="I192" s="103" t="e">
        <f>SUM(I197:I198)</f>
        <v>#REF!</v>
      </c>
      <c r="J192" s="102"/>
      <c r="K192" s="103" t="e">
        <f>SUM(K197:K198)</f>
        <v>#REF!</v>
      </c>
      <c r="L192" s="102"/>
      <c r="M192" s="103" t="e">
        <f>SUM(M197:M198)</f>
        <v>#REF!</v>
      </c>
      <c r="N192" s="104" t="str">
        <f>N185</f>
        <v>토목6-2-2</v>
      </c>
    </row>
    <row r="193" spans="1:14" ht="15" customHeight="1">
      <c r="A193" s="58"/>
      <c r="B193" s="55" t="s">
        <v>261</v>
      </c>
      <c r="C193" s="7" t="s">
        <v>32</v>
      </c>
      <c r="D193" s="19">
        <v>3</v>
      </c>
      <c r="E193" s="56" t="s">
        <v>24</v>
      </c>
      <c r="F193" s="20">
        <f>H193+J193+L193</f>
        <v>262580</v>
      </c>
      <c r="G193" s="21">
        <f>I193+K193+M193</f>
        <v>787740</v>
      </c>
      <c r="H193" s="20">
        <v>0</v>
      </c>
      <c r="I193" s="21"/>
      <c r="J193" s="20">
        <f>노임!$D$10</f>
        <v>262580</v>
      </c>
      <c r="K193" s="21">
        <f>TRUNC(J193*D193,1)</f>
        <v>787740</v>
      </c>
      <c r="L193" s="20">
        <v>0</v>
      </c>
      <c r="M193" s="21"/>
      <c r="N193" s="18"/>
    </row>
    <row r="194" spans="1:14" ht="15" customHeight="1">
      <c r="A194" s="58"/>
      <c r="B194" s="55" t="s">
        <v>262</v>
      </c>
      <c r="C194" s="7" t="s">
        <v>0</v>
      </c>
      <c r="D194" s="19">
        <v>1</v>
      </c>
      <c r="E194" s="56" t="s">
        <v>24</v>
      </c>
      <c r="F194" s="20">
        <f>H194+J194+L194</f>
        <v>172068</v>
      </c>
      <c r="G194" s="21">
        <f>I194+K194+M194</f>
        <v>172068</v>
      </c>
      <c r="H194" s="20">
        <v>0</v>
      </c>
      <c r="I194" s="21"/>
      <c r="J194" s="20">
        <f>노임!$D$3</f>
        <v>172068</v>
      </c>
      <c r="K194" s="21">
        <f>TRUNC(J194*D194,1)</f>
        <v>172068</v>
      </c>
      <c r="L194" s="20">
        <v>0</v>
      </c>
      <c r="M194" s="21"/>
      <c r="N194" s="18"/>
    </row>
    <row r="195" spans="1:14" ht="15" customHeight="1">
      <c r="A195" s="58"/>
      <c r="B195" s="55" t="s">
        <v>263</v>
      </c>
      <c r="C195" s="7" t="s">
        <v>172</v>
      </c>
      <c r="D195" s="19">
        <v>8</v>
      </c>
      <c r="E195" s="56" t="s">
        <v>7</v>
      </c>
      <c r="F195" s="20" t="e">
        <f>H195+J195+L195</f>
        <v>#REF!</v>
      </c>
      <c r="G195" s="21" t="e">
        <f>I195+K195+M195</f>
        <v>#REF!</v>
      </c>
      <c r="H195" s="20" t="e">
        <f>#REF!</f>
        <v>#REF!</v>
      </c>
      <c r="I195" s="21" t="e">
        <f>TRUNC(H195*D195,1)</f>
        <v>#REF!</v>
      </c>
      <c r="J195" s="20" t="e">
        <f>#REF!</f>
        <v>#REF!</v>
      </c>
      <c r="K195" s="21" t="e">
        <f>TRUNC(J195*D195,1)</f>
        <v>#REF!</v>
      </c>
      <c r="L195" s="20" t="e">
        <f>#REF!</f>
        <v>#REF!</v>
      </c>
      <c r="M195" s="21" t="e">
        <f>TRUNC(L195*D195,1)</f>
        <v>#REF!</v>
      </c>
      <c r="N195" s="18"/>
    </row>
    <row r="196" spans="1:14" ht="15" customHeight="1">
      <c r="A196" s="58"/>
      <c r="B196" s="14" t="s">
        <v>409</v>
      </c>
      <c r="C196" s="97" t="s">
        <v>219</v>
      </c>
      <c r="D196" s="3">
        <v>3</v>
      </c>
      <c r="E196" s="2" t="s">
        <v>28</v>
      </c>
      <c r="F196" s="4"/>
      <c r="G196" s="8"/>
      <c r="H196" s="4"/>
      <c r="I196" s="8"/>
      <c r="J196" s="4"/>
      <c r="K196" s="8"/>
      <c r="L196" s="4"/>
      <c r="M196" s="8">
        <f>TRUNC((K193+K194)*D196%,1)</f>
        <v>28794.2</v>
      </c>
      <c r="N196" s="18"/>
    </row>
    <row r="197" spans="1:14" customFormat="1" ht="15" customHeight="1">
      <c r="A197" s="94"/>
      <c r="B197" s="87" t="s">
        <v>376</v>
      </c>
      <c r="C197" s="95">
        <v>6</v>
      </c>
      <c r="D197" s="89">
        <f>ROUND(1/C197,4)</f>
        <v>0.16669999999999999</v>
      </c>
      <c r="E197" s="90" t="s">
        <v>375</v>
      </c>
      <c r="F197" s="91"/>
      <c r="G197" s="92" t="e">
        <f>I197+K197+M197</f>
        <v>#REF!</v>
      </c>
      <c r="H197" s="91"/>
      <c r="I197" s="92" t="e">
        <f>TRUNC(SUM(I193:I196)*$D197,1)</f>
        <v>#REF!</v>
      </c>
      <c r="J197" s="91"/>
      <c r="K197" s="92" t="e">
        <f>TRUNC(SUM(K193:K196)*$D197,1)</f>
        <v>#REF!</v>
      </c>
      <c r="L197" s="91"/>
      <c r="M197" s="92" t="e">
        <f>TRUNC(SUM(M193:M196)*$D197,1)</f>
        <v>#REF!</v>
      </c>
      <c r="N197" s="96"/>
    </row>
    <row r="198" spans="1:14" customFormat="1" ht="15" customHeight="1">
      <c r="A198" s="94"/>
      <c r="B198" s="87" t="s">
        <v>298</v>
      </c>
      <c r="C198" s="88" t="s">
        <v>220</v>
      </c>
      <c r="D198" s="89">
        <v>30</v>
      </c>
      <c r="E198" s="90" t="s">
        <v>221</v>
      </c>
      <c r="F198" s="91"/>
      <c r="G198" s="92" t="e">
        <f>I198+K198+M198</f>
        <v>#REF!</v>
      </c>
      <c r="H198" s="91"/>
      <c r="I198" s="92" t="e">
        <f>TRUNC(I197*$D198%,1)</f>
        <v>#REF!</v>
      </c>
      <c r="J198" s="91"/>
      <c r="K198" s="92" t="e">
        <f>TRUNC(K197*$D198%,1)</f>
        <v>#REF!</v>
      </c>
      <c r="L198" s="91"/>
      <c r="M198" s="92" t="e">
        <f>TRUNC(M197*$D198%,1)</f>
        <v>#REF!</v>
      </c>
      <c r="N198" s="96"/>
    </row>
    <row r="199" spans="1:14" ht="15" customHeight="1">
      <c r="A199" s="58"/>
      <c r="B199" s="59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22"/>
    </row>
    <row r="200" spans="1:14" ht="15" customHeight="1">
      <c r="A200" s="64">
        <f>A192+1</f>
        <v>27</v>
      </c>
      <c r="B200" s="65" t="s">
        <v>408</v>
      </c>
      <c r="C200" s="66" t="s">
        <v>186</v>
      </c>
      <c r="D200" s="66">
        <v>1</v>
      </c>
      <c r="E200" s="67" t="s">
        <v>4</v>
      </c>
      <c r="F200" s="70"/>
      <c r="G200" s="68" t="e">
        <f>I200+K200+M200</f>
        <v>#REF!</v>
      </c>
      <c r="H200" s="70"/>
      <c r="I200" s="68" t="e">
        <f>TRUNC(I205,0)</f>
        <v>#REF!</v>
      </c>
      <c r="J200" s="70"/>
      <c r="K200" s="68" t="e">
        <f>TRUNC(K205,0)</f>
        <v>#REF!</v>
      </c>
      <c r="L200" s="70"/>
      <c r="M200" s="68" t="e">
        <f>TRUNC(M205,0)</f>
        <v>#REF!</v>
      </c>
      <c r="N200" s="69" t="str">
        <f>N185</f>
        <v>토목6-2-2</v>
      </c>
    </row>
    <row r="201" spans="1:14" ht="15" customHeight="1">
      <c r="A201" s="58"/>
      <c r="B201" s="55" t="s">
        <v>261</v>
      </c>
      <c r="C201" s="7" t="s">
        <v>32</v>
      </c>
      <c r="D201" s="19">
        <v>3</v>
      </c>
      <c r="E201" s="56" t="s">
        <v>24</v>
      </c>
      <c r="F201" s="20">
        <f>H201+J201+L201</f>
        <v>262580</v>
      </c>
      <c r="G201" s="21">
        <f>I201+K201+M201</f>
        <v>787740</v>
      </c>
      <c r="H201" s="20">
        <v>0</v>
      </c>
      <c r="I201" s="21"/>
      <c r="J201" s="20">
        <f>노임!$D$10</f>
        <v>262580</v>
      </c>
      <c r="K201" s="21">
        <f>TRUNC(J201*D201,1)</f>
        <v>787740</v>
      </c>
      <c r="L201" s="20">
        <v>0</v>
      </c>
      <c r="M201" s="21"/>
      <c r="N201" s="18"/>
    </row>
    <row r="202" spans="1:14" ht="15" customHeight="1">
      <c r="A202" s="58"/>
      <c r="B202" s="55" t="s">
        <v>262</v>
      </c>
      <c r="C202" s="7" t="s">
        <v>0</v>
      </c>
      <c r="D202" s="19">
        <v>1</v>
      </c>
      <c r="E202" s="56" t="s">
        <v>24</v>
      </c>
      <c r="F202" s="20">
        <f>H202+J202+L202</f>
        <v>172068</v>
      </c>
      <c r="G202" s="21">
        <f>I202+K202+M202</f>
        <v>172068</v>
      </c>
      <c r="H202" s="20">
        <v>0</v>
      </c>
      <c r="I202" s="21"/>
      <c r="J202" s="20">
        <f>노임!$D$3</f>
        <v>172068</v>
      </c>
      <c r="K202" s="21">
        <f>TRUNC(J202*D202,1)</f>
        <v>172068</v>
      </c>
      <c r="L202" s="20">
        <v>0</v>
      </c>
      <c r="M202" s="21"/>
      <c r="N202" s="18"/>
    </row>
    <row r="203" spans="1:14" ht="15" customHeight="1">
      <c r="A203" s="58"/>
      <c r="B203" s="55" t="s">
        <v>263</v>
      </c>
      <c r="C203" s="7" t="s">
        <v>172</v>
      </c>
      <c r="D203" s="19">
        <v>8</v>
      </c>
      <c r="E203" s="56" t="s">
        <v>7</v>
      </c>
      <c r="F203" s="20" t="e">
        <f>H203+J203+L203</f>
        <v>#REF!</v>
      </c>
      <c r="G203" s="21" t="e">
        <f>I203+K203+M203</f>
        <v>#REF!</v>
      </c>
      <c r="H203" s="20" t="e">
        <f>#REF!</f>
        <v>#REF!</v>
      </c>
      <c r="I203" s="21" t="e">
        <f>TRUNC(H203*D203,1)</f>
        <v>#REF!</v>
      </c>
      <c r="J203" s="20" t="e">
        <f>#REF!</f>
        <v>#REF!</v>
      </c>
      <c r="K203" s="21" t="e">
        <f>TRUNC(J203*D203,1)</f>
        <v>#REF!</v>
      </c>
      <c r="L203" s="20" t="e">
        <f>#REF!</f>
        <v>#REF!</v>
      </c>
      <c r="M203" s="21" t="e">
        <f>TRUNC(L203*D203,1)</f>
        <v>#REF!</v>
      </c>
      <c r="N203" s="18"/>
    </row>
    <row r="204" spans="1:14" ht="15" customHeight="1">
      <c r="A204" s="58"/>
      <c r="B204" s="14" t="s">
        <v>409</v>
      </c>
      <c r="C204" s="97" t="s">
        <v>219</v>
      </c>
      <c r="D204" s="3">
        <v>3</v>
      </c>
      <c r="E204" s="2" t="s">
        <v>28</v>
      </c>
      <c r="F204" s="4"/>
      <c r="G204" s="8"/>
      <c r="H204" s="4"/>
      <c r="I204" s="8"/>
      <c r="J204" s="4"/>
      <c r="K204" s="8"/>
      <c r="L204" s="4"/>
      <c r="M204" s="8">
        <f>TRUNC((K201+K202)*D204%,1)</f>
        <v>28794.2</v>
      </c>
      <c r="N204" s="18"/>
    </row>
    <row r="205" spans="1:14" customFormat="1" ht="15" customHeight="1">
      <c r="A205" s="94"/>
      <c r="B205" s="87" t="s">
        <v>376</v>
      </c>
      <c r="C205" s="95">
        <v>5</v>
      </c>
      <c r="D205" s="89">
        <f>ROUND(1/C205,4)</f>
        <v>0.2</v>
      </c>
      <c r="E205" s="90" t="s">
        <v>375</v>
      </c>
      <c r="F205" s="91"/>
      <c r="G205" s="92" t="e">
        <f>I205+K205+M205</f>
        <v>#REF!</v>
      </c>
      <c r="H205" s="91"/>
      <c r="I205" s="92" t="e">
        <f>TRUNC(SUM(I201:I204)*$D205,1)</f>
        <v>#REF!</v>
      </c>
      <c r="J205" s="91"/>
      <c r="K205" s="92" t="e">
        <f>TRUNC(SUM(K201:K204)*$D205,1)</f>
        <v>#REF!</v>
      </c>
      <c r="L205" s="91"/>
      <c r="M205" s="92" t="e">
        <f>TRUNC(SUM(M201:M204)*$D205,1)</f>
        <v>#REF!</v>
      </c>
      <c r="N205" s="96"/>
    </row>
    <row r="206" spans="1:14" ht="15" customHeight="1">
      <c r="A206" s="58"/>
      <c r="B206" s="59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22"/>
    </row>
    <row r="207" spans="1:14" ht="15" customHeight="1">
      <c r="A207" s="98">
        <f>A200+1</f>
        <v>28</v>
      </c>
      <c r="B207" s="99" t="s">
        <v>408</v>
      </c>
      <c r="C207" s="100" t="s">
        <v>523</v>
      </c>
      <c r="D207" s="100">
        <v>1</v>
      </c>
      <c r="E207" s="101" t="s">
        <v>4</v>
      </c>
      <c r="F207" s="102"/>
      <c r="G207" s="103" t="e">
        <f>I207+K207+M207</f>
        <v>#REF!</v>
      </c>
      <c r="H207" s="102"/>
      <c r="I207" s="103" t="e">
        <f>SUM(I212:I213)</f>
        <v>#REF!</v>
      </c>
      <c r="J207" s="102"/>
      <c r="K207" s="103" t="e">
        <f>SUM(K212:K213)</f>
        <v>#REF!</v>
      </c>
      <c r="L207" s="102"/>
      <c r="M207" s="103" t="e">
        <f>SUM(M212:M213)</f>
        <v>#REF!</v>
      </c>
      <c r="N207" s="104" t="str">
        <f>N200</f>
        <v>토목6-2-2</v>
      </c>
    </row>
    <row r="208" spans="1:14" ht="15" customHeight="1">
      <c r="A208" s="58"/>
      <c r="B208" s="55" t="s">
        <v>261</v>
      </c>
      <c r="C208" s="7" t="s">
        <v>32</v>
      </c>
      <c r="D208" s="19">
        <v>3</v>
      </c>
      <c r="E208" s="56" t="s">
        <v>24</v>
      </c>
      <c r="F208" s="20">
        <f>H208+J208+L208</f>
        <v>262580</v>
      </c>
      <c r="G208" s="21">
        <f>I208+K208+M208</f>
        <v>787740</v>
      </c>
      <c r="H208" s="20">
        <v>0</v>
      </c>
      <c r="I208" s="21"/>
      <c r="J208" s="20">
        <f>노임!$D$10</f>
        <v>262580</v>
      </c>
      <c r="K208" s="21">
        <f>TRUNC(J208*D208,1)</f>
        <v>787740</v>
      </c>
      <c r="L208" s="20">
        <v>0</v>
      </c>
      <c r="M208" s="21"/>
      <c r="N208" s="18"/>
    </row>
    <row r="209" spans="1:14" ht="15" customHeight="1">
      <c r="A209" s="58"/>
      <c r="B209" s="55" t="s">
        <v>262</v>
      </c>
      <c r="C209" s="7" t="s">
        <v>0</v>
      </c>
      <c r="D209" s="19">
        <v>1</v>
      </c>
      <c r="E209" s="56" t="s">
        <v>24</v>
      </c>
      <c r="F209" s="20">
        <f>H209+J209+L209</f>
        <v>172068</v>
      </c>
      <c r="G209" s="21">
        <f>I209+K209+M209</f>
        <v>172068</v>
      </c>
      <c r="H209" s="20">
        <v>0</v>
      </c>
      <c r="I209" s="21"/>
      <c r="J209" s="20">
        <f>노임!$D$3</f>
        <v>172068</v>
      </c>
      <c r="K209" s="21">
        <f>TRUNC(J209*D209,1)</f>
        <v>172068</v>
      </c>
      <c r="L209" s="20">
        <v>0</v>
      </c>
      <c r="M209" s="21"/>
      <c r="N209" s="18"/>
    </row>
    <row r="210" spans="1:14" ht="15" customHeight="1">
      <c r="A210" s="58"/>
      <c r="B210" s="55" t="s">
        <v>263</v>
      </c>
      <c r="C210" s="7" t="s">
        <v>172</v>
      </c>
      <c r="D210" s="19">
        <v>8</v>
      </c>
      <c r="E210" s="56" t="s">
        <v>7</v>
      </c>
      <c r="F210" s="20" t="e">
        <f>H210+J210+L210</f>
        <v>#REF!</v>
      </c>
      <c r="G210" s="21" t="e">
        <f>I210+K210+M210</f>
        <v>#REF!</v>
      </c>
      <c r="H210" s="20" t="e">
        <f>#REF!</f>
        <v>#REF!</v>
      </c>
      <c r="I210" s="21" t="e">
        <f>TRUNC(H210*D210,1)</f>
        <v>#REF!</v>
      </c>
      <c r="J210" s="20" t="e">
        <f>#REF!</f>
        <v>#REF!</v>
      </c>
      <c r="K210" s="21" t="e">
        <f>TRUNC(J210*D210,1)</f>
        <v>#REF!</v>
      </c>
      <c r="L210" s="20" t="e">
        <f>#REF!</f>
        <v>#REF!</v>
      </c>
      <c r="M210" s="21" t="e">
        <f>TRUNC(L210*D210,1)</f>
        <v>#REF!</v>
      </c>
      <c r="N210" s="18"/>
    </row>
    <row r="211" spans="1:14" ht="15" customHeight="1">
      <c r="A211" s="58"/>
      <c r="B211" s="14" t="s">
        <v>409</v>
      </c>
      <c r="C211" s="97" t="s">
        <v>219</v>
      </c>
      <c r="D211" s="3">
        <v>3</v>
      </c>
      <c r="E211" s="2" t="s">
        <v>28</v>
      </c>
      <c r="F211" s="4"/>
      <c r="G211" s="8"/>
      <c r="H211" s="4"/>
      <c r="I211" s="8"/>
      <c r="J211" s="4"/>
      <c r="K211" s="8"/>
      <c r="L211" s="4"/>
      <c r="M211" s="8">
        <f>TRUNC((K208+K209)*D211%,1)</f>
        <v>28794.2</v>
      </c>
      <c r="N211" s="18"/>
    </row>
    <row r="212" spans="1:14" customFormat="1" ht="15" customHeight="1">
      <c r="A212" s="94"/>
      <c r="B212" s="87" t="s">
        <v>376</v>
      </c>
      <c r="C212" s="95">
        <v>5</v>
      </c>
      <c r="D212" s="89">
        <f>ROUND(1/C212,4)</f>
        <v>0.2</v>
      </c>
      <c r="E212" s="90" t="s">
        <v>375</v>
      </c>
      <c r="F212" s="91"/>
      <c r="G212" s="92" t="e">
        <f>I212+K212+M212</f>
        <v>#REF!</v>
      </c>
      <c r="H212" s="91"/>
      <c r="I212" s="92" t="e">
        <f>TRUNC(SUM(I208:I211)*$D212,1)</f>
        <v>#REF!</v>
      </c>
      <c r="J212" s="91"/>
      <c r="K212" s="92" t="e">
        <f>TRUNC(SUM(K208:K211)*$D212,1)</f>
        <v>#REF!</v>
      </c>
      <c r="L212" s="91"/>
      <c r="M212" s="92" t="e">
        <f>TRUNC(SUM(M208:M211)*$D212,1)</f>
        <v>#REF!</v>
      </c>
      <c r="N212" s="96"/>
    </row>
    <row r="213" spans="1:14" customFormat="1" ht="15" customHeight="1">
      <c r="A213" s="94"/>
      <c r="B213" s="87" t="s">
        <v>298</v>
      </c>
      <c r="C213" s="88" t="s">
        <v>220</v>
      </c>
      <c r="D213" s="89">
        <v>30</v>
      </c>
      <c r="E213" s="90" t="s">
        <v>221</v>
      </c>
      <c r="F213" s="91"/>
      <c r="G213" s="92" t="e">
        <f>I213+K213+M213</f>
        <v>#REF!</v>
      </c>
      <c r="H213" s="91"/>
      <c r="I213" s="92" t="e">
        <f>TRUNC(I212*$D213%,1)</f>
        <v>#REF!</v>
      </c>
      <c r="J213" s="91"/>
      <c r="K213" s="92" t="e">
        <f>TRUNC(K212*$D213%,1)</f>
        <v>#REF!</v>
      </c>
      <c r="L213" s="91"/>
      <c r="M213" s="92" t="e">
        <f>TRUNC(M212*$D213%,1)</f>
        <v>#REF!</v>
      </c>
      <c r="N213" s="96"/>
    </row>
    <row r="214" spans="1:14" ht="15" customHeight="1">
      <c r="A214" s="58"/>
      <c r="B214" s="59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22"/>
    </row>
    <row r="215" spans="1:14" ht="15" customHeight="1">
      <c r="A215" s="64">
        <f>A207+1</f>
        <v>29</v>
      </c>
      <c r="B215" s="65" t="s">
        <v>408</v>
      </c>
      <c r="C215" s="66" t="s">
        <v>187</v>
      </c>
      <c r="D215" s="66">
        <v>1</v>
      </c>
      <c r="E215" s="67" t="s">
        <v>4</v>
      </c>
      <c r="F215" s="70"/>
      <c r="G215" s="68" t="e">
        <f>I215+K215+M215</f>
        <v>#REF!</v>
      </c>
      <c r="H215" s="70"/>
      <c r="I215" s="68" t="e">
        <f>TRUNC(I220,0)</f>
        <v>#REF!</v>
      </c>
      <c r="J215" s="70"/>
      <c r="K215" s="68" t="e">
        <f>TRUNC(K220,0)</f>
        <v>#REF!</v>
      </c>
      <c r="L215" s="70"/>
      <c r="M215" s="68" t="e">
        <f>TRUNC(M220,0)</f>
        <v>#REF!</v>
      </c>
      <c r="N215" s="69" t="str">
        <f>N200</f>
        <v>토목6-2-2</v>
      </c>
    </row>
    <row r="216" spans="1:14" ht="15" customHeight="1">
      <c r="A216" s="58"/>
      <c r="B216" s="55" t="s">
        <v>261</v>
      </c>
      <c r="C216" s="7" t="s">
        <v>32</v>
      </c>
      <c r="D216" s="19">
        <v>4</v>
      </c>
      <c r="E216" s="56" t="s">
        <v>24</v>
      </c>
      <c r="F216" s="20">
        <f>H216+J216+L216</f>
        <v>262580</v>
      </c>
      <c r="G216" s="21">
        <f>I216+K216+M216</f>
        <v>1050320</v>
      </c>
      <c r="H216" s="20">
        <v>0</v>
      </c>
      <c r="I216" s="21"/>
      <c r="J216" s="20">
        <f>노임!$D$10</f>
        <v>262580</v>
      </c>
      <c r="K216" s="21">
        <f>TRUNC(J216*D216,1)</f>
        <v>1050320</v>
      </c>
      <c r="L216" s="20">
        <v>0</v>
      </c>
      <c r="M216" s="21"/>
      <c r="N216" s="18"/>
    </row>
    <row r="217" spans="1:14" ht="15" customHeight="1">
      <c r="A217" s="58"/>
      <c r="B217" s="55" t="s">
        <v>262</v>
      </c>
      <c r="C217" s="7" t="s">
        <v>0</v>
      </c>
      <c r="D217" s="19">
        <v>1</v>
      </c>
      <c r="E217" s="56" t="s">
        <v>24</v>
      </c>
      <c r="F217" s="20">
        <f>H217+J217+L217</f>
        <v>172068</v>
      </c>
      <c r="G217" s="21">
        <f>I217+K217+M217</f>
        <v>172068</v>
      </c>
      <c r="H217" s="20">
        <v>0</v>
      </c>
      <c r="I217" s="21"/>
      <c r="J217" s="20">
        <f>노임!$D$3</f>
        <v>172068</v>
      </c>
      <c r="K217" s="21">
        <f>TRUNC(J217*D217,1)</f>
        <v>172068</v>
      </c>
      <c r="L217" s="20">
        <v>0</v>
      </c>
      <c r="M217" s="21"/>
      <c r="N217" s="18"/>
    </row>
    <row r="218" spans="1:14" ht="15" customHeight="1">
      <c r="A218" s="58"/>
      <c r="B218" s="55" t="s">
        <v>263</v>
      </c>
      <c r="C218" s="7" t="s">
        <v>199</v>
      </c>
      <c r="D218" s="19">
        <v>8</v>
      </c>
      <c r="E218" s="56" t="s">
        <v>7</v>
      </c>
      <c r="F218" s="20" t="e">
        <f>H218+J218+L218</f>
        <v>#REF!</v>
      </c>
      <c r="G218" s="21" t="e">
        <f>I218+K218+M218</f>
        <v>#REF!</v>
      </c>
      <c r="H218" s="20" t="e">
        <f>#REF!</f>
        <v>#REF!</v>
      </c>
      <c r="I218" s="21" t="e">
        <f>TRUNC(H218*D218,1)</f>
        <v>#REF!</v>
      </c>
      <c r="J218" s="20" t="e">
        <f>#REF!</f>
        <v>#REF!</v>
      </c>
      <c r="K218" s="21" t="e">
        <f>TRUNC(J218*D218,1)</f>
        <v>#REF!</v>
      </c>
      <c r="L218" s="20" t="e">
        <f>#REF!</f>
        <v>#REF!</v>
      </c>
      <c r="M218" s="21" t="e">
        <f>TRUNC(L218*D218,1)</f>
        <v>#REF!</v>
      </c>
      <c r="N218" s="18"/>
    </row>
    <row r="219" spans="1:14" ht="15" customHeight="1">
      <c r="A219" s="58"/>
      <c r="B219" s="14" t="s">
        <v>409</v>
      </c>
      <c r="C219" s="97" t="s">
        <v>219</v>
      </c>
      <c r="D219" s="3">
        <v>2</v>
      </c>
      <c r="E219" s="2" t="s">
        <v>28</v>
      </c>
      <c r="F219" s="4"/>
      <c r="G219" s="8"/>
      <c r="H219" s="4"/>
      <c r="I219" s="8"/>
      <c r="J219" s="4"/>
      <c r="K219" s="8"/>
      <c r="L219" s="4"/>
      <c r="M219" s="8">
        <f>TRUNC((K216+K217)*D219%,1)</f>
        <v>24447.7</v>
      </c>
      <c r="N219" s="18"/>
    </row>
    <row r="220" spans="1:14" customFormat="1" ht="15" customHeight="1">
      <c r="A220" s="94"/>
      <c r="B220" s="87" t="s">
        <v>376</v>
      </c>
      <c r="C220" s="95">
        <v>5</v>
      </c>
      <c r="D220" s="89">
        <f>ROUND(1/C220,4)</f>
        <v>0.2</v>
      </c>
      <c r="E220" s="90" t="s">
        <v>375</v>
      </c>
      <c r="F220" s="91"/>
      <c r="G220" s="92" t="e">
        <f>I220+K220+M220</f>
        <v>#REF!</v>
      </c>
      <c r="H220" s="91"/>
      <c r="I220" s="92" t="e">
        <f>TRUNC(SUM(I216:I219)*$D220,1)</f>
        <v>#REF!</v>
      </c>
      <c r="J220" s="91"/>
      <c r="K220" s="92" t="e">
        <f>TRUNC(SUM(K216:K219)*$D220,1)</f>
        <v>#REF!</v>
      </c>
      <c r="L220" s="91"/>
      <c r="M220" s="92" t="e">
        <f>TRUNC(SUM(M216:M219)*$D220,1)</f>
        <v>#REF!</v>
      </c>
      <c r="N220" s="96"/>
    </row>
    <row r="221" spans="1:14" ht="15" customHeight="1">
      <c r="A221" s="58"/>
      <c r="B221" s="59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22"/>
    </row>
    <row r="222" spans="1:14" ht="15" customHeight="1">
      <c r="A222" s="98">
        <f>A215+1</f>
        <v>30</v>
      </c>
      <c r="B222" s="99" t="s">
        <v>408</v>
      </c>
      <c r="C222" s="100" t="s">
        <v>524</v>
      </c>
      <c r="D222" s="100">
        <v>1</v>
      </c>
      <c r="E222" s="101" t="s">
        <v>4</v>
      </c>
      <c r="F222" s="102"/>
      <c r="G222" s="103" t="e">
        <f>I222+K222+M222</f>
        <v>#REF!</v>
      </c>
      <c r="H222" s="102"/>
      <c r="I222" s="103" t="e">
        <f>SUM(I227:I228)</f>
        <v>#REF!</v>
      </c>
      <c r="J222" s="102"/>
      <c r="K222" s="103" t="e">
        <f>SUM(K227:K228)</f>
        <v>#REF!</v>
      </c>
      <c r="L222" s="102"/>
      <c r="M222" s="103" t="e">
        <f>SUM(M227:M228)</f>
        <v>#REF!</v>
      </c>
      <c r="N222" s="104" t="str">
        <f>N215</f>
        <v>토목6-2-2</v>
      </c>
    </row>
    <row r="223" spans="1:14" ht="15" customHeight="1">
      <c r="A223" s="58"/>
      <c r="B223" s="55" t="s">
        <v>261</v>
      </c>
      <c r="C223" s="7" t="s">
        <v>32</v>
      </c>
      <c r="D223" s="19">
        <v>4</v>
      </c>
      <c r="E223" s="56" t="s">
        <v>24</v>
      </c>
      <c r="F223" s="20">
        <f>H223+J223+L223</f>
        <v>262580</v>
      </c>
      <c r="G223" s="21">
        <f>I223+K223+M223</f>
        <v>1050320</v>
      </c>
      <c r="H223" s="20">
        <v>0</v>
      </c>
      <c r="I223" s="21"/>
      <c r="J223" s="20">
        <f>노임!$D$10</f>
        <v>262580</v>
      </c>
      <c r="K223" s="21">
        <f>TRUNC(J223*D223,1)</f>
        <v>1050320</v>
      </c>
      <c r="L223" s="20">
        <v>0</v>
      </c>
      <c r="M223" s="21"/>
      <c r="N223" s="18"/>
    </row>
    <row r="224" spans="1:14" ht="15" customHeight="1">
      <c r="A224" s="58"/>
      <c r="B224" s="55" t="s">
        <v>262</v>
      </c>
      <c r="C224" s="7" t="s">
        <v>0</v>
      </c>
      <c r="D224" s="19">
        <v>1</v>
      </c>
      <c r="E224" s="56" t="s">
        <v>24</v>
      </c>
      <c r="F224" s="20">
        <f>H224+J224+L224</f>
        <v>172068</v>
      </c>
      <c r="G224" s="21">
        <f>I224+K224+M224</f>
        <v>172068</v>
      </c>
      <c r="H224" s="20">
        <v>0</v>
      </c>
      <c r="I224" s="21"/>
      <c r="J224" s="20">
        <f>노임!$D$3</f>
        <v>172068</v>
      </c>
      <c r="K224" s="21">
        <f>TRUNC(J224*D224,1)</f>
        <v>172068</v>
      </c>
      <c r="L224" s="20">
        <v>0</v>
      </c>
      <c r="M224" s="21"/>
      <c r="N224" s="18"/>
    </row>
    <row r="225" spans="1:14" ht="15" customHeight="1">
      <c r="A225" s="58"/>
      <c r="B225" s="55" t="s">
        <v>263</v>
      </c>
      <c r="C225" s="7" t="s">
        <v>172</v>
      </c>
      <c r="D225" s="19">
        <v>8</v>
      </c>
      <c r="E225" s="56" t="s">
        <v>7</v>
      </c>
      <c r="F225" s="20" t="e">
        <f>H225+J225+L225</f>
        <v>#REF!</v>
      </c>
      <c r="G225" s="21" t="e">
        <f>I225+K225+M225</f>
        <v>#REF!</v>
      </c>
      <c r="H225" s="20" t="e">
        <f>#REF!</f>
        <v>#REF!</v>
      </c>
      <c r="I225" s="21" t="e">
        <f>TRUNC(H225*D225,1)</f>
        <v>#REF!</v>
      </c>
      <c r="J225" s="20" t="e">
        <f>#REF!</f>
        <v>#REF!</v>
      </c>
      <c r="K225" s="21" t="e">
        <f>TRUNC(J225*D225,1)</f>
        <v>#REF!</v>
      </c>
      <c r="L225" s="20" t="e">
        <f>#REF!</f>
        <v>#REF!</v>
      </c>
      <c r="M225" s="21" t="e">
        <f>TRUNC(L225*D225,1)</f>
        <v>#REF!</v>
      </c>
      <c r="N225" s="18"/>
    </row>
    <row r="226" spans="1:14" ht="15" customHeight="1">
      <c r="A226" s="58"/>
      <c r="B226" s="14" t="s">
        <v>409</v>
      </c>
      <c r="C226" s="97" t="s">
        <v>219</v>
      </c>
      <c r="D226" s="3">
        <v>2</v>
      </c>
      <c r="E226" s="2" t="s">
        <v>28</v>
      </c>
      <c r="F226" s="4"/>
      <c r="G226" s="8"/>
      <c r="H226" s="4"/>
      <c r="I226" s="8"/>
      <c r="J226" s="4"/>
      <c r="K226" s="8"/>
      <c r="L226" s="4"/>
      <c r="M226" s="8">
        <f>TRUNC((K223+K224)*D226%,1)</f>
        <v>24447.7</v>
      </c>
      <c r="N226" s="18"/>
    </row>
    <row r="227" spans="1:14" customFormat="1" ht="15" customHeight="1">
      <c r="A227" s="94"/>
      <c r="B227" s="87" t="s">
        <v>376</v>
      </c>
      <c r="C227" s="95">
        <v>5</v>
      </c>
      <c r="D227" s="89">
        <f>ROUND(1/C227,4)</f>
        <v>0.2</v>
      </c>
      <c r="E227" s="90" t="s">
        <v>375</v>
      </c>
      <c r="F227" s="91"/>
      <c r="G227" s="92" t="e">
        <f>I227+K227+M227</f>
        <v>#REF!</v>
      </c>
      <c r="H227" s="91"/>
      <c r="I227" s="92" t="e">
        <f>TRUNC(SUM(I223:I226)*$D227,1)</f>
        <v>#REF!</v>
      </c>
      <c r="J227" s="91"/>
      <c r="K227" s="92" t="e">
        <f>TRUNC(SUM(K223:K226)*$D227,1)</f>
        <v>#REF!</v>
      </c>
      <c r="L227" s="91"/>
      <c r="M227" s="92" t="e">
        <f>TRUNC(SUM(M223:M226)*$D227,1)</f>
        <v>#REF!</v>
      </c>
      <c r="N227" s="96"/>
    </row>
    <row r="228" spans="1:14" customFormat="1" ht="15" customHeight="1">
      <c r="A228" s="94"/>
      <c r="B228" s="87" t="s">
        <v>298</v>
      </c>
      <c r="C228" s="88" t="s">
        <v>220</v>
      </c>
      <c r="D228" s="89">
        <v>30</v>
      </c>
      <c r="E228" s="90" t="s">
        <v>221</v>
      </c>
      <c r="F228" s="91"/>
      <c r="G228" s="92" t="e">
        <f>I228+K228+M228</f>
        <v>#REF!</v>
      </c>
      <c r="H228" s="91"/>
      <c r="I228" s="92" t="e">
        <f>TRUNC(I227*$D228%,1)</f>
        <v>#REF!</v>
      </c>
      <c r="J228" s="91"/>
      <c r="K228" s="92" t="e">
        <f>TRUNC(K227*$D228%,1)</f>
        <v>#REF!</v>
      </c>
      <c r="L228" s="91"/>
      <c r="M228" s="92" t="e">
        <f>TRUNC(M227*$D228%,1)</f>
        <v>#REF!</v>
      </c>
      <c r="N228" s="96"/>
    </row>
    <row r="229" spans="1:14" ht="15" customHeight="1">
      <c r="A229" s="58"/>
      <c r="B229" s="59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22"/>
    </row>
    <row r="230" spans="1:14" ht="15" customHeight="1">
      <c r="A230" s="64">
        <f>A222+1</f>
        <v>31</v>
      </c>
      <c r="B230" s="65" t="s">
        <v>408</v>
      </c>
      <c r="C230" s="66" t="s">
        <v>188</v>
      </c>
      <c r="D230" s="66">
        <v>1</v>
      </c>
      <c r="E230" s="67" t="s">
        <v>4</v>
      </c>
      <c r="F230" s="70"/>
      <c r="G230" s="68" t="e">
        <f>I230+K230+M230</f>
        <v>#REF!</v>
      </c>
      <c r="H230" s="70"/>
      <c r="I230" s="68" t="e">
        <f>TRUNC(I235,0)</f>
        <v>#REF!</v>
      </c>
      <c r="J230" s="70"/>
      <c r="K230" s="68" t="e">
        <f>TRUNC(K235,0)</f>
        <v>#REF!</v>
      </c>
      <c r="L230" s="70"/>
      <c r="M230" s="68" t="e">
        <f>TRUNC(M235,0)</f>
        <v>#REF!</v>
      </c>
      <c r="N230" s="69" t="str">
        <f>N215</f>
        <v>토목6-2-2</v>
      </c>
    </row>
    <row r="231" spans="1:14" ht="15" customHeight="1">
      <c r="A231" s="58"/>
      <c r="B231" s="55" t="s">
        <v>261</v>
      </c>
      <c r="C231" s="7" t="s">
        <v>32</v>
      </c>
      <c r="D231" s="19">
        <v>4</v>
      </c>
      <c r="E231" s="56" t="s">
        <v>24</v>
      </c>
      <c r="F231" s="20">
        <f>H231+J231+L231</f>
        <v>262580</v>
      </c>
      <c r="G231" s="21">
        <f>I231+K231+M231</f>
        <v>1050320</v>
      </c>
      <c r="H231" s="20">
        <v>0</v>
      </c>
      <c r="I231" s="21"/>
      <c r="J231" s="20">
        <f>노임!$D$10</f>
        <v>262580</v>
      </c>
      <c r="K231" s="21">
        <f>TRUNC(J231*D231,1)</f>
        <v>1050320</v>
      </c>
      <c r="L231" s="20">
        <v>0</v>
      </c>
      <c r="M231" s="21"/>
      <c r="N231" s="18"/>
    </row>
    <row r="232" spans="1:14" ht="15" customHeight="1">
      <c r="A232" s="58"/>
      <c r="B232" s="55" t="s">
        <v>262</v>
      </c>
      <c r="C232" s="7" t="s">
        <v>0</v>
      </c>
      <c r="D232" s="19">
        <v>1</v>
      </c>
      <c r="E232" s="56" t="s">
        <v>24</v>
      </c>
      <c r="F232" s="20">
        <f>H232+J232+L232</f>
        <v>172068</v>
      </c>
      <c r="G232" s="21">
        <f>I232+K232+M232</f>
        <v>172068</v>
      </c>
      <c r="H232" s="20">
        <v>0</v>
      </c>
      <c r="I232" s="21"/>
      <c r="J232" s="20">
        <f>노임!$D$3</f>
        <v>172068</v>
      </c>
      <c r="K232" s="21">
        <f>TRUNC(J232*D232,1)</f>
        <v>172068</v>
      </c>
      <c r="L232" s="20">
        <v>0</v>
      </c>
      <c r="M232" s="21"/>
      <c r="N232" s="18"/>
    </row>
    <row r="233" spans="1:14" ht="15" customHeight="1">
      <c r="A233" s="58"/>
      <c r="B233" s="55" t="s">
        <v>263</v>
      </c>
      <c r="C233" s="7" t="s">
        <v>199</v>
      </c>
      <c r="D233" s="19">
        <v>8</v>
      </c>
      <c r="E233" s="56" t="s">
        <v>7</v>
      </c>
      <c r="F233" s="20" t="e">
        <f>H233+J233+L233</f>
        <v>#REF!</v>
      </c>
      <c r="G233" s="21" t="e">
        <f>I233+K233+M233</f>
        <v>#REF!</v>
      </c>
      <c r="H233" s="20" t="e">
        <f>#REF!</f>
        <v>#REF!</v>
      </c>
      <c r="I233" s="21" t="e">
        <f>TRUNC(H233*D233,1)</f>
        <v>#REF!</v>
      </c>
      <c r="J233" s="20" t="e">
        <f>#REF!</f>
        <v>#REF!</v>
      </c>
      <c r="K233" s="21" t="e">
        <f>TRUNC(J233*D233,1)</f>
        <v>#REF!</v>
      </c>
      <c r="L233" s="20" t="e">
        <f>#REF!</f>
        <v>#REF!</v>
      </c>
      <c r="M233" s="21" t="e">
        <f>TRUNC(L233*D233,1)</f>
        <v>#REF!</v>
      </c>
      <c r="N233" s="18"/>
    </row>
    <row r="234" spans="1:14" ht="15" customHeight="1">
      <c r="A234" s="58"/>
      <c r="B234" s="14" t="s">
        <v>409</v>
      </c>
      <c r="C234" s="97" t="s">
        <v>219</v>
      </c>
      <c r="D234" s="3">
        <v>2</v>
      </c>
      <c r="E234" s="2" t="s">
        <v>28</v>
      </c>
      <c r="F234" s="4"/>
      <c r="G234" s="8"/>
      <c r="H234" s="4"/>
      <c r="I234" s="8"/>
      <c r="J234" s="4"/>
      <c r="K234" s="8"/>
      <c r="L234" s="4"/>
      <c r="M234" s="8">
        <f>TRUNC((K231+K232)*D234%,1)</f>
        <v>24447.7</v>
      </c>
      <c r="N234" s="18"/>
    </row>
    <row r="235" spans="1:14" customFormat="1" ht="15" customHeight="1">
      <c r="A235" s="94"/>
      <c r="B235" s="87" t="s">
        <v>376</v>
      </c>
      <c r="C235" s="95">
        <v>4.5</v>
      </c>
      <c r="D235" s="89">
        <f>ROUND(1/C235,4)</f>
        <v>0.22220000000000001</v>
      </c>
      <c r="E235" s="90" t="s">
        <v>375</v>
      </c>
      <c r="F235" s="91"/>
      <c r="G235" s="92" t="e">
        <f>I235+K235+M235</f>
        <v>#REF!</v>
      </c>
      <c r="H235" s="91"/>
      <c r="I235" s="92" t="e">
        <f>TRUNC(SUM(I231:I234)*$D235,1)</f>
        <v>#REF!</v>
      </c>
      <c r="J235" s="91"/>
      <c r="K235" s="92" t="e">
        <f>TRUNC(SUM(K231:K234)*$D235,1)</f>
        <v>#REF!</v>
      </c>
      <c r="L235" s="91"/>
      <c r="M235" s="92" t="e">
        <f>TRUNC(SUM(M231:M234)*$D235,1)</f>
        <v>#REF!</v>
      </c>
      <c r="N235" s="96"/>
    </row>
    <row r="236" spans="1:14" ht="15" customHeight="1">
      <c r="A236" s="58"/>
      <c r="B236" s="59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22"/>
    </row>
    <row r="237" spans="1:14" ht="15" customHeight="1">
      <c r="A237" s="98">
        <f>A230+1</f>
        <v>32</v>
      </c>
      <c r="B237" s="99" t="s">
        <v>408</v>
      </c>
      <c r="C237" s="100" t="s">
        <v>525</v>
      </c>
      <c r="D237" s="100">
        <v>1</v>
      </c>
      <c r="E237" s="101" t="s">
        <v>4</v>
      </c>
      <c r="F237" s="102"/>
      <c r="G237" s="103" t="e">
        <f>I237+K237+M237</f>
        <v>#REF!</v>
      </c>
      <c r="H237" s="102"/>
      <c r="I237" s="103" t="e">
        <f>SUM(I242:I243)</f>
        <v>#REF!</v>
      </c>
      <c r="J237" s="102"/>
      <c r="K237" s="103" t="e">
        <f>SUM(K242:K243)</f>
        <v>#REF!</v>
      </c>
      <c r="L237" s="102"/>
      <c r="M237" s="103" t="e">
        <f>SUM(M242:M243)</f>
        <v>#REF!</v>
      </c>
      <c r="N237" s="104" t="str">
        <f>N230</f>
        <v>토목6-2-2</v>
      </c>
    </row>
    <row r="238" spans="1:14" ht="15" customHeight="1">
      <c r="A238" s="58"/>
      <c r="B238" s="55" t="s">
        <v>261</v>
      </c>
      <c r="C238" s="7" t="s">
        <v>32</v>
      </c>
      <c r="D238" s="19">
        <v>4</v>
      </c>
      <c r="E238" s="56" t="s">
        <v>24</v>
      </c>
      <c r="F238" s="20">
        <f>H238+J238+L238</f>
        <v>262580</v>
      </c>
      <c r="G238" s="21">
        <f>I238+K238+M238</f>
        <v>1050320</v>
      </c>
      <c r="H238" s="20">
        <v>0</v>
      </c>
      <c r="I238" s="21"/>
      <c r="J238" s="20">
        <f>노임!$D$10</f>
        <v>262580</v>
      </c>
      <c r="K238" s="21">
        <f>TRUNC(J238*D238,1)</f>
        <v>1050320</v>
      </c>
      <c r="L238" s="20">
        <v>0</v>
      </c>
      <c r="M238" s="21"/>
      <c r="N238" s="18"/>
    </row>
    <row r="239" spans="1:14" ht="15" customHeight="1">
      <c r="A239" s="58"/>
      <c r="B239" s="55" t="s">
        <v>262</v>
      </c>
      <c r="C239" s="7" t="s">
        <v>0</v>
      </c>
      <c r="D239" s="19">
        <v>1</v>
      </c>
      <c r="E239" s="56" t="s">
        <v>24</v>
      </c>
      <c r="F239" s="20">
        <f>H239+J239+L239</f>
        <v>172068</v>
      </c>
      <c r="G239" s="21">
        <f>I239+K239+M239</f>
        <v>172068</v>
      </c>
      <c r="H239" s="20">
        <v>0</v>
      </c>
      <c r="I239" s="21"/>
      <c r="J239" s="20">
        <f>노임!$D$3</f>
        <v>172068</v>
      </c>
      <c r="K239" s="21">
        <f>TRUNC(J239*D239,1)</f>
        <v>172068</v>
      </c>
      <c r="L239" s="20">
        <v>0</v>
      </c>
      <c r="M239" s="21"/>
      <c r="N239" s="18"/>
    </row>
    <row r="240" spans="1:14" ht="15" customHeight="1">
      <c r="A240" s="58"/>
      <c r="B240" s="55" t="s">
        <v>263</v>
      </c>
      <c r="C240" s="7" t="s">
        <v>172</v>
      </c>
      <c r="D240" s="19">
        <v>8</v>
      </c>
      <c r="E240" s="56" t="s">
        <v>7</v>
      </c>
      <c r="F240" s="20" t="e">
        <f>H240+J240+L240</f>
        <v>#REF!</v>
      </c>
      <c r="G240" s="21" t="e">
        <f>I240+K240+M240</f>
        <v>#REF!</v>
      </c>
      <c r="H240" s="20" t="e">
        <f>#REF!</f>
        <v>#REF!</v>
      </c>
      <c r="I240" s="21" t="e">
        <f>TRUNC(H240*D240,1)</f>
        <v>#REF!</v>
      </c>
      <c r="J240" s="20" t="e">
        <f>#REF!</f>
        <v>#REF!</v>
      </c>
      <c r="K240" s="21" t="e">
        <f>TRUNC(J240*D240,1)</f>
        <v>#REF!</v>
      </c>
      <c r="L240" s="20" t="e">
        <f>#REF!</f>
        <v>#REF!</v>
      </c>
      <c r="M240" s="21" t="e">
        <f>TRUNC(L240*D240,1)</f>
        <v>#REF!</v>
      </c>
      <c r="N240" s="18"/>
    </row>
    <row r="241" spans="1:14" ht="15" customHeight="1">
      <c r="A241" s="58"/>
      <c r="B241" s="14" t="s">
        <v>409</v>
      </c>
      <c r="C241" s="97" t="s">
        <v>219</v>
      </c>
      <c r="D241" s="3">
        <v>2</v>
      </c>
      <c r="E241" s="2" t="s">
        <v>28</v>
      </c>
      <c r="F241" s="4"/>
      <c r="G241" s="8"/>
      <c r="H241" s="4"/>
      <c r="I241" s="8"/>
      <c r="J241" s="4"/>
      <c r="K241" s="8"/>
      <c r="L241" s="4"/>
      <c r="M241" s="8">
        <f>TRUNC((K238+K239)*D241%,1)</f>
        <v>24447.7</v>
      </c>
      <c r="N241" s="18"/>
    </row>
    <row r="242" spans="1:14" customFormat="1" ht="15" customHeight="1">
      <c r="A242" s="94"/>
      <c r="B242" s="87" t="s">
        <v>376</v>
      </c>
      <c r="C242" s="95">
        <v>4.5</v>
      </c>
      <c r="D242" s="89">
        <f>ROUND(1/C242,4)</f>
        <v>0.22220000000000001</v>
      </c>
      <c r="E242" s="90" t="s">
        <v>375</v>
      </c>
      <c r="F242" s="91"/>
      <c r="G242" s="92" t="e">
        <f>I242+K242+M242</f>
        <v>#REF!</v>
      </c>
      <c r="H242" s="91"/>
      <c r="I242" s="92" t="e">
        <f>TRUNC(SUM(I238:I241)*$D242,1)</f>
        <v>#REF!</v>
      </c>
      <c r="J242" s="91"/>
      <c r="K242" s="92" t="e">
        <f>TRUNC(SUM(K238:K241)*$D242,1)</f>
        <v>#REF!</v>
      </c>
      <c r="L242" s="91"/>
      <c r="M242" s="92" t="e">
        <f>TRUNC(SUM(M238:M241)*$D242,1)</f>
        <v>#REF!</v>
      </c>
      <c r="N242" s="96"/>
    </row>
    <row r="243" spans="1:14" customFormat="1" ht="15" customHeight="1">
      <c r="A243" s="94"/>
      <c r="B243" s="87" t="s">
        <v>298</v>
      </c>
      <c r="C243" s="88" t="s">
        <v>220</v>
      </c>
      <c r="D243" s="89">
        <v>30</v>
      </c>
      <c r="E243" s="90" t="s">
        <v>221</v>
      </c>
      <c r="F243" s="91"/>
      <c r="G243" s="92" t="e">
        <f>I243+K243+M243</f>
        <v>#REF!</v>
      </c>
      <c r="H243" s="91"/>
      <c r="I243" s="92" t="e">
        <f>TRUNC(I242*$D243%,1)</f>
        <v>#REF!</v>
      </c>
      <c r="J243" s="91"/>
      <c r="K243" s="92" t="e">
        <f>TRUNC(K242*$D243%,1)</f>
        <v>#REF!</v>
      </c>
      <c r="L243" s="91"/>
      <c r="M243" s="92" t="e">
        <f>TRUNC(M242*$D243%,1)</f>
        <v>#REF!</v>
      </c>
      <c r="N243" s="96"/>
    </row>
    <row r="244" spans="1:14" ht="15" customHeight="1">
      <c r="A244" s="58"/>
      <c r="B244" s="59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22"/>
    </row>
    <row r="245" spans="1:14" ht="15" customHeight="1">
      <c r="A245" s="64">
        <f>A237+1</f>
        <v>33</v>
      </c>
      <c r="B245" s="65" t="s">
        <v>408</v>
      </c>
      <c r="C245" s="66" t="s">
        <v>171</v>
      </c>
      <c r="D245" s="66">
        <v>1</v>
      </c>
      <c r="E245" s="67" t="s">
        <v>4</v>
      </c>
      <c r="F245" s="70"/>
      <c r="G245" s="68" t="e">
        <f>I245+K245+M245</f>
        <v>#REF!</v>
      </c>
      <c r="H245" s="70"/>
      <c r="I245" s="68" t="e">
        <f>TRUNC(I250,0)</f>
        <v>#REF!</v>
      </c>
      <c r="J245" s="70"/>
      <c r="K245" s="68" t="e">
        <f>TRUNC(K250,0)</f>
        <v>#REF!</v>
      </c>
      <c r="L245" s="70"/>
      <c r="M245" s="68" t="e">
        <f>TRUNC(M250,0)</f>
        <v>#REF!</v>
      </c>
      <c r="N245" s="69" t="str">
        <f>N230</f>
        <v>토목6-2-2</v>
      </c>
    </row>
    <row r="246" spans="1:14" ht="15" customHeight="1">
      <c r="A246" s="58"/>
      <c r="B246" s="55" t="s">
        <v>261</v>
      </c>
      <c r="C246" s="7" t="s">
        <v>32</v>
      </c>
      <c r="D246" s="19">
        <v>4</v>
      </c>
      <c r="E246" s="56" t="s">
        <v>24</v>
      </c>
      <c r="F246" s="20">
        <f>H246+J246+L246</f>
        <v>262580</v>
      </c>
      <c r="G246" s="21">
        <f>I246+K246+M246</f>
        <v>1050320</v>
      </c>
      <c r="H246" s="20">
        <v>0</v>
      </c>
      <c r="I246" s="21"/>
      <c r="J246" s="20">
        <f>노임!$D$10</f>
        <v>262580</v>
      </c>
      <c r="K246" s="21">
        <f>TRUNC(J246*D246,1)</f>
        <v>1050320</v>
      </c>
      <c r="L246" s="20">
        <v>0</v>
      </c>
      <c r="M246" s="21"/>
      <c r="N246" s="18"/>
    </row>
    <row r="247" spans="1:14" ht="15" customHeight="1">
      <c r="A247" s="58"/>
      <c r="B247" s="55" t="s">
        <v>262</v>
      </c>
      <c r="C247" s="7" t="s">
        <v>0</v>
      </c>
      <c r="D247" s="19">
        <v>1</v>
      </c>
      <c r="E247" s="56" t="s">
        <v>24</v>
      </c>
      <c r="F247" s="20">
        <f>H247+J247+L247</f>
        <v>172068</v>
      </c>
      <c r="G247" s="21">
        <f>I247+K247+M247</f>
        <v>172068</v>
      </c>
      <c r="H247" s="20">
        <v>0</v>
      </c>
      <c r="I247" s="21"/>
      <c r="J247" s="20">
        <f>노임!$D$3</f>
        <v>172068</v>
      </c>
      <c r="K247" s="21">
        <f>TRUNC(J247*D247,1)</f>
        <v>172068</v>
      </c>
      <c r="L247" s="20">
        <v>0</v>
      </c>
      <c r="M247" s="21"/>
      <c r="N247" s="18"/>
    </row>
    <row r="248" spans="1:14" ht="15" customHeight="1">
      <c r="A248" s="58"/>
      <c r="B248" s="55" t="s">
        <v>263</v>
      </c>
      <c r="C248" s="7" t="s">
        <v>199</v>
      </c>
      <c r="D248" s="19">
        <v>8</v>
      </c>
      <c r="E248" s="56" t="s">
        <v>7</v>
      </c>
      <c r="F248" s="20" t="e">
        <f>H248+J248+L248</f>
        <v>#REF!</v>
      </c>
      <c r="G248" s="21" t="e">
        <f>I248+K248+M248</f>
        <v>#REF!</v>
      </c>
      <c r="H248" s="20" t="e">
        <f>#REF!</f>
        <v>#REF!</v>
      </c>
      <c r="I248" s="21" t="e">
        <f>TRUNC(H248*D248,1)</f>
        <v>#REF!</v>
      </c>
      <c r="J248" s="20" t="e">
        <f>#REF!</f>
        <v>#REF!</v>
      </c>
      <c r="K248" s="21" t="e">
        <f>TRUNC(J248*D248,1)</f>
        <v>#REF!</v>
      </c>
      <c r="L248" s="20" t="e">
        <f>#REF!</f>
        <v>#REF!</v>
      </c>
      <c r="M248" s="21" t="e">
        <f>TRUNC(L248*D248,1)</f>
        <v>#REF!</v>
      </c>
      <c r="N248" s="22"/>
    </row>
    <row r="249" spans="1:14" ht="15" customHeight="1">
      <c r="A249" s="58"/>
      <c r="B249" s="14" t="s">
        <v>409</v>
      </c>
      <c r="C249" s="97" t="s">
        <v>219</v>
      </c>
      <c r="D249" s="3">
        <v>2</v>
      </c>
      <c r="E249" s="2" t="s">
        <v>28</v>
      </c>
      <c r="F249" s="4"/>
      <c r="G249" s="8"/>
      <c r="H249" s="4"/>
      <c r="I249" s="8"/>
      <c r="J249" s="4"/>
      <c r="K249" s="8"/>
      <c r="L249" s="4"/>
      <c r="M249" s="8">
        <f>TRUNC((K246+K247)*D249%,1)</f>
        <v>24447.7</v>
      </c>
      <c r="N249" s="18"/>
    </row>
    <row r="250" spans="1:14" customFormat="1" ht="15" customHeight="1">
      <c r="A250" s="94"/>
      <c r="B250" s="87" t="s">
        <v>376</v>
      </c>
      <c r="C250" s="95">
        <v>4</v>
      </c>
      <c r="D250" s="89">
        <f>ROUND(1/C250,4)</f>
        <v>0.25</v>
      </c>
      <c r="E250" s="90" t="s">
        <v>375</v>
      </c>
      <c r="F250" s="91"/>
      <c r="G250" s="92" t="e">
        <f>I250+K250+M250</f>
        <v>#REF!</v>
      </c>
      <c r="H250" s="91"/>
      <c r="I250" s="92" t="e">
        <f>TRUNC(SUM(I246:I249)*$D250,1)</f>
        <v>#REF!</v>
      </c>
      <c r="J250" s="91"/>
      <c r="K250" s="92" t="e">
        <f>TRUNC(SUM(K246:K249)*$D250,1)</f>
        <v>#REF!</v>
      </c>
      <c r="L250" s="91"/>
      <c r="M250" s="92" t="e">
        <f>TRUNC(SUM(M246:M249)*$D250,1)</f>
        <v>#REF!</v>
      </c>
      <c r="N250" s="96"/>
    </row>
    <row r="251" spans="1:14" ht="15" customHeight="1">
      <c r="A251" s="58"/>
      <c r="B251" s="59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22"/>
    </row>
    <row r="252" spans="1:14" ht="15" customHeight="1">
      <c r="A252" s="98">
        <f>A245+1</f>
        <v>34</v>
      </c>
      <c r="B252" s="99" t="s">
        <v>408</v>
      </c>
      <c r="C252" s="100" t="s">
        <v>526</v>
      </c>
      <c r="D252" s="100">
        <v>1</v>
      </c>
      <c r="E252" s="101" t="s">
        <v>4</v>
      </c>
      <c r="F252" s="102"/>
      <c r="G252" s="103" t="e">
        <f>I252+K252+M252</f>
        <v>#REF!</v>
      </c>
      <c r="H252" s="102"/>
      <c r="I252" s="103" t="e">
        <f>SUM(I257:I258)</f>
        <v>#REF!</v>
      </c>
      <c r="J252" s="102"/>
      <c r="K252" s="103" t="e">
        <f>SUM(K257:K258)</f>
        <v>#REF!</v>
      </c>
      <c r="L252" s="102"/>
      <c r="M252" s="103" t="e">
        <f>SUM(M257:M258)</f>
        <v>#REF!</v>
      </c>
      <c r="N252" s="104" t="str">
        <f>N245</f>
        <v>토목6-2-2</v>
      </c>
    </row>
    <row r="253" spans="1:14" ht="15" customHeight="1">
      <c r="A253" s="58"/>
      <c r="B253" s="55" t="s">
        <v>261</v>
      </c>
      <c r="C253" s="7" t="s">
        <v>32</v>
      </c>
      <c r="D253" s="19">
        <v>4</v>
      </c>
      <c r="E253" s="56" t="s">
        <v>24</v>
      </c>
      <c r="F253" s="20">
        <f>H253+J253+L253</f>
        <v>262580</v>
      </c>
      <c r="G253" s="21">
        <f>I253+K253+M253</f>
        <v>1050320</v>
      </c>
      <c r="H253" s="20">
        <v>0</v>
      </c>
      <c r="I253" s="21"/>
      <c r="J253" s="20">
        <f>노임!$D$10</f>
        <v>262580</v>
      </c>
      <c r="K253" s="21">
        <f>TRUNC(J253*D253,1)</f>
        <v>1050320</v>
      </c>
      <c r="L253" s="20">
        <v>0</v>
      </c>
      <c r="M253" s="21"/>
      <c r="N253" s="18"/>
    </row>
    <row r="254" spans="1:14" ht="15" customHeight="1">
      <c r="A254" s="58"/>
      <c r="B254" s="55" t="s">
        <v>262</v>
      </c>
      <c r="C254" s="7" t="s">
        <v>0</v>
      </c>
      <c r="D254" s="19">
        <v>1</v>
      </c>
      <c r="E254" s="56" t="s">
        <v>24</v>
      </c>
      <c r="F254" s="20">
        <f>H254+J254+L254</f>
        <v>172068</v>
      </c>
      <c r="G254" s="21">
        <f>I254+K254+M254</f>
        <v>172068</v>
      </c>
      <c r="H254" s="20">
        <v>0</v>
      </c>
      <c r="I254" s="21"/>
      <c r="J254" s="20">
        <f>노임!$D$3</f>
        <v>172068</v>
      </c>
      <c r="K254" s="21">
        <f>TRUNC(J254*D254,1)</f>
        <v>172068</v>
      </c>
      <c r="L254" s="20">
        <v>0</v>
      </c>
      <c r="M254" s="21"/>
      <c r="N254" s="18"/>
    </row>
    <row r="255" spans="1:14" ht="15" customHeight="1">
      <c r="A255" s="58"/>
      <c r="B255" s="55" t="s">
        <v>263</v>
      </c>
      <c r="C255" s="7" t="s">
        <v>172</v>
      </c>
      <c r="D255" s="19">
        <v>8</v>
      </c>
      <c r="E255" s="56" t="s">
        <v>7</v>
      </c>
      <c r="F255" s="20" t="e">
        <f>H255+J255+L255</f>
        <v>#REF!</v>
      </c>
      <c r="G255" s="21" t="e">
        <f>I255+K255+M255</f>
        <v>#REF!</v>
      </c>
      <c r="H255" s="20" t="e">
        <f>#REF!</f>
        <v>#REF!</v>
      </c>
      <c r="I255" s="21" t="e">
        <f>TRUNC(H255*D255,1)</f>
        <v>#REF!</v>
      </c>
      <c r="J255" s="20" t="e">
        <f>#REF!</f>
        <v>#REF!</v>
      </c>
      <c r="K255" s="21" t="e">
        <f>TRUNC(J255*D255,1)</f>
        <v>#REF!</v>
      </c>
      <c r="L255" s="20" t="e">
        <f>#REF!</f>
        <v>#REF!</v>
      </c>
      <c r="M255" s="21" t="e">
        <f>TRUNC(L255*D255,1)</f>
        <v>#REF!</v>
      </c>
      <c r="N255" s="18"/>
    </row>
    <row r="256" spans="1:14" ht="15" customHeight="1">
      <c r="A256" s="58"/>
      <c r="B256" s="14" t="s">
        <v>409</v>
      </c>
      <c r="C256" s="97" t="s">
        <v>219</v>
      </c>
      <c r="D256" s="3">
        <v>2</v>
      </c>
      <c r="E256" s="2" t="s">
        <v>28</v>
      </c>
      <c r="F256" s="4"/>
      <c r="G256" s="8"/>
      <c r="H256" s="4"/>
      <c r="I256" s="8"/>
      <c r="J256" s="4"/>
      <c r="K256" s="8"/>
      <c r="L256" s="4"/>
      <c r="M256" s="8">
        <f>TRUNC((K253+K254)*D256%,1)</f>
        <v>24447.7</v>
      </c>
      <c r="N256" s="18"/>
    </row>
    <row r="257" spans="1:14" customFormat="1" ht="15" customHeight="1">
      <c r="A257" s="94"/>
      <c r="B257" s="87" t="s">
        <v>376</v>
      </c>
      <c r="C257" s="95">
        <v>4</v>
      </c>
      <c r="D257" s="89">
        <f>ROUND(1/C257,4)</f>
        <v>0.25</v>
      </c>
      <c r="E257" s="90" t="s">
        <v>375</v>
      </c>
      <c r="F257" s="91"/>
      <c r="G257" s="92" t="e">
        <f>I257+K257+M257</f>
        <v>#REF!</v>
      </c>
      <c r="H257" s="91"/>
      <c r="I257" s="92" t="e">
        <f>TRUNC(SUM(I253:I256)*$D257,1)</f>
        <v>#REF!</v>
      </c>
      <c r="J257" s="91"/>
      <c r="K257" s="92" t="e">
        <f>TRUNC(SUM(K253:K256)*$D257,1)</f>
        <v>#REF!</v>
      </c>
      <c r="L257" s="91"/>
      <c r="M257" s="92" t="e">
        <f>TRUNC(SUM(M253:M256)*$D257,1)</f>
        <v>#REF!</v>
      </c>
      <c r="N257" s="96"/>
    </row>
    <row r="258" spans="1:14" customFormat="1" ht="15" customHeight="1">
      <c r="A258" s="94"/>
      <c r="B258" s="87" t="s">
        <v>298</v>
      </c>
      <c r="C258" s="88" t="s">
        <v>220</v>
      </c>
      <c r="D258" s="89">
        <v>30</v>
      </c>
      <c r="E258" s="90" t="s">
        <v>221</v>
      </c>
      <c r="F258" s="91"/>
      <c r="G258" s="92" t="e">
        <f>I258+K258+M258</f>
        <v>#REF!</v>
      </c>
      <c r="H258" s="91"/>
      <c r="I258" s="92" t="e">
        <f>TRUNC(I257*$D258%,1)</f>
        <v>#REF!</v>
      </c>
      <c r="J258" s="91"/>
      <c r="K258" s="92" t="e">
        <f>TRUNC(K257*$D258%,1)</f>
        <v>#REF!</v>
      </c>
      <c r="L258" s="91"/>
      <c r="M258" s="92" t="e">
        <f>TRUNC(M257*$D258%,1)</f>
        <v>#REF!</v>
      </c>
      <c r="N258" s="96"/>
    </row>
    <row r="259" spans="1:14" ht="15" customHeight="1">
      <c r="A259" s="58"/>
      <c r="B259" s="59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22"/>
    </row>
    <row r="260" spans="1:14" ht="15" customHeight="1">
      <c r="A260" s="64">
        <f>A252+1</f>
        <v>35</v>
      </c>
      <c r="B260" s="65" t="s">
        <v>408</v>
      </c>
      <c r="C260" s="66" t="s">
        <v>189</v>
      </c>
      <c r="D260" s="66">
        <v>1</v>
      </c>
      <c r="E260" s="67" t="s">
        <v>4</v>
      </c>
      <c r="F260" s="70"/>
      <c r="G260" s="68" t="e">
        <f>I260+K260+M260</f>
        <v>#REF!</v>
      </c>
      <c r="H260" s="70"/>
      <c r="I260" s="68" t="e">
        <f>TRUNC(I265,0)</f>
        <v>#REF!</v>
      </c>
      <c r="J260" s="70"/>
      <c r="K260" s="68" t="e">
        <f>TRUNC(K265,0)</f>
        <v>#REF!</v>
      </c>
      <c r="L260" s="70"/>
      <c r="M260" s="68" t="e">
        <f>TRUNC(M265,0)</f>
        <v>#REF!</v>
      </c>
      <c r="N260" s="69" t="str">
        <f>N245</f>
        <v>토목6-2-2</v>
      </c>
    </row>
    <row r="261" spans="1:14" ht="15" customHeight="1">
      <c r="A261" s="58"/>
      <c r="B261" s="55" t="s">
        <v>261</v>
      </c>
      <c r="C261" s="7" t="s">
        <v>32</v>
      </c>
      <c r="D261" s="19">
        <v>4</v>
      </c>
      <c r="E261" s="56" t="s">
        <v>24</v>
      </c>
      <c r="F261" s="20">
        <f>H261+J261+L261</f>
        <v>262580</v>
      </c>
      <c r="G261" s="21">
        <f>I261+K261+M261</f>
        <v>1050320</v>
      </c>
      <c r="H261" s="20">
        <v>0</v>
      </c>
      <c r="I261" s="21"/>
      <c r="J261" s="20">
        <f>노임!$D$10</f>
        <v>262580</v>
      </c>
      <c r="K261" s="21">
        <f>TRUNC(J261*D261,1)</f>
        <v>1050320</v>
      </c>
      <c r="L261" s="20">
        <v>0</v>
      </c>
      <c r="M261" s="21"/>
      <c r="N261" s="18"/>
    </row>
    <row r="262" spans="1:14" ht="15" customHeight="1">
      <c r="A262" s="58"/>
      <c r="B262" s="55" t="s">
        <v>262</v>
      </c>
      <c r="C262" s="7" t="s">
        <v>0</v>
      </c>
      <c r="D262" s="19">
        <v>1</v>
      </c>
      <c r="E262" s="56" t="s">
        <v>24</v>
      </c>
      <c r="F262" s="20">
        <f>H262+J262+L262</f>
        <v>172068</v>
      </c>
      <c r="G262" s="21">
        <f>I262+K262+M262</f>
        <v>172068</v>
      </c>
      <c r="H262" s="20">
        <v>0</v>
      </c>
      <c r="I262" s="21"/>
      <c r="J262" s="20">
        <f>노임!$D$3</f>
        <v>172068</v>
      </c>
      <c r="K262" s="21">
        <f>TRUNC(J262*D262,1)</f>
        <v>172068</v>
      </c>
      <c r="L262" s="20">
        <v>0</v>
      </c>
      <c r="M262" s="21"/>
      <c r="N262" s="18"/>
    </row>
    <row r="263" spans="1:14" ht="15" customHeight="1">
      <c r="A263" s="58"/>
      <c r="B263" s="55" t="s">
        <v>263</v>
      </c>
      <c r="C263" s="7" t="s">
        <v>199</v>
      </c>
      <c r="D263" s="19">
        <v>8</v>
      </c>
      <c r="E263" s="56" t="s">
        <v>7</v>
      </c>
      <c r="F263" s="20" t="e">
        <f>H263+J263+L263</f>
        <v>#REF!</v>
      </c>
      <c r="G263" s="21" t="e">
        <f>I263+K263+M263</f>
        <v>#REF!</v>
      </c>
      <c r="H263" s="20" t="e">
        <f>#REF!</f>
        <v>#REF!</v>
      </c>
      <c r="I263" s="21" t="e">
        <f>TRUNC(H263*D263,1)</f>
        <v>#REF!</v>
      </c>
      <c r="J263" s="20" t="e">
        <f>#REF!</f>
        <v>#REF!</v>
      </c>
      <c r="K263" s="21" t="e">
        <f>TRUNC(J263*D263,1)</f>
        <v>#REF!</v>
      </c>
      <c r="L263" s="20" t="e">
        <f>#REF!</f>
        <v>#REF!</v>
      </c>
      <c r="M263" s="21" t="e">
        <f>TRUNC(L263*D263,1)</f>
        <v>#REF!</v>
      </c>
      <c r="N263" s="18"/>
    </row>
    <row r="264" spans="1:14" ht="15" customHeight="1">
      <c r="A264" s="58"/>
      <c r="B264" s="14" t="s">
        <v>409</v>
      </c>
      <c r="C264" s="97" t="s">
        <v>219</v>
      </c>
      <c r="D264" s="3">
        <v>2</v>
      </c>
      <c r="E264" s="2" t="s">
        <v>28</v>
      </c>
      <c r="F264" s="4"/>
      <c r="G264" s="8"/>
      <c r="H264" s="4"/>
      <c r="I264" s="8"/>
      <c r="J264" s="4"/>
      <c r="K264" s="8"/>
      <c r="L264" s="4"/>
      <c r="M264" s="8">
        <f>TRUNC((K261+K262)*D264%,1)</f>
        <v>24447.7</v>
      </c>
      <c r="N264" s="18"/>
    </row>
    <row r="265" spans="1:14" customFormat="1" ht="15" customHeight="1">
      <c r="A265" s="94"/>
      <c r="B265" s="87" t="s">
        <v>376</v>
      </c>
      <c r="C265" s="95">
        <v>3.5</v>
      </c>
      <c r="D265" s="89">
        <f>ROUND(1/C265,4)</f>
        <v>0.28570000000000001</v>
      </c>
      <c r="E265" s="90" t="s">
        <v>375</v>
      </c>
      <c r="F265" s="91"/>
      <c r="G265" s="92" t="e">
        <f>I265+K265+M265</f>
        <v>#REF!</v>
      </c>
      <c r="H265" s="91"/>
      <c r="I265" s="92" t="e">
        <f>TRUNC(SUM(I261:I264)*$D265,1)</f>
        <v>#REF!</v>
      </c>
      <c r="J265" s="91"/>
      <c r="K265" s="92" t="e">
        <f>TRUNC(SUM(K261:K264)*$D265,1)</f>
        <v>#REF!</v>
      </c>
      <c r="L265" s="91"/>
      <c r="M265" s="92" t="e">
        <f>TRUNC(SUM(M261:M264)*$D265,1)</f>
        <v>#REF!</v>
      </c>
      <c r="N265" s="96"/>
    </row>
    <row r="266" spans="1:14" ht="15" customHeight="1">
      <c r="A266" s="58"/>
      <c r="B266" s="59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22"/>
    </row>
    <row r="267" spans="1:14" ht="15" customHeight="1">
      <c r="A267" s="98">
        <f>A260+1</f>
        <v>36</v>
      </c>
      <c r="B267" s="99" t="s">
        <v>408</v>
      </c>
      <c r="C267" s="100" t="s">
        <v>527</v>
      </c>
      <c r="D267" s="100">
        <v>1</v>
      </c>
      <c r="E267" s="101" t="s">
        <v>4</v>
      </c>
      <c r="F267" s="102"/>
      <c r="G267" s="103" t="e">
        <f>I267+K267+M267</f>
        <v>#REF!</v>
      </c>
      <c r="H267" s="102"/>
      <c r="I267" s="103" t="e">
        <f>SUM(I272:I273)</f>
        <v>#REF!</v>
      </c>
      <c r="J267" s="102"/>
      <c r="K267" s="103" t="e">
        <f>SUM(K272:K273)</f>
        <v>#REF!</v>
      </c>
      <c r="L267" s="102"/>
      <c r="M267" s="103" t="e">
        <f>SUM(M272:M273)</f>
        <v>#REF!</v>
      </c>
      <c r="N267" s="104" t="str">
        <f>N260</f>
        <v>토목6-2-2</v>
      </c>
    </row>
    <row r="268" spans="1:14" ht="15" customHeight="1">
      <c r="A268" s="58"/>
      <c r="B268" s="55" t="s">
        <v>261</v>
      </c>
      <c r="C268" s="7" t="s">
        <v>32</v>
      </c>
      <c r="D268" s="19">
        <v>4</v>
      </c>
      <c r="E268" s="56" t="s">
        <v>24</v>
      </c>
      <c r="F268" s="20">
        <f>H268+J268+L268</f>
        <v>262580</v>
      </c>
      <c r="G268" s="21">
        <f>I268+K268+M268</f>
        <v>1050320</v>
      </c>
      <c r="H268" s="20">
        <v>0</v>
      </c>
      <c r="I268" s="21"/>
      <c r="J268" s="20">
        <f>노임!$D$10</f>
        <v>262580</v>
      </c>
      <c r="K268" s="21">
        <f>TRUNC(J268*D268,1)</f>
        <v>1050320</v>
      </c>
      <c r="L268" s="20">
        <v>0</v>
      </c>
      <c r="M268" s="21"/>
      <c r="N268" s="18"/>
    </row>
    <row r="269" spans="1:14" ht="15" customHeight="1">
      <c r="A269" s="58"/>
      <c r="B269" s="55" t="s">
        <v>262</v>
      </c>
      <c r="C269" s="7" t="s">
        <v>0</v>
      </c>
      <c r="D269" s="19">
        <v>1</v>
      </c>
      <c r="E269" s="56" t="s">
        <v>24</v>
      </c>
      <c r="F269" s="20">
        <f>H269+J269+L269</f>
        <v>172068</v>
      </c>
      <c r="G269" s="21">
        <f>I269+K269+M269</f>
        <v>172068</v>
      </c>
      <c r="H269" s="20">
        <v>0</v>
      </c>
      <c r="I269" s="21"/>
      <c r="J269" s="20">
        <f>노임!$D$3</f>
        <v>172068</v>
      </c>
      <c r="K269" s="21">
        <f>TRUNC(J269*D269,1)</f>
        <v>172068</v>
      </c>
      <c r="L269" s="20">
        <v>0</v>
      </c>
      <c r="M269" s="21"/>
      <c r="N269" s="18"/>
    </row>
    <row r="270" spans="1:14" ht="15" customHeight="1">
      <c r="A270" s="58"/>
      <c r="B270" s="55" t="s">
        <v>263</v>
      </c>
      <c r="C270" s="7" t="s">
        <v>172</v>
      </c>
      <c r="D270" s="19">
        <v>8</v>
      </c>
      <c r="E270" s="56" t="s">
        <v>7</v>
      </c>
      <c r="F270" s="20" t="e">
        <f>H270+J270+L270</f>
        <v>#REF!</v>
      </c>
      <c r="G270" s="21" t="e">
        <f>I270+K270+M270</f>
        <v>#REF!</v>
      </c>
      <c r="H270" s="20" t="e">
        <f>#REF!</f>
        <v>#REF!</v>
      </c>
      <c r="I270" s="21" t="e">
        <f>TRUNC(H270*D270,1)</f>
        <v>#REF!</v>
      </c>
      <c r="J270" s="20" t="e">
        <f>#REF!</f>
        <v>#REF!</v>
      </c>
      <c r="K270" s="21" t="e">
        <f>TRUNC(J270*D270,1)</f>
        <v>#REF!</v>
      </c>
      <c r="L270" s="20" t="e">
        <f>#REF!</f>
        <v>#REF!</v>
      </c>
      <c r="M270" s="21" t="e">
        <f>TRUNC(L270*D270,1)</f>
        <v>#REF!</v>
      </c>
      <c r="N270" s="18"/>
    </row>
    <row r="271" spans="1:14" ht="15" customHeight="1">
      <c r="A271" s="58"/>
      <c r="B271" s="14" t="s">
        <v>409</v>
      </c>
      <c r="C271" s="97" t="s">
        <v>219</v>
      </c>
      <c r="D271" s="3">
        <v>2</v>
      </c>
      <c r="E271" s="2" t="s">
        <v>28</v>
      </c>
      <c r="F271" s="4"/>
      <c r="G271" s="8"/>
      <c r="H271" s="4"/>
      <c r="I271" s="8"/>
      <c r="J271" s="4"/>
      <c r="K271" s="8"/>
      <c r="L271" s="4"/>
      <c r="M271" s="8">
        <f>TRUNC((K268+K269)*D271%,1)</f>
        <v>24447.7</v>
      </c>
      <c r="N271" s="18"/>
    </row>
    <row r="272" spans="1:14" customFormat="1" ht="15" customHeight="1">
      <c r="A272" s="94"/>
      <c r="B272" s="87" t="s">
        <v>376</v>
      </c>
      <c r="C272" s="95">
        <v>3.5</v>
      </c>
      <c r="D272" s="89">
        <f>ROUND(1/C272,4)</f>
        <v>0.28570000000000001</v>
      </c>
      <c r="E272" s="90" t="s">
        <v>375</v>
      </c>
      <c r="F272" s="91"/>
      <c r="G272" s="92" t="e">
        <f>I272+K272+M272</f>
        <v>#REF!</v>
      </c>
      <c r="H272" s="91"/>
      <c r="I272" s="92" t="e">
        <f>TRUNC(SUM(I268:I271)*$D272,1)</f>
        <v>#REF!</v>
      </c>
      <c r="J272" s="91"/>
      <c r="K272" s="92" t="e">
        <f>TRUNC(SUM(K268:K271)*$D272,1)</f>
        <v>#REF!</v>
      </c>
      <c r="L272" s="91"/>
      <c r="M272" s="92" t="e">
        <f>TRUNC(SUM(M268:M271)*$D272,1)</f>
        <v>#REF!</v>
      </c>
      <c r="N272" s="96"/>
    </row>
    <row r="273" spans="1:14" customFormat="1" ht="15" customHeight="1">
      <c r="A273" s="94"/>
      <c r="B273" s="87" t="s">
        <v>298</v>
      </c>
      <c r="C273" s="88" t="s">
        <v>220</v>
      </c>
      <c r="D273" s="89">
        <v>30</v>
      </c>
      <c r="E273" s="90" t="s">
        <v>221</v>
      </c>
      <c r="F273" s="91"/>
      <c r="G273" s="92" t="e">
        <f>I273+K273+M273</f>
        <v>#REF!</v>
      </c>
      <c r="H273" s="91"/>
      <c r="I273" s="92" t="e">
        <f>TRUNC(I272*$D273%,1)</f>
        <v>#REF!</v>
      </c>
      <c r="J273" s="91"/>
      <c r="K273" s="92" t="e">
        <f>TRUNC(K272*$D273%,1)</f>
        <v>#REF!</v>
      </c>
      <c r="L273" s="91"/>
      <c r="M273" s="92" t="e">
        <f>TRUNC(M272*$D273%,1)</f>
        <v>#REF!</v>
      </c>
      <c r="N273" s="96"/>
    </row>
    <row r="274" spans="1:14" ht="15" customHeight="1">
      <c r="A274" s="58"/>
      <c r="B274" s="59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22"/>
    </row>
    <row r="275" spans="1:14" ht="15" customHeight="1">
      <c r="A275" s="64">
        <f>A267+1</f>
        <v>37</v>
      </c>
      <c r="B275" s="65" t="s">
        <v>408</v>
      </c>
      <c r="C275" s="66" t="s">
        <v>190</v>
      </c>
      <c r="D275" s="66">
        <v>1</v>
      </c>
      <c r="E275" s="67" t="s">
        <v>4</v>
      </c>
      <c r="F275" s="70"/>
      <c r="G275" s="68" t="e">
        <f>I275+K275+M275</f>
        <v>#REF!</v>
      </c>
      <c r="H275" s="70"/>
      <c r="I275" s="68" t="e">
        <f>TRUNC(I280,0)</f>
        <v>#REF!</v>
      </c>
      <c r="J275" s="70"/>
      <c r="K275" s="68" t="e">
        <f>TRUNC(K280,0)</f>
        <v>#REF!</v>
      </c>
      <c r="L275" s="70"/>
      <c r="M275" s="68" t="e">
        <f>TRUNC(M280,0)</f>
        <v>#REF!</v>
      </c>
      <c r="N275" s="69" t="str">
        <f>N260</f>
        <v>토목6-2-2</v>
      </c>
    </row>
    <row r="276" spans="1:14" ht="15" customHeight="1">
      <c r="A276" s="58"/>
      <c r="B276" s="55" t="s">
        <v>261</v>
      </c>
      <c r="C276" s="7" t="s">
        <v>32</v>
      </c>
      <c r="D276" s="19">
        <v>4</v>
      </c>
      <c r="E276" s="56" t="s">
        <v>24</v>
      </c>
      <c r="F276" s="20">
        <f>H276+J276+L276</f>
        <v>262580</v>
      </c>
      <c r="G276" s="21">
        <f>I276+K276+M276</f>
        <v>1050320</v>
      </c>
      <c r="H276" s="20">
        <v>0</v>
      </c>
      <c r="I276" s="21"/>
      <c r="J276" s="20">
        <f>노임!$D$10</f>
        <v>262580</v>
      </c>
      <c r="K276" s="21">
        <f>TRUNC(J276*D276,1)</f>
        <v>1050320</v>
      </c>
      <c r="L276" s="20">
        <v>0</v>
      </c>
      <c r="M276" s="21"/>
      <c r="N276" s="18"/>
    </row>
    <row r="277" spans="1:14" ht="15" customHeight="1">
      <c r="A277" s="58"/>
      <c r="B277" s="55" t="s">
        <v>262</v>
      </c>
      <c r="C277" s="7" t="s">
        <v>0</v>
      </c>
      <c r="D277" s="19">
        <v>1</v>
      </c>
      <c r="E277" s="56" t="s">
        <v>24</v>
      </c>
      <c r="F277" s="20">
        <f>H277+J277+L277</f>
        <v>172068</v>
      </c>
      <c r="G277" s="21">
        <f>I277+K277+M277</f>
        <v>172068</v>
      </c>
      <c r="H277" s="20">
        <v>0</v>
      </c>
      <c r="I277" s="21"/>
      <c r="J277" s="20">
        <f>노임!$D$3</f>
        <v>172068</v>
      </c>
      <c r="K277" s="21">
        <f>TRUNC(J277*D277,1)</f>
        <v>172068</v>
      </c>
      <c r="L277" s="20">
        <v>0</v>
      </c>
      <c r="M277" s="21"/>
      <c r="N277" s="18"/>
    </row>
    <row r="278" spans="1:14" ht="15" customHeight="1">
      <c r="A278" s="58"/>
      <c r="B278" s="55" t="s">
        <v>263</v>
      </c>
      <c r="C278" s="7" t="s">
        <v>199</v>
      </c>
      <c r="D278" s="19">
        <v>8</v>
      </c>
      <c r="E278" s="56" t="s">
        <v>7</v>
      </c>
      <c r="F278" s="20" t="e">
        <f>H278+J278+L278</f>
        <v>#REF!</v>
      </c>
      <c r="G278" s="21" t="e">
        <f>I278+K278+M278</f>
        <v>#REF!</v>
      </c>
      <c r="H278" s="20" t="e">
        <f>#REF!</f>
        <v>#REF!</v>
      </c>
      <c r="I278" s="21" t="e">
        <f>TRUNC(H278*D278,1)</f>
        <v>#REF!</v>
      </c>
      <c r="J278" s="20" t="e">
        <f>#REF!</f>
        <v>#REF!</v>
      </c>
      <c r="K278" s="21" t="e">
        <f>TRUNC(J278*D278,1)</f>
        <v>#REF!</v>
      </c>
      <c r="L278" s="20" t="e">
        <f>#REF!</f>
        <v>#REF!</v>
      </c>
      <c r="M278" s="21" t="e">
        <f>TRUNC(L278*D278,1)</f>
        <v>#REF!</v>
      </c>
      <c r="N278" s="18"/>
    </row>
    <row r="279" spans="1:14" ht="15" customHeight="1">
      <c r="A279" s="58"/>
      <c r="B279" s="14" t="s">
        <v>409</v>
      </c>
      <c r="C279" s="97" t="s">
        <v>219</v>
      </c>
      <c r="D279" s="3">
        <v>2</v>
      </c>
      <c r="E279" s="2" t="s">
        <v>28</v>
      </c>
      <c r="F279" s="4"/>
      <c r="G279" s="8"/>
      <c r="H279" s="4"/>
      <c r="I279" s="8"/>
      <c r="J279" s="4"/>
      <c r="K279" s="8"/>
      <c r="L279" s="4"/>
      <c r="M279" s="8">
        <f>TRUNC((K276+K277)*D279%,1)</f>
        <v>24447.7</v>
      </c>
      <c r="N279" s="18"/>
    </row>
    <row r="280" spans="1:14" customFormat="1" ht="15" customHeight="1">
      <c r="A280" s="94"/>
      <c r="B280" s="87" t="s">
        <v>376</v>
      </c>
      <c r="C280" s="95">
        <v>3</v>
      </c>
      <c r="D280" s="89">
        <f>ROUND(1/C280,4)</f>
        <v>0.33329999999999999</v>
      </c>
      <c r="E280" s="90" t="s">
        <v>375</v>
      </c>
      <c r="F280" s="91"/>
      <c r="G280" s="92" t="e">
        <f>I280+K280+M280</f>
        <v>#REF!</v>
      </c>
      <c r="H280" s="91"/>
      <c r="I280" s="92" t="e">
        <f>TRUNC(SUM(I276:I279)*$D280,1)</f>
        <v>#REF!</v>
      </c>
      <c r="J280" s="91"/>
      <c r="K280" s="92" t="e">
        <f>TRUNC(SUM(K276:K279)*$D280,1)</f>
        <v>#REF!</v>
      </c>
      <c r="L280" s="91"/>
      <c r="M280" s="92" t="e">
        <f>TRUNC(SUM(M276:M279)*$D280,1)</f>
        <v>#REF!</v>
      </c>
      <c r="N280" s="96"/>
    </row>
    <row r="281" spans="1:14" ht="15" customHeight="1">
      <c r="A281" s="58"/>
      <c r="B281" s="59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22"/>
    </row>
    <row r="282" spans="1:14" ht="15" customHeight="1">
      <c r="A282" s="98">
        <f>A275+1</f>
        <v>38</v>
      </c>
      <c r="B282" s="99" t="s">
        <v>408</v>
      </c>
      <c r="C282" s="100" t="s">
        <v>528</v>
      </c>
      <c r="D282" s="100">
        <v>1</v>
      </c>
      <c r="E282" s="101" t="s">
        <v>4</v>
      </c>
      <c r="F282" s="102"/>
      <c r="G282" s="103" t="e">
        <f>I282+K282+M282</f>
        <v>#REF!</v>
      </c>
      <c r="H282" s="102"/>
      <c r="I282" s="103" t="e">
        <f>SUM(I287:I288)</f>
        <v>#REF!</v>
      </c>
      <c r="J282" s="102"/>
      <c r="K282" s="103" t="e">
        <f>SUM(K287:K288)</f>
        <v>#REF!</v>
      </c>
      <c r="L282" s="102"/>
      <c r="M282" s="103" t="e">
        <f>SUM(M287:M288)</f>
        <v>#REF!</v>
      </c>
      <c r="N282" s="104" t="str">
        <f>N275</f>
        <v>토목6-2-2</v>
      </c>
    </row>
    <row r="283" spans="1:14" ht="15" customHeight="1">
      <c r="A283" s="58"/>
      <c r="B283" s="55" t="s">
        <v>261</v>
      </c>
      <c r="C283" s="7" t="s">
        <v>32</v>
      </c>
      <c r="D283" s="19">
        <v>4</v>
      </c>
      <c r="E283" s="56" t="s">
        <v>24</v>
      </c>
      <c r="F283" s="20">
        <f>H283+J283+L283</f>
        <v>262580</v>
      </c>
      <c r="G283" s="21">
        <f>I283+K283+M283</f>
        <v>1050320</v>
      </c>
      <c r="H283" s="20">
        <v>0</v>
      </c>
      <c r="I283" s="21"/>
      <c r="J283" s="20">
        <f>노임!$D$10</f>
        <v>262580</v>
      </c>
      <c r="K283" s="21">
        <f>TRUNC(J283*D283,1)</f>
        <v>1050320</v>
      </c>
      <c r="L283" s="20">
        <v>0</v>
      </c>
      <c r="M283" s="21"/>
      <c r="N283" s="18"/>
    </row>
    <row r="284" spans="1:14" ht="15" customHeight="1">
      <c r="A284" s="58"/>
      <c r="B284" s="55" t="s">
        <v>262</v>
      </c>
      <c r="C284" s="7" t="s">
        <v>0</v>
      </c>
      <c r="D284" s="19">
        <v>1</v>
      </c>
      <c r="E284" s="56" t="s">
        <v>24</v>
      </c>
      <c r="F284" s="20">
        <f>H284+J284+L284</f>
        <v>172068</v>
      </c>
      <c r="G284" s="21">
        <f>I284+K284+M284</f>
        <v>172068</v>
      </c>
      <c r="H284" s="20">
        <v>0</v>
      </c>
      <c r="I284" s="21"/>
      <c r="J284" s="20">
        <f>노임!$D$3</f>
        <v>172068</v>
      </c>
      <c r="K284" s="21">
        <f>TRUNC(J284*D284,1)</f>
        <v>172068</v>
      </c>
      <c r="L284" s="20">
        <v>0</v>
      </c>
      <c r="M284" s="21"/>
      <c r="N284" s="18"/>
    </row>
    <row r="285" spans="1:14" ht="15" customHeight="1">
      <c r="A285" s="58"/>
      <c r="B285" s="55" t="s">
        <v>263</v>
      </c>
      <c r="C285" s="7" t="s">
        <v>172</v>
      </c>
      <c r="D285" s="19">
        <v>8</v>
      </c>
      <c r="E285" s="56" t="s">
        <v>7</v>
      </c>
      <c r="F285" s="20" t="e">
        <f>H285+J285+L285</f>
        <v>#REF!</v>
      </c>
      <c r="G285" s="21" t="e">
        <f>I285+K285+M285</f>
        <v>#REF!</v>
      </c>
      <c r="H285" s="20" t="e">
        <f>#REF!</f>
        <v>#REF!</v>
      </c>
      <c r="I285" s="21" t="e">
        <f>TRUNC(H285*D285,1)</f>
        <v>#REF!</v>
      </c>
      <c r="J285" s="20" t="e">
        <f>#REF!</f>
        <v>#REF!</v>
      </c>
      <c r="K285" s="21" t="e">
        <f>TRUNC(J285*D285,1)</f>
        <v>#REF!</v>
      </c>
      <c r="L285" s="20" t="e">
        <f>#REF!</f>
        <v>#REF!</v>
      </c>
      <c r="M285" s="21" t="e">
        <f>TRUNC(L285*D285,1)</f>
        <v>#REF!</v>
      </c>
      <c r="N285" s="18"/>
    </row>
    <row r="286" spans="1:14" ht="15" customHeight="1">
      <c r="A286" s="58"/>
      <c r="B286" s="14" t="s">
        <v>409</v>
      </c>
      <c r="C286" s="97" t="s">
        <v>219</v>
      </c>
      <c r="D286" s="3">
        <v>2</v>
      </c>
      <c r="E286" s="2" t="s">
        <v>28</v>
      </c>
      <c r="F286" s="4"/>
      <c r="G286" s="8"/>
      <c r="H286" s="4"/>
      <c r="I286" s="8"/>
      <c r="J286" s="4"/>
      <c r="K286" s="8"/>
      <c r="L286" s="4"/>
      <c r="M286" s="8">
        <f>TRUNC((K283+K284)*D286%,1)</f>
        <v>24447.7</v>
      </c>
      <c r="N286" s="18"/>
    </row>
    <row r="287" spans="1:14" customFormat="1" ht="15" customHeight="1">
      <c r="A287" s="94"/>
      <c r="B287" s="87" t="s">
        <v>376</v>
      </c>
      <c r="C287" s="95">
        <v>3</v>
      </c>
      <c r="D287" s="89">
        <f>ROUND(1/C287,4)</f>
        <v>0.33329999999999999</v>
      </c>
      <c r="E287" s="90" t="s">
        <v>375</v>
      </c>
      <c r="F287" s="91"/>
      <c r="G287" s="92" t="e">
        <f>I287+K287+M287</f>
        <v>#REF!</v>
      </c>
      <c r="H287" s="91"/>
      <c r="I287" s="92" t="e">
        <f>TRUNC(SUM(I283:I286)*$D287,1)</f>
        <v>#REF!</v>
      </c>
      <c r="J287" s="91"/>
      <c r="K287" s="92" t="e">
        <f>TRUNC(SUM(K283:K286)*$D287,1)</f>
        <v>#REF!</v>
      </c>
      <c r="L287" s="91"/>
      <c r="M287" s="92" t="e">
        <f>TRUNC(SUM(M283:M286)*$D287,1)</f>
        <v>#REF!</v>
      </c>
      <c r="N287" s="96"/>
    </row>
    <row r="288" spans="1:14" customFormat="1" ht="15" customHeight="1">
      <c r="A288" s="94"/>
      <c r="B288" s="87" t="s">
        <v>298</v>
      </c>
      <c r="C288" s="88" t="s">
        <v>220</v>
      </c>
      <c r="D288" s="89">
        <v>30</v>
      </c>
      <c r="E288" s="90" t="s">
        <v>221</v>
      </c>
      <c r="F288" s="91"/>
      <c r="G288" s="92" t="e">
        <f>I288+K288+M288</f>
        <v>#REF!</v>
      </c>
      <c r="H288" s="91"/>
      <c r="I288" s="92" t="e">
        <f>TRUNC(I287*$D288%,1)</f>
        <v>#REF!</v>
      </c>
      <c r="J288" s="91"/>
      <c r="K288" s="92" t="e">
        <f>TRUNC(K287*$D288%,1)</f>
        <v>#REF!</v>
      </c>
      <c r="L288" s="91"/>
      <c r="M288" s="92" t="e">
        <f>TRUNC(M287*$D288%,1)</f>
        <v>#REF!</v>
      </c>
      <c r="N288" s="96"/>
    </row>
    <row r="289" spans="1:14" ht="15" customHeight="1">
      <c r="A289" s="58"/>
      <c r="B289" s="59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22"/>
    </row>
    <row r="290" spans="1:14" ht="15" customHeight="1">
      <c r="A290" s="64">
        <f>A282+1</f>
        <v>39</v>
      </c>
      <c r="B290" s="65" t="s">
        <v>408</v>
      </c>
      <c r="C290" s="66" t="s">
        <v>191</v>
      </c>
      <c r="D290" s="66">
        <v>1</v>
      </c>
      <c r="E290" s="67" t="s">
        <v>4</v>
      </c>
      <c r="F290" s="70"/>
      <c r="G290" s="68" t="e">
        <f>I290+K290+M290</f>
        <v>#REF!</v>
      </c>
      <c r="H290" s="70"/>
      <c r="I290" s="68" t="e">
        <f>TRUNC(I295,0)</f>
        <v>#REF!</v>
      </c>
      <c r="J290" s="70"/>
      <c r="K290" s="68" t="e">
        <f>TRUNC(K295,0)</f>
        <v>#REF!</v>
      </c>
      <c r="L290" s="70"/>
      <c r="M290" s="68" t="e">
        <f>TRUNC(M295,0)</f>
        <v>#REF!</v>
      </c>
      <c r="N290" s="69" t="str">
        <f>N275</f>
        <v>토목6-2-2</v>
      </c>
    </row>
    <row r="291" spans="1:14" ht="15" customHeight="1">
      <c r="A291" s="58"/>
      <c r="B291" s="55" t="s">
        <v>261</v>
      </c>
      <c r="C291" s="7" t="s">
        <v>32</v>
      </c>
      <c r="D291" s="19">
        <v>4</v>
      </c>
      <c r="E291" s="56" t="s">
        <v>24</v>
      </c>
      <c r="F291" s="20">
        <f>H291+J291+L291</f>
        <v>262580</v>
      </c>
      <c r="G291" s="21">
        <f>I291+K291+M291</f>
        <v>1050320</v>
      </c>
      <c r="H291" s="20">
        <v>0</v>
      </c>
      <c r="I291" s="21"/>
      <c r="J291" s="20">
        <f>노임!$D$10</f>
        <v>262580</v>
      </c>
      <c r="K291" s="21">
        <f>TRUNC(J291*D291,1)</f>
        <v>1050320</v>
      </c>
      <c r="L291" s="20">
        <v>0</v>
      </c>
      <c r="M291" s="21"/>
      <c r="N291" s="18"/>
    </row>
    <row r="292" spans="1:14" ht="15" customHeight="1">
      <c r="A292" s="58"/>
      <c r="B292" s="55" t="s">
        <v>262</v>
      </c>
      <c r="C292" s="7" t="s">
        <v>0</v>
      </c>
      <c r="D292" s="19">
        <v>1</v>
      </c>
      <c r="E292" s="56" t="s">
        <v>24</v>
      </c>
      <c r="F292" s="20">
        <f>H292+J292+L292</f>
        <v>172068</v>
      </c>
      <c r="G292" s="21">
        <f>I292+K292+M292</f>
        <v>172068</v>
      </c>
      <c r="H292" s="20">
        <v>0</v>
      </c>
      <c r="I292" s="21"/>
      <c r="J292" s="20">
        <f>노임!$D$3</f>
        <v>172068</v>
      </c>
      <c r="K292" s="21">
        <f>TRUNC(J292*D292,1)</f>
        <v>172068</v>
      </c>
      <c r="L292" s="20">
        <v>0</v>
      </c>
      <c r="M292" s="21"/>
      <c r="N292" s="18"/>
    </row>
    <row r="293" spans="1:14" ht="15" customHeight="1">
      <c r="A293" s="58"/>
      <c r="B293" s="55" t="s">
        <v>263</v>
      </c>
      <c r="C293" s="7" t="s">
        <v>199</v>
      </c>
      <c r="D293" s="19">
        <v>8</v>
      </c>
      <c r="E293" s="56" t="s">
        <v>7</v>
      </c>
      <c r="F293" s="20" t="e">
        <f>H293+J293+L293</f>
        <v>#REF!</v>
      </c>
      <c r="G293" s="21" t="e">
        <f>I293+K293+M293</f>
        <v>#REF!</v>
      </c>
      <c r="H293" s="20" t="e">
        <f>#REF!</f>
        <v>#REF!</v>
      </c>
      <c r="I293" s="21" t="e">
        <f>TRUNC(H293*D293,1)</f>
        <v>#REF!</v>
      </c>
      <c r="J293" s="20" t="e">
        <f>#REF!</f>
        <v>#REF!</v>
      </c>
      <c r="K293" s="21" t="e">
        <f>TRUNC(J293*D293,1)</f>
        <v>#REF!</v>
      </c>
      <c r="L293" s="20" t="e">
        <f>#REF!</f>
        <v>#REF!</v>
      </c>
      <c r="M293" s="21" t="e">
        <f>TRUNC(L293*D293,1)</f>
        <v>#REF!</v>
      </c>
      <c r="N293" s="18"/>
    </row>
    <row r="294" spans="1:14" ht="15" customHeight="1">
      <c r="A294" s="58"/>
      <c r="B294" s="14" t="s">
        <v>409</v>
      </c>
      <c r="C294" s="97" t="s">
        <v>219</v>
      </c>
      <c r="D294" s="3">
        <v>2</v>
      </c>
      <c r="E294" s="2" t="s">
        <v>28</v>
      </c>
      <c r="F294" s="4"/>
      <c r="G294" s="8"/>
      <c r="H294" s="4"/>
      <c r="I294" s="8"/>
      <c r="J294" s="4"/>
      <c r="K294" s="8"/>
      <c r="L294" s="4"/>
      <c r="M294" s="8">
        <f>TRUNC((K291+K292)*D294%,1)</f>
        <v>24447.7</v>
      </c>
      <c r="N294" s="18"/>
    </row>
    <row r="295" spans="1:14" customFormat="1" ht="15" customHeight="1">
      <c r="A295" s="94"/>
      <c r="B295" s="87" t="s">
        <v>376</v>
      </c>
      <c r="C295" s="95">
        <v>3</v>
      </c>
      <c r="D295" s="89">
        <f>ROUND(1/C295,4)</f>
        <v>0.33329999999999999</v>
      </c>
      <c r="E295" s="90" t="s">
        <v>375</v>
      </c>
      <c r="F295" s="91"/>
      <c r="G295" s="92" t="e">
        <f>I295+K295+M295</f>
        <v>#REF!</v>
      </c>
      <c r="H295" s="91"/>
      <c r="I295" s="92" t="e">
        <f>TRUNC(SUM(I291:I294)*$D295,1)</f>
        <v>#REF!</v>
      </c>
      <c r="J295" s="91"/>
      <c r="K295" s="92" t="e">
        <f>TRUNC(SUM(K291:K294)*$D295,1)</f>
        <v>#REF!</v>
      </c>
      <c r="L295" s="91"/>
      <c r="M295" s="92" t="e">
        <f>TRUNC(SUM(M291:M294)*$D295,1)</f>
        <v>#REF!</v>
      </c>
      <c r="N295" s="96"/>
    </row>
    <row r="296" spans="1:14" ht="15" customHeight="1">
      <c r="A296" s="58"/>
      <c r="B296" s="59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22"/>
    </row>
    <row r="297" spans="1:14" ht="15" customHeight="1">
      <c r="A297" s="98">
        <f>A290+1</f>
        <v>40</v>
      </c>
      <c r="B297" s="99" t="s">
        <v>408</v>
      </c>
      <c r="C297" s="100" t="s">
        <v>529</v>
      </c>
      <c r="D297" s="100">
        <v>1</v>
      </c>
      <c r="E297" s="101" t="s">
        <v>4</v>
      </c>
      <c r="F297" s="102"/>
      <c r="G297" s="103" t="e">
        <f>I297+K297+M297</f>
        <v>#REF!</v>
      </c>
      <c r="H297" s="102"/>
      <c r="I297" s="103" t="e">
        <f>SUM(I302:I303)</f>
        <v>#REF!</v>
      </c>
      <c r="J297" s="102"/>
      <c r="K297" s="103" t="e">
        <f>SUM(K302:K303)</f>
        <v>#REF!</v>
      </c>
      <c r="L297" s="102"/>
      <c r="M297" s="103" t="e">
        <f>SUM(M302:M303)</f>
        <v>#REF!</v>
      </c>
      <c r="N297" s="104" t="str">
        <f>N290</f>
        <v>토목6-2-2</v>
      </c>
    </row>
    <row r="298" spans="1:14" ht="15" customHeight="1">
      <c r="A298" s="58"/>
      <c r="B298" s="55" t="s">
        <v>261</v>
      </c>
      <c r="C298" s="7" t="s">
        <v>32</v>
      </c>
      <c r="D298" s="19">
        <v>4</v>
      </c>
      <c r="E298" s="56" t="s">
        <v>24</v>
      </c>
      <c r="F298" s="20">
        <f>H298+J298+L298</f>
        <v>262580</v>
      </c>
      <c r="G298" s="21">
        <f>I298+K298+M298</f>
        <v>1050320</v>
      </c>
      <c r="H298" s="20">
        <v>0</v>
      </c>
      <c r="I298" s="21"/>
      <c r="J298" s="20">
        <f>노임!$D$10</f>
        <v>262580</v>
      </c>
      <c r="K298" s="21">
        <f>TRUNC(J298*D298,1)</f>
        <v>1050320</v>
      </c>
      <c r="L298" s="20">
        <v>0</v>
      </c>
      <c r="M298" s="21"/>
      <c r="N298" s="18"/>
    </row>
    <row r="299" spans="1:14" ht="15" customHeight="1">
      <c r="A299" s="58"/>
      <c r="B299" s="55" t="s">
        <v>262</v>
      </c>
      <c r="C299" s="7" t="s">
        <v>0</v>
      </c>
      <c r="D299" s="19">
        <v>1</v>
      </c>
      <c r="E299" s="56" t="s">
        <v>24</v>
      </c>
      <c r="F299" s="20">
        <f>H299+J299+L299</f>
        <v>172068</v>
      </c>
      <c r="G299" s="21">
        <f>I299+K299+M299</f>
        <v>172068</v>
      </c>
      <c r="H299" s="20">
        <v>0</v>
      </c>
      <c r="I299" s="21"/>
      <c r="J299" s="20">
        <f>노임!$D$3</f>
        <v>172068</v>
      </c>
      <c r="K299" s="21">
        <f>TRUNC(J299*D299,1)</f>
        <v>172068</v>
      </c>
      <c r="L299" s="20">
        <v>0</v>
      </c>
      <c r="M299" s="21"/>
      <c r="N299" s="18"/>
    </row>
    <row r="300" spans="1:14" ht="15" customHeight="1">
      <c r="A300" s="58"/>
      <c r="B300" s="55" t="s">
        <v>263</v>
      </c>
      <c r="C300" s="7" t="s">
        <v>172</v>
      </c>
      <c r="D300" s="19">
        <v>8</v>
      </c>
      <c r="E300" s="56" t="s">
        <v>7</v>
      </c>
      <c r="F300" s="20" t="e">
        <f>H300+J300+L300</f>
        <v>#REF!</v>
      </c>
      <c r="G300" s="21" t="e">
        <f>I300+K300+M300</f>
        <v>#REF!</v>
      </c>
      <c r="H300" s="20" t="e">
        <f>#REF!</f>
        <v>#REF!</v>
      </c>
      <c r="I300" s="21" t="e">
        <f>TRUNC(H300*D300,1)</f>
        <v>#REF!</v>
      </c>
      <c r="J300" s="20" t="e">
        <f>#REF!</f>
        <v>#REF!</v>
      </c>
      <c r="K300" s="21" t="e">
        <f>TRUNC(J300*D300,1)</f>
        <v>#REF!</v>
      </c>
      <c r="L300" s="20" t="e">
        <f>#REF!</f>
        <v>#REF!</v>
      </c>
      <c r="M300" s="21" t="e">
        <f>TRUNC(L300*D300,1)</f>
        <v>#REF!</v>
      </c>
      <c r="N300" s="18"/>
    </row>
    <row r="301" spans="1:14" ht="15" customHeight="1">
      <c r="A301" s="58"/>
      <c r="B301" s="14" t="s">
        <v>409</v>
      </c>
      <c r="C301" s="97" t="s">
        <v>219</v>
      </c>
      <c r="D301" s="3">
        <v>2</v>
      </c>
      <c r="E301" s="2" t="s">
        <v>28</v>
      </c>
      <c r="F301" s="4"/>
      <c r="G301" s="8"/>
      <c r="H301" s="4"/>
      <c r="I301" s="8"/>
      <c r="J301" s="4"/>
      <c r="K301" s="8"/>
      <c r="L301" s="4"/>
      <c r="M301" s="8">
        <f>TRUNC((K298+K299)*D301%,1)</f>
        <v>24447.7</v>
      </c>
      <c r="N301" s="18"/>
    </row>
    <row r="302" spans="1:14" customFormat="1" ht="15" customHeight="1">
      <c r="A302" s="94"/>
      <c r="B302" s="87" t="s">
        <v>376</v>
      </c>
      <c r="C302" s="95">
        <v>3</v>
      </c>
      <c r="D302" s="89">
        <f>ROUND(1/C302,4)</f>
        <v>0.33329999999999999</v>
      </c>
      <c r="E302" s="90" t="s">
        <v>375</v>
      </c>
      <c r="F302" s="91"/>
      <c r="G302" s="92" t="e">
        <f>I302+K302+M302</f>
        <v>#REF!</v>
      </c>
      <c r="H302" s="91"/>
      <c r="I302" s="92" t="e">
        <f>TRUNC(SUM(I298:I301)*$D302,1)</f>
        <v>#REF!</v>
      </c>
      <c r="J302" s="91"/>
      <c r="K302" s="92" t="e">
        <f>TRUNC(SUM(K298:K301)*$D302,1)</f>
        <v>#REF!</v>
      </c>
      <c r="L302" s="91"/>
      <c r="M302" s="92" t="e">
        <f>TRUNC(SUM(M298:M301)*$D302,1)</f>
        <v>#REF!</v>
      </c>
      <c r="N302" s="96"/>
    </row>
    <row r="303" spans="1:14" customFormat="1" ht="15" customHeight="1">
      <c r="A303" s="94"/>
      <c r="B303" s="87" t="s">
        <v>298</v>
      </c>
      <c r="C303" s="88" t="s">
        <v>220</v>
      </c>
      <c r="D303" s="89">
        <v>30</v>
      </c>
      <c r="E303" s="90" t="s">
        <v>221</v>
      </c>
      <c r="F303" s="91"/>
      <c r="G303" s="92" t="e">
        <f>I303+K303+M303</f>
        <v>#REF!</v>
      </c>
      <c r="H303" s="91"/>
      <c r="I303" s="92" t="e">
        <f>TRUNC(I302*$D303%,1)</f>
        <v>#REF!</v>
      </c>
      <c r="J303" s="91"/>
      <c r="K303" s="92" t="e">
        <f>TRUNC(K302*$D303%,1)</f>
        <v>#REF!</v>
      </c>
      <c r="L303" s="91"/>
      <c r="M303" s="92" t="e">
        <f>TRUNC(M302*$D303%,1)</f>
        <v>#REF!</v>
      </c>
      <c r="N303" s="96"/>
    </row>
    <row r="304" spans="1:14" ht="15" customHeight="1">
      <c r="A304" s="60"/>
      <c r="B304" s="59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22"/>
    </row>
  </sheetData>
  <autoFilter ref="A1:N305" xr:uid="{00000000-0009-0000-0000-00000A000000}"/>
  <mergeCells count="9">
    <mergeCell ref="A2:B3"/>
    <mergeCell ref="J2:K2"/>
    <mergeCell ref="L2:M2"/>
    <mergeCell ref="N2:N3"/>
    <mergeCell ref="C2:C3"/>
    <mergeCell ref="D2:D3"/>
    <mergeCell ref="E2:E3"/>
    <mergeCell ref="F2:G2"/>
    <mergeCell ref="H2:I2"/>
  </mergeCells>
  <phoneticPr fontId="2" type="noConversion"/>
  <pageMargins left="0.31496062992125984" right="0.31496062992125984" top="1" bottom="0.59055118110236215" header="0.5" footer="0.5"/>
  <pageSetup paperSize="9" orientation="landscape" copies="0"/>
  <headerFooter alignWithMargins="0">
    <oddHeader>&amp;RPage : &amp;P/&amp;N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1:N191"/>
  <sheetViews>
    <sheetView workbookViewId="0">
      <pane ySplit="3" topLeftCell="A150" activePane="bottomLeft" state="frozen"/>
      <selection pane="bottomLeft" activeCell="B171" sqref="B171:M171"/>
    </sheetView>
  </sheetViews>
  <sheetFormatPr defaultRowHeight="12.75" customHeight="1"/>
  <cols>
    <col min="1" max="1" width="8.83203125" customWidth="1"/>
    <col min="2" max="3" width="35.83203125" customWidth="1"/>
    <col min="4" max="4" width="10.83203125" customWidth="1"/>
    <col min="5" max="5" width="8.83203125" style="11" customWidth="1"/>
    <col min="6" max="6" width="12.83203125" customWidth="1"/>
    <col min="7" max="7" width="14.83203125" customWidth="1"/>
    <col min="8" max="8" width="12.83203125" customWidth="1"/>
    <col min="9" max="9" width="14.83203125" customWidth="1"/>
    <col min="10" max="10" width="12.83203125" customWidth="1"/>
    <col min="11" max="11" width="14.83203125" customWidth="1"/>
    <col min="12" max="12" width="12.83203125" customWidth="1"/>
    <col min="13" max="13" width="14.83203125" customWidth="1"/>
    <col min="14" max="14" width="15.83203125" style="11" customWidth="1"/>
  </cols>
  <sheetData>
    <row r="1" spans="1:14" ht="15" customHeight="1">
      <c r="A1" s="72" t="s">
        <v>335</v>
      </c>
    </row>
    <row r="2" spans="1:14" ht="15" customHeight="1">
      <c r="A2" s="339" t="s">
        <v>23</v>
      </c>
      <c r="B2" s="340"/>
      <c r="C2" s="345" t="s">
        <v>46</v>
      </c>
      <c r="D2" s="345" t="s">
        <v>45</v>
      </c>
      <c r="E2" s="345" t="s">
        <v>44</v>
      </c>
      <c r="F2" s="345" t="s">
        <v>19</v>
      </c>
      <c r="G2" s="345" t="s">
        <v>0</v>
      </c>
      <c r="H2" s="345" t="s">
        <v>18</v>
      </c>
      <c r="I2" s="345" t="s">
        <v>0</v>
      </c>
      <c r="J2" s="345" t="s">
        <v>17</v>
      </c>
      <c r="K2" s="345" t="s">
        <v>0</v>
      </c>
      <c r="L2" s="345" t="s">
        <v>16</v>
      </c>
      <c r="M2" s="345" t="s">
        <v>0</v>
      </c>
      <c r="N2" s="346" t="s">
        <v>15</v>
      </c>
    </row>
    <row r="3" spans="1:14" ht="15" customHeight="1">
      <c r="A3" s="339"/>
      <c r="B3" s="340"/>
      <c r="C3" s="345" t="s">
        <v>0</v>
      </c>
      <c r="D3" s="345" t="s">
        <v>0</v>
      </c>
      <c r="E3" s="345" t="s">
        <v>0</v>
      </c>
      <c r="F3" s="2" t="s">
        <v>43</v>
      </c>
      <c r="G3" s="2" t="s">
        <v>42</v>
      </c>
      <c r="H3" s="2" t="s">
        <v>43</v>
      </c>
      <c r="I3" s="2" t="s">
        <v>42</v>
      </c>
      <c r="J3" s="2" t="s">
        <v>43</v>
      </c>
      <c r="K3" s="2" t="s">
        <v>42</v>
      </c>
      <c r="L3" s="2" t="s">
        <v>43</v>
      </c>
      <c r="M3" s="2" t="s">
        <v>42</v>
      </c>
      <c r="N3" s="346" t="s">
        <v>0</v>
      </c>
    </row>
    <row r="4" spans="1:14" ht="15" customHeight="1">
      <c r="A4" s="13"/>
      <c r="B4" s="14"/>
      <c r="C4" s="1"/>
      <c r="D4" s="1"/>
      <c r="E4" s="2"/>
      <c r="F4" s="4"/>
      <c r="G4" s="8"/>
      <c r="H4" s="4"/>
      <c r="I4" s="8"/>
      <c r="J4" s="4"/>
      <c r="K4" s="8"/>
      <c r="L4" s="4"/>
      <c r="M4" s="8"/>
      <c r="N4" s="12"/>
    </row>
    <row r="5" spans="1:14" ht="15" customHeight="1">
      <c r="A5" s="64">
        <f>KP메카니컬접합부설!A290+1</f>
        <v>40</v>
      </c>
      <c r="B5" s="46" t="s">
        <v>296</v>
      </c>
      <c r="C5" s="47" t="s">
        <v>200</v>
      </c>
      <c r="D5" s="47">
        <v>1</v>
      </c>
      <c r="E5" s="48" t="s">
        <v>3</v>
      </c>
      <c r="F5" s="51"/>
      <c r="G5" s="50">
        <f>I5+K5+M5</f>
        <v>0</v>
      </c>
      <c r="H5" s="51"/>
      <c r="I5" s="50">
        <f>TRUNC(I6+I7+I8,0)</f>
        <v>0</v>
      </c>
      <c r="J5" s="51"/>
      <c r="K5" s="50">
        <f>TRUNC(K6+K7+K8,0)</f>
        <v>0</v>
      </c>
      <c r="L5" s="51"/>
      <c r="M5" s="50">
        <f>TRUNC(M6+M7+M8,0)</f>
        <v>0</v>
      </c>
      <c r="N5" s="63" t="s">
        <v>259</v>
      </c>
    </row>
    <row r="6" spans="1:14" ht="15" customHeight="1">
      <c r="A6" s="13"/>
      <c r="B6" s="14" t="s">
        <v>261</v>
      </c>
      <c r="C6" s="1" t="s">
        <v>32</v>
      </c>
      <c r="D6" s="3"/>
      <c r="E6" s="2" t="s">
        <v>24</v>
      </c>
      <c r="F6" s="4">
        <f>H6+J6+L6</f>
        <v>262580</v>
      </c>
      <c r="G6" s="8">
        <f>I6+K6+M6</f>
        <v>0</v>
      </c>
      <c r="H6" s="4">
        <v>0</v>
      </c>
      <c r="I6" s="8"/>
      <c r="J6" s="4">
        <f>노임!$D$10</f>
        <v>262580</v>
      </c>
      <c r="K6" s="8">
        <f>TRUNC(J6*D6,1)</f>
        <v>0</v>
      </c>
      <c r="L6" s="4">
        <v>0</v>
      </c>
      <c r="M6" s="8"/>
      <c r="N6" s="12" t="s">
        <v>0</v>
      </c>
    </row>
    <row r="7" spans="1:14" ht="15" customHeight="1">
      <c r="A7" s="13"/>
      <c r="B7" s="14" t="s">
        <v>262</v>
      </c>
      <c r="C7" s="1" t="s">
        <v>0</v>
      </c>
      <c r="D7" s="3"/>
      <c r="E7" s="2" t="s">
        <v>24</v>
      </c>
      <c r="F7" s="4">
        <f>H7+J7+L7</f>
        <v>172068</v>
      </c>
      <c r="G7" s="8">
        <f>I7+K7+M7</f>
        <v>0</v>
      </c>
      <c r="H7" s="4">
        <v>0</v>
      </c>
      <c r="I7" s="8"/>
      <c r="J7" s="4">
        <f>노임!$D$3</f>
        <v>172068</v>
      </c>
      <c r="K7" s="8">
        <f>TRUNC(J7*D7,1)</f>
        <v>0</v>
      </c>
      <c r="L7" s="4">
        <v>0</v>
      </c>
      <c r="M7" s="8"/>
      <c r="N7" s="12" t="s">
        <v>0</v>
      </c>
    </row>
    <row r="8" spans="1:14" ht="15" customHeight="1">
      <c r="A8" s="13"/>
      <c r="B8" s="14" t="s">
        <v>297</v>
      </c>
      <c r="C8" s="1" t="s">
        <v>220</v>
      </c>
      <c r="D8" s="3">
        <v>2</v>
      </c>
      <c r="E8" s="2" t="s">
        <v>221</v>
      </c>
      <c r="F8" s="4">
        <f>H8+J8+L8</f>
        <v>0</v>
      </c>
      <c r="G8" s="8">
        <f>I8+K8+M8</f>
        <v>0</v>
      </c>
      <c r="H8" s="4"/>
      <c r="I8" s="8"/>
      <c r="J8" s="4"/>
      <c r="K8" s="8"/>
      <c r="L8" s="4"/>
      <c r="M8" s="8">
        <f>TRUNC((K6+K7)*D8%,1)</f>
        <v>0</v>
      </c>
      <c r="N8" s="12"/>
    </row>
    <row r="9" spans="1:14" ht="15" customHeight="1">
      <c r="A9" s="16"/>
      <c r="B9" s="15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12"/>
    </row>
    <row r="10" spans="1:14" ht="15" customHeight="1">
      <c r="A10" s="64">
        <f>A5+1</f>
        <v>41</v>
      </c>
      <c r="B10" s="46" t="s">
        <v>296</v>
      </c>
      <c r="C10" s="47" t="s">
        <v>295</v>
      </c>
      <c r="D10" s="47">
        <v>1</v>
      </c>
      <c r="E10" s="48" t="s">
        <v>3</v>
      </c>
      <c r="F10" s="51"/>
      <c r="G10" s="50">
        <f>I10+K10+M10</f>
        <v>28446</v>
      </c>
      <c r="H10" s="51"/>
      <c r="I10" s="50">
        <f>TRUNC(I11+I12+I13,0)</f>
        <v>0</v>
      </c>
      <c r="J10" s="51"/>
      <c r="K10" s="50">
        <f>TRUNC(K11+K12+K13,0)</f>
        <v>27889</v>
      </c>
      <c r="L10" s="51"/>
      <c r="M10" s="50">
        <f>TRUNC(M11+M12+M13,0)</f>
        <v>557</v>
      </c>
      <c r="N10" s="63" t="s">
        <v>302</v>
      </c>
    </row>
    <row r="11" spans="1:14" ht="15" customHeight="1">
      <c r="A11" s="13"/>
      <c r="B11" s="14" t="s">
        <v>261</v>
      </c>
      <c r="C11" s="1" t="s">
        <v>32</v>
      </c>
      <c r="D11" s="3">
        <v>0.08</v>
      </c>
      <c r="E11" s="2" t="s">
        <v>24</v>
      </c>
      <c r="F11" s="4">
        <f>H11+J11+L11</f>
        <v>262580</v>
      </c>
      <c r="G11" s="8">
        <f>I11+K11+M11</f>
        <v>21006.400000000001</v>
      </c>
      <c r="H11" s="4">
        <v>0</v>
      </c>
      <c r="I11" s="8"/>
      <c r="J11" s="4">
        <f>노임!$D$10</f>
        <v>262580</v>
      </c>
      <c r="K11" s="8">
        <f>TRUNC(J11*D11,1)</f>
        <v>21006.400000000001</v>
      </c>
      <c r="L11" s="4">
        <v>0</v>
      </c>
      <c r="M11" s="8"/>
      <c r="N11" s="12" t="s">
        <v>0</v>
      </c>
    </row>
    <row r="12" spans="1:14" ht="15" customHeight="1">
      <c r="A12" s="13"/>
      <c r="B12" s="14" t="s">
        <v>262</v>
      </c>
      <c r="C12" s="1" t="s">
        <v>0</v>
      </c>
      <c r="D12" s="3">
        <v>0.04</v>
      </c>
      <c r="E12" s="2" t="s">
        <v>24</v>
      </c>
      <c r="F12" s="4">
        <f>H12+J12+L12</f>
        <v>172068</v>
      </c>
      <c r="G12" s="8">
        <f>I12+K12+M12</f>
        <v>6882.7</v>
      </c>
      <c r="H12" s="4">
        <v>0</v>
      </c>
      <c r="I12" s="8"/>
      <c r="J12" s="4">
        <f>노임!$D$3</f>
        <v>172068</v>
      </c>
      <c r="K12" s="8">
        <f>TRUNC(J12*D12,1)</f>
        <v>6882.7</v>
      </c>
      <c r="L12" s="4">
        <v>0</v>
      </c>
      <c r="M12" s="8"/>
      <c r="N12" s="12" t="s">
        <v>0</v>
      </c>
    </row>
    <row r="13" spans="1:14" ht="15" customHeight="1">
      <c r="A13" s="13"/>
      <c r="B13" s="14" t="s">
        <v>297</v>
      </c>
      <c r="C13" s="1" t="s">
        <v>220</v>
      </c>
      <c r="D13" s="3">
        <v>2</v>
      </c>
      <c r="E13" s="2" t="s">
        <v>221</v>
      </c>
      <c r="F13" s="4">
        <f>H13+J13+L13</f>
        <v>0</v>
      </c>
      <c r="G13" s="8">
        <f>I13+K13+M13</f>
        <v>557.70000000000005</v>
      </c>
      <c r="H13" s="4"/>
      <c r="I13" s="8"/>
      <c r="J13" s="4"/>
      <c r="K13" s="8"/>
      <c r="L13" s="4"/>
      <c r="M13" s="8">
        <f>TRUNC((K11+K12)*D13%,1)</f>
        <v>557.70000000000005</v>
      </c>
      <c r="N13" s="12"/>
    </row>
    <row r="14" spans="1:14" ht="15" customHeight="1">
      <c r="A14" s="16"/>
      <c r="B14" s="15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12"/>
    </row>
    <row r="15" spans="1:14" ht="15" customHeight="1">
      <c r="A15" s="64">
        <f>A10+1</f>
        <v>42</v>
      </c>
      <c r="B15" s="46" t="s">
        <v>296</v>
      </c>
      <c r="C15" s="47" t="s">
        <v>178</v>
      </c>
      <c r="D15" s="47">
        <v>1</v>
      </c>
      <c r="E15" s="48" t="s">
        <v>3</v>
      </c>
      <c r="F15" s="51"/>
      <c r="G15" s="50">
        <f>I15+K15+M15</f>
        <v>35558</v>
      </c>
      <c r="H15" s="51"/>
      <c r="I15" s="50">
        <f>TRUNC(I16+I17+I18,0)</f>
        <v>0</v>
      </c>
      <c r="J15" s="51"/>
      <c r="K15" s="50">
        <f>TRUNC(K16+K17+K18,0)</f>
        <v>34861</v>
      </c>
      <c r="L15" s="51"/>
      <c r="M15" s="50">
        <f>TRUNC(M16+M17+M18,0)</f>
        <v>697</v>
      </c>
      <c r="N15" s="63" t="str">
        <f>N10</f>
        <v>토목6-2-3</v>
      </c>
    </row>
    <row r="16" spans="1:14" ht="15" customHeight="1">
      <c r="A16" s="13"/>
      <c r="B16" s="14" t="s">
        <v>261</v>
      </c>
      <c r="C16" s="1" t="s">
        <v>32</v>
      </c>
      <c r="D16" s="3">
        <v>0.1</v>
      </c>
      <c r="E16" s="2" t="s">
        <v>24</v>
      </c>
      <c r="F16" s="4">
        <f>H16+J16+L16</f>
        <v>262580</v>
      </c>
      <c r="G16" s="8">
        <f>I16+K16+M16</f>
        <v>26258</v>
      </c>
      <c r="H16" s="4">
        <v>0</v>
      </c>
      <c r="I16" s="8"/>
      <c r="J16" s="4">
        <f>노임!$D$10</f>
        <v>262580</v>
      </c>
      <c r="K16" s="8">
        <f>TRUNC(J16*D16,1)</f>
        <v>26258</v>
      </c>
      <c r="L16" s="4">
        <v>0</v>
      </c>
      <c r="M16" s="8"/>
      <c r="N16" s="12" t="s">
        <v>0</v>
      </c>
    </row>
    <row r="17" spans="1:14" ht="15" customHeight="1">
      <c r="A17" s="13"/>
      <c r="B17" s="14" t="s">
        <v>262</v>
      </c>
      <c r="C17" s="1" t="s">
        <v>0</v>
      </c>
      <c r="D17" s="3">
        <v>0.05</v>
      </c>
      <c r="E17" s="2" t="s">
        <v>24</v>
      </c>
      <c r="F17" s="4">
        <f>H17+J17+L17</f>
        <v>172068</v>
      </c>
      <c r="G17" s="8">
        <f>I17+K17+M17</f>
        <v>8603.4</v>
      </c>
      <c r="H17" s="4">
        <v>0</v>
      </c>
      <c r="I17" s="8"/>
      <c r="J17" s="4">
        <f>노임!$D$3</f>
        <v>172068</v>
      </c>
      <c r="K17" s="8">
        <f>TRUNC(J17*D17,1)</f>
        <v>8603.4</v>
      </c>
      <c r="L17" s="4">
        <v>0</v>
      </c>
      <c r="M17" s="8"/>
      <c r="N17" s="12" t="s">
        <v>0</v>
      </c>
    </row>
    <row r="18" spans="1:14" ht="15" customHeight="1">
      <c r="A18" s="13"/>
      <c r="B18" s="14" t="s">
        <v>297</v>
      </c>
      <c r="C18" s="1" t="s">
        <v>220</v>
      </c>
      <c r="D18" s="3">
        <v>2</v>
      </c>
      <c r="E18" s="2" t="s">
        <v>221</v>
      </c>
      <c r="F18" s="4">
        <f>H18+J18+L18</f>
        <v>0</v>
      </c>
      <c r="G18" s="8">
        <f>I18+K18+M18</f>
        <v>697.2</v>
      </c>
      <c r="H18" s="4"/>
      <c r="I18" s="8"/>
      <c r="J18" s="4"/>
      <c r="K18" s="8"/>
      <c r="L18" s="4"/>
      <c r="M18" s="8">
        <f>TRUNC((K16+K17)*D18%,1)</f>
        <v>697.2</v>
      </c>
      <c r="N18" s="12"/>
    </row>
    <row r="19" spans="1:14" ht="15" customHeight="1">
      <c r="A19" s="16"/>
      <c r="B19" s="15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12"/>
    </row>
    <row r="20" spans="1:14" ht="15" customHeight="1">
      <c r="A20" s="64">
        <f>A15+1</f>
        <v>43</v>
      </c>
      <c r="B20" s="46" t="s">
        <v>296</v>
      </c>
      <c r="C20" s="47" t="s">
        <v>179</v>
      </c>
      <c r="D20" s="47">
        <v>1</v>
      </c>
      <c r="E20" s="48" t="s">
        <v>3</v>
      </c>
      <c r="F20" s="51"/>
      <c r="G20" s="50">
        <f>I20+K20+M20</f>
        <v>47103</v>
      </c>
      <c r="H20" s="51"/>
      <c r="I20" s="50">
        <f>TRUNC(I21+I22+I23,0)</f>
        <v>0</v>
      </c>
      <c r="J20" s="51"/>
      <c r="K20" s="50">
        <f>TRUNC(K21+K22+K23,0)</f>
        <v>46180</v>
      </c>
      <c r="L20" s="51"/>
      <c r="M20" s="50">
        <f>TRUNC(M21+M22+M23,0)</f>
        <v>923</v>
      </c>
      <c r="N20" s="63" t="str">
        <f>N15</f>
        <v>토목6-2-3</v>
      </c>
    </row>
    <row r="21" spans="1:14" ht="15" customHeight="1">
      <c r="A21" s="13"/>
      <c r="B21" s="14" t="s">
        <v>261</v>
      </c>
      <c r="C21" s="1" t="s">
        <v>32</v>
      </c>
      <c r="D21" s="3">
        <v>0.13</v>
      </c>
      <c r="E21" s="2" t="s">
        <v>24</v>
      </c>
      <c r="F21" s="4">
        <f>H21+J21+L21</f>
        <v>262580</v>
      </c>
      <c r="G21" s="8">
        <f>I21+K21+M21</f>
        <v>34135.4</v>
      </c>
      <c r="H21" s="4">
        <v>0</v>
      </c>
      <c r="I21" s="8"/>
      <c r="J21" s="4">
        <f>노임!$D$10</f>
        <v>262580</v>
      </c>
      <c r="K21" s="8">
        <f>TRUNC(J21*D21,1)</f>
        <v>34135.4</v>
      </c>
      <c r="L21" s="4">
        <v>0</v>
      </c>
      <c r="M21" s="8"/>
      <c r="N21" s="12" t="s">
        <v>0</v>
      </c>
    </row>
    <row r="22" spans="1:14" ht="15" customHeight="1">
      <c r="A22" s="13"/>
      <c r="B22" s="14" t="s">
        <v>262</v>
      </c>
      <c r="C22" s="1" t="s">
        <v>0</v>
      </c>
      <c r="D22" s="3">
        <v>7.0000000000000007E-2</v>
      </c>
      <c r="E22" s="2" t="s">
        <v>24</v>
      </c>
      <c r="F22" s="4">
        <f>H22+J22+L22</f>
        <v>172068</v>
      </c>
      <c r="G22" s="8">
        <f>I22+K22+M22</f>
        <v>12044.7</v>
      </c>
      <c r="H22" s="4">
        <v>0</v>
      </c>
      <c r="I22" s="8"/>
      <c r="J22" s="4">
        <f>노임!$D$3</f>
        <v>172068</v>
      </c>
      <c r="K22" s="8">
        <f>TRUNC(J22*D22,1)</f>
        <v>12044.7</v>
      </c>
      <c r="L22" s="4">
        <v>0</v>
      </c>
      <c r="M22" s="8"/>
      <c r="N22" s="12" t="s">
        <v>0</v>
      </c>
    </row>
    <row r="23" spans="1:14" ht="15" customHeight="1">
      <c r="A23" s="13"/>
      <c r="B23" s="14" t="s">
        <v>297</v>
      </c>
      <c r="C23" s="1" t="s">
        <v>220</v>
      </c>
      <c r="D23" s="3">
        <v>2</v>
      </c>
      <c r="E23" s="2" t="s">
        <v>221</v>
      </c>
      <c r="F23" s="4">
        <f>H23+J23+L23</f>
        <v>0</v>
      </c>
      <c r="G23" s="8">
        <f>I23+K23+M23</f>
        <v>923.6</v>
      </c>
      <c r="H23" s="4"/>
      <c r="I23" s="8"/>
      <c r="J23" s="4"/>
      <c r="K23" s="8"/>
      <c r="L23" s="4"/>
      <c r="M23" s="8">
        <f>TRUNC((K21+K22)*D23%,1)</f>
        <v>923.6</v>
      </c>
      <c r="N23" s="12"/>
    </row>
    <row r="24" spans="1:14" ht="15" customHeight="1">
      <c r="A24" s="16"/>
      <c r="B24" s="15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12"/>
    </row>
    <row r="25" spans="1:14" ht="15" customHeight="1">
      <c r="A25" s="64">
        <f>A20+1</f>
        <v>44</v>
      </c>
      <c r="B25" s="46" t="s">
        <v>296</v>
      </c>
      <c r="C25" s="47" t="s">
        <v>180</v>
      </c>
      <c r="D25" s="47">
        <v>1</v>
      </c>
      <c r="E25" s="48" t="s">
        <v>3</v>
      </c>
      <c r="F25" s="51"/>
      <c r="G25" s="50">
        <f>I25+K25+M25</f>
        <v>54215</v>
      </c>
      <c r="H25" s="51"/>
      <c r="I25" s="50">
        <f>TRUNC(I26+I27+I28,0)</f>
        <v>0</v>
      </c>
      <c r="J25" s="51"/>
      <c r="K25" s="50">
        <f>TRUNC(K26+K27+K28,0)</f>
        <v>53152</v>
      </c>
      <c r="L25" s="51"/>
      <c r="M25" s="50">
        <f>TRUNC(M26+M27+M28,0)</f>
        <v>1063</v>
      </c>
      <c r="N25" s="63" t="str">
        <f>N20</f>
        <v>토목6-2-3</v>
      </c>
    </row>
    <row r="26" spans="1:14" ht="15" customHeight="1">
      <c r="A26" s="13"/>
      <c r="B26" s="14" t="s">
        <v>261</v>
      </c>
      <c r="C26" s="1" t="s">
        <v>32</v>
      </c>
      <c r="D26" s="3">
        <v>0.15</v>
      </c>
      <c r="E26" s="2" t="s">
        <v>24</v>
      </c>
      <c r="F26" s="4">
        <f>H26+J26+L26</f>
        <v>262580</v>
      </c>
      <c r="G26" s="8">
        <f>I26+K26+M26</f>
        <v>39387</v>
      </c>
      <c r="H26" s="4">
        <v>0</v>
      </c>
      <c r="I26" s="8"/>
      <c r="J26" s="4">
        <f>노임!$D$10</f>
        <v>262580</v>
      </c>
      <c r="K26" s="8">
        <f>TRUNC(J26*D26,1)</f>
        <v>39387</v>
      </c>
      <c r="L26" s="4">
        <v>0</v>
      </c>
      <c r="M26" s="8"/>
      <c r="N26" s="12" t="s">
        <v>0</v>
      </c>
    </row>
    <row r="27" spans="1:14" ht="15" customHeight="1">
      <c r="A27" s="13"/>
      <c r="B27" s="14" t="s">
        <v>262</v>
      </c>
      <c r="C27" s="1" t="s">
        <v>0</v>
      </c>
      <c r="D27" s="3">
        <v>0.08</v>
      </c>
      <c r="E27" s="2" t="s">
        <v>24</v>
      </c>
      <c r="F27" s="4">
        <f>H27+J27+L27</f>
        <v>172068</v>
      </c>
      <c r="G27" s="8">
        <f>I27+K27+M27</f>
        <v>13765.4</v>
      </c>
      <c r="H27" s="4">
        <v>0</v>
      </c>
      <c r="I27" s="8"/>
      <c r="J27" s="4">
        <f>노임!$D$3</f>
        <v>172068</v>
      </c>
      <c r="K27" s="8">
        <f>TRUNC(J27*D27,1)</f>
        <v>13765.4</v>
      </c>
      <c r="L27" s="4">
        <v>0</v>
      </c>
      <c r="M27" s="8"/>
      <c r="N27" s="12" t="s">
        <v>0</v>
      </c>
    </row>
    <row r="28" spans="1:14" ht="15" customHeight="1">
      <c r="A28" s="13"/>
      <c r="B28" s="14" t="s">
        <v>297</v>
      </c>
      <c r="C28" s="1" t="s">
        <v>220</v>
      </c>
      <c r="D28" s="3">
        <v>2</v>
      </c>
      <c r="E28" s="2" t="s">
        <v>221</v>
      </c>
      <c r="F28" s="4">
        <f>H28+J28+L28</f>
        <v>0</v>
      </c>
      <c r="G28" s="8">
        <f>I28+K28+M28</f>
        <v>1063</v>
      </c>
      <c r="H28" s="4"/>
      <c r="I28" s="8"/>
      <c r="J28" s="4"/>
      <c r="K28" s="8"/>
      <c r="L28" s="4"/>
      <c r="M28" s="8">
        <f>TRUNC((K26+K27)*D28%,1)</f>
        <v>1063</v>
      </c>
      <c r="N28" s="12"/>
    </row>
    <row r="29" spans="1:14" ht="15" customHeight="1">
      <c r="A29" s="16"/>
      <c r="B29" s="15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12"/>
    </row>
    <row r="30" spans="1:14" ht="15" customHeight="1">
      <c r="A30" s="64">
        <f>A25+1</f>
        <v>45</v>
      </c>
      <c r="B30" s="46" t="s">
        <v>296</v>
      </c>
      <c r="C30" s="47" t="s">
        <v>181</v>
      </c>
      <c r="D30" s="47">
        <v>1</v>
      </c>
      <c r="E30" s="48" t="s">
        <v>3</v>
      </c>
      <c r="F30" s="51"/>
      <c r="G30" s="50">
        <f>I30+K30+M30</f>
        <v>65760</v>
      </c>
      <c r="H30" s="51"/>
      <c r="I30" s="50">
        <f>TRUNC(I31+I32+I33,0)</f>
        <v>0</v>
      </c>
      <c r="J30" s="51"/>
      <c r="K30" s="50">
        <f>TRUNC(K31+K32+K33,0)</f>
        <v>64471</v>
      </c>
      <c r="L30" s="51"/>
      <c r="M30" s="50">
        <f>TRUNC(M31+M32+M33,0)</f>
        <v>1289</v>
      </c>
      <c r="N30" s="63" t="str">
        <f>N25</f>
        <v>토목6-2-3</v>
      </c>
    </row>
    <row r="31" spans="1:14" ht="15" customHeight="1">
      <c r="A31" s="13"/>
      <c r="B31" s="14" t="s">
        <v>261</v>
      </c>
      <c r="C31" s="1" t="s">
        <v>32</v>
      </c>
      <c r="D31" s="3">
        <v>0.18</v>
      </c>
      <c r="E31" s="2" t="s">
        <v>24</v>
      </c>
      <c r="F31" s="4">
        <f>H31+J31+L31</f>
        <v>262580</v>
      </c>
      <c r="G31" s="8">
        <f>I31+K31+M31</f>
        <v>47264.4</v>
      </c>
      <c r="H31" s="4">
        <v>0</v>
      </c>
      <c r="I31" s="8"/>
      <c r="J31" s="4">
        <f>노임!$D$10</f>
        <v>262580</v>
      </c>
      <c r="K31" s="8">
        <f>TRUNC(J31*D31,1)</f>
        <v>47264.4</v>
      </c>
      <c r="L31" s="4">
        <v>0</v>
      </c>
      <c r="M31" s="8"/>
      <c r="N31" s="12" t="s">
        <v>0</v>
      </c>
    </row>
    <row r="32" spans="1:14" ht="15" customHeight="1">
      <c r="A32" s="13"/>
      <c r="B32" s="14" t="s">
        <v>262</v>
      </c>
      <c r="C32" s="1" t="s">
        <v>0</v>
      </c>
      <c r="D32" s="3">
        <v>0.1</v>
      </c>
      <c r="E32" s="2" t="s">
        <v>24</v>
      </c>
      <c r="F32" s="4">
        <f>H32+J32+L32</f>
        <v>172068</v>
      </c>
      <c r="G32" s="8">
        <f>I32+K32+M32</f>
        <v>17206.8</v>
      </c>
      <c r="H32" s="4">
        <v>0</v>
      </c>
      <c r="I32" s="8"/>
      <c r="J32" s="4">
        <f>노임!$D$3</f>
        <v>172068</v>
      </c>
      <c r="K32" s="8">
        <f>TRUNC(J32*D32,1)</f>
        <v>17206.8</v>
      </c>
      <c r="L32" s="4">
        <v>0</v>
      </c>
      <c r="M32" s="8"/>
      <c r="N32" s="12" t="s">
        <v>0</v>
      </c>
    </row>
    <row r="33" spans="1:14" ht="15" customHeight="1">
      <c r="A33" s="13"/>
      <c r="B33" s="14" t="s">
        <v>297</v>
      </c>
      <c r="C33" s="1" t="s">
        <v>220</v>
      </c>
      <c r="D33" s="3">
        <v>2</v>
      </c>
      <c r="E33" s="2" t="s">
        <v>221</v>
      </c>
      <c r="F33" s="4">
        <f>H33+J33+L33</f>
        <v>0</v>
      </c>
      <c r="G33" s="8">
        <f>I33+K33+M33</f>
        <v>1289.4000000000001</v>
      </c>
      <c r="H33" s="4"/>
      <c r="I33" s="8"/>
      <c r="J33" s="4"/>
      <c r="K33" s="8"/>
      <c r="L33" s="4"/>
      <c r="M33" s="8">
        <f>TRUNC((K31+K32)*D33%,1)</f>
        <v>1289.4000000000001</v>
      </c>
      <c r="N33" s="12"/>
    </row>
    <row r="34" spans="1:14" ht="15" customHeight="1">
      <c r="A34" s="16"/>
      <c r="B34" s="15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12"/>
    </row>
    <row r="35" spans="1:14" ht="15" customHeight="1">
      <c r="A35" s="64">
        <f>A30+1</f>
        <v>46</v>
      </c>
      <c r="B35" s="46" t="s">
        <v>296</v>
      </c>
      <c r="C35" s="47" t="s">
        <v>182</v>
      </c>
      <c r="D35" s="47">
        <v>1</v>
      </c>
      <c r="E35" s="48" t="s">
        <v>3</v>
      </c>
      <c r="F35" s="51"/>
      <c r="G35" s="50">
        <f>I35+K35+M35</f>
        <v>75550</v>
      </c>
      <c r="H35" s="51"/>
      <c r="I35" s="50">
        <f>TRUNC(I36+I37+I38,0)</f>
        <v>0</v>
      </c>
      <c r="J35" s="51"/>
      <c r="K35" s="50">
        <f>TRUNC(K36+K37+K38,0)</f>
        <v>74069</v>
      </c>
      <c r="L35" s="51"/>
      <c r="M35" s="50">
        <f>TRUNC(M36+M37+M38,0)</f>
        <v>1481</v>
      </c>
      <c r="N35" s="63" t="str">
        <f>N30</f>
        <v>토목6-2-3</v>
      </c>
    </row>
    <row r="36" spans="1:14" ht="15" customHeight="1">
      <c r="A36" s="13"/>
      <c r="B36" s="14" t="s">
        <v>261</v>
      </c>
      <c r="C36" s="1" t="s">
        <v>32</v>
      </c>
      <c r="D36" s="3">
        <v>0.21</v>
      </c>
      <c r="E36" s="2" t="s">
        <v>24</v>
      </c>
      <c r="F36" s="4">
        <f>H36+J36+L36</f>
        <v>262580</v>
      </c>
      <c r="G36" s="8">
        <f>I36+K36+M36</f>
        <v>55141.8</v>
      </c>
      <c r="H36" s="4">
        <v>0</v>
      </c>
      <c r="I36" s="8"/>
      <c r="J36" s="4">
        <f>노임!$D$10</f>
        <v>262580</v>
      </c>
      <c r="K36" s="8">
        <f>TRUNC(J36*D36,1)</f>
        <v>55141.8</v>
      </c>
      <c r="L36" s="4">
        <v>0</v>
      </c>
      <c r="M36" s="8"/>
      <c r="N36" s="12" t="s">
        <v>0</v>
      </c>
    </row>
    <row r="37" spans="1:14" ht="15" customHeight="1">
      <c r="A37" s="13"/>
      <c r="B37" s="14" t="s">
        <v>262</v>
      </c>
      <c r="C37" s="1" t="s">
        <v>0</v>
      </c>
      <c r="D37" s="3">
        <v>0.11</v>
      </c>
      <c r="E37" s="2" t="s">
        <v>24</v>
      </c>
      <c r="F37" s="4">
        <f>H37+J37+L37</f>
        <v>172068</v>
      </c>
      <c r="G37" s="8">
        <f>I37+K37+M37</f>
        <v>18927.400000000001</v>
      </c>
      <c r="H37" s="4">
        <v>0</v>
      </c>
      <c r="I37" s="8"/>
      <c r="J37" s="4">
        <f>노임!$D$3</f>
        <v>172068</v>
      </c>
      <c r="K37" s="8">
        <f>TRUNC(J37*D37,1)</f>
        <v>18927.400000000001</v>
      </c>
      <c r="L37" s="4">
        <v>0</v>
      </c>
      <c r="M37" s="8"/>
      <c r="N37" s="12" t="s">
        <v>0</v>
      </c>
    </row>
    <row r="38" spans="1:14" ht="15" customHeight="1">
      <c r="A38" s="13"/>
      <c r="B38" s="14" t="s">
        <v>297</v>
      </c>
      <c r="C38" s="1" t="s">
        <v>220</v>
      </c>
      <c r="D38" s="3">
        <v>2</v>
      </c>
      <c r="E38" s="2" t="s">
        <v>221</v>
      </c>
      <c r="F38" s="4">
        <f>H38+J38+L38</f>
        <v>0</v>
      </c>
      <c r="G38" s="8">
        <f>I38+K38+M38</f>
        <v>1481.3</v>
      </c>
      <c r="H38" s="4"/>
      <c r="I38" s="8"/>
      <c r="J38" s="4"/>
      <c r="K38" s="8"/>
      <c r="L38" s="4"/>
      <c r="M38" s="8">
        <f>TRUNC((K36+K37)*D38%,1)</f>
        <v>1481.3</v>
      </c>
      <c r="N38" s="12"/>
    </row>
    <row r="39" spans="1:14" ht="15" customHeight="1">
      <c r="A39" s="16"/>
      <c r="B39" s="15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12"/>
    </row>
    <row r="40" spans="1:14" ht="15" customHeight="1">
      <c r="A40" s="64">
        <f>A35+1</f>
        <v>47</v>
      </c>
      <c r="B40" s="46" t="s">
        <v>296</v>
      </c>
      <c r="C40" s="47" t="s">
        <v>183</v>
      </c>
      <c r="D40" s="47">
        <v>1</v>
      </c>
      <c r="E40" s="48" t="s">
        <v>3</v>
      </c>
      <c r="F40" s="51"/>
      <c r="G40" s="50">
        <f>I40+K40+M40</f>
        <v>82661</v>
      </c>
      <c r="H40" s="51"/>
      <c r="I40" s="50">
        <f>TRUNC(I41+I42+I43,0)</f>
        <v>0</v>
      </c>
      <c r="J40" s="51"/>
      <c r="K40" s="50">
        <f>TRUNC(K41+K42+K43,0)</f>
        <v>81041</v>
      </c>
      <c r="L40" s="51"/>
      <c r="M40" s="50">
        <f>TRUNC(M41+M42+M43,0)</f>
        <v>1620</v>
      </c>
      <c r="N40" s="63" t="str">
        <f>N35</f>
        <v>토목6-2-3</v>
      </c>
    </row>
    <row r="41" spans="1:14" ht="15" customHeight="1">
      <c r="A41" s="13"/>
      <c r="B41" s="14" t="s">
        <v>261</v>
      </c>
      <c r="C41" s="1" t="s">
        <v>32</v>
      </c>
      <c r="D41" s="3">
        <v>0.23</v>
      </c>
      <c r="E41" s="2" t="s">
        <v>24</v>
      </c>
      <c r="F41" s="4">
        <f>H41+J41+L41</f>
        <v>262580</v>
      </c>
      <c r="G41" s="8">
        <f>I41+K41+M41</f>
        <v>60393.4</v>
      </c>
      <c r="H41" s="4">
        <v>0</v>
      </c>
      <c r="I41" s="8"/>
      <c r="J41" s="4">
        <f>노임!$D$10</f>
        <v>262580</v>
      </c>
      <c r="K41" s="8">
        <f>TRUNC(J41*D41,1)</f>
        <v>60393.4</v>
      </c>
      <c r="L41" s="4">
        <v>0</v>
      </c>
      <c r="M41" s="8"/>
      <c r="N41" s="12" t="s">
        <v>0</v>
      </c>
    </row>
    <row r="42" spans="1:14" ht="15" customHeight="1">
      <c r="A42" s="13"/>
      <c r="B42" s="14" t="s">
        <v>262</v>
      </c>
      <c r="C42" s="1" t="s">
        <v>0</v>
      </c>
      <c r="D42" s="3">
        <v>0.12</v>
      </c>
      <c r="E42" s="2" t="s">
        <v>24</v>
      </c>
      <c r="F42" s="4">
        <f>H42+J42+L42</f>
        <v>172068</v>
      </c>
      <c r="G42" s="8">
        <f>I42+K42+M42</f>
        <v>20648.099999999999</v>
      </c>
      <c r="H42" s="4">
        <v>0</v>
      </c>
      <c r="I42" s="8"/>
      <c r="J42" s="4">
        <f>노임!$D$3</f>
        <v>172068</v>
      </c>
      <c r="K42" s="8">
        <f>TRUNC(J42*D42,1)</f>
        <v>20648.099999999999</v>
      </c>
      <c r="L42" s="4">
        <v>0</v>
      </c>
      <c r="M42" s="8"/>
      <c r="N42" s="12" t="s">
        <v>0</v>
      </c>
    </row>
    <row r="43" spans="1:14" ht="15" customHeight="1">
      <c r="A43" s="13"/>
      <c r="B43" s="14" t="s">
        <v>297</v>
      </c>
      <c r="C43" s="1" t="s">
        <v>220</v>
      </c>
      <c r="D43" s="3">
        <v>2</v>
      </c>
      <c r="E43" s="2" t="s">
        <v>221</v>
      </c>
      <c r="F43" s="4">
        <f>H43+J43+L43</f>
        <v>0</v>
      </c>
      <c r="G43" s="8">
        <f>I43+K43+M43</f>
        <v>1620.8</v>
      </c>
      <c r="H43" s="4"/>
      <c r="I43" s="8"/>
      <c r="J43" s="4"/>
      <c r="K43" s="8"/>
      <c r="L43" s="4"/>
      <c r="M43" s="8">
        <f>TRUNC((K41+K42)*D43%,1)</f>
        <v>1620.8</v>
      </c>
      <c r="N43" s="12"/>
    </row>
    <row r="44" spans="1:14" ht="15" customHeight="1">
      <c r="A44" s="16"/>
      <c r="B44" s="15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12"/>
    </row>
    <row r="45" spans="1:14" ht="15" customHeight="1">
      <c r="A45" s="64">
        <f>A40+1</f>
        <v>48</v>
      </c>
      <c r="B45" s="46" t="s">
        <v>296</v>
      </c>
      <c r="C45" s="47" t="s">
        <v>185</v>
      </c>
      <c r="D45" s="47">
        <v>1</v>
      </c>
      <c r="E45" s="48" t="s">
        <v>3</v>
      </c>
      <c r="F45" s="51"/>
      <c r="G45" s="50">
        <f>I45+K45+M45</f>
        <v>94207</v>
      </c>
      <c r="H45" s="51"/>
      <c r="I45" s="50">
        <f>TRUNC(I46+I47+I48,0)</f>
        <v>0</v>
      </c>
      <c r="J45" s="51"/>
      <c r="K45" s="50">
        <f>TRUNC(K46+K47+K48,0)</f>
        <v>92360</v>
      </c>
      <c r="L45" s="51"/>
      <c r="M45" s="50">
        <f>TRUNC(M46+M47+M48,0)</f>
        <v>1847</v>
      </c>
      <c r="N45" s="63" t="str">
        <f>N40</f>
        <v>토목6-2-3</v>
      </c>
    </row>
    <row r="46" spans="1:14" ht="15" customHeight="1">
      <c r="A46" s="13"/>
      <c r="B46" s="14" t="s">
        <v>261</v>
      </c>
      <c r="C46" s="1" t="s">
        <v>32</v>
      </c>
      <c r="D46" s="3">
        <v>0.26</v>
      </c>
      <c r="E46" s="2" t="s">
        <v>24</v>
      </c>
      <c r="F46" s="4">
        <f>H46+J46+L46</f>
        <v>262580</v>
      </c>
      <c r="G46" s="8">
        <f>I46+K46+M46</f>
        <v>68270.8</v>
      </c>
      <c r="H46" s="4">
        <v>0</v>
      </c>
      <c r="I46" s="8"/>
      <c r="J46" s="4">
        <f>노임!$D$10</f>
        <v>262580</v>
      </c>
      <c r="K46" s="8">
        <f>TRUNC(J46*D46,1)</f>
        <v>68270.8</v>
      </c>
      <c r="L46" s="4">
        <v>0</v>
      </c>
      <c r="M46" s="8"/>
      <c r="N46" s="12" t="s">
        <v>0</v>
      </c>
    </row>
    <row r="47" spans="1:14" ht="15" customHeight="1">
      <c r="A47" s="13"/>
      <c r="B47" s="14" t="s">
        <v>262</v>
      </c>
      <c r="C47" s="1" t="s">
        <v>0</v>
      </c>
      <c r="D47" s="3">
        <v>0.14000000000000001</v>
      </c>
      <c r="E47" s="2" t="s">
        <v>24</v>
      </c>
      <c r="F47" s="4">
        <f>H47+J47+L47</f>
        <v>172068</v>
      </c>
      <c r="G47" s="8">
        <f>I47+K47+M47</f>
        <v>24089.5</v>
      </c>
      <c r="H47" s="4">
        <v>0</v>
      </c>
      <c r="I47" s="8"/>
      <c r="J47" s="4">
        <f>노임!$D$3</f>
        <v>172068</v>
      </c>
      <c r="K47" s="8">
        <f>TRUNC(J47*D47,1)</f>
        <v>24089.5</v>
      </c>
      <c r="L47" s="4">
        <v>0</v>
      </c>
      <c r="M47" s="8"/>
      <c r="N47" s="12" t="s">
        <v>0</v>
      </c>
    </row>
    <row r="48" spans="1:14" ht="15" customHeight="1">
      <c r="A48" s="13"/>
      <c r="B48" s="14" t="s">
        <v>297</v>
      </c>
      <c r="C48" s="1" t="s">
        <v>220</v>
      </c>
      <c r="D48" s="3">
        <v>2</v>
      </c>
      <c r="E48" s="2" t="s">
        <v>221</v>
      </c>
      <c r="F48" s="4">
        <f>H48+J48+L48</f>
        <v>0</v>
      </c>
      <c r="G48" s="8">
        <f>I48+K48+M48</f>
        <v>1847.2</v>
      </c>
      <c r="H48" s="4"/>
      <c r="I48" s="8"/>
      <c r="J48" s="4"/>
      <c r="K48" s="8"/>
      <c r="L48" s="4"/>
      <c r="M48" s="8">
        <f>TRUNC((K46+K47)*D48%,1)</f>
        <v>1847.2</v>
      </c>
      <c r="N48" s="12"/>
    </row>
    <row r="49" spans="1:14" ht="15" customHeight="1">
      <c r="A49" s="16"/>
      <c r="B49" s="15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12"/>
    </row>
    <row r="50" spans="1:14" ht="15" customHeight="1">
      <c r="A50" s="64">
        <f>A45+1</f>
        <v>49</v>
      </c>
      <c r="B50" s="46" t="s">
        <v>296</v>
      </c>
      <c r="C50" s="47" t="s">
        <v>184</v>
      </c>
      <c r="D50" s="47">
        <v>1</v>
      </c>
      <c r="E50" s="48" t="s">
        <v>3</v>
      </c>
      <c r="F50" s="51"/>
      <c r="G50" s="50">
        <f>I50+K50+M50</f>
        <v>101318</v>
      </c>
      <c r="H50" s="51"/>
      <c r="I50" s="50">
        <f>TRUNC(I51+I52+I53,0)</f>
        <v>0</v>
      </c>
      <c r="J50" s="51"/>
      <c r="K50" s="50">
        <f>TRUNC(K51+K52+K53,0)</f>
        <v>99332</v>
      </c>
      <c r="L50" s="51"/>
      <c r="M50" s="50">
        <f>TRUNC(M51+M52+M53,0)</f>
        <v>1986</v>
      </c>
      <c r="N50" s="63" t="str">
        <f>N45</f>
        <v>토목6-2-3</v>
      </c>
    </row>
    <row r="51" spans="1:14" ht="15" customHeight="1">
      <c r="A51" s="13"/>
      <c r="B51" s="14" t="s">
        <v>261</v>
      </c>
      <c r="C51" s="1" t="s">
        <v>32</v>
      </c>
      <c r="D51" s="3">
        <v>0.28000000000000003</v>
      </c>
      <c r="E51" s="2" t="s">
        <v>24</v>
      </c>
      <c r="F51" s="4">
        <f>H51+J51+L51</f>
        <v>262580</v>
      </c>
      <c r="G51" s="8">
        <f>I51+K51+M51</f>
        <v>73522.399999999994</v>
      </c>
      <c r="H51" s="4">
        <v>0</v>
      </c>
      <c r="I51" s="8"/>
      <c r="J51" s="4">
        <f>노임!$D$10</f>
        <v>262580</v>
      </c>
      <c r="K51" s="8">
        <f>TRUNC(J51*D51,1)</f>
        <v>73522.399999999994</v>
      </c>
      <c r="L51" s="4">
        <v>0</v>
      </c>
      <c r="M51" s="8"/>
      <c r="N51" s="12" t="s">
        <v>0</v>
      </c>
    </row>
    <row r="52" spans="1:14" ht="15" customHeight="1">
      <c r="A52" s="13"/>
      <c r="B52" s="14" t="s">
        <v>262</v>
      </c>
      <c r="C52" s="1" t="s">
        <v>0</v>
      </c>
      <c r="D52" s="3">
        <v>0.15</v>
      </c>
      <c r="E52" s="2" t="s">
        <v>24</v>
      </c>
      <c r="F52" s="4">
        <f>H52+J52+L52</f>
        <v>172068</v>
      </c>
      <c r="G52" s="8">
        <f>I52+K52+M52</f>
        <v>25810.2</v>
      </c>
      <c r="H52" s="4">
        <v>0</v>
      </c>
      <c r="I52" s="8"/>
      <c r="J52" s="4">
        <f>노임!$D$3</f>
        <v>172068</v>
      </c>
      <c r="K52" s="8">
        <f>TRUNC(J52*D52,1)</f>
        <v>25810.2</v>
      </c>
      <c r="L52" s="4">
        <v>0</v>
      </c>
      <c r="M52" s="8"/>
      <c r="N52" s="12" t="s">
        <v>0</v>
      </c>
    </row>
    <row r="53" spans="1:14" ht="15" customHeight="1">
      <c r="A53" s="13"/>
      <c r="B53" s="14" t="s">
        <v>297</v>
      </c>
      <c r="C53" s="1" t="s">
        <v>220</v>
      </c>
      <c r="D53" s="3">
        <v>2</v>
      </c>
      <c r="E53" s="2" t="s">
        <v>221</v>
      </c>
      <c r="F53" s="4">
        <f>H53+J53+L53</f>
        <v>0</v>
      </c>
      <c r="G53" s="8">
        <f>I53+K53+M53</f>
        <v>1986.6</v>
      </c>
      <c r="H53" s="4"/>
      <c r="I53" s="8"/>
      <c r="J53" s="4"/>
      <c r="K53" s="8"/>
      <c r="L53" s="4"/>
      <c r="M53" s="8">
        <f>TRUNC((K51+K52)*D53%,1)</f>
        <v>1986.6</v>
      </c>
      <c r="N53" s="12"/>
    </row>
    <row r="54" spans="1:14" ht="15" customHeight="1">
      <c r="A54" s="16"/>
      <c r="B54" s="15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12"/>
    </row>
    <row r="55" spans="1:14" ht="15" customHeight="1">
      <c r="A55" s="64">
        <f>A50+1</f>
        <v>50</v>
      </c>
      <c r="B55" s="46" t="s">
        <v>296</v>
      </c>
      <c r="C55" s="47" t="s">
        <v>186</v>
      </c>
      <c r="D55" s="47">
        <v>1</v>
      </c>
      <c r="E55" s="48" t="s">
        <v>3</v>
      </c>
      <c r="F55" s="51"/>
      <c r="G55" s="50">
        <f>I55+K55+M55</f>
        <v>122653</v>
      </c>
      <c r="H55" s="51"/>
      <c r="I55" s="50">
        <f>TRUNC(I56+I57+I58,0)</f>
        <v>0</v>
      </c>
      <c r="J55" s="51"/>
      <c r="K55" s="50">
        <f>TRUNC(K56+K57+K58,0)</f>
        <v>120249</v>
      </c>
      <c r="L55" s="51"/>
      <c r="M55" s="50">
        <f>TRUNC(M56+M57+M58,0)</f>
        <v>2404</v>
      </c>
      <c r="N55" s="63" t="str">
        <f>N50</f>
        <v>토목6-2-3</v>
      </c>
    </row>
    <row r="56" spans="1:14" ht="15" customHeight="1">
      <c r="A56" s="13"/>
      <c r="B56" s="14" t="s">
        <v>261</v>
      </c>
      <c r="C56" s="1" t="s">
        <v>32</v>
      </c>
      <c r="D56" s="3">
        <v>0.34</v>
      </c>
      <c r="E56" s="2" t="s">
        <v>24</v>
      </c>
      <c r="F56" s="4">
        <f>H56+J56+L56</f>
        <v>262580</v>
      </c>
      <c r="G56" s="8">
        <f>I56+K56+M56</f>
        <v>89277.2</v>
      </c>
      <c r="H56" s="4">
        <v>0</v>
      </c>
      <c r="I56" s="8"/>
      <c r="J56" s="4">
        <f>노임!$D$10</f>
        <v>262580</v>
      </c>
      <c r="K56" s="8">
        <f>TRUNC(J56*D56,1)</f>
        <v>89277.2</v>
      </c>
      <c r="L56" s="4">
        <v>0</v>
      </c>
      <c r="M56" s="8"/>
      <c r="N56" s="12" t="s">
        <v>0</v>
      </c>
    </row>
    <row r="57" spans="1:14" ht="15" customHeight="1">
      <c r="A57" s="13"/>
      <c r="B57" s="14" t="s">
        <v>262</v>
      </c>
      <c r="C57" s="1" t="s">
        <v>0</v>
      </c>
      <c r="D57" s="3">
        <v>0.18</v>
      </c>
      <c r="E57" s="2" t="s">
        <v>24</v>
      </c>
      <c r="F57" s="4">
        <f>H57+J57+L57</f>
        <v>172068</v>
      </c>
      <c r="G57" s="8">
        <f>I57+K57+M57</f>
        <v>30972.2</v>
      </c>
      <c r="H57" s="4">
        <v>0</v>
      </c>
      <c r="I57" s="8"/>
      <c r="J57" s="4">
        <f>노임!$D$3</f>
        <v>172068</v>
      </c>
      <c r="K57" s="8">
        <f>TRUNC(J57*D57,1)</f>
        <v>30972.2</v>
      </c>
      <c r="L57" s="4">
        <v>0</v>
      </c>
      <c r="M57" s="8"/>
      <c r="N57" s="12" t="s">
        <v>0</v>
      </c>
    </row>
    <row r="58" spans="1:14" ht="15" customHeight="1">
      <c r="A58" s="13"/>
      <c r="B58" s="14" t="s">
        <v>297</v>
      </c>
      <c r="C58" s="1" t="s">
        <v>220</v>
      </c>
      <c r="D58" s="3">
        <v>2</v>
      </c>
      <c r="E58" s="2" t="s">
        <v>221</v>
      </c>
      <c r="F58" s="4">
        <f>H58+J58+L58</f>
        <v>0</v>
      </c>
      <c r="G58" s="8">
        <f>I58+K58+M58</f>
        <v>2404.9</v>
      </c>
      <c r="H58" s="4"/>
      <c r="I58" s="8"/>
      <c r="J58" s="4"/>
      <c r="K58" s="8"/>
      <c r="L58" s="4"/>
      <c r="M58" s="8">
        <f>TRUNC((K56+K57)*D58%,1)</f>
        <v>2404.9</v>
      </c>
      <c r="N58" s="12"/>
    </row>
    <row r="59" spans="1:14" ht="15" customHeight="1">
      <c r="A59" s="16"/>
      <c r="B59" s="15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12"/>
    </row>
    <row r="60" spans="1:14" ht="15" customHeight="1">
      <c r="A60" s="64">
        <f>A55+1</f>
        <v>51</v>
      </c>
      <c r="B60" s="46" t="s">
        <v>296</v>
      </c>
      <c r="C60" s="47" t="s">
        <v>187</v>
      </c>
      <c r="D60" s="47">
        <v>1</v>
      </c>
      <c r="E60" s="48" t="s">
        <v>3</v>
      </c>
      <c r="F60" s="51"/>
      <c r="G60" s="50">
        <f>I60+K60+M60</f>
        <v>141310</v>
      </c>
      <c r="H60" s="51"/>
      <c r="I60" s="50">
        <f>TRUNC(I61+I62+I63,0)</f>
        <v>0</v>
      </c>
      <c r="J60" s="51"/>
      <c r="K60" s="50">
        <f>TRUNC(K61+K62+K63,0)</f>
        <v>138540</v>
      </c>
      <c r="L60" s="51"/>
      <c r="M60" s="50">
        <f>TRUNC(M61+M62+M63,0)</f>
        <v>2770</v>
      </c>
      <c r="N60" s="63" t="str">
        <f>N55</f>
        <v>토목6-2-3</v>
      </c>
    </row>
    <row r="61" spans="1:14" ht="15" customHeight="1">
      <c r="A61" s="13"/>
      <c r="B61" s="14" t="s">
        <v>261</v>
      </c>
      <c r="C61" s="1" t="s">
        <v>32</v>
      </c>
      <c r="D61" s="3">
        <v>0.39</v>
      </c>
      <c r="E61" s="2" t="s">
        <v>24</v>
      </c>
      <c r="F61" s="4">
        <f>H61+J61+L61</f>
        <v>262580</v>
      </c>
      <c r="G61" s="8">
        <f>I61+K61+M61</f>
        <v>102406.2</v>
      </c>
      <c r="H61" s="4">
        <v>0</v>
      </c>
      <c r="I61" s="8"/>
      <c r="J61" s="4">
        <f>노임!$D$10</f>
        <v>262580</v>
      </c>
      <c r="K61" s="8">
        <f>TRUNC(J61*D61,1)</f>
        <v>102406.2</v>
      </c>
      <c r="L61" s="4">
        <v>0</v>
      </c>
      <c r="M61" s="8"/>
      <c r="N61" s="12" t="s">
        <v>0</v>
      </c>
    </row>
    <row r="62" spans="1:14" ht="15" customHeight="1">
      <c r="A62" s="13"/>
      <c r="B62" s="14" t="s">
        <v>262</v>
      </c>
      <c r="C62" s="1" t="s">
        <v>0</v>
      </c>
      <c r="D62" s="3">
        <v>0.21</v>
      </c>
      <c r="E62" s="2" t="s">
        <v>24</v>
      </c>
      <c r="F62" s="4">
        <f>H62+J62+L62</f>
        <v>172068</v>
      </c>
      <c r="G62" s="8">
        <f>I62+K62+M62</f>
        <v>36134.199999999997</v>
      </c>
      <c r="H62" s="4">
        <v>0</v>
      </c>
      <c r="I62" s="8"/>
      <c r="J62" s="4">
        <f>노임!$D$3</f>
        <v>172068</v>
      </c>
      <c r="K62" s="8">
        <f>TRUNC(J62*D62,1)</f>
        <v>36134.199999999997</v>
      </c>
      <c r="L62" s="4">
        <v>0</v>
      </c>
      <c r="M62" s="8"/>
      <c r="N62" s="12" t="s">
        <v>0</v>
      </c>
    </row>
    <row r="63" spans="1:14" ht="15" customHeight="1">
      <c r="A63" s="13"/>
      <c r="B63" s="14" t="s">
        <v>297</v>
      </c>
      <c r="C63" s="1" t="s">
        <v>220</v>
      </c>
      <c r="D63" s="3">
        <v>2</v>
      </c>
      <c r="E63" s="2" t="s">
        <v>221</v>
      </c>
      <c r="F63" s="4">
        <f>H63+J63+L63</f>
        <v>0</v>
      </c>
      <c r="G63" s="8">
        <f>I63+K63+M63</f>
        <v>2770.8</v>
      </c>
      <c r="H63" s="4"/>
      <c r="I63" s="8"/>
      <c r="J63" s="4"/>
      <c r="K63" s="8"/>
      <c r="L63" s="4"/>
      <c r="M63" s="8">
        <f>TRUNC((K61+K62)*D63%,1)</f>
        <v>2770.8</v>
      </c>
      <c r="N63" s="12"/>
    </row>
    <row r="64" spans="1:14" ht="15" customHeight="1">
      <c r="A64" s="16"/>
      <c r="B64" s="15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12"/>
    </row>
    <row r="65" spans="1:14" ht="15" customHeight="1">
      <c r="A65" s="64">
        <f>A60+1</f>
        <v>52</v>
      </c>
      <c r="B65" s="46" t="s">
        <v>296</v>
      </c>
      <c r="C65" s="47" t="s">
        <v>188</v>
      </c>
      <c r="D65" s="47">
        <v>1</v>
      </c>
      <c r="E65" s="48" t="s">
        <v>3</v>
      </c>
      <c r="F65" s="51"/>
      <c r="G65" s="50">
        <f>I65+K65+M65</f>
        <v>159967</v>
      </c>
      <c r="H65" s="51"/>
      <c r="I65" s="50">
        <f>TRUNC(I66+I67+I68,0)</f>
        <v>0</v>
      </c>
      <c r="J65" s="51"/>
      <c r="K65" s="50">
        <f>TRUNC(K66+K67+K68,0)</f>
        <v>156831</v>
      </c>
      <c r="L65" s="51"/>
      <c r="M65" s="50">
        <f>TRUNC(M66+M67+M68,0)</f>
        <v>3136</v>
      </c>
      <c r="N65" s="63" t="str">
        <f>N60</f>
        <v>토목6-2-3</v>
      </c>
    </row>
    <row r="66" spans="1:14" ht="15" customHeight="1">
      <c r="A66" s="13"/>
      <c r="B66" s="14" t="s">
        <v>261</v>
      </c>
      <c r="C66" s="1" t="s">
        <v>32</v>
      </c>
      <c r="D66" s="3">
        <v>0.44</v>
      </c>
      <c r="E66" s="2" t="s">
        <v>24</v>
      </c>
      <c r="F66" s="4">
        <f>H66+J66+L66</f>
        <v>262580</v>
      </c>
      <c r="G66" s="8">
        <f>I66+K66+M66</f>
        <v>115535.2</v>
      </c>
      <c r="H66" s="4">
        <v>0</v>
      </c>
      <c r="I66" s="8"/>
      <c r="J66" s="4">
        <f>노임!$D$10</f>
        <v>262580</v>
      </c>
      <c r="K66" s="8">
        <f>TRUNC(J66*D66,1)</f>
        <v>115535.2</v>
      </c>
      <c r="L66" s="4">
        <v>0</v>
      </c>
      <c r="M66" s="8"/>
      <c r="N66" s="12" t="s">
        <v>0</v>
      </c>
    </row>
    <row r="67" spans="1:14" ht="15" customHeight="1">
      <c r="A67" s="13"/>
      <c r="B67" s="14" t="s">
        <v>262</v>
      </c>
      <c r="C67" s="1" t="s">
        <v>0</v>
      </c>
      <c r="D67" s="3">
        <v>0.24</v>
      </c>
      <c r="E67" s="2" t="s">
        <v>24</v>
      </c>
      <c r="F67" s="4">
        <f>H67+J67+L67</f>
        <v>172068</v>
      </c>
      <c r="G67" s="8">
        <f>I67+K67+M67</f>
        <v>41296.300000000003</v>
      </c>
      <c r="H67" s="4">
        <v>0</v>
      </c>
      <c r="I67" s="8"/>
      <c r="J67" s="4">
        <f>노임!$D$3</f>
        <v>172068</v>
      </c>
      <c r="K67" s="8">
        <f>TRUNC(J67*D67,1)</f>
        <v>41296.300000000003</v>
      </c>
      <c r="L67" s="4">
        <v>0</v>
      </c>
      <c r="M67" s="8"/>
      <c r="N67" s="12" t="s">
        <v>0</v>
      </c>
    </row>
    <row r="68" spans="1:14" ht="15" customHeight="1">
      <c r="A68" s="13"/>
      <c r="B68" s="14" t="s">
        <v>297</v>
      </c>
      <c r="C68" s="1" t="s">
        <v>220</v>
      </c>
      <c r="D68" s="3">
        <v>2</v>
      </c>
      <c r="E68" s="2" t="s">
        <v>221</v>
      </c>
      <c r="F68" s="4">
        <f>H68+J68+L68</f>
        <v>0</v>
      </c>
      <c r="G68" s="8">
        <f>I68+K68+M68</f>
        <v>3136.6</v>
      </c>
      <c r="H68" s="4"/>
      <c r="I68" s="8"/>
      <c r="J68" s="4"/>
      <c r="K68" s="8"/>
      <c r="L68" s="4"/>
      <c r="M68" s="8">
        <f>TRUNC((K66+K67)*D68%,1)</f>
        <v>3136.6</v>
      </c>
      <c r="N68" s="12"/>
    </row>
    <row r="69" spans="1:14" ht="15" customHeight="1">
      <c r="A69" s="16"/>
      <c r="B69" s="15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12"/>
    </row>
    <row r="70" spans="1:14" ht="15" customHeight="1">
      <c r="A70" s="64">
        <f>A65+1</f>
        <v>53</v>
      </c>
      <c r="B70" s="46" t="s">
        <v>296</v>
      </c>
      <c r="C70" s="47" t="s">
        <v>171</v>
      </c>
      <c r="D70" s="47">
        <v>1</v>
      </c>
      <c r="E70" s="48" t="s">
        <v>3</v>
      </c>
      <c r="F70" s="51"/>
      <c r="G70" s="50">
        <f>I70+K70+M70</f>
        <v>176869</v>
      </c>
      <c r="H70" s="51"/>
      <c r="I70" s="50">
        <f>TRUNC(I71+I72+I73,0)</f>
        <v>0</v>
      </c>
      <c r="J70" s="51"/>
      <c r="K70" s="50">
        <f>TRUNC(K71+K72+K73,0)</f>
        <v>173401</v>
      </c>
      <c r="L70" s="51"/>
      <c r="M70" s="50">
        <f>TRUNC(M71+M72+M73,0)</f>
        <v>3468</v>
      </c>
      <c r="N70" s="63" t="str">
        <f>N65</f>
        <v>토목6-2-3</v>
      </c>
    </row>
    <row r="71" spans="1:14" ht="15" customHeight="1">
      <c r="A71" s="13"/>
      <c r="B71" s="14" t="s">
        <v>261</v>
      </c>
      <c r="C71" s="1" t="s">
        <v>32</v>
      </c>
      <c r="D71" s="3">
        <v>0.49</v>
      </c>
      <c r="E71" s="2" t="s">
        <v>24</v>
      </c>
      <c r="F71" s="4">
        <f>H71+J71+L71</f>
        <v>262580</v>
      </c>
      <c r="G71" s="8">
        <f>I71+K71+M71</f>
        <v>128664.2</v>
      </c>
      <c r="H71" s="4">
        <v>0</v>
      </c>
      <c r="I71" s="8"/>
      <c r="J71" s="4">
        <f>노임!$D$10</f>
        <v>262580</v>
      </c>
      <c r="K71" s="8">
        <f>TRUNC(J71*D71,1)</f>
        <v>128664.2</v>
      </c>
      <c r="L71" s="4">
        <v>0</v>
      </c>
      <c r="M71" s="8"/>
      <c r="N71" s="12" t="s">
        <v>0</v>
      </c>
    </row>
    <row r="72" spans="1:14" ht="15" customHeight="1">
      <c r="A72" s="13"/>
      <c r="B72" s="14" t="s">
        <v>262</v>
      </c>
      <c r="C72" s="1" t="s">
        <v>0</v>
      </c>
      <c r="D72" s="3">
        <v>0.26</v>
      </c>
      <c r="E72" s="2" t="s">
        <v>24</v>
      </c>
      <c r="F72" s="4">
        <f>H72+J72+L72</f>
        <v>172068</v>
      </c>
      <c r="G72" s="8">
        <f>I72+K72+M72</f>
        <v>44737.599999999999</v>
      </c>
      <c r="H72" s="4">
        <v>0</v>
      </c>
      <c r="I72" s="8"/>
      <c r="J72" s="4">
        <f>노임!$D$3</f>
        <v>172068</v>
      </c>
      <c r="K72" s="8">
        <f>TRUNC(J72*D72,1)</f>
        <v>44737.599999999999</v>
      </c>
      <c r="L72" s="4">
        <v>0</v>
      </c>
      <c r="M72" s="8"/>
      <c r="N72" s="12" t="s">
        <v>0</v>
      </c>
    </row>
    <row r="73" spans="1:14" ht="15" customHeight="1">
      <c r="A73" s="13"/>
      <c r="B73" s="14" t="s">
        <v>297</v>
      </c>
      <c r="C73" s="1" t="s">
        <v>220</v>
      </c>
      <c r="D73" s="3">
        <v>2</v>
      </c>
      <c r="E73" s="2" t="s">
        <v>221</v>
      </c>
      <c r="F73" s="4">
        <f>H73+J73+L73</f>
        <v>0</v>
      </c>
      <c r="G73" s="8">
        <f>I73+K73+M73</f>
        <v>3468</v>
      </c>
      <c r="H73" s="4"/>
      <c r="I73" s="8"/>
      <c r="J73" s="4"/>
      <c r="K73" s="8"/>
      <c r="L73" s="4"/>
      <c r="M73" s="8">
        <f>TRUNC((K71+K72)*D73%,1)</f>
        <v>3468</v>
      </c>
      <c r="N73" s="12"/>
    </row>
    <row r="74" spans="1:14" ht="15" customHeight="1">
      <c r="A74" s="16"/>
      <c r="B74" s="15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12"/>
    </row>
    <row r="75" spans="1:14" ht="15" customHeight="1">
      <c r="A75" s="64">
        <f>A70+1</f>
        <v>54</v>
      </c>
      <c r="B75" s="46" t="s">
        <v>296</v>
      </c>
      <c r="C75" s="47" t="s">
        <v>189</v>
      </c>
      <c r="D75" s="47">
        <v>1</v>
      </c>
      <c r="E75" s="48" t="s">
        <v>3</v>
      </c>
      <c r="F75" s="51"/>
      <c r="G75" s="50">
        <f>I75+K75+M75</f>
        <v>195525</v>
      </c>
      <c r="H75" s="51"/>
      <c r="I75" s="50">
        <f>TRUNC(I76+I77+I78,0)</f>
        <v>0</v>
      </c>
      <c r="J75" s="51"/>
      <c r="K75" s="50">
        <f>TRUNC(K76+K77+K78,0)</f>
        <v>191692</v>
      </c>
      <c r="L75" s="51"/>
      <c r="M75" s="50">
        <f>TRUNC(M76+M77+M78,0)</f>
        <v>3833</v>
      </c>
      <c r="N75" s="63" t="str">
        <f>N70</f>
        <v>토목6-2-3</v>
      </c>
    </row>
    <row r="76" spans="1:14" ht="15" customHeight="1">
      <c r="A76" s="13"/>
      <c r="B76" s="14" t="s">
        <v>261</v>
      </c>
      <c r="C76" s="1" t="s">
        <v>32</v>
      </c>
      <c r="D76" s="3">
        <v>0.54</v>
      </c>
      <c r="E76" s="2" t="s">
        <v>24</v>
      </c>
      <c r="F76" s="4">
        <f>H76+J76+L76</f>
        <v>262580</v>
      </c>
      <c r="G76" s="8">
        <f>I76+K76+M76</f>
        <v>141793.20000000001</v>
      </c>
      <c r="H76" s="4">
        <v>0</v>
      </c>
      <c r="I76" s="8"/>
      <c r="J76" s="4">
        <f>노임!$D$10</f>
        <v>262580</v>
      </c>
      <c r="K76" s="8">
        <f>TRUNC(J76*D76,1)</f>
        <v>141793.20000000001</v>
      </c>
      <c r="L76" s="4">
        <v>0</v>
      </c>
      <c r="M76" s="8"/>
      <c r="N76" s="12" t="s">
        <v>0</v>
      </c>
    </row>
    <row r="77" spans="1:14" ht="15" customHeight="1">
      <c r="A77" s="13"/>
      <c r="B77" s="14" t="s">
        <v>262</v>
      </c>
      <c r="C77" s="1" t="s">
        <v>0</v>
      </c>
      <c r="D77" s="3">
        <v>0.28999999999999998</v>
      </c>
      <c r="E77" s="2" t="s">
        <v>24</v>
      </c>
      <c r="F77" s="4">
        <f>H77+J77+L77</f>
        <v>172068</v>
      </c>
      <c r="G77" s="8">
        <f>I77+K77+M77</f>
        <v>49899.7</v>
      </c>
      <c r="H77" s="4">
        <v>0</v>
      </c>
      <c r="I77" s="8"/>
      <c r="J77" s="4">
        <f>노임!$D$3</f>
        <v>172068</v>
      </c>
      <c r="K77" s="8">
        <f>TRUNC(J77*D77,1)</f>
        <v>49899.7</v>
      </c>
      <c r="L77" s="4">
        <v>0</v>
      </c>
      <c r="M77" s="8"/>
      <c r="N77" s="12" t="s">
        <v>0</v>
      </c>
    </row>
    <row r="78" spans="1:14" ht="15" customHeight="1">
      <c r="A78" s="13"/>
      <c r="B78" s="14" t="s">
        <v>297</v>
      </c>
      <c r="C78" s="1" t="s">
        <v>220</v>
      </c>
      <c r="D78" s="3">
        <v>2</v>
      </c>
      <c r="E78" s="2" t="s">
        <v>221</v>
      </c>
      <c r="F78" s="4">
        <f>H78+J78+L78</f>
        <v>0</v>
      </c>
      <c r="G78" s="8">
        <f>I78+K78+M78</f>
        <v>3833.8</v>
      </c>
      <c r="H78" s="4"/>
      <c r="I78" s="8"/>
      <c r="J78" s="4"/>
      <c r="K78" s="8"/>
      <c r="L78" s="4"/>
      <c r="M78" s="8">
        <f>TRUNC((K76+K77)*D78%,1)</f>
        <v>3833.8</v>
      </c>
      <c r="N78" s="12"/>
    </row>
    <row r="79" spans="1:14" ht="15" customHeight="1">
      <c r="A79" s="16"/>
      <c r="B79" s="15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12"/>
    </row>
    <row r="80" spans="1:14" ht="15" customHeight="1">
      <c r="A80" s="64">
        <f>A75+1</f>
        <v>55</v>
      </c>
      <c r="B80" s="46" t="s">
        <v>296</v>
      </c>
      <c r="C80" s="47" t="s">
        <v>190</v>
      </c>
      <c r="D80" s="47">
        <v>1</v>
      </c>
      <c r="E80" s="48" t="s">
        <v>3</v>
      </c>
      <c r="F80" s="51"/>
      <c r="G80" s="50">
        <f>I80+K80+M80</f>
        <v>216861</v>
      </c>
      <c r="H80" s="51"/>
      <c r="I80" s="50">
        <f>TRUNC(I81+I82+I83,0)</f>
        <v>0</v>
      </c>
      <c r="J80" s="51"/>
      <c r="K80" s="50">
        <f>TRUNC(K81+K82+K83,0)</f>
        <v>212609</v>
      </c>
      <c r="L80" s="51"/>
      <c r="M80" s="50">
        <f>TRUNC(M81+M82+M83,0)</f>
        <v>4252</v>
      </c>
      <c r="N80" s="63" t="str">
        <f>N75</f>
        <v>토목6-2-3</v>
      </c>
    </row>
    <row r="81" spans="1:14" ht="15" customHeight="1">
      <c r="A81" s="13"/>
      <c r="B81" s="14" t="s">
        <v>261</v>
      </c>
      <c r="C81" s="1" t="s">
        <v>32</v>
      </c>
      <c r="D81" s="3">
        <v>0.6</v>
      </c>
      <c r="E81" s="2" t="s">
        <v>24</v>
      </c>
      <c r="F81" s="4">
        <f>H81+J81+L81</f>
        <v>262580</v>
      </c>
      <c r="G81" s="8">
        <f>I81+K81+M81</f>
        <v>157548</v>
      </c>
      <c r="H81" s="4">
        <v>0</v>
      </c>
      <c r="I81" s="8"/>
      <c r="J81" s="4">
        <f>노임!$D$10</f>
        <v>262580</v>
      </c>
      <c r="K81" s="8">
        <f>TRUNC(J81*D81,1)</f>
        <v>157548</v>
      </c>
      <c r="L81" s="4">
        <v>0</v>
      </c>
      <c r="M81" s="8"/>
      <c r="N81" s="12" t="s">
        <v>0</v>
      </c>
    </row>
    <row r="82" spans="1:14" ht="15" customHeight="1">
      <c r="A82" s="13"/>
      <c r="B82" s="14" t="s">
        <v>262</v>
      </c>
      <c r="C82" s="1" t="s">
        <v>0</v>
      </c>
      <c r="D82" s="3">
        <v>0.32</v>
      </c>
      <c r="E82" s="2" t="s">
        <v>24</v>
      </c>
      <c r="F82" s="4">
        <f>H82+J82+L82</f>
        <v>172068</v>
      </c>
      <c r="G82" s="8">
        <f>I82+K82+M82</f>
        <v>55061.7</v>
      </c>
      <c r="H82" s="4">
        <v>0</v>
      </c>
      <c r="I82" s="8"/>
      <c r="J82" s="4">
        <f>노임!$D$3</f>
        <v>172068</v>
      </c>
      <c r="K82" s="8">
        <f>TRUNC(J82*D82,1)</f>
        <v>55061.7</v>
      </c>
      <c r="L82" s="4">
        <v>0</v>
      </c>
      <c r="M82" s="8"/>
      <c r="N82" s="12" t="s">
        <v>0</v>
      </c>
    </row>
    <row r="83" spans="1:14" ht="15" customHeight="1">
      <c r="A83" s="13"/>
      <c r="B83" s="14" t="s">
        <v>297</v>
      </c>
      <c r="C83" s="1" t="s">
        <v>220</v>
      </c>
      <c r="D83" s="3">
        <v>2</v>
      </c>
      <c r="E83" s="2" t="s">
        <v>221</v>
      </c>
      <c r="F83" s="4">
        <f>H83+J83+L83</f>
        <v>0</v>
      </c>
      <c r="G83" s="8">
        <f>I83+K83+M83</f>
        <v>4252.1000000000004</v>
      </c>
      <c r="H83" s="4"/>
      <c r="I83" s="8"/>
      <c r="J83" s="4"/>
      <c r="K83" s="8"/>
      <c r="L83" s="4"/>
      <c r="M83" s="8">
        <f>TRUNC((K81+K82)*D83%,1)</f>
        <v>4252.1000000000004</v>
      </c>
      <c r="N83" s="12"/>
    </row>
    <row r="84" spans="1:14" ht="15" customHeight="1">
      <c r="A84" s="16"/>
      <c r="B84" s="15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12"/>
    </row>
    <row r="85" spans="1:14" ht="15" customHeight="1">
      <c r="A85" s="64">
        <f>A80+1</f>
        <v>56</v>
      </c>
      <c r="B85" s="46" t="s">
        <v>296</v>
      </c>
      <c r="C85" s="47" t="s">
        <v>191</v>
      </c>
      <c r="D85" s="47">
        <v>1</v>
      </c>
      <c r="E85" s="48" t="s">
        <v>3</v>
      </c>
      <c r="F85" s="51"/>
      <c r="G85" s="50">
        <f>I85+K85+M85</f>
        <v>235518</v>
      </c>
      <c r="H85" s="51"/>
      <c r="I85" s="50">
        <f>TRUNC(I86+I87+I88,0)</f>
        <v>0</v>
      </c>
      <c r="J85" s="51"/>
      <c r="K85" s="50">
        <f>TRUNC(K86+K87+K88,0)</f>
        <v>230900</v>
      </c>
      <c r="L85" s="51"/>
      <c r="M85" s="50">
        <f>TRUNC(M86+M87+M88,0)</f>
        <v>4618</v>
      </c>
      <c r="N85" s="63" t="str">
        <f>N80</f>
        <v>토목6-2-3</v>
      </c>
    </row>
    <row r="86" spans="1:14" ht="15" customHeight="1">
      <c r="A86" s="13"/>
      <c r="B86" s="14" t="s">
        <v>261</v>
      </c>
      <c r="C86" s="1" t="s">
        <v>32</v>
      </c>
      <c r="D86" s="3">
        <v>0.65</v>
      </c>
      <c r="E86" s="2" t="s">
        <v>24</v>
      </c>
      <c r="F86" s="4">
        <f>H86+J86+L86</f>
        <v>262580</v>
      </c>
      <c r="G86" s="8">
        <f>I86+K86+M86</f>
        <v>170677</v>
      </c>
      <c r="H86" s="4">
        <v>0</v>
      </c>
      <c r="I86" s="8"/>
      <c r="J86" s="4">
        <f>노임!$D$10</f>
        <v>262580</v>
      </c>
      <c r="K86" s="8">
        <f>TRUNC(J86*D86,1)</f>
        <v>170677</v>
      </c>
      <c r="L86" s="4">
        <v>0</v>
      </c>
      <c r="M86" s="8"/>
      <c r="N86" s="12" t="s">
        <v>0</v>
      </c>
    </row>
    <row r="87" spans="1:14" ht="15" customHeight="1">
      <c r="A87" s="13"/>
      <c r="B87" s="14" t="s">
        <v>262</v>
      </c>
      <c r="C87" s="1" t="s">
        <v>0</v>
      </c>
      <c r="D87" s="3">
        <v>0.35</v>
      </c>
      <c r="E87" s="2" t="s">
        <v>24</v>
      </c>
      <c r="F87" s="4">
        <f>H87+J87+L87</f>
        <v>172068</v>
      </c>
      <c r="G87" s="8">
        <f>I87+K87+M87</f>
        <v>60223.8</v>
      </c>
      <c r="H87" s="4">
        <v>0</v>
      </c>
      <c r="I87" s="8"/>
      <c r="J87" s="4">
        <f>노임!$D$3</f>
        <v>172068</v>
      </c>
      <c r="K87" s="8">
        <f>TRUNC(J87*D87,1)</f>
        <v>60223.8</v>
      </c>
      <c r="L87" s="4">
        <v>0</v>
      </c>
      <c r="M87" s="8"/>
      <c r="N87" s="12" t="s">
        <v>0</v>
      </c>
    </row>
    <row r="88" spans="1:14" ht="15" customHeight="1">
      <c r="A88" s="13"/>
      <c r="B88" s="14" t="s">
        <v>297</v>
      </c>
      <c r="C88" s="1" t="s">
        <v>220</v>
      </c>
      <c r="D88" s="3">
        <v>2</v>
      </c>
      <c r="E88" s="2" t="s">
        <v>221</v>
      </c>
      <c r="F88" s="4">
        <f>H88+J88+L88</f>
        <v>0</v>
      </c>
      <c r="G88" s="8">
        <f>I88+K88+M88</f>
        <v>4618</v>
      </c>
      <c r="H88" s="4"/>
      <c r="I88" s="8"/>
      <c r="J88" s="4"/>
      <c r="K88" s="8"/>
      <c r="L88" s="4"/>
      <c r="M88" s="8">
        <f>TRUNC((K86+K87)*D88%,1)</f>
        <v>4618</v>
      </c>
      <c r="N88" s="12"/>
    </row>
    <row r="89" spans="1:14" ht="15" customHeight="1">
      <c r="A89" s="16"/>
      <c r="B89" s="15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12"/>
    </row>
    <row r="90" spans="1:14" ht="15" customHeight="1">
      <c r="A90" s="64">
        <f>A85+1</f>
        <v>57</v>
      </c>
      <c r="B90" s="46" t="s">
        <v>296</v>
      </c>
      <c r="C90" s="47" t="s">
        <v>223</v>
      </c>
      <c r="D90" s="47">
        <v>1</v>
      </c>
      <c r="E90" s="48" t="s">
        <v>3</v>
      </c>
      <c r="F90" s="51"/>
      <c r="G90" s="50">
        <f>I90+K90+M90</f>
        <v>0</v>
      </c>
      <c r="H90" s="51"/>
      <c r="I90" s="50">
        <f>TRUNC(I91+I92+I93+I94,0)</f>
        <v>0</v>
      </c>
      <c r="J90" s="51"/>
      <c r="K90" s="50">
        <f>TRUNC(K91+K92+K93+K94,0)</f>
        <v>0</v>
      </c>
      <c r="L90" s="51"/>
      <c r="M90" s="50">
        <f>TRUNC(M91+M92+M93+M94,0)</f>
        <v>0</v>
      </c>
      <c r="N90" s="63" t="s">
        <v>259</v>
      </c>
    </row>
    <row r="91" spans="1:14" ht="15" customHeight="1">
      <c r="A91" s="13"/>
      <c r="B91" s="14" t="s">
        <v>261</v>
      </c>
      <c r="C91" s="1" t="s">
        <v>32</v>
      </c>
      <c r="D91" s="3"/>
      <c r="E91" s="2" t="s">
        <v>24</v>
      </c>
      <c r="F91" s="4">
        <f>H91+J91+L91</f>
        <v>262580</v>
      </c>
      <c r="G91" s="8">
        <f>I91+K91+M91</f>
        <v>0</v>
      </c>
      <c r="H91" s="4">
        <v>0</v>
      </c>
      <c r="I91" s="8"/>
      <c r="J91" s="4">
        <f>노임!$D$10</f>
        <v>262580</v>
      </c>
      <c r="K91" s="8">
        <f>TRUNC(J91*D91,1)</f>
        <v>0</v>
      </c>
      <c r="L91" s="4">
        <v>0</v>
      </c>
      <c r="M91" s="8"/>
      <c r="N91" s="12" t="s">
        <v>0</v>
      </c>
    </row>
    <row r="92" spans="1:14" ht="15" customHeight="1">
      <c r="A92" s="13"/>
      <c r="B92" s="14" t="s">
        <v>262</v>
      </c>
      <c r="C92" s="1" t="s">
        <v>0</v>
      </c>
      <c r="D92" s="3"/>
      <c r="E92" s="2" t="s">
        <v>24</v>
      </c>
      <c r="F92" s="4">
        <f>H92+J92+L92</f>
        <v>172068</v>
      </c>
      <c r="G92" s="8">
        <f>I92+K92+M92</f>
        <v>0</v>
      </c>
      <c r="H92" s="4">
        <v>0</v>
      </c>
      <c r="I92" s="8"/>
      <c r="J92" s="4">
        <f>노임!$D$3</f>
        <v>172068</v>
      </c>
      <c r="K92" s="8">
        <f>TRUNC(J92*D92,1)</f>
        <v>0</v>
      </c>
      <c r="L92" s="4">
        <v>0</v>
      </c>
      <c r="M92" s="8"/>
      <c r="N92" s="12" t="s">
        <v>0</v>
      </c>
    </row>
    <row r="93" spans="1:14" ht="15" customHeight="1">
      <c r="A93" s="13"/>
      <c r="B93" s="14" t="s">
        <v>298</v>
      </c>
      <c r="C93" s="1" t="s">
        <v>220</v>
      </c>
      <c r="D93" s="3">
        <v>30</v>
      </c>
      <c r="E93" s="2" t="s">
        <v>221</v>
      </c>
      <c r="F93" s="4"/>
      <c r="G93" s="8"/>
      <c r="H93" s="4"/>
      <c r="I93" s="8"/>
      <c r="J93" s="4"/>
      <c r="K93" s="8">
        <f>TRUNC((K91+K92)*D93%,1)</f>
        <v>0</v>
      </c>
      <c r="L93" s="4"/>
      <c r="M93" s="8"/>
      <c r="N93" s="12"/>
    </row>
    <row r="94" spans="1:14" ht="15" customHeight="1">
      <c r="A94" s="13"/>
      <c r="B94" s="14" t="s">
        <v>297</v>
      </c>
      <c r="C94" s="1" t="s">
        <v>220</v>
      </c>
      <c r="D94" s="3">
        <v>2</v>
      </c>
      <c r="E94" s="2" t="s">
        <v>221</v>
      </c>
      <c r="F94" s="4">
        <f>H94+J94+L94</f>
        <v>0</v>
      </c>
      <c r="G94" s="8">
        <f>I94+K94+M94</f>
        <v>0</v>
      </c>
      <c r="H94" s="4"/>
      <c r="I94" s="8"/>
      <c r="J94" s="4"/>
      <c r="K94" s="8"/>
      <c r="L94" s="4"/>
      <c r="M94" s="8">
        <f>TRUNC(K90*D94%,1)</f>
        <v>0</v>
      </c>
      <c r="N94" s="12"/>
    </row>
    <row r="95" spans="1:14" ht="15" customHeight="1">
      <c r="A95" s="16"/>
      <c r="B95" s="14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12"/>
    </row>
    <row r="96" spans="1:14" ht="15" customHeight="1">
      <c r="A96" s="64">
        <f>A90+1</f>
        <v>58</v>
      </c>
      <c r="B96" s="46" t="s">
        <v>296</v>
      </c>
      <c r="C96" s="47" t="s">
        <v>299</v>
      </c>
      <c r="D96" s="47">
        <v>1</v>
      </c>
      <c r="E96" s="48" t="s">
        <v>3</v>
      </c>
      <c r="F96" s="51"/>
      <c r="G96" s="50">
        <f>I96+K96+M96</f>
        <v>36980</v>
      </c>
      <c r="H96" s="51"/>
      <c r="I96" s="50">
        <f>TRUNC(I97+I98+I99+I100,0)</f>
        <v>0</v>
      </c>
      <c r="J96" s="51"/>
      <c r="K96" s="50">
        <f>TRUNC(K97+K98+K99+K100,0)</f>
        <v>36255</v>
      </c>
      <c r="L96" s="51"/>
      <c r="M96" s="50">
        <f>TRUNC(M97+M98+M99+M100,0)</f>
        <v>725</v>
      </c>
      <c r="N96" s="63" t="str">
        <f>N85</f>
        <v>토목6-2-3</v>
      </c>
    </row>
    <row r="97" spans="1:14" ht="15" customHeight="1">
      <c r="A97" s="13"/>
      <c r="B97" s="14" t="s">
        <v>261</v>
      </c>
      <c r="C97" s="1" t="s">
        <v>32</v>
      </c>
      <c r="D97" s="3">
        <f>D11</f>
        <v>0.08</v>
      </c>
      <c r="E97" s="2" t="s">
        <v>24</v>
      </c>
      <c r="F97" s="4">
        <f>H97+J97+L97</f>
        <v>262580</v>
      </c>
      <c r="G97" s="8">
        <f>I97+K97+M97</f>
        <v>21006.400000000001</v>
      </c>
      <c r="H97" s="4">
        <v>0</v>
      </c>
      <c r="I97" s="8"/>
      <c r="J97" s="4">
        <f>노임!$D$10</f>
        <v>262580</v>
      </c>
      <c r="K97" s="8">
        <f>TRUNC(J97*D97,1)</f>
        <v>21006.400000000001</v>
      </c>
      <c r="L97" s="4">
        <v>0</v>
      </c>
      <c r="M97" s="8"/>
      <c r="N97" s="12" t="s">
        <v>0</v>
      </c>
    </row>
    <row r="98" spans="1:14" ht="15" customHeight="1">
      <c r="A98" s="13"/>
      <c r="B98" s="14" t="s">
        <v>262</v>
      </c>
      <c r="C98" s="1" t="s">
        <v>0</v>
      </c>
      <c r="D98" s="3">
        <f>D12</f>
        <v>0.04</v>
      </c>
      <c r="E98" s="2" t="s">
        <v>24</v>
      </c>
      <c r="F98" s="4">
        <f>H98+J98+L98</f>
        <v>172068</v>
      </c>
      <c r="G98" s="8">
        <f>I98+K98+M98</f>
        <v>6882.7</v>
      </c>
      <c r="H98" s="4">
        <v>0</v>
      </c>
      <c r="I98" s="8"/>
      <c r="J98" s="4">
        <f>노임!$D$3</f>
        <v>172068</v>
      </c>
      <c r="K98" s="8">
        <f>TRUNC(J98*D98,1)</f>
        <v>6882.7</v>
      </c>
      <c r="L98" s="4">
        <v>0</v>
      </c>
      <c r="M98" s="8"/>
      <c r="N98" s="12" t="s">
        <v>0</v>
      </c>
    </row>
    <row r="99" spans="1:14" ht="15" customHeight="1">
      <c r="A99" s="13"/>
      <c r="B99" s="14" t="s">
        <v>298</v>
      </c>
      <c r="C99" s="1" t="s">
        <v>219</v>
      </c>
      <c r="D99" s="3">
        <v>30</v>
      </c>
      <c r="E99" s="2" t="s">
        <v>28</v>
      </c>
      <c r="F99" s="4"/>
      <c r="G99" s="8"/>
      <c r="H99" s="4"/>
      <c r="I99" s="8"/>
      <c r="J99" s="4"/>
      <c r="K99" s="8">
        <f>TRUNC((K97+K98)*D99%,1)</f>
        <v>8366.7000000000007</v>
      </c>
      <c r="L99" s="4"/>
      <c r="M99" s="8"/>
      <c r="N99" s="12"/>
    </row>
    <row r="100" spans="1:14" ht="15" customHeight="1">
      <c r="A100" s="13"/>
      <c r="B100" s="14" t="s">
        <v>297</v>
      </c>
      <c r="C100" s="1" t="s">
        <v>220</v>
      </c>
      <c r="D100" s="3">
        <v>2</v>
      </c>
      <c r="E100" s="2" t="s">
        <v>221</v>
      </c>
      <c r="F100" s="4">
        <f>H100+J100+L100</f>
        <v>0</v>
      </c>
      <c r="G100" s="8">
        <f>I100+K100+M100</f>
        <v>725.1</v>
      </c>
      <c r="H100" s="4"/>
      <c r="I100" s="8"/>
      <c r="J100" s="4"/>
      <c r="K100" s="8"/>
      <c r="L100" s="4"/>
      <c r="M100" s="8">
        <f>TRUNC(K96*D100%,1)</f>
        <v>725.1</v>
      </c>
      <c r="N100" s="12"/>
    </row>
    <row r="101" spans="1:14" ht="15" customHeight="1">
      <c r="A101" s="16"/>
      <c r="B101" s="15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12"/>
    </row>
    <row r="102" spans="1:14" ht="15" customHeight="1">
      <c r="A102" s="64">
        <f>A96+1</f>
        <v>59</v>
      </c>
      <c r="B102" s="46" t="s">
        <v>296</v>
      </c>
      <c r="C102" s="47" t="s">
        <v>224</v>
      </c>
      <c r="D102" s="47">
        <v>1</v>
      </c>
      <c r="E102" s="48" t="s">
        <v>3</v>
      </c>
      <c r="F102" s="51"/>
      <c r="G102" s="50">
        <f>I102+K102+M102</f>
        <v>46225</v>
      </c>
      <c r="H102" s="51"/>
      <c r="I102" s="50">
        <f>TRUNC(I103+I104+I105+I106,0)</f>
        <v>0</v>
      </c>
      <c r="J102" s="51"/>
      <c r="K102" s="50">
        <f>TRUNC(K103+K104+K105+K106,0)</f>
        <v>45319</v>
      </c>
      <c r="L102" s="51"/>
      <c r="M102" s="50">
        <f>TRUNC(M103+M104+M105+M106,0)</f>
        <v>906</v>
      </c>
      <c r="N102" s="63" t="str">
        <f>N96</f>
        <v>토목6-2-3</v>
      </c>
    </row>
    <row r="103" spans="1:14" ht="15" customHeight="1">
      <c r="A103" s="13"/>
      <c r="B103" s="14" t="s">
        <v>261</v>
      </c>
      <c r="C103" s="1" t="s">
        <v>32</v>
      </c>
      <c r="D103" s="3">
        <f>D16</f>
        <v>0.1</v>
      </c>
      <c r="E103" s="2" t="s">
        <v>24</v>
      </c>
      <c r="F103" s="4">
        <f>H103+J103+L103</f>
        <v>262580</v>
      </c>
      <c r="G103" s="8">
        <f>I103+K103+M103</f>
        <v>26258</v>
      </c>
      <c r="H103" s="4">
        <v>0</v>
      </c>
      <c r="I103" s="8"/>
      <c r="J103" s="4">
        <f>노임!$D$10</f>
        <v>262580</v>
      </c>
      <c r="K103" s="8">
        <f>TRUNC(J103*D103,1)</f>
        <v>26258</v>
      </c>
      <c r="L103" s="4">
        <v>0</v>
      </c>
      <c r="M103" s="8"/>
      <c r="N103" s="12" t="s">
        <v>0</v>
      </c>
    </row>
    <row r="104" spans="1:14" ht="15" customHeight="1">
      <c r="A104" s="13"/>
      <c r="B104" s="14" t="s">
        <v>262</v>
      </c>
      <c r="C104" s="1" t="s">
        <v>0</v>
      </c>
      <c r="D104" s="3">
        <f>D17</f>
        <v>0.05</v>
      </c>
      <c r="E104" s="2" t="s">
        <v>24</v>
      </c>
      <c r="F104" s="4">
        <f>H104+J104+L104</f>
        <v>172068</v>
      </c>
      <c r="G104" s="8">
        <f>I104+K104+M104</f>
        <v>8603.4</v>
      </c>
      <c r="H104" s="4">
        <v>0</v>
      </c>
      <c r="I104" s="8"/>
      <c r="J104" s="4">
        <f>노임!$D$3</f>
        <v>172068</v>
      </c>
      <c r="K104" s="8">
        <f>TRUNC(J104*D104,1)</f>
        <v>8603.4</v>
      </c>
      <c r="L104" s="4">
        <v>0</v>
      </c>
      <c r="M104" s="8"/>
      <c r="N104" s="12" t="s">
        <v>0</v>
      </c>
    </row>
    <row r="105" spans="1:14" ht="15" customHeight="1">
      <c r="A105" s="13"/>
      <c r="B105" s="14" t="s">
        <v>298</v>
      </c>
      <c r="C105" s="1" t="s">
        <v>219</v>
      </c>
      <c r="D105" s="3">
        <v>30</v>
      </c>
      <c r="E105" s="2" t="s">
        <v>28</v>
      </c>
      <c r="F105" s="4"/>
      <c r="G105" s="8"/>
      <c r="H105" s="4"/>
      <c r="I105" s="8"/>
      <c r="J105" s="4"/>
      <c r="K105" s="8">
        <f>TRUNC((K103+K104)*D105%,1)</f>
        <v>10458.4</v>
      </c>
      <c r="L105" s="4"/>
      <c r="M105" s="8"/>
      <c r="N105" s="12"/>
    </row>
    <row r="106" spans="1:14" ht="15" customHeight="1">
      <c r="A106" s="13"/>
      <c r="B106" s="14" t="s">
        <v>297</v>
      </c>
      <c r="C106" s="1" t="s">
        <v>220</v>
      </c>
      <c r="D106" s="3">
        <v>2</v>
      </c>
      <c r="E106" s="2" t="s">
        <v>221</v>
      </c>
      <c r="F106" s="4">
        <f>H106+J106+L106</f>
        <v>0</v>
      </c>
      <c r="G106" s="8">
        <f>I106+K106+M106</f>
        <v>906.3</v>
      </c>
      <c r="H106" s="4"/>
      <c r="I106" s="8"/>
      <c r="J106" s="4"/>
      <c r="K106" s="8"/>
      <c r="L106" s="4"/>
      <c r="M106" s="8">
        <f>TRUNC(K102*D106%,1)</f>
        <v>906.3</v>
      </c>
      <c r="N106" s="12"/>
    </row>
    <row r="107" spans="1:14" ht="15" customHeight="1">
      <c r="A107" s="16"/>
      <c r="B107" s="15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12"/>
    </row>
    <row r="108" spans="1:14" ht="15" customHeight="1">
      <c r="A108" s="64">
        <f>A102+1</f>
        <v>60</v>
      </c>
      <c r="B108" s="46" t="s">
        <v>296</v>
      </c>
      <c r="C108" s="47" t="s">
        <v>225</v>
      </c>
      <c r="D108" s="47">
        <v>1</v>
      </c>
      <c r="E108" s="48" t="s">
        <v>3</v>
      </c>
      <c r="F108" s="51"/>
      <c r="G108" s="50">
        <f>I108+K108+M108</f>
        <v>61234</v>
      </c>
      <c r="H108" s="51"/>
      <c r="I108" s="50">
        <f>TRUNC(I109+I110+I111+I112,0)</f>
        <v>0</v>
      </c>
      <c r="J108" s="51"/>
      <c r="K108" s="50">
        <f>TRUNC(K109+K110+K111+K112,0)</f>
        <v>60034</v>
      </c>
      <c r="L108" s="51"/>
      <c r="M108" s="50">
        <f>TRUNC(M109+M110+M111+M112,0)</f>
        <v>1200</v>
      </c>
      <c r="N108" s="63" t="str">
        <f>N102</f>
        <v>토목6-2-3</v>
      </c>
    </row>
    <row r="109" spans="1:14" ht="15" customHeight="1">
      <c r="A109" s="13"/>
      <c r="B109" s="14" t="s">
        <v>261</v>
      </c>
      <c r="C109" s="1" t="s">
        <v>32</v>
      </c>
      <c r="D109" s="3">
        <f>D21</f>
        <v>0.13</v>
      </c>
      <c r="E109" s="2" t="s">
        <v>24</v>
      </c>
      <c r="F109" s="4">
        <f>H109+J109+L109</f>
        <v>262580</v>
      </c>
      <c r="G109" s="8">
        <f>I109+K109+M109</f>
        <v>34135.4</v>
      </c>
      <c r="H109" s="4">
        <v>0</v>
      </c>
      <c r="I109" s="8"/>
      <c r="J109" s="4">
        <f>노임!$D$10</f>
        <v>262580</v>
      </c>
      <c r="K109" s="8">
        <f>TRUNC(J109*D109,1)</f>
        <v>34135.4</v>
      </c>
      <c r="L109" s="4">
        <v>0</v>
      </c>
      <c r="M109" s="8"/>
      <c r="N109" s="12" t="s">
        <v>0</v>
      </c>
    </row>
    <row r="110" spans="1:14" ht="15" customHeight="1">
      <c r="A110" s="13"/>
      <c r="B110" s="14" t="s">
        <v>262</v>
      </c>
      <c r="C110" s="1" t="s">
        <v>0</v>
      </c>
      <c r="D110" s="3">
        <f>D22</f>
        <v>7.0000000000000007E-2</v>
      </c>
      <c r="E110" s="2" t="s">
        <v>24</v>
      </c>
      <c r="F110" s="4">
        <f>H110+J110+L110</f>
        <v>172068</v>
      </c>
      <c r="G110" s="8">
        <f>I110+K110+M110</f>
        <v>12044.7</v>
      </c>
      <c r="H110" s="4">
        <v>0</v>
      </c>
      <c r="I110" s="8"/>
      <c r="J110" s="4">
        <f>노임!$D$3</f>
        <v>172068</v>
      </c>
      <c r="K110" s="8">
        <f>TRUNC(J110*D110,1)</f>
        <v>12044.7</v>
      </c>
      <c r="L110" s="4">
        <v>0</v>
      </c>
      <c r="M110" s="8"/>
      <c r="N110" s="12" t="s">
        <v>0</v>
      </c>
    </row>
    <row r="111" spans="1:14" ht="15" customHeight="1">
      <c r="A111" s="13"/>
      <c r="B111" s="14" t="s">
        <v>298</v>
      </c>
      <c r="C111" s="1" t="s">
        <v>220</v>
      </c>
      <c r="D111" s="3">
        <v>30</v>
      </c>
      <c r="E111" s="2" t="s">
        <v>221</v>
      </c>
      <c r="F111" s="4"/>
      <c r="G111" s="8"/>
      <c r="H111" s="4"/>
      <c r="I111" s="8"/>
      <c r="J111" s="4"/>
      <c r="K111" s="8">
        <f>TRUNC((K109+K110)*D111%,1)</f>
        <v>13854</v>
      </c>
      <c r="L111" s="4"/>
      <c r="M111" s="8"/>
      <c r="N111" s="12"/>
    </row>
    <row r="112" spans="1:14" ht="15" customHeight="1">
      <c r="A112" s="13"/>
      <c r="B112" s="14" t="s">
        <v>297</v>
      </c>
      <c r="C112" s="1" t="s">
        <v>220</v>
      </c>
      <c r="D112" s="3">
        <v>2</v>
      </c>
      <c r="E112" s="2" t="s">
        <v>221</v>
      </c>
      <c r="F112" s="4">
        <f>H112+J112+L112</f>
        <v>0</v>
      </c>
      <c r="G112" s="8">
        <f>I112+K112+M112</f>
        <v>1200.5999999999999</v>
      </c>
      <c r="H112" s="4"/>
      <c r="I112" s="8"/>
      <c r="J112" s="4"/>
      <c r="K112" s="8"/>
      <c r="L112" s="4"/>
      <c r="M112" s="8">
        <f>TRUNC(K108*D112%,1)</f>
        <v>1200.5999999999999</v>
      </c>
      <c r="N112" s="12"/>
    </row>
    <row r="113" spans="1:14" ht="15" customHeight="1">
      <c r="A113" s="16"/>
      <c r="B113" s="15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12"/>
    </row>
    <row r="114" spans="1:14" ht="15" customHeight="1">
      <c r="A114" s="64">
        <f>A108+1</f>
        <v>61</v>
      </c>
      <c r="B114" s="46" t="s">
        <v>296</v>
      </c>
      <c r="C114" s="47" t="s">
        <v>226</v>
      </c>
      <c r="D114" s="47">
        <v>1</v>
      </c>
      <c r="E114" s="48" t="s">
        <v>3</v>
      </c>
      <c r="F114" s="51"/>
      <c r="G114" s="50">
        <f>I114+K114+M114</f>
        <v>70479</v>
      </c>
      <c r="H114" s="51"/>
      <c r="I114" s="50">
        <f>TRUNC(I115+I116+I117+I118,0)</f>
        <v>0</v>
      </c>
      <c r="J114" s="51"/>
      <c r="K114" s="50">
        <f>TRUNC(K115+K116+K117+K118,0)</f>
        <v>69098</v>
      </c>
      <c r="L114" s="51"/>
      <c r="M114" s="50">
        <f>TRUNC(M115+M116+M117+M118,0)</f>
        <v>1381</v>
      </c>
      <c r="N114" s="63" t="str">
        <f>N108</f>
        <v>토목6-2-3</v>
      </c>
    </row>
    <row r="115" spans="1:14" ht="15" customHeight="1">
      <c r="A115" s="13"/>
      <c r="B115" s="14" t="s">
        <v>261</v>
      </c>
      <c r="C115" s="1" t="s">
        <v>32</v>
      </c>
      <c r="D115" s="3">
        <f>D26</f>
        <v>0.15</v>
      </c>
      <c r="E115" s="2" t="s">
        <v>24</v>
      </c>
      <c r="F115" s="4">
        <f>H115+J115+L115</f>
        <v>262580</v>
      </c>
      <c r="G115" s="8">
        <f>I115+K115+M115</f>
        <v>39387</v>
      </c>
      <c r="H115" s="4">
        <v>0</v>
      </c>
      <c r="I115" s="8"/>
      <c r="J115" s="4">
        <f>노임!$D$10</f>
        <v>262580</v>
      </c>
      <c r="K115" s="8">
        <f>TRUNC(J115*D115,1)</f>
        <v>39387</v>
      </c>
      <c r="L115" s="4">
        <v>0</v>
      </c>
      <c r="M115" s="8"/>
      <c r="N115" s="12" t="s">
        <v>0</v>
      </c>
    </row>
    <row r="116" spans="1:14" ht="15" customHeight="1">
      <c r="A116" s="13"/>
      <c r="B116" s="14" t="s">
        <v>262</v>
      </c>
      <c r="C116" s="1" t="s">
        <v>0</v>
      </c>
      <c r="D116" s="3">
        <f>D27</f>
        <v>0.08</v>
      </c>
      <c r="E116" s="2" t="s">
        <v>24</v>
      </c>
      <c r="F116" s="4">
        <f>H116+J116+L116</f>
        <v>172068</v>
      </c>
      <c r="G116" s="8">
        <f>I116+K116+M116</f>
        <v>13765.4</v>
      </c>
      <c r="H116" s="4">
        <v>0</v>
      </c>
      <c r="I116" s="8"/>
      <c r="J116" s="4">
        <f>노임!$D$3</f>
        <v>172068</v>
      </c>
      <c r="K116" s="8">
        <f>TRUNC(J116*D116,1)</f>
        <v>13765.4</v>
      </c>
      <c r="L116" s="4">
        <v>0</v>
      </c>
      <c r="M116" s="8"/>
      <c r="N116" s="12" t="s">
        <v>0</v>
      </c>
    </row>
    <row r="117" spans="1:14" ht="15" customHeight="1">
      <c r="A117" s="13"/>
      <c r="B117" s="14" t="s">
        <v>298</v>
      </c>
      <c r="C117" s="1" t="s">
        <v>220</v>
      </c>
      <c r="D117" s="3">
        <v>30</v>
      </c>
      <c r="E117" s="2" t="s">
        <v>221</v>
      </c>
      <c r="F117" s="4"/>
      <c r="G117" s="8"/>
      <c r="H117" s="4"/>
      <c r="I117" s="8"/>
      <c r="J117" s="4"/>
      <c r="K117" s="8">
        <f>TRUNC((K115+K116)*D117%,1)</f>
        <v>15945.7</v>
      </c>
      <c r="L117" s="4"/>
      <c r="M117" s="8"/>
      <c r="N117" s="12"/>
    </row>
    <row r="118" spans="1:14" ht="15" customHeight="1">
      <c r="A118" s="13"/>
      <c r="B118" s="14" t="s">
        <v>297</v>
      </c>
      <c r="C118" s="1" t="s">
        <v>220</v>
      </c>
      <c r="D118" s="3">
        <v>2</v>
      </c>
      <c r="E118" s="2" t="s">
        <v>221</v>
      </c>
      <c r="F118" s="4">
        <f>H118+J118+L118</f>
        <v>0</v>
      </c>
      <c r="G118" s="8">
        <f>I118+K118+M118</f>
        <v>1381.9</v>
      </c>
      <c r="H118" s="4"/>
      <c r="I118" s="8"/>
      <c r="J118" s="4"/>
      <c r="K118" s="8"/>
      <c r="L118" s="4"/>
      <c r="M118" s="8">
        <f>TRUNC(K114*D118%,1)</f>
        <v>1381.9</v>
      </c>
      <c r="N118" s="12"/>
    </row>
    <row r="119" spans="1:14" ht="15" customHeight="1">
      <c r="A119" s="16"/>
      <c r="B119" s="15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12"/>
    </row>
    <row r="120" spans="1:14" ht="15" customHeight="1">
      <c r="A120" s="64">
        <f>A114+1</f>
        <v>62</v>
      </c>
      <c r="B120" s="46" t="s">
        <v>296</v>
      </c>
      <c r="C120" s="47" t="s">
        <v>227</v>
      </c>
      <c r="D120" s="47">
        <v>1</v>
      </c>
      <c r="E120" s="48" t="s">
        <v>3</v>
      </c>
      <c r="F120" s="51"/>
      <c r="G120" s="50">
        <f>I120+K120+M120</f>
        <v>85488</v>
      </c>
      <c r="H120" s="51"/>
      <c r="I120" s="50">
        <f>TRUNC(I121+I122+I123+I124,0)</f>
        <v>0</v>
      </c>
      <c r="J120" s="51"/>
      <c r="K120" s="50">
        <f>TRUNC(K121+K122+K123+K124,0)</f>
        <v>83812</v>
      </c>
      <c r="L120" s="51"/>
      <c r="M120" s="50">
        <f>TRUNC(M121+M122+M123+M124,0)</f>
        <v>1676</v>
      </c>
      <c r="N120" s="63" t="str">
        <f>N114</f>
        <v>토목6-2-3</v>
      </c>
    </row>
    <row r="121" spans="1:14" ht="15" customHeight="1">
      <c r="A121" s="13"/>
      <c r="B121" s="14" t="s">
        <v>261</v>
      </c>
      <c r="C121" s="1" t="s">
        <v>32</v>
      </c>
      <c r="D121" s="3">
        <f>D31</f>
        <v>0.18</v>
      </c>
      <c r="E121" s="2" t="s">
        <v>24</v>
      </c>
      <c r="F121" s="4">
        <f>H121+J121+L121</f>
        <v>262580</v>
      </c>
      <c r="G121" s="8">
        <f>I121+K121+M121</f>
        <v>47264.4</v>
      </c>
      <c r="H121" s="4">
        <v>0</v>
      </c>
      <c r="I121" s="8"/>
      <c r="J121" s="4">
        <f>노임!$D$10</f>
        <v>262580</v>
      </c>
      <c r="K121" s="8">
        <f>TRUNC(J121*D121,1)</f>
        <v>47264.4</v>
      </c>
      <c r="L121" s="4">
        <v>0</v>
      </c>
      <c r="M121" s="8"/>
      <c r="N121" s="12" t="s">
        <v>0</v>
      </c>
    </row>
    <row r="122" spans="1:14" ht="15" customHeight="1">
      <c r="A122" s="13"/>
      <c r="B122" s="14" t="s">
        <v>262</v>
      </c>
      <c r="C122" s="1" t="s">
        <v>0</v>
      </c>
      <c r="D122" s="3">
        <f>D32</f>
        <v>0.1</v>
      </c>
      <c r="E122" s="2" t="s">
        <v>24</v>
      </c>
      <c r="F122" s="4">
        <f>H122+J122+L122</f>
        <v>172068</v>
      </c>
      <c r="G122" s="8">
        <f>I122+K122+M122</f>
        <v>17206.8</v>
      </c>
      <c r="H122" s="4">
        <v>0</v>
      </c>
      <c r="I122" s="8"/>
      <c r="J122" s="4">
        <f>노임!$D$3</f>
        <v>172068</v>
      </c>
      <c r="K122" s="8">
        <f>TRUNC(J122*D122,1)</f>
        <v>17206.8</v>
      </c>
      <c r="L122" s="4">
        <v>0</v>
      </c>
      <c r="M122" s="8"/>
      <c r="N122" s="12" t="s">
        <v>0</v>
      </c>
    </row>
    <row r="123" spans="1:14" ht="15" customHeight="1">
      <c r="A123" s="13"/>
      <c r="B123" s="14" t="s">
        <v>298</v>
      </c>
      <c r="C123" s="1" t="s">
        <v>220</v>
      </c>
      <c r="D123" s="3">
        <v>30</v>
      </c>
      <c r="E123" s="2" t="s">
        <v>221</v>
      </c>
      <c r="F123" s="4"/>
      <c r="G123" s="8"/>
      <c r="H123" s="4"/>
      <c r="I123" s="8"/>
      <c r="J123" s="4"/>
      <c r="K123" s="8">
        <f>TRUNC((K121+K122)*D123%,1)</f>
        <v>19341.3</v>
      </c>
      <c r="L123" s="4"/>
      <c r="M123" s="8"/>
      <c r="N123" s="12"/>
    </row>
    <row r="124" spans="1:14" ht="15" customHeight="1">
      <c r="A124" s="13"/>
      <c r="B124" s="14" t="s">
        <v>297</v>
      </c>
      <c r="C124" s="1" t="s">
        <v>220</v>
      </c>
      <c r="D124" s="3">
        <v>2</v>
      </c>
      <c r="E124" s="2" t="s">
        <v>221</v>
      </c>
      <c r="F124" s="4">
        <f>H124+J124+L124</f>
        <v>0</v>
      </c>
      <c r="G124" s="8">
        <f>I124+K124+M124</f>
        <v>1676.2</v>
      </c>
      <c r="H124" s="4"/>
      <c r="I124" s="8"/>
      <c r="J124" s="4"/>
      <c r="K124" s="8"/>
      <c r="L124" s="4"/>
      <c r="M124" s="8">
        <f>TRUNC(K120*D124%,1)</f>
        <v>1676.2</v>
      </c>
      <c r="N124" s="12"/>
    </row>
    <row r="125" spans="1:14" ht="15" customHeight="1">
      <c r="A125" s="16"/>
      <c r="B125" s="15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12"/>
    </row>
    <row r="126" spans="1:14" ht="15" customHeight="1">
      <c r="A126" s="64">
        <f>A120+1</f>
        <v>63</v>
      </c>
      <c r="B126" s="46" t="s">
        <v>296</v>
      </c>
      <c r="C126" s="47" t="s">
        <v>228</v>
      </c>
      <c r="D126" s="47">
        <v>1</v>
      </c>
      <c r="E126" s="48" t="s">
        <v>3</v>
      </c>
      <c r="F126" s="51"/>
      <c r="G126" s="50">
        <f>I126+K126+M126</f>
        <v>98214</v>
      </c>
      <c r="H126" s="51"/>
      <c r="I126" s="50">
        <f>TRUNC(I127+I128+I129+I130,0)</f>
        <v>0</v>
      </c>
      <c r="J126" s="51"/>
      <c r="K126" s="50">
        <f>TRUNC(K127+K128+K129+K130,0)</f>
        <v>96289</v>
      </c>
      <c r="L126" s="51"/>
      <c r="M126" s="50">
        <f>TRUNC(M127+M128+M129+M130,0)</f>
        <v>1925</v>
      </c>
      <c r="N126" s="63" t="str">
        <f>N120</f>
        <v>토목6-2-3</v>
      </c>
    </row>
    <row r="127" spans="1:14" ht="15" customHeight="1">
      <c r="A127" s="13"/>
      <c r="B127" s="14" t="s">
        <v>261</v>
      </c>
      <c r="C127" s="1" t="s">
        <v>32</v>
      </c>
      <c r="D127" s="3">
        <f>D36</f>
        <v>0.21</v>
      </c>
      <c r="E127" s="2" t="s">
        <v>24</v>
      </c>
      <c r="F127" s="4">
        <f>H127+J127+L127</f>
        <v>262580</v>
      </c>
      <c r="G127" s="8">
        <f>I127+K127+M127</f>
        <v>55141.8</v>
      </c>
      <c r="H127" s="4">
        <v>0</v>
      </c>
      <c r="I127" s="8"/>
      <c r="J127" s="4">
        <f>노임!$D$10</f>
        <v>262580</v>
      </c>
      <c r="K127" s="8">
        <f>TRUNC(J127*D127,1)</f>
        <v>55141.8</v>
      </c>
      <c r="L127" s="4">
        <v>0</v>
      </c>
      <c r="M127" s="8"/>
      <c r="N127" s="12" t="s">
        <v>0</v>
      </c>
    </row>
    <row r="128" spans="1:14" ht="15" customHeight="1">
      <c r="A128" s="13"/>
      <c r="B128" s="14" t="s">
        <v>262</v>
      </c>
      <c r="C128" s="1" t="s">
        <v>0</v>
      </c>
      <c r="D128" s="3">
        <f>D37</f>
        <v>0.11</v>
      </c>
      <c r="E128" s="2" t="s">
        <v>24</v>
      </c>
      <c r="F128" s="4">
        <f>H128+J128+L128</f>
        <v>172068</v>
      </c>
      <c r="G128" s="8">
        <f>I128+K128+M128</f>
        <v>18927.400000000001</v>
      </c>
      <c r="H128" s="4">
        <v>0</v>
      </c>
      <c r="I128" s="8"/>
      <c r="J128" s="4">
        <f>노임!$D$3</f>
        <v>172068</v>
      </c>
      <c r="K128" s="8">
        <f>TRUNC(J128*D128,1)</f>
        <v>18927.400000000001</v>
      </c>
      <c r="L128" s="4">
        <v>0</v>
      </c>
      <c r="M128" s="8"/>
      <c r="N128" s="12" t="s">
        <v>0</v>
      </c>
    </row>
    <row r="129" spans="1:14" ht="15" customHeight="1">
      <c r="A129" s="13"/>
      <c r="B129" s="14" t="s">
        <v>298</v>
      </c>
      <c r="C129" s="1" t="s">
        <v>220</v>
      </c>
      <c r="D129" s="3">
        <v>30</v>
      </c>
      <c r="E129" s="2" t="s">
        <v>221</v>
      </c>
      <c r="F129" s="4"/>
      <c r="G129" s="8"/>
      <c r="H129" s="4"/>
      <c r="I129" s="8"/>
      <c r="J129" s="4"/>
      <c r="K129" s="8">
        <f>TRUNC((K127+K128)*D129%,1)</f>
        <v>22220.7</v>
      </c>
      <c r="L129" s="4"/>
      <c r="M129" s="8"/>
      <c r="N129" s="12"/>
    </row>
    <row r="130" spans="1:14" ht="15" customHeight="1">
      <c r="A130" s="13"/>
      <c r="B130" s="14" t="s">
        <v>297</v>
      </c>
      <c r="C130" s="1" t="s">
        <v>220</v>
      </c>
      <c r="D130" s="3">
        <v>2</v>
      </c>
      <c r="E130" s="2" t="s">
        <v>221</v>
      </c>
      <c r="F130" s="4">
        <f>H130+J130+L130</f>
        <v>0</v>
      </c>
      <c r="G130" s="8">
        <f>I130+K130+M130</f>
        <v>1925.7</v>
      </c>
      <c r="H130" s="4"/>
      <c r="I130" s="8"/>
      <c r="J130" s="4"/>
      <c r="K130" s="8"/>
      <c r="L130" s="4"/>
      <c r="M130" s="8">
        <f>TRUNC(K126*D130%,1)</f>
        <v>1925.7</v>
      </c>
      <c r="N130" s="12"/>
    </row>
    <row r="131" spans="1:14" ht="15" customHeight="1">
      <c r="A131" s="16"/>
      <c r="B131" s="15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12"/>
    </row>
    <row r="132" spans="1:14" ht="15" customHeight="1">
      <c r="A132" s="64">
        <f>A126+1</f>
        <v>64</v>
      </c>
      <c r="B132" s="46" t="s">
        <v>296</v>
      </c>
      <c r="C132" s="47" t="s">
        <v>229</v>
      </c>
      <c r="D132" s="47">
        <v>1</v>
      </c>
      <c r="E132" s="48" t="s">
        <v>3</v>
      </c>
      <c r="F132" s="51"/>
      <c r="G132" s="50">
        <f>I132+K132+M132</f>
        <v>107460</v>
      </c>
      <c r="H132" s="51"/>
      <c r="I132" s="50">
        <f>TRUNC(I133+I134+I135+I136,0)</f>
        <v>0</v>
      </c>
      <c r="J132" s="51"/>
      <c r="K132" s="50">
        <f>TRUNC(K133+K134+K135+K136,0)</f>
        <v>105353</v>
      </c>
      <c r="L132" s="51"/>
      <c r="M132" s="50">
        <f>TRUNC(M133+M134+M135+M136,0)</f>
        <v>2107</v>
      </c>
      <c r="N132" s="63" t="str">
        <f>N126</f>
        <v>토목6-2-3</v>
      </c>
    </row>
    <row r="133" spans="1:14" ht="15" customHeight="1">
      <c r="A133" s="13"/>
      <c r="B133" s="14" t="s">
        <v>261</v>
      </c>
      <c r="C133" s="1" t="s">
        <v>32</v>
      </c>
      <c r="D133" s="3">
        <f>D41</f>
        <v>0.23</v>
      </c>
      <c r="E133" s="2" t="s">
        <v>24</v>
      </c>
      <c r="F133" s="4">
        <f>H133+J133+L133</f>
        <v>262580</v>
      </c>
      <c r="G133" s="8">
        <f>I133+K133+M133</f>
        <v>60393.4</v>
      </c>
      <c r="H133" s="4">
        <v>0</v>
      </c>
      <c r="I133" s="8"/>
      <c r="J133" s="4">
        <f>노임!$D$10</f>
        <v>262580</v>
      </c>
      <c r="K133" s="8">
        <f>TRUNC(J133*D133,1)</f>
        <v>60393.4</v>
      </c>
      <c r="L133" s="4">
        <v>0</v>
      </c>
      <c r="M133" s="8"/>
      <c r="N133" s="12" t="s">
        <v>0</v>
      </c>
    </row>
    <row r="134" spans="1:14" ht="15" customHeight="1">
      <c r="A134" s="13"/>
      <c r="B134" s="14" t="s">
        <v>262</v>
      </c>
      <c r="C134" s="1" t="s">
        <v>0</v>
      </c>
      <c r="D134" s="3">
        <f>D42</f>
        <v>0.12</v>
      </c>
      <c r="E134" s="2" t="s">
        <v>24</v>
      </c>
      <c r="F134" s="4">
        <f>H134+J134+L134</f>
        <v>172068</v>
      </c>
      <c r="G134" s="8">
        <f>I134+K134+M134</f>
        <v>20648.099999999999</v>
      </c>
      <c r="H134" s="4">
        <v>0</v>
      </c>
      <c r="I134" s="8"/>
      <c r="J134" s="4">
        <f>노임!$D$3</f>
        <v>172068</v>
      </c>
      <c r="K134" s="8">
        <f>TRUNC(J134*D134,1)</f>
        <v>20648.099999999999</v>
      </c>
      <c r="L134" s="4">
        <v>0</v>
      </c>
      <c r="M134" s="8"/>
      <c r="N134" s="12" t="s">
        <v>0</v>
      </c>
    </row>
    <row r="135" spans="1:14" ht="15" customHeight="1">
      <c r="A135" s="13"/>
      <c r="B135" s="14" t="s">
        <v>298</v>
      </c>
      <c r="C135" s="1" t="s">
        <v>220</v>
      </c>
      <c r="D135" s="3">
        <v>30</v>
      </c>
      <c r="E135" s="2" t="s">
        <v>221</v>
      </c>
      <c r="F135" s="4"/>
      <c r="G135" s="8"/>
      <c r="H135" s="4"/>
      <c r="I135" s="8"/>
      <c r="J135" s="4"/>
      <c r="K135" s="8">
        <f>TRUNC((K133+K134)*D135%,1)</f>
        <v>24312.400000000001</v>
      </c>
      <c r="L135" s="4"/>
      <c r="M135" s="8"/>
      <c r="N135" s="12"/>
    </row>
    <row r="136" spans="1:14" ht="15" customHeight="1">
      <c r="A136" s="13"/>
      <c r="B136" s="14" t="s">
        <v>297</v>
      </c>
      <c r="C136" s="1" t="s">
        <v>220</v>
      </c>
      <c r="D136" s="3">
        <v>2</v>
      </c>
      <c r="E136" s="2" t="s">
        <v>221</v>
      </c>
      <c r="F136" s="4">
        <f>H136+J136+L136</f>
        <v>0</v>
      </c>
      <c r="G136" s="8">
        <f>I136+K136+M136</f>
        <v>2107</v>
      </c>
      <c r="H136" s="4"/>
      <c r="I136" s="8"/>
      <c r="J136" s="4"/>
      <c r="K136" s="8"/>
      <c r="L136" s="4"/>
      <c r="M136" s="8">
        <f>TRUNC(K132*D136%,1)</f>
        <v>2107</v>
      </c>
      <c r="N136" s="12"/>
    </row>
    <row r="137" spans="1:14" ht="15" customHeight="1">
      <c r="A137" s="16"/>
      <c r="B137" s="15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12"/>
    </row>
    <row r="138" spans="1:14" ht="15" customHeight="1">
      <c r="A138" s="64">
        <f>A132+1</f>
        <v>65</v>
      </c>
      <c r="B138" s="46" t="s">
        <v>296</v>
      </c>
      <c r="C138" s="47" t="s">
        <v>230</v>
      </c>
      <c r="D138" s="47">
        <v>1</v>
      </c>
      <c r="E138" s="48" t="s">
        <v>3</v>
      </c>
      <c r="F138" s="51"/>
      <c r="G138" s="50">
        <f>I138+K138+M138</f>
        <v>122469</v>
      </c>
      <c r="H138" s="51"/>
      <c r="I138" s="50">
        <f>TRUNC(I139+I140+I141+I142,0)</f>
        <v>0</v>
      </c>
      <c r="J138" s="51"/>
      <c r="K138" s="50">
        <f>TRUNC(K139+K140+K141+K142,0)</f>
        <v>120068</v>
      </c>
      <c r="L138" s="51"/>
      <c r="M138" s="50">
        <f>TRUNC(M139+M140+M141+M142,0)</f>
        <v>2401</v>
      </c>
      <c r="N138" s="63" t="str">
        <f>N132</f>
        <v>토목6-2-3</v>
      </c>
    </row>
    <row r="139" spans="1:14" ht="15" customHeight="1">
      <c r="A139" s="13"/>
      <c r="B139" s="14" t="s">
        <v>261</v>
      </c>
      <c r="C139" s="1" t="s">
        <v>32</v>
      </c>
      <c r="D139" s="3">
        <f>D46</f>
        <v>0.26</v>
      </c>
      <c r="E139" s="2" t="s">
        <v>24</v>
      </c>
      <c r="F139" s="4">
        <f>H139+J139+L139</f>
        <v>262580</v>
      </c>
      <c r="G139" s="8">
        <f>I139+K139+M139</f>
        <v>68270.8</v>
      </c>
      <c r="H139" s="4">
        <v>0</v>
      </c>
      <c r="I139" s="8"/>
      <c r="J139" s="4">
        <f>노임!$D$10</f>
        <v>262580</v>
      </c>
      <c r="K139" s="8">
        <f>TRUNC(J139*D139,1)</f>
        <v>68270.8</v>
      </c>
      <c r="L139" s="4">
        <v>0</v>
      </c>
      <c r="M139" s="8"/>
      <c r="N139" s="12" t="s">
        <v>0</v>
      </c>
    </row>
    <row r="140" spans="1:14" ht="15" customHeight="1">
      <c r="A140" s="13"/>
      <c r="B140" s="14" t="s">
        <v>262</v>
      </c>
      <c r="C140" s="1" t="s">
        <v>0</v>
      </c>
      <c r="D140" s="3">
        <f>D47</f>
        <v>0.14000000000000001</v>
      </c>
      <c r="E140" s="2" t="s">
        <v>24</v>
      </c>
      <c r="F140" s="4">
        <f>H140+J140+L140</f>
        <v>172068</v>
      </c>
      <c r="G140" s="8">
        <f>I140+K140+M140</f>
        <v>24089.5</v>
      </c>
      <c r="H140" s="4">
        <v>0</v>
      </c>
      <c r="I140" s="8"/>
      <c r="J140" s="4">
        <f>노임!$D$3</f>
        <v>172068</v>
      </c>
      <c r="K140" s="8">
        <f>TRUNC(J140*D140,1)</f>
        <v>24089.5</v>
      </c>
      <c r="L140" s="4">
        <v>0</v>
      </c>
      <c r="M140" s="8"/>
      <c r="N140" s="12" t="s">
        <v>0</v>
      </c>
    </row>
    <row r="141" spans="1:14" ht="15" customHeight="1">
      <c r="A141" s="13"/>
      <c r="B141" s="14" t="s">
        <v>298</v>
      </c>
      <c r="C141" s="1" t="s">
        <v>220</v>
      </c>
      <c r="D141" s="3">
        <v>30</v>
      </c>
      <c r="E141" s="2" t="s">
        <v>221</v>
      </c>
      <c r="F141" s="4"/>
      <c r="G141" s="8"/>
      <c r="H141" s="4"/>
      <c r="I141" s="8"/>
      <c r="J141" s="4"/>
      <c r="K141" s="8">
        <f>TRUNC((K139+K140)*D141%,1)</f>
        <v>27708</v>
      </c>
      <c r="L141" s="4"/>
      <c r="M141" s="8"/>
      <c r="N141" s="12"/>
    </row>
    <row r="142" spans="1:14" ht="15" customHeight="1">
      <c r="A142" s="13"/>
      <c r="B142" s="14" t="s">
        <v>297</v>
      </c>
      <c r="C142" s="1" t="s">
        <v>220</v>
      </c>
      <c r="D142" s="3">
        <v>2</v>
      </c>
      <c r="E142" s="2" t="s">
        <v>221</v>
      </c>
      <c r="F142" s="4">
        <f>H142+J142+L142</f>
        <v>0</v>
      </c>
      <c r="G142" s="8">
        <f>I142+K142+M142</f>
        <v>2401.3000000000002</v>
      </c>
      <c r="H142" s="4"/>
      <c r="I142" s="8"/>
      <c r="J142" s="4"/>
      <c r="K142" s="8"/>
      <c r="L142" s="4"/>
      <c r="M142" s="8">
        <f>TRUNC(K138*D142%,1)</f>
        <v>2401.3000000000002</v>
      </c>
      <c r="N142" s="12"/>
    </row>
    <row r="143" spans="1:14" ht="15" customHeight="1">
      <c r="A143" s="16"/>
      <c r="B143" s="15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12"/>
    </row>
    <row r="144" spans="1:14" ht="15" customHeight="1">
      <c r="A144" s="64">
        <f>A138+1</f>
        <v>66</v>
      </c>
      <c r="B144" s="46" t="s">
        <v>296</v>
      </c>
      <c r="C144" s="47" t="s">
        <v>231</v>
      </c>
      <c r="D144" s="47">
        <v>1</v>
      </c>
      <c r="E144" s="48" t="s">
        <v>3</v>
      </c>
      <c r="F144" s="51"/>
      <c r="G144" s="50">
        <f>I144+K144+M144</f>
        <v>131714</v>
      </c>
      <c r="H144" s="51"/>
      <c r="I144" s="50">
        <f>TRUNC(I145+I146+I147+I148,0)</f>
        <v>0</v>
      </c>
      <c r="J144" s="51"/>
      <c r="K144" s="50">
        <f>TRUNC(K145+K146+K147+K148,0)</f>
        <v>129132</v>
      </c>
      <c r="L144" s="51"/>
      <c r="M144" s="50">
        <f>TRUNC(M145+M146+M147+M148,0)</f>
        <v>2582</v>
      </c>
      <c r="N144" s="63" t="str">
        <f>N138</f>
        <v>토목6-2-3</v>
      </c>
    </row>
    <row r="145" spans="1:14" ht="15" customHeight="1">
      <c r="A145" s="13"/>
      <c r="B145" s="14" t="s">
        <v>261</v>
      </c>
      <c r="C145" s="1" t="s">
        <v>32</v>
      </c>
      <c r="D145" s="3">
        <f>D51</f>
        <v>0.28000000000000003</v>
      </c>
      <c r="E145" s="2" t="s">
        <v>24</v>
      </c>
      <c r="F145" s="4">
        <f>H145+J145+L145</f>
        <v>262580</v>
      </c>
      <c r="G145" s="8">
        <f>I145+K145+M145</f>
        <v>73522.399999999994</v>
      </c>
      <c r="H145" s="4">
        <v>0</v>
      </c>
      <c r="I145" s="8"/>
      <c r="J145" s="4">
        <f>노임!$D$10</f>
        <v>262580</v>
      </c>
      <c r="K145" s="8">
        <f>TRUNC(J145*D145,1)</f>
        <v>73522.399999999994</v>
      </c>
      <c r="L145" s="4">
        <v>0</v>
      </c>
      <c r="M145" s="8"/>
      <c r="N145" s="12" t="s">
        <v>0</v>
      </c>
    </row>
    <row r="146" spans="1:14" ht="15" customHeight="1">
      <c r="A146" s="13"/>
      <c r="B146" s="14" t="s">
        <v>262</v>
      </c>
      <c r="C146" s="1" t="s">
        <v>0</v>
      </c>
      <c r="D146" s="3">
        <f>D52</f>
        <v>0.15</v>
      </c>
      <c r="E146" s="2" t="s">
        <v>24</v>
      </c>
      <c r="F146" s="4">
        <f>H146+J146+L146</f>
        <v>172068</v>
      </c>
      <c r="G146" s="8">
        <f>I146+K146+M146</f>
        <v>25810.2</v>
      </c>
      <c r="H146" s="4">
        <v>0</v>
      </c>
      <c r="I146" s="8"/>
      <c r="J146" s="4">
        <f>노임!$D$3</f>
        <v>172068</v>
      </c>
      <c r="K146" s="8">
        <f>TRUNC(J146*D146,1)</f>
        <v>25810.2</v>
      </c>
      <c r="L146" s="4">
        <v>0</v>
      </c>
      <c r="M146" s="8"/>
      <c r="N146" s="12" t="s">
        <v>0</v>
      </c>
    </row>
    <row r="147" spans="1:14" ht="15" customHeight="1">
      <c r="A147" s="13"/>
      <c r="B147" s="14" t="s">
        <v>298</v>
      </c>
      <c r="C147" s="1" t="s">
        <v>220</v>
      </c>
      <c r="D147" s="3">
        <v>30</v>
      </c>
      <c r="E147" s="2" t="s">
        <v>221</v>
      </c>
      <c r="F147" s="4"/>
      <c r="G147" s="8"/>
      <c r="H147" s="4"/>
      <c r="I147" s="8"/>
      <c r="J147" s="4"/>
      <c r="K147" s="8">
        <f>TRUNC((K145+K146)*D147%,1)</f>
        <v>29799.7</v>
      </c>
      <c r="L147" s="4"/>
      <c r="M147" s="8"/>
      <c r="N147" s="12"/>
    </row>
    <row r="148" spans="1:14" ht="15" customHeight="1">
      <c r="A148" s="13"/>
      <c r="B148" s="14" t="s">
        <v>297</v>
      </c>
      <c r="C148" s="1" t="s">
        <v>220</v>
      </c>
      <c r="D148" s="3">
        <v>2</v>
      </c>
      <c r="E148" s="2" t="s">
        <v>221</v>
      </c>
      <c r="F148" s="4">
        <f>H148+J148+L148</f>
        <v>0</v>
      </c>
      <c r="G148" s="8">
        <f>I148+K148+M148</f>
        <v>2582.6</v>
      </c>
      <c r="H148" s="4"/>
      <c r="I148" s="8"/>
      <c r="J148" s="4"/>
      <c r="K148" s="8"/>
      <c r="L148" s="4"/>
      <c r="M148" s="8">
        <f>TRUNC(K144*D148%,1)</f>
        <v>2582.6</v>
      </c>
      <c r="N148" s="12"/>
    </row>
    <row r="149" spans="1:14" ht="15" customHeight="1">
      <c r="A149" s="16"/>
      <c r="B149" s="15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12"/>
    </row>
    <row r="150" spans="1:14" ht="15" customHeight="1">
      <c r="A150" s="64">
        <f>A144+1</f>
        <v>67</v>
      </c>
      <c r="B150" s="46" t="s">
        <v>296</v>
      </c>
      <c r="C150" s="47" t="s">
        <v>232</v>
      </c>
      <c r="D150" s="47">
        <v>1</v>
      </c>
      <c r="E150" s="48" t="s">
        <v>3</v>
      </c>
      <c r="F150" s="51"/>
      <c r="G150" s="50">
        <f>I150+K150+M150</f>
        <v>159450</v>
      </c>
      <c r="H150" s="51"/>
      <c r="I150" s="50">
        <f>TRUNC(I151+I152+I153+I154,0)</f>
        <v>0</v>
      </c>
      <c r="J150" s="51"/>
      <c r="K150" s="50">
        <f>TRUNC(K151+K152+K153+K154,0)</f>
        <v>156324</v>
      </c>
      <c r="L150" s="51"/>
      <c r="M150" s="50">
        <f>TRUNC(M151+M152+M153+M154,0)</f>
        <v>3126</v>
      </c>
      <c r="N150" s="63" t="str">
        <f>N144</f>
        <v>토목6-2-3</v>
      </c>
    </row>
    <row r="151" spans="1:14" ht="15" customHeight="1">
      <c r="A151" s="13"/>
      <c r="B151" s="14" t="s">
        <v>261</v>
      </c>
      <c r="C151" s="1" t="s">
        <v>32</v>
      </c>
      <c r="D151" s="3">
        <f>D56</f>
        <v>0.34</v>
      </c>
      <c r="E151" s="2" t="s">
        <v>24</v>
      </c>
      <c r="F151" s="4">
        <f>H151+J151+L151</f>
        <v>262580</v>
      </c>
      <c r="G151" s="8">
        <f>I151+K151+M151</f>
        <v>89277.2</v>
      </c>
      <c r="H151" s="4">
        <v>0</v>
      </c>
      <c r="I151" s="8"/>
      <c r="J151" s="4">
        <f>노임!$D$10</f>
        <v>262580</v>
      </c>
      <c r="K151" s="8">
        <f>TRUNC(J151*D151,1)</f>
        <v>89277.2</v>
      </c>
      <c r="L151" s="4">
        <v>0</v>
      </c>
      <c r="M151" s="8"/>
      <c r="N151" s="12" t="s">
        <v>0</v>
      </c>
    </row>
    <row r="152" spans="1:14" ht="15" customHeight="1">
      <c r="A152" s="13"/>
      <c r="B152" s="14" t="s">
        <v>262</v>
      </c>
      <c r="C152" s="1" t="s">
        <v>0</v>
      </c>
      <c r="D152" s="3">
        <f>D57</f>
        <v>0.18</v>
      </c>
      <c r="E152" s="2" t="s">
        <v>24</v>
      </c>
      <c r="F152" s="4">
        <f>H152+J152+L152</f>
        <v>172068</v>
      </c>
      <c r="G152" s="8">
        <f>I152+K152+M152</f>
        <v>30972.2</v>
      </c>
      <c r="H152" s="4">
        <v>0</v>
      </c>
      <c r="I152" s="8"/>
      <c r="J152" s="4">
        <f>노임!$D$3</f>
        <v>172068</v>
      </c>
      <c r="K152" s="8">
        <f>TRUNC(J152*D152,1)</f>
        <v>30972.2</v>
      </c>
      <c r="L152" s="4">
        <v>0</v>
      </c>
      <c r="M152" s="8"/>
      <c r="N152" s="12" t="s">
        <v>0</v>
      </c>
    </row>
    <row r="153" spans="1:14" ht="15" customHeight="1">
      <c r="A153" s="13"/>
      <c r="B153" s="14" t="s">
        <v>298</v>
      </c>
      <c r="C153" s="1" t="s">
        <v>220</v>
      </c>
      <c r="D153" s="3">
        <v>30</v>
      </c>
      <c r="E153" s="2" t="s">
        <v>221</v>
      </c>
      <c r="F153" s="4"/>
      <c r="G153" s="8"/>
      <c r="H153" s="4"/>
      <c r="I153" s="8"/>
      <c r="J153" s="4"/>
      <c r="K153" s="8">
        <f>TRUNC((K151+K152)*D153%,1)</f>
        <v>36074.800000000003</v>
      </c>
      <c r="L153" s="4"/>
      <c r="M153" s="8"/>
      <c r="N153" s="12"/>
    </row>
    <row r="154" spans="1:14" ht="15" customHeight="1">
      <c r="A154" s="13"/>
      <c r="B154" s="14" t="s">
        <v>297</v>
      </c>
      <c r="C154" s="1" t="s">
        <v>220</v>
      </c>
      <c r="D154" s="3">
        <v>2</v>
      </c>
      <c r="E154" s="2" t="s">
        <v>221</v>
      </c>
      <c r="F154" s="4">
        <f>H154+J154+L154</f>
        <v>0</v>
      </c>
      <c r="G154" s="8">
        <f>I154+K154+M154</f>
        <v>3126.4</v>
      </c>
      <c r="H154" s="4"/>
      <c r="I154" s="8"/>
      <c r="J154" s="4"/>
      <c r="K154" s="8"/>
      <c r="L154" s="4"/>
      <c r="M154" s="8">
        <f>TRUNC(K150*D154%,1)</f>
        <v>3126.4</v>
      </c>
      <c r="N154" s="12"/>
    </row>
    <row r="155" spans="1:14" ht="15" customHeight="1">
      <c r="A155" s="16"/>
      <c r="B155" s="15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12"/>
    </row>
    <row r="156" spans="1:14" ht="15" customHeight="1">
      <c r="A156" s="64">
        <f>A150+1</f>
        <v>68</v>
      </c>
      <c r="B156" s="46" t="s">
        <v>296</v>
      </c>
      <c r="C156" s="47" t="s">
        <v>233</v>
      </c>
      <c r="D156" s="47">
        <v>1</v>
      </c>
      <c r="E156" s="48" t="s">
        <v>3</v>
      </c>
      <c r="F156" s="51"/>
      <c r="G156" s="50">
        <f>I156+K156+M156</f>
        <v>183704</v>
      </c>
      <c r="H156" s="51"/>
      <c r="I156" s="50">
        <f>TRUNC(I157+I158+I159+I160,0)</f>
        <v>0</v>
      </c>
      <c r="J156" s="51"/>
      <c r="K156" s="50">
        <f>TRUNC(K157+K158+K159+K160,0)</f>
        <v>180102</v>
      </c>
      <c r="L156" s="51"/>
      <c r="M156" s="50">
        <f>TRUNC(M157+M158+M159+M160,0)</f>
        <v>3602</v>
      </c>
      <c r="N156" s="63" t="str">
        <f>N150</f>
        <v>토목6-2-3</v>
      </c>
    </row>
    <row r="157" spans="1:14" ht="15" customHeight="1">
      <c r="A157" s="13"/>
      <c r="B157" s="14" t="s">
        <v>261</v>
      </c>
      <c r="C157" s="1" t="s">
        <v>32</v>
      </c>
      <c r="D157" s="3">
        <f>D61</f>
        <v>0.39</v>
      </c>
      <c r="E157" s="2" t="s">
        <v>24</v>
      </c>
      <c r="F157" s="4">
        <f>H157+J157+L157</f>
        <v>262580</v>
      </c>
      <c r="G157" s="8">
        <f>I157+K157+M157</f>
        <v>102406.2</v>
      </c>
      <c r="H157" s="4">
        <v>0</v>
      </c>
      <c r="I157" s="8"/>
      <c r="J157" s="4">
        <f>노임!$D$10</f>
        <v>262580</v>
      </c>
      <c r="K157" s="8">
        <f>TRUNC(J157*D157,1)</f>
        <v>102406.2</v>
      </c>
      <c r="L157" s="4">
        <v>0</v>
      </c>
      <c r="M157" s="8"/>
      <c r="N157" s="12" t="s">
        <v>0</v>
      </c>
    </row>
    <row r="158" spans="1:14" ht="15" customHeight="1">
      <c r="A158" s="13"/>
      <c r="B158" s="14" t="s">
        <v>262</v>
      </c>
      <c r="C158" s="1" t="s">
        <v>0</v>
      </c>
      <c r="D158" s="3">
        <f>D62</f>
        <v>0.21</v>
      </c>
      <c r="E158" s="2" t="s">
        <v>24</v>
      </c>
      <c r="F158" s="4">
        <f>H158+J158+L158</f>
        <v>172068</v>
      </c>
      <c r="G158" s="8">
        <f>I158+K158+M158</f>
        <v>36134.199999999997</v>
      </c>
      <c r="H158" s="4">
        <v>0</v>
      </c>
      <c r="I158" s="8"/>
      <c r="J158" s="4">
        <f>노임!$D$3</f>
        <v>172068</v>
      </c>
      <c r="K158" s="8">
        <f>TRUNC(J158*D158,1)</f>
        <v>36134.199999999997</v>
      </c>
      <c r="L158" s="4">
        <v>0</v>
      </c>
      <c r="M158" s="8"/>
      <c r="N158" s="12" t="s">
        <v>0</v>
      </c>
    </row>
    <row r="159" spans="1:14" ht="15" customHeight="1">
      <c r="A159" s="13"/>
      <c r="B159" s="14" t="s">
        <v>298</v>
      </c>
      <c r="C159" s="1" t="s">
        <v>220</v>
      </c>
      <c r="D159" s="3">
        <v>30</v>
      </c>
      <c r="E159" s="2" t="s">
        <v>221</v>
      </c>
      <c r="F159" s="4"/>
      <c r="G159" s="8"/>
      <c r="H159" s="4"/>
      <c r="I159" s="8"/>
      <c r="J159" s="4"/>
      <c r="K159" s="8">
        <f>TRUNC((K157+K158)*D159%,1)</f>
        <v>41562.1</v>
      </c>
      <c r="L159" s="4"/>
      <c r="M159" s="8"/>
      <c r="N159" s="12"/>
    </row>
    <row r="160" spans="1:14" ht="15" customHeight="1">
      <c r="A160" s="13"/>
      <c r="B160" s="14" t="s">
        <v>297</v>
      </c>
      <c r="C160" s="1" t="s">
        <v>220</v>
      </c>
      <c r="D160" s="3">
        <v>2</v>
      </c>
      <c r="E160" s="2" t="s">
        <v>221</v>
      </c>
      <c r="F160" s="4">
        <f>H160+J160+L160</f>
        <v>0</v>
      </c>
      <c r="G160" s="8">
        <f>I160+K160+M160</f>
        <v>3602</v>
      </c>
      <c r="H160" s="4"/>
      <c r="I160" s="8"/>
      <c r="J160" s="4"/>
      <c r="K160" s="8"/>
      <c r="L160" s="4"/>
      <c r="M160" s="8">
        <f>TRUNC(K156*D160%,1)</f>
        <v>3602</v>
      </c>
      <c r="N160" s="12"/>
    </row>
    <row r="161" spans="1:14" ht="15" customHeight="1">
      <c r="A161" s="16"/>
      <c r="B161" s="15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12"/>
    </row>
    <row r="162" spans="1:14" ht="15" customHeight="1">
      <c r="A162" s="64">
        <f>A156+1</f>
        <v>69</v>
      </c>
      <c r="B162" s="46" t="s">
        <v>296</v>
      </c>
      <c r="C162" s="47" t="s">
        <v>234</v>
      </c>
      <c r="D162" s="47">
        <v>1</v>
      </c>
      <c r="E162" s="48" t="s">
        <v>3</v>
      </c>
      <c r="F162" s="51"/>
      <c r="G162" s="50">
        <f>I162+K162+M162</f>
        <v>207957</v>
      </c>
      <c r="H162" s="51"/>
      <c r="I162" s="50">
        <f>TRUNC(I163+I164+I165+I166,0)</f>
        <v>0</v>
      </c>
      <c r="J162" s="51"/>
      <c r="K162" s="50">
        <f>TRUNC(K163+K164+K165+K166,0)</f>
        <v>203880</v>
      </c>
      <c r="L162" s="51"/>
      <c r="M162" s="50">
        <f>TRUNC(M163+M164+M165+M166,0)</f>
        <v>4077</v>
      </c>
      <c r="N162" s="63" t="str">
        <f>N156</f>
        <v>토목6-2-3</v>
      </c>
    </row>
    <row r="163" spans="1:14" ht="15" customHeight="1">
      <c r="A163" s="13"/>
      <c r="B163" s="14" t="s">
        <v>261</v>
      </c>
      <c r="C163" s="1" t="s">
        <v>32</v>
      </c>
      <c r="D163" s="3">
        <f>D66</f>
        <v>0.44</v>
      </c>
      <c r="E163" s="2" t="s">
        <v>24</v>
      </c>
      <c r="F163" s="4">
        <f>H163+J163+L163</f>
        <v>262580</v>
      </c>
      <c r="G163" s="8">
        <f>I163+K163+M163</f>
        <v>115535.2</v>
      </c>
      <c r="H163" s="4">
        <v>0</v>
      </c>
      <c r="I163" s="8"/>
      <c r="J163" s="4">
        <f>노임!$D$10</f>
        <v>262580</v>
      </c>
      <c r="K163" s="8">
        <f>TRUNC(J163*D163,1)</f>
        <v>115535.2</v>
      </c>
      <c r="L163" s="4">
        <v>0</v>
      </c>
      <c r="M163" s="8"/>
      <c r="N163" s="12" t="s">
        <v>0</v>
      </c>
    </row>
    <row r="164" spans="1:14" ht="15" customHeight="1">
      <c r="A164" s="13"/>
      <c r="B164" s="14" t="s">
        <v>262</v>
      </c>
      <c r="C164" s="1" t="s">
        <v>0</v>
      </c>
      <c r="D164" s="3">
        <f>D67</f>
        <v>0.24</v>
      </c>
      <c r="E164" s="2" t="s">
        <v>24</v>
      </c>
      <c r="F164" s="4">
        <f>H164+J164+L164</f>
        <v>172068</v>
      </c>
      <c r="G164" s="8">
        <f>I164+K164+M164</f>
        <v>41296.300000000003</v>
      </c>
      <c r="H164" s="4">
        <v>0</v>
      </c>
      <c r="I164" s="8"/>
      <c r="J164" s="4">
        <f>노임!$D$3</f>
        <v>172068</v>
      </c>
      <c r="K164" s="8">
        <f>TRUNC(J164*D164,1)</f>
        <v>41296.300000000003</v>
      </c>
      <c r="L164" s="4">
        <v>0</v>
      </c>
      <c r="M164" s="8"/>
      <c r="N164" s="12" t="s">
        <v>0</v>
      </c>
    </row>
    <row r="165" spans="1:14" ht="15" customHeight="1">
      <c r="A165" s="13"/>
      <c r="B165" s="14" t="s">
        <v>298</v>
      </c>
      <c r="C165" s="1" t="s">
        <v>220</v>
      </c>
      <c r="D165" s="3">
        <v>30</v>
      </c>
      <c r="E165" s="2" t="s">
        <v>221</v>
      </c>
      <c r="F165" s="4"/>
      <c r="G165" s="8"/>
      <c r="H165" s="4"/>
      <c r="I165" s="8"/>
      <c r="J165" s="4"/>
      <c r="K165" s="8">
        <f>TRUNC((K163+K164)*D165%,1)</f>
        <v>47049.4</v>
      </c>
      <c r="L165" s="4"/>
      <c r="M165" s="8"/>
      <c r="N165" s="12"/>
    </row>
    <row r="166" spans="1:14" ht="15" customHeight="1">
      <c r="A166" s="13"/>
      <c r="B166" s="14" t="s">
        <v>297</v>
      </c>
      <c r="C166" s="1" t="s">
        <v>220</v>
      </c>
      <c r="D166" s="3">
        <v>2</v>
      </c>
      <c r="E166" s="2" t="s">
        <v>221</v>
      </c>
      <c r="F166" s="4">
        <f>H166+J166+L166</f>
        <v>0</v>
      </c>
      <c r="G166" s="8">
        <f>I166+K166+M166</f>
        <v>4077.6</v>
      </c>
      <c r="H166" s="4"/>
      <c r="I166" s="8"/>
      <c r="J166" s="4"/>
      <c r="K166" s="8"/>
      <c r="L166" s="4"/>
      <c r="M166" s="8">
        <f>TRUNC(K162*D166%,1)</f>
        <v>4077.6</v>
      </c>
      <c r="N166" s="12"/>
    </row>
    <row r="167" spans="1:14" ht="15" customHeight="1">
      <c r="A167" s="16"/>
      <c r="B167" s="15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12"/>
    </row>
    <row r="168" spans="1:14" ht="15" customHeight="1">
      <c r="A168" s="64">
        <f>A162+1</f>
        <v>70</v>
      </c>
      <c r="B168" s="46" t="s">
        <v>296</v>
      </c>
      <c r="C168" s="47" t="s">
        <v>235</v>
      </c>
      <c r="D168" s="47">
        <v>1</v>
      </c>
      <c r="E168" s="48" t="s">
        <v>3</v>
      </c>
      <c r="F168" s="51"/>
      <c r="G168" s="50">
        <f>I168+K168+M168</f>
        <v>229930</v>
      </c>
      <c r="H168" s="51"/>
      <c r="I168" s="50">
        <f>TRUNC(I169+I170+I171+I172,0)</f>
        <v>0</v>
      </c>
      <c r="J168" s="51"/>
      <c r="K168" s="50">
        <f>TRUNC(K169+K170+K171+K172,0)</f>
        <v>225422</v>
      </c>
      <c r="L168" s="51"/>
      <c r="M168" s="50">
        <f>TRUNC(M169+M170+M171+M172,0)</f>
        <v>4508</v>
      </c>
      <c r="N168" s="63" t="str">
        <f>N162</f>
        <v>토목6-2-3</v>
      </c>
    </row>
    <row r="169" spans="1:14" ht="15" customHeight="1">
      <c r="A169" s="13"/>
      <c r="B169" s="14" t="s">
        <v>261</v>
      </c>
      <c r="C169" s="1" t="s">
        <v>32</v>
      </c>
      <c r="D169" s="3">
        <f>D71</f>
        <v>0.49</v>
      </c>
      <c r="E169" s="2" t="s">
        <v>24</v>
      </c>
      <c r="F169" s="4">
        <f>H169+J169+L169</f>
        <v>262580</v>
      </c>
      <c r="G169" s="8">
        <f>I169+K169+M169</f>
        <v>128664.2</v>
      </c>
      <c r="H169" s="4">
        <v>0</v>
      </c>
      <c r="I169" s="8"/>
      <c r="J169" s="4">
        <f>노임!$D$10</f>
        <v>262580</v>
      </c>
      <c r="K169" s="8">
        <f>TRUNC(J169*D169,1)</f>
        <v>128664.2</v>
      </c>
      <c r="L169" s="4">
        <v>0</v>
      </c>
      <c r="M169" s="8"/>
      <c r="N169" s="12" t="s">
        <v>0</v>
      </c>
    </row>
    <row r="170" spans="1:14" ht="15" customHeight="1">
      <c r="A170" s="13"/>
      <c r="B170" s="14" t="s">
        <v>262</v>
      </c>
      <c r="C170" s="1" t="s">
        <v>0</v>
      </c>
      <c r="D170" s="3">
        <f>D72</f>
        <v>0.26</v>
      </c>
      <c r="E170" s="2" t="s">
        <v>24</v>
      </c>
      <c r="F170" s="4">
        <f>H170+J170+L170</f>
        <v>172068</v>
      </c>
      <c r="G170" s="8">
        <f>I170+K170+M170</f>
        <v>44737.599999999999</v>
      </c>
      <c r="H170" s="4">
        <v>0</v>
      </c>
      <c r="I170" s="8"/>
      <c r="J170" s="4">
        <f>노임!$D$3</f>
        <v>172068</v>
      </c>
      <c r="K170" s="8">
        <f>TRUNC(J170*D170,1)</f>
        <v>44737.599999999999</v>
      </c>
      <c r="L170" s="4">
        <v>0</v>
      </c>
      <c r="M170" s="8"/>
      <c r="N170" s="12" t="s">
        <v>0</v>
      </c>
    </row>
    <row r="171" spans="1:14" ht="15" customHeight="1">
      <c r="A171" s="13"/>
      <c r="B171" s="14" t="s">
        <v>298</v>
      </c>
      <c r="C171" s="1" t="s">
        <v>220</v>
      </c>
      <c r="D171" s="3">
        <v>30</v>
      </c>
      <c r="E171" s="2" t="s">
        <v>221</v>
      </c>
      <c r="F171" s="4"/>
      <c r="G171" s="8"/>
      <c r="H171" s="4"/>
      <c r="I171" s="8"/>
      <c r="J171" s="4"/>
      <c r="K171" s="8">
        <f>TRUNC((K169+K170)*D171%,1)</f>
        <v>52020.5</v>
      </c>
      <c r="L171" s="4"/>
      <c r="M171" s="8"/>
      <c r="N171" s="12"/>
    </row>
    <row r="172" spans="1:14" ht="15" customHeight="1">
      <c r="A172" s="13"/>
      <c r="B172" s="14" t="s">
        <v>297</v>
      </c>
      <c r="C172" s="1" t="s">
        <v>220</v>
      </c>
      <c r="D172" s="3">
        <v>2</v>
      </c>
      <c r="E172" s="2" t="s">
        <v>221</v>
      </c>
      <c r="F172" s="4">
        <f>H172+J172+L172</f>
        <v>0</v>
      </c>
      <c r="G172" s="8">
        <f>I172+K172+M172</f>
        <v>4508.3999999999996</v>
      </c>
      <c r="H172" s="4"/>
      <c r="I172" s="8"/>
      <c r="J172" s="4"/>
      <c r="K172" s="8"/>
      <c r="L172" s="4"/>
      <c r="M172" s="8">
        <f>TRUNC(K168*D172%,1)</f>
        <v>4508.3999999999996</v>
      </c>
      <c r="N172" s="12"/>
    </row>
    <row r="173" spans="1:14" ht="15" customHeight="1">
      <c r="A173" s="16"/>
      <c r="B173" s="15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12"/>
    </row>
    <row r="174" spans="1:14" ht="15" customHeight="1">
      <c r="A174" s="64">
        <f>A168+1</f>
        <v>71</v>
      </c>
      <c r="B174" s="46" t="s">
        <v>296</v>
      </c>
      <c r="C174" s="47" t="s">
        <v>236</v>
      </c>
      <c r="D174" s="47">
        <v>1</v>
      </c>
      <c r="E174" s="48" t="s">
        <v>3</v>
      </c>
      <c r="F174" s="51"/>
      <c r="G174" s="50">
        <f>I174+K174+M174</f>
        <v>254184</v>
      </c>
      <c r="H174" s="51"/>
      <c r="I174" s="50">
        <f>TRUNC(I175+I176+I177+I178,0)</f>
        <v>0</v>
      </c>
      <c r="J174" s="51"/>
      <c r="K174" s="50">
        <f>TRUNC(K175+K176+K177+K178,0)</f>
        <v>249200</v>
      </c>
      <c r="L174" s="51"/>
      <c r="M174" s="50">
        <f>TRUNC(M175+M176+M177+M178,0)</f>
        <v>4984</v>
      </c>
      <c r="N174" s="63" t="str">
        <f>N168</f>
        <v>토목6-2-3</v>
      </c>
    </row>
    <row r="175" spans="1:14" ht="15" customHeight="1">
      <c r="A175" s="13"/>
      <c r="B175" s="14" t="s">
        <v>261</v>
      </c>
      <c r="C175" s="1" t="s">
        <v>32</v>
      </c>
      <c r="D175" s="3">
        <f>D76</f>
        <v>0.54</v>
      </c>
      <c r="E175" s="2" t="s">
        <v>24</v>
      </c>
      <c r="F175" s="4">
        <f>H175+J175+L175</f>
        <v>262580</v>
      </c>
      <c r="G175" s="8">
        <f>I175+K175+M175</f>
        <v>141793.20000000001</v>
      </c>
      <c r="H175" s="4">
        <v>0</v>
      </c>
      <c r="I175" s="8"/>
      <c r="J175" s="4">
        <f>노임!$D$10</f>
        <v>262580</v>
      </c>
      <c r="K175" s="8">
        <f>TRUNC(J175*D175,1)</f>
        <v>141793.20000000001</v>
      </c>
      <c r="L175" s="4">
        <v>0</v>
      </c>
      <c r="M175" s="8"/>
      <c r="N175" s="12" t="s">
        <v>0</v>
      </c>
    </row>
    <row r="176" spans="1:14" ht="15" customHeight="1">
      <c r="A176" s="13"/>
      <c r="B176" s="14" t="s">
        <v>262</v>
      </c>
      <c r="C176" s="1" t="s">
        <v>0</v>
      </c>
      <c r="D176" s="3">
        <f>D77</f>
        <v>0.28999999999999998</v>
      </c>
      <c r="E176" s="2" t="s">
        <v>24</v>
      </c>
      <c r="F176" s="4">
        <f>H176+J176+L176</f>
        <v>172068</v>
      </c>
      <c r="G176" s="8">
        <f>I176+K176+M176</f>
        <v>49899.7</v>
      </c>
      <c r="H176" s="4">
        <v>0</v>
      </c>
      <c r="I176" s="8"/>
      <c r="J176" s="4">
        <f>노임!$D$3</f>
        <v>172068</v>
      </c>
      <c r="K176" s="8">
        <f>TRUNC(J176*D176,1)</f>
        <v>49899.7</v>
      </c>
      <c r="L176" s="4">
        <v>0</v>
      </c>
      <c r="M176" s="8"/>
      <c r="N176" s="12" t="s">
        <v>0</v>
      </c>
    </row>
    <row r="177" spans="1:14" ht="15" customHeight="1">
      <c r="A177" s="13"/>
      <c r="B177" s="14" t="s">
        <v>298</v>
      </c>
      <c r="C177" s="1" t="s">
        <v>220</v>
      </c>
      <c r="D177" s="3">
        <v>30</v>
      </c>
      <c r="E177" s="2" t="s">
        <v>221</v>
      </c>
      <c r="F177" s="4"/>
      <c r="G177" s="8"/>
      <c r="H177" s="4"/>
      <c r="I177" s="8"/>
      <c r="J177" s="4"/>
      <c r="K177" s="8">
        <f>TRUNC((K175+K176)*D177%,1)</f>
        <v>57507.8</v>
      </c>
      <c r="L177" s="4"/>
      <c r="M177" s="8"/>
      <c r="N177" s="12"/>
    </row>
    <row r="178" spans="1:14" ht="15" customHeight="1">
      <c r="A178" s="13"/>
      <c r="B178" s="14" t="s">
        <v>297</v>
      </c>
      <c r="C178" s="1" t="s">
        <v>220</v>
      </c>
      <c r="D178" s="3">
        <v>2</v>
      </c>
      <c r="E178" s="2" t="s">
        <v>221</v>
      </c>
      <c r="F178" s="4">
        <f>H178+J178+L178</f>
        <v>0</v>
      </c>
      <c r="G178" s="8">
        <f>I178+K178+M178</f>
        <v>4984</v>
      </c>
      <c r="H178" s="4"/>
      <c r="I178" s="8"/>
      <c r="J178" s="4"/>
      <c r="K178" s="8"/>
      <c r="L178" s="4"/>
      <c r="M178" s="8">
        <f>TRUNC(K174*D178%,1)</f>
        <v>4984</v>
      </c>
      <c r="N178" s="12"/>
    </row>
    <row r="179" spans="1:14" ht="15" customHeight="1">
      <c r="A179" s="16"/>
      <c r="B179" s="15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12"/>
    </row>
    <row r="180" spans="1:14" ht="15" customHeight="1">
      <c r="A180" s="64">
        <f>A174+1</f>
        <v>72</v>
      </c>
      <c r="B180" s="46" t="s">
        <v>296</v>
      </c>
      <c r="C180" s="47" t="s">
        <v>237</v>
      </c>
      <c r="D180" s="47">
        <v>1</v>
      </c>
      <c r="E180" s="48" t="s">
        <v>3</v>
      </c>
      <c r="F180" s="51"/>
      <c r="G180" s="50">
        <f>I180+K180+M180</f>
        <v>281919</v>
      </c>
      <c r="H180" s="51"/>
      <c r="I180" s="50">
        <f>TRUNC(I181+I182+I183+I184,0)</f>
        <v>0</v>
      </c>
      <c r="J180" s="51"/>
      <c r="K180" s="50">
        <f>TRUNC(K181+K182+K183+K184,0)</f>
        <v>276392</v>
      </c>
      <c r="L180" s="51"/>
      <c r="M180" s="50">
        <f>TRUNC(M181+M182+M183+M184,0)</f>
        <v>5527</v>
      </c>
      <c r="N180" s="63" t="str">
        <f>N174</f>
        <v>토목6-2-3</v>
      </c>
    </row>
    <row r="181" spans="1:14" ht="15" customHeight="1">
      <c r="A181" s="13"/>
      <c r="B181" s="14" t="s">
        <v>261</v>
      </c>
      <c r="C181" s="1" t="s">
        <v>32</v>
      </c>
      <c r="D181" s="3">
        <f>D81</f>
        <v>0.6</v>
      </c>
      <c r="E181" s="2" t="s">
        <v>24</v>
      </c>
      <c r="F181" s="4">
        <f>H181+J181+L181</f>
        <v>262580</v>
      </c>
      <c r="G181" s="8">
        <f>I181+K181+M181</f>
        <v>157548</v>
      </c>
      <c r="H181" s="4">
        <v>0</v>
      </c>
      <c r="I181" s="8"/>
      <c r="J181" s="4">
        <f>노임!$D$10</f>
        <v>262580</v>
      </c>
      <c r="K181" s="8">
        <f>TRUNC(J181*D181,1)</f>
        <v>157548</v>
      </c>
      <c r="L181" s="4">
        <v>0</v>
      </c>
      <c r="M181" s="8"/>
      <c r="N181" s="12" t="s">
        <v>0</v>
      </c>
    </row>
    <row r="182" spans="1:14" ht="15" customHeight="1">
      <c r="A182" s="13"/>
      <c r="B182" s="14" t="s">
        <v>262</v>
      </c>
      <c r="C182" s="1" t="s">
        <v>0</v>
      </c>
      <c r="D182" s="3">
        <f>D82</f>
        <v>0.32</v>
      </c>
      <c r="E182" s="2" t="s">
        <v>24</v>
      </c>
      <c r="F182" s="4">
        <f>H182+J182+L182</f>
        <v>172068</v>
      </c>
      <c r="G182" s="8">
        <f>I182+K182+M182</f>
        <v>55061.7</v>
      </c>
      <c r="H182" s="4">
        <v>0</v>
      </c>
      <c r="I182" s="8"/>
      <c r="J182" s="4">
        <f>노임!$D$3</f>
        <v>172068</v>
      </c>
      <c r="K182" s="8">
        <f>TRUNC(J182*D182,1)</f>
        <v>55061.7</v>
      </c>
      <c r="L182" s="4">
        <v>0</v>
      </c>
      <c r="M182" s="8"/>
      <c r="N182" s="12" t="s">
        <v>0</v>
      </c>
    </row>
    <row r="183" spans="1:14" ht="15" customHeight="1">
      <c r="A183" s="13"/>
      <c r="B183" s="14" t="s">
        <v>298</v>
      </c>
      <c r="C183" s="1" t="s">
        <v>220</v>
      </c>
      <c r="D183" s="3">
        <v>30</v>
      </c>
      <c r="E183" s="2" t="s">
        <v>221</v>
      </c>
      <c r="F183" s="4"/>
      <c r="G183" s="8"/>
      <c r="H183" s="4"/>
      <c r="I183" s="8"/>
      <c r="J183" s="4"/>
      <c r="K183" s="8">
        <f>TRUNC((K181+K182)*D183%,1)</f>
        <v>63782.9</v>
      </c>
      <c r="L183" s="4"/>
      <c r="M183" s="8"/>
      <c r="N183" s="12"/>
    </row>
    <row r="184" spans="1:14" ht="15" customHeight="1">
      <c r="A184" s="13"/>
      <c r="B184" s="14" t="s">
        <v>297</v>
      </c>
      <c r="C184" s="1" t="s">
        <v>220</v>
      </c>
      <c r="D184" s="3">
        <v>2</v>
      </c>
      <c r="E184" s="2" t="s">
        <v>221</v>
      </c>
      <c r="F184" s="4">
        <f>H184+J184+L184</f>
        <v>0</v>
      </c>
      <c r="G184" s="8">
        <f>I184+K184+M184</f>
        <v>5527.8</v>
      </c>
      <c r="H184" s="4"/>
      <c r="I184" s="8"/>
      <c r="J184" s="4"/>
      <c r="K184" s="8"/>
      <c r="L184" s="4"/>
      <c r="M184" s="8">
        <f>TRUNC(K180*D184%,1)</f>
        <v>5527.8</v>
      </c>
      <c r="N184" s="12"/>
    </row>
    <row r="185" spans="1:14" ht="15" customHeight="1">
      <c r="A185" s="16"/>
      <c r="B185" s="15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12"/>
    </row>
    <row r="186" spans="1:14" ht="15" customHeight="1">
      <c r="A186" s="64">
        <f>A180+1</f>
        <v>73</v>
      </c>
      <c r="B186" s="46" t="s">
        <v>296</v>
      </c>
      <c r="C186" s="47" t="s">
        <v>238</v>
      </c>
      <c r="D186" s="47">
        <v>1</v>
      </c>
      <c r="E186" s="48" t="s">
        <v>3</v>
      </c>
      <c r="F186" s="51"/>
      <c r="G186" s="50">
        <f>I186+K186+M186</f>
        <v>306174</v>
      </c>
      <c r="H186" s="51"/>
      <c r="I186" s="50">
        <f>TRUNC(I187+I188+I189+I190,0)</f>
        <v>0</v>
      </c>
      <c r="J186" s="51"/>
      <c r="K186" s="50">
        <f>TRUNC(K187+K188+K189+K190,0)</f>
        <v>300171</v>
      </c>
      <c r="L186" s="51"/>
      <c r="M186" s="50">
        <f>TRUNC(M187+M188+M189+M190,0)</f>
        <v>6003</v>
      </c>
      <c r="N186" s="63" t="str">
        <f>N180</f>
        <v>토목6-2-3</v>
      </c>
    </row>
    <row r="187" spans="1:14" ht="15" customHeight="1">
      <c r="A187" s="13"/>
      <c r="B187" s="14" t="s">
        <v>261</v>
      </c>
      <c r="C187" s="1" t="s">
        <v>32</v>
      </c>
      <c r="D187" s="3">
        <f>D86</f>
        <v>0.65</v>
      </c>
      <c r="E187" s="2" t="s">
        <v>24</v>
      </c>
      <c r="F187" s="4">
        <f>H187+J187+L187</f>
        <v>262580</v>
      </c>
      <c r="G187" s="8">
        <f>I187+K187+M187</f>
        <v>170677</v>
      </c>
      <c r="H187" s="4">
        <v>0</v>
      </c>
      <c r="I187" s="8"/>
      <c r="J187" s="4">
        <f>노임!$D$10</f>
        <v>262580</v>
      </c>
      <c r="K187" s="8">
        <f>TRUNC(J187*D187,1)</f>
        <v>170677</v>
      </c>
      <c r="L187" s="4">
        <v>0</v>
      </c>
      <c r="M187" s="8"/>
      <c r="N187" s="12" t="s">
        <v>0</v>
      </c>
    </row>
    <row r="188" spans="1:14" ht="15" customHeight="1">
      <c r="A188" s="13"/>
      <c r="B188" s="14" t="s">
        <v>262</v>
      </c>
      <c r="C188" s="1" t="s">
        <v>0</v>
      </c>
      <c r="D188" s="3">
        <f>D87</f>
        <v>0.35</v>
      </c>
      <c r="E188" s="2" t="s">
        <v>24</v>
      </c>
      <c r="F188" s="4">
        <f>H188+J188+L188</f>
        <v>172068</v>
      </c>
      <c r="G188" s="8">
        <f>I188+K188+M188</f>
        <v>60223.8</v>
      </c>
      <c r="H188" s="4">
        <v>0</v>
      </c>
      <c r="I188" s="8"/>
      <c r="J188" s="4">
        <f>노임!$D$3</f>
        <v>172068</v>
      </c>
      <c r="K188" s="8">
        <f>TRUNC(J188*D188,1)</f>
        <v>60223.8</v>
      </c>
      <c r="L188" s="4">
        <v>0</v>
      </c>
      <c r="M188" s="8"/>
      <c r="N188" s="12" t="s">
        <v>0</v>
      </c>
    </row>
    <row r="189" spans="1:14" ht="15" customHeight="1">
      <c r="A189" s="13"/>
      <c r="B189" s="14" t="s">
        <v>298</v>
      </c>
      <c r="C189" s="1" t="s">
        <v>220</v>
      </c>
      <c r="D189" s="3">
        <v>30</v>
      </c>
      <c r="E189" s="2" t="s">
        <v>221</v>
      </c>
      <c r="F189" s="4"/>
      <c r="G189" s="8"/>
      <c r="H189" s="4"/>
      <c r="I189" s="8"/>
      <c r="J189" s="4"/>
      <c r="K189" s="8">
        <f>TRUNC((K187+K188)*D189%,1)</f>
        <v>69270.2</v>
      </c>
      <c r="L189" s="4"/>
      <c r="M189" s="8"/>
      <c r="N189" s="12"/>
    </row>
    <row r="190" spans="1:14" ht="15" customHeight="1">
      <c r="A190" s="13"/>
      <c r="B190" s="14" t="s">
        <v>297</v>
      </c>
      <c r="C190" s="1" t="s">
        <v>220</v>
      </c>
      <c r="D190" s="3">
        <v>2</v>
      </c>
      <c r="E190" s="2" t="s">
        <v>221</v>
      </c>
      <c r="F190" s="4">
        <f>H190+J190+L190</f>
        <v>0</v>
      </c>
      <c r="G190" s="8">
        <f>I190+K190+M190</f>
        <v>6003.4</v>
      </c>
      <c r="H190" s="4"/>
      <c r="I190" s="8"/>
      <c r="J190" s="4"/>
      <c r="K190" s="8"/>
      <c r="L190" s="4"/>
      <c r="M190" s="8">
        <f>TRUNC(K186*D190%,1)</f>
        <v>6003.4</v>
      </c>
      <c r="N190" s="12"/>
    </row>
    <row r="191" spans="1:14" ht="15" customHeight="1">
      <c r="A191" s="16"/>
      <c r="B191" s="15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12"/>
    </row>
  </sheetData>
  <autoFilter ref="A1:N231" xr:uid="{00000000-0009-0000-0000-00000B000000}"/>
  <mergeCells count="9">
    <mergeCell ref="A2:B3"/>
    <mergeCell ref="J2:K2"/>
    <mergeCell ref="L2:M2"/>
    <mergeCell ref="N2:N3"/>
    <mergeCell ref="C2:C3"/>
    <mergeCell ref="D2:D3"/>
    <mergeCell ref="E2:E3"/>
    <mergeCell ref="F2:G2"/>
    <mergeCell ref="H2:I2"/>
  </mergeCells>
  <phoneticPr fontId="2" type="noConversion"/>
  <pageMargins left="0.31496062992125984" right="0.31496062992125984" top="1" bottom="0.59055118110236215" header="0.5" footer="0.5"/>
  <pageSetup paperSize="9" orientation="landscape" copies="0"/>
  <headerFooter alignWithMargins="0">
    <oddHeader>&amp;RPage : &amp;P/&amp;N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1:N68"/>
  <sheetViews>
    <sheetView workbookViewId="0">
      <pane ySplit="3" topLeftCell="A34" activePane="bottomLeft" state="frozen"/>
      <selection activeCell="N21" sqref="N21"/>
      <selection pane="bottomLeft" activeCell="N21" sqref="N21"/>
    </sheetView>
  </sheetViews>
  <sheetFormatPr defaultRowHeight="12.75" customHeight="1"/>
  <cols>
    <col min="1" max="1" width="8.83203125" customWidth="1"/>
    <col min="2" max="3" width="35.83203125" customWidth="1"/>
    <col min="4" max="4" width="10.83203125" customWidth="1"/>
    <col min="5" max="5" width="8.83203125" customWidth="1"/>
    <col min="6" max="6" width="12.83203125" customWidth="1"/>
    <col min="7" max="7" width="14.83203125" customWidth="1"/>
    <col min="8" max="8" width="12.83203125" customWidth="1"/>
    <col min="9" max="9" width="14.83203125" customWidth="1"/>
    <col min="10" max="10" width="12.83203125" customWidth="1"/>
    <col min="11" max="11" width="14.83203125" customWidth="1"/>
    <col min="12" max="12" width="12.83203125" customWidth="1"/>
    <col min="13" max="13" width="14.83203125" customWidth="1"/>
    <col min="14" max="14" width="15.83203125" style="11" customWidth="1"/>
    <col min="15" max="21" width="9.33203125" customWidth="1"/>
  </cols>
  <sheetData>
    <row r="1" spans="1:14" ht="15" customHeight="1">
      <c r="A1" s="72" t="s">
        <v>336</v>
      </c>
    </row>
    <row r="2" spans="1:14" ht="15" customHeight="1">
      <c r="A2" s="339" t="s">
        <v>23</v>
      </c>
      <c r="B2" s="340"/>
      <c r="C2" s="345" t="s">
        <v>46</v>
      </c>
      <c r="D2" s="345" t="s">
        <v>45</v>
      </c>
      <c r="E2" s="345" t="s">
        <v>44</v>
      </c>
      <c r="F2" s="345" t="s">
        <v>19</v>
      </c>
      <c r="G2" s="345" t="s">
        <v>0</v>
      </c>
      <c r="H2" s="345" t="s">
        <v>18</v>
      </c>
      <c r="I2" s="345" t="s">
        <v>0</v>
      </c>
      <c r="J2" s="345" t="s">
        <v>17</v>
      </c>
      <c r="K2" s="345" t="s">
        <v>0</v>
      </c>
      <c r="L2" s="345" t="s">
        <v>16</v>
      </c>
      <c r="M2" s="345" t="s">
        <v>0</v>
      </c>
      <c r="N2" s="346" t="s">
        <v>15</v>
      </c>
    </row>
    <row r="3" spans="1:14" ht="15" customHeight="1">
      <c r="A3" s="339"/>
      <c r="B3" s="340"/>
      <c r="C3" s="345" t="s">
        <v>0</v>
      </c>
      <c r="D3" s="345" t="s">
        <v>0</v>
      </c>
      <c r="E3" s="345" t="s">
        <v>0</v>
      </c>
      <c r="F3" s="2" t="s">
        <v>43</v>
      </c>
      <c r="G3" s="2" t="s">
        <v>42</v>
      </c>
      <c r="H3" s="2" t="s">
        <v>43</v>
      </c>
      <c r="I3" s="2" t="s">
        <v>42</v>
      </c>
      <c r="J3" s="2" t="s">
        <v>43</v>
      </c>
      <c r="K3" s="2" t="s">
        <v>42</v>
      </c>
      <c r="L3" s="2" t="s">
        <v>43</v>
      </c>
      <c r="M3" s="2" t="s">
        <v>42</v>
      </c>
      <c r="N3" s="346" t="s">
        <v>0</v>
      </c>
    </row>
    <row r="4" spans="1:14" ht="15" customHeight="1">
      <c r="A4" s="13"/>
      <c r="B4" s="14"/>
      <c r="C4" s="1"/>
      <c r="D4" s="1"/>
      <c r="E4" s="1"/>
      <c r="F4" s="4"/>
      <c r="G4" s="8"/>
      <c r="H4" s="4"/>
      <c r="I4" s="8"/>
      <c r="J4" s="4"/>
      <c r="K4" s="8"/>
      <c r="L4" s="4"/>
      <c r="M4" s="8"/>
      <c r="N4" s="12"/>
    </row>
    <row r="5" spans="1:14" ht="15" customHeight="1">
      <c r="A5" s="64">
        <f>KP메카니컬접합부설!A297+1</f>
        <v>41</v>
      </c>
      <c r="B5" s="46" t="s">
        <v>300</v>
      </c>
      <c r="C5" s="47" t="s">
        <v>200</v>
      </c>
      <c r="D5" s="47">
        <v>1</v>
      </c>
      <c r="E5" s="47" t="s">
        <v>3</v>
      </c>
      <c r="F5" s="51"/>
      <c r="G5" s="50">
        <f t="shared" ref="G5:G7" si="0">I5+K5+M5</f>
        <v>0</v>
      </c>
      <c r="H5" s="51"/>
      <c r="I5" s="50">
        <f>TRUNC(I6+I7,0)</f>
        <v>0</v>
      </c>
      <c r="J5" s="51"/>
      <c r="K5" s="50">
        <f>TRUNC(K6+K7,0)</f>
        <v>0</v>
      </c>
      <c r="L5" s="51"/>
      <c r="M5" s="50">
        <f>TRUNC(M6+M7,0)</f>
        <v>0</v>
      </c>
      <c r="N5" s="63" t="s">
        <v>259</v>
      </c>
    </row>
    <row r="6" spans="1:14" ht="15" customHeight="1">
      <c r="A6" s="13"/>
      <c r="B6" s="14" t="s">
        <v>261</v>
      </c>
      <c r="C6" s="1" t="s">
        <v>32</v>
      </c>
      <c r="D6" s="3"/>
      <c r="E6" s="1" t="s">
        <v>24</v>
      </c>
      <c r="F6" s="4">
        <f>H6+J6+L6</f>
        <v>262580</v>
      </c>
      <c r="G6" s="8">
        <f>I6+K6+M6</f>
        <v>0</v>
      </c>
      <c r="H6" s="4">
        <v>0</v>
      </c>
      <c r="I6" s="8"/>
      <c r="J6" s="4">
        <f>노임!$D$10</f>
        <v>262580</v>
      </c>
      <c r="K6" s="8">
        <f>TRUNC(J6*D6,1)</f>
        <v>0</v>
      </c>
      <c r="L6" s="4">
        <v>0</v>
      </c>
      <c r="M6" s="8"/>
      <c r="N6" s="12" t="s">
        <v>0</v>
      </c>
    </row>
    <row r="7" spans="1:14" ht="15" customHeight="1">
      <c r="A7" s="13"/>
      <c r="B7" s="14" t="s">
        <v>288</v>
      </c>
      <c r="C7" s="1" t="s">
        <v>29</v>
      </c>
      <c r="D7" s="3">
        <v>5</v>
      </c>
      <c r="E7" s="1" t="s">
        <v>28</v>
      </c>
      <c r="F7" s="4">
        <f>H7+J7+L7</f>
        <v>0</v>
      </c>
      <c r="G7" s="8">
        <f t="shared" si="0"/>
        <v>0</v>
      </c>
      <c r="H7" s="2"/>
      <c r="I7" s="8"/>
      <c r="J7" s="2"/>
      <c r="K7" s="8">
        <v>0</v>
      </c>
      <c r="L7" s="2"/>
      <c r="M7" s="8">
        <f>TRUNC((K6)*D7%,1)</f>
        <v>0</v>
      </c>
      <c r="N7" s="12" t="s">
        <v>0</v>
      </c>
    </row>
    <row r="8" spans="1:14" ht="15" customHeight="1">
      <c r="A8" s="16"/>
      <c r="B8" s="15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12"/>
    </row>
    <row r="9" spans="1:14" ht="15" customHeight="1">
      <c r="A9" s="64">
        <f>A5+1</f>
        <v>42</v>
      </c>
      <c r="B9" s="46" t="s">
        <v>300</v>
      </c>
      <c r="C9" s="47" t="s">
        <v>177</v>
      </c>
      <c r="D9" s="47">
        <v>1</v>
      </c>
      <c r="E9" s="47" t="s">
        <v>3</v>
      </c>
      <c r="F9" s="51"/>
      <c r="G9" s="50">
        <f t="shared" ref="G9" si="1">I9+K9+M9</f>
        <v>22056</v>
      </c>
      <c r="H9" s="51"/>
      <c r="I9" s="50">
        <f>TRUNC(I10+I11,0)</f>
        <v>0</v>
      </c>
      <c r="J9" s="51"/>
      <c r="K9" s="50">
        <f>TRUNC(K10+K11,0)</f>
        <v>21006</v>
      </c>
      <c r="L9" s="51"/>
      <c r="M9" s="50">
        <f>TRUNC(M10+M11,0)</f>
        <v>1050</v>
      </c>
      <c r="N9" s="63" t="s">
        <v>301</v>
      </c>
    </row>
    <row r="10" spans="1:14" ht="15" customHeight="1">
      <c r="A10" s="13"/>
      <c r="B10" s="14" t="s">
        <v>261</v>
      </c>
      <c r="C10" s="1" t="s">
        <v>32</v>
      </c>
      <c r="D10" s="3">
        <v>0.08</v>
      </c>
      <c r="E10" s="1" t="s">
        <v>24</v>
      </c>
      <c r="F10" s="4">
        <f>H10+J10+L10</f>
        <v>262580</v>
      </c>
      <c r="G10" s="8">
        <f>I10+K10+M10</f>
        <v>21006.400000000001</v>
      </c>
      <c r="H10" s="4">
        <v>0</v>
      </c>
      <c r="I10" s="8"/>
      <c r="J10" s="4">
        <f>노임!$D$10</f>
        <v>262580</v>
      </c>
      <c r="K10" s="8">
        <f>TRUNC(J10*D10,1)</f>
        <v>21006.400000000001</v>
      </c>
      <c r="L10" s="4">
        <v>0</v>
      </c>
      <c r="M10" s="8"/>
      <c r="N10" s="12" t="s">
        <v>0</v>
      </c>
    </row>
    <row r="11" spans="1:14" ht="15" customHeight="1">
      <c r="A11" s="13"/>
      <c r="B11" s="14" t="s">
        <v>288</v>
      </c>
      <c r="C11" s="1" t="s">
        <v>29</v>
      </c>
      <c r="D11" s="3">
        <v>5</v>
      </c>
      <c r="E11" s="1" t="s">
        <v>28</v>
      </c>
      <c r="F11" s="4">
        <f>H11+J11+L11</f>
        <v>0</v>
      </c>
      <c r="G11" s="8">
        <f t="shared" ref="G11" si="2">I11+K11+M11</f>
        <v>1050.3</v>
      </c>
      <c r="H11" s="2"/>
      <c r="I11" s="8"/>
      <c r="J11" s="2"/>
      <c r="K11" s="8">
        <v>0</v>
      </c>
      <c r="L11" s="2"/>
      <c r="M11" s="8">
        <f>TRUNC((K10)*D11%,1)</f>
        <v>1050.3</v>
      </c>
      <c r="N11" s="12" t="s">
        <v>0</v>
      </c>
    </row>
    <row r="12" spans="1:14" ht="15" customHeight="1">
      <c r="A12" s="16"/>
      <c r="B12" s="15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12"/>
    </row>
    <row r="13" spans="1:14" ht="15" customHeight="1">
      <c r="A13" s="64">
        <f>A9+1</f>
        <v>43</v>
      </c>
      <c r="B13" s="46" t="s">
        <v>300</v>
      </c>
      <c r="C13" s="47" t="s">
        <v>178</v>
      </c>
      <c r="D13" s="47">
        <v>1</v>
      </c>
      <c r="E13" s="47" t="s">
        <v>3</v>
      </c>
      <c r="F13" s="51"/>
      <c r="G13" s="50">
        <f t="shared" ref="G13" si="3">I13+K13+M13</f>
        <v>27570</v>
      </c>
      <c r="H13" s="51"/>
      <c r="I13" s="50">
        <f>TRUNC(I14+I15,0)</f>
        <v>0</v>
      </c>
      <c r="J13" s="51"/>
      <c r="K13" s="50">
        <f>TRUNC(K14+K15,0)</f>
        <v>26258</v>
      </c>
      <c r="L13" s="51"/>
      <c r="M13" s="50">
        <f>TRUNC(M14+M15,0)</f>
        <v>1312</v>
      </c>
      <c r="N13" s="63" t="str">
        <f>N9</f>
        <v>토목6-2-4</v>
      </c>
    </row>
    <row r="14" spans="1:14" ht="15" customHeight="1">
      <c r="A14" s="13"/>
      <c r="B14" s="14" t="s">
        <v>261</v>
      </c>
      <c r="C14" s="1" t="s">
        <v>32</v>
      </c>
      <c r="D14" s="3">
        <v>0.1</v>
      </c>
      <c r="E14" s="1" t="s">
        <v>24</v>
      </c>
      <c r="F14" s="4">
        <f>H14+J14+L14</f>
        <v>262580</v>
      </c>
      <c r="G14" s="8">
        <f>I14+K14+M14</f>
        <v>26258</v>
      </c>
      <c r="H14" s="4">
        <v>0</v>
      </c>
      <c r="I14" s="8"/>
      <c r="J14" s="4">
        <f>노임!$D$10</f>
        <v>262580</v>
      </c>
      <c r="K14" s="8">
        <f>TRUNC(J14*D14,1)</f>
        <v>26258</v>
      </c>
      <c r="L14" s="4">
        <v>0</v>
      </c>
      <c r="M14" s="8"/>
      <c r="N14" s="12" t="s">
        <v>0</v>
      </c>
    </row>
    <row r="15" spans="1:14" ht="15" customHeight="1">
      <c r="A15" s="13"/>
      <c r="B15" s="14" t="s">
        <v>288</v>
      </c>
      <c r="C15" s="1" t="s">
        <v>29</v>
      </c>
      <c r="D15" s="3">
        <v>5</v>
      </c>
      <c r="E15" s="1" t="s">
        <v>28</v>
      </c>
      <c r="F15" s="4">
        <f>H15+J15+L15</f>
        <v>0</v>
      </c>
      <c r="G15" s="8">
        <f t="shared" ref="G15" si="4">I15+K15+M15</f>
        <v>1312.9</v>
      </c>
      <c r="H15" s="2"/>
      <c r="I15" s="8"/>
      <c r="J15" s="2"/>
      <c r="K15" s="8">
        <v>0</v>
      </c>
      <c r="L15" s="2"/>
      <c r="M15" s="8">
        <f>TRUNC((K14)*D15%,1)</f>
        <v>1312.9</v>
      </c>
      <c r="N15" s="12" t="s">
        <v>0</v>
      </c>
    </row>
    <row r="16" spans="1:14" ht="15" customHeight="1">
      <c r="A16" s="16"/>
      <c r="B16" s="15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12"/>
    </row>
    <row r="17" spans="1:14" ht="15" customHeight="1">
      <c r="A17" s="64">
        <f>A13+1</f>
        <v>44</v>
      </c>
      <c r="B17" s="46" t="s">
        <v>300</v>
      </c>
      <c r="C17" s="47" t="s">
        <v>179</v>
      </c>
      <c r="D17" s="47">
        <v>1</v>
      </c>
      <c r="E17" s="47" t="s">
        <v>3</v>
      </c>
      <c r="F17" s="51"/>
      <c r="G17" s="50">
        <f t="shared" ref="G17" si="5">I17+K17+M17</f>
        <v>33084</v>
      </c>
      <c r="H17" s="51"/>
      <c r="I17" s="50">
        <f>TRUNC(I18+I19,0)</f>
        <v>0</v>
      </c>
      <c r="J17" s="51"/>
      <c r="K17" s="50">
        <f>TRUNC(K18+K19,0)</f>
        <v>31509</v>
      </c>
      <c r="L17" s="51"/>
      <c r="M17" s="50">
        <f>TRUNC(M18+M19,0)</f>
        <v>1575</v>
      </c>
      <c r="N17" s="63" t="str">
        <f>N13</f>
        <v>토목6-2-4</v>
      </c>
    </row>
    <row r="18" spans="1:14" ht="15" customHeight="1">
      <c r="A18" s="13"/>
      <c r="B18" s="14" t="s">
        <v>261</v>
      </c>
      <c r="C18" s="1" t="s">
        <v>32</v>
      </c>
      <c r="D18" s="3">
        <v>0.12</v>
      </c>
      <c r="E18" s="1" t="s">
        <v>24</v>
      </c>
      <c r="F18" s="4">
        <f>H18+J18+L18</f>
        <v>262580</v>
      </c>
      <c r="G18" s="8">
        <f>I18+K18+M18</f>
        <v>31509.599999999999</v>
      </c>
      <c r="H18" s="4">
        <v>0</v>
      </c>
      <c r="I18" s="8"/>
      <c r="J18" s="4">
        <f>노임!$D$10</f>
        <v>262580</v>
      </c>
      <c r="K18" s="8">
        <f>TRUNC(J18*D18,1)</f>
        <v>31509.599999999999</v>
      </c>
      <c r="L18" s="4">
        <v>0</v>
      </c>
      <c r="M18" s="8"/>
      <c r="N18" s="12" t="s">
        <v>0</v>
      </c>
    </row>
    <row r="19" spans="1:14" ht="15" customHeight="1">
      <c r="A19" s="13"/>
      <c r="B19" s="14" t="s">
        <v>288</v>
      </c>
      <c r="C19" s="1" t="s">
        <v>29</v>
      </c>
      <c r="D19" s="3">
        <v>5</v>
      </c>
      <c r="E19" s="1" t="s">
        <v>28</v>
      </c>
      <c r="F19" s="4">
        <f>H19+J19+L19</f>
        <v>0</v>
      </c>
      <c r="G19" s="8">
        <f t="shared" ref="G19" si="6">I19+K19+M19</f>
        <v>1575.4</v>
      </c>
      <c r="H19" s="2"/>
      <c r="I19" s="8"/>
      <c r="J19" s="2"/>
      <c r="K19" s="8">
        <v>0</v>
      </c>
      <c r="L19" s="2"/>
      <c r="M19" s="8">
        <f>TRUNC((K18)*D19%,1)</f>
        <v>1575.4</v>
      </c>
      <c r="N19" s="12" t="s">
        <v>0</v>
      </c>
    </row>
    <row r="20" spans="1:14" ht="15" customHeight="1">
      <c r="A20" s="16"/>
      <c r="B20" s="15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12"/>
    </row>
    <row r="21" spans="1:14" ht="15" customHeight="1">
      <c r="A21" s="64">
        <f>A17+1</f>
        <v>45</v>
      </c>
      <c r="B21" s="46" t="s">
        <v>300</v>
      </c>
      <c r="C21" s="47" t="s">
        <v>180</v>
      </c>
      <c r="D21" s="47">
        <v>1</v>
      </c>
      <c r="E21" s="47" t="s">
        <v>3</v>
      </c>
      <c r="F21" s="51"/>
      <c r="G21" s="50">
        <f t="shared" ref="G21" si="7">I21+K21+M21</f>
        <v>38599</v>
      </c>
      <c r="H21" s="51"/>
      <c r="I21" s="50">
        <f>TRUNC(I22+I23,0)</f>
        <v>0</v>
      </c>
      <c r="J21" s="51"/>
      <c r="K21" s="50">
        <f>TRUNC(K22+K23,0)</f>
        <v>36761</v>
      </c>
      <c r="L21" s="51"/>
      <c r="M21" s="50">
        <f>TRUNC(M22+M23,0)</f>
        <v>1838</v>
      </c>
      <c r="N21" s="63" t="str">
        <f>N17</f>
        <v>토목6-2-4</v>
      </c>
    </row>
    <row r="22" spans="1:14" ht="15" customHeight="1">
      <c r="A22" s="13"/>
      <c r="B22" s="14" t="s">
        <v>261</v>
      </c>
      <c r="C22" s="1" t="s">
        <v>32</v>
      </c>
      <c r="D22" s="3">
        <v>0.14000000000000001</v>
      </c>
      <c r="E22" s="1" t="s">
        <v>24</v>
      </c>
      <c r="F22" s="4">
        <f>H22+J22+L22</f>
        <v>262580</v>
      </c>
      <c r="G22" s="8">
        <f>I22+K22+M22</f>
        <v>36761.199999999997</v>
      </c>
      <c r="H22" s="4">
        <v>0</v>
      </c>
      <c r="I22" s="8"/>
      <c r="J22" s="4">
        <f>노임!$D$10</f>
        <v>262580</v>
      </c>
      <c r="K22" s="8">
        <f>TRUNC(J22*D22,1)</f>
        <v>36761.199999999997</v>
      </c>
      <c r="L22" s="4">
        <v>0</v>
      </c>
      <c r="M22" s="8"/>
      <c r="N22" s="12" t="s">
        <v>0</v>
      </c>
    </row>
    <row r="23" spans="1:14" ht="15" customHeight="1">
      <c r="A23" s="13"/>
      <c r="B23" s="14" t="s">
        <v>288</v>
      </c>
      <c r="C23" s="1" t="s">
        <v>29</v>
      </c>
      <c r="D23" s="3">
        <v>5</v>
      </c>
      <c r="E23" s="1" t="s">
        <v>28</v>
      </c>
      <c r="F23" s="4">
        <f>H23+J23+L23</f>
        <v>0</v>
      </c>
      <c r="G23" s="8">
        <f t="shared" ref="G23" si="8">I23+K23+M23</f>
        <v>1838</v>
      </c>
      <c r="H23" s="2"/>
      <c r="I23" s="8"/>
      <c r="J23" s="2"/>
      <c r="K23" s="8">
        <v>0</v>
      </c>
      <c r="L23" s="2"/>
      <c r="M23" s="8">
        <f>TRUNC((K22)*D23%,1)</f>
        <v>1838</v>
      </c>
      <c r="N23" s="12" t="s">
        <v>0</v>
      </c>
    </row>
    <row r="24" spans="1:14" ht="15" customHeight="1">
      <c r="A24" s="16"/>
      <c r="B24" s="15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12"/>
    </row>
    <row r="25" spans="1:14" ht="15" customHeight="1">
      <c r="A25" s="64">
        <f>A21+1</f>
        <v>46</v>
      </c>
      <c r="B25" s="46" t="s">
        <v>300</v>
      </c>
      <c r="C25" s="47" t="s">
        <v>181</v>
      </c>
      <c r="D25" s="47">
        <v>1</v>
      </c>
      <c r="E25" s="47" t="s">
        <v>3</v>
      </c>
      <c r="F25" s="51"/>
      <c r="G25" s="50">
        <f t="shared" ref="G25" si="9">I25+K25+M25</f>
        <v>44112</v>
      </c>
      <c r="H25" s="51"/>
      <c r="I25" s="50">
        <f>TRUNC(I26+I27,0)</f>
        <v>0</v>
      </c>
      <c r="J25" s="51"/>
      <c r="K25" s="50">
        <f>TRUNC(K26+K27,0)</f>
        <v>42012</v>
      </c>
      <c r="L25" s="51"/>
      <c r="M25" s="50">
        <f>TRUNC(M26+M27,0)</f>
        <v>2100</v>
      </c>
      <c r="N25" s="63" t="str">
        <f>N17</f>
        <v>토목6-2-4</v>
      </c>
    </row>
    <row r="26" spans="1:14" ht="15" customHeight="1">
      <c r="A26" s="13"/>
      <c r="B26" s="14" t="s">
        <v>261</v>
      </c>
      <c r="C26" s="1" t="s">
        <v>32</v>
      </c>
      <c r="D26" s="3">
        <v>0.16</v>
      </c>
      <c r="E26" s="1" t="s">
        <v>24</v>
      </c>
      <c r="F26" s="4">
        <f>H26+J26+L26</f>
        <v>262580</v>
      </c>
      <c r="G26" s="8">
        <f>I26+K26+M26</f>
        <v>42012.800000000003</v>
      </c>
      <c r="H26" s="4">
        <v>0</v>
      </c>
      <c r="I26" s="8"/>
      <c r="J26" s="4">
        <f>노임!$D$10</f>
        <v>262580</v>
      </c>
      <c r="K26" s="8">
        <f>TRUNC(J26*D26,1)</f>
        <v>42012.800000000003</v>
      </c>
      <c r="L26" s="4">
        <v>0</v>
      </c>
      <c r="M26" s="8"/>
      <c r="N26" s="12" t="s">
        <v>0</v>
      </c>
    </row>
    <row r="27" spans="1:14" ht="15" customHeight="1">
      <c r="A27" s="13"/>
      <c r="B27" s="14" t="s">
        <v>288</v>
      </c>
      <c r="C27" s="1" t="s">
        <v>29</v>
      </c>
      <c r="D27" s="3">
        <v>5</v>
      </c>
      <c r="E27" s="1" t="s">
        <v>28</v>
      </c>
      <c r="F27" s="4">
        <f>H27+J27+L27</f>
        <v>0</v>
      </c>
      <c r="G27" s="8">
        <f t="shared" ref="G27" si="10">I27+K27+M27</f>
        <v>2100.6</v>
      </c>
      <c r="H27" s="2"/>
      <c r="I27" s="8"/>
      <c r="J27" s="2"/>
      <c r="K27" s="8">
        <v>0</v>
      </c>
      <c r="L27" s="2"/>
      <c r="M27" s="8">
        <f>TRUNC((K26)*D27%,1)</f>
        <v>2100.6</v>
      </c>
      <c r="N27" s="12" t="s">
        <v>0</v>
      </c>
    </row>
    <row r="28" spans="1:14" ht="15" customHeight="1">
      <c r="A28" s="16"/>
      <c r="B28" s="15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12"/>
    </row>
    <row r="29" spans="1:14" ht="15" customHeight="1">
      <c r="A29" s="64">
        <f>A25+1</f>
        <v>47</v>
      </c>
      <c r="B29" s="46" t="s">
        <v>300</v>
      </c>
      <c r="C29" s="47" t="s">
        <v>183</v>
      </c>
      <c r="D29" s="47">
        <v>1</v>
      </c>
      <c r="E29" s="47" t="s">
        <v>3</v>
      </c>
      <c r="F29" s="51"/>
      <c r="G29" s="50">
        <f t="shared" ref="G29" si="11">I29+K29+M29</f>
        <v>55141</v>
      </c>
      <c r="H29" s="51"/>
      <c r="I29" s="50">
        <f>TRUNC(I30+I31,0)</f>
        <v>0</v>
      </c>
      <c r="J29" s="51"/>
      <c r="K29" s="50">
        <f>TRUNC(K30+K31,0)</f>
        <v>52516</v>
      </c>
      <c r="L29" s="51"/>
      <c r="M29" s="50">
        <f>TRUNC(M30+M31,0)</f>
        <v>2625</v>
      </c>
      <c r="N29" s="63" t="str">
        <f>N25</f>
        <v>토목6-2-4</v>
      </c>
    </row>
    <row r="30" spans="1:14" ht="15" customHeight="1">
      <c r="A30" s="13"/>
      <c r="B30" s="14" t="s">
        <v>261</v>
      </c>
      <c r="C30" s="1" t="s">
        <v>32</v>
      </c>
      <c r="D30" s="3">
        <v>0.2</v>
      </c>
      <c r="E30" s="1" t="s">
        <v>24</v>
      </c>
      <c r="F30" s="4">
        <f>H30+J30+L30</f>
        <v>262580</v>
      </c>
      <c r="G30" s="8">
        <f>I30+K30+M30</f>
        <v>52516</v>
      </c>
      <c r="H30" s="4">
        <v>0</v>
      </c>
      <c r="I30" s="8"/>
      <c r="J30" s="4">
        <f>노임!$D$10</f>
        <v>262580</v>
      </c>
      <c r="K30" s="8">
        <f>TRUNC(J30*D30,1)</f>
        <v>52516</v>
      </c>
      <c r="L30" s="4">
        <v>0</v>
      </c>
      <c r="M30" s="8"/>
      <c r="N30" s="12" t="s">
        <v>0</v>
      </c>
    </row>
    <row r="31" spans="1:14" ht="15" customHeight="1">
      <c r="A31" s="13"/>
      <c r="B31" s="14" t="s">
        <v>288</v>
      </c>
      <c r="C31" s="1" t="s">
        <v>29</v>
      </c>
      <c r="D31" s="3">
        <v>5</v>
      </c>
      <c r="E31" s="1" t="s">
        <v>28</v>
      </c>
      <c r="F31" s="4">
        <f>H31+J31+L31</f>
        <v>0</v>
      </c>
      <c r="G31" s="8">
        <f t="shared" ref="G31" si="12">I31+K31+M31</f>
        <v>2625.8</v>
      </c>
      <c r="H31" s="2"/>
      <c r="I31" s="8"/>
      <c r="J31" s="2"/>
      <c r="K31" s="8">
        <v>0</v>
      </c>
      <c r="L31" s="2"/>
      <c r="M31" s="8">
        <f>TRUNC((K30)*D31%,1)</f>
        <v>2625.8</v>
      </c>
      <c r="N31" s="12" t="s">
        <v>0</v>
      </c>
    </row>
    <row r="32" spans="1:14" ht="15" customHeight="1">
      <c r="A32" s="16"/>
      <c r="B32" s="15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12"/>
    </row>
    <row r="33" spans="1:14" ht="15" customHeight="1">
      <c r="A33" s="64">
        <f>A29+1</f>
        <v>48</v>
      </c>
      <c r="B33" s="46" t="s">
        <v>300</v>
      </c>
      <c r="C33" s="47" t="s">
        <v>185</v>
      </c>
      <c r="D33" s="47">
        <v>1</v>
      </c>
      <c r="E33" s="47" t="s">
        <v>3</v>
      </c>
      <c r="F33" s="51"/>
      <c r="G33" s="50">
        <f t="shared" ref="G33" si="13">I33+K33+M33</f>
        <v>60655</v>
      </c>
      <c r="H33" s="51"/>
      <c r="I33" s="50">
        <f>TRUNC(I34+I35,0)</f>
        <v>0</v>
      </c>
      <c r="J33" s="51"/>
      <c r="K33" s="50">
        <f>TRUNC(K34+K35,0)</f>
        <v>57767</v>
      </c>
      <c r="L33" s="51"/>
      <c r="M33" s="50">
        <f>TRUNC(M34+M35,0)</f>
        <v>2888</v>
      </c>
      <c r="N33" s="63" t="str">
        <f>N29</f>
        <v>토목6-2-4</v>
      </c>
    </row>
    <row r="34" spans="1:14" ht="15" customHeight="1">
      <c r="A34" s="13"/>
      <c r="B34" s="14" t="s">
        <v>261</v>
      </c>
      <c r="C34" s="1" t="s">
        <v>32</v>
      </c>
      <c r="D34" s="3">
        <v>0.22</v>
      </c>
      <c r="E34" s="1" t="s">
        <v>24</v>
      </c>
      <c r="F34" s="4">
        <f>H34+J34+L34</f>
        <v>262580</v>
      </c>
      <c r="G34" s="8">
        <f>I34+K34+M34</f>
        <v>57767.6</v>
      </c>
      <c r="H34" s="4">
        <v>0</v>
      </c>
      <c r="I34" s="8"/>
      <c r="J34" s="4">
        <f>노임!$D$10</f>
        <v>262580</v>
      </c>
      <c r="K34" s="8">
        <f>TRUNC(J34*D34,1)</f>
        <v>57767.6</v>
      </c>
      <c r="L34" s="4">
        <v>0</v>
      </c>
      <c r="M34" s="8"/>
      <c r="N34" s="12" t="s">
        <v>0</v>
      </c>
    </row>
    <row r="35" spans="1:14" ht="15" customHeight="1">
      <c r="A35" s="13"/>
      <c r="B35" s="14" t="s">
        <v>288</v>
      </c>
      <c r="C35" s="1" t="s">
        <v>29</v>
      </c>
      <c r="D35" s="3">
        <v>5</v>
      </c>
      <c r="E35" s="1" t="s">
        <v>28</v>
      </c>
      <c r="F35" s="4">
        <f>H35+J35+L35</f>
        <v>0</v>
      </c>
      <c r="G35" s="8">
        <f t="shared" ref="G35" si="14">I35+K35+M35</f>
        <v>2888.3</v>
      </c>
      <c r="H35" s="2"/>
      <c r="I35" s="8"/>
      <c r="J35" s="2"/>
      <c r="K35" s="8">
        <v>0</v>
      </c>
      <c r="L35" s="2"/>
      <c r="M35" s="8">
        <f>TRUNC((K34)*D35%,1)</f>
        <v>2888.3</v>
      </c>
      <c r="N35" s="12" t="s">
        <v>0</v>
      </c>
    </row>
    <row r="36" spans="1:14" ht="15" customHeight="1">
      <c r="A36" s="16"/>
      <c r="B36" s="15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12"/>
    </row>
    <row r="37" spans="1:14" ht="15" customHeight="1">
      <c r="A37" s="64">
        <f>A33+1</f>
        <v>49</v>
      </c>
      <c r="B37" s="46" t="s">
        <v>300</v>
      </c>
      <c r="C37" s="47" t="s">
        <v>184</v>
      </c>
      <c r="D37" s="47">
        <v>1</v>
      </c>
      <c r="E37" s="47" t="s">
        <v>3</v>
      </c>
      <c r="F37" s="51"/>
      <c r="G37" s="50">
        <f t="shared" ref="G37" si="15">I37+K37+M37</f>
        <v>66169</v>
      </c>
      <c r="H37" s="51"/>
      <c r="I37" s="50">
        <f>TRUNC(I38+I39,0)</f>
        <v>0</v>
      </c>
      <c r="J37" s="51"/>
      <c r="K37" s="50">
        <f>TRUNC(K38+K39,0)</f>
        <v>63019</v>
      </c>
      <c r="L37" s="51"/>
      <c r="M37" s="50">
        <f>TRUNC(M38+M39,0)</f>
        <v>3150</v>
      </c>
      <c r="N37" s="63" t="str">
        <f>N29</f>
        <v>토목6-2-4</v>
      </c>
    </row>
    <row r="38" spans="1:14" ht="15" customHeight="1">
      <c r="A38" s="13"/>
      <c r="B38" s="14" t="s">
        <v>261</v>
      </c>
      <c r="C38" s="1" t="s">
        <v>32</v>
      </c>
      <c r="D38" s="3">
        <v>0.24</v>
      </c>
      <c r="E38" s="1" t="s">
        <v>24</v>
      </c>
      <c r="F38" s="4">
        <f>H38+J38+L38</f>
        <v>262580</v>
      </c>
      <c r="G38" s="8">
        <f>I38+K38+M38</f>
        <v>63019.199999999997</v>
      </c>
      <c r="H38" s="4">
        <v>0</v>
      </c>
      <c r="I38" s="8"/>
      <c r="J38" s="4">
        <f>노임!$D$10</f>
        <v>262580</v>
      </c>
      <c r="K38" s="8">
        <f>TRUNC(J38*D38,1)</f>
        <v>63019.199999999997</v>
      </c>
      <c r="L38" s="4">
        <v>0</v>
      </c>
      <c r="M38" s="8"/>
      <c r="N38" s="12" t="s">
        <v>0</v>
      </c>
    </row>
    <row r="39" spans="1:14" ht="15" customHeight="1">
      <c r="A39" s="13"/>
      <c r="B39" s="14" t="s">
        <v>288</v>
      </c>
      <c r="C39" s="1" t="s">
        <v>29</v>
      </c>
      <c r="D39" s="3">
        <v>5</v>
      </c>
      <c r="E39" s="1" t="s">
        <v>28</v>
      </c>
      <c r="F39" s="4">
        <f>H39+J39+L39</f>
        <v>0</v>
      </c>
      <c r="G39" s="8">
        <f t="shared" ref="G39" si="16">I39+K39+M39</f>
        <v>3150.9</v>
      </c>
      <c r="H39" s="2"/>
      <c r="I39" s="8"/>
      <c r="J39" s="2"/>
      <c r="K39" s="8">
        <v>0</v>
      </c>
      <c r="L39" s="2"/>
      <c r="M39" s="8">
        <f>TRUNC((K38)*D39%,1)</f>
        <v>3150.9</v>
      </c>
      <c r="N39" s="12" t="s">
        <v>0</v>
      </c>
    </row>
    <row r="40" spans="1:14" ht="15" customHeight="1">
      <c r="A40" s="16"/>
      <c r="B40" s="15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12"/>
    </row>
    <row r="41" spans="1:14" ht="15" customHeight="1">
      <c r="A41" s="64">
        <f>A37+1</f>
        <v>50</v>
      </c>
      <c r="B41" s="46" t="s">
        <v>300</v>
      </c>
      <c r="C41" s="47" t="s">
        <v>186</v>
      </c>
      <c r="D41" s="47">
        <v>1</v>
      </c>
      <c r="E41" s="47" t="s">
        <v>3</v>
      </c>
      <c r="F41" s="51"/>
      <c r="G41" s="50">
        <f t="shared" ref="G41" si="17">I41+K41+M41</f>
        <v>77198</v>
      </c>
      <c r="H41" s="51"/>
      <c r="I41" s="50">
        <f>TRUNC(I42+I43,0)</f>
        <v>0</v>
      </c>
      <c r="J41" s="51"/>
      <c r="K41" s="50">
        <f>TRUNC(K42+K43,0)</f>
        <v>73522</v>
      </c>
      <c r="L41" s="51"/>
      <c r="M41" s="50">
        <f>TRUNC(M42+M43,0)</f>
        <v>3676</v>
      </c>
      <c r="N41" s="63" t="str">
        <f>N37</f>
        <v>토목6-2-4</v>
      </c>
    </row>
    <row r="42" spans="1:14" ht="15" customHeight="1">
      <c r="A42" s="13"/>
      <c r="B42" s="14" t="s">
        <v>261</v>
      </c>
      <c r="C42" s="1" t="s">
        <v>32</v>
      </c>
      <c r="D42" s="3">
        <v>0.28000000000000003</v>
      </c>
      <c r="E42" s="1" t="s">
        <v>24</v>
      </c>
      <c r="F42" s="4">
        <f>H42+J42+L42</f>
        <v>262580</v>
      </c>
      <c r="G42" s="8">
        <f>I42+K42+M42</f>
        <v>73522.399999999994</v>
      </c>
      <c r="H42" s="4">
        <v>0</v>
      </c>
      <c r="I42" s="8"/>
      <c r="J42" s="4">
        <f>노임!$D$10</f>
        <v>262580</v>
      </c>
      <c r="K42" s="8">
        <f>TRUNC(J42*D42,1)</f>
        <v>73522.399999999994</v>
      </c>
      <c r="L42" s="4">
        <v>0</v>
      </c>
      <c r="M42" s="8"/>
      <c r="N42" s="12" t="s">
        <v>0</v>
      </c>
    </row>
    <row r="43" spans="1:14" ht="15" customHeight="1">
      <c r="A43" s="13"/>
      <c r="B43" s="14" t="s">
        <v>288</v>
      </c>
      <c r="C43" s="1" t="s">
        <v>29</v>
      </c>
      <c r="D43" s="3">
        <v>5</v>
      </c>
      <c r="E43" s="1" t="s">
        <v>28</v>
      </c>
      <c r="F43" s="4">
        <f>H43+J43+L43</f>
        <v>0</v>
      </c>
      <c r="G43" s="8">
        <f t="shared" ref="G43" si="18">I43+K43+M43</f>
        <v>3676.1</v>
      </c>
      <c r="H43" s="2"/>
      <c r="I43" s="8"/>
      <c r="J43" s="2"/>
      <c r="K43" s="8">
        <v>0</v>
      </c>
      <c r="L43" s="2"/>
      <c r="M43" s="8">
        <f>TRUNC((K42)*D43%,1)</f>
        <v>3676.1</v>
      </c>
      <c r="N43" s="12" t="s">
        <v>0</v>
      </c>
    </row>
    <row r="44" spans="1:14" ht="15" customHeight="1">
      <c r="A44" s="16"/>
      <c r="B44" s="15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12"/>
    </row>
    <row r="45" spans="1:14" ht="15" customHeight="1">
      <c r="A45" s="64">
        <f>A41+1</f>
        <v>51</v>
      </c>
      <c r="B45" s="46" t="s">
        <v>300</v>
      </c>
      <c r="C45" s="47" t="s">
        <v>187</v>
      </c>
      <c r="D45" s="47">
        <v>1</v>
      </c>
      <c r="E45" s="47" t="s">
        <v>3</v>
      </c>
      <c r="F45" s="51"/>
      <c r="G45" s="50">
        <f t="shared" ref="G45" si="19">I45+K45+M45</f>
        <v>88226</v>
      </c>
      <c r="H45" s="51"/>
      <c r="I45" s="50">
        <f>TRUNC(I46+I47,0)</f>
        <v>0</v>
      </c>
      <c r="J45" s="51"/>
      <c r="K45" s="50">
        <f>TRUNC(K46+K47,0)</f>
        <v>84025</v>
      </c>
      <c r="L45" s="51"/>
      <c r="M45" s="50">
        <f>TRUNC(M46+M47,0)</f>
        <v>4201</v>
      </c>
      <c r="N45" s="63" t="str">
        <f>N41</f>
        <v>토목6-2-4</v>
      </c>
    </row>
    <row r="46" spans="1:14" ht="15" customHeight="1">
      <c r="A46" s="13"/>
      <c r="B46" s="14" t="s">
        <v>261</v>
      </c>
      <c r="C46" s="1" t="s">
        <v>32</v>
      </c>
      <c r="D46" s="3">
        <v>0.32</v>
      </c>
      <c r="E46" s="1" t="s">
        <v>24</v>
      </c>
      <c r="F46" s="4">
        <f>H46+J46+L46</f>
        <v>262580</v>
      </c>
      <c r="G46" s="8">
        <f>I46+K46+M46</f>
        <v>84025.600000000006</v>
      </c>
      <c r="H46" s="4">
        <v>0</v>
      </c>
      <c r="I46" s="8"/>
      <c r="J46" s="4">
        <f>노임!$D$10</f>
        <v>262580</v>
      </c>
      <c r="K46" s="8">
        <f>TRUNC(J46*D46,1)</f>
        <v>84025.600000000006</v>
      </c>
      <c r="L46" s="4">
        <v>0</v>
      </c>
      <c r="M46" s="8"/>
      <c r="N46" s="12" t="s">
        <v>0</v>
      </c>
    </row>
    <row r="47" spans="1:14" ht="15" customHeight="1">
      <c r="A47" s="13"/>
      <c r="B47" s="14" t="s">
        <v>288</v>
      </c>
      <c r="C47" s="1" t="s">
        <v>29</v>
      </c>
      <c r="D47" s="3">
        <v>5</v>
      </c>
      <c r="E47" s="1" t="s">
        <v>28</v>
      </c>
      <c r="F47" s="4">
        <f>H47+J47+L47</f>
        <v>0</v>
      </c>
      <c r="G47" s="8">
        <f t="shared" ref="G47" si="20">I47+K47+M47</f>
        <v>4201.2</v>
      </c>
      <c r="H47" s="2"/>
      <c r="I47" s="8"/>
      <c r="J47" s="2"/>
      <c r="K47" s="8">
        <v>0</v>
      </c>
      <c r="L47" s="2"/>
      <c r="M47" s="8">
        <f>TRUNC((K46)*D47%,1)</f>
        <v>4201.2</v>
      </c>
      <c r="N47" s="12" t="s">
        <v>0</v>
      </c>
    </row>
    <row r="48" spans="1:14" ht="15" customHeight="1">
      <c r="A48" s="16"/>
      <c r="B48" s="15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12"/>
    </row>
    <row r="49" spans="1:14" ht="15" customHeight="1">
      <c r="A49" s="64">
        <f>A45+1</f>
        <v>52</v>
      </c>
      <c r="B49" s="46" t="s">
        <v>300</v>
      </c>
      <c r="C49" s="47" t="s">
        <v>188</v>
      </c>
      <c r="D49" s="47">
        <v>1</v>
      </c>
      <c r="E49" s="47" t="s">
        <v>3</v>
      </c>
      <c r="F49" s="51"/>
      <c r="G49" s="50">
        <f t="shared" ref="G49" si="21">I49+K49+M49</f>
        <v>99254</v>
      </c>
      <c r="H49" s="51"/>
      <c r="I49" s="50">
        <f>TRUNC(I50+I51,0)</f>
        <v>0</v>
      </c>
      <c r="J49" s="51"/>
      <c r="K49" s="50">
        <f>TRUNC(K50+K51,0)</f>
        <v>94528</v>
      </c>
      <c r="L49" s="51"/>
      <c r="M49" s="50">
        <f>TRUNC(M50+M51,0)</f>
        <v>4726</v>
      </c>
      <c r="N49" s="63" t="str">
        <f>N45</f>
        <v>토목6-2-4</v>
      </c>
    </row>
    <row r="50" spans="1:14" ht="15" customHeight="1">
      <c r="A50" s="13"/>
      <c r="B50" s="14" t="s">
        <v>261</v>
      </c>
      <c r="C50" s="1" t="s">
        <v>32</v>
      </c>
      <c r="D50" s="3">
        <v>0.36</v>
      </c>
      <c r="E50" s="1" t="s">
        <v>24</v>
      </c>
      <c r="F50" s="4">
        <f>H50+J50+L50</f>
        <v>262580</v>
      </c>
      <c r="G50" s="8">
        <f>I50+K50+M50</f>
        <v>94528.8</v>
      </c>
      <c r="H50" s="4">
        <v>0</v>
      </c>
      <c r="I50" s="8"/>
      <c r="J50" s="4">
        <f>노임!$D$10</f>
        <v>262580</v>
      </c>
      <c r="K50" s="8">
        <f>TRUNC(J50*D50,1)</f>
        <v>94528.8</v>
      </c>
      <c r="L50" s="4">
        <v>0</v>
      </c>
      <c r="M50" s="8"/>
      <c r="N50" s="12" t="s">
        <v>0</v>
      </c>
    </row>
    <row r="51" spans="1:14" ht="15" customHeight="1">
      <c r="A51" s="13"/>
      <c r="B51" s="14" t="s">
        <v>288</v>
      </c>
      <c r="C51" s="1" t="s">
        <v>29</v>
      </c>
      <c r="D51" s="3">
        <v>5</v>
      </c>
      <c r="E51" s="1" t="s">
        <v>28</v>
      </c>
      <c r="F51" s="4">
        <f>H51+J51+L51</f>
        <v>0</v>
      </c>
      <c r="G51" s="8">
        <f t="shared" ref="G51" si="22">I51+K51+M51</f>
        <v>4726.3999999999996</v>
      </c>
      <c r="H51" s="2"/>
      <c r="I51" s="8"/>
      <c r="J51" s="2"/>
      <c r="K51" s="8">
        <v>0</v>
      </c>
      <c r="L51" s="2"/>
      <c r="M51" s="8">
        <f>TRUNC((K50)*D51%,1)</f>
        <v>4726.3999999999996</v>
      </c>
      <c r="N51" s="12" t="s">
        <v>0</v>
      </c>
    </row>
    <row r="52" spans="1:14" ht="15" customHeight="1">
      <c r="A52" s="16"/>
      <c r="B52" s="15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12"/>
    </row>
    <row r="53" spans="1:14" ht="15" customHeight="1">
      <c r="A53" s="64">
        <f>A49+1</f>
        <v>53</v>
      </c>
      <c r="B53" s="46" t="s">
        <v>300</v>
      </c>
      <c r="C53" s="47" t="s">
        <v>171</v>
      </c>
      <c r="D53" s="47">
        <v>1</v>
      </c>
      <c r="E53" s="47" t="s">
        <v>3</v>
      </c>
      <c r="F53" s="51"/>
      <c r="G53" s="50">
        <f t="shared" ref="G53" si="23">I53+K53+M53</f>
        <v>110283</v>
      </c>
      <c r="H53" s="51"/>
      <c r="I53" s="50">
        <f>TRUNC(I54+I55,0)</f>
        <v>0</v>
      </c>
      <c r="J53" s="51"/>
      <c r="K53" s="50">
        <f>TRUNC(K54+K55,0)</f>
        <v>105032</v>
      </c>
      <c r="L53" s="51"/>
      <c r="M53" s="50">
        <f>TRUNC(M54+M55,0)</f>
        <v>5251</v>
      </c>
      <c r="N53" s="63" t="str">
        <f>N49</f>
        <v>토목6-2-4</v>
      </c>
    </row>
    <row r="54" spans="1:14" ht="15" customHeight="1">
      <c r="A54" s="13"/>
      <c r="B54" s="14" t="s">
        <v>261</v>
      </c>
      <c r="C54" s="1" t="s">
        <v>32</v>
      </c>
      <c r="D54" s="3">
        <v>0.4</v>
      </c>
      <c r="E54" s="1" t="s">
        <v>24</v>
      </c>
      <c r="F54" s="4">
        <f>H54+J54+L54</f>
        <v>262580</v>
      </c>
      <c r="G54" s="8">
        <f>I54+K54+M54</f>
        <v>105032</v>
      </c>
      <c r="H54" s="4">
        <v>0</v>
      </c>
      <c r="I54" s="8"/>
      <c r="J54" s="4">
        <f>노임!$D$10</f>
        <v>262580</v>
      </c>
      <c r="K54" s="8">
        <f>TRUNC(J54*D54,1)</f>
        <v>105032</v>
      </c>
      <c r="L54" s="4">
        <v>0</v>
      </c>
      <c r="M54" s="8"/>
      <c r="N54" s="12" t="s">
        <v>0</v>
      </c>
    </row>
    <row r="55" spans="1:14" ht="15" customHeight="1">
      <c r="A55" s="13"/>
      <c r="B55" s="14" t="s">
        <v>288</v>
      </c>
      <c r="C55" s="1" t="s">
        <v>29</v>
      </c>
      <c r="D55" s="3">
        <v>5</v>
      </c>
      <c r="E55" s="1" t="s">
        <v>28</v>
      </c>
      <c r="F55" s="4">
        <f>H55+J55+L55</f>
        <v>0</v>
      </c>
      <c r="G55" s="8">
        <f t="shared" ref="G55" si="24">I55+K55+M55</f>
        <v>5251.6</v>
      </c>
      <c r="H55" s="2"/>
      <c r="I55" s="8"/>
      <c r="J55" s="2"/>
      <c r="K55" s="8">
        <v>0</v>
      </c>
      <c r="L55" s="2"/>
      <c r="M55" s="8">
        <f>TRUNC((K54)*D55%,1)</f>
        <v>5251.6</v>
      </c>
      <c r="N55" s="12" t="s">
        <v>0</v>
      </c>
    </row>
    <row r="56" spans="1:14" ht="15" customHeight="1">
      <c r="A56" s="16"/>
      <c r="B56" s="15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12"/>
    </row>
    <row r="57" spans="1:14" ht="15" customHeight="1">
      <c r="A57" s="64">
        <f>A53+1</f>
        <v>54</v>
      </c>
      <c r="B57" s="46" t="s">
        <v>300</v>
      </c>
      <c r="C57" s="47" t="s">
        <v>189</v>
      </c>
      <c r="D57" s="47">
        <v>1</v>
      </c>
      <c r="E57" s="47" t="s">
        <v>3</v>
      </c>
      <c r="F57" s="51"/>
      <c r="G57" s="50">
        <f t="shared" ref="G57" si="25">I57+K57+M57</f>
        <v>121311</v>
      </c>
      <c r="H57" s="51"/>
      <c r="I57" s="50">
        <f>TRUNC(I58+I59,0)</f>
        <v>0</v>
      </c>
      <c r="J57" s="51"/>
      <c r="K57" s="50">
        <f>TRUNC(K58+K59,0)</f>
        <v>115535</v>
      </c>
      <c r="L57" s="51"/>
      <c r="M57" s="50">
        <f>TRUNC(M58+M59,0)</f>
        <v>5776</v>
      </c>
      <c r="N57" s="63" t="str">
        <f>N53</f>
        <v>토목6-2-4</v>
      </c>
    </row>
    <row r="58" spans="1:14" ht="15" customHeight="1">
      <c r="A58" s="13"/>
      <c r="B58" s="14" t="s">
        <v>261</v>
      </c>
      <c r="C58" s="1" t="s">
        <v>32</v>
      </c>
      <c r="D58" s="3">
        <v>0.44</v>
      </c>
      <c r="E58" s="1" t="s">
        <v>24</v>
      </c>
      <c r="F58" s="4">
        <f>H58+J58+L58</f>
        <v>262580</v>
      </c>
      <c r="G58" s="8">
        <f>I58+K58+M58</f>
        <v>115535.2</v>
      </c>
      <c r="H58" s="4">
        <v>0</v>
      </c>
      <c r="I58" s="8"/>
      <c r="J58" s="4">
        <f>노임!$D$10</f>
        <v>262580</v>
      </c>
      <c r="K58" s="8">
        <f>TRUNC(J58*D58,1)</f>
        <v>115535.2</v>
      </c>
      <c r="L58" s="4">
        <v>0</v>
      </c>
      <c r="M58" s="8"/>
      <c r="N58" s="12" t="s">
        <v>0</v>
      </c>
    </row>
    <row r="59" spans="1:14" ht="15" customHeight="1">
      <c r="A59" s="13"/>
      <c r="B59" s="14" t="s">
        <v>288</v>
      </c>
      <c r="C59" s="1" t="s">
        <v>29</v>
      </c>
      <c r="D59" s="3">
        <v>5</v>
      </c>
      <c r="E59" s="1" t="s">
        <v>28</v>
      </c>
      <c r="F59" s="4">
        <f>H59+J59+L59</f>
        <v>0</v>
      </c>
      <c r="G59" s="8">
        <f t="shared" ref="G59" si="26">I59+K59+M59</f>
        <v>5776.7</v>
      </c>
      <c r="H59" s="2"/>
      <c r="I59" s="8"/>
      <c r="J59" s="2"/>
      <c r="K59" s="8">
        <v>0</v>
      </c>
      <c r="L59" s="2"/>
      <c r="M59" s="8">
        <f>TRUNC((K58)*D59%,1)</f>
        <v>5776.7</v>
      </c>
      <c r="N59" s="12" t="s">
        <v>0</v>
      </c>
    </row>
    <row r="60" spans="1:14" ht="15" customHeight="1">
      <c r="A60" s="16"/>
      <c r="B60" s="15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12"/>
    </row>
    <row r="61" spans="1:14" ht="15" customHeight="1">
      <c r="A61" s="64">
        <f>A57+1</f>
        <v>55</v>
      </c>
      <c r="B61" s="46" t="s">
        <v>300</v>
      </c>
      <c r="C61" s="47" t="s">
        <v>190</v>
      </c>
      <c r="D61" s="47">
        <v>1</v>
      </c>
      <c r="E61" s="47" t="s">
        <v>3</v>
      </c>
      <c r="F61" s="51"/>
      <c r="G61" s="50">
        <f t="shared" ref="G61" si="27">I61+K61+M61</f>
        <v>132339</v>
      </c>
      <c r="H61" s="51"/>
      <c r="I61" s="50">
        <f>TRUNC(I62+I63,0)</f>
        <v>0</v>
      </c>
      <c r="J61" s="51"/>
      <c r="K61" s="50">
        <f>TRUNC(K62+K63,0)</f>
        <v>126038</v>
      </c>
      <c r="L61" s="51"/>
      <c r="M61" s="50">
        <f>TRUNC(M62+M63,0)</f>
        <v>6301</v>
      </c>
      <c r="N61" s="63" t="str">
        <f>N57</f>
        <v>토목6-2-4</v>
      </c>
    </row>
    <row r="62" spans="1:14" ht="15" customHeight="1">
      <c r="A62" s="13"/>
      <c r="B62" s="14" t="s">
        <v>261</v>
      </c>
      <c r="C62" s="1" t="s">
        <v>32</v>
      </c>
      <c r="D62" s="3">
        <v>0.48</v>
      </c>
      <c r="E62" s="1" t="s">
        <v>24</v>
      </c>
      <c r="F62" s="4">
        <f>H62+J62+L62</f>
        <v>262580</v>
      </c>
      <c r="G62" s="8">
        <f>I62+K62+M62</f>
        <v>126038.39999999999</v>
      </c>
      <c r="H62" s="4">
        <v>0</v>
      </c>
      <c r="I62" s="8"/>
      <c r="J62" s="4">
        <f>노임!$D$10</f>
        <v>262580</v>
      </c>
      <c r="K62" s="8">
        <f>TRUNC(J62*D62,1)</f>
        <v>126038.39999999999</v>
      </c>
      <c r="L62" s="4">
        <v>0</v>
      </c>
      <c r="M62" s="8"/>
      <c r="N62" s="12" t="s">
        <v>0</v>
      </c>
    </row>
    <row r="63" spans="1:14" ht="15" customHeight="1">
      <c r="A63" s="13"/>
      <c r="B63" s="14" t="s">
        <v>288</v>
      </c>
      <c r="C63" s="1" t="s">
        <v>29</v>
      </c>
      <c r="D63" s="3">
        <v>5</v>
      </c>
      <c r="E63" s="1" t="s">
        <v>28</v>
      </c>
      <c r="F63" s="4">
        <f>H63+J63+L63</f>
        <v>0</v>
      </c>
      <c r="G63" s="8">
        <f t="shared" ref="G63" si="28">I63+K63+M63</f>
        <v>6301.9</v>
      </c>
      <c r="H63" s="2"/>
      <c r="I63" s="8"/>
      <c r="J63" s="2"/>
      <c r="K63" s="8">
        <v>0</v>
      </c>
      <c r="L63" s="2"/>
      <c r="M63" s="8">
        <f>TRUNC((K62)*D63%,1)</f>
        <v>6301.9</v>
      </c>
      <c r="N63" s="12" t="s">
        <v>0</v>
      </c>
    </row>
    <row r="64" spans="1:14" ht="15" customHeight="1">
      <c r="A64" s="16"/>
      <c r="B64" s="15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12"/>
    </row>
    <row r="65" spans="1:14" ht="15" customHeight="1">
      <c r="A65" s="64">
        <f>A61+1</f>
        <v>56</v>
      </c>
      <c r="B65" s="46" t="s">
        <v>300</v>
      </c>
      <c r="C65" s="47" t="s">
        <v>191</v>
      </c>
      <c r="D65" s="47">
        <v>1</v>
      </c>
      <c r="E65" s="47" t="s">
        <v>3</v>
      </c>
      <c r="F65" s="51"/>
      <c r="G65" s="50">
        <f t="shared" ref="G65" si="29">I65+K65+M65</f>
        <v>143368</v>
      </c>
      <c r="H65" s="51"/>
      <c r="I65" s="50">
        <f>TRUNC(I66+I67,0)</f>
        <v>0</v>
      </c>
      <c r="J65" s="51"/>
      <c r="K65" s="50">
        <f>TRUNC(K66+K67,0)</f>
        <v>136541</v>
      </c>
      <c r="L65" s="51"/>
      <c r="M65" s="50">
        <f>TRUNC(M66+M67,0)</f>
        <v>6827</v>
      </c>
      <c r="N65" s="63" t="str">
        <f>N53</f>
        <v>토목6-2-4</v>
      </c>
    </row>
    <row r="66" spans="1:14" ht="15" customHeight="1">
      <c r="A66" s="13"/>
      <c r="B66" s="14" t="s">
        <v>261</v>
      </c>
      <c r="C66" s="1" t="s">
        <v>32</v>
      </c>
      <c r="D66" s="3">
        <v>0.52</v>
      </c>
      <c r="E66" s="1" t="s">
        <v>24</v>
      </c>
      <c r="F66" s="4">
        <f>H66+J66+L66</f>
        <v>262580</v>
      </c>
      <c r="G66" s="8">
        <f>I66+K66+M66</f>
        <v>136541.6</v>
      </c>
      <c r="H66" s="4">
        <v>0</v>
      </c>
      <c r="I66" s="8"/>
      <c r="J66" s="4">
        <f>노임!$D$10</f>
        <v>262580</v>
      </c>
      <c r="K66" s="8">
        <f>TRUNC(J66*D66,1)</f>
        <v>136541.6</v>
      </c>
      <c r="L66" s="4">
        <v>0</v>
      </c>
      <c r="M66" s="8"/>
      <c r="N66" s="12" t="s">
        <v>0</v>
      </c>
    </row>
    <row r="67" spans="1:14" ht="15" customHeight="1">
      <c r="A67" s="13"/>
      <c r="B67" s="14" t="s">
        <v>288</v>
      </c>
      <c r="C67" s="1" t="s">
        <v>29</v>
      </c>
      <c r="D67" s="3">
        <v>5</v>
      </c>
      <c r="E67" s="1" t="s">
        <v>28</v>
      </c>
      <c r="F67" s="4">
        <f>H67+J67+L67</f>
        <v>0</v>
      </c>
      <c r="G67" s="8">
        <f t="shared" ref="G67" si="30">I67+K67+M67</f>
        <v>6827</v>
      </c>
      <c r="H67" s="2"/>
      <c r="I67" s="8"/>
      <c r="J67" s="2"/>
      <c r="K67" s="8">
        <v>0</v>
      </c>
      <c r="L67" s="2"/>
      <c r="M67" s="8">
        <f>TRUNC((K66)*D67%,1)</f>
        <v>6827</v>
      </c>
      <c r="N67" s="12" t="s">
        <v>0</v>
      </c>
    </row>
    <row r="68" spans="1:14" ht="15" customHeight="1">
      <c r="A68" s="16"/>
      <c r="B68" s="15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12"/>
    </row>
  </sheetData>
  <autoFilter ref="A1:N408" xr:uid="{00000000-0009-0000-0000-00000C000000}"/>
  <mergeCells count="9">
    <mergeCell ref="A2:B3"/>
    <mergeCell ref="J2:K2"/>
    <mergeCell ref="L2:M2"/>
    <mergeCell ref="N2:N3"/>
    <mergeCell ref="C2:C3"/>
    <mergeCell ref="D2:D3"/>
    <mergeCell ref="E2:E3"/>
    <mergeCell ref="F2:G2"/>
    <mergeCell ref="H2:I2"/>
  </mergeCells>
  <phoneticPr fontId="2" type="noConversion"/>
  <pageMargins left="0.31496062992125984" right="0.31496062992125984" top="1" bottom="0.59055118110236215" header="0.5" footer="0.5"/>
  <pageSetup paperSize="9" orientation="landscape" copies="0"/>
  <headerFooter alignWithMargins="0">
    <oddHeader>&amp;RPage : &amp;P/&amp;N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5" tint="0.39997558519241921"/>
  </sheetPr>
  <dimension ref="A1:N358"/>
  <sheetViews>
    <sheetView workbookViewId="0">
      <pane ySplit="3" topLeftCell="A118" activePane="bottomLeft" state="frozen"/>
      <selection activeCell="N21" sqref="N21"/>
      <selection pane="bottomLeft" activeCell="N21" sqref="N21"/>
    </sheetView>
  </sheetViews>
  <sheetFormatPr defaultRowHeight="12.75" customHeight="1"/>
  <cols>
    <col min="1" max="1" width="8.83203125" customWidth="1"/>
    <col min="2" max="3" width="35.83203125" customWidth="1"/>
    <col min="4" max="4" width="10.83203125" customWidth="1"/>
    <col min="5" max="5" width="8.83203125" customWidth="1"/>
    <col min="6" max="6" width="12.83203125" customWidth="1"/>
    <col min="7" max="7" width="14.83203125" customWidth="1"/>
    <col min="8" max="8" width="12.83203125" customWidth="1"/>
    <col min="9" max="9" width="14.83203125" customWidth="1"/>
    <col min="10" max="10" width="12.83203125" customWidth="1"/>
    <col min="11" max="11" width="14.83203125" customWidth="1"/>
    <col min="12" max="12" width="12.83203125" customWidth="1"/>
    <col min="13" max="13" width="14.83203125" customWidth="1"/>
    <col min="14" max="14" width="15.83203125" style="11" customWidth="1"/>
    <col min="15" max="23" width="9.33203125" customWidth="1"/>
  </cols>
  <sheetData>
    <row r="1" spans="1:14" ht="15" customHeight="1">
      <c r="A1" s="72" t="s">
        <v>337</v>
      </c>
    </row>
    <row r="2" spans="1:14" ht="15" customHeight="1">
      <c r="A2" s="339" t="s">
        <v>23</v>
      </c>
      <c r="B2" s="340"/>
      <c r="C2" s="345" t="s">
        <v>46</v>
      </c>
      <c r="D2" s="345" t="s">
        <v>45</v>
      </c>
      <c r="E2" s="345" t="s">
        <v>44</v>
      </c>
      <c r="F2" s="345" t="s">
        <v>19</v>
      </c>
      <c r="G2" s="345" t="s">
        <v>0</v>
      </c>
      <c r="H2" s="345" t="s">
        <v>18</v>
      </c>
      <c r="I2" s="345" t="s">
        <v>0</v>
      </c>
      <c r="J2" s="345" t="s">
        <v>17</v>
      </c>
      <c r="K2" s="345" t="s">
        <v>0</v>
      </c>
      <c r="L2" s="345" t="s">
        <v>16</v>
      </c>
      <c r="M2" s="345" t="s">
        <v>0</v>
      </c>
      <c r="N2" s="346" t="s">
        <v>15</v>
      </c>
    </row>
    <row r="3" spans="1:14" ht="15" customHeight="1">
      <c r="A3" s="339"/>
      <c r="B3" s="340"/>
      <c r="C3" s="345" t="s">
        <v>0</v>
      </c>
      <c r="D3" s="345" t="s">
        <v>0</v>
      </c>
      <c r="E3" s="345" t="s">
        <v>0</v>
      </c>
      <c r="F3" s="2" t="s">
        <v>43</v>
      </c>
      <c r="G3" s="2" t="s">
        <v>42</v>
      </c>
      <c r="H3" s="2" t="s">
        <v>43</v>
      </c>
      <c r="I3" s="2" t="s">
        <v>42</v>
      </c>
      <c r="J3" s="2" t="s">
        <v>43</v>
      </c>
      <c r="K3" s="2" t="s">
        <v>42</v>
      </c>
      <c r="L3" s="2" t="s">
        <v>43</v>
      </c>
      <c r="M3" s="2" t="s">
        <v>42</v>
      </c>
      <c r="N3" s="346" t="s">
        <v>0</v>
      </c>
    </row>
    <row r="4" spans="1:14" ht="15" customHeight="1">
      <c r="A4" s="13"/>
      <c r="B4" s="14"/>
      <c r="C4" s="1"/>
      <c r="D4" s="1"/>
      <c r="E4" s="1"/>
      <c r="F4" s="4"/>
      <c r="G4" s="8"/>
      <c r="H4" s="4"/>
      <c r="I4" s="8"/>
      <c r="J4" s="4"/>
      <c r="K4" s="8"/>
      <c r="L4" s="4"/>
      <c r="M4" s="8"/>
      <c r="N4" s="12"/>
    </row>
    <row r="5" spans="1:14" ht="15" customHeight="1">
      <c r="A5" s="64">
        <f>플랜지!A143+1</f>
        <v>81</v>
      </c>
      <c r="B5" s="46" t="s">
        <v>310</v>
      </c>
      <c r="C5" s="47" t="s">
        <v>215</v>
      </c>
      <c r="D5" s="47">
        <v>1</v>
      </c>
      <c r="E5" s="47" t="s">
        <v>3</v>
      </c>
      <c r="F5" s="49"/>
      <c r="G5" s="50" t="e">
        <f>I5+K5+M5</f>
        <v>#REF!</v>
      </c>
      <c r="H5" s="49"/>
      <c r="I5" s="50" t="e">
        <f>TRUNC(I6+I7+I8,0)</f>
        <v>#REF!</v>
      </c>
      <c r="J5" s="49"/>
      <c r="K5" s="50" t="e">
        <f>TRUNC(K6+K7+K8,0)</f>
        <v>#REF!</v>
      </c>
      <c r="L5" s="49"/>
      <c r="M5" s="50" t="e">
        <f>TRUNC(M6+M7+M8,0)</f>
        <v>#REF!</v>
      </c>
      <c r="N5" s="63" t="s">
        <v>306</v>
      </c>
    </row>
    <row r="6" spans="1:14" ht="15" customHeight="1">
      <c r="A6" s="13"/>
      <c r="B6" s="14" t="s">
        <v>261</v>
      </c>
      <c r="C6" s="1" t="s">
        <v>32</v>
      </c>
      <c r="D6" s="3">
        <v>0.1</v>
      </c>
      <c r="E6" s="1" t="s">
        <v>24</v>
      </c>
      <c r="F6" s="4">
        <f>H6+J6+L6</f>
        <v>262580</v>
      </c>
      <c r="G6" s="8">
        <f>I6+K6+M6</f>
        <v>26258</v>
      </c>
      <c r="H6" s="4">
        <v>0</v>
      </c>
      <c r="I6" s="8"/>
      <c r="J6" s="4">
        <f>노임!$D$10</f>
        <v>262580</v>
      </c>
      <c r="K6" s="8">
        <f>TRUNC(J6*D6,1)</f>
        <v>26258</v>
      </c>
      <c r="L6" s="4">
        <v>0</v>
      </c>
      <c r="M6" s="8"/>
      <c r="N6" s="12" t="s">
        <v>0</v>
      </c>
    </row>
    <row r="7" spans="1:14" ht="15" customHeight="1">
      <c r="A7" s="13"/>
      <c r="B7" s="14" t="s">
        <v>262</v>
      </c>
      <c r="C7" s="1" t="s">
        <v>0</v>
      </c>
      <c r="D7" s="3">
        <v>0.15</v>
      </c>
      <c r="E7" s="1" t="s">
        <v>24</v>
      </c>
      <c r="F7" s="4">
        <f>H7+J7+L7</f>
        <v>172068</v>
      </c>
      <c r="G7" s="8">
        <f>I7+K7+M7</f>
        <v>25810.2</v>
      </c>
      <c r="H7" s="4">
        <v>0</v>
      </c>
      <c r="I7" s="8"/>
      <c r="J7" s="4">
        <f>노임!$D$3</f>
        <v>172068</v>
      </c>
      <c r="K7" s="8">
        <f>TRUNC(J7*D7,1)</f>
        <v>25810.2</v>
      </c>
      <c r="L7" s="4">
        <v>0</v>
      </c>
      <c r="M7" s="8"/>
      <c r="N7" s="12" t="s">
        <v>0</v>
      </c>
    </row>
    <row r="8" spans="1:14" ht="15" customHeight="1">
      <c r="A8" s="13"/>
      <c r="B8" s="14" t="s">
        <v>263</v>
      </c>
      <c r="C8" s="1" t="s">
        <v>172</v>
      </c>
      <c r="D8" s="3"/>
      <c r="E8" s="1" t="s">
        <v>7</v>
      </c>
      <c r="F8" s="4" t="e">
        <f>H8+J8+L8</f>
        <v>#REF!</v>
      </c>
      <c r="G8" s="8" t="e">
        <f>I8+K8+M8</f>
        <v>#REF!</v>
      </c>
      <c r="H8" s="4" t="e">
        <f>#REF!</f>
        <v>#REF!</v>
      </c>
      <c r="I8" s="8" t="e">
        <f>TRUNC(H8*D8,1)</f>
        <v>#REF!</v>
      </c>
      <c r="J8" s="4" t="e">
        <f>#REF!</f>
        <v>#REF!</v>
      </c>
      <c r="K8" s="8" t="e">
        <f>TRUNC(J8*D8,1)</f>
        <v>#REF!</v>
      </c>
      <c r="L8" s="4" t="e">
        <f>#REF!</f>
        <v>#REF!</v>
      </c>
      <c r="M8" s="8" t="e">
        <f>TRUNC(L8*D8,1)</f>
        <v>#REF!</v>
      </c>
      <c r="N8" s="12" t="s">
        <v>0</v>
      </c>
    </row>
    <row r="9" spans="1:14" ht="15" customHeight="1">
      <c r="A9" s="16"/>
      <c r="B9" s="14" t="s">
        <v>297</v>
      </c>
      <c r="C9" s="1" t="s">
        <v>220</v>
      </c>
      <c r="D9" s="3">
        <v>2</v>
      </c>
      <c r="E9" s="1" t="s">
        <v>221</v>
      </c>
      <c r="F9" s="4">
        <f>H9+J9+L9</f>
        <v>0</v>
      </c>
      <c r="G9" s="8" t="e">
        <f>I9+K9+M9</f>
        <v>#REF!</v>
      </c>
      <c r="H9" s="4"/>
      <c r="I9" s="8"/>
      <c r="J9" s="4"/>
      <c r="K9" s="8"/>
      <c r="L9" s="4"/>
      <c r="M9" s="8" t="e">
        <f>TRUNC((K6+K7+K8)*D9%,1)</f>
        <v>#REF!</v>
      </c>
      <c r="N9" s="12"/>
    </row>
    <row r="10" spans="1:14" ht="15" customHeight="1">
      <c r="A10" s="64"/>
      <c r="B10" s="15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12"/>
    </row>
    <row r="11" spans="1:14" ht="15" customHeight="1">
      <c r="A11" s="64">
        <f>A5+1</f>
        <v>82</v>
      </c>
      <c r="B11" s="46" t="s">
        <v>310</v>
      </c>
      <c r="C11" s="47" t="s">
        <v>200</v>
      </c>
      <c r="D11" s="47">
        <v>1</v>
      </c>
      <c r="E11" s="47" t="s">
        <v>3</v>
      </c>
      <c r="F11" s="49"/>
      <c r="G11" s="50" t="e">
        <f>I11+K11+M11</f>
        <v>#REF!</v>
      </c>
      <c r="H11" s="49"/>
      <c r="I11" s="50" t="e">
        <f>TRUNC(I12+I13+I14,0)</f>
        <v>#REF!</v>
      </c>
      <c r="J11" s="49"/>
      <c r="K11" s="50" t="e">
        <f>TRUNC(K12+K13+K14,0)</f>
        <v>#REF!</v>
      </c>
      <c r="L11" s="49"/>
      <c r="M11" s="50" t="e">
        <f>TRUNC(M12+M13+M14,0)</f>
        <v>#REF!</v>
      </c>
      <c r="N11" s="63" t="str">
        <f>N5</f>
        <v>토목6-8-1</v>
      </c>
    </row>
    <row r="12" spans="1:14" ht="15" customHeight="1">
      <c r="A12" s="13"/>
      <c r="B12" s="14" t="s">
        <v>261</v>
      </c>
      <c r="C12" s="1" t="s">
        <v>32</v>
      </c>
      <c r="D12" s="3">
        <v>0.09</v>
      </c>
      <c r="E12" s="1" t="s">
        <v>24</v>
      </c>
      <c r="F12" s="4">
        <f>H12+J12+L12</f>
        <v>262580</v>
      </c>
      <c r="G12" s="8">
        <f>I12+K12+M12</f>
        <v>23632.2</v>
      </c>
      <c r="H12" s="4">
        <v>0</v>
      </c>
      <c r="I12" s="8"/>
      <c r="J12" s="4">
        <f>노임!$D$10</f>
        <v>262580</v>
      </c>
      <c r="K12" s="8">
        <f>TRUNC(J12*D12,1)</f>
        <v>23632.2</v>
      </c>
      <c r="L12" s="4">
        <v>0</v>
      </c>
      <c r="M12" s="8"/>
      <c r="N12" s="12" t="s">
        <v>0</v>
      </c>
    </row>
    <row r="13" spans="1:14" ht="15" customHeight="1">
      <c r="A13" s="13"/>
      <c r="B13" s="14" t="s">
        <v>262</v>
      </c>
      <c r="C13" s="1" t="s">
        <v>0</v>
      </c>
      <c r="D13" s="3">
        <v>0.04</v>
      </c>
      <c r="E13" s="1" t="s">
        <v>24</v>
      </c>
      <c r="F13" s="4">
        <f>H13+J13+L13</f>
        <v>172068</v>
      </c>
      <c r="G13" s="8">
        <f>I13+K13+M13</f>
        <v>6882.7</v>
      </c>
      <c r="H13" s="4">
        <v>0</v>
      </c>
      <c r="I13" s="8"/>
      <c r="J13" s="4">
        <f>노임!$D$3</f>
        <v>172068</v>
      </c>
      <c r="K13" s="8">
        <f>TRUNC(J13*D13,1)</f>
        <v>6882.7</v>
      </c>
      <c r="L13" s="4">
        <v>0</v>
      </c>
      <c r="M13" s="8"/>
      <c r="N13" s="12" t="s">
        <v>0</v>
      </c>
    </row>
    <row r="14" spans="1:14" ht="15" customHeight="1">
      <c r="A14" s="13"/>
      <c r="B14" s="14" t="s">
        <v>263</v>
      </c>
      <c r="C14" s="1" t="s">
        <v>239</v>
      </c>
      <c r="D14" s="3">
        <v>0.38</v>
      </c>
      <c r="E14" s="1" t="s">
        <v>7</v>
      </c>
      <c r="F14" s="4" t="e">
        <f>H14+J14+L14</f>
        <v>#REF!</v>
      </c>
      <c r="G14" s="8" t="e">
        <f>I14+K14+M14</f>
        <v>#REF!</v>
      </c>
      <c r="H14" s="4" t="e">
        <f>#REF!</f>
        <v>#REF!</v>
      </c>
      <c r="I14" s="8" t="e">
        <f>TRUNC(H14*D14,1)</f>
        <v>#REF!</v>
      </c>
      <c r="J14" s="4" t="e">
        <f>#REF!</f>
        <v>#REF!</v>
      </c>
      <c r="K14" s="8" t="e">
        <f>TRUNC(J14*D14,1)</f>
        <v>#REF!</v>
      </c>
      <c r="L14" s="4" t="e">
        <f>#REF!</f>
        <v>#REF!</v>
      </c>
      <c r="M14" s="8" t="e">
        <f>TRUNC(L14*D14,1)</f>
        <v>#REF!</v>
      </c>
      <c r="N14" s="12" t="s">
        <v>0</v>
      </c>
    </row>
    <row r="15" spans="1:14" ht="15" customHeight="1">
      <c r="A15" s="13"/>
      <c r="B15" s="14" t="s">
        <v>297</v>
      </c>
      <c r="C15" s="1" t="s">
        <v>220</v>
      </c>
      <c r="D15" s="3">
        <v>2</v>
      </c>
      <c r="E15" s="1" t="s">
        <v>221</v>
      </c>
      <c r="F15" s="4">
        <f>H15+J15+L15</f>
        <v>0</v>
      </c>
      <c r="G15" s="8" t="e">
        <f>I15+K15+M15</f>
        <v>#REF!</v>
      </c>
      <c r="H15" s="4"/>
      <c r="I15" s="8"/>
      <c r="J15" s="4"/>
      <c r="K15" s="8"/>
      <c r="L15" s="4"/>
      <c r="M15" s="8" t="e">
        <f>TRUNC((K12+K13+K14)*D15%,1)</f>
        <v>#REF!</v>
      </c>
      <c r="N15" s="12"/>
    </row>
    <row r="16" spans="1:14" ht="15" customHeight="1">
      <c r="A16" s="16"/>
      <c r="B16" s="15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12"/>
    </row>
    <row r="17" spans="1:14" ht="15" customHeight="1">
      <c r="A17" s="64">
        <f>A11+1</f>
        <v>83</v>
      </c>
      <c r="B17" s="46" t="s">
        <v>310</v>
      </c>
      <c r="C17" s="47" t="s">
        <v>216</v>
      </c>
      <c r="D17" s="47">
        <v>1</v>
      </c>
      <c r="E17" s="47" t="s">
        <v>3</v>
      </c>
      <c r="F17" s="49"/>
      <c r="G17" s="50" t="e">
        <f>I17+K17+M17</f>
        <v>#REF!</v>
      </c>
      <c r="H17" s="49"/>
      <c r="I17" s="50" t="e">
        <f>TRUNC(I18+I19+I20,0)</f>
        <v>#REF!</v>
      </c>
      <c r="J17" s="49"/>
      <c r="K17" s="50" t="e">
        <f>TRUNC(K18+K19+K20,0)</f>
        <v>#REF!</v>
      </c>
      <c r="L17" s="49"/>
      <c r="M17" s="50" t="e">
        <f>TRUNC(M18+M19+M20,0)</f>
        <v>#REF!</v>
      </c>
      <c r="N17" s="63" t="str">
        <f>N11</f>
        <v>토목6-8-1</v>
      </c>
    </row>
    <row r="18" spans="1:14" ht="15" customHeight="1">
      <c r="A18" s="13"/>
      <c r="B18" s="14" t="s">
        <v>261</v>
      </c>
      <c r="C18" s="1" t="s">
        <v>32</v>
      </c>
      <c r="D18" s="3">
        <v>0.12</v>
      </c>
      <c r="E18" s="1" t="s">
        <v>24</v>
      </c>
      <c r="F18" s="4">
        <f>H18+J18+L18</f>
        <v>262580</v>
      </c>
      <c r="G18" s="8">
        <f>I18+K18+M18</f>
        <v>31509.599999999999</v>
      </c>
      <c r="H18" s="4">
        <v>0</v>
      </c>
      <c r="I18" s="8"/>
      <c r="J18" s="4">
        <f>노임!D10</f>
        <v>262580</v>
      </c>
      <c r="K18" s="8">
        <f>TRUNC(J18*D18,1)</f>
        <v>31509.599999999999</v>
      </c>
      <c r="L18" s="4">
        <v>0</v>
      </c>
      <c r="M18" s="8"/>
      <c r="N18" s="12" t="s">
        <v>0</v>
      </c>
    </row>
    <row r="19" spans="1:14" ht="15" customHeight="1">
      <c r="A19" s="13"/>
      <c r="B19" s="14" t="s">
        <v>262</v>
      </c>
      <c r="C19" s="1" t="s">
        <v>0</v>
      </c>
      <c r="D19" s="3">
        <v>0.18</v>
      </c>
      <c r="E19" s="1" t="s">
        <v>24</v>
      </c>
      <c r="F19" s="4">
        <f>H19+J19+L19</f>
        <v>172068</v>
      </c>
      <c r="G19" s="8">
        <f>I19+K19+M19</f>
        <v>30972.2</v>
      </c>
      <c r="H19" s="4">
        <v>0</v>
      </c>
      <c r="I19" s="8"/>
      <c r="J19" s="4">
        <f>노임!D3</f>
        <v>172068</v>
      </c>
      <c r="K19" s="8">
        <f>TRUNC(J19*D19,1)</f>
        <v>30972.2</v>
      </c>
      <c r="L19" s="4">
        <v>0</v>
      </c>
      <c r="M19" s="8"/>
      <c r="N19" s="12" t="s">
        <v>0</v>
      </c>
    </row>
    <row r="20" spans="1:14" ht="15" customHeight="1">
      <c r="A20" s="13"/>
      <c r="B20" s="14" t="s">
        <v>263</v>
      </c>
      <c r="C20" s="1" t="s">
        <v>239</v>
      </c>
      <c r="D20" s="3"/>
      <c r="E20" s="1" t="s">
        <v>7</v>
      </c>
      <c r="F20" s="4" t="e">
        <f>H20+J20+L20</f>
        <v>#REF!</v>
      </c>
      <c r="G20" s="8" t="e">
        <f>I20+K20+M20</f>
        <v>#REF!</v>
      </c>
      <c r="H20" s="4" t="e">
        <f>#REF!</f>
        <v>#REF!</v>
      </c>
      <c r="I20" s="8" t="e">
        <f>TRUNC(H20*D20,1)</f>
        <v>#REF!</v>
      </c>
      <c r="J20" s="4" t="e">
        <f>#REF!</f>
        <v>#REF!</v>
      </c>
      <c r="K20" s="8" t="e">
        <f>TRUNC(J20*D20,1)</f>
        <v>#REF!</v>
      </c>
      <c r="L20" s="4" t="e">
        <f>#REF!</f>
        <v>#REF!</v>
      </c>
      <c r="M20" s="8" t="e">
        <f>TRUNC(L20*D20,1)</f>
        <v>#REF!</v>
      </c>
      <c r="N20" s="12" t="s">
        <v>0</v>
      </c>
    </row>
    <row r="21" spans="1:14" ht="15" customHeight="1">
      <c r="A21" s="13"/>
      <c r="B21" s="14" t="s">
        <v>297</v>
      </c>
      <c r="C21" s="1" t="s">
        <v>220</v>
      </c>
      <c r="D21" s="3">
        <v>2</v>
      </c>
      <c r="E21" s="1" t="s">
        <v>221</v>
      </c>
      <c r="F21" s="4">
        <f>H21+J21+L21</f>
        <v>0</v>
      </c>
      <c r="G21" s="8" t="e">
        <f>I21+K21+M21</f>
        <v>#REF!</v>
      </c>
      <c r="H21" s="4"/>
      <c r="I21" s="8"/>
      <c r="J21" s="4"/>
      <c r="K21" s="8"/>
      <c r="L21" s="4"/>
      <c r="M21" s="8" t="e">
        <f>TRUNC((K18+K19+K20)*D21%,1)</f>
        <v>#REF!</v>
      </c>
      <c r="N21" s="12"/>
    </row>
    <row r="22" spans="1:14" ht="15" customHeight="1">
      <c r="A22" s="13"/>
      <c r="B22" s="14"/>
      <c r="C22" s="1"/>
      <c r="D22" s="3"/>
      <c r="E22" s="1"/>
      <c r="F22" s="75"/>
      <c r="G22" s="8"/>
      <c r="H22" s="75"/>
      <c r="I22" s="8"/>
      <c r="J22" s="75"/>
      <c r="K22" s="8"/>
      <c r="L22" s="75"/>
      <c r="M22" s="8"/>
      <c r="N22" s="12"/>
    </row>
    <row r="23" spans="1:14" ht="15" customHeight="1">
      <c r="A23" s="64">
        <f>A17+1</f>
        <v>84</v>
      </c>
      <c r="B23" s="46" t="s">
        <v>310</v>
      </c>
      <c r="C23" s="47" t="s">
        <v>177</v>
      </c>
      <c r="D23" s="47">
        <v>1</v>
      </c>
      <c r="E23" s="47" t="s">
        <v>3</v>
      </c>
      <c r="F23" s="49"/>
      <c r="G23" s="50" t="e">
        <f>I23+K23+M23</f>
        <v>#REF!</v>
      </c>
      <c r="H23" s="49"/>
      <c r="I23" s="50" t="e">
        <f>TRUNC(I24+I25+I26,0)</f>
        <v>#REF!</v>
      </c>
      <c r="J23" s="49"/>
      <c r="K23" s="50" t="e">
        <f>TRUNC(K24+K25+K26,0)</f>
        <v>#REF!</v>
      </c>
      <c r="L23" s="49"/>
      <c r="M23" s="50" t="e">
        <f>TRUNC(M24+M25+M26,0)</f>
        <v>#REF!</v>
      </c>
      <c r="N23" s="63" t="str">
        <f>N17</f>
        <v>토목6-8-1</v>
      </c>
    </row>
    <row r="24" spans="1:14" ht="15" customHeight="1">
      <c r="A24" s="13"/>
      <c r="B24" s="14" t="s">
        <v>261</v>
      </c>
      <c r="C24" s="1" t="s">
        <v>32</v>
      </c>
      <c r="D24" s="3">
        <v>0.1</v>
      </c>
      <c r="E24" s="1" t="s">
        <v>24</v>
      </c>
      <c r="F24" s="4">
        <f>H24+J24+L24</f>
        <v>197788</v>
      </c>
      <c r="G24" s="8">
        <f>I24+K24+M24</f>
        <v>19778.8</v>
      </c>
      <c r="H24" s="4">
        <v>0</v>
      </c>
      <c r="I24" s="8"/>
      <c r="J24" s="4">
        <f>노임!D15</f>
        <v>197788</v>
      </c>
      <c r="K24" s="8">
        <f>TRUNC(J24*D24,1)</f>
        <v>19778.8</v>
      </c>
      <c r="L24" s="4">
        <v>0</v>
      </c>
      <c r="M24" s="8"/>
      <c r="N24" s="12" t="s">
        <v>0</v>
      </c>
    </row>
    <row r="25" spans="1:14" ht="15" customHeight="1">
      <c r="A25" s="13"/>
      <c r="B25" s="14" t="s">
        <v>262</v>
      </c>
      <c r="C25" s="1" t="s">
        <v>0</v>
      </c>
      <c r="D25" s="3">
        <v>0.05</v>
      </c>
      <c r="E25" s="1" t="s">
        <v>24</v>
      </c>
      <c r="F25" s="4">
        <f>H25+J25+L25</f>
        <v>282536</v>
      </c>
      <c r="G25" s="8">
        <f>I25+K25+M25</f>
        <v>14126.8</v>
      </c>
      <c r="H25" s="4">
        <v>0</v>
      </c>
      <c r="I25" s="8"/>
      <c r="J25" s="4">
        <f>노임!D7</f>
        <v>282536</v>
      </c>
      <c r="K25" s="8">
        <f>TRUNC(J25*D25,1)</f>
        <v>14126.8</v>
      </c>
      <c r="L25" s="4">
        <v>0</v>
      </c>
      <c r="M25" s="8"/>
      <c r="N25" s="12" t="s">
        <v>0</v>
      </c>
    </row>
    <row r="26" spans="1:14" ht="15" customHeight="1">
      <c r="A26" s="13"/>
      <c r="B26" s="14" t="s">
        <v>263</v>
      </c>
      <c r="C26" s="1" t="s">
        <v>239</v>
      </c>
      <c r="D26" s="3">
        <v>0.45</v>
      </c>
      <c r="E26" s="1" t="s">
        <v>7</v>
      </c>
      <c r="F26" s="4" t="e">
        <f>H26+J26+L26</f>
        <v>#REF!</v>
      </c>
      <c r="G26" s="8" t="e">
        <f>I26+K26+M26</f>
        <v>#REF!</v>
      </c>
      <c r="H26" s="4" t="e">
        <f>#REF!</f>
        <v>#REF!</v>
      </c>
      <c r="I26" s="8" t="e">
        <f>TRUNC(H26*D26,1)</f>
        <v>#REF!</v>
      </c>
      <c r="J26" s="4" t="e">
        <f>#REF!</f>
        <v>#REF!</v>
      </c>
      <c r="K26" s="8" t="e">
        <f>TRUNC(J26*D26,1)</f>
        <v>#REF!</v>
      </c>
      <c r="L26" s="4" t="e">
        <f>#REF!</f>
        <v>#REF!</v>
      </c>
      <c r="M26" s="8" t="e">
        <f>TRUNC(L26*D26,1)</f>
        <v>#REF!</v>
      </c>
      <c r="N26" s="12" t="s">
        <v>0</v>
      </c>
    </row>
    <row r="27" spans="1:14" ht="15" customHeight="1">
      <c r="A27" s="13"/>
      <c r="B27" s="14" t="s">
        <v>297</v>
      </c>
      <c r="C27" s="1" t="s">
        <v>220</v>
      </c>
      <c r="D27" s="3">
        <v>2</v>
      </c>
      <c r="E27" s="1" t="s">
        <v>221</v>
      </c>
      <c r="F27" s="4">
        <f>H27+J27+L27</f>
        <v>0</v>
      </c>
      <c r="G27" s="8" t="e">
        <f>I27+K27+M27</f>
        <v>#REF!</v>
      </c>
      <c r="H27" s="4"/>
      <c r="I27" s="8"/>
      <c r="J27" s="4"/>
      <c r="K27" s="8"/>
      <c r="L27" s="4"/>
      <c r="M27" s="8" t="e">
        <f>TRUNC((K24+K25+K26)*D27%,1)</f>
        <v>#REF!</v>
      </c>
      <c r="N27" s="12"/>
    </row>
    <row r="28" spans="1:14" ht="15" customHeight="1">
      <c r="A28" s="16"/>
      <c r="B28" s="15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12"/>
    </row>
    <row r="29" spans="1:14" ht="15" customHeight="1">
      <c r="A29" s="64">
        <f>A23+1</f>
        <v>85</v>
      </c>
      <c r="B29" s="46" t="s">
        <v>310</v>
      </c>
      <c r="C29" s="47" t="s">
        <v>217</v>
      </c>
      <c r="D29" s="47">
        <v>1</v>
      </c>
      <c r="E29" s="47" t="s">
        <v>3</v>
      </c>
      <c r="F29" s="49"/>
      <c r="G29" s="50" t="e">
        <f>I29+K29+M29</f>
        <v>#REF!</v>
      </c>
      <c r="H29" s="49"/>
      <c r="I29" s="50" t="e">
        <f>TRUNC(I30+I31+I32,0)</f>
        <v>#REF!</v>
      </c>
      <c r="J29" s="49"/>
      <c r="K29" s="50" t="e">
        <f>TRUNC(K30+K31+K32,0)</f>
        <v>#REF!</v>
      </c>
      <c r="L29" s="49"/>
      <c r="M29" s="50" t="e">
        <f>TRUNC(M30+M31+M32,0)</f>
        <v>#REF!</v>
      </c>
      <c r="N29" s="63" t="str">
        <f>N23</f>
        <v>토목6-8-1</v>
      </c>
    </row>
    <row r="30" spans="1:14" ht="15" customHeight="1">
      <c r="A30" s="13"/>
      <c r="B30" s="14" t="s">
        <v>261</v>
      </c>
      <c r="C30" s="1" t="s">
        <v>32</v>
      </c>
      <c r="D30" s="3">
        <v>0.16</v>
      </c>
      <c r="E30" s="1" t="s">
        <v>24</v>
      </c>
      <c r="F30" s="4">
        <f>H30+J30+L30</f>
        <v>262580</v>
      </c>
      <c r="G30" s="8">
        <f>I30+K30+M30</f>
        <v>42012.800000000003</v>
      </c>
      <c r="H30" s="4">
        <v>0</v>
      </c>
      <c r="I30" s="8"/>
      <c r="J30" s="4">
        <f>노임!$D$10</f>
        <v>262580</v>
      </c>
      <c r="K30" s="8">
        <f>TRUNC(J30*D30,1)</f>
        <v>42012.800000000003</v>
      </c>
      <c r="L30" s="4">
        <v>0</v>
      </c>
      <c r="M30" s="8"/>
      <c r="N30" s="12" t="s">
        <v>0</v>
      </c>
    </row>
    <row r="31" spans="1:14" ht="15" customHeight="1">
      <c r="A31" s="13"/>
      <c r="B31" s="14" t="s">
        <v>262</v>
      </c>
      <c r="C31" s="1" t="s">
        <v>0</v>
      </c>
      <c r="D31" s="3">
        <v>0.22</v>
      </c>
      <c r="E31" s="1" t="s">
        <v>24</v>
      </c>
      <c r="F31" s="4">
        <f>H31+J31+L31</f>
        <v>172068</v>
      </c>
      <c r="G31" s="8">
        <f>I31+K31+M31</f>
        <v>37854.9</v>
      </c>
      <c r="H31" s="4">
        <v>0</v>
      </c>
      <c r="I31" s="8"/>
      <c r="J31" s="4">
        <f>노임!$D$3</f>
        <v>172068</v>
      </c>
      <c r="K31" s="8">
        <f>TRUNC(J31*D31,1)</f>
        <v>37854.9</v>
      </c>
      <c r="L31" s="4">
        <v>0</v>
      </c>
      <c r="M31" s="8"/>
      <c r="N31" s="12" t="s">
        <v>0</v>
      </c>
    </row>
    <row r="32" spans="1:14" ht="15" customHeight="1">
      <c r="A32" s="13"/>
      <c r="B32" s="14" t="s">
        <v>263</v>
      </c>
      <c r="C32" s="1" t="s">
        <v>239</v>
      </c>
      <c r="D32" s="3"/>
      <c r="E32" s="1" t="s">
        <v>7</v>
      </c>
      <c r="F32" s="4" t="e">
        <f>H32+J32+L32</f>
        <v>#REF!</v>
      </c>
      <c r="G32" s="8" t="e">
        <f>I32+K32+M32</f>
        <v>#REF!</v>
      </c>
      <c r="H32" s="4" t="e">
        <f>#REF!</f>
        <v>#REF!</v>
      </c>
      <c r="I32" s="8" t="e">
        <f>TRUNC(H32*D32,1)</f>
        <v>#REF!</v>
      </c>
      <c r="J32" s="4" t="e">
        <f>#REF!</f>
        <v>#REF!</v>
      </c>
      <c r="K32" s="8" t="e">
        <f>TRUNC(J32*D32,1)</f>
        <v>#REF!</v>
      </c>
      <c r="L32" s="4" t="e">
        <f>#REF!</f>
        <v>#REF!</v>
      </c>
      <c r="M32" s="8" t="e">
        <f>TRUNC(L32*D32,1)</f>
        <v>#REF!</v>
      </c>
      <c r="N32" s="12" t="s">
        <v>0</v>
      </c>
    </row>
    <row r="33" spans="1:14" ht="15" customHeight="1">
      <c r="A33" s="13"/>
      <c r="B33" s="14" t="s">
        <v>297</v>
      </c>
      <c r="C33" s="1" t="s">
        <v>220</v>
      </c>
      <c r="D33" s="3">
        <v>2</v>
      </c>
      <c r="E33" s="1" t="s">
        <v>221</v>
      </c>
      <c r="F33" s="4">
        <f>H33+J33+L33</f>
        <v>0</v>
      </c>
      <c r="G33" s="8" t="e">
        <f>I33+K33+M33</f>
        <v>#REF!</v>
      </c>
      <c r="H33" s="4"/>
      <c r="I33" s="8"/>
      <c r="J33" s="4"/>
      <c r="K33" s="8"/>
      <c r="L33" s="4"/>
      <c r="M33" s="8" t="e">
        <f>TRUNC((K30+K31+K32)*D33%,1)</f>
        <v>#REF!</v>
      </c>
      <c r="N33" s="12"/>
    </row>
    <row r="34" spans="1:14" ht="15" customHeight="1">
      <c r="A34" s="16"/>
      <c r="B34" s="15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12"/>
    </row>
    <row r="35" spans="1:14" ht="15" customHeight="1">
      <c r="A35" s="64">
        <f>A29+1</f>
        <v>86</v>
      </c>
      <c r="B35" s="46" t="s">
        <v>310</v>
      </c>
      <c r="C35" s="47" t="s">
        <v>178</v>
      </c>
      <c r="D35" s="47">
        <v>1</v>
      </c>
      <c r="E35" s="47" t="s">
        <v>3</v>
      </c>
      <c r="F35" s="49"/>
      <c r="G35" s="50" t="e">
        <f>I35+K35+M35</f>
        <v>#REF!</v>
      </c>
      <c r="H35" s="49"/>
      <c r="I35" s="50" t="e">
        <f>TRUNC(I36+I37+I38,0)</f>
        <v>#REF!</v>
      </c>
      <c r="J35" s="49"/>
      <c r="K35" s="50" t="e">
        <f>TRUNC(K36+K37+K38,0)</f>
        <v>#REF!</v>
      </c>
      <c r="L35" s="49"/>
      <c r="M35" s="50" t="e">
        <f>TRUNC(M36+M37+M38,0)</f>
        <v>#REF!</v>
      </c>
      <c r="N35" s="63" t="str">
        <f>N29</f>
        <v>토목6-8-1</v>
      </c>
    </row>
    <row r="36" spans="1:14" ht="15" customHeight="1">
      <c r="A36" s="13"/>
      <c r="B36" s="14" t="s">
        <v>261</v>
      </c>
      <c r="C36" s="1" t="s">
        <v>32</v>
      </c>
      <c r="D36" s="3">
        <v>0.13</v>
      </c>
      <c r="E36" s="1" t="s">
        <v>24</v>
      </c>
      <c r="F36" s="4">
        <f>H36+J36+L36</f>
        <v>262580</v>
      </c>
      <c r="G36" s="8">
        <f>I36+K36+M36</f>
        <v>34135.4</v>
      </c>
      <c r="H36" s="4">
        <v>0</v>
      </c>
      <c r="I36" s="8"/>
      <c r="J36" s="4">
        <f>노임!$D$10</f>
        <v>262580</v>
      </c>
      <c r="K36" s="8">
        <f>TRUNC(J36*D36,1)</f>
        <v>34135.4</v>
      </c>
      <c r="L36" s="4">
        <v>0</v>
      </c>
      <c r="M36" s="8"/>
      <c r="N36" s="12" t="s">
        <v>0</v>
      </c>
    </row>
    <row r="37" spans="1:14" ht="15" customHeight="1">
      <c r="A37" s="13"/>
      <c r="B37" s="14" t="s">
        <v>262</v>
      </c>
      <c r="C37" s="1" t="s">
        <v>0</v>
      </c>
      <c r="D37" s="3">
        <v>0.06</v>
      </c>
      <c r="E37" s="1" t="s">
        <v>24</v>
      </c>
      <c r="F37" s="4">
        <f>H37+J37+L37</f>
        <v>172068</v>
      </c>
      <c r="G37" s="8">
        <f>I37+K37+M37</f>
        <v>10324</v>
      </c>
      <c r="H37" s="4">
        <v>0</v>
      </c>
      <c r="I37" s="8"/>
      <c r="J37" s="4">
        <f>노임!$D$3</f>
        <v>172068</v>
      </c>
      <c r="K37" s="8">
        <f>TRUNC(J37*D37,1)</f>
        <v>10324</v>
      </c>
      <c r="L37" s="4">
        <v>0</v>
      </c>
      <c r="M37" s="8"/>
      <c r="N37" s="12" t="s">
        <v>0</v>
      </c>
    </row>
    <row r="38" spans="1:14" ht="15" customHeight="1">
      <c r="A38" s="13"/>
      <c r="B38" s="14" t="s">
        <v>263</v>
      </c>
      <c r="C38" s="1" t="s">
        <v>239</v>
      </c>
      <c r="D38" s="3">
        <v>0.49</v>
      </c>
      <c r="E38" s="1" t="s">
        <v>7</v>
      </c>
      <c r="F38" s="4" t="e">
        <f>H38+J38+L38</f>
        <v>#REF!</v>
      </c>
      <c r="G38" s="8" t="e">
        <f>I38+K38+M38</f>
        <v>#REF!</v>
      </c>
      <c r="H38" s="4" t="e">
        <f>#REF!</f>
        <v>#REF!</v>
      </c>
      <c r="I38" s="8" t="e">
        <f>TRUNC(H38*D38,1)</f>
        <v>#REF!</v>
      </c>
      <c r="J38" s="4" t="e">
        <f>#REF!</f>
        <v>#REF!</v>
      </c>
      <c r="K38" s="8" t="e">
        <f>TRUNC(J38*D38,1)</f>
        <v>#REF!</v>
      </c>
      <c r="L38" s="4" t="e">
        <f>#REF!</f>
        <v>#REF!</v>
      </c>
      <c r="M38" s="8" t="e">
        <f>TRUNC(L38*D38,1)</f>
        <v>#REF!</v>
      </c>
      <c r="N38" s="12" t="s">
        <v>0</v>
      </c>
    </row>
    <row r="39" spans="1:14" ht="15" customHeight="1">
      <c r="A39" s="13"/>
      <c r="B39" s="14" t="s">
        <v>297</v>
      </c>
      <c r="C39" s="1" t="s">
        <v>220</v>
      </c>
      <c r="D39" s="3">
        <v>2</v>
      </c>
      <c r="E39" s="1" t="s">
        <v>221</v>
      </c>
      <c r="F39" s="4">
        <f>H39+J39+L39</f>
        <v>0</v>
      </c>
      <c r="G39" s="8" t="e">
        <f>I39+K39+M39</f>
        <v>#REF!</v>
      </c>
      <c r="H39" s="4"/>
      <c r="I39" s="8"/>
      <c r="J39" s="4"/>
      <c r="K39" s="8"/>
      <c r="L39" s="4"/>
      <c r="M39" s="8" t="e">
        <f>TRUNC((K36+K37+K38)*D39%,1)</f>
        <v>#REF!</v>
      </c>
      <c r="N39" s="12"/>
    </row>
    <row r="40" spans="1:14" ht="15" customHeight="1">
      <c r="A40" s="16"/>
      <c r="B40" s="15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12"/>
    </row>
    <row r="41" spans="1:14" ht="15" customHeight="1">
      <c r="A41" s="64">
        <f>A35+1</f>
        <v>87</v>
      </c>
      <c r="B41" s="46" t="s">
        <v>310</v>
      </c>
      <c r="C41" s="47" t="s">
        <v>179</v>
      </c>
      <c r="D41" s="47">
        <v>1</v>
      </c>
      <c r="E41" s="47" t="s">
        <v>3</v>
      </c>
      <c r="F41" s="49"/>
      <c r="G41" s="50" t="e">
        <f>I41+K41+M41</f>
        <v>#REF!</v>
      </c>
      <c r="H41" s="49"/>
      <c r="I41" s="50" t="e">
        <f>TRUNC(I42+I43+I44,0)</f>
        <v>#REF!</v>
      </c>
      <c r="J41" s="49"/>
      <c r="K41" s="50" t="e">
        <f>TRUNC(K42+K43+K44,0)</f>
        <v>#REF!</v>
      </c>
      <c r="L41" s="49"/>
      <c r="M41" s="50" t="e">
        <f>TRUNC(M42+M43+M44,0)</f>
        <v>#REF!</v>
      </c>
      <c r="N41" s="63" t="str">
        <f>N35</f>
        <v>토목6-8-1</v>
      </c>
    </row>
    <row r="42" spans="1:14" ht="15" customHeight="1">
      <c r="A42" s="13"/>
      <c r="B42" s="14" t="s">
        <v>261</v>
      </c>
      <c r="C42" s="1" t="s">
        <v>32</v>
      </c>
      <c r="D42" s="3">
        <v>0.2</v>
      </c>
      <c r="E42" s="1" t="s">
        <v>24</v>
      </c>
      <c r="F42" s="4">
        <f>H42+J42+L42</f>
        <v>262580</v>
      </c>
      <c r="G42" s="8">
        <f>I42+K42+M42</f>
        <v>52516</v>
      </c>
      <c r="H42" s="4">
        <v>0</v>
      </c>
      <c r="I42" s="8"/>
      <c r="J42" s="4">
        <f>노임!$D$10</f>
        <v>262580</v>
      </c>
      <c r="K42" s="8">
        <f>TRUNC(J42*D42,1)</f>
        <v>52516</v>
      </c>
      <c r="L42" s="4">
        <v>0</v>
      </c>
      <c r="M42" s="8"/>
      <c r="N42" s="12" t="s">
        <v>0</v>
      </c>
    </row>
    <row r="43" spans="1:14" ht="15" customHeight="1">
      <c r="A43" s="13"/>
      <c r="B43" s="14" t="s">
        <v>262</v>
      </c>
      <c r="C43" s="1" t="s">
        <v>0</v>
      </c>
      <c r="D43" s="3">
        <v>0.1</v>
      </c>
      <c r="E43" s="1" t="s">
        <v>24</v>
      </c>
      <c r="F43" s="4">
        <f>H43+J43+L43</f>
        <v>172068</v>
      </c>
      <c r="G43" s="8">
        <f>I43+K43+M43</f>
        <v>17206.8</v>
      </c>
      <c r="H43" s="4">
        <v>0</v>
      </c>
      <c r="I43" s="8"/>
      <c r="J43" s="4">
        <f>노임!$D$3</f>
        <v>172068</v>
      </c>
      <c r="K43" s="8">
        <f>TRUNC(J43*D43,1)</f>
        <v>17206.8</v>
      </c>
      <c r="L43" s="4">
        <v>0</v>
      </c>
      <c r="M43" s="8"/>
      <c r="N43" s="12" t="s">
        <v>0</v>
      </c>
    </row>
    <row r="44" spans="1:14" ht="15" customHeight="1">
      <c r="A44" s="13"/>
      <c r="B44" s="14" t="s">
        <v>263</v>
      </c>
      <c r="C44" s="1" t="s">
        <v>239</v>
      </c>
      <c r="D44" s="3">
        <v>0.64</v>
      </c>
      <c r="E44" s="1" t="s">
        <v>7</v>
      </c>
      <c r="F44" s="4" t="e">
        <f>H44+J44+L44</f>
        <v>#REF!</v>
      </c>
      <c r="G44" s="8" t="e">
        <f>I44+K44+M44</f>
        <v>#REF!</v>
      </c>
      <c r="H44" s="4" t="e">
        <f>#REF!</f>
        <v>#REF!</v>
      </c>
      <c r="I44" s="8" t="e">
        <f>TRUNC(H44*D44,1)</f>
        <v>#REF!</v>
      </c>
      <c r="J44" s="4" t="e">
        <f>#REF!</f>
        <v>#REF!</v>
      </c>
      <c r="K44" s="8" t="e">
        <f>TRUNC(J44*D44,1)</f>
        <v>#REF!</v>
      </c>
      <c r="L44" s="4" t="e">
        <f>#REF!</f>
        <v>#REF!</v>
      </c>
      <c r="M44" s="8" t="e">
        <f>TRUNC(L44*D44,1)</f>
        <v>#REF!</v>
      </c>
      <c r="N44" s="12" t="s">
        <v>0</v>
      </c>
    </row>
    <row r="45" spans="1:14" ht="15" customHeight="1">
      <c r="A45" s="13"/>
      <c r="B45" s="14" t="s">
        <v>297</v>
      </c>
      <c r="C45" s="1" t="s">
        <v>220</v>
      </c>
      <c r="D45" s="3">
        <v>2</v>
      </c>
      <c r="E45" s="1" t="s">
        <v>221</v>
      </c>
      <c r="F45" s="4">
        <f>H45+J45+L45</f>
        <v>0</v>
      </c>
      <c r="G45" s="8" t="e">
        <f>I45+K45+M45</f>
        <v>#REF!</v>
      </c>
      <c r="H45" s="4"/>
      <c r="I45" s="8"/>
      <c r="J45" s="4"/>
      <c r="K45" s="8"/>
      <c r="L45" s="4"/>
      <c r="M45" s="8" t="e">
        <f>TRUNC((K42+K43+K44)*D45%,1)</f>
        <v>#REF!</v>
      </c>
      <c r="N45" s="12"/>
    </row>
    <row r="46" spans="1:14" ht="15" customHeight="1">
      <c r="A46" s="16"/>
      <c r="B46" s="15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12"/>
    </row>
    <row r="47" spans="1:14" ht="15" customHeight="1">
      <c r="A47" s="64">
        <f>A41+1</f>
        <v>88</v>
      </c>
      <c r="B47" s="46" t="s">
        <v>310</v>
      </c>
      <c r="C47" s="47" t="s">
        <v>180</v>
      </c>
      <c r="D47" s="47">
        <v>1</v>
      </c>
      <c r="E47" s="47" t="s">
        <v>3</v>
      </c>
      <c r="F47" s="49"/>
      <c r="G47" s="50" t="e">
        <f>I47+K47+M47</f>
        <v>#REF!</v>
      </c>
      <c r="H47" s="49"/>
      <c r="I47" s="50" t="e">
        <f>TRUNC(I48+I49+I50,0)</f>
        <v>#REF!</v>
      </c>
      <c r="J47" s="49"/>
      <c r="K47" s="50" t="e">
        <f>TRUNC(K48+K49+K50,0)</f>
        <v>#REF!</v>
      </c>
      <c r="L47" s="49"/>
      <c r="M47" s="50" t="e">
        <f>TRUNC(M48+M49+M50,0)</f>
        <v>#REF!</v>
      </c>
      <c r="N47" s="63" t="str">
        <f>N41</f>
        <v>토목6-8-1</v>
      </c>
    </row>
    <row r="48" spans="1:14" ht="15" customHeight="1">
      <c r="A48" s="13"/>
      <c r="B48" s="14" t="s">
        <v>261</v>
      </c>
      <c r="C48" s="1" t="s">
        <v>32</v>
      </c>
      <c r="D48" s="3">
        <v>0.21</v>
      </c>
      <c r="E48" s="1" t="s">
        <v>24</v>
      </c>
      <c r="F48" s="4">
        <f>H48+J48+L48</f>
        <v>262580</v>
      </c>
      <c r="G48" s="8">
        <f>I48+K48+M48</f>
        <v>55141.8</v>
      </c>
      <c r="H48" s="4">
        <v>0</v>
      </c>
      <c r="I48" s="8"/>
      <c r="J48" s="4">
        <f>노임!$D$10</f>
        <v>262580</v>
      </c>
      <c r="K48" s="8">
        <f>TRUNC(J48*D48,1)</f>
        <v>55141.8</v>
      </c>
      <c r="L48" s="4">
        <v>0</v>
      </c>
      <c r="M48" s="8"/>
      <c r="N48" s="12" t="s">
        <v>0</v>
      </c>
    </row>
    <row r="49" spans="1:14" ht="15" customHeight="1">
      <c r="A49" s="13"/>
      <c r="B49" s="14" t="s">
        <v>262</v>
      </c>
      <c r="C49" s="1" t="s">
        <v>0</v>
      </c>
      <c r="D49" s="3">
        <v>0.11</v>
      </c>
      <c r="E49" s="1" t="s">
        <v>24</v>
      </c>
      <c r="F49" s="4">
        <f>H49+J49+L49</f>
        <v>172068</v>
      </c>
      <c r="G49" s="8">
        <f>I49+K49+M49</f>
        <v>18927.400000000001</v>
      </c>
      <c r="H49" s="4">
        <v>0</v>
      </c>
      <c r="I49" s="8"/>
      <c r="J49" s="4">
        <f>노임!$D$3</f>
        <v>172068</v>
      </c>
      <c r="K49" s="8">
        <f>TRUNC(J49*D49,1)</f>
        <v>18927.400000000001</v>
      </c>
      <c r="L49" s="4">
        <v>0</v>
      </c>
      <c r="M49" s="8"/>
      <c r="N49" s="12" t="s">
        <v>0</v>
      </c>
    </row>
    <row r="50" spans="1:14" ht="15" customHeight="1">
      <c r="A50" s="13"/>
      <c r="B50" s="14" t="s">
        <v>263</v>
      </c>
      <c r="C50" s="1" t="s">
        <v>239</v>
      </c>
      <c r="D50" s="3">
        <v>0.67</v>
      </c>
      <c r="E50" s="1" t="s">
        <v>7</v>
      </c>
      <c r="F50" s="4" t="e">
        <f>H50+J50+L50</f>
        <v>#REF!</v>
      </c>
      <c r="G50" s="8" t="e">
        <f>I50+K50+M50</f>
        <v>#REF!</v>
      </c>
      <c r="H50" s="4" t="e">
        <f>#REF!</f>
        <v>#REF!</v>
      </c>
      <c r="I50" s="8" t="e">
        <f>TRUNC(H50*D50,1)</f>
        <v>#REF!</v>
      </c>
      <c r="J50" s="4" t="e">
        <f>#REF!</f>
        <v>#REF!</v>
      </c>
      <c r="K50" s="8" t="e">
        <f>TRUNC(J50*D50,1)</f>
        <v>#REF!</v>
      </c>
      <c r="L50" s="4" t="e">
        <f>#REF!</f>
        <v>#REF!</v>
      </c>
      <c r="M50" s="8" t="e">
        <f>TRUNC(L50*D50,1)</f>
        <v>#REF!</v>
      </c>
      <c r="N50" s="12" t="s">
        <v>0</v>
      </c>
    </row>
    <row r="51" spans="1:14" ht="15" customHeight="1">
      <c r="A51" s="13"/>
      <c r="B51" s="14" t="s">
        <v>297</v>
      </c>
      <c r="C51" s="1" t="s">
        <v>220</v>
      </c>
      <c r="D51" s="3">
        <v>2</v>
      </c>
      <c r="E51" s="1" t="s">
        <v>221</v>
      </c>
      <c r="F51" s="4">
        <f>H51+J51+L51</f>
        <v>0</v>
      </c>
      <c r="G51" s="8" t="e">
        <f>I51+K51+M51</f>
        <v>#REF!</v>
      </c>
      <c r="H51" s="4"/>
      <c r="I51" s="8"/>
      <c r="J51" s="4"/>
      <c r="K51" s="8"/>
      <c r="L51" s="4"/>
      <c r="M51" s="8" t="e">
        <f>TRUNC((K48+K49+K50)*D51%,1)</f>
        <v>#REF!</v>
      </c>
      <c r="N51" s="12"/>
    </row>
    <row r="52" spans="1:14" ht="15" customHeight="1">
      <c r="A52" s="16"/>
      <c r="B52" s="15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12"/>
    </row>
    <row r="53" spans="1:14" ht="15" customHeight="1">
      <c r="A53" s="64">
        <f>A47+1</f>
        <v>89</v>
      </c>
      <c r="B53" s="46" t="s">
        <v>310</v>
      </c>
      <c r="C53" s="47" t="s">
        <v>181</v>
      </c>
      <c r="D53" s="47">
        <v>1</v>
      </c>
      <c r="E53" s="47" t="s">
        <v>3</v>
      </c>
      <c r="F53" s="49"/>
      <c r="G53" s="50" t="e">
        <f>I53+K53+M53</f>
        <v>#REF!</v>
      </c>
      <c r="H53" s="49"/>
      <c r="I53" s="50" t="e">
        <f>TRUNC(I54+I55+I56,0)</f>
        <v>#REF!</v>
      </c>
      <c r="J53" s="49"/>
      <c r="K53" s="50" t="e">
        <f>TRUNC(K54+K55+K56,0)</f>
        <v>#REF!</v>
      </c>
      <c r="L53" s="49"/>
      <c r="M53" s="50" t="e">
        <f>TRUNC(M54+M55+M56,0)</f>
        <v>#REF!</v>
      </c>
      <c r="N53" s="63" t="str">
        <f>N47</f>
        <v>토목6-8-1</v>
      </c>
    </row>
    <row r="54" spans="1:14" ht="15" customHeight="1">
      <c r="A54" s="13"/>
      <c r="B54" s="14" t="s">
        <v>261</v>
      </c>
      <c r="C54" s="1" t="s">
        <v>32</v>
      </c>
      <c r="D54" s="3">
        <v>0.23</v>
      </c>
      <c r="E54" s="1" t="s">
        <v>24</v>
      </c>
      <c r="F54" s="4">
        <f>H54+J54+L54</f>
        <v>262580</v>
      </c>
      <c r="G54" s="8">
        <f>I54+K54+M54</f>
        <v>60393.4</v>
      </c>
      <c r="H54" s="4">
        <v>0</v>
      </c>
      <c r="I54" s="8"/>
      <c r="J54" s="4">
        <f>노임!$D$10</f>
        <v>262580</v>
      </c>
      <c r="K54" s="8">
        <f>TRUNC(J54*D54,1)</f>
        <v>60393.4</v>
      </c>
      <c r="L54" s="4">
        <v>0</v>
      </c>
      <c r="M54" s="8"/>
      <c r="N54" s="12" t="s">
        <v>0</v>
      </c>
    </row>
    <row r="55" spans="1:14" ht="15" customHeight="1">
      <c r="A55" s="13"/>
      <c r="B55" s="14" t="s">
        <v>262</v>
      </c>
      <c r="C55" s="1" t="s">
        <v>0</v>
      </c>
      <c r="D55" s="3">
        <v>0.12</v>
      </c>
      <c r="E55" s="1" t="s">
        <v>24</v>
      </c>
      <c r="F55" s="4">
        <f>H55+J55+L55</f>
        <v>172068</v>
      </c>
      <c r="G55" s="8">
        <f>I55+K55+M55</f>
        <v>20648.099999999999</v>
      </c>
      <c r="H55" s="4">
        <v>0</v>
      </c>
      <c r="I55" s="8"/>
      <c r="J55" s="4">
        <f>노임!$D$3</f>
        <v>172068</v>
      </c>
      <c r="K55" s="8">
        <f>TRUNC(J55*D55,1)</f>
        <v>20648.099999999999</v>
      </c>
      <c r="L55" s="4">
        <v>0</v>
      </c>
      <c r="M55" s="8"/>
      <c r="N55" s="12" t="s">
        <v>0</v>
      </c>
    </row>
    <row r="56" spans="1:14" ht="15" customHeight="1">
      <c r="A56" s="13"/>
      <c r="B56" s="14" t="s">
        <v>263</v>
      </c>
      <c r="C56" s="1" t="s">
        <v>239</v>
      </c>
      <c r="D56" s="3">
        <v>0.69</v>
      </c>
      <c r="E56" s="1" t="s">
        <v>7</v>
      </c>
      <c r="F56" s="4" t="e">
        <f>H56+J56+L56</f>
        <v>#REF!</v>
      </c>
      <c r="G56" s="8" t="e">
        <f>I56+K56+M56</f>
        <v>#REF!</v>
      </c>
      <c r="H56" s="4" t="e">
        <f>#REF!</f>
        <v>#REF!</v>
      </c>
      <c r="I56" s="8" t="e">
        <f>TRUNC(H56*D56,1)</f>
        <v>#REF!</v>
      </c>
      <c r="J56" s="4" t="e">
        <f>#REF!</f>
        <v>#REF!</v>
      </c>
      <c r="K56" s="8" t="e">
        <f>TRUNC(J56*D56,1)</f>
        <v>#REF!</v>
      </c>
      <c r="L56" s="4" t="e">
        <f>#REF!</f>
        <v>#REF!</v>
      </c>
      <c r="M56" s="8" t="e">
        <f>TRUNC(L56*D56,1)</f>
        <v>#REF!</v>
      </c>
      <c r="N56" s="12" t="s">
        <v>0</v>
      </c>
    </row>
    <row r="57" spans="1:14" ht="15" customHeight="1">
      <c r="A57" s="13"/>
      <c r="B57" s="14" t="s">
        <v>297</v>
      </c>
      <c r="C57" s="1" t="s">
        <v>220</v>
      </c>
      <c r="D57" s="3">
        <v>2</v>
      </c>
      <c r="E57" s="1" t="s">
        <v>221</v>
      </c>
      <c r="F57" s="4">
        <f>H57+J57+L57</f>
        <v>0</v>
      </c>
      <c r="G57" s="8" t="e">
        <f>I57+K57+M57</f>
        <v>#REF!</v>
      </c>
      <c r="H57" s="4"/>
      <c r="I57" s="8"/>
      <c r="J57" s="4"/>
      <c r="K57" s="8"/>
      <c r="L57" s="4"/>
      <c r="M57" s="8" t="e">
        <f>TRUNC((K54+K55+K56)*D57%,1)</f>
        <v>#REF!</v>
      </c>
      <c r="N57" s="12"/>
    </row>
    <row r="58" spans="1:14" ht="15" customHeight="1">
      <c r="A58" s="16"/>
      <c r="B58" s="15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12"/>
    </row>
    <row r="59" spans="1:14" ht="15" customHeight="1">
      <c r="A59" s="64">
        <f>A53+1</f>
        <v>90</v>
      </c>
      <c r="B59" s="46" t="s">
        <v>310</v>
      </c>
      <c r="C59" s="47" t="s">
        <v>182</v>
      </c>
      <c r="D59" s="47">
        <v>1</v>
      </c>
      <c r="E59" s="47" t="s">
        <v>3</v>
      </c>
      <c r="F59" s="49"/>
      <c r="G59" s="50" t="e">
        <f>I59+K59+M59</f>
        <v>#REF!</v>
      </c>
      <c r="H59" s="49"/>
      <c r="I59" s="50" t="e">
        <f>TRUNC(I60+I61+I62,0)</f>
        <v>#REF!</v>
      </c>
      <c r="J59" s="49"/>
      <c r="K59" s="50" t="e">
        <f>TRUNC(K60+K61+K62,0)</f>
        <v>#REF!</v>
      </c>
      <c r="L59" s="49"/>
      <c r="M59" s="50" t="e">
        <f>TRUNC(M60+M61+M62,0)</f>
        <v>#REF!</v>
      </c>
      <c r="N59" s="63" t="str">
        <f>N53</f>
        <v>토목6-8-1</v>
      </c>
    </row>
    <row r="60" spans="1:14" ht="15" customHeight="1">
      <c r="A60" s="13"/>
      <c r="B60" s="14" t="s">
        <v>261</v>
      </c>
      <c r="C60" s="1" t="s">
        <v>32</v>
      </c>
      <c r="D60" s="3">
        <v>0.39</v>
      </c>
      <c r="E60" s="1" t="s">
        <v>24</v>
      </c>
      <c r="F60" s="4">
        <f>H60+J60+L60</f>
        <v>262580</v>
      </c>
      <c r="G60" s="8">
        <f>I60+K60+M60</f>
        <v>102406.2</v>
      </c>
      <c r="H60" s="4">
        <v>0</v>
      </c>
      <c r="I60" s="8"/>
      <c r="J60" s="4">
        <f>노임!$D$10</f>
        <v>262580</v>
      </c>
      <c r="K60" s="8">
        <f>TRUNC(J60*D60,1)</f>
        <v>102406.2</v>
      </c>
      <c r="L60" s="4">
        <v>0</v>
      </c>
      <c r="M60" s="8"/>
      <c r="N60" s="12" t="s">
        <v>0</v>
      </c>
    </row>
    <row r="61" spans="1:14" ht="15" customHeight="1">
      <c r="A61" s="13"/>
      <c r="B61" s="14" t="s">
        <v>262</v>
      </c>
      <c r="C61" s="1" t="s">
        <v>0</v>
      </c>
      <c r="D61" s="3">
        <v>0.2</v>
      </c>
      <c r="E61" s="1" t="s">
        <v>24</v>
      </c>
      <c r="F61" s="4">
        <f>H61+J61+L61</f>
        <v>172068</v>
      </c>
      <c r="G61" s="8">
        <f>I61+K61+M61</f>
        <v>34413.599999999999</v>
      </c>
      <c r="H61" s="4">
        <v>0</v>
      </c>
      <c r="I61" s="8"/>
      <c r="J61" s="4">
        <f>노임!$D$3</f>
        <v>172068</v>
      </c>
      <c r="K61" s="8">
        <f>TRUNC(J61*D61,1)</f>
        <v>34413.599999999999</v>
      </c>
      <c r="L61" s="4">
        <v>0</v>
      </c>
      <c r="M61" s="8"/>
      <c r="N61" s="12" t="s">
        <v>0</v>
      </c>
    </row>
    <row r="62" spans="1:14" ht="15" customHeight="1">
      <c r="A62" s="13"/>
      <c r="B62" s="14" t="s">
        <v>263</v>
      </c>
      <c r="C62" s="1" t="s">
        <v>239</v>
      </c>
      <c r="D62" s="3">
        <v>0.72</v>
      </c>
      <c r="E62" s="1" t="s">
        <v>7</v>
      </c>
      <c r="F62" s="4" t="e">
        <f>H62+J62+L62</f>
        <v>#REF!</v>
      </c>
      <c r="G62" s="8" t="e">
        <f>I62+K62+M62</f>
        <v>#REF!</v>
      </c>
      <c r="H62" s="4" t="e">
        <f>#REF!</f>
        <v>#REF!</v>
      </c>
      <c r="I62" s="8" t="e">
        <f>TRUNC(H62*D62,1)</f>
        <v>#REF!</v>
      </c>
      <c r="J62" s="4" t="e">
        <f>#REF!</f>
        <v>#REF!</v>
      </c>
      <c r="K62" s="8" t="e">
        <f>TRUNC(J62*D62,1)</f>
        <v>#REF!</v>
      </c>
      <c r="L62" s="4" t="e">
        <f>#REF!</f>
        <v>#REF!</v>
      </c>
      <c r="M62" s="8" t="e">
        <f>TRUNC(L62*D62,1)</f>
        <v>#REF!</v>
      </c>
      <c r="N62" s="12" t="s">
        <v>0</v>
      </c>
    </row>
    <row r="63" spans="1:14" ht="15" customHeight="1">
      <c r="A63" s="13"/>
      <c r="B63" s="14" t="s">
        <v>297</v>
      </c>
      <c r="C63" s="1" t="s">
        <v>220</v>
      </c>
      <c r="D63" s="3">
        <v>2</v>
      </c>
      <c r="E63" s="1" t="s">
        <v>221</v>
      </c>
      <c r="F63" s="4">
        <f>H63+J63+L63</f>
        <v>0</v>
      </c>
      <c r="G63" s="8" t="e">
        <f>I63+K63+M63</f>
        <v>#REF!</v>
      </c>
      <c r="H63" s="4"/>
      <c r="I63" s="8"/>
      <c r="J63" s="4"/>
      <c r="K63" s="8"/>
      <c r="L63" s="4"/>
      <c r="M63" s="8" t="e">
        <f>TRUNC((K60+K61+K62)*D63%,1)</f>
        <v>#REF!</v>
      </c>
      <c r="N63" s="12"/>
    </row>
    <row r="64" spans="1:14" ht="15" customHeight="1">
      <c r="A64" s="16"/>
      <c r="B64" s="15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12"/>
    </row>
    <row r="65" spans="1:14" ht="15" customHeight="1">
      <c r="A65" s="64">
        <f>A59+1</f>
        <v>91</v>
      </c>
      <c r="B65" s="46" t="s">
        <v>310</v>
      </c>
      <c r="C65" s="47" t="s">
        <v>183</v>
      </c>
      <c r="D65" s="47">
        <v>1</v>
      </c>
      <c r="E65" s="47" t="s">
        <v>3</v>
      </c>
      <c r="F65" s="49"/>
      <c r="G65" s="50" t="e">
        <f>I65+K65+M65</f>
        <v>#REF!</v>
      </c>
      <c r="H65" s="49"/>
      <c r="I65" s="50" t="e">
        <f>TRUNC(I66+I67+I68,0)</f>
        <v>#REF!</v>
      </c>
      <c r="J65" s="49"/>
      <c r="K65" s="50" t="e">
        <f>TRUNC(K66+K67+K68,0)</f>
        <v>#REF!</v>
      </c>
      <c r="L65" s="49"/>
      <c r="M65" s="50" t="e">
        <f>TRUNC(M66+M67+M68,0)</f>
        <v>#REF!</v>
      </c>
      <c r="N65" s="63" t="str">
        <f>N59</f>
        <v>토목6-8-1</v>
      </c>
    </row>
    <row r="66" spans="1:14" ht="15" customHeight="1">
      <c r="A66" s="13"/>
      <c r="B66" s="14" t="s">
        <v>261</v>
      </c>
      <c r="C66" s="1" t="s">
        <v>32</v>
      </c>
      <c r="D66" s="3">
        <v>0.51</v>
      </c>
      <c r="E66" s="1" t="s">
        <v>24</v>
      </c>
      <c r="F66" s="4">
        <f>H66+J66+L66</f>
        <v>262580</v>
      </c>
      <c r="G66" s="8">
        <f>I66+K66+M66</f>
        <v>133915.79999999999</v>
      </c>
      <c r="H66" s="4">
        <v>0</v>
      </c>
      <c r="I66" s="8"/>
      <c r="J66" s="4">
        <f>노임!$D$10</f>
        <v>262580</v>
      </c>
      <c r="K66" s="8">
        <f>TRUNC(J66*D66,1)</f>
        <v>133915.79999999999</v>
      </c>
      <c r="L66" s="4">
        <v>0</v>
      </c>
      <c r="M66" s="8"/>
      <c r="N66" s="12" t="s">
        <v>0</v>
      </c>
    </row>
    <row r="67" spans="1:14" ht="15" customHeight="1">
      <c r="A67" s="13"/>
      <c r="B67" s="14" t="s">
        <v>262</v>
      </c>
      <c r="C67" s="1" t="s">
        <v>0</v>
      </c>
      <c r="D67" s="3">
        <v>0.26</v>
      </c>
      <c r="E67" s="1" t="s">
        <v>24</v>
      </c>
      <c r="F67" s="4">
        <f>H67+J67+L67</f>
        <v>172068</v>
      </c>
      <c r="G67" s="8">
        <f>I67+K67+M67</f>
        <v>44737.599999999999</v>
      </c>
      <c r="H67" s="4">
        <v>0</v>
      </c>
      <c r="I67" s="8"/>
      <c r="J67" s="4">
        <f>노임!$D$3</f>
        <v>172068</v>
      </c>
      <c r="K67" s="8">
        <f>TRUNC(J67*D67,1)</f>
        <v>44737.599999999999</v>
      </c>
      <c r="L67" s="4">
        <v>0</v>
      </c>
      <c r="M67" s="8"/>
      <c r="N67" s="12" t="s">
        <v>0</v>
      </c>
    </row>
    <row r="68" spans="1:14" ht="15" customHeight="1">
      <c r="A68" s="13"/>
      <c r="B68" s="14" t="s">
        <v>263</v>
      </c>
      <c r="C68" s="1" t="s">
        <v>239</v>
      </c>
      <c r="D68" s="3">
        <v>0.75</v>
      </c>
      <c r="E68" s="1" t="s">
        <v>7</v>
      </c>
      <c r="F68" s="4" t="e">
        <f>H68+J68+L68</f>
        <v>#REF!</v>
      </c>
      <c r="G68" s="8" t="e">
        <f>I68+K68+M68</f>
        <v>#REF!</v>
      </c>
      <c r="H68" s="4" t="e">
        <f>#REF!</f>
        <v>#REF!</v>
      </c>
      <c r="I68" s="8" t="e">
        <f>TRUNC(H68*D68,1)</f>
        <v>#REF!</v>
      </c>
      <c r="J68" s="4" t="e">
        <f>#REF!</f>
        <v>#REF!</v>
      </c>
      <c r="K68" s="8" t="e">
        <f>TRUNC(J68*D68,1)</f>
        <v>#REF!</v>
      </c>
      <c r="L68" s="4" t="e">
        <f>#REF!</f>
        <v>#REF!</v>
      </c>
      <c r="M68" s="8" t="e">
        <f>TRUNC(L68*D68,1)</f>
        <v>#REF!</v>
      </c>
      <c r="N68" s="12" t="s">
        <v>0</v>
      </c>
    </row>
    <row r="69" spans="1:14" ht="15" customHeight="1">
      <c r="A69" s="13"/>
      <c r="B69" s="14" t="s">
        <v>297</v>
      </c>
      <c r="C69" s="1" t="s">
        <v>220</v>
      </c>
      <c r="D69" s="3">
        <v>2</v>
      </c>
      <c r="E69" s="1" t="s">
        <v>221</v>
      </c>
      <c r="F69" s="4">
        <f>H69+J69+L69</f>
        <v>0</v>
      </c>
      <c r="G69" s="8" t="e">
        <f>I69+K69+M69</f>
        <v>#REF!</v>
      </c>
      <c r="H69" s="4"/>
      <c r="I69" s="8"/>
      <c r="J69" s="4"/>
      <c r="K69" s="8"/>
      <c r="L69" s="4"/>
      <c r="M69" s="8" t="e">
        <f>TRUNC((K66+K67+K68)*D69%,1)</f>
        <v>#REF!</v>
      </c>
      <c r="N69" s="12"/>
    </row>
    <row r="70" spans="1:14" ht="15" customHeight="1">
      <c r="A70" s="16"/>
      <c r="B70" s="15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12"/>
    </row>
    <row r="71" spans="1:14" ht="15" customHeight="1">
      <c r="A71" s="64">
        <f>A65+1</f>
        <v>92</v>
      </c>
      <c r="B71" s="46" t="s">
        <v>310</v>
      </c>
      <c r="C71" s="47" t="s">
        <v>185</v>
      </c>
      <c r="D71" s="47">
        <v>1</v>
      </c>
      <c r="E71" s="47" t="s">
        <v>3</v>
      </c>
      <c r="F71" s="49"/>
      <c r="G71" s="50" t="e">
        <f>I71+K71+M71</f>
        <v>#REF!</v>
      </c>
      <c r="H71" s="49"/>
      <c r="I71" s="50" t="e">
        <f>TRUNC(I72+I73+I74,0)</f>
        <v>#REF!</v>
      </c>
      <c r="J71" s="49"/>
      <c r="K71" s="50" t="e">
        <f>TRUNC(K72+K73+K74,0)</f>
        <v>#REF!</v>
      </c>
      <c r="L71" s="49"/>
      <c r="M71" s="50" t="e">
        <f>TRUNC(M72+M73+M74,0)</f>
        <v>#REF!</v>
      </c>
      <c r="N71" s="63" t="str">
        <f>N65</f>
        <v>토목6-8-1</v>
      </c>
    </row>
    <row r="72" spans="1:14" ht="15" customHeight="1">
      <c r="A72" s="13"/>
      <c r="B72" s="14" t="s">
        <v>26</v>
      </c>
      <c r="C72" s="1" t="s">
        <v>32</v>
      </c>
      <c r="D72" s="3">
        <v>0.63</v>
      </c>
      <c r="E72" s="1" t="s">
        <v>24</v>
      </c>
      <c r="F72" s="4">
        <f>H72+J72+L72</f>
        <v>262580</v>
      </c>
      <c r="G72" s="8">
        <f>I72+K72+M72</f>
        <v>165425.4</v>
      </c>
      <c r="H72" s="4">
        <v>0</v>
      </c>
      <c r="I72" s="8"/>
      <c r="J72" s="4">
        <f>노임!$D$10</f>
        <v>262580</v>
      </c>
      <c r="K72" s="8">
        <f>TRUNC(J72*D72,1)</f>
        <v>165425.4</v>
      </c>
      <c r="L72" s="4">
        <v>0</v>
      </c>
      <c r="M72" s="8"/>
      <c r="N72" s="12" t="s">
        <v>0</v>
      </c>
    </row>
    <row r="73" spans="1:14" ht="15" customHeight="1">
      <c r="A73" s="13"/>
      <c r="B73" s="14" t="s">
        <v>25</v>
      </c>
      <c r="C73" s="1" t="s">
        <v>0</v>
      </c>
      <c r="D73" s="3">
        <v>0.32</v>
      </c>
      <c r="E73" s="1" t="s">
        <v>24</v>
      </c>
      <c r="F73" s="4">
        <f>H73+J73+L73</f>
        <v>172068</v>
      </c>
      <c r="G73" s="8">
        <f>I73+K73+M73</f>
        <v>55061.7</v>
      </c>
      <c r="H73" s="4">
        <v>0</v>
      </c>
      <c r="I73" s="8"/>
      <c r="J73" s="4">
        <f>노임!$D$3</f>
        <v>172068</v>
      </c>
      <c r="K73" s="8">
        <f>TRUNC(J73*D73,1)</f>
        <v>55061.7</v>
      </c>
      <c r="L73" s="4">
        <v>0</v>
      </c>
      <c r="M73" s="8"/>
      <c r="N73" s="12" t="s">
        <v>0</v>
      </c>
    </row>
    <row r="74" spans="1:14" ht="15" customHeight="1">
      <c r="A74" s="13"/>
      <c r="B74" s="14" t="s">
        <v>173</v>
      </c>
      <c r="C74" s="1" t="s">
        <v>239</v>
      </c>
      <c r="D74" s="3">
        <v>0.78</v>
      </c>
      <c r="E74" s="1" t="s">
        <v>7</v>
      </c>
      <c r="F74" s="4" t="e">
        <f>H74+J74+L74</f>
        <v>#REF!</v>
      </c>
      <c r="G74" s="8" t="e">
        <f>I74+K74+M74</f>
        <v>#REF!</v>
      </c>
      <c r="H74" s="4" t="e">
        <f>#REF!</f>
        <v>#REF!</v>
      </c>
      <c r="I74" s="8" t="e">
        <f>TRUNC(H74*D74,1)</f>
        <v>#REF!</v>
      </c>
      <c r="J74" s="4" t="e">
        <f>#REF!</f>
        <v>#REF!</v>
      </c>
      <c r="K74" s="8" t="e">
        <f>TRUNC(J74*D74,1)</f>
        <v>#REF!</v>
      </c>
      <c r="L74" s="4" t="e">
        <f>#REF!</f>
        <v>#REF!</v>
      </c>
      <c r="M74" s="8" t="e">
        <f>TRUNC(L74*D74,1)</f>
        <v>#REF!</v>
      </c>
      <c r="N74" s="12" t="s">
        <v>0</v>
      </c>
    </row>
    <row r="75" spans="1:14" ht="15" customHeight="1">
      <c r="A75" s="13"/>
      <c r="B75" s="14" t="s">
        <v>218</v>
      </c>
      <c r="C75" s="1" t="s">
        <v>220</v>
      </c>
      <c r="D75" s="3">
        <v>2</v>
      </c>
      <c r="E75" s="1" t="s">
        <v>221</v>
      </c>
      <c r="F75" s="4">
        <f>H75+J75+L75</f>
        <v>0</v>
      </c>
      <c r="G75" s="8" t="e">
        <f>I75+K75+M75</f>
        <v>#REF!</v>
      </c>
      <c r="H75" s="4"/>
      <c r="I75" s="8"/>
      <c r="J75" s="4"/>
      <c r="K75" s="8"/>
      <c r="L75" s="4"/>
      <c r="M75" s="8" t="e">
        <f>TRUNC((K72+K73+K74)*D75%,1)</f>
        <v>#REF!</v>
      </c>
      <c r="N75" s="12"/>
    </row>
    <row r="76" spans="1:14" ht="15" customHeight="1">
      <c r="A76" s="16"/>
      <c r="B76" s="15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12"/>
    </row>
    <row r="77" spans="1:14" ht="15" customHeight="1">
      <c r="A77" s="64">
        <f>A71+1</f>
        <v>93</v>
      </c>
      <c r="B77" s="46" t="s">
        <v>310</v>
      </c>
      <c r="C77" s="47" t="s">
        <v>184</v>
      </c>
      <c r="D77" s="47">
        <v>1</v>
      </c>
      <c r="E77" s="47" t="s">
        <v>3</v>
      </c>
      <c r="F77" s="49"/>
      <c r="G77" s="50" t="e">
        <f>I77+K77+M77</f>
        <v>#REF!</v>
      </c>
      <c r="H77" s="49"/>
      <c r="I77" s="50" t="e">
        <f>TRUNC(I78+I79+I80,0)</f>
        <v>#REF!</v>
      </c>
      <c r="J77" s="49"/>
      <c r="K77" s="50" t="e">
        <f>TRUNC(K78+K79+K80,0)</f>
        <v>#REF!</v>
      </c>
      <c r="L77" s="49"/>
      <c r="M77" s="50" t="e">
        <f>TRUNC(M78+M79+M80,0)</f>
        <v>#REF!</v>
      </c>
      <c r="N77" s="63" t="str">
        <f>N71</f>
        <v>토목6-8-1</v>
      </c>
    </row>
    <row r="78" spans="1:14" ht="15" customHeight="1">
      <c r="A78" s="13"/>
      <c r="B78" s="14" t="s">
        <v>261</v>
      </c>
      <c r="C78" s="1" t="s">
        <v>32</v>
      </c>
      <c r="D78" s="3">
        <v>0.73</v>
      </c>
      <c r="E78" s="1" t="s">
        <v>24</v>
      </c>
      <c r="F78" s="4">
        <f>H78+J78+L78</f>
        <v>262580</v>
      </c>
      <c r="G78" s="8">
        <f>I78+K78+M78</f>
        <v>191683.4</v>
      </c>
      <c r="H78" s="4">
        <v>0</v>
      </c>
      <c r="I78" s="8"/>
      <c r="J78" s="4">
        <f>노임!$D$10</f>
        <v>262580</v>
      </c>
      <c r="K78" s="8">
        <f>TRUNC(J78*D78,1)</f>
        <v>191683.4</v>
      </c>
      <c r="L78" s="4">
        <v>0</v>
      </c>
      <c r="M78" s="8"/>
      <c r="N78" s="12" t="s">
        <v>0</v>
      </c>
    </row>
    <row r="79" spans="1:14" ht="15" customHeight="1">
      <c r="A79" s="13"/>
      <c r="B79" s="14" t="s">
        <v>262</v>
      </c>
      <c r="C79" s="1" t="s">
        <v>0</v>
      </c>
      <c r="D79" s="3">
        <v>0.37</v>
      </c>
      <c r="E79" s="1" t="s">
        <v>24</v>
      </c>
      <c r="F79" s="4">
        <f>H79+J79+L79</f>
        <v>172068</v>
      </c>
      <c r="G79" s="8">
        <f>I79+K79+M79</f>
        <v>63665.1</v>
      </c>
      <c r="H79" s="4">
        <v>0</v>
      </c>
      <c r="I79" s="8"/>
      <c r="J79" s="4">
        <f>노임!$D$3</f>
        <v>172068</v>
      </c>
      <c r="K79" s="8">
        <f>TRUNC(J79*D79,1)</f>
        <v>63665.1</v>
      </c>
      <c r="L79" s="4">
        <v>0</v>
      </c>
      <c r="M79" s="8"/>
      <c r="N79" s="12" t="s">
        <v>0</v>
      </c>
    </row>
    <row r="80" spans="1:14" ht="15" customHeight="1">
      <c r="A80" s="13"/>
      <c r="B80" s="14" t="s">
        <v>263</v>
      </c>
      <c r="C80" s="1" t="s">
        <v>239</v>
      </c>
      <c r="D80" s="3">
        <v>0.81</v>
      </c>
      <c r="E80" s="1" t="s">
        <v>7</v>
      </c>
      <c r="F80" s="4" t="e">
        <f>H80+J80+L80</f>
        <v>#REF!</v>
      </c>
      <c r="G80" s="8" t="e">
        <f>I80+K80+M80</f>
        <v>#REF!</v>
      </c>
      <c r="H80" s="4" t="e">
        <f>#REF!</f>
        <v>#REF!</v>
      </c>
      <c r="I80" s="8" t="e">
        <f>TRUNC(H80*D80,1)</f>
        <v>#REF!</v>
      </c>
      <c r="J80" s="4" t="e">
        <f>#REF!</f>
        <v>#REF!</v>
      </c>
      <c r="K80" s="8" t="e">
        <f>TRUNC(J80*D80,1)</f>
        <v>#REF!</v>
      </c>
      <c r="L80" s="4" t="e">
        <f>#REF!</f>
        <v>#REF!</v>
      </c>
      <c r="M80" s="8" t="e">
        <f>TRUNC(L80*D80,1)</f>
        <v>#REF!</v>
      </c>
      <c r="N80" s="12" t="s">
        <v>0</v>
      </c>
    </row>
    <row r="81" spans="1:14" ht="15" customHeight="1">
      <c r="A81" s="13"/>
      <c r="B81" s="14" t="s">
        <v>297</v>
      </c>
      <c r="C81" s="1" t="s">
        <v>220</v>
      </c>
      <c r="D81" s="3">
        <v>2</v>
      </c>
      <c r="E81" s="1" t="s">
        <v>221</v>
      </c>
      <c r="F81" s="4">
        <f>H81+J81+L81</f>
        <v>0</v>
      </c>
      <c r="G81" s="8" t="e">
        <f>I81+K81+M81</f>
        <v>#REF!</v>
      </c>
      <c r="H81" s="4"/>
      <c r="I81" s="8"/>
      <c r="J81" s="4"/>
      <c r="K81" s="8"/>
      <c r="L81" s="4"/>
      <c r="M81" s="8" t="e">
        <f>TRUNC((K78+K79+K80)*D81%,1)</f>
        <v>#REF!</v>
      </c>
      <c r="N81" s="12"/>
    </row>
    <row r="82" spans="1:14" ht="15" customHeight="1">
      <c r="A82" s="16"/>
      <c r="B82" s="15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12"/>
    </row>
    <row r="83" spans="1:14" ht="15" customHeight="1">
      <c r="A83" s="64">
        <f>A77+1</f>
        <v>94</v>
      </c>
      <c r="B83" s="46" t="s">
        <v>310</v>
      </c>
      <c r="C83" s="47" t="s">
        <v>186</v>
      </c>
      <c r="D83" s="47">
        <v>1</v>
      </c>
      <c r="E83" s="47" t="s">
        <v>3</v>
      </c>
      <c r="F83" s="49"/>
      <c r="G83" s="50" t="e">
        <f>I83+K83+M83</f>
        <v>#REF!</v>
      </c>
      <c r="H83" s="49"/>
      <c r="I83" s="50" t="e">
        <f>TRUNC(I84+I85+I86,0)</f>
        <v>#REF!</v>
      </c>
      <c r="J83" s="49"/>
      <c r="K83" s="50" t="e">
        <f>TRUNC(K84+K85+K86,0)</f>
        <v>#REF!</v>
      </c>
      <c r="L83" s="49"/>
      <c r="M83" s="50" t="e">
        <f>TRUNC(M84+M85+M86,0)</f>
        <v>#REF!</v>
      </c>
      <c r="N83" s="63" t="str">
        <f>N77</f>
        <v>토목6-8-1</v>
      </c>
    </row>
    <row r="84" spans="1:14" ht="15" customHeight="1">
      <c r="A84" s="13"/>
      <c r="B84" s="14" t="s">
        <v>261</v>
      </c>
      <c r="C84" s="1" t="s">
        <v>32</v>
      </c>
      <c r="D84" s="3">
        <v>0.91</v>
      </c>
      <c r="E84" s="1" t="s">
        <v>24</v>
      </c>
      <c r="F84" s="4">
        <f>H84+J84+L84</f>
        <v>262580</v>
      </c>
      <c r="G84" s="8">
        <f>I84+K84+M84</f>
        <v>238947.8</v>
      </c>
      <c r="H84" s="4">
        <v>0</v>
      </c>
      <c r="I84" s="8"/>
      <c r="J84" s="4">
        <f>노임!$D$10</f>
        <v>262580</v>
      </c>
      <c r="K84" s="8">
        <f>TRUNC(J84*D84,1)</f>
        <v>238947.8</v>
      </c>
      <c r="L84" s="4">
        <v>0</v>
      </c>
      <c r="M84" s="8"/>
      <c r="N84" s="12" t="s">
        <v>0</v>
      </c>
    </row>
    <row r="85" spans="1:14" ht="15" customHeight="1">
      <c r="A85" s="13"/>
      <c r="B85" s="14" t="s">
        <v>262</v>
      </c>
      <c r="C85" s="1" t="s">
        <v>0</v>
      </c>
      <c r="D85" s="3">
        <v>0.46</v>
      </c>
      <c r="E85" s="1" t="s">
        <v>24</v>
      </c>
      <c r="F85" s="4">
        <f>H85+J85+L85</f>
        <v>172068</v>
      </c>
      <c r="G85" s="8">
        <f>I85+K85+M85</f>
        <v>79151.199999999997</v>
      </c>
      <c r="H85" s="4">
        <v>0</v>
      </c>
      <c r="I85" s="8"/>
      <c r="J85" s="4">
        <f>노임!$D$3</f>
        <v>172068</v>
      </c>
      <c r="K85" s="8">
        <f>TRUNC(J85*D85,1)</f>
        <v>79151.199999999997</v>
      </c>
      <c r="L85" s="4">
        <v>0</v>
      </c>
      <c r="M85" s="8"/>
      <c r="N85" s="12" t="s">
        <v>0</v>
      </c>
    </row>
    <row r="86" spans="1:14" ht="15" customHeight="1">
      <c r="A86" s="13"/>
      <c r="B86" s="14" t="s">
        <v>263</v>
      </c>
      <c r="C86" s="1" t="s">
        <v>239</v>
      </c>
      <c r="D86" s="3">
        <v>0.88</v>
      </c>
      <c r="E86" s="1" t="s">
        <v>7</v>
      </c>
      <c r="F86" s="4" t="e">
        <f>H86+J86+L86</f>
        <v>#REF!</v>
      </c>
      <c r="G86" s="8" t="e">
        <f>I86+K86+M86</f>
        <v>#REF!</v>
      </c>
      <c r="H86" s="4" t="e">
        <f>#REF!</f>
        <v>#REF!</v>
      </c>
      <c r="I86" s="8" t="e">
        <f>TRUNC(H86*D86,1)</f>
        <v>#REF!</v>
      </c>
      <c r="J86" s="4" t="e">
        <f>#REF!</f>
        <v>#REF!</v>
      </c>
      <c r="K86" s="8" t="e">
        <f>TRUNC(J86*D86,1)</f>
        <v>#REF!</v>
      </c>
      <c r="L86" s="4" t="e">
        <f>#REF!</f>
        <v>#REF!</v>
      </c>
      <c r="M86" s="8" t="e">
        <f>TRUNC(L86*D86,1)</f>
        <v>#REF!</v>
      </c>
      <c r="N86" s="12" t="s">
        <v>0</v>
      </c>
    </row>
    <row r="87" spans="1:14" ht="15" customHeight="1">
      <c r="A87" s="13"/>
      <c r="B87" s="14" t="s">
        <v>297</v>
      </c>
      <c r="C87" s="1" t="s">
        <v>220</v>
      </c>
      <c r="D87" s="3">
        <v>2</v>
      </c>
      <c r="E87" s="1" t="s">
        <v>221</v>
      </c>
      <c r="F87" s="4">
        <f>H87+J87+L87</f>
        <v>0</v>
      </c>
      <c r="G87" s="8" t="e">
        <f>I87+K87+M87</f>
        <v>#REF!</v>
      </c>
      <c r="H87" s="4"/>
      <c r="I87" s="8"/>
      <c r="J87" s="4"/>
      <c r="K87" s="8"/>
      <c r="L87" s="4"/>
      <c r="M87" s="8" t="e">
        <f>TRUNC((K84+K85+K86)*D87%,1)</f>
        <v>#REF!</v>
      </c>
      <c r="N87" s="12"/>
    </row>
    <row r="88" spans="1:14" ht="15" customHeight="1">
      <c r="A88" s="16"/>
      <c r="B88" s="15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12"/>
    </row>
    <row r="89" spans="1:14" ht="15" customHeight="1">
      <c r="A89" s="64">
        <f>A83+1</f>
        <v>95</v>
      </c>
      <c r="B89" s="46" t="s">
        <v>310</v>
      </c>
      <c r="C89" s="47" t="s">
        <v>187</v>
      </c>
      <c r="D89" s="47">
        <v>1</v>
      </c>
      <c r="E89" s="47" t="s">
        <v>3</v>
      </c>
      <c r="F89" s="49"/>
      <c r="G89" s="50" t="e">
        <f>I89+K89+M89</f>
        <v>#REF!</v>
      </c>
      <c r="H89" s="49"/>
      <c r="I89" s="50" t="e">
        <f>TRUNC(I90+I91+I92,0)</f>
        <v>#REF!</v>
      </c>
      <c r="J89" s="49"/>
      <c r="K89" s="50" t="e">
        <f>TRUNC(K90+K91+K92,0)</f>
        <v>#REF!</v>
      </c>
      <c r="L89" s="49"/>
      <c r="M89" s="50" t="e">
        <f>TRUNC(M90+M91+M92,0)</f>
        <v>#REF!</v>
      </c>
      <c r="N89" s="63" t="str">
        <f>N83</f>
        <v>토목6-8-1</v>
      </c>
    </row>
    <row r="90" spans="1:14" ht="15" customHeight="1">
      <c r="A90" s="13"/>
      <c r="B90" s="14" t="s">
        <v>261</v>
      </c>
      <c r="C90" s="1" t="s">
        <v>32</v>
      </c>
      <c r="D90" s="3">
        <v>1.06</v>
      </c>
      <c r="E90" s="1" t="s">
        <v>24</v>
      </c>
      <c r="F90" s="4">
        <f>H90+J90+L90</f>
        <v>262580</v>
      </c>
      <c r="G90" s="8">
        <f>I90+K90+M90</f>
        <v>278334.8</v>
      </c>
      <c r="H90" s="4">
        <v>0</v>
      </c>
      <c r="I90" s="8"/>
      <c r="J90" s="4">
        <f>노임!$D$10</f>
        <v>262580</v>
      </c>
      <c r="K90" s="8">
        <f>TRUNC(J90*D90,1)</f>
        <v>278334.8</v>
      </c>
      <c r="L90" s="4">
        <v>0</v>
      </c>
      <c r="M90" s="8"/>
      <c r="N90" s="12" t="s">
        <v>0</v>
      </c>
    </row>
    <row r="91" spans="1:14" ht="15" customHeight="1">
      <c r="A91" s="13"/>
      <c r="B91" s="14" t="s">
        <v>262</v>
      </c>
      <c r="C91" s="1" t="s">
        <v>0</v>
      </c>
      <c r="D91" s="3">
        <v>0.53</v>
      </c>
      <c r="E91" s="1" t="s">
        <v>24</v>
      </c>
      <c r="F91" s="4">
        <f>H91+J91+L91</f>
        <v>172068</v>
      </c>
      <c r="G91" s="8">
        <f>I91+K91+M91</f>
        <v>91196</v>
      </c>
      <c r="H91" s="4">
        <v>0</v>
      </c>
      <c r="I91" s="8"/>
      <c r="J91" s="4">
        <f>노임!$D$3</f>
        <v>172068</v>
      </c>
      <c r="K91" s="8">
        <f>TRUNC(J91*D91,1)</f>
        <v>91196</v>
      </c>
      <c r="L91" s="4">
        <v>0</v>
      </c>
      <c r="M91" s="8"/>
      <c r="N91" s="12" t="s">
        <v>0</v>
      </c>
    </row>
    <row r="92" spans="1:14" ht="15" customHeight="1">
      <c r="A92" s="13"/>
      <c r="B92" s="14" t="s">
        <v>263</v>
      </c>
      <c r="C92" s="1" t="s">
        <v>240</v>
      </c>
      <c r="D92" s="3">
        <v>0.93</v>
      </c>
      <c r="E92" s="1" t="s">
        <v>7</v>
      </c>
      <c r="F92" s="4" t="e">
        <f>H92+J92+L92</f>
        <v>#REF!</v>
      </c>
      <c r="G92" s="8" t="e">
        <f>I92+K92+M92</f>
        <v>#REF!</v>
      </c>
      <c r="H92" s="4" t="e">
        <f>#REF!</f>
        <v>#REF!</v>
      </c>
      <c r="I92" s="8" t="e">
        <f>TRUNC(H92*D92,1)</f>
        <v>#REF!</v>
      </c>
      <c r="J92" s="4" t="e">
        <f>#REF!</f>
        <v>#REF!</v>
      </c>
      <c r="K92" s="8" t="e">
        <f>TRUNC(J92*D92,1)</f>
        <v>#REF!</v>
      </c>
      <c r="L92" s="4" t="e">
        <f>#REF!</f>
        <v>#REF!</v>
      </c>
      <c r="M92" s="8" t="e">
        <f>TRUNC(L92*D92,1)</f>
        <v>#REF!</v>
      </c>
      <c r="N92" s="12" t="s">
        <v>0</v>
      </c>
    </row>
    <row r="93" spans="1:14" ht="15" customHeight="1">
      <c r="A93" s="13"/>
      <c r="B93" s="14" t="s">
        <v>297</v>
      </c>
      <c r="C93" s="1" t="s">
        <v>220</v>
      </c>
      <c r="D93" s="3">
        <v>2</v>
      </c>
      <c r="E93" s="1" t="s">
        <v>221</v>
      </c>
      <c r="F93" s="4">
        <f>H93+J93+L93</f>
        <v>0</v>
      </c>
      <c r="G93" s="8" t="e">
        <f>I93+K93+M93</f>
        <v>#REF!</v>
      </c>
      <c r="H93" s="4"/>
      <c r="I93" s="8"/>
      <c r="J93" s="4"/>
      <c r="K93" s="8"/>
      <c r="L93" s="4"/>
      <c r="M93" s="8" t="e">
        <f>TRUNC((K90+K91+K92)*D93%,1)</f>
        <v>#REF!</v>
      </c>
      <c r="N93" s="12"/>
    </row>
    <row r="94" spans="1:14" ht="15" customHeight="1">
      <c r="A94" s="16"/>
      <c r="B94" s="15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12"/>
    </row>
    <row r="95" spans="1:14" ht="15" customHeight="1">
      <c r="A95" s="64">
        <f>A89+1</f>
        <v>96</v>
      </c>
      <c r="B95" s="46" t="s">
        <v>310</v>
      </c>
      <c r="C95" s="47" t="s">
        <v>188</v>
      </c>
      <c r="D95" s="47">
        <v>1</v>
      </c>
      <c r="E95" s="47" t="s">
        <v>3</v>
      </c>
      <c r="F95" s="49"/>
      <c r="G95" s="50" t="e">
        <f>I95+K95+M95</f>
        <v>#REF!</v>
      </c>
      <c r="H95" s="49"/>
      <c r="I95" s="50" t="e">
        <f>TRUNC(I96+I97+I98,0)</f>
        <v>#REF!</v>
      </c>
      <c r="J95" s="49"/>
      <c r="K95" s="50" t="e">
        <f>TRUNC(K96+K97+K98,0)</f>
        <v>#REF!</v>
      </c>
      <c r="L95" s="49"/>
      <c r="M95" s="50" t="e">
        <f>TRUNC(M96+M97+M98,0)</f>
        <v>#REF!</v>
      </c>
      <c r="N95" s="63" t="str">
        <f>N89</f>
        <v>토목6-8-1</v>
      </c>
    </row>
    <row r="96" spans="1:14" ht="15" customHeight="1">
      <c r="A96" s="13"/>
      <c r="B96" s="14" t="s">
        <v>261</v>
      </c>
      <c r="C96" s="1" t="s">
        <v>32</v>
      </c>
      <c r="D96" s="3">
        <v>1.2</v>
      </c>
      <c r="E96" s="1" t="s">
        <v>24</v>
      </c>
      <c r="F96" s="4">
        <f>H96+J96+L96</f>
        <v>262580</v>
      </c>
      <c r="G96" s="8">
        <f>I96+K96+M96</f>
        <v>315096</v>
      </c>
      <c r="H96" s="4">
        <v>0</v>
      </c>
      <c r="I96" s="8"/>
      <c r="J96" s="4">
        <f>노임!$D$10</f>
        <v>262580</v>
      </c>
      <c r="K96" s="8">
        <f>TRUNC(J96*D96,1)</f>
        <v>315096</v>
      </c>
      <c r="L96" s="4">
        <v>0</v>
      </c>
      <c r="M96" s="8"/>
      <c r="N96" s="12" t="s">
        <v>0</v>
      </c>
    </row>
    <row r="97" spans="1:14" ht="15" customHeight="1">
      <c r="A97" s="13"/>
      <c r="B97" s="14" t="s">
        <v>262</v>
      </c>
      <c r="C97" s="1" t="s">
        <v>0</v>
      </c>
      <c r="D97" s="3">
        <v>0.6</v>
      </c>
      <c r="E97" s="1" t="s">
        <v>24</v>
      </c>
      <c r="F97" s="4">
        <f>H97+J97+L97</f>
        <v>172068</v>
      </c>
      <c r="G97" s="8">
        <f>I97+K97+M97</f>
        <v>103240.8</v>
      </c>
      <c r="H97" s="4">
        <v>0</v>
      </c>
      <c r="I97" s="8"/>
      <c r="J97" s="4">
        <f>노임!$D$3</f>
        <v>172068</v>
      </c>
      <c r="K97" s="8">
        <f>TRUNC(J97*D97,1)</f>
        <v>103240.8</v>
      </c>
      <c r="L97" s="4">
        <v>0</v>
      </c>
      <c r="M97" s="8"/>
      <c r="N97" s="12" t="s">
        <v>0</v>
      </c>
    </row>
    <row r="98" spans="1:14" ht="15" customHeight="1">
      <c r="A98" s="13"/>
      <c r="B98" s="14" t="s">
        <v>263</v>
      </c>
      <c r="C98" s="1" t="s">
        <v>240</v>
      </c>
      <c r="D98" s="3">
        <v>1.02</v>
      </c>
      <c r="E98" s="1" t="s">
        <v>7</v>
      </c>
      <c r="F98" s="4" t="e">
        <f>H98+J98+L98</f>
        <v>#REF!</v>
      </c>
      <c r="G98" s="8" t="e">
        <f>I98+K98+M98</f>
        <v>#REF!</v>
      </c>
      <c r="H98" s="4" t="e">
        <f>#REF!</f>
        <v>#REF!</v>
      </c>
      <c r="I98" s="8" t="e">
        <f>TRUNC(H98*D98,1)</f>
        <v>#REF!</v>
      </c>
      <c r="J98" s="4" t="e">
        <f>#REF!</f>
        <v>#REF!</v>
      </c>
      <c r="K98" s="8" t="e">
        <f>TRUNC(J98*D98,1)</f>
        <v>#REF!</v>
      </c>
      <c r="L98" s="4" t="e">
        <f>#REF!</f>
        <v>#REF!</v>
      </c>
      <c r="M98" s="8" t="e">
        <f>TRUNC(L98*D98,1)</f>
        <v>#REF!</v>
      </c>
      <c r="N98" s="12" t="s">
        <v>0</v>
      </c>
    </row>
    <row r="99" spans="1:14" ht="15" customHeight="1">
      <c r="A99" s="13"/>
      <c r="B99" s="14" t="s">
        <v>297</v>
      </c>
      <c r="C99" s="1" t="s">
        <v>220</v>
      </c>
      <c r="D99" s="3">
        <v>2</v>
      </c>
      <c r="E99" s="1" t="s">
        <v>221</v>
      </c>
      <c r="F99" s="4">
        <f>H99+J99+L99</f>
        <v>0</v>
      </c>
      <c r="G99" s="8" t="e">
        <f>I99+K99+M99</f>
        <v>#REF!</v>
      </c>
      <c r="H99" s="4"/>
      <c r="I99" s="8"/>
      <c r="J99" s="4"/>
      <c r="K99" s="8"/>
      <c r="L99" s="4"/>
      <c r="M99" s="8" t="e">
        <f>TRUNC((K96+K97+K98)*D99%,1)</f>
        <v>#REF!</v>
      </c>
      <c r="N99" s="12"/>
    </row>
    <row r="100" spans="1:14" ht="15" customHeight="1">
      <c r="A100" s="16"/>
      <c r="B100" s="15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12"/>
    </row>
    <row r="101" spans="1:14" ht="15" customHeight="1">
      <c r="A101" s="64">
        <f>A95+1</f>
        <v>97</v>
      </c>
      <c r="B101" s="46" t="s">
        <v>310</v>
      </c>
      <c r="C101" s="47" t="s">
        <v>171</v>
      </c>
      <c r="D101" s="47">
        <v>1</v>
      </c>
      <c r="E101" s="47" t="s">
        <v>3</v>
      </c>
      <c r="F101" s="49"/>
      <c r="G101" s="50" t="e">
        <f>I101+K101+M101</f>
        <v>#REF!</v>
      </c>
      <c r="H101" s="49"/>
      <c r="I101" s="50" t="e">
        <f>TRUNC(I102+I103+I104,0)</f>
        <v>#REF!</v>
      </c>
      <c r="J101" s="49"/>
      <c r="K101" s="50" t="e">
        <f>TRUNC(K102+K103+K104,0)</f>
        <v>#REF!</v>
      </c>
      <c r="L101" s="49"/>
      <c r="M101" s="50" t="e">
        <f>TRUNC(M102+M103+M104,0)</f>
        <v>#REF!</v>
      </c>
      <c r="N101" s="63" t="str">
        <f>N95</f>
        <v>토목6-8-1</v>
      </c>
    </row>
    <row r="102" spans="1:14" ht="15" customHeight="1">
      <c r="A102" s="13"/>
      <c r="B102" s="14" t="s">
        <v>261</v>
      </c>
      <c r="C102" s="1" t="s">
        <v>32</v>
      </c>
      <c r="D102" s="3">
        <v>1.31</v>
      </c>
      <c r="E102" s="1" t="s">
        <v>24</v>
      </c>
      <c r="F102" s="4">
        <f>H102+J102+L102</f>
        <v>262580</v>
      </c>
      <c r="G102" s="8">
        <f>I102+K102+M102</f>
        <v>343979.8</v>
      </c>
      <c r="H102" s="4">
        <v>0</v>
      </c>
      <c r="I102" s="8"/>
      <c r="J102" s="4">
        <f>노임!$D$10</f>
        <v>262580</v>
      </c>
      <c r="K102" s="8">
        <f>TRUNC(J102*D102,1)</f>
        <v>343979.8</v>
      </c>
      <c r="L102" s="4">
        <v>0</v>
      </c>
      <c r="M102" s="8"/>
      <c r="N102" s="12" t="s">
        <v>0</v>
      </c>
    </row>
    <row r="103" spans="1:14" ht="15" customHeight="1">
      <c r="A103" s="13"/>
      <c r="B103" s="14" t="s">
        <v>262</v>
      </c>
      <c r="C103" s="1" t="s">
        <v>0</v>
      </c>
      <c r="D103" s="3">
        <v>0.66</v>
      </c>
      <c r="E103" s="1" t="s">
        <v>24</v>
      </c>
      <c r="F103" s="4">
        <f>H103+J103+L103</f>
        <v>172068</v>
      </c>
      <c r="G103" s="8">
        <f>I103+K103+M103</f>
        <v>113564.8</v>
      </c>
      <c r="H103" s="4">
        <v>0</v>
      </c>
      <c r="I103" s="8"/>
      <c r="J103" s="4">
        <f>노임!$D$3</f>
        <v>172068</v>
      </c>
      <c r="K103" s="8">
        <f>TRUNC(J103*D103,1)</f>
        <v>113564.8</v>
      </c>
      <c r="L103" s="4">
        <v>0</v>
      </c>
      <c r="M103" s="8"/>
      <c r="N103" s="12" t="s">
        <v>0</v>
      </c>
    </row>
    <row r="104" spans="1:14" ht="15" customHeight="1">
      <c r="A104" s="13"/>
      <c r="B104" s="14" t="s">
        <v>263</v>
      </c>
      <c r="C104" s="1" t="s">
        <v>199</v>
      </c>
      <c r="D104" s="3">
        <v>1.1100000000000001</v>
      </c>
      <c r="E104" s="1" t="s">
        <v>7</v>
      </c>
      <c r="F104" s="4" t="e">
        <f>H104+J104+L104</f>
        <v>#REF!</v>
      </c>
      <c r="G104" s="8" t="e">
        <f>I104+K104+M104</f>
        <v>#REF!</v>
      </c>
      <c r="H104" s="4" t="e">
        <f>#REF!</f>
        <v>#REF!</v>
      </c>
      <c r="I104" s="8" t="e">
        <f>TRUNC(H104*D104,1)</f>
        <v>#REF!</v>
      </c>
      <c r="J104" s="4" t="e">
        <f>#REF!</f>
        <v>#REF!</v>
      </c>
      <c r="K104" s="8" t="e">
        <f>TRUNC(J104*D104,1)</f>
        <v>#REF!</v>
      </c>
      <c r="L104" s="4" t="e">
        <f>#REF!</f>
        <v>#REF!</v>
      </c>
      <c r="M104" s="8" t="e">
        <f>TRUNC(L104*D104,1)</f>
        <v>#REF!</v>
      </c>
      <c r="N104" s="12" t="s">
        <v>0</v>
      </c>
    </row>
    <row r="105" spans="1:14" ht="15" customHeight="1">
      <c r="A105" s="13"/>
      <c r="B105" s="14" t="s">
        <v>297</v>
      </c>
      <c r="C105" s="1" t="s">
        <v>220</v>
      </c>
      <c r="D105" s="3">
        <v>2</v>
      </c>
      <c r="E105" s="1" t="s">
        <v>221</v>
      </c>
      <c r="F105" s="4">
        <f>H105+J105+L105</f>
        <v>0</v>
      </c>
      <c r="G105" s="8" t="e">
        <f>I105+K105+M105</f>
        <v>#REF!</v>
      </c>
      <c r="H105" s="4"/>
      <c r="I105" s="8"/>
      <c r="J105" s="4"/>
      <c r="K105" s="8"/>
      <c r="L105" s="4"/>
      <c r="M105" s="8" t="e">
        <f>TRUNC((K102+K103+K104)*D105%,1)</f>
        <v>#REF!</v>
      </c>
      <c r="N105" s="12"/>
    </row>
    <row r="106" spans="1:14" ht="15" customHeight="1">
      <c r="A106" s="16"/>
      <c r="B106" s="15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12"/>
    </row>
    <row r="107" spans="1:14" ht="15" customHeight="1">
      <c r="A107" s="64">
        <f>A101+1</f>
        <v>98</v>
      </c>
      <c r="B107" s="46" t="s">
        <v>310</v>
      </c>
      <c r="C107" s="47" t="s">
        <v>189</v>
      </c>
      <c r="D107" s="47">
        <v>1</v>
      </c>
      <c r="E107" s="47" t="s">
        <v>3</v>
      </c>
      <c r="F107" s="49"/>
      <c r="G107" s="50" t="e">
        <f>I107+K107+M107</f>
        <v>#REF!</v>
      </c>
      <c r="H107" s="49"/>
      <c r="I107" s="50" t="e">
        <f>TRUNC(I108+I109+I110,0)</f>
        <v>#REF!</v>
      </c>
      <c r="J107" s="49"/>
      <c r="K107" s="50" t="e">
        <f>TRUNC(K108+K109+K110,0)</f>
        <v>#REF!</v>
      </c>
      <c r="L107" s="49"/>
      <c r="M107" s="50" t="e">
        <f>TRUNC(M108+M109+M110,0)</f>
        <v>#REF!</v>
      </c>
      <c r="N107" s="63" t="str">
        <f>N101</f>
        <v>토목6-8-1</v>
      </c>
    </row>
    <row r="108" spans="1:14" ht="15" customHeight="1">
      <c r="A108" s="13"/>
      <c r="B108" s="14" t="s">
        <v>261</v>
      </c>
      <c r="C108" s="1" t="s">
        <v>32</v>
      </c>
      <c r="D108" s="3">
        <v>1.41</v>
      </c>
      <c r="E108" s="1" t="s">
        <v>24</v>
      </c>
      <c r="F108" s="4">
        <f>H108+J108+L108</f>
        <v>262580</v>
      </c>
      <c r="G108" s="8">
        <f>I108+K108+M108</f>
        <v>370237.8</v>
      </c>
      <c r="H108" s="4">
        <v>0</v>
      </c>
      <c r="I108" s="8"/>
      <c r="J108" s="4">
        <f>노임!$D$10</f>
        <v>262580</v>
      </c>
      <c r="K108" s="8">
        <f>TRUNC(J108*D108,1)</f>
        <v>370237.8</v>
      </c>
      <c r="L108" s="4">
        <v>0</v>
      </c>
      <c r="M108" s="8"/>
      <c r="N108" s="12" t="s">
        <v>0</v>
      </c>
    </row>
    <row r="109" spans="1:14" ht="15" customHeight="1">
      <c r="A109" s="13"/>
      <c r="B109" s="14" t="s">
        <v>262</v>
      </c>
      <c r="C109" s="1" t="s">
        <v>0</v>
      </c>
      <c r="D109" s="3">
        <v>0.71</v>
      </c>
      <c r="E109" s="1" t="s">
        <v>24</v>
      </c>
      <c r="F109" s="4">
        <f>H109+J109+L109</f>
        <v>172068</v>
      </c>
      <c r="G109" s="8">
        <f>I109+K109+M109</f>
        <v>122168.2</v>
      </c>
      <c r="H109" s="4">
        <v>0</v>
      </c>
      <c r="I109" s="8"/>
      <c r="J109" s="4">
        <f>노임!$D$3</f>
        <v>172068</v>
      </c>
      <c r="K109" s="8">
        <f>TRUNC(J109*D109,1)</f>
        <v>122168.2</v>
      </c>
      <c r="L109" s="4">
        <v>0</v>
      </c>
      <c r="M109" s="8"/>
      <c r="N109" s="12" t="s">
        <v>0</v>
      </c>
    </row>
    <row r="110" spans="1:14" ht="15" customHeight="1">
      <c r="A110" s="13"/>
      <c r="B110" s="14" t="s">
        <v>263</v>
      </c>
      <c r="C110" s="1" t="s">
        <v>199</v>
      </c>
      <c r="D110" s="3">
        <v>1.1399999999999999</v>
      </c>
      <c r="E110" s="1" t="s">
        <v>7</v>
      </c>
      <c r="F110" s="4" t="e">
        <f>H110+J110+L110</f>
        <v>#REF!</v>
      </c>
      <c r="G110" s="8" t="e">
        <f>I110+K110+M110</f>
        <v>#REF!</v>
      </c>
      <c r="H110" s="4" t="e">
        <f>#REF!</f>
        <v>#REF!</v>
      </c>
      <c r="I110" s="8" t="e">
        <f>TRUNC(H110*D110,1)</f>
        <v>#REF!</v>
      </c>
      <c r="J110" s="4" t="e">
        <f>#REF!</f>
        <v>#REF!</v>
      </c>
      <c r="K110" s="8" t="e">
        <f>TRUNC(J110*D110,1)</f>
        <v>#REF!</v>
      </c>
      <c r="L110" s="4" t="e">
        <f>#REF!</f>
        <v>#REF!</v>
      </c>
      <c r="M110" s="8" t="e">
        <f>TRUNC(L110*D110,1)</f>
        <v>#REF!</v>
      </c>
      <c r="N110" s="12" t="s">
        <v>0</v>
      </c>
    </row>
    <row r="111" spans="1:14" ht="15" customHeight="1">
      <c r="A111" s="13"/>
      <c r="B111" s="14" t="s">
        <v>297</v>
      </c>
      <c r="C111" s="1" t="s">
        <v>220</v>
      </c>
      <c r="D111" s="3">
        <v>2</v>
      </c>
      <c r="E111" s="1" t="s">
        <v>221</v>
      </c>
      <c r="F111" s="4">
        <f>H111+J111+L111</f>
        <v>0</v>
      </c>
      <c r="G111" s="8" t="e">
        <f>I111+K111+M111</f>
        <v>#REF!</v>
      </c>
      <c r="H111" s="4"/>
      <c r="I111" s="8"/>
      <c r="J111" s="4"/>
      <c r="K111" s="8"/>
      <c r="L111" s="4"/>
      <c r="M111" s="8" t="e">
        <f>TRUNC((K108+K109+K110)*D111%,1)</f>
        <v>#REF!</v>
      </c>
      <c r="N111" s="12"/>
    </row>
    <row r="112" spans="1:14" ht="15" customHeight="1">
      <c r="A112" s="16"/>
      <c r="B112" s="15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12"/>
    </row>
    <row r="113" spans="1:14" ht="15" customHeight="1">
      <c r="A113" s="64">
        <f>A107+1</f>
        <v>99</v>
      </c>
      <c r="B113" s="46" t="s">
        <v>310</v>
      </c>
      <c r="C113" s="47" t="s">
        <v>190</v>
      </c>
      <c r="D113" s="47">
        <v>1</v>
      </c>
      <c r="E113" s="47" t="s">
        <v>3</v>
      </c>
      <c r="F113" s="49"/>
      <c r="G113" s="50" t="e">
        <f>I113+K113+M113</f>
        <v>#REF!</v>
      </c>
      <c r="H113" s="49"/>
      <c r="I113" s="50" t="e">
        <f>TRUNC(I114+I115+I116,0)</f>
        <v>#REF!</v>
      </c>
      <c r="J113" s="49"/>
      <c r="K113" s="50" t="e">
        <f>TRUNC(K114+K115+K116,0)</f>
        <v>#REF!</v>
      </c>
      <c r="L113" s="49"/>
      <c r="M113" s="50" t="e">
        <f>TRUNC(M114+M115+M116,0)</f>
        <v>#REF!</v>
      </c>
      <c r="N113" s="63" t="str">
        <f>N107</f>
        <v>토목6-8-1</v>
      </c>
    </row>
    <row r="114" spans="1:14" ht="15" customHeight="1">
      <c r="A114" s="13"/>
      <c r="B114" s="14" t="s">
        <v>261</v>
      </c>
      <c r="C114" s="1" t="s">
        <v>32</v>
      </c>
      <c r="D114" s="3">
        <v>1.51</v>
      </c>
      <c r="E114" s="1" t="s">
        <v>24</v>
      </c>
      <c r="F114" s="4">
        <f>H114+J114+L114</f>
        <v>262580</v>
      </c>
      <c r="G114" s="8">
        <f>I114+K114+M114</f>
        <v>396495.8</v>
      </c>
      <c r="H114" s="4">
        <v>0</v>
      </c>
      <c r="I114" s="8"/>
      <c r="J114" s="4">
        <f>노임!$D$10</f>
        <v>262580</v>
      </c>
      <c r="K114" s="8">
        <f>TRUNC(J114*D114,1)</f>
        <v>396495.8</v>
      </c>
      <c r="L114" s="4">
        <v>0</v>
      </c>
      <c r="M114" s="8"/>
      <c r="N114" s="12" t="s">
        <v>0</v>
      </c>
    </row>
    <row r="115" spans="1:14" ht="15" customHeight="1">
      <c r="A115" s="13"/>
      <c r="B115" s="14" t="s">
        <v>262</v>
      </c>
      <c r="C115" s="1" t="s">
        <v>0</v>
      </c>
      <c r="D115" s="3">
        <v>0.76</v>
      </c>
      <c r="E115" s="1" t="s">
        <v>24</v>
      </c>
      <c r="F115" s="4">
        <f>H115+J115+L115</f>
        <v>172068</v>
      </c>
      <c r="G115" s="8">
        <f>I115+K115+M115</f>
        <v>130771.6</v>
      </c>
      <c r="H115" s="4">
        <v>0</v>
      </c>
      <c r="I115" s="8"/>
      <c r="J115" s="4">
        <f>노임!$D$3</f>
        <v>172068</v>
      </c>
      <c r="K115" s="8">
        <f>TRUNC(J115*D115,1)</f>
        <v>130771.6</v>
      </c>
      <c r="L115" s="4">
        <v>0</v>
      </c>
      <c r="M115" s="8"/>
      <c r="N115" s="12" t="s">
        <v>0</v>
      </c>
    </row>
    <row r="116" spans="1:14" ht="15" customHeight="1">
      <c r="A116" s="13"/>
      <c r="B116" s="14" t="s">
        <v>263</v>
      </c>
      <c r="C116" s="1" t="s">
        <v>199</v>
      </c>
      <c r="D116" s="3">
        <v>1.32</v>
      </c>
      <c r="E116" s="1" t="s">
        <v>7</v>
      </c>
      <c r="F116" s="4" t="e">
        <f>H116+J116+L116</f>
        <v>#REF!</v>
      </c>
      <c r="G116" s="8" t="e">
        <f>I116+K116+M116</f>
        <v>#REF!</v>
      </c>
      <c r="H116" s="4" t="e">
        <f>#REF!</f>
        <v>#REF!</v>
      </c>
      <c r="I116" s="8" t="e">
        <f>TRUNC(H116*D116,1)</f>
        <v>#REF!</v>
      </c>
      <c r="J116" s="4" t="e">
        <f>#REF!</f>
        <v>#REF!</v>
      </c>
      <c r="K116" s="8" t="e">
        <f>TRUNC(J116*D116,1)</f>
        <v>#REF!</v>
      </c>
      <c r="L116" s="4" t="e">
        <f>#REF!</f>
        <v>#REF!</v>
      </c>
      <c r="M116" s="8" t="e">
        <f>TRUNC(L116*D116,1)</f>
        <v>#REF!</v>
      </c>
      <c r="N116" s="12" t="s">
        <v>0</v>
      </c>
    </row>
    <row r="117" spans="1:14" ht="15" customHeight="1">
      <c r="A117" s="13"/>
      <c r="B117" s="14" t="s">
        <v>297</v>
      </c>
      <c r="C117" s="1" t="s">
        <v>220</v>
      </c>
      <c r="D117" s="3">
        <v>2</v>
      </c>
      <c r="E117" s="1" t="s">
        <v>221</v>
      </c>
      <c r="F117" s="4">
        <f>H117+J117+L117</f>
        <v>0</v>
      </c>
      <c r="G117" s="8" t="e">
        <f>I117+K117+M117</f>
        <v>#REF!</v>
      </c>
      <c r="H117" s="4"/>
      <c r="I117" s="8"/>
      <c r="J117" s="4"/>
      <c r="K117" s="8"/>
      <c r="L117" s="4"/>
      <c r="M117" s="8" t="e">
        <f>TRUNC((K114+K115+K116)*D117%,1)</f>
        <v>#REF!</v>
      </c>
      <c r="N117" s="12"/>
    </row>
    <row r="118" spans="1:14" ht="15" customHeight="1">
      <c r="A118" s="16"/>
      <c r="B118" s="15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12"/>
    </row>
    <row r="119" spans="1:14" ht="15" customHeight="1">
      <c r="A119" s="64">
        <f>A113+1</f>
        <v>100</v>
      </c>
      <c r="B119" s="46" t="s">
        <v>310</v>
      </c>
      <c r="C119" s="47" t="s">
        <v>191</v>
      </c>
      <c r="D119" s="47">
        <v>1</v>
      </c>
      <c r="E119" s="47" t="s">
        <v>3</v>
      </c>
      <c r="F119" s="49"/>
      <c r="G119" s="50" t="e">
        <f>I119+K119+M119</f>
        <v>#REF!</v>
      </c>
      <c r="H119" s="49"/>
      <c r="I119" s="50" t="e">
        <f>TRUNC(I120+I121+I122,0)</f>
        <v>#REF!</v>
      </c>
      <c r="J119" s="49"/>
      <c r="K119" s="50" t="e">
        <f>TRUNC(K120+K121+K122,0)</f>
        <v>#REF!</v>
      </c>
      <c r="L119" s="49"/>
      <c r="M119" s="50" t="e">
        <f>TRUNC(M120+M121+M122,0)</f>
        <v>#REF!</v>
      </c>
      <c r="N119" s="63" t="str">
        <f>N113</f>
        <v>토목6-8-1</v>
      </c>
    </row>
    <row r="120" spans="1:14" ht="15" customHeight="1">
      <c r="A120" s="13"/>
      <c r="B120" s="14" t="s">
        <v>261</v>
      </c>
      <c r="C120" s="1" t="s">
        <v>32</v>
      </c>
      <c r="D120" s="3">
        <v>1.6</v>
      </c>
      <c r="E120" s="1" t="s">
        <v>24</v>
      </c>
      <c r="F120" s="4">
        <f>H120+J120+L120</f>
        <v>262580</v>
      </c>
      <c r="G120" s="8">
        <f>I120+K120+M120</f>
        <v>420128</v>
      </c>
      <c r="H120" s="4">
        <v>0</v>
      </c>
      <c r="I120" s="8"/>
      <c r="J120" s="4">
        <f>노임!$D$10</f>
        <v>262580</v>
      </c>
      <c r="K120" s="8">
        <f>TRUNC(J120*D120,1)</f>
        <v>420128</v>
      </c>
      <c r="L120" s="4">
        <v>0</v>
      </c>
      <c r="M120" s="8"/>
      <c r="N120" s="12" t="s">
        <v>0</v>
      </c>
    </row>
    <row r="121" spans="1:14" ht="15" customHeight="1">
      <c r="A121" s="13"/>
      <c r="B121" s="14" t="s">
        <v>262</v>
      </c>
      <c r="C121" s="1" t="s">
        <v>0</v>
      </c>
      <c r="D121" s="3">
        <v>0.8</v>
      </c>
      <c r="E121" s="1" t="s">
        <v>24</v>
      </c>
      <c r="F121" s="4">
        <f>H121+J121+L121</f>
        <v>172068</v>
      </c>
      <c r="G121" s="8">
        <f>I121+K121+M121</f>
        <v>137654.39999999999</v>
      </c>
      <c r="H121" s="4">
        <v>0</v>
      </c>
      <c r="I121" s="8"/>
      <c r="J121" s="4">
        <f>노임!$D$3</f>
        <v>172068</v>
      </c>
      <c r="K121" s="8">
        <f>TRUNC(J121*D121,1)</f>
        <v>137654.39999999999</v>
      </c>
      <c r="L121" s="4">
        <v>0</v>
      </c>
      <c r="M121" s="8"/>
      <c r="N121" s="12" t="s">
        <v>0</v>
      </c>
    </row>
    <row r="122" spans="1:14" ht="15" customHeight="1">
      <c r="A122" s="13"/>
      <c r="B122" s="14" t="s">
        <v>263</v>
      </c>
      <c r="C122" s="1" t="s">
        <v>199</v>
      </c>
      <c r="D122" s="3">
        <v>1.35</v>
      </c>
      <c r="E122" s="1" t="s">
        <v>7</v>
      </c>
      <c r="F122" s="4" t="e">
        <f>H122+J122+L122</f>
        <v>#REF!</v>
      </c>
      <c r="G122" s="8" t="e">
        <f>I122+K122+M122</f>
        <v>#REF!</v>
      </c>
      <c r="H122" s="4" t="e">
        <f>#REF!</f>
        <v>#REF!</v>
      </c>
      <c r="I122" s="8" t="e">
        <f>TRUNC(H122*D122,1)</f>
        <v>#REF!</v>
      </c>
      <c r="J122" s="4" t="e">
        <f>#REF!</f>
        <v>#REF!</v>
      </c>
      <c r="K122" s="8" t="e">
        <f>TRUNC(J122*D122,1)</f>
        <v>#REF!</v>
      </c>
      <c r="L122" s="4" t="e">
        <f>#REF!</f>
        <v>#REF!</v>
      </c>
      <c r="M122" s="8" t="e">
        <f>TRUNC(L122*D122,1)</f>
        <v>#REF!</v>
      </c>
      <c r="N122" s="12" t="s">
        <v>0</v>
      </c>
    </row>
    <row r="123" spans="1:14" ht="15" customHeight="1">
      <c r="A123" s="13"/>
      <c r="B123" s="14" t="s">
        <v>297</v>
      </c>
      <c r="C123" s="1" t="s">
        <v>220</v>
      </c>
      <c r="D123" s="3">
        <v>2</v>
      </c>
      <c r="E123" s="1" t="s">
        <v>221</v>
      </c>
      <c r="F123" s="4">
        <f>H123+J123+L123</f>
        <v>0</v>
      </c>
      <c r="G123" s="8" t="e">
        <f>I123+K123+M123</f>
        <v>#REF!</v>
      </c>
      <c r="H123" s="4"/>
      <c r="I123" s="8"/>
      <c r="J123" s="4"/>
      <c r="K123" s="8"/>
      <c r="L123" s="4"/>
      <c r="M123" s="8" t="e">
        <f>TRUNC((K120+K121+K122)*D123%,1)</f>
        <v>#REF!</v>
      </c>
      <c r="N123" s="12"/>
    </row>
    <row r="124" spans="1:14" ht="15" customHeight="1">
      <c r="A124" s="16"/>
      <c r="B124" s="15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12"/>
    </row>
    <row r="125" spans="1:14" ht="15" customHeight="1">
      <c r="A125" s="64">
        <f>A119+1</f>
        <v>101</v>
      </c>
      <c r="B125" s="46" t="s">
        <v>310</v>
      </c>
      <c r="C125" s="47" t="s">
        <v>192</v>
      </c>
      <c r="D125" s="47">
        <v>1</v>
      </c>
      <c r="E125" s="47" t="s">
        <v>3</v>
      </c>
      <c r="F125" s="49"/>
      <c r="G125" s="50" t="e">
        <f>I125+K125+M125</f>
        <v>#REF!</v>
      </c>
      <c r="H125" s="49"/>
      <c r="I125" s="50" t="e">
        <f>TRUNC(I126+I127+I128,0)</f>
        <v>#REF!</v>
      </c>
      <c r="J125" s="49"/>
      <c r="K125" s="50" t="e">
        <f>TRUNC(K126+K127+K128,0)</f>
        <v>#REF!</v>
      </c>
      <c r="L125" s="49"/>
      <c r="M125" s="50" t="e">
        <f>TRUNC(M126+M127+M128,0)</f>
        <v>#REF!</v>
      </c>
      <c r="N125" s="63" t="str">
        <f>N119</f>
        <v>토목6-8-1</v>
      </c>
    </row>
    <row r="126" spans="1:14" ht="15" customHeight="1">
      <c r="A126" s="13"/>
      <c r="B126" s="14" t="s">
        <v>261</v>
      </c>
      <c r="C126" s="1" t="s">
        <v>32</v>
      </c>
      <c r="D126" s="3">
        <v>1.71</v>
      </c>
      <c r="E126" s="1" t="s">
        <v>24</v>
      </c>
      <c r="F126" s="4">
        <f>H126+J126+L126</f>
        <v>262580</v>
      </c>
      <c r="G126" s="8">
        <f>I126+K126+M126</f>
        <v>449011.8</v>
      </c>
      <c r="H126" s="4">
        <v>0</v>
      </c>
      <c r="I126" s="8"/>
      <c r="J126" s="4">
        <f>노임!$D$10</f>
        <v>262580</v>
      </c>
      <c r="K126" s="8">
        <f>TRUNC(J126*D126,1)</f>
        <v>449011.8</v>
      </c>
      <c r="L126" s="4">
        <v>0</v>
      </c>
      <c r="M126" s="8"/>
      <c r="N126" s="12" t="s">
        <v>0</v>
      </c>
    </row>
    <row r="127" spans="1:14" ht="15" customHeight="1">
      <c r="A127" s="13"/>
      <c r="B127" s="14" t="s">
        <v>262</v>
      </c>
      <c r="C127" s="1" t="s">
        <v>0</v>
      </c>
      <c r="D127" s="3">
        <v>0.86</v>
      </c>
      <c r="E127" s="1" t="s">
        <v>24</v>
      </c>
      <c r="F127" s="4">
        <f>H127+J127+L127</f>
        <v>172068</v>
      </c>
      <c r="G127" s="8">
        <f>I127+K127+M127</f>
        <v>147978.4</v>
      </c>
      <c r="H127" s="4">
        <v>0</v>
      </c>
      <c r="I127" s="8"/>
      <c r="J127" s="4">
        <f>노임!$D$3</f>
        <v>172068</v>
      </c>
      <c r="K127" s="8">
        <f>TRUNC(J127*D127,1)</f>
        <v>147978.4</v>
      </c>
      <c r="L127" s="4">
        <v>0</v>
      </c>
      <c r="M127" s="8"/>
      <c r="N127" s="12" t="s">
        <v>0</v>
      </c>
    </row>
    <row r="128" spans="1:14" ht="15" customHeight="1">
      <c r="A128" s="13"/>
      <c r="B128" s="14" t="s">
        <v>263</v>
      </c>
      <c r="C128" s="1" t="s">
        <v>199</v>
      </c>
      <c r="D128" s="3">
        <v>1.51</v>
      </c>
      <c r="E128" s="1" t="s">
        <v>7</v>
      </c>
      <c r="F128" s="4" t="e">
        <f>H128+J128+L128</f>
        <v>#REF!</v>
      </c>
      <c r="G128" s="8" t="e">
        <f>I128+K128+M128</f>
        <v>#REF!</v>
      </c>
      <c r="H128" s="4" t="e">
        <f>#REF!</f>
        <v>#REF!</v>
      </c>
      <c r="I128" s="8" t="e">
        <f>TRUNC(H128*D128,1)</f>
        <v>#REF!</v>
      </c>
      <c r="J128" s="4" t="e">
        <f>#REF!</f>
        <v>#REF!</v>
      </c>
      <c r="K128" s="8" t="e">
        <f>TRUNC(J128*D128,1)</f>
        <v>#REF!</v>
      </c>
      <c r="L128" s="4" t="e">
        <f>#REF!</f>
        <v>#REF!</v>
      </c>
      <c r="M128" s="8" t="e">
        <f>TRUNC(L128*D128,1)</f>
        <v>#REF!</v>
      </c>
      <c r="N128" s="12" t="s">
        <v>0</v>
      </c>
    </row>
    <row r="129" spans="1:14" ht="15" customHeight="1">
      <c r="A129" s="13"/>
      <c r="B129" s="14" t="s">
        <v>297</v>
      </c>
      <c r="C129" s="1" t="s">
        <v>220</v>
      </c>
      <c r="D129" s="3">
        <v>2</v>
      </c>
      <c r="E129" s="1" t="s">
        <v>221</v>
      </c>
      <c r="F129" s="4">
        <f>H129+J129+L129</f>
        <v>0</v>
      </c>
      <c r="G129" s="8" t="e">
        <f>I129+K129+M129</f>
        <v>#REF!</v>
      </c>
      <c r="H129" s="4"/>
      <c r="I129" s="8"/>
      <c r="J129" s="4"/>
      <c r="K129" s="8"/>
      <c r="L129" s="4"/>
      <c r="M129" s="8" t="e">
        <f>TRUNC((K126+K127+K128)*D129%,1)</f>
        <v>#REF!</v>
      </c>
      <c r="N129" s="12"/>
    </row>
    <row r="130" spans="1:14" ht="15" customHeight="1">
      <c r="A130" s="16"/>
      <c r="B130" s="15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12"/>
    </row>
    <row r="131" spans="1:14" ht="15" customHeight="1">
      <c r="A131" s="64">
        <f>A125+1</f>
        <v>102</v>
      </c>
      <c r="B131" s="46" t="s">
        <v>310</v>
      </c>
      <c r="C131" s="47" t="s">
        <v>193</v>
      </c>
      <c r="D131" s="47">
        <v>1</v>
      </c>
      <c r="E131" s="47" t="s">
        <v>3</v>
      </c>
      <c r="F131" s="49"/>
      <c r="G131" s="50" t="e">
        <f>I131+K131+M131</f>
        <v>#REF!</v>
      </c>
      <c r="H131" s="49"/>
      <c r="I131" s="50" t="e">
        <f>TRUNC(I132+I133+I134,0)</f>
        <v>#REF!</v>
      </c>
      <c r="J131" s="49"/>
      <c r="K131" s="50" t="e">
        <f>TRUNC(K132+K133+K134,0)</f>
        <v>#REF!</v>
      </c>
      <c r="L131" s="49"/>
      <c r="M131" s="50" t="e">
        <f>TRUNC(M132+M133+M134,0)</f>
        <v>#REF!</v>
      </c>
      <c r="N131" s="63" t="str">
        <f>N125</f>
        <v>토목6-8-1</v>
      </c>
    </row>
    <row r="132" spans="1:14" ht="15" customHeight="1">
      <c r="A132" s="13"/>
      <c r="B132" s="14" t="s">
        <v>261</v>
      </c>
      <c r="C132" s="1" t="s">
        <v>32</v>
      </c>
      <c r="D132" s="3">
        <v>1.81</v>
      </c>
      <c r="E132" s="1" t="s">
        <v>24</v>
      </c>
      <c r="F132" s="4">
        <f>H132+J132+L132</f>
        <v>262580</v>
      </c>
      <c r="G132" s="8">
        <f>I132+K132+M132</f>
        <v>475269.8</v>
      </c>
      <c r="H132" s="4">
        <v>0</v>
      </c>
      <c r="I132" s="8"/>
      <c r="J132" s="4">
        <f>노임!$D$10</f>
        <v>262580</v>
      </c>
      <c r="K132" s="8">
        <f>TRUNC(J132*D132,1)</f>
        <v>475269.8</v>
      </c>
      <c r="L132" s="4">
        <v>0</v>
      </c>
      <c r="M132" s="8"/>
      <c r="N132" s="12" t="s">
        <v>0</v>
      </c>
    </row>
    <row r="133" spans="1:14" ht="15" customHeight="1">
      <c r="A133" s="13"/>
      <c r="B133" s="14" t="s">
        <v>262</v>
      </c>
      <c r="C133" s="1" t="s">
        <v>0</v>
      </c>
      <c r="D133" s="3">
        <v>0.91</v>
      </c>
      <c r="E133" s="1" t="s">
        <v>24</v>
      </c>
      <c r="F133" s="4">
        <f>H133+J133+L133</f>
        <v>172068</v>
      </c>
      <c r="G133" s="8">
        <f>I133+K133+M133</f>
        <v>156581.79999999999</v>
      </c>
      <c r="H133" s="4">
        <v>0</v>
      </c>
      <c r="I133" s="8"/>
      <c r="J133" s="4">
        <f>노임!$D$3</f>
        <v>172068</v>
      </c>
      <c r="K133" s="8">
        <f>TRUNC(J133*D133,1)</f>
        <v>156581.79999999999</v>
      </c>
      <c r="L133" s="4">
        <v>0</v>
      </c>
      <c r="M133" s="8"/>
      <c r="N133" s="12" t="s">
        <v>0</v>
      </c>
    </row>
    <row r="134" spans="1:14" ht="15" customHeight="1">
      <c r="A134" s="13"/>
      <c r="B134" s="14" t="s">
        <v>263</v>
      </c>
      <c r="C134" s="1" t="s">
        <v>199</v>
      </c>
      <c r="D134" s="3">
        <v>1.81</v>
      </c>
      <c r="E134" s="1" t="s">
        <v>7</v>
      </c>
      <c r="F134" s="4" t="e">
        <f>H134+J134+L134</f>
        <v>#REF!</v>
      </c>
      <c r="G134" s="8" t="e">
        <f>I134+K134+M134</f>
        <v>#REF!</v>
      </c>
      <c r="H134" s="4" t="e">
        <f>#REF!</f>
        <v>#REF!</v>
      </c>
      <c r="I134" s="8" t="e">
        <f>TRUNC(H134*D134,1)</f>
        <v>#REF!</v>
      </c>
      <c r="J134" s="4" t="e">
        <f>#REF!</f>
        <v>#REF!</v>
      </c>
      <c r="K134" s="8" t="e">
        <f>TRUNC(J134*D134,1)</f>
        <v>#REF!</v>
      </c>
      <c r="L134" s="4" t="e">
        <f>#REF!</f>
        <v>#REF!</v>
      </c>
      <c r="M134" s="8" t="e">
        <f>TRUNC(L134*D134,1)</f>
        <v>#REF!</v>
      </c>
      <c r="N134" s="12" t="s">
        <v>0</v>
      </c>
    </row>
    <row r="135" spans="1:14" ht="15" customHeight="1">
      <c r="A135" s="13"/>
      <c r="B135" s="14" t="s">
        <v>297</v>
      </c>
      <c r="C135" s="1" t="s">
        <v>220</v>
      </c>
      <c r="D135" s="3">
        <v>2</v>
      </c>
      <c r="E135" s="1" t="s">
        <v>221</v>
      </c>
      <c r="F135" s="4">
        <f>H135+J135+L135</f>
        <v>0</v>
      </c>
      <c r="G135" s="8" t="e">
        <f>I135+K135+M135</f>
        <v>#REF!</v>
      </c>
      <c r="H135" s="4"/>
      <c r="I135" s="8"/>
      <c r="J135" s="4"/>
      <c r="K135" s="8"/>
      <c r="L135" s="4"/>
      <c r="M135" s="8" t="e">
        <f>TRUNC((K132+K133+K134)*D135%,1)</f>
        <v>#REF!</v>
      </c>
      <c r="N135" s="12"/>
    </row>
    <row r="136" spans="1:14" ht="15" customHeight="1">
      <c r="A136" s="16"/>
      <c r="B136" s="15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12"/>
    </row>
    <row r="137" spans="1:14" ht="15" customHeight="1">
      <c r="A137" s="64">
        <f>A131+1</f>
        <v>103</v>
      </c>
      <c r="B137" s="46" t="s">
        <v>311</v>
      </c>
      <c r="C137" s="47" t="s">
        <v>186</v>
      </c>
      <c r="D137" s="47">
        <v>1</v>
      </c>
      <c r="E137" s="47" t="s">
        <v>3</v>
      </c>
      <c r="F137" s="49"/>
      <c r="G137" s="50" t="e">
        <f>I137+K137+M137</f>
        <v>#REF!</v>
      </c>
      <c r="H137" s="49"/>
      <c r="I137" s="50" t="e">
        <f>TRUNC(I138+I139+I140,0)</f>
        <v>#REF!</v>
      </c>
      <c r="J137" s="49"/>
      <c r="K137" s="50" t="e">
        <f>TRUNC(K138+K139+K140,0)</f>
        <v>#REF!</v>
      </c>
      <c r="L137" s="49"/>
      <c r="M137" s="50" t="e">
        <f>TRUNC(M138+M139+M140,0)</f>
        <v>#REF!</v>
      </c>
      <c r="N137" s="63" t="str">
        <f>N131</f>
        <v>토목6-8-1</v>
      </c>
    </row>
    <row r="138" spans="1:14" ht="15" customHeight="1">
      <c r="A138" s="13"/>
      <c r="B138" s="14" t="s">
        <v>261</v>
      </c>
      <c r="C138" s="1" t="s">
        <v>32</v>
      </c>
      <c r="D138" s="3">
        <v>0.93</v>
      </c>
      <c r="E138" s="1" t="s">
        <v>24</v>
      </c>
      <c r="F138" s="4">
        <f>H138+J138+L138</f>
        <v>262580</v>
      </c>
      <c r="G138" s="8">
        <f>I138+K138+M138</f>
        <v>244199.4</v>
      </c>
      <c r="H138" s="4">
        <v>0</v>
      </c>
      <c r="I138" s="8"/>
      <c r="J138" s="4">
        <f>노임!$D$10</f>
        <v>262580</v>
      </c>
      <c r="K138" s="8">
        <f>TRUNC(J138*D138,1)</f>
        <v>244199.4</v>
      </c>
      <c r="L138" s="4">
        <v>0</v>
      </c>
      <c r="M138" s="8"/>
      <c r="N138" s="12" t="s">
        <v>0</v>
      </c>
    </row>
    <row r="139" spans="1:14" ht="15" customHeight="1">
      <c r="A139" s="13"/>
      <c r="B139" s="14" t="s">
        <v>262</v>
      </c>
      <c r="C139" s="1" t="s">
        <v>0</v>
      </c>
      <c r="D139" s="3">
        <v>0.48</v>
      </c>
      <c r="E139" s="1" t="s">
        <v>24</v>
      </c>
      <c r="F139" s="4">
        <f>H139+J139+L139</f>
        <v>172068</v>
      </c>
      <c r="G139" s="8">
        <f>I139+K139+M139</f>
        <v>82592.600000000006</v>
      </c>
      <c r="H139" s="4">
        <v>0</v>
      </c>
      <c r="I139" s="8"/>
      <c r="J139" s="4">
        <f>노임!$D$3</f>
        <v>172068</v>
      </c>
      <c r="K139" s="8">
        <f>TRUNC(J139*D139,1)</f>
        <v>82592.600000000006</v>
      </c>
      <c r="L139" s="4">
        <v>0</v>
      </c>
      <c r="M139" s="8"/>
      <c r="N139" s="12" t="s">
        <v>0</v>
      </c>
    </row>
    <row r="140" spans="1:14" ht="15" customHeight="1">
      <c r="A140" s="13"/>
      <c r="B140" s="14" t="s">
        <v>263</v>
      </c>
      <c r="C140" s="1" t="s">
        <v>239</v>
      </c>
      <c r="D140" s="3">
        <v>1.23</v>
      </c>
      <c r="E140" s="1" t="s">
        <v>7</v>
      </c>
      <c r="F140" s="4" t="e">
        <f>H140+J140+L140</f>
        <v>#REF!</v>
      </c>
      <c r="G140" s="8" t="e">
        <f>I140+K140+M140</f>
        <v>#REF!</v>
      </c>
      <c r="H140" s="4" t="e">
        <f>#REF!</f>
        <v>#REF!</v>
      </c>
      <c r="I140" s="8" t="e">
        <f>TRUNC(H140*D140,1)</f>
        <v>#REF!</v>
      </c>
      <c r="J140" s="4" t="e">
        <f>#REF!</f>
        <v>#REF!</v>
      </c>
      <c r="K140" s="8" t="e">
        <f>TRUNC(J140*D140,1)</f>
        <v>#REF!</v>
      </c>
      <c r="L140" s="4" t="e">
        <f>#REF!</f>
        <v>#REF!</v>
      </c>
      <c r="M140" s="8" t="e">
        <f>TRUNC(L140*D140,1)</f>
        <v>#REF!</v>
      </c>
      <c r="N140" s="12" t="s">
        <v>0</v>
      </c>
    </row>
    <row r="141" spans="1:14" ht="15" customHeight="1">
      <c r="A141" s="13"/>
      <c r="B141" s="14" t="s">
        <v>297</v>
      </c>
      <c r="C141" s="1" t="s">
        <v>220</v>
      </c>
      <c r="D141" s="3">
        <v>2</v>
      </c>
      <c r="E141" s="1" t="s">
        <v>221</v>
      </c>
      <c r="F141" s="4">
        <f>H141+J141+L141</f>
        <v>0</v>
      </c>
      <c r="G141" s="8" t="e">
        <f>I141+K141+M141</f>
        <v>#REF!</v>
      </c>
      <c r="H141" s="4"/>
      <c r="I141" s="8"/>
      <c r="J141" s="4"/>
      <c r="K141" s="8"/>
      <c r="L141" s="4"/>
      <c r="M141" s="8" t="e">
        <f>TRUNC((K138+K139+K140)*D141%,1)</f>
        <v>#REF!</v>
      </c>
      <c r="N141" s="12"/>
    </row>
    <row r="142" spans="1:14" ht="15" customHeight="1">
      <c r="A142" s="16"/>
      <c r="B142" s="15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12"/>
    </row>
    <row r="143" spans="1:14" ht="15" customHeight="1">
      <c r="A143" s="64">
        <f>A137+1</f>
        <v>104</v>
      </c>
      <c r="B143" s="46" t="s">
        <v>311</v>
      </c>
      <c r="C143" s="47" t="s">
        <v>187</v>
      </c>
      <c r="D143" s="47">
        <v>1</v>
      </c>
      <c r="E143" s="47" t="s">
        <v>3</v>
      </c>
      <c r="F143" s="49"/>
      <c r="G143" s="50" t="e">
        <f>I143+K143+M143</f>
        <v>#REF!</v>
      </c>
      <c r="H143" s="49"/>
      <c r="I143" s="50" t="e">
        <f>TRUNC(I144+I145+I146,0)</f>
        <v>#REF!</v>
      </c>
      <c r="J143" s="49"/>
      <c r="K143" s="50" t="e">
        <f>TRUNC(K144+K145+K146,0)</f>
        <v>#REF!</v>
      </c>
      <c r="L143" s="49"/>
      <c r="M143" s="50" t="e">
        <f>TRUNC(M144+M145+M146,0)</f>
        <v>#REF!</v>
      </c>
      <c r="N143" s="63" t="str">
        <f>N137</f>
        <v>토목6-8-1</v>
      </c>
    </row>
    <row r="144" spans="1:14" ht="15" customHeight="1">
      <c r="A144" s="13"/>
      <c r="B144" s="14" t="s">
        <v>261</v>
      </c>
      <c r="C144" s="1" t="s">
        <v>32</v>
      </c>
      <c r="D144" s="3">
        <v>1.08</v>
      </c>
      <c r="E144" s="1" t="s">
        <v>24</v>
      </c>
      <c r="F144" s="4">
        <f>H144+J144+L144</f>
        <v>262580</v>
      </c>
      <c r="G144" s="8">
        <f>I144+K144+M144</f>
        <v>283586.40000000002</v>
      </c>
      <c r="H144" s="4">
        <v>0</v>
      </c>
      <c r="I144" s="8"/>
      <c r="J144" s="4">
        <f>노임!$D$10</f>
        <v>262580</v>
      </c>
      <c r="K144" s="8">
        <f>TRUNC(J144*D144,1)</f>
        <v>283586.40000000002</v>
      </c>
      <c r="L144" s="4">
        <v>0</v>
      </c>
      <c r="M144" s="8"/>
      <c r="N144" s="12" t="s">
        <v>0</v>
      </c>
    </row>
    <row r="145" spans="1:14" ht="15" customHeight="1">
      <c r="A145" s="13"/>
      <c r="B145" s="14" t="s">
        <v>262</v>
      </c>
      <c r="C145" s="1" t="s">
        <v>0</v>
      </c>
      <c r="D145" s="3">
        <v>0.57999999999999996</v>
      </c>
      <c r="E145" s="1" t="s">
        <v>24</v>
      </c>
      <c r="F145" s="4">
        <f>H145+J145+L145</f>
        <v>172068</v>
      </c>
      <c r="G145" s="8">
        <f>I145+K145+M145</f>
        <v>99799.4</v>
      </c>
      <c r="H145" s="4">
        <v>0</v>
      </c>
      <c r="I145" s="8"/>
      <c r="J145" s="4">
        <f>노임!$D$3</f>
        <v>172068</v>
      </c>
      <c r="K145" s="8">
        <f>TRUNC(J145*D145,1)</f>
        <v>99799.4</v>
      </c>
      <c r="L145" s="4">
        <v>0</v>
      </c>
      <c r="M145" s="8"/>
      <c r="N145" s="12" t="s">
        <v>0</v>
      </c>
    </row>
    <row r="146" spans="1:14" ht="15" customHeight="1">
      <c r="A146" s="13"/>
      <c r="B146" s="14" t="s">
        <v>263</v>
      </c>
      <c r="C146" s="1" t="s">
        <v>239</v>
      </c>
      <c r="D146" s="3">
        <v>1.31</v>
      </c>
      <c r="E146" s="1" t="s">
        <v>7</v>
      </c>
      <c r="F146" s="4" t="e">
        <f>H146+J146+L146</f>
        <v>#REF!</v>
      </c>
      <c r="G146" s="8" t="e">
        <f>I146+K146+M146</f>
        <v>#REF!</v>
      </c>
      <c r="H146" s="4" t="e">
        <f>#REF!</f>
        <v>#REF!</v>
      </c>
      <c r="I146" s="8" t="e">
        <f>TRUNC(H146*D146,1)</f>
        <v>#REF!</v>
      </c>
      <c r="J146" s="4" t="e">
        <f>#REF!</f>
        <v>#REF!</v>
      </c>
      <c r="K146" s="8" t="e">
        <f>TRUNC(J146*D146,1)</f>
        <v>#REF!</v>
      </c>
      <c r="L146" s="4" t="e">
        <f>#REF!</f>
        <v>#REF!</v>
      </c>
      <c r="M146" s="8" t="e">
        <f>TRUNC(L146*D146,1)</f>
        <v>#REF!</v>
      </c>
      <c r="N146" s="12" t="s">
        <v>0</v>
      </c>
    </row>
    <row r="147" spans="1:14" ht="15" customHeight="1">
      <c r="A147" s="13"/>
      <c r="B147" s="14" t="s">
        <v>297</v>
      </c>
      <c r="C147" s="1" t="s">
        <v>220</v>
      </c>
      <c r="D147" s="3">
        <v>2</v>
      </c>
      <c r="E147" s="1" t="s">
        <v>221</v>
      </c>
      <c r="F147" s="4">
        <f>H147+J147+L147</f>
        <v>0</v>
      </c>
      <c r="G147" s="8" t="e">
        <f>I147+K147+M147</f>
        <v>#REF!</v>
      </c>
      <c r="H147" s="4"/>
      <c r="I147" s="8"/>
      <c r="J147" s="4"/>
      <c r="K147" s="8"/>
      <c r="L147" s="4"/>
      <c r="M147" s="8" t="e">
        <f>TRUNC((K144+K145+K146)*D147%,1)</f>
        <v>#REF!</v>
      </c>
      <c r="N147" s="12"/>
    </row>
    <row r="148" spans="1:14" ht="15" customHeight="1">
      <c r="A148" s="16"/>
      <c r="B148" s="15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12"/>
    </row>
    <row r="149" spans="1:14" ht="15" customHeight="1">
      <c r="A149" s="64">
        <f>A143+1</f>
        <v>105</v>
      </c>
      <c r="B149" s="46" t="s">
        <v>311</v>
      </c>
      <c r="C149" s="47" t="s">
        <v>188</v>
      </c>
      <c r="D149" s="47">
        <v>1</v>
      </c>
      <c r="E149" s="47" t="s">
        <v>3</v>
      </c>
      <c r="F149" s="49"/>
      <c r="G149" s="50" t="e">
        <f>I149+K149+M149</f>
        <v>#REF!</v>
      </c>
      <c r="H149" s="49"/>
      <c r="I149" s="50" t="e">
        <f>TRUNC(I150+I151+I152,0)</f>
        <v>#REF!</v>
      </c>
      <c r="J149" s="49"/>
      <c r="K149" s="50" t="e">
        <f>TRUNC(K150+K151+K152,0)</f>
        <v>#REF!</v>
      </c>
      <c r="L149" s="49"/>
      <c r="M149" s="50" t="e">
        <f>TRUNC(M150+M151+M152,0)</f>
        <v>#REF!</v>
      </c>
      <c r="N149" s="63" t="str">
        <f>N143</f>
        <v>토목6-8-1</v>
      </c>
    </row>
    <row r="150" spans="1:14" ht="15" customHeight="1">
      <c r="A150" s="13"/>
      <c r="B150" s="14" t="s">
        <v>261</v>
      </c>
      <c r="C150" s="1" t="s">
        <v>32</v>
      </c>
      <c r="D150" s="3">
        <v>1.22</v>
      </c>
      <c r="E150" s="1" t="s">
        <v>24</v>
      </c>
      <c r="F150" s="4">
        <f>H150+J150+L150</f>
        <v>262580</v>
      </c>
      <c r="G150" s="8">
        <f>I150+K150+M150</f>
        <v>320347.59999999998</v>
      </c>
      <c r="H150" s="4">
        <v>0</v>
      </c>
      <c r="I150" s="8"/>
      <c r="J150" s="4">
        <f>노임!$D$10</f>
        <v>262580</v>
      </c>
      <c r="K150" s="8">
        <f>TRUNC(J150*D150,1)</f>
        <v>320347.59999999998</v>
      </c>
      <c r="L150" s="4">
        <v>0</v>
      </c>
      <c r="M150" s="8"/>
      <c r="N150" s="12" t="s">
        <v>0</v>
      </c>
    </row>
    <row r="151" spans="1:14" ht="15" customHeight="1">
      <c r="A151" s="13"/>
      <c r="B151" s="14" t="s">
        <v>262</v>
      </c>
      <c r="C151" s="1" t="s">
        <v>0</v>
      </c>
      <c r="D151" s="3">
        <v>0.69</v>
      </c>
      <c r="E151" s="1" t="s">
        <v>24</v>
      </c>
      <c r="F151" s="4">
        <f>H151+J151+L151</f>
        <v>172068</v>
      </c>
      <c r="G151" s="8">
        <f>I151+K151+M151</f>
        <v>118726.9</v>
      </c>
      <c r="H151" s="4">
        <v>0</v>
      </c>
      <c r="I151" s="8"/>
      <c r="J151" s="4">
        <f>노임!$D$3</f>
        <v>172068</v>
      </c>
      <c r="K151" s="8">
        <f>TRUNC(J151*D151,1)</f>
        <v>118726.9</v>
      </c>
      <c r="L151" s="4">
        <v>0</v>
      </c>
      <c r="M151" s="8"/>
      <c r="N151" s="12" t="s">
        <v>0</v>
      </c>
    </row>
    <row r="152" spans="1:14" ht="15" customHeight="1">
      <c r="A152" s="13"/>
      <c r="B152" s="14" t="s">
        <v>263</v>
      </c>
      <c r="C152" s="1" t="s">
        <v>172</v>
      </c>
      <c r="D152" s="3">
        <v>1.44</v>
      </c>
      <c r="E152" s="1" t="s">
        <v>7</v>
      </c>
      <c r="F152" s="4" t="e">
        <f>H152+J152+L152</f>
        <v>#REF!</v>
      </c>
      <c r="G152" s="8" t="e">
        <f>I152+K152+M152</f>
        <v>#REF!</v>
      </c>
      <c r="H152" s="4" t="e">
        <f>#REF!</f>
        <v>#REF!</v>
      </c>
      <c r="I152" s="8" t="e">
        <f>TRUNC(H152*D152,1)</f>
        <v>#REF!</v>
      </c>
      <c r="J152" s="4" t="e">
        <f>#REF!</f>
        <v>#REF!</v>
      </c>
      <c r="K152" s="8" t="e">
        <f>TRUNC(J152*D152,1)</f>
        <v>#REF!</v>
      </c>
      <c r="L152" s="4" t="e">
        <f>#REF!</f>
        <v>#REF!</v>
      </c>
      <c r="M152" s="8" t="e">
        <f>TRUNC(L152*D152,1)</f>
        <v>#REF!</v>
      </c>
      <c r="N152" s="12" t="s">
        <v>0</v>
      </c>
    </row>
    <row r="153" spans="1:14" ht="15" customHeight="1">
      <c r="A153" s="13"/>
      <c r="B153" s="14" t="s">
        <v>297</v>
      </c>
      <c r="C153" s="1" t="s">
        <v>220</v>
      </c>
      <c r="D153" s="3">
        <v>2</v>
      </c>
      <c r="E153" s="1" t="s">
        <v>221</v>
      </c>
      <c r="F153" s="4">
        <f>H153+J153+L153</f>
        <v>0</v>
      </c>
      <c r="G153" s="8" t="e">
        <f>I153+K153+M153</f>
        <v>#REF!</v>
      </c>
      <c r="H153" s="4"/>
      <c r="I153" s="8"/>
      <c r="J153" s="4"/>
      <c r="K153" s="8"/>
      <c r="L153" s="4"/>
      <c r="M153" s="8" t="e">
        <f>TRUNC((K150+K151+K152)*D153%,1)</f>
        <v>#REF!</v>
      </c>
      <c r="N153" s="12"/>
    </row>
    <row r="154" spans="1:14" ht="15" customHeight="1">
      <c r="A154" s="16"/>
      <c r="B154" s="15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12"/>
    </row>
    <row r="155" spans="1:14" ht="15" customHeight="1">
      <c r="A155" s="64">
        <f>A149+1</f>
        <v>106</v>
      </c>
      <c r="B155" s="46" t="s">
        <v>311</v>
      </c>
      <c r="C155" s="47" t="s">
        <v>171</v>
      </c>
      <c r="D155" s="47">
        <v>1</v>
      </c>
      <c r="E155" s="47" t="s">
        <v>3</v>
      </c>
      <c r="F155" s="49"/>
      <c r="G155" s="50" t="e">
        <f>I155+K155+M155</f>
        <v>#REF!</v>
      </c>
      <c r="H155" s="49"/>
      <c r="I155" s="50" t="e">
        <f>TRUNC(I156+I157+I158,0)</f>
        <v>#REF!</v>
      </c>
      <c r="J155" s="49"/>
      <c r="K155" s="50" t="e">
        <f>TRUNC(K156+K157+K158,0)</f>
        <v>#REF!</v>
      </c>
      <c r="L155" s="49"/>
      <c r="M155" s="50" t="e">
        <f>TRUNC(M156+M157+M158,0)</f>
        <v>#REF!</v>
      </c>
      <c r="N155" s="63" t="str">
        <f>N149</f>
        <v>토목6-8-1</v>
      </c>
    </row>
    <row r="156" spans="1:14" ht="15" customHeight="1">
      <c r="A156" s="13"/>
      <c r="B156" s="14" t="s">
        <v>261</v>
      </c>
      <c r="C156" s="1" t="s">
        <v>32</v>
      </c>
      <c r="D156" s="3">
        <v>1.34</v>
      </c>
      <c r="E156" s="1" t="s">
        <v>24</v>
      </c>
      <c r="F156" s="4">
        <f>H156+J156+L156</f>
        <v>262580</v>
      </c>
      <c r="G156" s="8">
        <f>I156+K156+M156</f>
        <v>351857.2</v>
      </c>
      <c r="H156" s="4">
        <v>0</v>
      </c>
      <c r="I156" s="8"/>
      <c r="J156" s="4">
        <f>노임!$D$10</f>
        <v>262580</v>
      </c>
      <c r="K156" s="8">
        <f>TRUNC(J156*D156,1)</f>
        <v>351857.2</v>
      </c>
      <c r="L156" s="4">
        <v>0</v>
      </c>
      <c r="M156" s="8"/>
      <c r="N156" s="12" t="s">
        <v>0</v>
      </c>
    </row>
    <row r="157" spans="1:14" ht="15" customHeight="1">
      <c r="A157" s="13"/>
      <c r="B157" s="14" t="s">
        <v>262</v>
      </c>
      <c r="C157" s="1" t="s">
        <v>0</v>
      </c>
      <c r="D157" s="3">
        <v>0.79</v>
      </c>
      <c r="E157" s="1" t="s">
        <v>24</v>
      </c>
      <c r="F157" s="4">
        <f>H157+J157+L157</f>
        <v>172068</v>
      </c>
      <c r="G157" s="8">
        <f>I157+K157+M157</f>
        <v>135933.70000000001</v>
      </c>
      <c r="H157" s="4">
        <v>0</v>
      </c>
      <c r="I157" s="8"/>
      <c r="J157" s="4">
        <f>노임!$D$3</f>
        <v>172068</v>
      </c>
      <c r="K157" s="8">
        <f>TRUNC(J157*D157,1)</f>
        <v>135933.70000000001</v>
      </c>
      <c r="L157" s="4">
        <v>0</v>
      </c>
      <c r="M157" s="8"/>
      <c r="N157" s="12" t="s">
        <v>0</v>
      </c>
    </row>
    <row r="158" spans="1:14" ht="15" customHeight="1">
      <c r="A158" s="13"/>
      <c r="B158" s="14" t="s">
        <v>263</v>
      </c>
      <c r="C158" s="1" t="s">
        <v>172</v>
      </c>
      <c r="D158" s="3">
        <v>1.57</v>
      </c>
      <c r="E158" s="1" t="s">
        <v>7</v>
      </c>
      <c r="F158" s="4" t="e">
        <f>H158+J158+L158</f>
        <v>#REF!</v>
      </c>
      <c r="G158" s="8" t="e">
        <f>I158+K158+M158</f>
        <v>#REF!</v>
      </c>
      <c r="H158" s="4" t="e">
        <f>#REF!</f>
        <v>#REF!</v>
      </c>
      <c r="I158" s="8" t="e">
        <f>TRUNC(H158*D158,1)</f>
        <v>#REF!</v>
      </c>
      <c r="J158" s="4" t="e">
        <f>#REF!</f>
        <v>#REF!</v>
      </c>
      <c r="K158" s="8" t="e">
        <f>TRUNC(J158*D158,1)</f>
        <v>#REF!</v>
      </c>
      <c r="L158" s="4" t="e">
        <f>#REF!</f>
        <v>#REF!</v>
      </c>
      <c r="M158" s="8" t="e">
        <f>TRUNC(L158*D158,1)</f>
        <v>#REF!</v>
      </c>
      <c r="N158" s="12" t="s">
        <v>0</v>
      </c>
    </row>
    <row r="159" spans="1:14" ht="15" customHeight="1">
      <c r="A159" s="13"/>
      <c r="B159" s="14" t="s">
        <v>297</v>
      </c>
      <c r="C159" s="1" t="s">
        <v>220</v>
      </c>
      <c r="D159" s="3">
        <v>2</v>
      </c>
      <c r="E159" s="1" t="s">
        <v>221</v>
      </c>
      <c r="F159" s="4">
        <f>H159+J159+L159</f>
        <v>0</v>
      </c>
      <c r="G159" s="8" t="e">
        <f>I159+K159+M159</f>
        <v>#REF!</v>
      </c>
      <c r="H159" s="4"/>
      <c r="I159" s="8"/>
      <c r="J159" s="4"/>
      <c r="K159" s="8"/>
      <c r="L159" s="4"/>
      <c r="M159" s="8" t="e">
        <f>TRUNC((K156+K157+K158)*D159%,1)</f>
        <v>#REF!</v>
      </c>
      <c r="N159" s="12"/>
    </row>
    <row r="160" spans="1:14" ht="15" customHeight="1">
      <c r="A160" s="16"/>
      <c r="B160" s="15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12"/>
    </row>
    <row r="161" spans="1:14" ht="15" customHeight="1">
      <c r="A161" s="64">
        <f>A155+1</f>
        <v>107</v>
      </c>
      <c r="B161" s="46" t="s">
        <v>311</v>
      </c>
      <c r="C161" s="47" t="s">
        <v>189</v>
      </c>
      <c r="D161" s="47">
        <v>1</v>
      </c>
      <c r="E161" s="47" t="s">
        <v>3</v>
      </c>
      <c r="F161" s="49"/>
      <c r="G161" s="50" t="e">
        <f>I161+K161+M161</f>
        <v>#REF!</v>
      </c>
      <c r="H161" s="49"/>
      <c r="I161" s="50" t="e">
        <f>TRUNC(I162+I163+I164,0)</f>
        <v>#REF!</v>
      </c>
      <c r="J161" s="49"/>
      <c r="K161" s="50" t="e">
        <f>TRUNC(K162+K163+K164,0)</f>
        <v>#REF!</v>
      </c>
      <c r="L161" s="49"/>
      <c r="M161" s="50" t="e">
        <f>TRUNC(M162+M163+M164,0)</f>
        <v>#REF!</v>
      </c>
      <c r="N161" s="63" t="s">
        <v>307</v>
      </c>
    </row>
    <row r="162" spans="1:14" ht="15" customHeight="1">
      <c r="A162" s="13"/>
      <c r="B162" s="14" t="s">
        <v>261</v>
      </c>
      <c r="C162" s="1" t="s">
        <v>32</v>
      </c>
      <c r="D162" s="3">
        <v>1.44</v>
      </c>
      <c r="E162" s="1" t="s">
        <v>24</v>
      </c>
      <c r="F162" s="4">
        <f>H162+J162+L162</f>
        <v>262580</v>
      </c>
      <c r="G162" s="8">
        <f>I162+K162+M162</f>
        <v>378115.2</v>
      </c>
      <c r="H162" s="4">
        <v>0</v>
      </c>
      <c r="I162" s="8"/>
      <c r="J162" s="4">
        <f>노임!$D$10</f>
        <v>262580</v>
      </c>
      <c r="K162" s="8">
        <f>TRUNC(J162*D162,1)</f>
        <v>378115.2</v>
      </c>
      <c r="L162" s="4">
        <v>0</v>
      </c>
      <c r="M162" s="8"/>
      <c r="N162" s="12" t="s">
        <v>0</v>
      </c>
    </row>
    <row r="163" spans="1:14" ht="15" customHeight="1">
      <c r="A163" s="13"/>
      <c r="B163" s="14" t="s">
        <v>262</v>
      </c>
      <c r="C163" s="1" t="s">
        <v>0</v>
      </c>
      <c r="D163" s="3">
        <v>0.85</v>
      </c>
      <c r="E163" s="1" t="s">
        <v>24</v>
      </c>
      <c r="F163" s="4">
        <f>H163+J163+L163</f>
        <v>172068</v>
      </c>
      <c r="G163" s="8">
        <f>I163+K163+M163</f>
        <v>146257.79999999999</v>
      </c>
      <c r="H163" s="4">
        <v>0</v>
      </c>
      <c r="I163" s="8"/>
      <c r="J163" s="4">
        <f>노임!$D$3</f>
        <v>172068</v>
      </c>
      <c r="K163" s="8">
        <f>TRUNC(J163*D163,1)</f>
        <v>146257.79999999999</v>
      </c>
      <c r="L163" s="4">
        <v>0</v>
      </c>
      <c r="M163" s="8"/>
      <c r="N163" s="12" t="s">
        <v>0</v>
      </c>
    </row>
    <row r="164" spans="1:14" ht="15" customHeight="1">
      <c r="A164" s="13"/>
      <c r="B164" s="14" t="s">
        <v>263</v>
      </c>
      <c r="C164" s="1" t="s">
        <v>199</v>
      </c>
      <c r="D164" s="3">
        <v>1.61</v>
      </c>
      <c r="E164" s="1" t="s">
        <v>7</v>
      </c>
      <c r="F164" s="4" t="e">
        <f>H164+J164+L164</f>
        <v>#REF!</v>
      </c>
      <c r="G164" s="8" t="e">
        <f>I164+K164+M164</f>
        <v>#REF!</v>
      </c>
      <c r="H164" s="4" t="e">
        <f>#REF!</f>
        <v>#REF!</v>
      </c>
      <c r="I164" s="8" t="e">
        <f>TRUNC(H164*D164,1)</f>
        <v>#REF!</v>
      </c>
      <c r="J164" s="4" t="e">
        <f>#REF!</f>
        <v>#REF!</v>
      </c>
      <c r="K164" s="8" t="e">
        <f>TRUNC(J164*D164,1)</f>
        <v>#REF!</v>
      </c>
      <c r="L164" s="4" t="e">
        <f>#REF!</f>
        <v>#REF!</v>
      </c>
      <c r="M164" s="8" t="e">
        <f>TRUNC(L164*D164,1)</f>
        <v>#REF!</v>
      </c>
      <c r="N164" s="12" t="s">
        <v>0</v>
      </c>
    </row>
    <row r="165" spans="1:14" ht="15" customHeight="1">
      <c r="A165" s="13"/>
      <c r="B165" s="14" t="s">
        <v>297</v>
      </c>
      <c r="C165" s="1" t="s">
        <v>220</v>
      </c>
      <c r="D165" s="3">
        <v>2</v>
      </c>
      <c r="E165" s="1" t="s">
        <v>221</v>
      </c>
      <c r="F165" s="4">
        <f>H165+J165+L165</f>
        <v>0</v>
      </c>
      <c r="G165" s="8" t="e">
        <f>I165+K165+M165</f>
        <v>#REF!</v>
      </c>
      <c r="H165" s="4"/>
      <c r="I165" s="8"/>
      <c r="J165" s="4"/>
      <c r="K165" s="8"/>
      <c r="L165" s="4"/>
      <c r="M165" s="8" t="e">
        <f>TRUNC((K162+K163+K164)*D165%,1)</f>
        <v>#REF!</v>
      </c>
      <c r="N165" s="12"/>
    </row>
    <row r="166" spans="1:14" ht="15" customHeight="1">
      <c r="A166" s="16"/>
      <c r="B166" s="15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12"/>
    </row>
    <row r="167" spans="1:14" ht="15" customHeight="1">
      <c r="A167" s="64">
        <f>A161+1</f>
        <v>108</v>
      </c>
      <c r="B167" s="46" t="s">
        <v>311</v>
      </c>
      <c r="C167" s="47" t="s">
        <v>190</v>
      </c>
      <c r="D167" s="47">
        <v>1</v>
      </c>
      <c r="E167" s="47" t="s">
        <v>3</v>
      </c>
      <c r="F167" s="49"/>
      <c r="G167" s="50" t="e">
        <f>I167+K167+M167</f>
        <v>#REF!</v>
      </c>
      <c r="H167" s="49"/>
      <c r="I167" s="50" t="e">
        <f>TRUNC(I168+I169+I170,0)</f>
        <v>#REF!</v>
      </c>
      <c r="J167" s="49"/>
      <c r="K167" s="50" t="e">
        <f>TRUNC(K168+K169+K170,0)</f>
        <v>#REF!</v>
      </c>
      <c r="L167" s="49"/>
      <c r="M167" s="50" t="e">
        <f>TRUNC(M168+M169+M170,0)</f>
        <v>#REF!</v>
      </c>
      <c r="N167" s="63" t="s">
        <v>307</v>
      </c>
    </row>
    <row r="168" spans="1:14" ht="15" customHeight="1">
      <c r="A168" s="13"/>
      <c r="B168" s="14" t="s">
        <v>261</v>
      </c>
      <c r="C168" s="1" t="s">
        <v>32</v>
      </c>
      <c r="D168" s="3">
        <v>1.54</v>
      </c>
      <c r="E168" s="1" t="s">
        <v>24</v>
      </c>
      <c r="F168" s="4">
        <f>H168+J168+L168</f>
        <v>262580</v>
      </c>
      <c r="G168" s="8">
        <f>I168+K168+M168</f>
        <v>404373.2</v>
      </c>
      <c r="H168" s="4">
        <v>0</v>
      </c>
      <c r="I168" s="8"/>
      <c r="J168" s="4">
        <f>노임!$D$10</f>
        <v>262580</v>
      </c>
      <c r="K168" s="8">
        <f>TRUNC(J168*D168,1)</f>
        <v>404373.2</v>
      </c>
      <c r="L168" s="4">
        <v>0</v>
      </c>
      <c r="M168" s="8"/>
      <c r="N168" s="12" t="s">
        <v>0</v>
      </c>
    </row>
    <row r="169" spans="1:14" ht="15" customHeight="1">
      <c r="A169" s="13"/>
      <c r="B169" s="14" t="s">
        <v>262</v>
      </c>
      <c r="C169" s="1" t="s">
        <v>0</v>
      </c>
      <c r="D169" s="3">
        <v>0.93</v>
      </c>
      <c r="E169" s="1" t="s">
        <v>24</v>
      </c>
      <c r="F169" s="4">
        <f>H169+J169+L169</f>
        <v>172068</v>
      </c>
      <c r="G169" s="8">
        <f>I169+K169+M169</f>
        <v>160023.20000000001</v>
      </c>
      <c r="H169" s="4">
        <v>0</v>
      </c>
      <c r="I169" s="8"/>
      <c r="J169" s="4">
        <f>노임!$D$3</f>
        <v>172068</v>
      </c>
      <c r="K169" s="8">
        <f>TRUNC(J169*D169,1)</f>
        <v>160023.20000000001</v>
      </c>
      <c r="L169" s="4">
        <v>0</v>
      </c>
      <c r="M169" s="8"/>
      <c r="N169" s="12" t="s">
        <v>0</v>
      </c>
    </row>
    <row r="170" spans="1:14" ht="15" customHeight="1">
      <c r="A170" s="13"/>
      <c r="B170" s="14" t="s">
        <v>263</v>
      </c>
      <c r="C170" s="1" t="s">
        <v>199</v>
      </c>
      <c r="D170" s="3">
        <v>1.87</v>
      </c>
      <c r="E170" s="1" t="s">
        <v>7</v>
      </c>
      <c r="F170" s="4" t="e">
        <f>H170+J170+L170</f>
        <v>#REF!</v>
      </c>
      <c r="G170" s="8" t="e">
        <f>I170+K170+M170</f>
        <v>#REF!</v>
      </c>
      <c r="H170" s="4" t="e">
        <f>#REF!</f>
        <v>#REF!</v>
      </c>
      <c r="I170" s="8" t="e">
        <f>TRUNC(H170*D170,1)</f>
        <v>#REF!</v>
      </c>
      <c r="J170" s="4" t="e">
        <f>#REF!</f>
        <v>#REF!</v>
      </c>
      <c r="K170" s="8" t="e">
        <f>TRUNC(J170*D170,1)</f>
        <v>#REF!</v>
      </c>
      <c r="L170" s="4" t="e">
        <f>#REF!</f>
        <v>#REF!</v>
      </c>
      <c r="M170" s="8" t="e">
        <f>TRUNC(L170*D170,1)</f>
        <v>#REF!</v>
      </c>
      <c r="N170" s="12" t="s">
        <v>0</v>
      </c>
    </row>
    <row r="171" spans="1:14" ht="15" customHeight="1">
      <c r="A171" s="13"/>
      <c r="B171" s="14" t="s">
        <v>297</v>
      </c>
      <c r="C171" s="1" t="s">
        <v>220</v>
      </c>
      <c r="D171" s="3">
        <v>2</v>
      </c>
      <c r="E171" s="1" t="s">
        <v>221</v>
      </c>
      <c r="F171" s="4">
        <f>H171+J171+L171</f>
        <v>0</v>
      </c>
      <c r="G171" s="8" t="e">
        <f>I171+K171+M171</f>
        <v>#REF!</v>
      </c>
      <c r="H171" s="4"/>
      <c r="I171" s="8"/>
      <c r="J171" s="4"/>
      <c r="K171" s="8"/>
      <c r="L171" s="4"/>
      <c r="M171" s="8" t="e">
        <f>TRUNC((K168+K169+K170)*D171%,1)</f>
        <v>#REF!</v>
      </c>
      <c r="N171" s="12"/>
    </row>
    <row r="172" spans="1:14" ht="15" customHeight="1">
      <c r="A172" s="16"/>
      <c r="B172" s="15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12"/>
    </row>
    <row r="173" spans="1:14" ht="15" customHeight="1">
      <c r="A173" s="64">
        <f>A167+1</f>
        <v>109</v>
      </c>
      <c r="B173" s="46" t="s">
        <v>311</v>
      </c>
      <c r="C173" s="47" t="s">
        <v>191</v>
      </c>
      <c r="D173" s="47">
        <v>1</v>
      </c>
      <c r="E173" s="47" t="s">
        <v>3</v>
      </c>
      <c r="F173" s="49"/>
      <c r="G173" s="50" t="e">
        <f>I173+K173+M173</f>
        <v>#REF!</v>
      </c>
      <c r="H173" s="49"/>
      <c r="I173" s="50" t="e">
        <f>TRUNC(I174+I175+I176,0)</f>
        <v>#REF!</v>
      </c>
      <c r="J173" s="49"/>
      <c r="K173" s="50" t="e">
        <f>TRUNC(K174+K175+K176,0)</f>
        <v>#REF!</v>
      </c>
      <c r="L173" s="49"/>
      <c r="M173" s="50" t="e">
        <f>TRUNC(M174+M175+M176,0)</f>
        <v>#REF!</v>
      </c>
      <c r="N173" s="63" t="s">
        <v>307</v>
      </c>
    </row>
    <row r="174" spans="1:14" ht="15" customHeight="1">
      <c r="A174" s="13"/>
      <c r="B174" s="14" t="s">
        <v>261</v>
      </c>
      <c r="C174" s="1" t="s">
        <v>32</v>
      </c>
      <c r="D174" s="3">
        <v>1.63</v>
      </c>
      <c r="E174" s="1" t="s">
        <v>24</v>
      </c>
      <c r="F174" s="4">
        <f>H174+J174+L174</f>
        <v>262580</v>
      </c>
      <c r="G174" s="8">
        <f>I174+K174+M174</f>
        <v>428005.4</v>
      </c>
      <c r="H174" s="4">
        <v>0</v>
      </c>
      <c r="I174" s="8"/>
      <c r="J174" s="4">
        <f>노임!$D$10</f>
        <v>262580</v>
      </c>
      <c r="K174" s="8">
        <f>TRUNC(J174*D174,1)</f>
        <v>428005.4</v>
      </c>
      <c r="L174" s="4">
        <v>0</v>
      </c>
      <c r="M174" s="8"/>
      <c r="N174" s="12" t="s">
        <v>0</v>
      </c>
    </row>
    <row r="175" spans="1:14" ht="15" customHeight="1">
      <c r="A175" s="13"/>
      <c r="B175" s="14" t="s">
        <v>262</v>
      </c>
      <c r="C175" s="1" t="s">
        <v>0</v>
      </c>
      <c r="D175" s="3">
        <v>1.03</v>
      </c>
      <c r="E175" s="1" t="s">
        <v>24</v>
      </c>
      <c r="F175" s="4">
        <f>H175+J175+L175</f>
        <v>172068</v>
      </c>
      <c r="G175" s="8">
        <f>I175+K175+M175</f>
        <v>177230</v>
      </c>
      <c r="H175" s="4">
        <v>0</v>
      </c>
      <c r="I175" s="8"/>
      <c r="J175" s="4">
        <f>노임!$D$3</f>
        <v>172068</v>
      </c>
      <c r="K175" s="8">
        <f>TRUNC(J175*D175,1)</f>
        <v>177230</v>
      </c>
      <c r="L175" s="4">
        <v>0</v>
      </c>
      <c r="M175" s="8"/>
      <c r="N175" s="12" t="s">
        <v>0</v>
      </c>
    </row>
    <row r="176" spans="1:14" ht="15" customHeight="1">
      <c r="A176" s="13"/>
      <c r="B176" s="14" t="s">
        <v>263</v>
      </c>
      <c r="C176" s="1" t="s">
        <v>199</v>
      </c>
      <c r="D176" s="3">
        <v>1.91</v>
      </c>
      <c r="E176" s="1" t="s">
        <v>7</v>
      </c>
      <c r="F176" s="4" t="e">
        <f>H176+J176+L176</f>
        <v>#REF!</v>
      </c>
      <c r="G176" s="8" t="e">
        <f>I176+K176+M176</f>
        <v>#REF!</v>
      </c>
      <c r="H176" s="4" t="e">
        <f>#REF!</f>
        <v>#REF!</v>
      </c>
      <c r="I176" s="8" t="e">
        <f>TRUNC(H176*D176,1)</f>
        <v>#REF!</v>
      </c>
      <c r="J176" s="4" t="e">
        <f>#REF!</f>
        <v>#REF!</v>
      </c>
      <c r="K176" s="8" t="e">
        <f>TRUNC(J176*D176,1)</f>
        <v>#REF!</v>
      </c>
      <c r="L176" s="4" t="e">
        <f>#REF!</f>
        <v>#REF!</v>
      </c>
      <c r="M176" s="8" t="e">
        <f>TRUNC(L176*D176,1)</f>
        <v>#REF!</v>
      </c>
      <c r="N176" s="12" t="s">
        <v>0</v>
      </c>
    </row>
    <row r="177" spans="1:14" ht="15" customHeight="1">
      <c r="A177" s="13"/>
      <c r="B177" s="14" t="s">
        <v>297</v>
      </c>
      <c r="C177" s="1" t="s">
        <v>220</v>
      </c>
      <c r="D177" s="3">
        <v>2</v>
      </c>
      <c r="E177" s="1" t="s">
        <v>221</v>
      </c>
      <c r="F177" s="4">
        <f>H177+J177+L177</f>
        <v>0</v>
      </c>
      <c r="G177" s="8" t="e">
        <f>I177+K177+M177</f>
        <v>#REF!</v>
      </c>
      <c r="H177" s="4"/>
      <c r="I177" s="8"/>
      <c r="J177" s="4"/>
      <c r="K177" s="8"/>
      <c r="L177" s="4"/>
      <c r="M177" s="8" t="e">
        <f>TRUNC((K174+K175+K176)*D177%,1)</f>
        <v>#REF!</v>
      </c>
      <c r="N177" s="12"/>
    </row>
    <row r="178" spans="1:14" ht="15" customHeight="1">
      <c r="A178" s="16"/>
      <c r="B178" s="15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12"/>
    </row>
    <row r="179" spans="1:14" ht="15" customHeight="1">
      <c r="A179" s="64">
        <f>A173+1</f>
        <v>110</v>
      </c>
      <c r="B179" s="46" t="s">
        <v>311</v>
      </c>
      <c r="C179" s="47" t="s">
        <v>192</v>
      </c>
      <c r="D179" s="47">
        <v>1</v>
      </c>
      <c r="E179" s="47" t="s">
        <v>3</v>
      </c>
      <c r="F179" s="49"/>
      <c r="G179" s="50" t="e">
        <f>I179+K179+M179</f>
        <v>#REF!</v>
      </c>
      <c r="H179" s="49"/>
      <c r="I179" s="50" t="e">
        <f>TRUNC(I180+I181+I182,0)</f>
        <v>#REF!</v>
      </c>
      <c r="J179" s="49"/>
      <c r="K179" s="50" t="e">
        <f>TRUNC(K180+K181+K182,0)</f>
        <v>#REF!</v>
      </c>
      <c r="L179" s="49"/>
      <c r="M179" s="50" t="e">
        <f>TRUNC(M180+M181+M182,0)</f>
        <v>#REF!</v>
      </c>
      <c r="N179" s="63" t="s">
        <v>307</v>
      </c>
    </row>
    <row r="180" spans="1:14" ht="15" customHeight="1">
      <c r="A180" s="13"/>
      <c r="B180" s="14" t="s">
        <v>261</v>
      </c>
      <c r="C180" s="1" t="s">
        <v>32</v>
      </c>
      <c r="D180" s="3">
        <v>1.74</v>
      </c>
      <c r="E180" s="1" t="s">
        <v>24</v>
      </c>
      <c r="F180" s="4">
        <f>H180+J180+L180</f>
        <v>262580</v>
      </c>
      <c r="G180" s="8">
        <f>I180+K180+M180</f>
        <v>456889.2</v>
      </c>
      <c r="H180" s="4">
        <v>0</v>
      </c>
      <c r="I180" s="8"/>
      <c r="J180" s="4">
        <f>노임!$D$10</f>
        <v>262580</v>
      </c>
      <c r="K180" s="8">
        <f>TRUNC(J180*D180,1)</f>
        <v>456889.2</v>
      </c>
      <c r="L180" s="4">
        <v>0</v>
      </c>
      <c r="M180" s="8"/>
      <c r="N180" s="12" t="s">
        <v>0</v>
      </c>
    </row>
    <row r="181" spans="1:14" ht="15" customHeight="1">
      <c r="A181" s="13"/>
      <c r="B181" s="14" t="s">
        <v>262</v>
      </c>
      <c r="C181" s="1" t="s">
        <v>0</v>
      </c>
      <c r="D181" s="3">
        <v>1.1399999999999999</v>
      </c>
      <c r="E181" s="1" t="s">
        <v>24</v>
      </c>
      <c r="F181" s="4">
        <f>H181+J181+L181</f>
        <v>172068</v>
      </c>
      <c r="G181" s="8">
        <f>I181+K181+M181</f>
        <v>196157.5</v>
      </c>
      <c r="H181" s="4">
        <v>0</v>
      </c>
      <c r="I181" s="8"/>
      <c r="J181" s="4">
        <f>노임!$D$3</f>
        <v>172068</v>
      </c>
      <c r="K181" s="8">
        <f>TRUNC(J181*D181,1)</f>
        <v>196157.5</v>
      </c>
      <c r="L181" s="4">
        <v>0</v>
      </c>
      <c r="M181" s="8"/>
      <c r="N181" s="12" t="s">
        <v>0</v>
      </c>
    </row>
    <row r="182" spans="1:14" ht="15" customHeight="1">
      <c r="A182" s="13"/>
      <c r="B182" s="14" t="s">
        <v>263</v>
      </c>
      <c r="C182" s="1" t="s">
        <v>199</v>
      </c>
      <c r="D182" s="3">
        <v>2.12</v>
      </c>
      <c r="E182" s="1" t="s">
        <v>7</v>
      </c>
      <c r="F182" s="4" t="e">
        <f>H182+J182+L182</f>
        <v>#REF!</v>
      </c>
      <c r="G182" s="8" t="e">
        <f>I182+K182+M182</f>
        <v>#REF!</v>
      </c>
      <c r="H182" s="4" t="e">
        <f>#REF!</f>
        <v>#REF!</v>
      </c>
      <c r="I182" s="8" t="e">
        <f>TRUNC(H182*D182,1)</f>
        <v>#REF!</v>
      </c>
      <c r="J182" s="4" t="e">
        <f>#REF!</f>
        <v>#REF!</v>
      </c>
      <c r="K182" s="8" t="e">
        <f>TRUNC(J182*D182,1)</f>
        <v>#REF!</v>
      </c>
      <c r="L182" s="4" t="e">
        <f>#REF!</f>
        <v>#REF!</v>
      </c>
      <c r="M182" s="8" t="e">
        <f>TRUNC(L182*D182,1)</f>
        <v>#REF!</v>
      </c>
      <c r="N182" s="12" t="s">
        <v>0</v>
      </c>
    </row>
    <row r="183" spans="1:14" ht="15" customHeight="1">
      <c r="A183" s="13"/>
      <c r="B183" s="14" t="s">
        <v>297</v>
      </c>
      <c r="C183" s="1" t="s">
        <v>220</v>
      </c>
      <c r="D183" s="3">
        <v>2</v>
      </c>
      <c r="E183" s="1" t="s">
        <v>221</v>
      </c>
      <c r="F183" s="4">
        <f>H183+J183+L183</f>
        <v>0</v>
      </c>
      <c r="G183" s="8" t="e">
        <f>I183+K183+M183</f>
        <v>#REF!</v>
      </c>
      <c r="H183" s="4"/>
      <c r="I183" s="8"/>
      <c r="J183" s="4"/>
      <c r="K183" s="8"/>
      <c r="L183" s="4"/>
      <c r="M183" s="8" t="e">
        <f>TRUNC((K180+K181+K182)*D183%,1)</f>
        <v>#REF!</v>
      </c>
      <c r="N183" s="12"/>
    </row>
    <row r="184" spans="1:14" ht="15" customHeight="1">
      <c r="A184" s="16"/>
      <c r="B184" s="15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12"/>
    </row>
    <row r="185" spans="1:14" ht="15" customHeight="1">
      <c r="A185" s="64">
        <f>A179+1</f>
        <v>111</v>
      </c>
      <c r="B185" s="46" t="s">
        <v>311</v>
      </c>
      <c r="C185" s="47" t="s">
        <v>193</v>
      </c>
      <c r="D185" s="47">
        <v>1</v>
      </c>
      <c r="E185" s="47" t="s">
        <v>3</v>
      </c>
      <c r="F185" s="49"/>
      <c r="G185" s="50" t="e">
        <f>I185+K185+M185</f>
        <v>#REF!</v>
      </c>
      <c r="H185" s="49"/>
      <c r="I185" s="50" t="e">
        <f>TRUNC(I186+I187+I188,0)</f>
        <v>#REF!</v>
      </c>
      <c r="J185" s="49"/>
      <c r="K185" s="50" t="e">
        <f>TRUNC(K186+K187+K188,0)</f>
        <v>#REF!</v>
      </c>
      <c r="L185" s="49"/>
      <c r="M185" s="50" t="e">
        <f>TRUNC(M186+M187+M188,0)</f>
        <v>#REF!</v>
      </c>
      <c r="N185" s="63" t="s">
        <v>307</v>
      </c>
    </row>
    <row r="186" spans="1:14" ht="15" customHeight="1">
      <c r="A186" s="13"/>
      <c r="B186" s="14" t="s">
        <v>261</v>
      </c>
      <c r="C186" s="1" t="s">
        <v>32</v>
      </c>
      <c r="D186" s="3">
        <v>1.85</v>
      </c>
      <c r="E186" s="1" t="s">
        <v>24</v>
      </c>
      <c r="F186" s="4">
        <f>H186+J186+L186</f>
        <v>262580</v>
      </c>
      <c r="G186" s="8">
        <f>I186+K186+M186</f>
        <v>485773</v>
      </c>
      <c r="H186" s="4">
        <v>0</v>
      </c>
      <c r="I186" s="8"/>
      <c r="J186" s="4">
        <f>노임!$D$10</f>
        <v>262580</v>
      </c>
      <c r="K186" s="8">
        <f>TRUNC(J186*D186,1)</f>
        <v>485773</v>
      </c>
      <c r="L186" s="4">
        <v>0</v>
      </c>
      <c r="M186" s="8"/>
      <c r="N186" s="12" t="s">
        <v>0</v>
      </c>
    </row>
    <row r="187" spans="1:14" ht="15" customHeight="1">
      <c r="A187" s="13"/>
      <c r="B187" s="14" t="s">
        <v>262</v>
      </c>
      <c r="C187" s="1" t="s">
        <v>0</v>
      </c>
      <c r="D187" s="3">
        <v>1.3</v>
      </c>
      <c r="E187" s="1" t="s">
        <v>24</v>
      </c>
      <c r="F187" s="4">
        <f>H187+J187+L187</f>
        <v>172068</v>
      </c>
      <c r="G187" s="8">
        <f>I187+K187+M187</f>
        <v>223688.4</v>
      </c>
      <c r="H187" s="4">
        <v>0</v>
      </c>
      <c r="I187" s="8"/>
      <c r="J187" s="4">
        <f>노임!$D$3</f>
        <v>172068</v>
      </c>
      <c r="K187" s="8">
        <f>TRUNC(J187*D187,1)</f>
        <v>223688.4</v>
      </c>
      <c r="L187" s="4">
        <v>0</v>
      </c>
      <c r="M187" s="8"/>
      <c r="N187" s="12" t="s">
        <v>0</v>
      </c>
    </row>
    <row r="188" spans="1:14" ht="15" customHeight="1">
      <c r="A188" s="13"/>
      <c r="B188" s="14" t="s">
        <v>263</v>
      </c>
      <c r="C188" s="1" t="s">
        <v>199</v>
      </c>
      <c r="D188" s="3">
        <v>2.54</v>
      </c>
      <c r="E188" s="1" t="s">
        <v>7</v>
      </c>
      <c r="F188" s="4" t="e">
        <f>H188+J188+L188</f>
        <v>#REF!</v>
      </c>
      <c r="G188" s="8" t="e">
        <f>I188+K188+M188</f>
        <v>#REF!</v>
      </c>
      <c r="H188" s="4" t="e">
        <f>#REF!</f>
        <v>#REF!</v>
      </c>
      <c r="I188" s="8" t="e">
        <f>TRUNC(H188*D188,1)</f>
        <v>#REF!</v>
      </c>
      <c r="J188" s="4" t="e">
        <f>#REF!</f>
        <v>#REF!</v>
      </c>
      <c r="K188" s="8" t="e">
        <f>TRUNC(J188*D188,1)</f>
        <v>#REF!</v>
      </c>
      <c r="L188" s="4" t="e">
        <f>#REF!</f>
        <v>#REF!</v>
      </c>
      <c r="M188" s="8" t="e">
        <f>TRUNC(L188*D188,1)</f>
        <v>#REF!</v>
      </c>
      <c r="N188" s="12" t="s">
        <v>0</v>
      </c>
    </row>
    <row r="189" spans="1:14" ht="15" customHeight="1">
      <c r="A189" s="13"/>
      <c r="B189" s="14" t="s">
        <v>297</v>
      </c>
      <c r="C189" s="1" t="s">
        <v>220</v>
      </c>
      <c r="D189" s="3">
        <v>2</v>
      </c>
      <c r="E189" s="1" t="s">
        <v>221</v>
      </c>
      <c r="F189" s="4">
        <f>H189+J189+L189</f>
        <v>0</v>
      </c>
      <c r="G189" s="8" t="e">
        <f>I189+K189+M189</f>
        <v>#REF!</v>
      </c>
      <c r="H189" s="4"/>
      <c r="I189" s="8"/>
      <c r="J189" s="4"/>
      <c r="K189" s="8"/>
      <c r="L189" s="4"/>
      <c r="M189" s="8" t="e">
        <f>TRUNC((K186+K187+K188)*D189%,1)</f>
        <v>#REF!</v>
      </c>
      <c r="N189" s="12"/>
    </row>
    <row r="190" spans="1:14" ht="15" customHeight="1">
      <c r="A190" s="16"/>
      <c r="B190" s="15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12"/>
    </row>
    <row r="191" spans="1:14" ht="15" customHeight="1">
      <c r="A191" s="64">
        <f>A185+1</f>
        <v>112</v>
      </c>
      <c r="B191" s="46" t="s">
        <v>311</v>
      </c>
      <c r="C191" s="47" t="s">
        <v>194</v>
      </c>
      <c r="D191" s="47">
        <v>1</v>
      </c>
      <c r="E191" s="47" t="s">
        <v>3</v>
      </c>
      <c r="F191" s="49"/>
      <c r="G191" s="50" t="e">
        <f>I191+K191+M191</f>
        <v>#REF!</v>
      </c>
      <c r="H191" s="49"/>
      <c r="I191" s="50" t="e">
        <f>TRUNC(I192+I193+I194,0)</f>
        <v>#REF!</v>
      </c>
      <c r="J191" s="49"/>
      <c r="K191" s="50" t="e">
        <f>TRUNC(K192+K193+K194,0)</f>
        <v>#REF!</v>
      </c>
      <c r="L191" s="49"/>
      <c r="M191" s="50" t="e">
        <f>TRUNC(M192+M193+M194,0)</f>
        <v>#REF!</v>
      </c>
      <c r="N191" s="63" t="s">
        <v>307</v>
      </c>
    </row>
    <row r="192" spans="1:14" ht="15" customHeight="1">
      <c r="A192" s="13"/>
      <c r="B192" s="14" t="s">
        <v>261</v>
      </c>
      <c r="C192" s="1" t="s">
        <v>32</v>
      </c>
      <c r="D192" s="3">
        <v>1.95</v>
      </c>
      <c r="E192" s="1" t="s">
        <v>24</v>
      </c>
      <c r="F192" s="4">
        <f>H192+J192+L192</f>
        <v>262580</v>
      </c>
      <c r="G192" s="8">
        <f>I192+K192+M192</f>
        <v>512031</v>
      </c>
      <c r="H192" s="4">
        <v>0</v>
      </c>
      <c r="I192" s="8"/>
      <c r="J192" s="4">
        <f>노임!$D$10</f>
        <v>262580</v>
      </c>
      <c r="K192" s="8">
        <f>TRUNC(J192*D192,1)</f>
        <v>512031</v>
      </c>
      <c r="L192" s="4">
        <v>0</v>
      </c>
      <c r="M192" s="8"/>
      <c r="N192" s="12" t="s">
        <v>0</v>
      </c>
    </row>
    <row r="193" spans="1:14" ht="15" customHeight="1">
      <c r="A193" s="13"/>
      <c r="B193" s="14" t="s">
        <v>262</v>
      </c>
      <c r="C193" s="1" t="s">
        <v>0</v>
      </c>
      <c r="D193" s="3">
        <v>1.54</v>
      </c>
      <c r="E193" s="1" t="s">
        <v>24</v>
      </c>
      <c r="F193" s="4">
        <f>H193+J193+L193</f>
        <v>172068</v>
      </c>
      <c r="G193" s="8">
        <f>I193+K193+M193</f>
        <v>264984.7</v>
      </c>
      <c r="H193" s="4">
        <v>0</v>
      </c>
      <c r="I193" s="8"/>
      <c r="J193" s="4">
        <f>노임!$D$3</f>
        <v>172068</v>
      </c>
      <c r="K193" s="8">
        <f>TRUNC(J193*D193,1)</f>
        <v>264984.7</v>
      </c>
      <c r="L193" s="4">
        <v>0</v>
      </c>
      <c r="M193" s="8"/>
      <c r="N193" s="12" t="s">
        <v>0</v>
      </c>
    </row>
    <row r="194" spans="1:14" ht="15" customHeight="1">
      <c r="A194" s="13"/>
      <c r="B194" s="14" t="s">
        <v>263</v>
      </c>
      <c r="C194" s="1" t="s">
        <v>247</v>
      </c>
      <c r="D194" s="3">
        <v>2.65</v>
      </c>
      <c r="E194" s="1" t="s">
        <v>7</v>
      </c>
      <c r="F194" s="4" t="e">
        <f>H194+J194+L194</f>
        <v>#REF!</v>
      </c>
      <c r="G194" s="8" t="e">
        <f>I194+K194+M194</f>
        <v>#REF!</v>
      </c>
      <c r="H194" s="4" t="e">
        <f>#REF!</f>
        <v>#REF!</v>
      </c>
      <c r="I194" s="8" t="e">
        <f>TRUNC(H194*D194,1)</f>
        <v>#REF!</v>
      </c>
      <c r="J194" s="4" t="e">
        <f>#REF!</f>
        <v>#REF!</v>
      </c>
      <c r="K194" s="8" t="e">
        <f>TRUNC(J194*D194,1)</f>
        <v>#REF!</v>
      </c>
      <c r="L194" s="4" t="e">
        <f>#REF!</f>
        <v>#REF!</v>
      </c>
      <c r="M194" s="8" t="e">
        <f>TRUNC(L194*D194,1)</f>
        <v>#REF!</v>
      </c>
      <c r="N194" s="12" t="s">
        <v>0</v>
      </c>
    </row>
    <row r="195" spans="1:14" ht="15" customHeight="1">
      <c r="A195" s="13"/>
      <c r="B195" s="14" t="s">
        <v>297</v>
      </c>
      <c r="C195" s="1" t="s">
        <v>220</v>
      </c>
      <c r="D195" s="3">
        <v>2</v>
      </c>
      <c r="E195" s="1" t="s">
        <v>221</v>
      </c>
      <c r="F195" s="4">
        <f>H195+J195+L195</f>
        <v>0</v>
      </c>
      <c r="G195" s="8" t="e">
        <f>I195+K195+M195</f>
        <v>#REF!</v>
      </c>
      <c r="H195" s="4"/>
      <c r="I195" s="8"/>
      <c r="J195" s="4"/>
      <c r="K195" s="8"/>
      <c r="L195" s="4"/>
      <c r="M195" s="8" t="e">
        <f>TRUNC((K192+K193+K194)*D195%,1)</f>
        <v>#REF!</v>
      </c>
      <c r="N195" s="12"/>
    </row>
    <row r="196" spans="1:14" ht="15" customHeight="1">
      <c r="A196" s="16"/>
      <c r="B196" s="15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12"/>
    </row>
    <row r="197" spans="1:14" ht="15" customHeight="1">
      <c r="A197" s="64">
        <f>A191+1</f>
        <v>113</v>
      </c>
      <c r="B197" s="46" t="s">
        <v>311</v>
      </c>
      <c r="C197" s="47" t="s">
        <v>195</v>
      </c>
      <c r="D197" s="47">
        <v>1</v>
      </c>
      <c r="E197" s="47" t="s">
        <v>3</v>
      </c>
      <c r="F197" s="49"/>
      <c r="G197" s="50" t="e">
        <f>I197+K197+M197</f>
        <v>#REF!</v>
      </c>
      <c r="H197" s="49"/>
      <c r="I197" s="50" t="e">
        <f>TRUNC(I198+I199+I200,0)</f>
        <v>#REF!</v>
      </c>
      <c r="J197" s="49"/>
      <c r="K197" s="50" t="e">
        <f>TRUNC(K198+K199+K200,0)</f>
        <v>#REF!</v>
      </c>
      <c r="L197" s="49"/>
      <c r="M197" s="50" t="e">
        <f>TRUNC(M198+M199+M200,0)</f>
        <v>#REF!</v>
      </c>
      <c r="N197" s="63" t="s">
        <v>307</v>
      </c>
    </row>
    <row r="198" spans="1:14" ht="15" customHeight="1">
      <c r="A198" s="13"/>
      <c r="B198" s="14" t="s">
        <v>261</v>
      </c>
      <c r="C198" s="1" t="s">
        <v>32</v>
      </c>
      <c r="D198" s="3">
        <v>2.0299999999999998</v>
      </c>
      <c r="E198" s="1" t="s">
        <v>24</v>
      </c>
      <c r="F198" s="4">
        <f>H198+J198+L198</f>
        <v>262580</v>
      </c>
      <c r="G198" s="8">
        <f>I198+K198+M198</f>
        <v>533037.4</v>
      </c>
      <c r="H198" s="4">
        <v>0</v>
      </c>
      <c r="I198" s="8"/>
      <c r="J198" s="4">
        <f>노임!$D$10</f>
        <v>262580</v>
      </c>
      <c r="K198" s="8">
        <f>TRUNC(J198*D198,1)</f>
        <v>533037.4</v>
      </c>
      <c r="L198" s="4">
        <v>0</v>
      </c>
      <c r="M198" s="8"/>
      <c r="N198" s="12" t="s">
        <v>0</v>
      </c>
    </row>
    <row r="199" spans="1:14" ht="15" customHeight="1">
      <c r="A199" s="13"/>
      <c r="B199" s="14" t="s">
        <v>262</v>
      </c>
      <c r="C199" s="1" t="s">
        <v>0</v>
      </c>
      <c r="D199" s="3">
        <v>1.62</v>
      </c>
      <c r="E199" s="1" t="s">
        <v>24</v>
      </c>
      <c r="F199" s="4">
        <f>H199+J199+L199</f>
        <v>172068</v>
      </c>
      <c r="G199" s="8">
        <f>I199+K199+M199</f>
        <v>278750.09999999998</v>
      </c>
      <c r="H199" s="4">
        <v>0</v>
      </c>
      <c r="I199" s="8"/>
      <c r="J199" s="4">
        <f>노임!$D$3</f>
        <v>172068</v>
      </c>
      <c r="K199" s="8">
        <f>TRUNC(J199*D199,1)</f>
        <v>278750.09999999998</v>
      </c>
      <c r="L199" s="4">
        <v>0</v>
      </c>
      <c r="M199" s="8"/>
      <c r="N199" s="12" t="s">
        <v>0</v>
      </c>
    </row>
    <row r="200" spans="1:14" ht="15" customHeight="1">
      <c r="A200" s="13"/>
      <c r="B200" s="14" t="s">
        <v>263</v>
      </c>
      <c r="C200" s="1" t="s">
        <v>247</v>
      </c>
      <c r="D200" s="3">
        <v>2.98</v>
      </c>
      <c r="E200" s="1" t="s">
        <v>7</v>
      </c>
      <c r="F200" s="4" t="e">
        <f>H200+J200+L200</f>
        <v>#REF!</v>
      </c>
      <c r="G200" s="8" t="e">
        <f>I200+K200+M200</f>
        <v>#REF!</v>
      </c>
      <c r="H200" s="4" t="e">
        <f>#REF!</f>
        <v>#REF!</v>
      </c>
      <c r="I200" s="8" t="e">
        <f>TRUNC(H200*D200,1)</f>
        <v>#REF!</v>
      </c>
      <c r="J200" s="4" t="e">
        <f>#REF!</f>
        <v>#REF!</v>
      </c>
      <c r="K200" s="8" t="e">
        <f>TRUNC(J200*D200,1)</f>
        <v>#REF!</v>
      </c>
      <c r="L200" s="4" t="e">
        <f>#REF!</f>
        <v>#REF!</v>
      </c>
      <c r="M200" s="8" t="e">
        <f>TRUNC(L200*D200,1)</f>
        <v>#REF!</v>
      </c>
      <c r="N200" s="12" t="s">
        <v>0</v>
      </c>
    </row>
    <row r="201" spans="1:14" ht="15" customHeight="1">
      <c r="A201" s="13"/>
      <c r="B201" s="14" t="s">
        <v>297</v>
      </c>
      <c r="C201" s="1" t="s">
        <v>220</v>
      </c>
      <c r="D201" s="3">
        <v>2</v>
      </c>
      <c r="E201" s="1" t="s">
        <v>221</v>
      </c>
      <c r="F201" s="4">
        <f>H201+J201+L201</f>
        <v>0</v>
      </c>
      <c r="G201" s="8" t="e">
        <f>I201+K201+M201</f>
        <v>#REF!</v>
      </c>
      <c r="H201" s="4"/>
      <c r="I201" s="8"/>
      <c r="J201" s="4"/>
      <c r="K201" s="8"/>
      <c r="L201" s="4"/>
      <c r="M201" s="8" t="e">
        <f>TRUNC((K198+K199+K200)*D201%,1)</f>
        <v>#REF!</v>
      </c>
      <c r="N201" s="12"/>
    </row>
    <row r="202" spans="1:14" ht="15" customHeight="1">
      <c r="A202" s="16"/>
      <c r="B202" s="15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12"/>
    </row>
    <row r="203" spans="1:14" ht="15" customHeight="1">
      <c r="A203" s="64">
        <f>A197+1</f>
        <v>114</v>
      </c>
      <c r="B203" s="46" t="s">
        <v>311</v>
      </c>
      <c r="C203" s="47" t="s">
        <v>196</v>
      </c>
      <c r="D203" s="47">
        <v>1</v>
      </c>
      <c r="E203" s="47" t="s">
        <v>3</v>
      </c>
      <c r="F203" s="49"/>
      <c r="G203" s="50" t="e">
        <f>I203+K203+M203</f>
        <v>#REF!</v>
      </c>
      <c r="H203" s="49"/>
      <c r="I203" s="50" t="e">
        <f>TRUNC(I204+I205+I206,0)</f>
        <v>#REF!</v>
      </c>
      <c r="J203" s="49"/>
      <c r="K203" s="50" t="e">
        <f>TRUNC(K204+K205+K206,0)</f>
        <v>#REF!</v>
      </c>
      <c r="L203" s="49"/>
      <c r="M203" s="50" t="e">
        <f>TRUNC(M204+M205+M206,0)</f>
        <v>#REF!</v>
      </c>
      <c r="N203" s="63" t="s">
        <v>307</v>
      </c>
    </row>
    <row r="204" spans="1:14" ht="15" customHeight="1">
      <c r="A204" s="13"/>
      <c r="B204" s="14" t="s">
        <v>261</v>
      </c>
      <c r="C204" s="1" t="s">
        <v>32</v>
      </c>
      <c r="D204" s="3">
        <v>2.14</v>
      </c>
      <c r="E204" s="1" t="s">
        <v>24</v>
      </c>
      <c r="F204" s="4">
        <f>H204+J204+L204</f>
        <v>262580</v>
      </c>
      <c r="G204" s="8">
        <f>I204+K204+M204</f>
        <v>561921.19999999995</v>
      </c>
      <c r="H204" s="4">
        <v>0</v>
      </c>
      <c r="I204" s="8"/>
      <c r="J204" s="4">
        <f>노임!$D$10</f>
        <v>262580</v>
      </c>
      <c r="K204" s="8">
        <f>TRUNC(J204*D204,1)</f>
        <v>561921.19999999995</v>
      </c>
      <c r="L204" s="4">
        <v>0</v>
      </c>
      <c r="M204" s="8"/>
      <c r="N204" s="12" t="s">
        <v>0</v>
      </c>
    </row>
    <row r="205" spans="1:14" ht="15" customHeight="1">
      <c r="A205" s="13"/>
      <c r="B205" s="14" t="s">
        <v>262</v>
      </c>
      <c r="C205" s="1" t="s">
        <v>0</v>
      </c>
      <c r="D205" s="3">
        <v>1.71</v>
      </c>
      <c r="E205" s="1" t="s">
        <v>24</v>
      </c>
      <c r="F205" s="4">
        <f>H205+J205+L205</f>
        <v>172068</v>
      </c>
      <c r="G205" s="8">
        <f>I205+K205+M205</f>
        <v>294236.2</v>
      </c>
      <c r="H205" s="4">
        <v>0</v>
      </c>
      <c r="I205" s="8"/>
      <c r="J205" s="4">
        <f>노임!$D$3</f>
        <v>172068</v>
      </c>
      <c r="K205" s="8">
        <f>TRUNC(J205*D205,1)</f>
        <v>294236.2</v>
      </c>
      <c r="L205" s="4">
        <v>0</v>
      </c>
      <c r="M205" s="8"/>
      <c r="N205" s="12" t="s">
        <v>0</v>
      </c>
    </row>
    <row r="206" spans="1:14" ht="15" customHeight="1">
      <c r="A206" s="13"/>
      <c r="B206" s="14" t="s">
        <v>263</v>
      </c>
      <c r="C206" s="1" t="s">
        <v>247</v>
      </c>
      <c r="D206" s="3">
        <v>3.48</v>
      </c>
      <c r="E206" s="1" t="s">
        <v>7</v>
      </c>
      <c r="F206" s="4" t="e">
        <f>H206+J206+L206</f>
        <v>#REF!</v>
      </c>
      <c r="G206" s="8" t="e">
        <f>I206+K206+M206</f>
        <v>#REF!</v>
      </c>
      <c r="H206" s="4" t="e">
        <f>#REF!</f>
        <v>#REF!</v>
      </c>
      <c r="I206" s="8" t="e">
        <f>TRUNC(H206*D206,1)</f>
        <v>#REF!</v>
      </c>
      <c r="J206" s="4" t="e">
        <f>#REF!</f>
        <v>#REF!</v>
      </c>
      <c r="K206" s="8" t="e">
        <f>TRUNC(J206*D206,1)</f>
        <v>#REF!</v>
      </c>
      <c r="L206" s="4" t="e">
        <f>#REF!</f>
        <v>#REF!</v>
      </c>
      <c r="M206" s="8" t="e">
        <f>TRUNC(L206*D206,1)</f>
        <v>#REF!</v>
      </c>
      <c r="N206" s="12" t="s">
        <v>0</v>
      </c>
    </row>
    <row r="207" spans="1:14" ht="15" customHeight="1">
      <c r="A207" s="13"/>
      <c r="B207" s="14" t="s">
        <v>297</v>
      </c>
      <c r="C207" s="1" t="s">
        <v>220</v>
      </c>
      <c r="D207" s="3">
        <v>2</v>
      </c>
      <c r="E207" s="1" t="s">
        <v>221</v>
      </c>
      <c r="F207" s="4">
        <f>H207+J207+L207</f>
        <v>0</v>
      </c>
      <c r="G207" s="8" t="e">
        <f>I207+K207+M207</f>
        <v>#REF!</v>
      </c>
      <c r="H207" s="4"/>
      <c r="I207" s="8"/>
      <c r="J207" s="4"/>
      <c r="K207" s="8"/>
      <c r="L207" s="4"/>
      <c r="M207" s="8" t="e">
        <f>TRUNC((K204+K205+K206)*D207%,1)</f>
        <v>#REF!</v>
      </c>
      <c r="N207" s="12"/>
    </row>
    <row r="208" spans="1:14" ht="15" customHeight="1">
      <c r="A208" s="16"/>
      <c r="B208" s="15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12"/>
    </row>
    <row r="209" spans="1:14" ht="15" customHeight="1">
      <c r="A209" s="64">
        <f>A203+1</f>
        <v>115</v>
      </c>
      <c r="B209" s="46" t="s">
        <v>309</v>
      </c>
      <c r="C209" s="47" t="s">
        <v>312</v>
      </c>
      <c r="D209" s="47">
        <v>1</v>
      </c>
      <c r="E209" s="47" t="s">
        <v>3</v>
      </c>
      <c r="F209" s="49"/>
      <c r="G209" s="50" t="e">
        <f>I209+K209+M209</f>
        <v>#REF!</v>
      </c>
      <c r="H209" s="49"/>
      <c r="I209" s="50" t="e">
        <f>TRUNC(I210+I211+I212,0)</f>
        <v>#REF!</v>
      </c>
      <c r="J209" s="49"/>
      <c r="K209" s="50" t="e">
        <f>TRUNC(K210+K211+K212,0)</f>
        <v>#REF!</v>
      </c>
      <c r="L209" s="49"/>
      <c r="M209" s="50" t="e">
        <f>TRUNC(M210+M211+M212,0)</f>
        <v>#REF!</v>
      </c>
      <c r="N209" s="63" t="s">
        <v>308</v>
      </c>
    </row>
    <row r="210" spans="1:14" ht="15" customHeight="1">
      <c r="A210" s="13"/>
      <c r="B210" s="14" t="s">
        <v>261</v>
      </c>
      <c r="C210" s="1" t="s">
        <v>32</v>
      </c>
      <c r="D210" s="3">
        <v>0.19</v>
      </c>
      <c r="E210" s="1" t="s">
        <v>24</v>
      </c>
      <c r="F210" s="4">
        <f>H210+J210+L210</f>
        <v>262580</v>
      </c>
      <c r="G210" s="8">
        <f>I210+K210+M210</f>
        <v>49890.2</v>
      </c>
      <c r="H210" s="4">
        <v>0</v>
      </c>
      <c r="I210" s="8"/>
      <c r="J210" s="4">
        <f>노임!$D$10</f>
        <v>262580</v>
      </c>
      <c r="K210" s="8">
        <f>TRUNC(J210*D210,1)</f>
        <v>49890.2</v>
      </c>
      <c r="L210" s="4">
        <v>0</v>
      </c>
      <c r="M210" s="8"/>
      <c r="N210" s="12" t="s">
        <v>0</v>
      </c>
    </row>
    <row r="211" spans="1:14" ht="15" customHeight="1">
      <c r="A211" s="13"/>
      <c r="B211" s="14" t="s">
        <v>262</v>
      </c>
      <c r="C211" s="1" t="s">
        <v>0</v>
      </c>
      <c r="D211" s="3">
        <v>0.1</v>
      </c>
      <c r="E211" s="1" t="s">
        <v>24</v>
      </c>
      <c r="F211" s="4">
        <f>H211+J211+L211</f>
        <v>172068</v>
      </c>
      <c r="G211" s="8">
        <f>I211+K211+M211</f>
        <v>17206.8</v>
      </c>
      <c r="H211" s="4">
        <v>0</v>
      </c>
      <c r="I211" s="8"/>
      <c r="J211" s="4">
        <f>노임!$D$3</f>
        <v>172068</v>
      </c>
      <c r="K211" s="8">
        <f>TRUNC(J211*D211,1)</f>
        <v>17206.8</v>
      </c>
      <c r="L211" s="4">
        <v>0</v>
      </c>
      <c r="M211" s="8"/>
      <c r="N211" s="12" t="s">
        <v>0</v>
      </c>
    </row>
    <row r="212" spans="1:14" ht="15" customHeight="1">
      <c r="A212" s="13"/>
      <c r="B212" s="14" t="s">
        <v>263</v>
      </c>
      <c r="C212" s="1" t="s">
        <v>239</v>
      </c>
      <c r="D212" s="3">
        <v>0.86</v>
      </c>
      <c r="E212" s="1" t="s">
        <v>7</v>
      </c>
      <c r="F212" s="4" t="e">
        <f>H212+J212+L212</f>
        <v>#REF!</v>
      </c>
      <c r="G212" s="8" t="e">
        <f>I212+K212+M212</f>
        <v>#REF!</v>
      </c>
      <c r="H212" s="4" t="e">
        <f>#REF!</f>
        <v>#REF!</v>
      </c>
      <c r="I212" s="8" t="e">
        <f>TRUNC(H212*D212,1)</f>
        <v>#REF!</v>
      </c>
      <c r="J212" s="4" t="e">
        <f>#REF!</f>
        <v>#REF!</v>
      </c>
      <c r="K212" s="8" t="e">
        <f>TRUNC(J212*D212,1)</f>
        <v>#REF!</v>
      </c>
      <c r="L212" s="4" t="e">
        <f>#REF!</f>
        <v>#REF!</v>
      </c>
      <c r="M212" s="8" t="e">
        <f>TRUNC(L212*D212,1)</f>
        <v>#REF!</v>
      </c>
      <c r="N212" s="12" t="s">
        <v>0</v>
      </c>
    </row>
    <row r="213" spans="1:14" ht="15" customHeight="1">
      <c r="A213" s="13"/>
      <c r="B213" s="14" t="s">
        <v>297</v>
      </c>
      <c r="C213" s="1" t="s">
        <v>220</v>
      </c>
      <c r="D213" s="3"/>
      <c r="E213" s="1" t="s">
        <v>221</v>
      </c>
      <c r="F213" s="4">
        <f>H213+J213+L213</f>
        <v>0</v>
      </c>
      <c r="G213" s="8" t="e">
        <f>I213+K213+M213</f>
        <v>#REF!</v>
      </c>
      <c r="H213" s="4"/>
      <c r="I213" s="8"/>
      <c r="J213" s="4"/>
      <c r="K213" s="8"/>
      <c r="L213" s="4"/>
      <c r="M213" s="8" t="e">
        <f>TRUNC((K210+K211+K212)*D213%,1)</f>
        <v>#REF!</v>
      </c>
      <c r="N213" s="12"/>
    </row>
    <row r="214" spans="1:14" ht="15" customHeight="1">
      <c r="A214" s="16"/>
      <c r="B214" s="15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12"/>
    </row>
    <row r="215" spans="1:14" ht="15" customHeight="1">
      <c r="A215" s="64">
        <f>A209+1</f>
        <v>116</v>
      </c>
      <c r="B215" s="46" t="s">
        <v>309</v>
      </c>
      <c r="C215" s="47" t="s">
        <v>313</v>
      </c>
      <c r="D215" s="47">
        <v>1</v>
      </c>
      <c r="E215" s="47" t="s">
        <v>3</v>
      </c>
      <c r="F215" s="49"/>
      <c r="G215" s="50" t="e">
        <f>I215+K215+M215</f>
        <v>#REF!</v>
      </c>
      <c r="H215" s="49"/>
      <c r="I215" s="50" t="e">
        <f>TRUNC(I216+I217+I218,0)</f>
        <v>#REF!</v>
      </c>
      <c r="J215" s="49"/>
      <c r="K215" s="50" t="e">
        <f>TRUNC(K216+K217+K218,0)</f>
        <v>#REF!</v>
      </c>
      <c r="L215" s="49"/>
      <c r="M215" s="50" t="e">
        <f>TRUNC(M216+M217+M218,0)</f>
        <v>#REF!</v>
      </c>
      <c r="N215" s="63" t="s">
        <v>308</v>
      </c>
    </row>
    <row r="216" spans="1:14" ht="15" customHeight="1">
      <c r="A216" s="13"/>
      <c r="B216" s="14" t="s">
        <v>261</v>
      </c>
      <c r="C216" s="1" t="s">
        <v>32</v>
      </c>
      <c r="D216" s="3">
        <v>0.21</v>
      </c>
      <c r="E216" s="1" t="s">
        <v>24</v>
      </c>
      <c r="F216" s="4">
        <f>H216+J216+L216</f>
        <v>262580</v>
      </c>
      <c r="G216" s="8">
        <f>I216+K216+M216</f>
        <v>55141.8</v>
      </c>
      <c r="H216" s="4">
        <v>0</v>
      </c>
      <c r="I216" s="8"/>
      <c r="J216" s="4">
        <f>노임!$D$10</f>
        <v>262580</v>
      </c>
      <c r="K216" s="8">
        <f>TRUNC(J216*D216,1)</f>
        <v>55141.8</v>
      </c>
      <c r="L216" s="4">
        <v>0</v>
      </c>
      <c r="M216" s="8"/>
      <c r="N216" s="12" t="s">
        <v>0</v>
      </c>
    </row>
    <row r="217" spans="1:14" ht="15" customHeight="1">
      <c r="A217" s="13"/>
      <c r="B217" s="14" t="s">
        <v>262</v>
      </c>
      <c r="C217" s="1" t="s">
        <v>0</v>
      </c>
      <c r="D217" s="3">
        <v>0.11</v>
      </c>
      <c r="E217" s="1" t="s">
        <v>24</v>
      </c>
      <c r="F217" s="4">
        <f>H217+J217+L217</f>
        <v>172068</v>
      </c>
      <c r="G217" s="8">
        <f>I217+K217+M217</f>
        <v>18927.400000000001</v>
      </c>
      <c r="H217" s="4">
        <v>0</v>
      </c>
      <c r="I217" s="8"/>
      <c r="J217" s="4">
        <f>노임!$D$3</f>
        <v>172068</v>
      </c>
      <c r="K217" s="8">
        <f>TRUNC(J217*D217,1)</f>
        <v>18927.400000000001</v>
      </c>
      <c r="L217" s="4">
        <v>0</v>
      </c>
      <c r="M217" s="8"/>
      <c r="N217" s="12" t="s">
        <v>0</v>
      </c>
    </row>
    <row r="218" spans="1:14" ht="15" customHeight="1">
      <c r="A218" s="13"/>
      <c r="B218" s="14" t="s">
        <v>263</v>
      </c>
      <c r="C218" s="1" t="s">
        <v>239</v>
      </c>
      <c r="D218" s="3">
        <v>0.9</v>
      </c>
      <c r="E218" s="1" t="s">
        <v>7</v>
      </c>
      <c r="F218" s="4" t="e">
        <f>H218+J218+L218</f>
        <v>#REF!</v>
      </c>
      <c r="G218" s="8" t="e">
        <f>I218+K218+M218</f>
        <v>#REF!</v>
      </c>
      <c r="H218" s="4" t="e">
        <f>#REF!</f>
        <v>#REF!</v>
      </c>
      <c r="I218" s="8" t="e">
        <f>TRUNC(H218*D218,1)</f>
        <v>#REF!</v>
      </c>
      <c r="J218" s="4" t="e">
        <f>#REF!</f>
        <v>#REF!</v>
      </c>
      <c r="K218" s="8" t="e">
        <f>TRUNC(J218*D218,1)</f>
        <v>#REF!</v>
      </c>
      <c r="L218" s="4" t="e">
        <f>#REF!</f>
        <v>#REF!</v>
      </c>
      <c r="M218" s="8" t="e">
        <f>TRUNC(L218*D218,1)</f>
        <v>#REF!</v>
      </c>
      <c r="N218" s="12" t="s">
        <v>0</v>
      </c>
    </row>
    <row r="219" spans="1:14" ht="15" customHeight="1">
      <c r="A219" s="13"/>
      <c r="B219" s="14" t="s">
        <v>297</v>
      </c>
      <c r="C219" s="1" t="s">
        <v>220</v>
      </c>
      <c r="D219" s="3"/>
      <c r="E219" s="1" t="s">
        <v>221</v>
      </c>
      <c r="F219" s="4">
        <f>H219+J219+L219</f>
        <v>0</v>
      </c>
      <c r="G219" s="8" t="e">
        <f>I219+K219+M219</f>
        <v>#REF!</v>
      </c>
      <c r="H219" s="4"/>
      <c r="I219" s="8"/>
      <c r="J219" s="4"/>
      <c r="K219" s="8"/>
      <c r="L219" s="4"/>
      <c r="M219" s="8" t="e">
        <f>TRUNC((K216+K217+K218)*D219%,1)</f>
        <v>#REF!</v>
      </c>
      <c r="N219" s="12"/>
    </row>
    <row r="220" spans="1:14" ht="15" customHeight="1">
      <c r="A220" s="16"/>
      <c r="B220" s="15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12"/>
    </row>
    <row r="221" spans="1:14" ht="15" customHeight="1">
      <c r="A221" s="64">
        <f>A215+1</f>
        <v>117</v>
      </c>
      <c r="B221" s="46" t="s">
        <v>309</v>
      </c>
      <c r="C221" s="47" t="s">
        <v>314</v>
      </c>
      <c r="D221" s="47">
        <v>1</v>
      </c>
      <c r="E221" s="47" t="s">
        <v>3</v>
      </c>
      <c r="F221" s="49"/>
      <c r="G221" s="50" t="e">
        <f>I221+K221+M221</f>
        <v>#REF!</v>
      </c>
      <c r="H221" s="49"/>
      <c r="I221" s="50" t="e">
        <f>TRUNC(I222+I223+I224,0)</f>
        <v>#REF!</v>
      </c>
      <c r="J221" s="49"/>
      <c r="K221" s="50" t="e">
        <f>TRUNC(K222+K223+K224,0)</f>
        <v>#REF!</v>
      </c>
      <c r="L221" s="49"/>
      <c r="M221" s="50" t="e">
        <f>TRUNC(M222+M223+M224,0)</f>
        <v>#REF!</v>
      </c>
      <c r="N221" s="63" t="s">
        <v>308</v>
      </c>
    </row>
    <row r="222" spans="1:14" ht="15" customHeight="1">
      <c r="A222" s="13"/>
      <c r="B222" s="14" t="s">
        <v>261</v>
      </c>
      <c r="C222" s="1" t="s">
        <v>32</v>
      </c>
      <c r="D222" s="3">
        <v>0.23</v>
      </c>
      <c r="E222" s="1" t="s">
        <v>24</v>
      </c>
      <c r="F222" s="4">
        <f>H222+J222+L222</f>
        <v>262580</v>
      </c>
      <c r="G222" s="8">
        <f>I222+K222+M222</f>
        <v>60393.4</v>
      </c>
      <c r="H222" s="4">
        <v>0</v>
      </c>
      <c r="I222" s="8"/>
      <c r="J222" s="4">
        <f>노임!$D$10</f>
        <v>262580</v>
      </c>
      <c r="K222" s="8">
        <f>TRUNC(J222*D222,1)</f>
        <v>60393.4</v>
      </c>
      <c r="L222" s="4">
        <v>0</v>
      </c>
      <c r="M222" s="8"/>
      <c r="N222" s="12" t="s">
        <v>0</v>
      </c>
    </row>
    <row r="223" spans="1:14" ht="15" customHeight="1">
      <c r="A223" s="13"/>
      <c r="B223" s="14" t="s">
        <v>262</v>
      </c>
      <c r="C223" s="1" t="s">
        <v>0</v>
      </c>
      <c r="D223" s="3">
        <v>0.12</v>
      </c>
      <c r="E223" s="1" t="s">
        <v>24</v>
      </c>
      <c r="F223" s="4">
        <f>H223+J223+L223</f>
        <v>172068</v>
      </c>
      <c r="G223" s="8">
        <f>I223+K223+M223</f>
        <v>20648.099999999999</v>
      </c>
      <c r="H223" s="4">
        <v>0</v>
      </c>
      <c r="I223" s="8"/>
      <c r="J223" s="4">
        <f>노임!$D$3</f>
        <v>172068</v>
      </c>
      <c r="K223" s="8">
        <f>TRUNC(J223*D223,1)</f>
        <v>20648.099999999999</v>
      </c>
      <c r="L223" s="4">
        <v>0</v>
      </c>
      <c r="M223" s="8"/>
      <c r="N223" s="12" t="s">
        <v>0</v>
      </c>
    </row>
    <row r="224" spans="1:14" ht="15" customHeight="1">
      <c r="A224" s="13"/>
      <c r="B224" s="14" t="s">
        <v>263</v>
      </c>
      <c r="C224" s="1" t="s">
        <v>239</v>
      </c>
      <c r="D224" s="3">
        <v>0.93</v>
      </c>
      <c r="E224" s="1" t="s">
        <v>7</v>
      </c>
      <c r="F224" s="4" t="e">
        <f>H224+J224+L224</f>
        <v>#REF!</v>
      </c>
      <c r="G224" s="8" t="e">
        <f>I224+K224+M224</f>
        <v>#REF!</v>
      </c>
      <c r="H224" s="4" t="e">
        <f>#REF!</f>
        <v>#REF!</v>
      </c>
      <c r="I224" s="8" t="e">
        <f>TRUNC(H224*D224,1)</f>
        <v>#REF!</v>
      </c>
      <c r="J224" s="4" t="e">
        <f>#REF!</f>
        <v>#REF!</v>
      </c>
      <c r="K224" s="8" t="e">
        <f>TRUNC(J224*D224,1)</f>
        <v>#REF!</v>
      </c>
      <c r="L224" s="4" t="e">
        <f>#REF!</f>
        <v>#REF!</v>
      </c>
      <c r="M224" s="8" t="e">
        <f>TRUNC(L224*D224,1)</f>
        <v>#REF!</v>
      </c>
      <c r="N224" s="12" t="s">
        <v>0</v>
      </c>
    </row>
    <row r="225" spans="1:14" ht="15" customHeight="1">
      <c r="A225" s="13"/>
      <c r="B225" s="14" t="s">
        <v>297</v>
      </c>
      <c r="C225" s="1" t="s">
        <v>220</v>
      </c>
      <c r="D225" s="3"/>
      <c r="E225" s="1" t="s">
        <v>221</v>
      </c>
      <c r="F225" s="4">
        <f>H225+J225+L225</f>
        <v>0</v>
      </c>
      <c r="G225" s="8" t="e">
        <f>I225+K225+M225</f>
        <v>#REF!</v>
      </c>
      <c r="H225" s="4"/>
      <c r="I225" s="8"/>
      <c r="J225" s="4"/>
      <c r="K225" s="8"/>
      <c r="L225" s="4"/>
      <c r="M225" s="8" t="e">
        <f>TRUNC((K222+K223+K224)*D225%,1)</f>
        <v>#REF!</v>
      </c>
      <c r="N225" s="12"/>
    </row>
    <row r="226" spans="1:14" ht="15" customHeight="1">
      <c r="A226" s="16"/>
      <c r="B226" s="15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12"/>
    </row>
    <row r="227" spans="1:14" ht="15" customHeight="1">
      <c r="A227" s="64">
        <f>A221+1</f>
        <v>118</v>
      </c>
      <c r="B227" s="46" t="s">
        <v>309</v>
      </c>
      <c r="C227" s="47" t="s">
        <v>315</v>
      </c>
      <c r="D227" s="47">
        <v>1</v>
      </c>
      <c r="E227" s="47" t="s">
        <v>3</v>
      </c>
      <c r="F227" s="49"/>
      <c r="G227" s="50" t="e">
        <f>I227+K227+M227</f>
        <v>#REF!</v>
      </c>
      <c r="H227" s="49"/>
      <c r="I227" s="50" t="e">
        <f>TRUNC(I228+I229+I230,0)</f>
        <v>#REF!</v>
      </c>
      <c r="J227" s="49"/>
      <c r="K227" s="50" t="e">
        <f>TRUNC(K228+K229+K230,0)</f>
        <v>#REF!</v>
      </c>
      <c r="L227" s="49"/>
      <c r="M227" s="50" t="e">
        <f>TRUNC(M228+M229+M230,0)</f>
        <v>#REF!</v>
      </c>
      <c r="N227" s="63" t="s">
        <v>308</v>
      </c>
    </row>
    <row r="228" spans="1:14" ht="15" customHeight="1">
      <c r="A228" s="13"/>
      <c r="B228" s="14" t="s">
        <v>261</v>
      </c>
      <c r="C228" s="1" t="s">
        <v>32</v>
      </c>
      <c r="D228" s="3">
        <v>0.39</v>
      </c>
      <c r="E228" s="1" t="s">
        <v>24</v>
      </c>
      <c r="F228" s="4">
        <f>H228+J228+L228</f>
        <v>262580</v>
      </c>
      <c r="G228" s="8">
        <f>I228+K228+M228</f>
        <v>102406.2</v>
      </c>
      <c r="H228" s="4">
        <v>0</v>
      </c>
      <c r="I228" s="8"/>
      <c r="J228" s="4">
        <f>노임!$D$10</f>
        <v>262580</v>
      </c>
      <c r="K228" s="8">
        <f>TRUNC(J228*D228,1)</f>
        <v>102406.2</v>
      </c>
      <c r="L228" s="4">
        <v>0</v>
      </c>
      <c r="M228" s="8"/>
      <c r="N228" s="12" t="s">
        <v>0</v>
      </c>
    </row>
    <row r="229" spans="1:14" ht="15" customHeight="1">
      <c r="A229" s="13"/>
      <c r="B229" s="14" t="s">
        <v>262</v>
      </c>
      <c r="C229" s="1" t="s">
        <v>0</v>
      </c>
      <c r="D229" s="3">
        <v>0.2</v>
      </c>
      <c r="E229" s="1" t="s">
        <v>24</v>
      </c>
      <c r="F229" s="4">
        <f>H229+J229+L229</f>
        <v>172068</v>
      </c>
      <c r="G229" s="8">
        <f>I229+K229+M229</f>
        <v>34413.599999999999</v>
      </c>
      <c r="H229" s="4">
        <v>0</v>
      </c>
      <c r="I229" s="8"/>
      <c r="J229" s="4">
        <f>노임!$D$3</f>
        <v>172068</v>
      </c>
      <c r="K229" s="8">
        <f>TRUNC(J229*D229,1)</f>
        <v>34413.599999999999</v>
      </c>
      <c r="L229" s="4">
        <v>0</v>
      </c>
      <c r="M229" s="8"/>
      <c r="N229" s="12" t="s">
        <v>0</v>
      </c>
    </row>
    <row r="230" spans="1:14" ht="15" customHeight="1">
      <c r="A230" s="13"/>
      <c r="B230" s="14" t="s">
        <v>263</v>
      </c>
      <c r="C230" s="1" t="s">
        <v>239</v>
      </c>
      <c r="D230" s="3">
        <v>0.97</v>
      </c>
      <c r="E230" s="1" t="s">
        <v>7</v>
      </c>
      <c r="F230" s="4" t="e">
        <f>H230+J230+L230</f>
        <v>#REF!</v>
      </c>
      <c r="G230" s="8" t="e">
        <f>I230+K230+M230</f>
        <v>#REF!</v>
      </c>
      <c r="H230" s="4" t="e">
        <f>#REF!</f>
        <v>#REF!</v>
      </c>
      <c r="I230" s="8" t="e">
        <f>TRUNC(H230*D230,1)</f>
        <v>#REF!</v>
      </c>
      <c r="J230" s="4" t="e">
        <f>#REF!</f>
        <v>#REF!</v>
      </c>
      <c r="K230" s="8" t="e">
        <f>TRUNC(J230*D230,1)</f>
        <v>#REF!</v>
      </c>
      <c r="L230" s="4" t="e">
        <f>#REF!</f>
        <v>#REF!</v>
      </c>
      <c r="M230" s="8" t="e">
        <f>TRUNC(L230*D230,1)</f>
        <v>#REF!</v>
      </c>
      <c r="N230" s="12" t="s">
        <v>0</v>
      </c>
    </row>
    <row r="231" spans="1:14" ht="15" customHeight="1">
      <c r="A231" s="13"/>
      <c r="B231" s="14" t="s">
        <v>297</v>
      </c>
      <c r="C231" s="1" t="s">
        <v>220</v>
      </c>
      <c r="D231" s="3"/>
      <c r="E231" s="1" t="s">
        <v>221</v>
      </c>
      <c r="F231" s="4">
        <f>H231+J231+L231</f>
        <v>0</v>
      </c>
      <c r="G231" s="8" t="e">
        <f>I231+K231+M231</f>
        <v>#REF!</v>
      </c>
      <c r="H231" s="4"/>
      <c r="I231" s="8"/>
      <c r="J231" s="4"/>
      <c r="K231" s="8"/>
      <c r="L231" s="4"/>
      <c r="M231" s="8" t="e">
        <f>TRUNC((K228+K229+K230)*D231%,1)</f>
        <v>#REF!</v>
      </c>
      <c r="N231" s="12"/>
    </row>
    <row r="232" spans="1:14" ht="15" customHeight="1">
      <c r="A232" s="16"/>
      <c r="B232" s="15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12"/>
    </row>
    <row r="233" spans="1:14" ht="15" customHeight="1">
      <c r="A233" s="64">
        <f>A227+1</f>
        <v>119</v>
      </c>
      <c r="B233" s="46" t="s">
        <v>309</v>
      </c>
      <c r="C233" s="47" t="s">
        <v>316</v>
      </c>
      <c r="D233" s="47">
        <v>1</v>
      </c>
      <c r="E233" s="47" t="s">
        <v>3</v>
      </c>
      <c r="F233" s="49"/>
      <c r="G233" s="50" t="e">
        <f>I233+K233+M233</f>
        <v>#REF!</v>
      </c>
      <c r="H233" s="49"/>
      <c r="I233" s="50" t="e">
        <f>TRUNC(I234+I235+I236,0)</f>
        <v>#REF!</v>
      </c>
      <c r="J233" s="49"/>
      <c r="K233" s="50" t="e">
        <f>TRUNC(K234+K235+K236,0)</f>
        <v>#REF!</v>
      </c>
      <c r="L233" s="49"/>
      <c r="M233" s="50" t="e">
        <f>TRUNC(M234+M235+M236,0)</f>
        <v>#REF!</v>
      </c>
      <c r="N233" s="63" t="s">
        <v>308</v>
      </c>
    </row>
    <row r="234" spans="1:14" ht="15" customHeight="1">
      <c r="A234" s="13"/>
      <c r="B234" s="14" t="s">
        <v>261</v>
      </c>
      <c r="C234" s="1" t="s">
        <v>32</v>
      </c>
      <c r="D234" s="3">
        <v>0.52</v>
      </c>
      <c r="E234" s="1" t="s">
        <v>24</v>
      </c>
      <c r="F234" s="4">
        <f>H234+J234+L234</f>
        <v>262580</v>
      </c>
      <c r="G234" s="8">
        <f>I234+K234+M234</f>
        <v>136541.6</v>
      </c>
      <c r="H234" s="4">
        <v>0</v>
      </c>
      <c r="I234" s="8"/>
      <c r="J234" s="4">
        <f>노임!$D$10</f>
        <v>262580</v>
      </c>
      <c r="K234" s="8">
        <f>TRUNC(J234*D234,1)</f>
        <v>136541.6</v>
      </c>
      <c r="L234" s="4">
        <v>0</v>
      </c>
      <c r="M234" s="8"/>
      <c r="N234" s="12" t="s">
        <v>0</v>
      </c>
    </row>
    <row r="235" spans="1:14" ht="15" customHeight="1">
      <c r="A235" s="13"/>
      <c r="B235" s="14" t="s">
        <v>262</v>
      </c>
      <c r="C235" s="1" t="s">
        <v>0</v>
      </c>
      <c r="D235" s="3">
        <v>0.27</v>
      </c>
      <c r="E235" s="1" t="s">
        <v>24</v>
      </c>
      <c r="F235" s="4">
        <f>H235+J235+L235</f>
        <v>172068</v>
      </c>
      <c r="G235" s="8">
        <f>I235+K235+M235</f>
        <v>46458.3</v>
      </c>
      <c r="H235" s="4">
        <v>0</v>
      </c>
      <c r="I235" s="8"/>
      <c r="J235" s="4">
        <f>노임!$D$3</f>
        <v>172068</v>
      </c>
      <c r="K235" s="8">
        <f>TRUNC(J235*D235,1)</f>
        <v>46458.3</v>
      </c>
      <c r="L235" s="4">
        <v>0</v>
      </c>
      <c r="M235" s="8"/>
      <c r="N235" s="12" t="s">
        <v>0</v>
      </c>
    </row>
    <row r="236" spans="1:14" ht="15" customHeight="1">
      <c r="A236" s="13"/>
      <c r="B236" s="14" t="s">
        <v>263</v>
      </c>
      <c r="C236" s="1" t="s">
        <v>239</v>
      </c>
      <c r="D236" s="3">
        <v>1.01</v>
      </c>
      <c r="E236" s="1" t="s">
        <v>7</v>
      </c>
      <c r="F236" s="4" t="e">
        <f>H236+J236+L236</f>
        <v>#REF!</v>
      </c>
      <c r="G236" s="8" t="e">
        <f>I236+K236+M236</f>
        <v>#REF!</v>
      </c>
      <c r="H236" s="4" t="e">
        <f>#REF!</f>
        <v>#REF!</v>
      </c>
      <c r="I236" s="8" t="e">
        <f>TRUNC(H236*D236,1)</f>
        <v>#REF!</v>
      </c>
      <c r="J236" s="4" t="e">
        <f>#REF!</f>
        <v>#REF!</v>
      </c>
      <c r="K236" s="8" t="e">
        <f>TRUNC(J236*D236,1)</f>
        <v>#REF!</v>
      </c>
      <c r="L236" s="4" t="e">
        <f>#REF!</f>
        <v>#REF!</v>
      </c>
      <c r="M236" s="8" t="e">
        <f>TRUNC(L236*D236,1)</f>
        <v>#REF!</v>
      </c>
      <c r="N236" s="12" t="s">
        <v>0</v>
      </c>
    </row>
    <row r="237" spans="1:14" ht="15" customHeight="1">
      <c r="A237" s="13"/>
      <c r="B237" s="14" t="s">
        <v>297</v>
      </c>
      <c r="C237" s="1" t="s">
        <v>220</v>
      </c>
      <c r="D237" s="3"/>
      <c r="E237" s="1" t="s">
        <v>221</v>
      </c>
      <c r="F237" s="4">
        <f>H237+J237+L237</f>
        <v>0</v>
      </c>
      <c r="G237" s="8" t="e">
        <f>I237+K237+M237</f>
        <v>#REF!</v>
      </c>
      <c r="H237" s="4"/>
      <c r="I237" s="8"/>
      <c r="J237" s="4"/>
      <c r="K237" s="8"/>
      <c r="L237" s="4"/>
      <c r="M237" s="8" t="e">
        <f>TRUNC((K234+K235+K236)*D237%,1)</f>
        <v>#REF!</v>
      </c>
      <c r="N237" s="12"/>
    </row>
    <row r="238" spans="1:14" ht="15" customHeight="1">
      <c r="A238" s="16"/>
      <c r="B238" s="15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12"/>
    </row>
    <row r="239" spans="1:14" ht="15" customHeight="1">
      <c r="A239" s="64">
        <f>A233+1</f>
        <v>120</v>
      </c>
      <c r="B239" s="46" t="s">
        <v>309</v>
      </c>
      <c r="C239" s="47" t="s">
        <v>317</v>
      </c>
      <c r="D239" s="47">
        <v>1</v>
      </c>
      <c r="E239" s="47" t="s">
        <v>3</v>
      </c>
      <c r="F239" s="49"/>
      <c r="G239" s="50" t="e">
        <f>I239+K239+M239</f>
        <v>#REF!</v>
      </c>
      <c r="H239" s="49"/>
      <c r="I239" s="50" t="e">
        <f>TRUNC(I240+I241+I242,0)</f>
        <v>#REF!</v>
      </c>
      <c r="J239" s="49"/>
      <c r="K239" s="50" t="e">
        <f>TRUNC(K240+K241+K242,0)</f>
        <v>#REF!</v>
      </c>
      <c r="L239" s="49"/>
      <c r="M239" s="50" t="e">
        <f>TRUNC(M240+M241+M242,0)</f>
        <v>#REF!</v>
      </c>
      <c r="N239" s="63" t="s">
        <v>308</v>
      </c>
    </row>
    <row r="240" spans="1:14" ht="15" customHeight="1">
      <c r="A240" s="13"/>
      <c r="B240" s="14" t="s">
        <v>261</v>
      </c>
      <c r="C240" s="1" t="s">
        <v>32</v>
      </c>
      <c r="D240" s="3">
        <v>0.64</v>
      </c>
      <c r="E240" s="1" t="s">
        <v>24</v>
      </c>
      <c r="F240" s="4">
        <f>H240+J240+L240</f>
        <v>262580</v>
      </c>
      <c r="G240" s="8">
        <f>I240+K240+M240</f>
        <v>168051.20000000001</v>
      </c>
      <c r="H240" s="4">
        <v>0</v>
      </c>
      <c r="I240" s="8"/>
      <c r="J240" s="4">
        <f>노임!$D$10</f>
        <v>262580</v>
      </c>
      <c r="K240" s="8">
        <f>TRUNC(J240*D240,1)</f>
        <v>168051.20000000001</v>
      </c>
      <c r="L240" s="4">
        <v>0</v>
      </c>
      <c r="M240" s="8"/>
      <c r="N240" s="12" t="s">
        <v>0</v>
      </c>
    </row>
    <row r="241" spans="1:14" ht="15" customHeight="1">
      <c r="A241" s="13"/>
      <c r="B241" s="14" t="s">
        <v>262</v>
      </c>
      <c r="C241" s="1" t="s">
        <v>0</v>
      </c>
      <c r="D241" s="3">
        <v>0.33</v>
      </c>
      <c r="E241" s="1" t="s">
        <v>24</v>
      </c>
      <c r="F241" s="4">
        <f>H241+J241+L241</f>
        <v>172068</v>
      </c>
      <c r="G241" s="8">
        <f>I241+K241+M241</f>
        <v>56782.400000000001</v>
      </c>
      <c r="H241" s="4">
        <v>0</v>
      </c>
      <c r="I241" s="8"/>
      <c r="J241" s="4">
        <f>노임!$D$3</f>
        <v>172068</v>
      </c>
      <c r="K241" s="8">
        <f>TRUNC(J241*D241,1)</f>
        <v>56782.400000000001</v>
      </c>
      <c r="L241" s="4">
        <v>0</v>
      </c>
      <c r="M241" s="8"/>
      <c r="N241" s="12" t="s">
        <v>0</v>
      </c>
    </row>
    <row r="242" spans="1:14" ht="15" customHeight="1">
      <c r="A242" s="13"/>
      <c r="B242" s="14" t="s">
        <v>263</v>
      </c>
      <c r="C242" s="1" t="s">
        <v>239</v>
      </c>
      <c r="D242" s="3">
        <v>1.05</v>
      </c>
      <c r="E242" s="1" t="s">
        <v>7</v>
      </c>
      <c r="F242" s="4" t="e">
        <f>H242+J242+L242</f>
        <v>#REF!</v>
      </c>
      <c r="G242" s="8" t="e">
        <f>I242+K242+M242</f>
        <v>#REF!</v>
      </c>
      <c r="H242" s="4" t="e">
        <f>#REF!</f>
        <v>#REF!</v>
      </c>
      <c r="I242" s="8" t="e">
        <f>TRUNC(H242*D242,1)</f>
        <v>#REF!</v>
      </c>
      <c r="J242" s="4" t="e">
        <f>#REF!</f>
        <v>#REF!</v>
      </c>
      <c r="K242" s="8" t="e">
        <f>TRUNC(J242*D242,1)</f>
        <v>#REF!</v>
      </c>
      <c r="L242" s="4" t="e">
        <f>#REF!</f>
        <v>#REF!</v>
      </c>
      <c r="M242" s="8" t="e">
        <f>TRUNC(L242*D242,1)</f>
        <v>#REF!</v>
      </c>
      <c r="N242" s="12" t="s">
        <v>0</v>
      </c>
    </row>
    <row r="243" spans="1:14" ht="15" customHeight="1">
      <c r="A243" s="13"/>
      <c r="B243" s="14" t="s">
        <v>297</v>
      </c>
      <c r="C243" s="1" t="s">
        <v>220</v>
      </c>
      <c r="D243" s="3"/>
      <c r="E243" s="1" t="s">
        <v>221</v>
      </c>
      <c r="F243" s="4">
        <f>H243+J243+L243</f>
        <v>0</v>
      </c>
      <c r="G243" s="8" t="e">
        <f>I243+K243+M243</f>
        <v>#REF!</v>
      </c>
      <c r="H243" s="4"/>
      <c r="I243" s="8"/>
      <c r="J243" s="4"/>
      <c r="K243" s="8"/>
      <c r="L243" s="4"/>
      <c r="M243" s="8" t="e">
        <f>TRUNC((K240+K241+K242)*D243%,1)</f>
        <v>#REF!</v>
      </c>
      <c r="N243" s="12"/>
    </row>
    <row r="244" spans="1:14" ht="15" customHeight="1">
      <c r="A244" s="16"/>
      <c r="B244" s="15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12"/>
    </row>
    <row r="245" spans="1:14" ht="15" customHeight="1">
      <c r="A245" s="64">
        <f>A239+1</f>
        <v>121</v>
      </c>
      <c r="B245" s="46" t="s">
        <v>309</v>
      </c>
      <c r="C245" s="47" t="s">
        <v>318</v>
      </c>
      <c r="D245" s="47">
        <v>1</v>
      </c>
      <c r="E245" s="47" t="s">
        <v>3</v>
      </c>
      <c r="F245" s="49"/>
      <c r="G245" s="50" t="e">
        <f>I245+K245+M245</f>
        <v>#REF!</v>
      </c>
      <c r="H245" s="49"/>
      <c r="I245" s="50" t="e">
        <f>TRUNC(I246+I247+I248,0)</f>
        <v>#REF!</v>
      </c>
      <c r="J245" s="49"/>
      <c r="K245" s="50" t="e">
        <f>TRUNC(K246+K247+K248,0)</f>
        <v>#REF!</v>
      </c>
      <c r="L245" s="49"/>
      <c r="M245" s="50" t="e">
        <f>TRUNC(M246+M247+M248,0)</f>
        <v>#REF!</v>
      </c>
      <c r="N245" s="63" t="s">
        <v>308</v>
      </c>
    </row>
    <row r="246" spans="1:14" ht="15" customHeight="1">
      <c r="A246" s="13"/>
      <c r="B246" s="14" t="s">
        <v>261</v>
      </c>
      <c r="C246" s="1" t="s">
        <v>32</v>
      </c>
      <c r="D246" s="3">
        <v>0.74</v>
      </c>
      <c r="E246" s="1" t="s">
        <v>24</v>
      </c>
      <c r="F246" s="4">
        <f>H246+J246+L246</f>
        <v>262580</v>
      </c>
      <c r="G246" s="8">
        <f>I246+K246+M246</f>
        <v>194309.2</v>
      </c>
      <c r="H246" s="4">
        <v>0</v>
      </c>
      <c r="I246" s="8"/>
      <c r="J246" s="4">
        <f>노임!$D$10</f>
        <v>262580</v>
      </c>
      <c r="K246" s="8">
        <f>TRUNC(J246*D246,1)</f>
        <v>194309.2</v>
      </c>
      <c r="L246" s="4">
        <v>0</v>
      </c>
      <c r="M246" s="8"/>
      <c r="N246" s="12" t="s">
        <v>0</v>
      </c>
    </row>
    <row r="247" spans="1:14" ht="15" customHeight="1">
      <c r="A247" s="13"/>
      <c r="B247" s="14" t="s">
        <v>262</v>
      </c>
      <c r="C247" s="1" t="s">
        <v>0</v>
      </c>
      <c r="D247" s="3">
        <v>0.39</v>
      </c>
      <c r="E247" s="1" t="s">
        <v>24</v>
      </c>
      <c r="F247" s="4">
        <f>H247+J247+L247</f>
        <v>172068</v>
      </c>
      <c r="G247" s="8">
        <f>I247+K247+M247</f>
        <v>67106.5</v>
      </c>
      <c r="H247" s="4">
        <v>0</v>
      </c>
      <c r="I247" s="8"/>
      <c r="J247" s="4">
        <f>노임!$D$3</f>
        <v>172068</v>
      </c>
      <c r="K247" s="8">
        <f>TRUNC(J247*D247,1)</f>
        <v>67106.5</v>
      </c>
      <c r="L247" s="4">
        <v>0</v>
      </c>
      <c r="M247" s="8"/>
      <c r="N247" s="12" t="s">
        <v>0</v>
      </c>
    </row>
    <row r="248" spans="1:14" ht="15" customHeight="1">
      <c r="A248" s="13"/>
      <c r="B248" s="14" t="s">
        <v>263</v>
      </c>
      <c r="C248" s="1" t="s">
        <v>239</v>
      </c>
      <c r="D248" s="3">
        <v>1.0900000000000001</v>
      </c>
      <c r="E248" s="1" t="s">
        <v>7</v>
      </c>
      <c r="F248" s="4" t="e">
        <f>H248+J248+L248</f>
        <v>#REF!</v>
      </c>
      <c r="G248" s="8" t="e">
        <f>I248+K248+M248</f>
        <v>#REF!</v>
      </c>
      <c r="H248" s="4" t="e">
        <f>#REF!</f>
        <v>#REF!</v>
      </c>
      <c r="I248" s="8" t="e">
        <f>TRUNC(H248*D248,1)</f>
        <v>#REF!</v>
      </c>
      <c r="J248" s="4" t="e">
        <f>#REF!</f>
        <v>#REF!</v>
      </c>
      <c r="K248" s="8" t="e">
        <f>TRUNC(J248*D248,1)</f>
        <v>#REF!</v>
      </c>
      <c r="L248" s="4" t="e">
        <f>#REF!</f>
        <v>#REF!</v>
      </c>
      <c r="M248" s="8" t="e">
        <f>TRUNC(L248*D248,1)</f>
        <v>#REF!</v>
      </c>
      <c r="N248" s="12" t="s">
        <v>0</v>
      </c>
    </row>
    <row r="249" spans="1:14" ht="15" customHeight="1">
      <c r="A249" s="13"/>
      <c r="B249" s="14" t="s">
        <v>297</v>
      </c>
      <c r="C249" s="1" t="s">
        <v>220</v>
      </c>
      <c r="D249" s="3"/>
      <c r="E249" s="1" t="s">
        <v>221</v>
      </c>
      <c r="F249" s="4">
        <f>H249+J249+L249</f>
        <v>0</v>
      </c>
      <c r="G249" s="8" t="e">
        <f>I249+K249+M249</f>
        <v>#REF!</v>
      </c>
      <c r="H249" s="4"/>
      <c r="I249" s="8"/>
      <c r="J249" s="4"/>
      <c r="K249" s="8"/>
      <c r="L249" s="4"/>
      <c r="M249" s="8" t="e">
        <f>TRUNC((K246+K247+K248)*D249%,1)</f>
        <v>#REF!</v>
      </c>
      <c r="N249" s="12"/>
    </row>
    <row r="250" spans="1:14" ht="15" customHeight="1">
      <c r="A250" s="16"/>
      <c r="B250" s="15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12"/>
    </row>
    <row r="251" spans="1:14" ht="15" customHeight="1">
      <c r="A251" s="64">
        <f>A245+1</f>
        <v>122</v>
      </c>
      <c r="B251" s="46" t="s">
        <v>309</v>
      </c>
      <c r="C251" s="47" t="s">
        <v>319</v>
      </c>
      <c r="D251" s="47">
        <v>1</v>
      </c>
      <c r="E251" s="47" t="s">
        <v>3</v>
      </c>
      <c r="F251" s="49"/>
      <c r="G251" s="50" t="e">
        <f>I251+K251+M251</f>
        <v>#REF!</v>
      </c>
      <c r="H251" s="49"/>
      <c r="I251" s="50" t="e">
        <f>TRUNC(I252+I253+I254,0)</f>
        <v>#REF!</v>
      </c>
      <c r="J251" s="49"/>
      <c r="K251" s="50" t="e">
        <f>TRUNC(K252+K253+K254,0)</f>
        <v>#REF!</v>
      </c>
      <c r="L251" s="49"/>
      <c r="M251" s="50" t="e">
        <f>TRUNC(M252+M253+M254,0)</f>
        <v>#REF!</v>
      </c>
      <c r="N251" s="63" t="s">
        <v>308</v>
      </c>
    </row>
    <row r="252" spans="1:14" ht="15" customHeight="1">
      <c r="A252" s="13"/>
      <c r="B252" s="14" t="s">
        <v>261</v>
      </c>
      <c r="C252" s="1" t="s">
        <v>32</v>
      </c>
      <c r="D252" s="3">
        <v>0.93</v>
      </c>
      <c r="E252" s="1" t="s">
        <v>24</v>
      </c>
      <c r="F252" s="4">
        <f>H252+J252+L252</f>
        <v>262580</v>
      </c>
      <c r="G252" s="8">
        <f>I252+K252+M252</f>
        <v>244199.4</v>
      </c>
      <c r="H252" s="4">
        <v>0</v>
      </c>
      <c r="I252" s="8"/>
      <c r="J252" s="4">
        <f>노임!$D$10</f>
        <v>262580</v>
      </c>
      <c r="K252" s="8">
        <f>TRUNC(J252*D252,1)</f>
        <v>244199.4</v>
      </c>
      <c r="L252" s="4">
        <v>0</v>
      </c>
      <c r="M252" s="8"/>
      <c r="N252" s="12" t="s">
        <v>0</v>
      </c>
    </row>
    <row r="253" spans="1:14" ht="15" customHeight="1">
      <c r="A253" s="13"/>
      <c r="B253" s="14" t="s">
        <v>262</v>
      </c>
      <c r="C253" s="1" t="s">
        <v>0</v>
      </c>
      <c r="D253" s="3">
        <v>0.49</v>
      </c>
      <c r="E253" s="1" t="s">
        <v>24</v>
      </c>
      <c r="F253" s="4">
        <f>H253+J253+L253</f>
        <v>172068</v>
      </c>
      <c r="G253" s="8">
        <f>I253+K253+M253</f>
        <v>84313.3</v>
      </c>
      <c r="H253" s="4">
        <v>0</v>
      </c>
      <c r="I253" s="8"/>
      <c r="J253" s="4">
        <f>노임!$D$3</f>
        <v>172068</v>
      </c>
      <c r="K253" s="8">
        <f>TRUNC(J253*D253,1)</f>
        <v>84313.3</v>
      </c>
      <c r="L253" s="4">
        <v>0</v>
      </c>
      <c r="M253" s="8"/>
      <c r="N253" s="12" t="s">
        <v>0</v>
      </c>
    </row>
    <row r="254" spans="1:14" ht="15" customHeight="1">
      <c r="A254" s="13"/>
      <c r="B254" s="14" t="s">
        <v>263</v>
      </c>
      <c r="C254" s="1" t="s">
        <v>239</v>
      </c>
      <c r="D254" s="3">
        <v>1.17</v>
      </c>
      <c r="E254" s="1" t="s">
        <v>7</v>
      </c>
      <c r="F254" s="4" t="e">
        <f>H254+J254+L254</f>
        <v>#REF!</v>
      </c>
      <c r="G254" s="8" t="e">
        <f>I254+K254+M254</f>
        <v>#REF!</v>
      </c>
      <c r="H254" s="4" t="e">
        <f>#REF!</f>
        <v>#REF!</v>
      </c>
      <c r="I254" s="8" t="e">
        <f>TRUNC(H254*D254,1)</f>
        <v>#REF!</v>
      </c>
      <c r="J254" s="4" t="e">
        <f>#REF!</f>
        <v>#REF!</v>
      </c>
      <c r="K254" s="8" t="e">
        <f>TRUNC(J254*D254,1)</f>
        <v>#REF!</v>
      </c>
      <c r="L254" s="4" t="e">
        <f>#REF!</f>
        <v>#REF!</v>
      </c>
      <c r="M254" s="8" t="e">
        <f>TRUNC(L254*D254,1)</f>
        <v>#REF!</v>
      </c>
      <c r="N254" s="12" t="s">
        <v>0</v>
      </c>
    </row>
    <row r="255" spans="1:14" ht="15" customHeight="1">
      <c r="A255" s="13"/>
      <c r="B255" s="14" t="s">
        <v>297</v>
      </c>
      <c r="C255" s="1" t="s">
        <v>220</v>
      </c>
      <c r="D255" s="3"/>
      <c r="E255" s="1" t="s">
        <v>221</v>
      </c>
      <c r="F255" s="4">
        <f>H255+J255+L255</f>
        <v>0</v>
      </c>
      <c r="G255" s="8" t="e">
        <f>I255+K255+M255</f>
        <v>#REF!</v>
      </c>
      <c r="H255" s="4"/>
      <c r="I255" s="8"/>
      <c r="J255" s="4"/>
      <c r="K255" s="8"/>
      <c r="L255" s="4"/>
      <c r="M255" s="8" t="e">
        <f>TRUNC((K252+K253+K254)*D255%,1)</f>
        <v>#REF!</v>
      </c>
      <c r="N255" s="12"/>
    </row>
    <row r="256" spans="1:14" ht="15" customHeight="1">
      <c r="A256" s="16"/>
      <c r="B256" s="15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12"/>
    </row>
    <row r="257" spans="1:14" ht="15" customHeight="1">
      <c r="A257" s="64">
        <f>A251+1</f>
        <v>123</v>
      </c>
      <c r="B257" s="46" t="s">
        <v>309</v>
      </c>
      <c r="C257" s="47" t="s">
        <v>321</v>
      </c>
      <c r="D257" s="47">
        <v>1</v>
      </c>
      <c r="E257" s="47" t="s">
        <v>3</v>
      </c>
      <c r="F257" s="49"/>
      <c r="G257" s="50" t="e">
        <f>I257+K257+M257</f>
        <v>#REF!</v>
      </c>
      <c r="H257" s="49"/>
      <c r="I257" s="50" t="e">
        <f>TRUNC(I258+I259+I260,0)</f>
        <v>#REF!</v>
      </c>
      <c r="J257" s="49"/>
      <c r="K257" s="50" t="e">
        <f>TRUNC(K258+K259+K260,0)</f>
        <v>#REF!</v>
      </c>
      <c r="L257" s="49"/>
      <c r="M257" s="50" t="e">
        <f>TRUNC(M258+M259+M260,0)</f>
        <v>#REF!</v>
      </c>
      <c r="N257" s="63" t="s">
        <v>308</v>
      </c>
    </row>
    <row r="258" spans="1:14" ht="15" customHeight="1">
      <c r="A258" s="13"/>
      <c r="B258" s="14" t="s">
        <v>261</v>
      </c>
      <c r="C258" s="1" t="s">
        <v>32</v>
      </c>
      <c r="D258" s="3">
        <v>1.08</v>
      </c>
      <c r="E258" s="1" t="s">
        <v>24</v>
      </c>
      <c r="F258" s="4">
        <f>H258+J258+L258</f>
        <v>262580</v>
      </c>
      <c r="G258" s="8">
        <f>I258+K258+M258</f>
        <v>283586.40000000002</v>
      </c>
      <c r="H258" s="4">
        <v>0</v>
      </c>
      <c r="I258" s="8"/>
      <c r="J258" s="4">
        <f>노임!$D$10</f>
        <v>262580</v>
      </c>
      <c r="K258" s="8">
        <f>TRUNC(J258*D258,1)</f>
        <v>283586.40000000002</v>
      </c>
      <c r="L258" s="4">
        <v>0</v>
      </c>
      <c r="M258" s="8"/>
      <c r="N258" s="12" t="s">
        <v>0</v>
      </c>
    </row>
    <row r="259" spans="1:14" ht="15" customHeight="1">
      <c r="A259" s="13"/>
      <c r="B259" s="14" t="s">
        <v>262</v>
      </c>
      <c r="C259" s="1" t="s">
        <v>0</v>
      </c>
      <c r="D259" s="3">
        <v>0.56000000000000005</v>
      </c>
      <c r="E259" s="1" t="s">
        <v>24</v>
      </c>
      <c r="F259" s="4">
        <f>H259+J259+L259</f>
        <v>172068</v>
      </c>
      <c r="G259" s="8">
        <f>I259+K259+M259</f>
        <v>96358</v>
      </c>
      <c r="H259" s="4">
        <v>0</v>
      </c>
      <c r="I259" s="8"/>
      <c r="J259" s="4">
        <f>노임!$D$3</f>
        <v>172068</v>
      </c>
      <c r="K259" s="8">
        <f>TRUNC(J259*D259,1)</f>
        <v>96358</v>
      </c>
      <c r="L259" s="4">
        <v>0</v>
      </c>
      <c r="M259" s="8"/>
      <c r="N259" s="12" t="s">
        <v>0</v>
      </c>
    </row>
    <row r="260" spans="1:14" ht="15" customHeight="1">
      <c r="A260" s="13"/>
      <c r="B260" s="14" t="s">
        <v>263</v>
      </c>
      <c r="C260" s="1" t="s">
        <v>172</v>
      </c>
      <c r="D260" s="3">
        <v>1.25</v>
      </c>
      <c r="E260" s="1" t="s">
        <v>7</v>
      </c>
      <c r="F260" s="4" t="e">
        <f>H260+J260+L260</f>
        <v>#REF!</v>
      </c>
      <c r="G260" s="8" t="e">
        <f>I260+K260+M260</f>
        <v>#REF!</v>
      </c>
      <c r="H260" s="4" t="e">
        <f>#REF!</f>
        <v>#REF!</v>
      </c>
      <c r="I260" s="8" t="e">
        <f>TRUNC(H260*D260,1)</f>
        <v>#REF!</v>
      </c>
      <c r="J260" s="4" t="e">
        <f>#REF!</f>
        <v>#REF!</v>
      </c>
      <c r="K260" s="8" t="e">
        <f>TRUNC(J260*D260,1)</f>
        <v>#REF!</v>
      </c>
      <c r="L260" s="4" t="e">
        <f>#REF!</f>
        <v>#REF!</v>
      </c>
      <c r="M260" s="8" t="e">
        <f>TRUNC(L260*D260,1)</f>
        <v>#REF!</v>
      </c>
      <c r="N260" s="12" t="s">
        <v>0</v>
      </c>
    </row>
    <row r="261" spans="1:14" ht="15" customHeight="1">
      <c r="A261" s="13"/>
      <c r="B261" s="14" t="s">
        <v>297</v>
      </c>
      <c r="C261" s="1" t="s">
        <v>220</v>
      </c>
      <c r="D261" s="3"/>
      <c r="E261" s="1" t="s">
        <v>221</v>
      </c>
      <c r="F261" s="4">
        <f>H261+J261+L261</f>
        <v>0</v>
      </c>
      <c r="G261" s="8" t="e">
        <f>I261+K261+M261</f>
        <v>#REF!</v>
      </c>
      <c r="H261" s="4"/>
      <c r="I261" s="8"/>
      <c r="J261" s="4"/>
      <c r="K261" s="8"/>
      <c r="L261" s="4"/>
      <c r="M261" s="8" t="e">
        <f>TRUNC((K258+K259+K260)*D261%,1)</f>
        <v>#REF!</v>
      </c>
      <c r="N261" s="12"/>
    </row>
    <row r="262" spans="1:14" ht="15" customHeight="1">
      <c r="A262" s="16"/>
      <c r="B262" s="15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12"/>
    </row>
    <row r="263" spans="1:14" ht="15" customHeight="1">
      <c r="A263" s="64">
        <f>A257+1</f>
        <v>124</v>
      </c>
      <c r="B263" s="46" t="s">
        <v>309</v>
      </c>
      <c r="C263" s="47" t="s">
        <v>320</v>
      </c>
      <c r="D263" s="47">
        <v>1</v>
      </c>
      <c r="E263" s="47" t="s">
        <v>3</v>
      </c>
      <c r="F263" s="49"/>
      <c r="G263" s="50" t="e">
        <f>I263+K263+M263</f>
        <v>#REF!</v>
      </c>
      <c r="H263" s="49"/>
      <c r="I263" s="50" t="e">
        <f>TRUNC(I264+I265+I266,0)</f>
        <v>#REF!</v>
      </c>
      <c r="J263" s="49"/>
      <c r="K263" s="50" t="e">
        <f>TRUNC(K264+K265+K266,0)</f>
        <v>#REF!</v>
      </c>
      <c r="L263" s="49"/>
      <c r="M263" s="50" t="e">
        <f>TRUNC(M264+M265+M266,0)</f>
        <v>#REF!</v>
      </c>
      <c r="N263" s="63" t="s">
        <v>308</v>
      </c>
    </row>
    <row r="264" spans="1:14" ht="15" customHeight="1">
      <c r="A264" s="13"/>
      <c r="B264" s="14" t="s">
        <v>261</v>
      </c>
      <c r="C264" s="1" t="s">
        <v>32</v>
      </c>
      <c r="D264" s="3">
        <v>1.08</v>
      </c>
      <c r="E264" s="1" t="s">
        <v>24</v>
      </c>
      <c r="F264" s="4">
        <f>H264+J264+L264</f>
        <v>262580</v>
      </c>
      <c r="G264" s="8">
        <f>I264+K264+M264</f>
        <v>283586.40000000002</v>
      </c>
      <c r="H264" s="4">
        <v>0</v>
      </c>
      <c r="I264" s="8"/>
      <c r="J264" s="4">
        <f>노임!$D$10</f>
        <v>262580</v>
      </c>
      <c r="K264" s="8">
        <f>TRUNC(J264*D264,1)</f>
        <v>283586.40000000002</v>
      </c>
      <c r="L264" s="4">
        <v>0</v>
      </c>
      <c r="M264" s="8"/>
      <c r="N264" s="12" t="s">
        <v>0</v>
      </c>
    </row>
    <row r="265" spans="1:14" ht="15" customHeight="1">
      <c r="A265" s="13"/>
      <c r="B265" s="14" t="s">
        <v>262</v>
      </c>
      <c r="C265" s="1" t="s">
        <v>0</v>
      </c>
      <c r="D265" s="3">
        <v>0.56000000000000005</v>
      </c>
      <c r="E265" s="1" t="s">
        <v>24</v>
      </c>
      <c r="F265" s="4">
        <f>H265+J265+L265</f>
        <v>172068</v>
      </c>
      <c r="G265" s="8">
        <f>I265+K265+M265</f>
        <v>96358</v>
      </c>
      <c r="H265" s="4">
        <v>0</v>
      </c>
      <c r="I265" s="8"/>
      <c r="J265" s="4">
        <f>노임!$D$3</f>
        <v>172068</v>
      </c>
      <c r="K265" s="8">
        <f>TRUNC(J265*D265,1)</f>
        <v>96358</v>
      </c>
      <c r="L265" s="4">
        <v>0</v>
      </c>
      <c r="M265" s="8"/>
      <c r="N265" s="12" t="s">
        <v>0</v>
      </c>
    </row>
    <row r="266" spans="1:14" ht="15" customHeight="1">
      <c r="A266" s="13"/>
      <c r="B266" s="14" t="s">
        <v>263</v>
      </c>
      <c r="C266" s="1" t="s">
        <v>239</v>
      </c>
      <c r="D266" s="3">
        <v>1.25</v>
      </c>
      <c r="E266" s="1" t="s">
        <v>7</v>
      </c>
      <c r="F266" s="4" t="e">
        <f>H266+J266+L266</f>
        <v>#REF!</v>
      </c>
      <c r="G266" s="8" t="e">
        <f>I266+K266+M266</f>
        <v>#REF!</v>
      </c>
      <c r="H266" s="4" t="e">
        <f>#REF!</f>
        <v>#REF!</v>
      </c>
      <c r="I266" s="8" t="e">
        <f>TRUNC(H266*D266,1)</f>
        <v>#REF!</v>
      </c>
      <c r="J266" s="4" t="e">
        <f>#REF!</f>
        <v>#REF!</v>
      </c>
      <c r="K266" s="8" t="e">
        <f>TRUNC(J266*D266,1)</f>
        <v>#REF!</v>
      </c>
      <c r="L266" s="4" t="e">
        <f>#REF!</f>
        <v>#REF!</v>
      </c>
      <c r="M266" s="8" t="e">
        <f>TRUNC(L266*D266,1)</f>
        <v>#REF!</v>
      </c>
      <c r="N266" s="12" t="s">
        <v>0</v>
      </c>
    </row>
    <row r="267" spans="1:14" ht="15" customHeight="1">
      <c r="A267" s="13"/>
      <c r="B267" s="14" t="s">
        <v>297</v>
      </c>
      <c r="C267" s="1" t="s">
        <v>220</v>
      </c>
      <c r="D267" s="3"/>
      <c r="E267" s="1" t="s">
        <v>221</v>
      </c>
      <c r="F267" s="4">
        <f>H267+J267+L267</f>
        <v>0</v>
      </c>
      <c r="G267" s="8" t="e">
        <f>I267+K267+M267</f>
        <v>#REF!</v>
      </c>
      <c r="H267" s="4"/>
      <c r="I267" s="8"/>
      <c r="J267" s="4"/>
      <c r="K267" s="8"/>
      <c r="L267" s="4"/>
      <c r="M267" s="8" t="e">
        <f>TRUNC((K264+K265+K266)*D267%,1)</f>
        <v>#REF!</v>
      </c>
      <c r="N267" s="12"/>
    </row>
    <row r="268" spans="1:14" ht="15" customHeight="1">
      <c r="A268" s="16"/>
      <c r="B268" s="15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12"/>
    </row>
    <row r="269" spans="1:14" ht="15" customHeight="1">
      <c r="A269" s="64">
        <f>A263+1</f>
        <v>125</v>
      </c>
      <c r="B269" s="46" t="s">
        <v>309</v>
      </c>
      <c r="C269" s="47" t="s">
        <v>322</v>
      </c>
      <c r="D269" s="47">
        <v>1</v>
      </c>
      <c r="E269" s="47" t="s">
        <v>3</v>
      </c>
      <c r="F269" s="49"/>
      <c r="G269" s="50" t="e">
        <f>I269+K269+M269</f>
        <v>#REF!</v>
      </c>
      <c r="H269" s="49"/>
      <c r="I269" s="50" t="e">
        <f>TRUNC(I270+I271+I272,0)</f>
        <v>#REF!</v>
      </c>
      <c r="J269" s="49"/>
      <c r="K269" s="50" t="e">
        <f>TRUNC(K270+K271+K272,0)</f>
        <v>#REF!</v>
      </c>
      <c r="L269" s="49"/>
      <c r="M269" s="50" t="e">
        <f>TRUNC(M270+M271+M272,0)</f>
        <v>#REF!</v>
      </c>
      <c r="N269" s="63" t="s">
        <v>308</v>
      </c>
    </row>
    <row r="270" spans="1:14" ht="15" customHeight="1">
      <c r="A270" s="13"/>
      <c r="B270" s="14" t="s">
        <v>261</v>
      </c>
      <c r="C270" s="1" t="s">
        <v>32</v>
      </c>
      <c r="D270" s="3">
        <v>1.22</v>
      </c>
      <c r="E270" s="1" t="s">
        <v>24</v>
      </c>
      <c r="F270" s="4">
        <f>H270+J270+L270</f>
        <v>262580</v>
      </c>
      <c r="G270" s="8">
        <f>I270+K270+M270</f>
        <v>320347.59999999998</v>
      </c>
      <c r="H270" s="4">
        <v>0</v>
      </c>
      <c r="I270" s="8"/>
      <c r="J270" s="4">
        <f>노임!$D$10</f>
        <v>262580</v>
      </c>
      <c r="K270" s="8">
        <f>TRUNC(J270*D270,1)</f>
        <v>320347.59999999998</v>
      </c>
      <c r="L270" s="4">
        <v>0</v>
      </c>
      <c r="M270" s="8"/>
      <c r="N270" s="12" t="s">
        <v>0</v>
      </c>
    </row>
    <row r="271" spans="1:14" ht="15" customHeight="1">
      <c r="A271" s="13"/>
      <c r="B271" s="14" t="s">
        <v>262</v>
      </c>
      <c r="C271" s="1" t="s">
        <v>0</v>
      </c>
      <c r="D271" s="3">
        <v>0.57999999999999996</v>
      </c>
      <c r="E271" s="1" t="s">
        <v>24</v>
      </c>
      <c r="F271" s="4">
        <f>H271+J271+L271</f>
        <v>172068</v>
      </c>
      <c r="G271" s="8">
        <f>I271+K271+M271</f>
        <v>99799.4</v>
      </c>
      <c r="H271" s="4">
        <v>0</v>
      </c>
      <c r="I271" s="8"/>
      <c r="J271" s="4">
        <f>노임!$D$3</f>
        <v>172068</v>
      </c>
      <c r="K271" s="8">
        <f>TRUNC(J271*D271,1)</f>
        <v>99799.4</v>
      </c>
      <c r="L271" s="4">
        <v>0</v>
      </c>
      <c r="M271" s="8"/>
      <c r="N271" s="12" t="s">
        <v>0</v>
      </c>
    </row>
    <row r="272" spans="1:14" ht="15" customHeight="1">
      <c r="A272" s="13"/>
      <c r="B272" s="14" t="s">
        <v>263</v>
      </c>
      <c r="C272" s="1" t="s">
        <v>172</v>
      </c>
      <c r="D272" s="3">
        <v>1.37</v>
      </c>
      <c r="E272" s="1" t="s">
        <v>7</v>
      </c>
      <c r="F272" s="4" t="e">
        <f>H272+J272+L272</f>
        <v>#REF!</v>
      </c>
      <c r="G272" s="8" t="e">
        <f>I272+K272+M272</f>
        <v>#REF!</v>
      </c>
      <c r="H272" s="4" t="e">
        <f>#REF!</f>
        <v>#REF!</v>
      </c>
      <c r="I272" s="8" t="e">
        <f>TRUNC(H272*D272,1)</f>
        <v>#REF!</v>
      </c>
      <c r="J272" s="4" t="e">
        <f>#REF!</f>
        <v>#REF!</v>
      </c>
      <c r="K272" s="8" t="e">
        <f>TRUNC(J272*D272,1)</f>
        <v>#REF!</v>
      </c>
      <c r="L272" s="4" t="e">
        <f>#REF!</f>
        <v>#REF!</v>
      </c>
      <c r="M272" s="8" t="e">
        <f>TRUNC(L272*D272,1)</f>
        <v>#REF!</v>
      </c>
      <c r="N272" s="12" t="s">
        <v>0</v>
      </c>
    </row>
    <row r="273" spans="1:14" ht="15" customHeight="1">
      <c r="A273" s="13"/>
      <c r="B273" s="14" t="s">
        <v>297</v>
      </c>
      <c r="C273" s="1" t="s">
        <v>220</v>
      </c>
      <c r="D273" s="3"/>
      <c r="E273" s="1" t="s">
        <v>221</v>
      </c>
      <c r="F273" s="4">
        <f>H273+J273+L273</f>
        <v>0</v>
      </c>
      <c r="G273" s="8" t="e">
        <f>I273+K273+M273</f>
        <v>#REF!</v>
      </c>
      <c r="H273" s="4"/>
      <c r="I273" s="8"/>
      <c r="J273" s="4"/>
      <c r="K273" s="8"/>
      <c r="L273" s="4"/>
      <c r="M273" s="8" t="e">
        <f>TRUNC((K270+K271+K272)*D273%,1)</f>
        <v>#REF!</v>
      </c>
      <c r="N273" s="12"/>
    </row>
    <row r="274" spans="1:14" ht="15" customHeight="1">
      <c r="A274" s="16"/>
      <c r="B274" s="15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12"/>
    </row>
    <row r="275" spans="1:14" ht="15" customHeight="1">
      <c r="A275" s="64">
        <f>A269+1</f>
        <v>126</v>
      </c>
      <c r="B275" s="46" t="s">
        <v>309</v>
      </c>
      <c r="C275" s="47" t="s">
        <v>323</v>
      </c>
      <c r="D275" s="47">
        <v>1</v>
      </c>
      <c r="E275" s="47" t="s">
        <v>3</v>
      </c>
      <c r="F275" s="49"/>
      <c r="G275" s="50" t="e">
        <f>I275+K275+M275</f>
        <v>#REF!</v>
      </c>
      <c r="H275" s="49"/>
      <c r="I275" s="50" t="e">
        <f>TRUNC(I276+I277+I278,0)</f>
        <v>#REF!</v>
      </c>
      <c r="J275" s="49"/>
      <c r="K275" s="50" t="e">
        <f>TRUNC(K276+K277+K278,0)</f>
        <v>#REF!</v>
      </c>
      <c r="L275" s="49"/>
      <c r="M275" s="50" t="e">
        <f>TRUNC(M276+M277+M278,0)</f>
        <v>#REF!</v>
      </c>
      <c r="N275" s="63" t="s">
        <v>308</v>
      </c>
    </row>
    <row r="276" spans="1:14" ht="15" customHeight="1">
      <c r="A276" s="13"/>
      <c r="B276" s="14" t="s">
        <v>261</v>
      </c>
      <c r="C276" s="1" t="s">
        <v>32</v>
      </c>
      <c r="D276" s="3">
        <v>1.34</v>
      </c>
      <c r="E276" s="1" t="s">
        <v>24</v>
      </c>
      <c r="F276" s="4">
        <f>H276+J276+L276</f>
        <v>262580</v>
      </c>
      <c r="G276" s="8">
        <f>I276+K276+M276</f>
        <v>351857.2</v>
      </c>
      <c r="H276" s="4">
        <v>0</v>
      </c>
      <c r="I276" s="8"/>
      <c r="J276" s="4">
        <f>노임!$D$10</f>
        <v>262580</v>
      </c>
      <c r="K276" s="8">
        <f>TRUNC(J276*D276,1)</f>
        <v>351857.2</v>
      </c>
      <c r="L276" s="4">
        <v>0</v>
      </c>
      <c r="M276" s="8"/>
      <c r="N276" s="12" t="s">
        <v>0</v>
      </c>
    </row>
    <row r="277" spans="1:14" ht="15" customHeight="1">
      <c r="A277" s="13"/>
      <c r="B277" s="14" t="s">
        <v>262</v>
      </c>
      <c r="C277" s="1" t="s">
        <v>0</v>
      </c>
      <c r="D277" s="3">
        <v>0.63</v>
      </c>
      <c r="E277" s="1" t="s">
        <v>24</v>
      </c>
      <c r="F277" s="4">
        <f>H277+J277+L277</f>
        <v>172068</v>
      </c>
      <c r="G277" s="8">
        <f>I277+K277+M277</f>
        <v>108402.8</v>
      </c>
      <c r="H277" s="4">
        <v>0</v>
      </c>
      <c r="I277" s="8"/>
      <c r="J277" s="4">
        <f>노임!$D$3</f>
        <v>172068</v>
      </c>
      <c r="K277" s="8">
        <f>TRUNC(J277*D277,1)</f>
        <v>108402.8</v>
      </c>
      <c r="L277" s="4">
        <v>0</v>
      </c>
      <c r="M277" s="8"/>
      <c r="N277" s="12" t="s">
        <v>0</v>
      </c>
    </row>
    <row r="278" spans="1:14" ht="15" customHeight="1">
      <c r="A278" s="13"/>
      <c r="B278" s="14" t="s">
        <v>263</v>
      </c>
      <c r="C278" s="1" t="s">
        <v>199</v>
      </c>
      <c r="D278" s="3">
        <v>1.5</v>
      </c>
      <c r="E278" s="1" t="s">
        <v>7</v>
      </c>
      <c r="F278" s="4" t="e">
        <f>H278+J278+L278</f>
        <v>#REF!</v>
      </c>
      <c r="G278" s="8" t="e">
        <f>I278+K278+M278</f>
        <v>#REF!</v>
      </c>
      <c r="H278" s="4" t="e">
        <f>#REF!</f>
        <v>#REF!</v>
      </c>
      <c r="I278" s="8" t="e">
        <f>TRUNC(H278*D278,1)</f>
        <v>#REF!</v>
      </c>
      <c r="J278" s="4" t="e">
        <f>#REF!</f>
        <v>#REF!</v>
      </c>
      <c r="K278" s="8" t="e">
        <f>TRUNC(J278*D278,1)</f>
        <v>#REF!</v>
      </c>
      <c r="L278" s="4" t="e">
        <f>#REF!</f>
        <v>#REF!</v>
      </c>
      <c r="M278" s="8" t="e">
        <f>TRUNC(L278*D278,1)</f>
        <v>#REF!</v>
      </c>
      <c r="N278" s="12" t="s">
        <v>0</v>
      </c>
    </row>
    <row r="279" spans="1:14" ht="15" customHeight="1">
      <c r="A279" s="13"/>
      <c r="B279" s="14" t="s">
        <v>297</v>
      </c>
      <c r="C279" s="1" t="s">
        <v>220</v>
      </c>
      <c r="D279" s="3"/>
      <c r="E279" s="1" t="s">
        <v>221</v>
      </c>
      <c r="F279" s="4">
        <f>H279+J279+L279</f>
        <v>0</v>
      </c>
      <c r="G279" s="8" t="e">
        <f>I279+K279+M279</f>
        <v>#REF!</v>
      </c>
      <c r="H279" s="4"/>
      <c r="I279" s="8"/>
      <c r="J279" s="4"/>
      <c r="K279" s="8"/>
      <c r="L279" s="4"/>
      <c r="M279" s="8" t="e">
        <f>TRUNC((K276+K277+K278)*D279%,1)</f>
        <v>#REF!</v>
      </c>
      <c r="N279" s="12"/>
    </row>
    <row r="280" spans="1:14" ht="15" customHeight="1">
      <c r="A280" s="16"/>
      <c r="B280" s="15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12"/>
    </row>
    <row r="281" spans="1:14" ht="15" customHeight="1">
      <c r="A281" s="64">
        <f>A275+1</f>
        <v>127</v>
      </c>
      <c r="B281" s="46" t="s">
        <v>309</v>
      </c>
      <c r="C281" s="47" t="s">
        <v>324</v>
      </c>
      <c r="D281" s="47">
        <v>1</v>
      </c>
      <c r="E281" s="47" t="s">
        <v>3</v>
      </c>
      <c r="F281" s="49"/>
      <c r="G281" s="50" t="e">
        <f>I281+K281+M281</f>
        <v>#REF!</v>
      </c>
      <c r="H281" s="49"/>
      <c r="I281" s="50" t="e">
        <f>TRUNC(I282+I283+I284,0)</f>
        <v>#REF!</v>
      </c>
      <c r="J281" s="49"/>
      <c r="K281" s="50" t="e">
        <f>TRUNC(K282+K283+K284,0)</f>
        <v>#REF!</v>
      </c>
      <c r="L281" s="49"/>
      <c r="M281" s="50" t="e">
        <f>TRUNC(M282+M283+M284,0)</f>
        <v>#REF!</v>
      </c>
      <c r="N281" s="63" t="s">
        <v>308</v>
      </c>
    </row>
    <row r="282" spans="1:14" ht="15" customHeight="1">
      <c r="A282" s="13"/>
      <c r="B282" s="14" t="s">
        <v>261</v>
      </c>
      <c r="C282" s="1" t="s">
        <v>32</v>
      </c>
      <c r="D282" s="3">
        <v>1.34</v>
      </c>
      <c r="E282" s="1" t="s">
        <v>24</v>
      </c>
      <c r="F282" s="4">
        <f>H282+J282+L282</f>
        <v>262580</v>
      </c>
      <c r="G282" s="8">
        <f>I282+K282+M282</f>
        <v>351857.2</v>
      </c>
      <c r="H282" s="4">
        <v>0</v>
      </c>
      <c r="I282" s="8"/>
      <c r="J282" s="4">
        <f>노임!$D$10</f>
        <v>262580</v>
      </c>
      <c r="K282" s="8">
        <f>TRUNC(J282*D282,1)</f>
        <v>351857.2</v>
      </c>
      <c r="L282" s="4">
        <v>0</v>
      </c>
      <c r="M282" s="8"/>
      <c r="N282" s="12" t="s">
        <v>0</v>
      </c>
    </row>
    <row r="283" spans="1:14" ht="15" customHeight="1">
      <c r="A283" s="13"/>
      <c r="B283" s="14" t="s">
        <v>262</v>
      </c>
      <c r="C283" s="1" t="s">
        <v>0</v>
      </c>
      <c r="D283" s="3">
        <v>0.63</v>
      </c>
      <c r="E283" s="1" t="s">
        <v>24</v>
      </c>
      <c r="F283" s="4">
        <f>H283+J283+L283</f>
        <v>172068</v>
      </c>
      <c r="G283" s="8">
        <f>I283+K283+M283</f>
        <v>108402.8</v>
      </c>
      <c r="H283" s="4">
        <v>0</v>
      </c>
      <c r="I283" s="8"/>
      <c r="J283" s="4">
        <f>노임!$D$3</f>
        <v>172068</v>
      </c>
      <c r="K283" s="8">
        <f>TRUNC(J283*D283,1)</f>
        <v>108402.8</v>
      </c>
      <c r="L283" s="4">
        <v>0</v>
      </c>
      <c r="M283" s="8"/>
      <c r="N283" s="12" t="s">
        <v>0</v>
      </c>
    </row>
    <row r="284" spans="1:14" ht="15" customHeight="1">
      <c r="A284" s="13"/>
      <c r="B284" s="14" t="s">
        <v>263</v>
      </c>
      <c r="C284" s="1" t="s">
        <v>172</v>
      </c>
      <c r="D284" s="3">
        <v>1.5</v>
      </c>
      <c r="E284" s="1" t="s">
        <v>7</v>
      </c>
      <c r="F284" s="4" t="e">
        <f>H284+J284+L284</f>
        <v>#REF!</v>
      </c>
      <c r="G284" s="8" t="e">
        <f>I284+K284+M284</f>
        <v>#REF!</v>
      </c>
      <c r="H284" s="4" t="e">
        <f>#REF!</f>
        <v>#REF!</v>
      </c>
      <c r="I284" s="8" t="e">
        <f>TRUNC(H284*D284,1)</f>
        <v>#REF!</v>
      </c>
      <c r="J284" s="4" t="e">
        <f>#REF!</f>
        <v>#REF!</v>
      </c>
      <c r="K284" s="8" t="e">
        <f>TRUNC(J284*D284,1)</f>
        <v>#REF!</v>
      </c>
      <c r="L284" s="4" t="e">
        <f>#REF!</f>
        <v>#REF!</v>
      </c>
      <c r="M284" s="8" t="e">
        <f>TRUNC(L284*D284,1)</f>
        <v>#REF!</v>
      </c>
      <c r="N284" s="12" t="s">
        <v>0</v>
      </c>
    </row>
    <row r="285" spans="1:14" ht="15" customHeight="1">
      <c r="A285" s="13"/>
      <c r="B285" s="14" t="s">
        <v>297</v>
      </c>
      <c r="C285" s="1" t="s">
        <v>220</v>
      </c>
      <c r="D285" s="3"/>
      <c r="E285" s="1" t="s">
        <v>221</v>
      </c>
      <c r="F285" s="4">
        <f>H285+J285+L285</f>
        <v>0</v>
      </c>
      <c r="G285" s="8" t="e">
        <f>I285+K285+M285</f>
        <v>#REF!</v>
      </c>
      <c r="H285" s="4"/>
      <c r="I285" s="8"/>
      <c r="J285" s="4"/>
      <c r="K285" s="8"/>
      <c r="L285" s="4"/>
      <c r="M285" s="8" t="e">
        <f>TRUNC((K282+K283+K284)*D285%,1)</f>
        <v>#REF!</v>
      </c>
      <c r="N285" s="12"/>
    </row>
    <row r="286" spans="1:14" ht="15" customHeight="1">
      <c r="A286" s="16"/>
      <c r="B286" s="15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12"/>
    </row>
    <row r="287" spans="1:14" ht="15" customHeight="1">
      <c r="A287" s="64">
        <f>A281+1</f>
        <v>128</v>
      </c>
      <c r="B287" s="46" t="s">
        <v>309</v>
      </c>
      <c r="C287" s="47" t="s">
        <v>325</v>
      </c>
      <c r="D287" s="47">
        <v>1</v>
      </c>
      <c r="E287" s="47" t="s">
        <v>3</v>
      </c>
      <c r="F287" s="49"/>
      <c r="G287" s="50" t="e">
        <f>I287+K287+M287</f>
        <v>#REF!</v>
      </c>
      <c r="H287" s="49"/>
      <c r="I287" s="50" t="e">
        <f>TRUNC(I288+I289+I290,0)</f>
        <v>#REF!</v>
      </c>
      <c r="J287" s="49"/>
      <c r="K287" s="50" t="e">
        <f>TRUNC(K288+K289+K290,0)</f>
        <v>#REF!</v>
      </c>
      <c r="L287" s="49"/>
      <c r="M287" s="50" t="e">
        <f>TRUNC(M288+M289+M290,0)</f>
        <v>#REF!</v>
      </c>
      <c r="N287" s="63" t="s">
        <v>308</v>
      </c>
    </row>
    <row r="288" spans="1:14" ht="15" customHeight="1">
      <c r="A288" s="13"/>
      <c r="B288" s="14" t="s">
        <v>261</v>
      </c>
      <c r="C288" s="1" t="s">
        <v>32</v>
      </c>
      <c r="D288" s="3">
        <v>1.44</v>
      </c>
      <c r="E288" s="1" t="s">
        <v>24</v>
      </c>
      <c r="F288" s="4">
        <f>H288+J288+L288</f>
        <v>262580</v>
      </c>
      <c r="G288" s="8">
        <f>I288+K288+M288</f>
        <v>378115.2</v>
      </c>
      <c r="H288" s="4">
        <v>0</v>
      </c>
      <c r="I288" s="8"/>
      <c r="J288" s="4">
        <f>노임!$D$10</f>
        <v>262580</v>
      </c>
      <c r="K288" s="8">
        <f>TRUNC(J288*D288,1)</f>
        <v>378115.2</v>
      </c>
      <c r="L288" s="4">
        <v>0</v>
      </c>
      <c r="M288" s="8"/>
      <c r="N288" s="12" t="s">
        <v>0</v>
      </c>
    </row>
    <row r="289" spans="1:14" ht="15" customHeight="1">
      <c r="A289" s="13"/>
      <c r="B289" s="14" t="s">
        <v>262</v>
      </c>
      <c r="C289" s="1" t="s">
        <v>0</v>
      </c>
      <c r="D289" s="3">
        <v>0.68</v>
      </c>
      <c r="E289" s="1" t="s">
        <v>24</v>
      </c>
      <c r="F289" s="4">
        <f>H289+J289+L289</f>
        <v>172068</v>
      </c>
      <c r="G289" s="8">
        <f>I289+K289+M289</f>
        <v>117006.2</v>
      </c>
      <c r="H289" s="4">
        <v>0</v>
      </c>
      <c r="I289" s="8"/>
      <c r="J289" s="4">
        <f>노임!$D$3</f>
        <v>172068</v>
      </c>
      <c r="K289" s="8">
        <f>TRUNC(J289*D289,1)</f>
        <v>117006.2</v>
      </c>
      <c r="L289" s="4">
        <v>0</v>
      </c>
      <c r="M289" s="8"/>
      <c r="N289" s="12" t="s">
        <v>0</v>
      </c>
    </row>
    <row r="290" spans="1:14" ht="15" customHeight="1">
      <c r="A290" s="13"/>
      <c r="B290" s="14" t="s">
        <v>263</v>
      </c>
      <c r="C290" s="1" t="s">
        <v>199</v>
      </c>
      <c r="D290" s="3">
        <v>1.54</v>
      </c>
      <c r="E290" s="1" t="s">
        <v>7</v>
      </c>
      <c r="F290" s="4" t="e">
        <f>H290+J290+L290</f>
        <v>#REF!</v>
      </c>
      <c r="G290" s="8" t="e">
        <f>I290+K290+M290</f>
        <v>#REF!</v>
      </c>
      <c r="H290" s="4" t="e">
        <f>#REF!</f>
        <v>#REF!</v>
      </c>
      <c r="I290" s="8" t="e">
        <f>TRUNC(H290*D290,1)</f>
        <v>#REF!</v>
      </c>
      <c r="J290" s="4" t="e">
        <f>#REF!</f>
        <v>#REF!</v>
      </c>
      <c r="K290" s="8" t="e">
        <f>TRUNC(J290*D290,1)</f>
        <v>#REF!</v>
      </c>
      <c r="L290" s="4" t="e">
        <f>#REF!</f>
        <v>#REF!</v>
      </c>
      <c r="M290" s="8" t="e">
        <f>TRUNC(L290*D290,1)</f>
        <v>#REF!</v>
      </c>
      <c r="N290" s="12" t="s">
        <v>0</v>
      </c>
    </row>
    <row r="291" spans="1:14" ht="15" customHeight="1">
      <c r="A291" s="13"/>
      <c r="B291" s="14" t="s">
        <v>297</v>
      </c>
      <c r="C291" s="1" t="s">
        <v>220</v>
      </c>
      <c r="D291" s="3"/>
      <c r="E291" s="1" t="s">
        <v>221</v>
      </c>
      <c r="F291" s="4">
        <f>H291+J291+L291</f>
        <v>0</v>
      </c>
      <c r="G291" s="8" t="e">
        <f>I291+K291+M291</f>
        <v>#REF!</v>
      </c>
      <c r="H291" s="4"/>
      <c r="I291" s="8"/>
      <c r="J291" s="4"/>
      <c r="K291" s="8"/>
      <c r="L291" s="4"/>
      <c r="M291" s="8" t="e">
        <f>TRUNC((K288+K289+K290)*D291%,1)</f>
        <v>#REF!</v>
      </c>
      <c r="N291" s="12"/>
    </row>
    <row r="292" spans="1:14" ht="15" customHeight="1">
      <c r="A292" s="16"/>
      <c r="B292" s="15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12"/>
    </row>
    <row r="293" spans="1:14" ht="15" customHeight="1">
      <c r="A293" s="64">
        <f>A287+1</f>
        <v>129</v>
      </c>
      <c r="B293" s="46" t="s">
        <v>309</v>
      </c>
      <c r="C293" s="47" t="s">
        <v>326</v>
      </c>
      <c r="D293" s="47">
        <v>1</v>
      </c>
      <c r="E293" s="47" t="s">
        <v>3</v>
      </c>
      <c r="F293" s="49"/>
      <c r="G293" s="50" t="e">
        <f>I293+K293+M293</f>
        <v>#REF!</v>
      </c>
      <c r="H293" s="49"/>
      <c r="I293" s="50" t="e">
        <f>TRUNC(I294+I295+I296,0)</f>
        <v>#REF!</v>
      </c>
      <c r="J293" s="49"/>
      <c r="K293" s="50" t="e">
        <f>TRUNC(K294+K295+K296,0)</f>
        <v>#REF!</v>
      </c>
      <c r="L293" s="49"/>
      <c r="M293" s="50" t="e">
        <f>TRUNC(M294+M295+M296,0)</f>
        <v>#REF!</v>
      </c>
      <c r="N293" s="63" t="s">
        <v>308</v>
      </c>
    </row>
    <row r="294" spans="1:14" ht="15" customHeight="1">
      <c r="A294" s="13"/>
      <c r="B294" s="14" t="s">
        <v>261</v>
      </c>
      <c r="C294" s="1" t="s">
        <v>32</v>
      </c>
      <c r="D294" s="3">
        <v>1.54</v>
      </c>
      <c r="E294" s="1" t="s">
        <v>24</v>
      </c>
      <c r="F294" s="4">
        <f>H294+J294+L294</f>
        <v>262580</v>
      </c>
      <c r="G294" s="8">
        <f>I294+K294+M294</f>
        <v>404373.2</v>
      </c>
      <c r="H294" s="4">
        <v>0</v>
      </c>
      <c r="I294" s="8"/>
      <c r="J294" s="4">
        <f>노임!$D$10</f>
        <v>262580</v>
      </c>
      <c r="K294" s="8">
        <f>TRUNC(J294*D294,1)</f>
        <v>404373.2</v>
      </c>
      <c r="L294" s="4">
        <v>0</v>
      </c>
      <c r="M294" s="8"/>
      <c r="N294" s="12" t="s">
        <v>0</v>
      </c>
    </row>
    <row r="295" spans="1:14" ht="15" customHeight="1">
      <c r="A295" s="13"/>
      <c r="B295" s="14" t="s">
        <v>262</v>
      </c>
      <c r="C295" s="1" t="s">
        <v>0</v>
      </c>
      <c r="D295" s="3">
        <v>0.75</v>
      </c>
      <c r="E295" s="1" t="s">
        <v>24</v>
      </c>
      <c r="F295" s="4">
        <f>H295+J295+L295</f>
        <v>172068</v>
      </c>
      <c r="G295" s="8">
        <f>I295+K295+M295</f>
        <v>129051</v>
      </c>
      <c r="H295" s="4">
        <v>0</v>
      </c>
      <c r="I295" s="8"/>
      <c r="J295" s="4">
        <f>노임!$D$3</f>
        <v>172068</v>
      </c>
      <c r="K295" s="8">
        <f>TRUNC(J295*D295,1)</f>
        <v>129051</v>
      </c>
      <c r="L295" s="4">
        <v>0</v>
      </c>
      <c r="M295" s="8"/>
      <c r="N295" s="12" t="s">
        <v>0</v>
      </c>
    </row>
    <row r="296" spans="1:14" ht="15" customHeight="1">
      <c r="A296" s="13"/>
      <c r="B296" s="14" t="s">
        <v>263</v>
      </c>
      <c r="C296" s="1" t="s">
        <v>199</v>
      </c>
      <c r="D296" s="3">
        <v>1.78</v>
      </c>
      <c r="E296" s="1" t="s">
        <v>7</v>
      </c>
      <c r="F296" s="4" t="e">
        <f>H296+J296+L296</f>
        <v>#REF!</v>
      </c>
      <c r="G296" s="8" t="e">
        <f>I296+K296+M296</f>
        <v>#REF!</v>
      </c>
      <c r="H296" s="4" t="e">
        <f>#REF!</f>
        <v>#REF!</v>
      </c>
      <c r="I296" s="8" t="e">
        <f>TRUNC(H296*D296,1)</f>
        <v>#REF!</v>
      </c>
      <c r="J296" s="4" t="e">
        <f>#REF!</f>
        <v>#REF!</v>
      </c>
      <c r="K296" s="8" t="e">
        <f>TRUNC(J296*D296,1)</f>
        <v>#REF!</v>
      </c>
      <c r="L296" s="4" t="e">
        <f>#REF!</f>
        <v>#REF!</v>
      </c>
      <c r="M296" s="8" t="e">
        <f>TRUNC(L296*D296,1)</f>
        <v>#REF!</v>
      </c>
      <c r="N296" s="12" t="s">
        <v>0</v>
      </c>
    </row>
    <row r="297" spans="1:14" ht="15" customHeight="1">
      <c r="A297" s="13"/>
      <c r="B297" s="14" t="s">
        <v>297</v>
      </c>
      <c r="C297" s="1" t="s">
        <v>220</v>
      </c>
      <c r="D297" s="3"/>
      <c r="E297" s="1" t="s">
        <v>221</v>
      </c>
      <c r="F297" s="4">
        <f>H297+J297+L297</f>
        <v>0</v>
      </c>
      <c r="G297" s="8" t="e">
        <f>I297+K297+M297</f>
        <v>#REF!</v>
      </c>
      <c r="H297" s="4"/>
      <c r="I297" s="8"/>
      <c r="J297" s="4"/>
      <c r="K297" s="8"/>
      <c r="L297" s="4"/>
      <c r="M297" s="8" t="e">
        <f>TRUNC((K294+K295+K296)*D297%,1)</f>
        <v>#REF!</v>
      </c>
      <c r="N297" s="12"/>
    </row>
    <row r="298" spans="1:14" ht="15" customHeight="1">
      <c r="A298" s="16"/>
      <c r="B298" s="15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12"/>
    </row>
    <row r="299" spans="1:14" ht="15" customHeight="1">
      <c r="A299" s="64">
        <f>A293+1</f>
        <v>130</v>
      </c>
      <c r="B299" s="46" t="s">
        <v>309</v>
      </c>
      <c r="C299" s="47" t="s">
        <v>327</v>
      </c>
      <c r="D299" s="47">
        <v>1</v>
      </c>
      <c r="E299" s="47" t="s">
        <v>3</v>
      </c>
      <c r="F299" s="49"/>
      <c r="G299" s="50" t="e">
        <f>I299+K299+M299</f>
        <v>#REF!</v>
      </c>
      <c r="H299" s="49"/>
      <c r="I299" s="50" t="e">
        <f>TRUNC(I300+I301+I302,0)</f>
        <v>#REF!</v>
      </c>
      <c r="J299" s="49"/>
      <c r="K299" s="50" t="e">
        <f>TRUNC(K300+K301+K302,0)</f>
        <v>#REF!</v>
      </c>
      <c r="L299" s="49"/>
      <c r="M299" s="50" t="e">
        <f>TRUNC(M300+M301+M302,0)</f>
        <v>#REF!</v>
      </c>
      <c r="N299" s="63" t="s">
        <v>308</v>
      </c>
    </row>
    <row r="300" spans="1:14" ht="15" customHeight="1">
      <c r="A300" s="13"/>
      <c r="B300" s="14" t="s">
        <v>261</v>
      </c>
      <c r="C300" s="1" t="s">
        <v>32</v>
      </c>
      <c r="D300" s="3">
        <v>1.63</v>
      </c>
      <c r="E300" s="1" t="s">
        <v>24</v>
      </c>
      <c r="F300" s="4">
        <f>H300+J300+L300</f>
        <v>262580</v>
      </c>
      <c r="G300" s="8">
        <f>I300+K300+M300</f>
        <v>428005.4</v>
      </c>
      <c r="H300" s="4">
        <v>0</v>
      </c>
      <c r="I300" s="8"/>
      <c r="J300" s="4">
        <f>노임!$D$10</f>
        <v>262580</v>
      </c>
      <c r="K300" s="8">
        <f>TRUNC(J300*D300,1)</f>
        <v>428005.4</v>
      </c>
      <c r="L300" s="4">
        <v>0</v>
      </c>
      <c r="M300" s="8"/>
      <c r="N300" s="12" t="s">
        <v>0</v>
      </c>
    </row>
    <row r="301" spans="1:14" ht="15" customHeight="1">
      <c r="A301" s="13"/>
      <c r="B301" s="14" t="s">
        <v>262</v>
      </c>
      <c r="C301" s="1" t="s">
        <v>0</v>
      </c>
      <c r="D301" s="3">
        <v>0.86</v>
      </c>
      <c r="E301" s="1" t="s">
        <v>24</v>
      </c>
      <c r="F301" s="4">
        <f>H301+J301+L301</f>
        <v>172068</v>
      </c>
      <c r="G301" s="8">
        <f>I301+K301+M301</f>
        <v>147978.4</v>
      </c>
      <c r="H301" s="4">
        <v>0</v>
      </c>
      <c r="I301" s="8"/>
      <c r="J301" s="4">
        <f>노임!$D$3</f>
        <v>172068</v>
      </c>
      <c r="K301" s="8">
        <f>TRUNC(J301*D301,1)</f>
        <v>147978.4</v>
      </c>
      <c r="L301" s="4">
        <v>0</v>
      </c>
      <c r="M301" s="8"/>
      <c r="N301" s="12" t="s">
        <v>0</v>
      </c>
    </row>
    <row r="302" spans="1:14" ht="15" customHeight="1">
      <c r="A302" s="13"/>
      <c r="B302" s="14" t="s">
        <v>263</v>
      </c>
      <c r="C302" s="1" t="s">
        <v>199</v>
      </c>
      <c r="D302" s="3">
        <v>1.82</v>
      </c>
      <c r="E302" s="1" t="s">
        <v>7</v>
      </c>
      <c r="F302" s="4" t="e">
        <f>H302+J302+L302</f>
        <v>#REF!</v>
      </c>
      <c r="G302" s="8" t="e">
        <f>I302+K302+M302</f>
        <v>#REF!</v>
      </c>
      <c r="H302" s="4" t="e">
        <f>#REF!</f>
        <v>#REF!</v>
      </c>
      <c r="I302" s="8" t="e">
        <f>TRUNC(H302*D302,1)</f>
        <v>#REF!</v>
      </c>
      <c r="J302" s="4" t="e">
        <f>#REF!</f>
        <v>#REF!</v>
      </c>
      <c r="K302" s="8" t="e">
        <f>TRUNC(J302*D302,1)</f>
        <v>#REF!</v>
      </c>
      <c r="L302" s="4" t="e">
        <f>#REF!</f>
        <v>#REF!</v>
      </c>
      <c r="M302" s="8" t="e">
        <f>TRUNC(L302*D302,1)</f>
        <v>#REF!</v>
      </c>
      <c r="N302" s="12" t="s">
        <v>0</v>
      </c>
    </row>
    <row r="303" spans="1:14" ht="15" customHeight="1">
      <c r="A303" s="13"/>
      <c r="B303" s="14" t="s">
        <v>297</v>
      </c>
      <c r="C303" s="1" t="s">
        <v>220</v>
      </c>
      <c r="D303" s="3"/>
      <c r="E303" s="1" t="s">
        <v>221</v>
      </c>
      <c r="F303" s="4">
        <f>H303+J303+L303</f>
        <v>0</v>
      </c>
      <c r="G303" s="8" t="e">
        <f>I303+K303+M303</f>
        <v>#REF!</v>
      </c>
      <c r="H303" s="4"/>
      <c r="I303" s="8"/>
      <c r="J303" s="4"/>
      <c r="K303" s="8"/>
      <c r="L303" s="4"/>
      <c r="M303" s="8" t="e">
        <f>TRUNC((K300+K301+K302)*D303%,1)</f>
        <v>#REF!</v>
      </c>
      <c r="N303" s="12"/>
    </row>
    <row r="304" spans="1:14" ht="15" customHeight="1">
      <c r="A304" s="16"/>
      <c r="B304" s="15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12"/>
    </row>
    <row r="305" spans="1:14" ht="15" customHeight="1">
      <c r="A305" s="64">
        <f>A299+1</f>
        <v>131</v>
      </c>
      <c r="B305" s="46" t="s">
        <v>309</v>
      </c>
      <c r="C305" s="47" t="s">
        <v>328</v>
      </c>
      <c r="D305" s="47">
        <v>1</v>
      </c>
      <c r="E305" s="47" t="s">
        <v>3</v>
      </c>
      <c r="F305" s="49"/>
      <c r="G305" s="50" t="e">
        <f>I305+K305+M305</f>
        <v>#REF!</v>
      </c>
      <c r="H305" s="49"/>
      <c r="I305" s="50" t="e">
        <f>TRUNC(I306+I307+I308,0)</f>
        <v>#REF!</v>
      </c>
      <c r="J305" s="49"/>
      <c r="K305" s="50" t="e">
        <f>TRUNC(K306+K307+K308,0)</f>
        <v>#REF!</v>
      </c>
      <c r="L305" s="49"/>
      <c r="M305" s="50" t="e">
        <f>TRUNC(M306+M307+M308,0)</f>
        <v>#REF!</v>
      </c>
      <c r="N305" s="63" t="s">
        <v>308</v>
      </c>
    </row>
    <row r="306" spans="1:14" ht="15" customHeight="1">
      <c r="A306" s="13"/>
      <c r="B306" s="14" t="s">
        <v>261</v>
      </c>
      <c r="C306" s="1" t="s">
        <v>32</v>
      </c>
      <c r="D306" s="3">
        <v>1.74</v>
      </c>
      <c r="E306" s="1" t="s">
        <v>24</v>
      </c>
      <c r="F306" s="4">
        <f>H306+J306+L306</f>
        <v>262580</v>
      </c>
      <c r="G306" s="8">
        <f>I306+K306+M306</f>
        <v>456889.2</v>
      </c>
      <c r="H306" s="4">
        <v>0</v>
      </c>
      <c r="I306" s="8"/>
      <c r="J306" s="4">
        <f>노임!$D$10</f>
        <v>262580</v>
      </c>
      <c r="K306" s="8">
        <f>TRUNC(J306*D306,1)</f>
        <v>456889.2</v>
      </c>
      <c r="L306" s="4">
        <v>0</v>
      </c>
      <c r="M306" s="8"/>
      <c r="N306" s="12" t="s">
        <v>0</v>
      </c>
    </row>
    <row r="307" spans="1:14" ht="15" customHeight="1">
      <c r="A307" s="13"/>
      <c r="B307" s="14" t="s">
        <v>262</v>
      </c>
      <c r="C307" s="1" t="s">
        <v>0</v>
      </c>
      <c r="D307" s="3">
        <v>0.99</v>
      </c>
      <c r="E307" s="1" t="s">
        <v>24</v>
      </c>
      <c r="F307" s="4">
        <f>H307+J307+L307</f>
        <v>172068</v>
      </c>
      <c r="G307" s="8">
        <f>I307+K307+M307</f>
        <v>170347.3</v>
      </c>
      <c r="H307" s="4">
        <v>0</v>
      </c>
      <c r="I307" s="8"/>
      <c r="J307" s="4">
        <f>노임!$D$3</f>
        <v>172068</v>
      </c>
      <c r="K307" s="8">
        <f>TRUNC(J307*D307,1)</f>
        <v>170347.3</v>
      </c>
      <c r="L307" s="4">
        <v>0</v>
      </c>
      <c r="M307" s="8"/>
      <c r="N307" s="12" t="s">
        <v>0</v>
      </c>
    </row>
    <row r="308" spans="1:14" ht="15" customHeight="1">
      <c r="A308" s="13"/>
      <c r="B308" s="14" t="s">
        <v>263</v>
      </c>
      <c r="C308" s="1" t="s">
        <v>199</v>
      </c>
      <c r="D308" s="3">
        <v>2.02</v>
      </c>
      <c r="E308" s="1" t="s">
        <v>7</v>
      </c>
      <c r="F308" s="4" t="e">
        <f>H308+J308+L308</f>
        <v>#REF!</v>
      </c>
      <c r="G308" s="8" t="e">
        <f>I308+K308+M308</f>
        <v>#REF!</v>
      </c>
      <c r="H308" s="4" t="e">
        <f>#REF!</f>
        <v>#REF!</v>
      </c>
      <c r="I308" s="8" t="e">
        <f>TRUNC(H308*D308,1)</f>
        <v>#REF!</v>
      </c>
      <c r="J308" s="4" t="e">
        <f>#REF!</f>
        <v>#REF!</v>
      </c>
      <c r="K308" s="8" t="e">
        <f>TRUNC(J308*D308,1)</f>
        <v>#REF!</v>
      </c>
      <c r="L308" s="4" t="e">
        <f>#REF!</f>
        <v>#REF!</v>
      </c>
      <c r="M308" s="8" t="e">
        <f>TRUNC(L308*D308,1)</f>
        <v>#REF!</v>
      </c>
      <c r="N308" s="12" t="s">
        <v>0</v>
      </c>
    </row>
    <row r="309" spans="1:14" ht="15" customHeight="1">
      <c r="A309" s="13"/>
      <c r="B309" s="14" t="s">
        <v>297</v>
      </c>
      <c r="C309" s="1" t="s">
        <v>220</v>
      </c>
      <c r="D309" s="3"/>
      <c r="E309" s="1" t="s">
        <v>221</v>
      </c>
      <c r="F309" s="4">
        <f>H309+J309+L309</f>
        <v>0</v>
      </c>
      <c r="G309" s="8" t="e">
        <f>I309+K309+M309</f>
        <v>#REF!</v>
      </c>
      <c r="H309" s="4"/>
      <c r="I309" s="8"/>
      <c r="J309" s="4"/>
      <c r="K309" s="8"/>
      <c r="L309" s="4"/>
      <c r="M309" s="8" t="e">
        <f>TRUNC((K306+K307+K308)*D309%,1)</f>
        <v>#REF!</v>
      </c>
      <c r="N309" s="12"/>
    </row>
    <row r="310" spans="1:14" ht="15" customHeight="1">
      <c r="A310" s="16"/>
      <c r="B310" s="15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12"/>
    </row>
    <row r="311" spans="1:14" ht="15" customHeight="1">
      <c r="A311" s="64">
        <f>A305+1</f>
        <v>132</v>
      </c>
      <c r="B311" s="46" t="s">
        <v>309</v>
      </c>
      <c r="C311" s="47" t="s">
        <v>329</v>
      </c>
      <c r="D311" s="47">
        <v>1</v>
      </c>
      <c r="E311" s="47" t="s">
        <v>3</v>
      </c>
      <c r="F311" s="49"/>
      <c r="G311" s="50" t="e">
        <f>I311+K311+M311</f>
        <v>#REF!</v>
      </c>
      <c r="H311" s="49"/>
      <c r="I311" s="50" t="e">
        <f>TRUNC(I312+I313+I314,0)</f>
        <v>#REF!</v>
      </c>
      <c r="J311" s="49"/>
      <c r="K311" s="50" t="e">
        <f>TRUNC(K312+K313+K314,0)</f>
        <v>#REF!</v>
      </c>
      <c r="L311" s="49"/>
      <c r="M311" s="50" t="e">
        <f>TRUNC(M312+M313+M314,0)</f>
        <v>#REF!</v>
      </c>
      <c r="N311" s="63" t="s">
        <v>308</v>
      </c>
    </row>
    <row r="312" spans="1:14" ht="15" customHeight="1">
      <c r="A312" s="13"/>
      <c r="B312" s="14" t="s">
        <v>261</v>
      </c>
      <c r="C312" s="1" t="s">
        <v>32</v>
      </c>
      <c r="D312" s="3">
        <v>1.85</v>
      </c>
      <c r="E312" s="1" t="s">
        <v>24</v>
      </c>
      <c r="F312" s="4">
        <f>H312+J312+L312</f>
        <v>262580</v>
      </c>
      <c r="G312" s="8">
        <f>I312+K312+M312</f>
        <v>485773</v>
      </c>
      <c r="H312" s="4">
        <v>0</v>
      </c>
      <c r="I312" s="8"/>
      <c r="J312" s="4">
        <f>노임!$D$10</f>
        <v>262580</v>
      </c>
      <c r="K312" s="8">
        <f>TRUNC(J312*D312,1)</f>
        <v>485773</v>
      </c>
      <c r="L312" s="4">
        <v>0</v>
      </c>
      <c r="M312" s="8"/>
      <c r="N312" s="12" t="s">
        <v>0</v>
      </c>
    </row>
    <row r="313" spans="1:14" ht="15" customHeight="1">
      <c r="A313" s="13"/>
      <c r="B313" s="14" t="s">
        <v>262</v>
      </c>
      <c r="C313" s="1" t="s">
        <v>0</v>
      </c>
      <c r="D313" s="3">
        <v>1.18</v>
      </c>
      <c r="E313" s="1" t="s">
        <v>24</v>
      </c>
      <c r="F313" s="4">
        <f>H313+J313+L313</f>
        <v>172068</v>
      </c>
      <c r="G313" s="8">
        <f>I313+K313+M313</f>
        <v>203040.2</v>
      </c>
      <c r="H313" s="4">
        <v>0</v>
      </c>
      <c r="I313" s="8"/>
      <c r="J313" s="4">
        <f>노임!$D$3</f>
        <v>172068</v>
      </c>
      <c r="K313" s="8">
        <f>TRUNC(J313*D313,1)</f>
        <v>203040.2</v>
      </c>
      <c r="L313" s="4">
        <v>0</v>
      </c>
      <c r="M313" s="8"/>
      <c r="N313" s="12" t="s">
        <v>0</v>
      </c>
    </row>
    <row r="314" spans="1:14" ht="15" customHeight="1">
      <c r="A314" s="13"/>
      <c r="B314" s="14" t="s">
        <v>263</v>
      </c>
      <c r="C314" s="1" t="s">
        <v>199</v>
      </c>
      <c r="D314" s="3">
        <v>2.4300000000000002</v>
      </c>
      <c r="E314" s="1" t="s">
        <v>7</v>
      </c>
      <c r="F314" s="4" t="e">
        <f>H314+J314+L314</f>
        <v>#REF!</v>
      </c>
      <c r="G314" s="8" t="e">
        <f>I314+K314+M314</f>
        <v>#REF!</v>
      </c>
      <c r="H314" s="4" t="e">
        <f>#REF!</f>
        <v>#REF!</v>
      </c>
      <c r="I314" s="8" t="e">
        <f>TRUNC(H314*D314,1)</f>
        <v>#REF!</v>
      </c>
      <c r="J314" s="4" t="e">
        <f>#REF!</f>
        <v>#REF!</v>
      </c>
      <c r="K314" s="8" t="e">
        <f>TRUNC(J314*D314,1)</f>
        <v>#REF!</v>
      </c>
      <c r="L314" s="4" t="e">
        <f>#REF!</f>
        <v>#REF!</v>
      </c>
      <c r="M314" s="8" t="e">
        <f>TRUNC(L314*D314,1)</f>
        <v>#REF!</v>
      </c>
      <c r="N314" s="12" t="s">
        <v>0</v>
      </c>
    </row>
    <row r="315" spans="1:14" ht="15" customHeight="1">
      <c r="A315" s="13"/>
      <c r="B315" s="14" t="s">
        <v>297</v>
      </c>
      <c r="C315" s="1" t="s">
        <v>220</v>
      </c>
      <c r="D315" s="3"/>
      <c r="E315" s="1" t="s">
        <v>221</v>
      </c>
      <c r="F315" s="4">
        <f>H315+J315+L315</f>
        <v>0</v>
      </c>
      <c r="G315" s="8" t="e">
        <f>I315+K315+M315</f>
        <v>#REF!</v>
      </c>
      <c r="H315" s="4"/>
      <c r="I315" s="8"/>
      <c r="J315" s="4"/>
      <c r="K315" s="8"/>
      <c r="L315" s="4"/>
      <c r="M315" s="8" t="e">
        <f>TRUNC((K312+K313+K314)*D315%,1)</f>
        <v>#REF!</v>
      </c>
      <c r="N315" s="12"/>
    </row>
    <row r="316" spans="1:14" ht="15" customHeight="1">
      <c r="A316" s="16"/>
      <c r="B316" s="15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12"/>
    </row>
    <row r="317" spans="1:14" ht="15" customHeight="1">
      <c r="A317" s="64">
        <f>A311+1</f>
        <v>133</v>
      </c>
      <c r="B317" s="46" t="s">
        <v>309</v>
      </c>
      <c r="C317" s="47" t="s">
        <v>330</v>
      </c>
      <c r="D317" s="47">
        <v>1</v>
      </c>
      <c r="E317" s="47" t="s">
        <v>3</v>
      </c>
      <c r="F317" s="49"/>
      <c r="G317" s="50" t="e">
        <f>I317+K317+M317</f>
        <v>#REF!</v>
      </c>
      <c r="H317" s="49"/>
      <c r="I317" s="50" t="e">
        <f>TRUNC(I318+I319+I320,0)</f>
        <v>#REF!</v>
      </c>
      <c r="J317" s="49"/>
      <c r="K317" s="50" t="e">
        <f>TRUNC(K318+K319+K320,0)</f>
        <v>#REF!</v>
      </c>
      <c r="L317" s="49"/>
      <c r="M317" s="50" t="e">
        <f>TRUNC(M318+M319+M320,0)</f>
        <v>#REF!</v>
      </c>
      <c r="N317" s="63" t="s">
        <v>308</v>
      </c>
    </row>
    <row r="318" spans="1:14" ht="15" customHeight="1">
      <c r="A318" s="13"/>
      <c r="B318" s="14" t="s">
        <v>261</v>
      </c>
      <c r="C318" s="1" t="s">
        <v>32</v>
      </c>
      <c r="D318" s="3">
        <v>1.95</v>
      </c>
      <c r="E318" s="1" t="s">
        <v>24</v>
      </c>
      <c r="F318" s="4">
        <f>H318+J318+L318</f>
        <v>262580</v>
      </c>
      <c r="G318" s="8">
        <f>I318+K318+M318</f>
        <v>512031</v>
      </c>
      <c r="H318" s="4">
        <v>0</v>
      </c>
      <c r="I318" s="8"/>
      <c r="J318" s="4">
        <f>노임!$D$10</f>
        <v>262580</v>
      </c>
      <c r="K318" s="8">
        <f>TRUNC(J318*D318,1)</f>
        <v>512031</v>
      </c>
      <c r="L318" s="4">
        <v>0</v>
      </c>
      <c r="M318" s="8"/>
      <c r="N318" s="12" t="s">
        <v>0</v>
      </c>
    </row>
    <row r="319" spans="1:14" ht="15" customHeight="1">
      <c r="A319" s="13"/>
      <c r="B319" s="14" t="s">
        <v>262</v>
      </c>
      <c r="C319" s="1" t="s">
        <v>0</v>
      </c>
      <c r="D319" s="3">
        <v>1.26</v>
      </c>
      <c r="E319" s="1" t="s">
        <v>24</v>
      </c>
      <c r="F319" s="4">
        <f>H319+J319+L319</f>
        <v>172068</v>
      </c>
      <c r="G319" s="8">
        <f>I319+K319+M319</f>
        <v>216805.6</v>
      </c>
      <c r="H319" s="4">
        <v>0</v>
      </c>
      <c r="I319" s="8"/>
      <c r="J319" s="4">
        <f>노임!$D$3</f>
        <v>172068</v>
      </c>
      <c r="K319" s="8">
        <f>TRUNC(J319*D319,1)</f>
        <v>216805.6</v>
      </c>
      <c r="L319" s="4">
        <v>0</v>
      </c>
      <c r="M319" s="8"/>
      <c r="N319" s="12" t="s">
        <v>0</v>
      </c>
    </row>
    <row r="320" spans="1:14" ht="15" customHeight="1">
      <c r="A320" s="13"/>
      <c r="B320" s="14" t="s">
        <v>263</v>
      </c>
      <c r="C320" s="1" t="s">
        <v>247</v>
      </c>
      <c r="D320" s="3">
        <v>2.5299999999999998</v>
      </c>
      <c r="E320" s="1" t="s">
        <v>7</v>
      </c>
      <c r="F320" s="4" t="e">
        <f>H320+J320+L320</f>
        <v>#REF!</v>
      </c>
      <c r="G320" s="8" t="e">
        <f>I320+K320+M320</f>
        <v>#REF!</v>
      </c>
      <c r="H320" s="4" t="e">
        <f>#REF!</f>
        <v>#REF!</v>
      </c>
      <c r="I320" s="8" t="e">
        <f>TRUNC(H320*D320,1)</f>
        <v>#REF!</v>
      </c>
      <c r="J320" s="4" t="e">
        <f>#REF!</f>
        <v>#REF!</v>
      </c>
      <c r="K320" s="8" t="e">
        <f>TRUNC(J320*D320,1)</f>
        <v>#REF!</v>
      </c>
      <c r="L320" s="4" t="e">
        <f>#REF!</f>
        <v>#REF!</v>
      </c>
      <c r="M320" s="8" t="e">
        <f>TRUNC(L320*D320,1)</f>
        <v>#REF!</v>
      </c>
      <c r="N320" s="12" t="s">
        <v>0</v>
      </c>
    </row>
    <row r="321" spans="1:14" ht="15" customHeight="1">
      <c r="A321" s="13"/>
      <c r="B321" s="14" t="s">
        <v>297</v>
      </c>
      <c r="C321" s="1" t="s">
        <v>220</v>
      </c>
      <c r="D321" s="3"/>
      <c r="E321" s="1" t="s">
        <v>221</v>
      </c>
      <c r="F321" s="4">
        <f>H321+J321+L321</f>
        <v>0</v>
      </c>
      <c r="G321" s="8" t="e">
        <f>I321+K321+M321</f>
        <v>#REF!</v>
      </c>
      <c r="H321" s="4"/>
      <c r="I321" s="8"/>
      <c r="J321" s="4"/>
      <c r="K321" s="8"/>
      <c r="L321" s="4"/>
      <c r="M321" s="8" t="e">
        <f>TRUNC((K318+K319+K320)*D321%,1)</f>
        <v>#REF!</v>
      </c>
      <c r="N321" s="12"/>
    </row>
    <row r="322" spans="1:14" ht="15" customHeight="1">
      <c r="A322" s="16"/>
      <c r="B322" s="15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12"/>
    </row>
    <row r="323" spans="1:14" ht="15" customHeight="1">
      <c r="A323" s="64">
        <f>A317+1</f>
        <v>134</v>
      </c>
      <c r="B323" s="46" t="s">
        <v>309</v>
      </c>
      <c r="C323" s="47" t="s">
        <v>331</v>
      </c>
      <c r="D323" s="47">
        <v>1</v>
      </c>
      <c r="E323" s="47" t="s">
        <v>3</v>
      </c>
      <c r="F323" s="49"/>
      <c r="G323" s="50" t="e">
        <f>I323+K323+M323</f>
        <v>#REF!</v>
      </c>
      <c r="H323" s="49"/>
      <c r="I323" s="50" t="e">
        <f>TRUNC(I324+I325+I326,0)</f>
        <v>#REF!</v>
      </c>
      <c r="J323" s="49"/>
      <c r="K323" s="50" t="e">
        <f>TRUNC(K324+K325+K326,0)</f>
        <v>#REF!</v>
      </c>
      <c r="L323" s="49"/>
      <c r="M323" s="50" t="e">
        <f>TRUNC(M324+M325+M326,0)</f>
        <v>#REF!</v>
      </c>
      <c r="N323" s="63" t="s">
        <v>308</v>
      </c>
    </row>
    <row r="324" spans="1:14" ht="15" customHeight="1">
      <c r="A324" s="13"/>
      <c r="B324" s="14" t="s">
        <v>261</v>
      </c>
      <c r="C324" s="1" t="s">
        <v>32</v>
      </c>
      <c r="D324" s="3">
        <v>2.0299999999999998</v>
      </c>
      <c r="E324" s="1" t="s">
        <v>24</v>
      </c>
      <c r="F324" s="4">
        <f>H324+J324+L324</f>
        <v>262580</v>
      </c>
      <c r="G324" s="8">
        <f>I324+K324+M324</f>
        <v>533037.4</v>
      </c>
      <c r="H324" s="4">
        <v>0</v>
      </c>
      <c r="I324" s="8"/>
      <c r="J324" s="4">
        <f>노임!$D$10</f>
        <v>262580</v>
      </c>
      <c r="K324" s="8">
        <f>TRUNC(J324*D324,1)</f>
        <v>533037.4</v>
      </c>
      <c r="L324" s="4">
        <v>0</v>
      </c>
      <c r="M324" s="8"/>
      <c r="N324" s="12" t="s">
        <v>0</v>
      </c>
    </row>
    <row r="325" spans="1:14" ht="15" customHeight="1">
      <c r="A325" s="13"/>
      <c r="B325" s="14" t="s">
        <v>262</v>
      </c>
      <c r="C325" s="1" t="s">
        <v>0</v>
      </c>
      <c r="D325" s="3">
        <v>1.37</v>
      </c>
      <c r="E325" s="1" t="s">
        <v>24</v>
      </c>
      <c r="F325" s="4">
        <f>H325+J325+L325</f>
        <v>172068</v>
      </c>
      <c r="G325" s="8">
        <f>I325+K325+M325</f>
        <v>235733.1</v>
      </c>
      <c r="H325" s="4">
        <v>0</v>
      </c>
      <c r="I325" s="8"/>
      <c r="J325" s="4">
        <f>노임!$D$3</f>
        <v>172068</v>
      </c>
      <c r="K325" s="8">
        <f>TRUNC(J325*D325,1)</f>
        <v>235733.1</v>
      </c>
      <c r="L325" s="4">
        <v>0</v>
      </c>
      <c r="M325" s="8"/>
      <c r="N325" s="12" t="s">
        <v>0</v>
      </c>
    </row>
    <row r="326" spans="1:14" ht="15" customHeight="1">
      <c r="A326" s="13"/>
      <c r="B326" s="14" t="s">
        <v>263</v>
      </c>
      <c r="C326" s="1" t="s">
        <v>247</v>
      </c>
      <c r="D326" s="3">
        <v>2.82</v>
      </c>
      <c r="E326" s="1" t="s">
        <v>7</v>
      </c>
      <c r="F326" s="4" t="e">
        <f>H326+J326+L326</f>
        <v>#REF!</v>
      </c>
      <c r="G326" s="8" t="e">
        <f>I326+K326+M326</f>
        <v>#REF!</v>
      </c>
      <c r="H326" s="4" t="e">
        <f>#REF!</f>
        <v>#REF!</v>
      </c>
      <c r="I326" s="8" t="e">
        <f>TRUNC(H326*D326,1)</f>
        <v>#REF!</v>
      </c>
      <c r="J326" s="4" t="e">
        <f>#REF!</f>
        <v>#REF!</v>
      </c>
      <c r="K326" s="8" t="e">
        <f>TRUNC(J326*D326,1)</f>
        <v>#REF!</v>
      </c>
      <c r="L326" s="4" t="e">
        <f>#REF!</f>
        <v>#REF!</v>
      </c>
      <c r="M326" s="8" t="e">
        <f>TRUNC(L326*D326,1)</f>
        <v>#REF!</v>
      </c>
      <c r="N326" s="12" t="s">
        <v>0</v>
      </c>
    </row>
    <row r="327" spans="1:14" ht="15" customHeight="1">
      <c r="A327" s="13"/>
      <c r="B327" s="14" t="s">
        <v>297</v>
      </c>
      <c r="C327" s="1" t="s">
        <v>220</v>
      </c>
      <c r="D327" s="3"/>
      <c r="E327" s="1" t="s">
        <v>221</v>
      </c>
      <c r="F327" s="4">
        <f>H327+J327+L327</f>
        <v>0</v>
      </c>
      <c r="G327" s="8" t="e">
        <f>I327+K327+M327</f>
        <v>#REF!</v>
      </c>
      <c r="H327" s="4"/>
      <c r="I327" s="8"/>
      <c r="J327" s="4"/>
      <c r="K327" s="8"/>
      <c r="L327" s="4"/>
      <c r="M327" s="8" t="e">
        <f>TRUNC((K324+K325+K326)*D327%,1)</f>
        <v>#REF!</v>
      </c>
      <c r="N327" s="12"/>
    </row>
    <row r="328" spans="1:14" ht="15" customHeight="1">
      <c r="A328" s="16"/>
      <c r="B328" s="15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12"/>
    </row>
    <row r="329" spans="1:14" ht="15" customHeight="1">
      <c r="A329" s="64">
        <f>A323+1</f>
        <v>135</v>
      </c>
      <c r="B329" s="46" t="s">
        <v>309</v>
      </c>
      <c r="C329" s="47" t="s">
        <v>332</v>
      </c>
      <c r="D329" s="47">
        <v>1</v>
      </c>
      <c r="E329" s="47" t="s">
        <v>3</v>
      </c>
      <c r="F329" s="49"/>
      <c r="G329" s="50" t="e">
        <f>I329+K329+M329</f>
        <v>#REF!</v>
      </c>
      <c r="H329" s="49"/>
      <c r="I329" s="50" t="e">
        <f>TRUNC(I330+I331+I332,0)</f>
        <v>#REF!</v>
      </c>
      <c r="J329" s="49"/>
      <c r="K329" s="50" t="e">
        <f>TRUNC(K330+K331+K332,0)</f>
        <v>#REF!</v>
      </c>
      <c r="L329" s="49"/>
      <c r="M329" s="50" t="e">
        <f>TRUNC(M330+M331+M332,0)</f>
        <v>#REF!</v>
      </c>
      <c r="N329" s="63" t="s">
        <v>308</v>
      </c>
    </row>
    <row r="330" spans="1:14" ht="15" customHeight="1">
      <c r="A330" s="13"/>
      <c r="B330" s="14" t="s">
        <v>261</v>
      </c>
      <c r="C330" s="1" t="s">
        <v>32</v>
      </c>
      <c r="D330" s="3">
        <v>2.14</v>
      </c>
      <c r="E330" s="1" t="s">
        <v>24</v>
      </c>
      <c r="F330" s="4">
        <f>H330+J330+L330</f>
        <v>262580</v>
      </c>
      <c r="G330" s="8">
        <f>I330+K330+M330</f>
        <v>561921.19999999995</v>
      </c>
      <c r="H330" s="4">
        <v>0</v>
      </c>
      <c r="I330" s="8"/>
      <c r="J330" s="4">
        <f>노임!$D$10</f>
        <v>262580</v>
      </c>
      <c r="K330" s="8">
        <f>TRUNC(J330*D330,1)</f>
        <v>561921.19999999995</v>
      </c>
      <c r="L330" s="4">
        <v>0</v>
      </c>
      <c r="M330" s="8"/>
      <c r="N330" s="12" t="s">
        <v>0</v>
      </c>
    </row>
    <row r="331" spans="1:14" ht="15" customHeight="1">
      <c r="A331" s="13"/>
      <c r="B331" s="14" t="s">
        <v>262</v>
      </c>
      <c r="C331" s="1" t="s">
        <v>0</v>
      </c>
      <c r="D331" s="3">
        <v>1.5</v>
      </c>
      <c r="E331" s="1" t="s">
        <v>24</v>
      </c>
      <c r="F331" s="4">
        <f>H331+J331+L331</f>
        <v>172068</v>
      </c>
      <c r="G331" s="8">
        <f>I331+K331+M331</f>
        <v>258102</v>
      </c>
      <c r="H331" s="4">
        <v>0</v>
      </c>
      <c r="I331" s="8"/>
      <c r="J331" s="4">
        <f>노임!$D$3</f>
        <v>172068</v>
      </c>
      <c r="K331" s="8">
        <f>TRUNC(J331*D331,1)</f>
        <v>258102</v>
      </c>
      <c r="L331" s="4">
        <v>0</v>
      </c>
      <c r="M331" s="8"/>
      <c r="N331" s="12" t="s">
        <v>0</v>
      </c>
    </row>
    <row r="332" spans="1:14" ht="15" customHeight="1">
      <c r="A332" s="13"/>
      <c r="B332" s="14" t="s">
        <v>263</v>
      </c>
      <c r="C332" s="1" t="s">
        <v>247</v>
      </c>
      <c r="D332" s="3">
        <v>3.24</v>
      </c>
      <c r="E332" s="1" t="s">
        <v>7</v>
      </c>
      <c r="F332" s="4" t="e">
        <f>H332+J332+L332</f>
        <v>#REF!</v>
      </c>
      <c r="G332" s="8" t="e">
        <f>I332+K332+M332</f>
        <v>#REF!</v>
      </c>
      <c r="H332" s="4" t="e">
        <f>#REF!</f>
        <v>#REF!</v>
      </c>
      <c r="I332" s="8" t="e">
        <f>TRUNC(H332*D332,1)</f>
        <v>#REF!</v>
      </c>
      <c r="J332" s="4" t="e">
        <f>#REF!</f>
        <v>#REF!</v>
      </c>
      <c r="K332" s="8" t="e">
        <f>TRUNC(J332*D332,1)</f>
        <v>#REF!</v>
      </c>
      <c r="L332" s="4" t="e">
        <f>#REF!</f>
        <v>#REF!</v>
      </c>
      <c r="M332" s="8" t="e">
        <f>TRUNC(L332*D332,1)</f>
        <v>#REF!</v>
      </c>
      <c r="N332" s="12" t="s">
        <v>0</v>
      </c>
    </row>
    <row r="333" spans="1:14" ht="15" customHeight="1">
      <c r="A333" s="13"/>
      <c r="B333" s="14" t="s">
        <v>297</v>
      </c>
      <c r="C333" s="1" t="s">
        <v>220</v>
      </c>
      <c r="D333" s="3"/>
      <c r="E333" s="1" t="s">
        <v>221</v>
      </c>
      <c r="F333" s="4">
        <f>H333+J333+L333</f>
        <v>0</v>
      </c>
      <c r="G333" s="8" t="e">
        <f>I333+K333+M333</f>
        <v>#REF!</v>
      </c>
      <c r="H333" s="4"/>
      <c r="I333" s="8"/>
      <c r="J333" s="4"/>
      <c r="K333" s="8"/>
      <c r="L333" s="4"/>
      <c r="M333" s="8" t="e">
        <f>TRUNC((K330+K331+K332)*D333%,1)</f>
        <v>#REF!</v>
      </c>
      <c r="N333" s="12"/>
    </row>
    <row r="334" spans="1:14" ht="15" customHeight="1">
      <c r="A334" s="16"/>
      <c r="B334" s="15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12"/>
    </row>
    <row r="335" spans="1:14" ht="15" customHeight="1">
      <c r="A335" s="64">
        <f>A329+1</f>
        <v>136</v>
      </c>
      <c r="B335" s="46" t="s">
        <v>309</v>
      </c>
      <c r="C335" s="47" t="s">
        <v>333</v>
      </c>
      <c r="D335" s="47">
        <v>1</v>
      </c>
      <c r="E335" s="47" t="s">
        <v>3</v>
      </c>
      <c r="F335" s="49"/>
      <c r="G335" s="50" t="e">
        <f>I335+K335+M335</f>
        <v>#REF!</v>
      </c>
      <c r="H335" s="49"/>
      <c r="I335" s="50" t="e">
        <f>TRUNC(I336+I337+I338,0)</f>
        <v>#REF!</v>
      </c>
      <c r="J335" s="49"/>
      <c r="K335" s="50" t="e">
        <f>TRUNC(K336+K337+K338,0)</f>
        <v>#REF!</v>
      </c>
      <c r="L335" s="49"/>
      <c r="M335" s="50" t="e">
        <f>TRUNC(M336+M337+M338,0)</f>
        <v>#REF!</v>
      </c>
      <c r="N335" s="63" t="s">
        <v>308</v>
      </c>
    </row>
    <row r="336" spans="1:14" ht="15" customHeight="1">
      <c r="A336" s="13"/>
      <c r="B336" s="14" t="s">
        <v>261</v>
      </c>
      <c r="C336" s="1" t="s">
        <v>32</v>
      </c>
      <c r="D336" s="3">
        <v>2.19</v>
      </c>
      <c r="E336" s="1" t="s">
        <v>24</v>
      </c>
      <c r="F336" s="4">
        <f>H336+J336+L336</f>
        <v>262580</v>
      </c>
      <c r="G336" s="8">
        <f>I336+K336+M336</f>
        <v>575050.19999999995</v>
      </c>
      <c r="H336" s="4">
        <v>0</v>
      </c>
      <c r="I336" s="8"/>
      <c r="J336" s="4">
        <f>노임!$D$10</f>
        <v>262580</v>
      </c>
      <c r="K336" s="8">
        <f>TRUNC(J336*D336,1)</f>
        <v>575050.19999999995</v>
      </c>
      <c r="L336" s="4">
        <v>0</v>
      </c>
      <c r="M336" s="8"/>
      <c r="N336" s="12" t="s">
        <v>0</v>
      </c>
    </row>
    <row r="337" spans="1:14" ht="15" customHeight="1">
      <c r="A337" s="13"/>
      <c r="B337" s="14" t="s">
        <v>262</v>
      </c>
      <c r="C337" s="1" t="s">
        <v>0</v>
      </c>
      <c r="D337" s="3">
        <v>1.56</v>
      </c>
      <c r="E337" s="1" t="s">
        <v>24</v>
      </c>
      <c r="F337" s="4">
        <f>H337+J337+L337</f>
        <v>172068</v>
      </c>
      <c r="G337" s="8">
        <f>I337+K337+M337</f>
        <v>268426</v>
      </c>
      <c r="H337" s="4">
        <v>0</v>
      </c>
      <c r="I337" s="8"/>
      <c r="J337" s="4">
        <f>노임!$D$3</f>
        <v>172068</v>
      </c>
      <c r="K337" s="8">
        <f>TRUNC(J337*D337,1)</f>
        <v>268426</v>
      </c>
      <c r="L337" s="4">
        <v>0</v>
      </c>
      <c r="M337" s="8"/>
      <c r="N337" s="12" t="s">
        <v>0</v>
      </c>
    </row>
    <row r="338" spans="1:14" ht="15" customHeight="1">
      <c r="A338" s="13"/>
      <c r="B338" s="14" t="s">
        <v>350</v>
      </c>
      <c r="C338" s="1" t="s">
        <v>248</v>
      </c>
      <c r="D338" s="3">
        <v>3.46</v>
      </c>
      <c r="E338" s="1" t="s">
        <v>7</v>
      </c>
      <c r="F338" s="4" t="e">
        <f>H338+J338+L338</f>
        <v>#REF!</v>
      </c>
      <c r="G338" s="8" t="e">
        <f>I338+K338+M338</f>
        <v>#REF!</v>
      </c>
      <c r="H338" s="4" t="e">
        <f>#REF!</f>
        <v>#REF!</v>
      </c>
      <c r="I338" s="8" t="e">
        <f>TRUNC(H338*D338,1)</f>
        <v>#REF!</v>
      </c>
      <c r="J338" s="4" t="e">
        <f>#REF!</f>
        <v>#REF!</v>
      </c>
      <c r="K338" s="8" t="e">
        <f>TRUNC(J338*D338,1)</f>
        <v>#REF!</v>
      </c>
      <c r="L338" s="4" t="e">
        <f>#REF!</f>
        <v>#REF!</v>
      </c>
      <c r="M338" s="8" t="e">
        <f>TRUNC(L338*D338,1)</f>
        <v>#REF!</v>
      </c>
      <c r="N338" s="12" t="s">
        <v>0</v>
      </c>
    </row>
    <row r="339" spans="1:14" ht="15" customHeight="1">
      <c r="A339" s="13"/>
      <c r="B339" s="14" t="s">
        <v>297</v>
      </c>
      <c r="C339" s="1" t="s">
        <v>220</v>
      </c>
      <c r="D339" s="3"/>
      <c r="E339" s="1" t="s">
        <v>221</v>
      </c>
      <c r="F339" s="4">
        <f>H339+J339+L339</f>
        <v>0</v>
      </c>
      <c r="G339" s="8" t="e">
        <f>I339+K339+M339</f>
        <v>#REF!</v>
      </c>
      <c r="H339" s="4"/>
      <c r="I339" s="8"/>
      <c r="J339" s="4"/>
      <c r="K339" s="8"/>
      <c r="L339" s="4"/>
      <c r="M339" s="8" t="e">
        <f>TRUNC((K336+K337+K338)*D339%,1)</f>
        <v>#REF!</v>
      </c>
      <c r="N339" s="12"/>
    </row>
    <row r="340" spans="1:14" ht="15" customHeight="1">
      <c r="A340" s="16"/>
      <c r="B340" s="15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12"/>
    </row>
    <row r="341" spans="1:14" ht="15" customHeight="1">
      <c r="A341" s="64">
        <f>A335+1</f>
        <v>137</v>
      </c>
      <c r="B341" s="46" t="s">
        <v>309</v>
      </c>
      <c r="C341" s="47" t="s">
        <v>334</v>
      </c>
      <c r="D341" s="47">
        <v>1</v>
      </c>
      <c r="E341" s="47" t="s">
        <v>3</v>
      </c>
      <c r="F341" s="49"/>
      <c r="G341" s="50" t="e">
        <f>I341+K341+M341</f>
        <v>#REF!</v>
      </c>
      <c r="H341" s="49"/>
      <c r="I341" s="50" t="e">
        <f>TRUNC(I342+I343+I344,0)</f>
        <v>#REF!</v>
      </c>
      <c r="J341" s="49"/>
      <c r="K341" s="50" t="e">
        <f>TRUNC(K342+K343+K344,0)</f>
        <v>#REF!</v>
      </c>
      <c r="L341" s="49"/>
      <c r="M341" s="50" t="e">
        <f>TRUNC(M342+M343+M344,0)</f>
        <v>#REF!</v>
      </c>
      <c r="N341" s="63" t="s">
        <v>308</v>
      </c>
    </row>
    <row r="342" spans="1:14" ht="15" customHeight="1">
      <c r="A342" s="13"/>
      <c r="B342" s="14" t="s">
        <v>261</v>
      </c>
      <c r="C342" s="1" t="s">
        <v>32</v>
      </c>
      <c r="D342" s="3">
        <v>2.19</v>
      </c>
      <c r="E342" s="1" t="s">
        <v>24</v>
      </c>
      <c r="F342" s="4">
        <f>H342+J342+L342</f>
        <v>262580</v>
      </c>
      <c r="G342" s="8">
        <f>I342+K342+M342</f>
        <v>575050.19999999995</v>
      </c>
      <c r="H342" s="4">
        <v>0</v>
      </c>
      <c r="I342" s="8"/>
      <c r="J342" s="4">
        <f>노임!$D$10</f>
        <v>262580</v>
      </c>
      <c r="K342" s="8">
        <f>TRUNC(J342*D342,1)</f>
        <v>575050.19999999995</v>
      </c>
      <c r="L342" s="4">
        <v>0</v>
      </c>
      <c r="M342" s="8"/>
      <c r="N342" s="12" t="s">
        <v>0</v>
      </c>
    </row>
    <row r="343" spans="1:14" ht="15" customHeight="1">
      <c r="A343" s="13"/>
      <c r="B343" s="14" t="s">
        <v>262</v>
      </c>
      <c r="C343" s="1" t="s">
        <v>0</v>
      </c>
      <c r="D343" s="3">
        <v>1.56</v>
      </c>
      <c r="E343" s="1" t="s">
        <v>24</v>
      </c>
      <c r="F343" s="4">
        <f>H343+J343+L343</f>
        <v>172068</v>
      </c>
      <c r="G343" s="8">
        <f>I343+K343+M343</f>
        <v>268426</v>
      </c>
      <c r="H343" s="4">
        <v>0</v>
      </c>
      <c r="I343" s="8"/>
      <c r="J343" s="4">
        <f>노임!$D$3</f>
        <v>172068</v>
      </c>
      <c r="K343" s="8">
        <f>TRUNC(J343*D343,1)</f>
        <v>268426</v>
      </c>
      <c r="L343" s="4">
        <v>0</v>
      </c>
      <c r="M343" s="8"/>
      <c r="N343" s="12" t="s">
        <v>0</v>
      </c>
    </row>
    <row r="344" spans="1:14" ht="15" customHeight="1">
      <c r="A344" s="13"/>
      <c r="B344" s="14" t="s">
        <v>263</v>
      </c>
      <c r="C344" s="1" t="s">
        <v>247</v>
      </c>
      <c r="D344" s="3">
        <v>3.46</v>
      </c>
      <c r="E344" s="1" t="s">
        <v>7</v>
      </c>
      <c r="F344" s="4" t="e">
        <f>H344+J344+L344</f>
        <v>#REF!</v>
      </c>
      <c r="G344" s="8" t="e">
        <f>I344+K344+M344</f>
        <v>#REF!</v>
      </c>
      <c r="H344" s="4" t="e">
        <f>#REF!</f>
        <v>#REF!</v>
      </c>
      <c r="I344" s="8" t="e">
        <f>TRUNC(H344*D344,1)</f>
        <v>#REF!</v>
      </c>
      <c r="J344" s="4" t="e">
        <f>#REF!</f>
        <v>#REF!</v>
      </c>
      <c r="K344" s="8" t="e">
        <f>TRUNC(J344*D344,1)</f>
        <v>#REF!</v>
      </c>
      <c r="L344" s="4" t="e">
        <f>#REF!</f>
        <v>#REF!</v>
      </c>
      <c r="M344" s="8" t="e">
        <f>TRUNC(L344*D344,1)</f>
        <v>#REF!</v>
      </c>
      <c r="N344" s="12" t="s">
        <v>0</v>
      </c>
    </row>
    <row r="345" spans="1:14" ht="15" customHeight="1">
      <c r="A345" s="13"/>
      <c r="B345" s="14" t="s">
        <v>297</v>
      </c>
      <c r="C345" s="1" t="s">
        <v>220</v>
      </c>
      <c r="D345" s="3"/>
      <c r="E345" s="1" t="s">
        <v>221</v>
      </c>
      <c r="F345" s="4">
        <f>H345+J345+L345</f>
        <v>0</v>
      </c>
      <c r="G345" s="8" t="e">
        <f>I345+K345+M345</f>
        <v>#REF!</v>
      </c>
      <c r="H345" s="4"/>
      <c r="I345" s="8"/>
      <c r="J345" s="4"/>
      <c r="K345" s="8"/>
      <c r="L345" s="4"/>
      <c r="M345" s="8" t="e">
        <f>TRUNC((K342+K343+K344)*D345%,1)</f>
        <v>#REF!</v>
      </c>
      <c r="N345" s="12"/>
    </row>
    <row r="346" spans="1:14" ht="15" customHeight="1">
      <c r="A346" s="16"/>
      <c r="B346" s="15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12"/>
    </row>
    <row r="347" spans="1:14" ht="15" customHeight="1">
      <c r="A347" s="64">
        <f>A341+1</f>
        <v>138</v>
      </c>
      <c r="B347" s="46" t="s">
        <v>309</v>
      </c>
      <c r="C347" s="47" t="s">
        <v>338</v>
      </c>
      <c r="D347" s="47">
        <v>1</v>
      </c>
      <c r="E347" s="47" t="s">
        <v>3</v>
      </c>
      <c r="F347" s="49"/>
      <c r="G347" s="50" t="e">
        <f>I347+K347+M347</f>
        <v>#REF!</v>
      </c>
      <c r="H347" s="49"/>
      <c r="I347" s="50" t="e">
        <f>TRUNC(I348+I349+I350,0)</f>
        <v>#REF!</v>
      </c>
      <c r="J347" s="49"/>
      <c r="K347" s="50" t="e">
        <f>TRUNC(K348+K349+K350,0)</f>
        <v>#REF!</v>
      </c>
      <c r="L347" s="49"/>
      <c r="M347" s="50" t="e">
        <f>TRUNC(M348+M349+M350,0)</f>
        <v>#REF!</v>
      </c>
      <c r="N347" s="63" t="s">
        <v>308</v>
      </c>
    </row>
    <row r="348" spans="1:14" ht="15" customHeight="1">
      <c r="A348" s="13"/>
      <c r="B348" s="14" t="s">
        <v>261</v>
      </c>
      <c r="C348" s="1" t="s">
        <v>32</v>
      </c>
      <c r="D348" s="3">
        <v>2.2400000000000002</v>
      </c>
      <c r="E348" s="1" t="s">
        <v>24</v>
      </c>
      <c r="F348" s="4">
        <f>H348+J348+L348</f>
        <v>262580</v>
      </c>
      <c r="G348" s="8">
        <f>I348+K348+M348</f>
        <v>588179.19999999995</v>
      </c>
      <c r="H348" s="4">
        <v>0</v>
      </c>
      <c r="I348" s="8"/>
      <c r="J348" s="4">
        <f>노임!$D$10</f>
        <v>262580</v>
      </c>
      <c r="K348" s="8">
        <f>TRUNC(J348*D348,1)</f>
        <v>588179.19999999995</v>
      </c>
      <c r="L348" s="4">
        <v>0</v>
      </c>
      <c r="M348" s="8"/>
      <c r="N348" s="12" t="s">
        <v>0</v>
      </c>
    </row>
    <row r="349" spans="1:14" ht="15" customHeight="1">
      <c r="A349" s="13"/>
      <c r="B349" s="14" t="s">
        <v>262</v>
      </c>
      <c r="C349" s="1" t="s">
        <v>0</v>
      </c>
      <c r="D349" s="3">
        <v>1.61</v>
      </c>
      <c r="E349" s="1" t="s">
        <v>24</v>
      </c>
      <c r="F349" s="4">
        <f>H349+J349+L349</f>
        <v>172068</v>
      </c>
      <c r="G349" s="8">
        <f>I349+K349+M349</f>
        <v>277029.40000000002</v>
      </c>
      <c r="H349" s="4">
        <v>0</v>
      </c>
      <c r="I349" s="8"/>
      <c r="J349" s="4">
        <f>노임!$D$3</f>
        <v>172068</v>
      </c>
      <c r="K349" s="8">
        <f>TRUNC(J349*D349,1)</f>
        <v>277029.40000000002</v>
      </c>
      <c r="L349" s="4">
        <v>0</v>
      </c>
      <c r="M349" s="8"/>
      <c r="N349" s="12" t="s">
        <v>0</v>
      </c>
    </row>
    <row r="350" spans="1:14" ht="15" customHeight="1">
      <c r="A350" s="13"/>
      <c r="B350" s="14" t="s">
        <v>350</v>
      </c>
      <c r="C350" s="1" t="s">
        <v>248</v>
      </c>
      <c r="D350" s="3">
        <v>3.7</v>
      </c>
      <c r="E350" s="1" t="s">
        <v>7</v>
      </c>
      <c r="F350" s="4" t="e">
        <f>H350+J350+L350</f>
        <v>#REF!</v>
      </c>
      <c r="G350" s="8" t="e">
        <f>I350+K350+M350</f>
        <v>#REF!</v>
      </c>
      <c r="H350" s="4" t="e">
        <f>#REF!</f>
        <v>#REF!</v>
      </c>
      <c r="I350" s="8" t="e">
        <f>TRUNC(H350*D350,1)</f>
        <v>#REF!</v>
      </c>
      <c r="J350" s="4" t="e">
        <f>#REF!</f>
        <v>#REF!</v>
      </c>
      <c r="K350" s="8" t="e">
        <f>TRUNC(J350*D350,1)</f>
        <v>#REF!</v>
      </c>
      <c r="L350" s="4" t="e">
        <f>#REF!</f>
        <v>#REF!</v>
      </c>
      <c r="M350" s="8" t="e">
        <f>TRUNC(L350*D350,1)</f>
        <v>#REF!</v>
      </c>
      <c r="N350" s="12" t="s">
        <v>0</v>
      </c>
    </row>
    <row r="351" spans="1:14" ht="15" customHeight="1">
      <c r="A351" s="13"/>
      <c r="B351" s="14" t="s">
        <v>297</v>
      </c>
      <c r="C351" s="1" t="s">
        <v>220</v>
      </c>
      <c r="D351" s="3"/>
      <c r="E351" s="1" t="s">
        <v>221</v>
      </c>
      <c r="F351" s="4">
        <f>H351+J351+L351</f>
        <v>0</v>
      </c>
      <c r="G351" s="8" t="e">
        <f>I351+K351+M351</f>
        <v>#REF!</v>
      </c>
      <c r="H351" s="4"/>
      <c r="I351" s="8"/>
      <c r="J351" s="4"/>
      <c r="K351" s="8"/>
      <c r="L351" s="4"/>
      <c r="M351" s="8" t="e">
        <f>TRUNC((K348+K349+K350)*D351%,1)</f>
        <v>#REF!</v>
      </c>
      <c r="N351" s="12"/>
    </row>
    <row r="352" spans="1:14" ht="15" customHeight="1">
      <c r="A352" s="16"/>
      <c r="B352" s="15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12"/>
    </row>
    <row r="353" spans="1:14" ht="15" customHeight="1">
      <c r="A353" s="64">
        <f>A347+1</f>
        <v>139</v>
      </c>
      <c r="B353" s="46" t="s">
        <v>309</v>
      </c>
      <c r="C353" s="47" t="s">
        <v>339</v>
      </c>
      <c r="D353" s="47">
        <v>1</v>
      </c>
      <c r="E353" s="47" t="s">
        <v>3</v>
      </c>
      <c r="F353" s="49"/>
      <c r="G353" s="50" t="e">
        <f>I353+K353+M353</f>
        <v>#REF!</v>
      </c>
      <c r="H353" s="49"/>
      <c r="I353" s="50" t="e">
        <f>TRUNC(I354+I355+I356,0)</f>
        <v>#REF!</v>
      </c>
      <c r="J353" s="49"/>
      <c r="K353" s="50" t="e">
        <f>TRUNC(K354+K355+K356,0)</f>
        <v>#REF!</v>
      </c>
      <c r="L353" s="49"/>
      <c r="M353" s="50" t="e">
        <f>TRUNC(M354+M355+M356,0)</f>
        <v>#REF!</v>
      </c>
      <c r="N353" s="63" t="s">
        <v>308</v>
      </c>
    </row>
    <row r="354" spans="1:14" ht="15" customHeight="1">
      <c r="A354" s="13"/>
      <c r="B354" s="14" t="s">
        <v>261</v>
      </c>
      <c r="C354" s="1" t="s">
        <v>32</v>
      </c>
      <c r="D354" s="3">
        <v>2.3199999999999998</v>
      </c>
      <c r="E354" s="1" t="s">
        <v>24</v>
      </c>
      <c r="F354" s="4">
        <f>H354+J354+L354</f>
        <v>262580</v>
      </c>
      <c r="G354" s="8">
        <f>I354+K354+M354</f>
        <v>609185.6</v>
      </c>
      <c r="H354" s="4">
        <v>0</v>
      </c>
      <c r="I354" s="8"/>
      <c r="J354" s="4">
        <f>노임!$D$10</f>
        <v>262580</v>
      </c>
      <c r="K354" s="8">
        <f>TRUNC(J354*D354,1)</f>
        <v>609185.6</v>
      </c>
      <c r="L354" s="4">
        <v>0</v>
      </c>
      <c r="M354" s="8"/>
      <c r="N354" s="12" t="s">
        <v>0</v>
      </c>
    </row>
    <row r="355" spans="1:14" ht="15" customHeight="1">
      <c r="A355" s="13"/>
      <c r="B355" s="14" t="s">
        <v>262</v>
      </c>
      <c r="C355" s="1" t="s">
        <v>0</v>
      </c>
      <c r="D355" s="3">
        <v>1.72</v>
      </c>
      <c r="E355" s="1" t="s">
        <v>24</v>
      </c>
      <c r="F355" s="4">
        <f>H355+J355+L355</f>
        <v>172068</v>
      </c>
      <c r="G355" s="8">
        <f>I355+K355+M355</f>
        <v>295956.90000000002</v>
      </c>
      <c r="H355" s="4">
        <v>0</v>
      </c>
      <c r="I355" s="8"/>
      <c r="J355" s="4">
        <f>노임!$D$3</f>
        <v>172068</v>
      </c>
      <c r="K355" s="8">
        <f>TRUNC(J355*D355,1)</f>
        <v>295956.90000000002</v>
      </c>
      <c r="L355" s="4">
        <v>0</v>
      </c>
      <c r="M355" s="8"/>
      <c r="N355" s="12" t="s">
        <v>0</v>
      </c>
    </row>
    <row r="356" spans="1:14" ht="15" customHeight="1">
      <c r="A356" s="13"/>
      <c r="B356" s="14" t="s">
        <v>350</v>
      </c>
      <c r="C356" s="1" t="s">
        <v>248</v>
      </c>
      <c r="D356" s="3">
        <v>4.2</v>
      </c>
      <c r="E356" s="1" t="s">
        <v>7</v>
      </c>
      <c r="F356" s="4" t="e">
        <f>H356+J356+L356</f>
        <v>#REF!</v>
      </c>
      <c r="G356" s="8" t="e">
        <f>I356+K356+M356</f>
        <v>#REF!</v>
      </c>
      <c r="H356" s="4" t="e">
        <f>#REF!</f>
        <v>#REF!</v>
      </c>
      <c r="I356" s="8" t="e">
        <f>TRUNC(H356*D356,1)</f>
        <v>#REF!</v>
      </c>
      <c r="J356" s="4" t="e">
        <f>#REF!</f>
        <v>#REF!</v>
      </c>
      <c r="K356" s="8" t="e">
        <f>TRUNC(J356*D356,1)</f>
        <v>#REF!</v>
      </c>
      <c r="L356" s="4" t="e">
        <f>#REF!</f>
        <v>#REF!</v>
      </c>
      <c r="M356" s="8" t="e">
        <f>TRUNC(L356*D356,1)</f>
        <v>#REF!</v>
      </c>
      <c r="N356" s="12" t="s">
        <v>0</v>
      </c>
    </row>
    <row r="357" spans="1:14" ht="15" customHeight="1">
      <c r="A357" s="13"/>
      <c r="B357" s="14" t="s">
        <v>297</v>
      </c>
      <c r="C357" s="1" t="s">
        <v>220</v>
      </c>
      <c r="D357" s="3"/>
      <c r="E357" s="1" t="s">
        <v>221</v>
      </c>
      <c r="F357" s="4">
        <f>H357+J357+L357</f>
        <v>0</v>
      </c>
      <c r="G357" s="8" t="e">
        <f>I357+K357+M357</f>
        <v>#REF!</v>
      </c>
      <c r="H357" s="4"/>
      <c r="I357" s="8"/>
      <c r="J357" s="4"/>
      <c r="K357" s="8"/>
      <c r="L357" s="4"/>
      <c r="M357" s="8" t="e">
        <f>TRUNC((K354+K355+K356)*D357%,1)</f>
        <v>#REF!</v>
      </c>
      <c r="N357" s="12"/>
    </row>
    <row r="358" spans="1:14" ht="15" customHeight="1">
      <c r="A358" s="16"/>
      <c r="B358" s="15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12"/>
    </row>
  </sheetData>
  <autoFilter ref="A1:N366" xr:uid="{00000000-0009-0000-0000-00000D000000}"/>
  <mergeCells count="9">
    <mergeCell ref="A2:B3"/>
    <mergeCell ref="J2:K2"/>
    <mergeCell ref="L2:M2"/>
    <mergeCell ref="N2:N3"/>
    <mergeCell ref="C2:C3"/>
    <mergeCell ref="D2:D3"/>
    <mergeCell ref="E2:E3"/>
    <mergeCell ref="F2:G2"/>
    <mergeCell ref="H2:I2"/>
  </mergeCells>
  <phoneticPr fontId="2" type="noConversion"/>
  <pageMargins left="0.31496062992125984" right="0.31496062992125984" top="1" bottom="0.59055118110236215" header="0.5" footer="0.5"/>
  <pageSetup paperSize="9" orientation="landscape" copies="0"/>
  <headerFooter alignWithMargins="0">
    <oddHeader>&amp;RPage : &amp;P/&amp;N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0" tint="-0.249977111117893"/>
  </sheetPr>
  <dimension ref="A1:N28"/>
  <sheetViews>
    <sheetView workbookViewId="0">
      <pane ySplit="3" topLeftCell="A4" activePane="bottomLeft" state="frozen"/>
      <selection pane="bottomLeft" activeCell="A5" sqref="A5"/>
    </sheetView>
  </sheetViews>
  <sheetFormatPr defaultRowHeight="12.75" customHeight="1"/>
  <cols>
    <col min="1" max="1" width="8.83203125" customWidth="1"/>
    <col min="2" max="3" width="35.83203125" customWidth="1"/>
    <col min="4" max="4" width="10.83203125" customWidth="1"/>
    <col min="5" max="5" width="8.83203125" style="11" customWidth="1"/>
    <col min="6" max="6" width="12.83203125" customWidth="1"/>
    <col min="7" max="7" width="14.83203125" customWidth="1"/>
    <col min="8" max="8" width="12.83203125" customWidth="1"/>
    <col min="9" max="9" width="14.83203125" customWidth="1"/>
    <col min="10" max="10" width="12.83203125" customWidth="1"/>
    <col min="11" max="11" width="14.83203125" customWidth="1"/>
    <col min="12" max="12" width="12.83203125" customWidth="1"/>
    <col min="13" max="13" width="14.83203125" customWidth="1"/>
    <col min="14" max="14" width="15.83203125" style="11" customWidth="1"/>
    <col min="15" max="27" width="9.33203125" customWidth="1"/>
  </cols>
  <sheetData>
    <row r="1" spans="1:14" ht="15" customHeight="1">
      <c r="A1" s="72" t="s">
        <v>341</v>
      </c>
    </row>
    <row r="2" spans="1:14" ht="15" customHeight="1">
      <c r="A2" s="339" t="s">
        <v>23</v>
      </c>
      <c r="B2" s="340"/>
      <c r="C2" s="345" t="s">
        <v>46</v>
      </c>
      <c r="D2" s="345" t="s">
        <v>45</v>
      </c>
      <c r="E2" s="345" t="s">
        <v>44</v>
      </c>
      <c r="F2" s="345" t="s">
        <v>19</v>
      </c>
      <c r="G2" s="345" t="s">
        <v>0</v>
      </c>
      <c r="H2" s="345" t="s">
        <v>18</v>
      </c>
      <c r="I2" s="345" t="s">
        <v>0</v>
      </c>
      <c r="J2" s="345" t="s">
        <v>17</v>
      </c>
      <c r="K2" s="345" t="s">
        <v>0</v>
      </c>
      <c r="L2" s="345" t="s">
        <v>16</v>
      </c>
      <c r="M2" s="345" t="s">
        <v>0</v>
      </c>
      <c r="N2" s="346" t="s">
        <v>15</v>
      </c>
    </row>
    <row r="3" spans="1:14" ht="15" customHeight="1">
      <c r="A3" s="339"/>
      <c r="B3" s="340"/>
      <c r="C3" s="345" t="s">
        <v>0</v>
      </c>
      <c r="D3" s="345" t="s">
        <v>0</v>
      </c>
      <c r="E3" s="345" t="s">
        <v>0</v>
      </c>
      <c r="F3" s="2" t="s">
        <v>43</v>
      </c>
      <c r="G3" s="2" t="s">
        <v>42</v>
      </c>
      <c r="H3" s="2" t="s">
        <v>43</v>
      </c>
      <c r="I3" s="2" t="s">
        <v>42</v>
      </c>
      <c r="J3" s="2" t="s">
        <v>43</v>
      </c>
      <c r="K3" s="2" t="s">
        <v>42</v>
      </c>
      <c r="L3" s="2" t="s">
        <v>43</v>
      </c>
      <c r="M3" s="2" t="s">
        <v>42</v>
      </c>
      <c r="N3" s="346" t="s">
        <v>0</v>
      </c>
    </row>
    <row r="4" spans="1:14" ht="15" customHeight="1">
      <c r="A4" s="13"/>
      <c r="B4" s="14"/>
      <c r="C4" s="1"/>
      <c r="D4" s="1"/>
      <c r="E4" s="2"/>
      <c r="F4" s="4"/>
      <c r="G4" s="8"/>
      <c r="H4" s="4"/>
      <c r="I4" s="8"/>
      <c r="J4" s="4"/>
      <c r="K4" s="8"/>
      <c r="L4" s="4"/>
      <c r="M4" s="8"/>
      <c r="N4" s="12"/>
    </row>
    <row r="5" spans="1:14" ht="15" customHeight="1">
      <c r="A5" s="64">
        <f>밸브!A353+1</f>
        <v>140</v>
      </c>
      <c r="B5" s="46" t="s">
        <v>342</v>
      </c>
      <c r="C5" s="47" t="s">
        <v>244</v>
      </c>
      <c r="D5" s="76">
        <v>1</v>
      </c>
      <c r="E5" s="48" t="s">
        <v>243</v>
      </c>
      <c r="F5" s="49"/>
      <c r="G5" s="50">
        <f>I5+K5+M5</f>
        <v>1342591.8</v>
      </c>
      <c r="H5" s="49"/>
      <c r="I5" s="50">
        <f>SUM(I6:I11)</f>
        <v>0</v>
      </c>
      <c r="J5" s="49"/>
      <c r="K5" s="50">
        <f>SUM(K6:K11)</f>
        <v>1243140.6000000001</v>
      </c>
      <c r="L5" s="49"/>
      <c r="M5" s="50">
        <f>SUM(M6:M11)</f>
        <v>99451.199999999997</v>
      </c>
      <c r="N5" s="63" t="s">
        <v>340</v>
      </c>
    </row>
    <row r="6" spans="1:14" ht="15" customHeight="1">
      <c r="A6" s="13"/>
      <c r="B6" s="14" t="s">
        <v>343</v>
      </c>
      <c r="C6" s="1"/>
      <c r="D6" s="3">
        <v>2.85</v>
      </c>
      <c r="E6" s="2" t="s">
        <v>24</v>
      </c>
      <c r="F6" s="4">
        <f>H6+J6+L6</f>
        <v>239808</v>
      </c>
      <c r="G6" s="8">
        <f>I6+K6+M6</f>
        <v>683452.8</v>
      </c>
      <c r="H6" s="4">
        <v>0</v>
      </c>
      <c r="I6" s="8"/>
      <c r="J6" s="4">
        <f>노임!D6</f>
        <v>239808</v>
      </c>
      <c r="K6" s="8">
        <f>TRUNC(J6*D6,1)</f>
        <v>683452.8</v>
      </c>
      <c r="L6" s="4">
        <v>0</v>
      </c>
      <c r="M6" s="8"/>
      <c r="N6" s="12" t="s">
        <v>0</v>
      </c>
    </row>
    <row r="7" spans="1:14" ht="15" customHeight="1">
      <c r="A7" s="13"/>
      <c r="B7" s="14" t="s">
        <v>344</v>
      </c>
      <c r="C7" s="1" t="s">
        <v>0</v>
      </c>
      <c r="D7" s="3">
        <v>1.04</v>
      </c>
      <c r="E7" s="2" t="s">
        <v>24</v>
      </c>
      <c r="F7" s="4">
        <f>H7+J7+L7</f>
        <v>282536</v>
      </c>
      <c r="G7" s="8">
        <f>I7+K7+M7</f>
        <v>293837.40000000002</v>
      </c>
      <c r="H7" s="4">
        <v>0</v>
      </c>
      <c r="I7" s="8"/>
      <c r="J7" s="4">
        <f>노임!D7</f>
        <v>282536</v>
      </c>
      <c r="K7" s="8">
        <f>TRUNC(J7*D7,1)</f>
        <v>293837.40000000002</v>
      </c>
      <c r="L7" s="4">
        <v>0</v>
      </c>
      <c r="M7" s="8"/>
      <c r="N7" s="12" t="s">
        <v>0</v>
      </c>
    </row>
    <row r="8" spans="1:14" ht="15" customHeight="1">
      <c r="A8" s="13"/>
      <c r="B8" s="14" t="s">
        <v>345</v>
      </c>
      <c r="C8" s="1"/>
      <c r="D8" s="3">
        <v>0.78</v>
      </c>
      <c r="E8" s="2" t="s">
        <v>24</v>
      </c>
      <c r="F8" s="4">
        <f t="shared" ref="F8:F9" si="0">H8+J8+L8</f>
        <v>226122</v>
      </c>
      <c r="G8" s="8">
        <f t="shared" ref="G8:G9" si="1">I8+K8+M8</f>
        <v>176375.1</v>
      </c>
      <c r="H8" s="4"/>
      <c r="I8" s="8"/>
      <c r="J8" s="4">
        <f>노임!D4</f>
        <v>226122</v>
      </c>
      <c r="K8" s="8">
        <f>TRUNC(J8*D8,1)</f>
        <v>176375.1</v>
      </c>
      <c r="L8" s="4"/>
      <c r="M8" s="8"/>
      <c r="N8" s="12"/>
    </row>
    <row r="9" spans="1:14" ht="15" customHeight="1">
      <c r="A9" s="16"/>
      <c r="B9" s="14" t="s">
        <v>262</v>
      </c>
      <c r="C9" s="1"/>
      <c r="D9" s="3">
        <v>0.52</v>
      </c>
      <c r="E9" s="2" t="s">
        <v>24</v>
      </c>
      <c r="F9" s="4">
        <f t="shared" si="0"/>
        <v>172068</v>
      </c>
      <c r="G9" s="8">
        <f t="shared" si="1"/>
        <v>89475.3</v>
      </c>
      <c r="H9" s="4"/>
      <c r="I9" s="8">
        <f>TRUNC(H9*D9,1)</f>
        <v>0</v>
      </c>
      <c r="J9" s="4">
        <f>노임!D3</f>
        <v>172068</v>
      </c>
      <c r="K9" s="8">
        <f>TRUNC(J9*D9,1)</f>
        <v>89475.3</v>
      </c>
      <c r="L9" s="4"/>
      <c r="M9" s="8">
        <f>TRUNC(L9*D9,1)</f>
        <v>0</v>
      </c>
      <c r="N9" s="12" t="s">
        <v>0</v>
      </c>
    </row>
    <row r="10" spans="1:14" ht="15" customHeight="1">
      <c r="A10" s="64"/>
      <c r="B10" s="14" t="s">
        <v>346</v>
      </c>
      <c r="C10" s="1" t="s">
        <v>220</v>
      </c>
      <c r="D10" s="3">
        <v>5</v>
      </c>
      <c r="E10" s="2" t="s">
        <v>221</v>
      </c>
      <c r="F10" s="4">
        <f>H10+J10+L10</f>
        <v>0</v>
      </c>
      <c r="G10" s="8">
        <f>I10+K10+M10</f>
        <v>62157</v>
      </c>
      <c r="H10" s="4"/>
      <c r="I10" s="8"/>
      <c r="J10" s="4"/>
      <c r="K10" s="8"/>
      <c r="L10" s="4"/>
      <c r="M10" s="8">
        <f>TRUNC((K6+K7+K8+K9)*D10%,1)</f>
        <v>62157</v>
      </c>
      <c r="N10" s="12"/>
    </row>
    <row r="11" spans="1:14" ht="15" customHeight="1">
      <c r="A11" s="64"/>
      <c r="B11" s="14" t="s">
        <v>347</v>
      </c>
      <c r="C11" s="1" t="s">
        <v>220</v>
      </c>
      <c r="D11" s="3">
        <v>3</v>
      </c>
      <c r="E11" s="2" t="s">
        <v>221</v>
      </c>
      <c r="F11" s="2"/>
      <c r="G11" s="8">
        <f>I11+K11+M11</f>
        <v>37294.199999999997</v>
      </c>
      <c r="H11" s="2"/>
      <c r="I11" s="2"/>
      <c r="J11" s="2"/>
      <c r="K11" s="2"/>
      <c r="L11" s="2"/>
      <c r="M11" s="8">
        <f>TRUNC((K6+K7+K8+K9)*D11%,1)</f>
        <v>37294.199999999997</v>
      </c>
      <c r="N11" s="12"/>
    </row>
    <row r="12" spans="1:14" ht="15" customHeight="1">
      <c r="A12" s="16"/>
      <c r="B12" s="15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12"/>
    </row>
    <row r="13" spans="1:14" ht="15" customHeight="1">
      <c r="A13" s="64">
        <f>A5+1</f>
        <v>141</v>
      </c>
      <c r="B13" s="46" t="s">
        <v>342</v>
      </c>
      <c r="C13" s="47" t="s">
        <v>245</v>
      </c>
      <c r="D13" s="76">
        <v>1</v>
      </c>
      <c r="E13" s="48" t="s">
        <v>243</v>
      </c>
      <c r="F13" s="49"/>
      <c r="G13" s="50">
        <f>I13+K13+M13</f>
        <v>3316858.2</v>
      </c>
      <c r="H13" s="49"/>
      <c r="I13" s="50">
        <f>SUM(I14:I19)</f>
        <v>0</v>
      </c>
      <c r="J13" s="49"/>
      <c r="K13" s="50">
        <f>SUM(K14:K19)</f>
        <v>3071165.1</v>
      </c>
      <c r="L13" s="49"/>
      <c r="M13" s="50">
        <f>SUM(M14:M19)</f>
        <v>245693.1</v>
      </c>
      <c r="N13" s="63" t="s">
        <v>340</v>
      </c>
    </row>
    <row r="14" spans="1:14" ht="15" customHeight="1">
      <c r="A14" s="13"/>
      <c r="B14" s="14" t="s">
        <v>343</v>
      </c>
      <c r="C14" s="1"/>
      <c r="D14" s="3">
        <v>7.05</v>
      </c>
      <c r="E14" s="2" t="s">
        <v>24</v>
      </c>
      <c r="F14" s="4">
        <f>H14+J14+L14</f>
        <v>239808</v>
      </c>
      <c r="G14" s="8">
        <f>I14+K14+M14</f>
        <v>1690646.4</v>
      </c>
      <c r="H14" s="4">
        <v>0</v>
      </c>
      <c r="I14" s="8"/>
      <c r="J14" s="4">
        <f>노임!D6</f>
        <v>239808</v>
      </c>
      <c r="K14" s="8">
        <f>TRUNC(J14*D14,1)</f>
        <v>1690646.4</v>
      </c>
      <c r="L14" s="4">
        <v>0</v>
      </c>
      <c r="M14" s="8"/>
      <c r="N14" s="12" t="s">
        <v>0</v>
      </c>
    </row>
    <row r="15" spans="1:14" ht="15" customHeight="1">
      <c r="A15" s="13"/>
      <c r="B15" s="14" t="s">
        <v>344</v>
      </c>
      <c r="C15" s="1" t="s">
        <v>0</v>
      </c>
      <c r="D15" s="3">
        <v>2.57</v>
      </c>
      <c r="E15" s="2" t="s">
        <v>24</v>
      </c>
      <c r="F15" s="4">
        <f>H15+J15+L15</f>
        <v>282536</v>
      </c>
      <c r="G15" s="8">
        <f>I15+K15+M15</f>
        <v>726117.5</v>
      </c>
      <c r="H15" s="4">
        <v>0</v>
      </c>
      <c r="I15" s="8"/>
      <c r="J15" s="4">
        <f>노임!D7</f>
        <v>282536</v>
      </c>
      <c r="K15" s="8">
        <f>TRUNC(J15*D15,1)</f>
        <v>726117.5</v>
      </c>
      <c r="L15" s="4">
        <v>0</v>
      </c>
      <c r="M15" s="8"/>
      <c r="N15" s="12" t="s">
        <v>0</v>
      </c>
    </row>
    <row r="16" spans="1:14" ht="15" customHeight="1">
      <c r="A16" s="13"/>
      <c r="B16" s="14" t="s">
        <v>345</v>
      </c>
      <c r="C16" s="1"/>
      <c r="D16" s="3">
        <v>1.92</v>
      </c>
      <c r="E16" s="2" t="s">
        <v>24</v>
      </c>
      <c r="F16" s="4">
        <f t="shared" ref="F16:F17" si="2">H16+J16+L16</f>
        <v>226122</v>
      </c>
      <c r="G16" s="8">
        <f t="shared" ref="G16:G17" si="3">I16+K16+M16</f>
        <v>434154.2</v>
      </c>
      <c r="H16" s="4"/>
      <c r="I16" s="8"/>
      <c r="J16" s="4">
        <f>노임!D4</f>
        <v>226122</v>
      </c>
      <c r="K16" s="8">
        <f>TRUNC(J16*D16,1)</f>
        <v>434154.2</v>
      </c>
      <c r="L16" s="4"/>
      <c r="M16" s="8"/>
      <c r="N16" s="12"/>
    </row>
    <row r="17" spans="1:14" ht="15" customHeight="1">
      <c r="A17" s="13"/>
      <c r="B17" s="14" t="s">
        <v>262</v>
      </c>
      <c r="C17" s="1"/>
      <c r="D17" s="3">
        <v>1.28</v>
      </c>
      <c r="E17" s="2" t="s">
        <v>24</v>
      </c>
      <c r="F17" s="4">
        <f t="shared" si="2"/>
        <v>172068</v>
      </c>
      <c r="G17" s="8">
        <f t="shared" si="3"/>
        <v>220247</v>
      </c>
      <c r="H17" s="4"/>
      <c r="I17" s="8">
        <f>TRUNC(H17*D17,1)</f>
        <v>0</v>
      </c>
      <c r="J17" s="4">
        <f>노임!D3</f>
        <v>172068</v>
      </c>
      <c r="K17" s="8">
        <f>TRUNC(J17*D17,1)</f>
        <v>220247</v>
      </c>
      <c r="L17" s="4"/>
      <c r="M17" s="8">
        <f>TRUNC(L17*D17,1)</f>
        <v>0</v>
      </c>
      <c r="N17" s="12" t="s">
        <v>0</v>
      </c>
    </row>
    <row r="18" spans="1:14" ht="15" customHeight="1">
      <c r="A18" s="13"/>
      <c r="B18" s="14" t="s">
        <v>346</v>
      </c>
      <c r="C18" s="1" t="s">
        <v>220</v>
      </c>
      <c r="D18" s="3">
        <v>5</v>
      </c>
      <c r="E18" s="2" t="s">
        <v>221</v>
      </c>
      <c r="F18" s="4">
        <f>H18+J18+L18</f>
        <v>0</v>
      </c>
      <c r="G18" s="8">
        <f>I18+K18+M18</f>
        <v>153558.20000000001</v>
      </c>
      <c r="H18" s="4"/>
      <c r="I18" s="8"/>
      <c r="J18" s="4"/>
      <c r="K18" s="8"/>
      <c r="L18" s="4"/>
      <c r="M18" s="8">
        <f>TRUNC((K14+K15+K16+K17)*D18%,1)</f>
        <v>153558.20000000001</v>
      </c>
      <c r="N18" s="12"/>
    </row>
    <row r="19" spans="1:14" ht="15" customHeight="1">
      <c r="A19" s="13"/>
      <c r="B19" s="14" t="s">
        <v>347</v>
      </c>
      <c r="C19" s="1" t="s">
        <v>220</v>
      </c>
      <c r="D19" s="3">
        <v>3</v>
      </c>
      <c r="E19" s="2" t="s">
        <v>221</v>
      </c>
      <c r="F19" s="2"/>
      <c r="G19" s="8">
        <f>I19+K19+M19</f>
        <v>92134.9</v>
      </c>
      <c r="H19" s="2"/>
      <c r="I19" s="2"/>
      <c r="J19" s="2"/>
      <c r="K19" s="2"/>
      <c r="L19" s="2"/>
      <c r="M19" s="8">
        <f>TRUNC((K14+K15+K16+K17)*D19%,1)</f>
        <v>92134.9</v>
      </c>
      <c r="N19" s="12"/>
    </row>
    <row r="20" spans="1:14" ht="15" customHeight="1">
      <c r="A20" s="16"/>
      <c r="B20" s="15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12"/>
    </row>
    <row r="21" spans="1:14" ht="15" customHeight="1">
      <c r="A21" s="64">
        <f>A13+1</f>
        <v>142</v>
      </c>
      <c r="B21" s="46" t="s">
        <v>342</v>
      </c>
      <c r="C21" s="47" t="s">
        <v>246</v>
      </c>
      <c r="D21" s="76">
        <v>1</v>
      </c>
      <c r="E21" s="48" t="s">
        <v>243</v>
      </c>
      <c r="F21" s="49"/>
      <c r="G21" s="50">
        <f>I21+K21+M21</f>
        <v>5754776.1999999993</v>
      </c>
      <c r="H21" s="49"/>
      <c r="I21" s="50">
        <f>SUM(I22:I27)</f>
        <v>0</v>
      </c>
      <c r="J21" s="49"/>
      <c r="K21" s="50">
        <f>SUM(K22:K27)</f>
        <v>5328496.5999999996</v>
      </c>
      <c r="L21" s="49"/>
      <c r="M21" s="50">
        <f>SUM(M22:M27)</f>
        <v>426279.6</v>
      </c>
      <c r="N21" s="63" t="s">
        <v>340</v>
      </c>
    </row>
    <row r="22" spans="1:14" ht="15" customHeight="1">
      <c r="A22" s="13"/>
      <c r="B22" s="14" t="s">
        <v>343</v>
      </c>
      <c r="C22" s="1"/>
      <c r="D22" s="3">
        <v>12.38</v>
      </c>
      <c r="E22" s="2" t="s">
        <v>24</v>
      </c>
      <c r="F22" s="4">
        <f>H22+J22+L22</f>
        <v>239808</v>
      </c>
      <c r="G22" s="8">
        <f>I22+K22+M22</f>
        <v>2968823</v>
      </c>
      <c r="H22" s="4">
        <v>0</v>
      </c>
      <c r="I22" s="8"/>
      <c r="J22" s="4">
        <f>노임!D6</f>
        <v>239808</v>
      </c>
      <c r="K22" s="8">
        <f>TRUNC(J22*D22,1)</f>
        <v>2968823</v>
      </c>
      <c r="L22" s="4">
        <v>0</v>
      </c>
      <c r="M22" s="8"/>
      <c r="N22" s="12" t="s">
        <v>0</v>
      </c>
    </row>
    <row r="23" spans="1:14" ht="15" customHeight="1">
      <c r="A23" s="13"/>
      <c r="B23" s="14" t="s">
        <v>344</v>
      </c>
      <c r="C23" s="1" t="s">
        <v>0</v>
      </c>
      <c r="D23" s="3">
        <v>3.38</v>
      </c>
      <c r="E23" s="2" t="s">
        <v>24</v>
      </c>
      <c r="F23" s="4">
        <f>H23+J23+L23</f>
        <v>282536</v>
      </c>
      <c r="G23" s="8">
        <f>I23+K23+M23</f>
        <v>954971.6</v>
      </c>
      <c r="H23" s="4">
        <v>0</v>
      </c>
      <c r="I23" s="8"/>
      <c r="J23" s="4">
        <f>노임!D7</f>
        <v>282536</v>
      </c>
      <c r="K23" s="8">
        <f>TRUNC(J23*D23,1)</f>
        <v>954971.6</v>
      </c>
      <c r="L23" s="4">
        <v>0</v>
      </c>
      <c r="M23" s="8"/>
      <c r="N23" s="12" t="s">
        <v>0</v>
      </c>
    </row>
    <row r="24" spans="1:14" ht="15" customHeight="1">
      <c r="A24" s="13"/>
      <c r="B24" s="14" t="s">
        <v>345</v>
      </c>
      <c r="C24" s="1"/>
      <c r="D24" s="3">
        <v>4.5</v>
      </c>
      <c r="E24" s="2" t="s">
        <v>24</v>
      </c>
      <c r="F24" s="4">
        <f t="shared" ref="F24:F25" si="4">H24+J24+L24</f>
        <v>226122</v>
      </c>
      <c r="G24" s="8">
        <f t="shared" ref="G24:G25" si="5">I24+K24+M24</f>
        <v>1017549</v>
      </c>
      <c r="H24" s="4"/>
      <c r="I24" s="8"/>
      <c r="J24" s="4">
        <f>노임!D4</f>
        <v>226122</v>
      </c>
      <c r="K24" s="8">
        <f>TRUNC(J24*D24,1)</f>
        <v>1017549</v>
      </c>
      <c r="L24" s="4"/>
      <c r="M24" s="8"/>
      <c r="N24" s="12"/>
    </row>
    <row r="25" spans="1:14" ht="15" customHeight="1">
      <c r="A25" s="13"/>
      <c r="B25" s="14" t="s">
        <v>262</v>
      </c>
      <c r="C25" s="1"/>
      <c r="D25" s="3">
        <v>2.25</v>
      </c>
      <c r="E25" s="2" t="s">
        <v>24</v>
      </c>
      <c r="F25" s="4">
        <f t="shared" si="4"/>
        <v>172068</v>
      </c>
      <c r="G25" s="8">
        <f t="shared" si="5"/>
        <v>387153</v>
      </c>
      <c r="H25" s="4"/>
      <c r="I25" s="8">
        <f>TRUNC(H25*D25,1)</f>
        <v>0</v>
      </c>
      <c r="J25" s="4">
        <f>노임!D3</f>
        <v>172068</v>
      </c>
      <c r="K25" s="8">
        <f>TRUNC(J25*D25,1)</f>
        <v>387153</v>
      </c>
      <c r="L25" s="4"/>
      <c r="M25" s="8">
        <f>TRUNC(L25*D25,1)</f>
        <v>0</v>
      </c>
      <c r="N25" s="12" t="s">
        <v>0</v>
      </c>
    </row>
    <row r="26" spans="1:14" ht="15" customHeight="1">
      <c r="A26" s="13"/>
      <c r="B26" s="14" t="s">
        <v>346</v>
      </c>
      <c r="C26" s="1" t="s">
        <v>220</v>
      </c>
      <c r="D26" s="3">
        <v>5</v>
      </c>
      <c r="E26" s="2" t="s">
        <v>221</v>
      </c>
      <c r="F26" s="4">
        <f>H26+J26+L26</f>
        <v>0</v>
      </c>
      <c r="G26" s="8">
        <f>I26+K26+M26</f>
        <v>266424.8</v>
      </c>
      <c r="H26" s="4"/>
      <c r="I26" s="8"/>
      <c r="J26" s="4"/>
      <c r="K26" s="8"/>
      <c r="L26" s="4"/>
      <c r="M26" s="8">
        <f>TRUNC((K22+K23+K24+K25)*D26%,1)</f>
        <v>266424.8</v>
      </c>
      <c r="N26" s="12"/>
    </row>
    <row r="27" spans="1:14" ht="15" customHeight="1">
      <c r="A27" s="13"/>
      <c r="B27" s="14" t="s">
        <v>347</v>
      </c>
      <c r="C27" s="1" t="s">
        <v>220</v>
      </c>
      <c r="D27" s="3">
        <v>3</v>
      </c>
      <c r="E27" s="2" t="s">
        <v>221</v>
      </c>
      <c r="F27" s="2"/>
      <c r="G27" s="8">
        <f>I27+K27+M27</f>
        <v>159854.79999999999</v>
      </c>
      <c r="H27" s="2"/>
      <c r="I27" s="2"/>
      <c r="J27" s="2"/>
      <c r="K27" s="2"/>
      <c r="L27" s="2"/>
      <c r="M27" s="8">
        <f>TRUNC((K22+K23+K24+K25)*D27%,1)</f>
        <v>159854.79999999999</v>
      </c>
      <c r="N27" s="12"/>
    </row>
    <row r="28" spans="1:14" ht="15" customHeight="1">
      <c r="A28" s="16"/>
      <c r="B28" s="15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12"/>
    </row>
  </sheetData>
  <mergeCells count="9">
    <mergeCell ref="A2:B3"/>
    <mergeCell ref="J2:K2"/>
    <mergeCell ref="L2:M2"/>
    <mergeCell ref="N2:N3"/>
    <mergeCell ref="C2:C3"/>
    <mergeCell ref="D2:D3"/>
    <mergeCell ref="E2:E3"/>
    <mergeCell ref="F2:G2"/>
    <mergeCell ref="H2:I2"/>
  </mergeCells>
  <phoneticPr fontId="2" type="noConversion"/>
  <pageMargins left="0.31496062992125984" right="0.31496062992125984" top="1" bottom="0.59055118110236215" header="0.5" footer="0.5"/>
  <pageSetup paperSize="9" orientation="landscape" copies="0"/>
  <headerFooter alignWithMargins="0">
    <oddHeader>&amp;RPage : &amp;P/&amp;N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N30"/>
  <sheetViews>
    <sheetView workbookViewId="0">
      <pane ySplit="3" topLeftCell="A4" activePane="bottomLeft" state="frozen"/>
      <selection activeCell="N21" sqref="N21"/>
      <selection pane="bottomLeft" activeCell="N21" sqref="N21"/>
    </sheetView>
  </sheetViews>
  <sheetFormatPr defaultRowHeight="12.75" customHeight="1"/>
  <cols>
    <col min="1" max="1" width="8.83203125" customWidth="1"/>
    <col min="2" max="3" width="35.83203125" customWidth="1"/>
    <col min="4" max="4" width="10.83203125" customWidth="1"/>
    <col min="5" max="5" width="8.83203125" style="11" customWidth="1"/>
    <col min="6" max="6" width="12.83203125" customWidth="1"/>
    <col min="7" max="7" width="14.83203125" customWidth="1"/>
    <col min="8" max="8" width="12.83203125" customWidth="1"/>
    <col min="9" max="9" width="14.83203125" customWidth="1"/>
    <col min="10" max="10" width="12.83203125" customWidth="1"/>
    <col min="11" max="11" width="14.83203125" customWidth="1"/>
    <col min="12" max="12" width="12.83203125" customWidth="1"/>
    <col min="13" max="13" width="14.83203125" customWidth="1"/>
    <col min="14" max="14" width="15.83203125" style="11" customWidth="1"/>
    <col min="15" max="27" width="9.33203125" customWidth="1"/>
  </cols>
  <sheetData>
    <row r="1" spans="1:14" ht="15" customHeight="1">
      <c r="A1" s="72" t="s">
        <v>341</v>
      </c>
    </row>
    <row r="2" spans="1:14" ht="15" customHeight="1">
      <c r="A2" s="339" t="s">
        <v>23</v>
      </c>
      <c r="B2" s="340"/>
      <c r="C2" s="345" t="s">
        <v>46</v>
      </c>
      <c r="D2" s="345" t="s">
        <v>45</v>
      </c>
      <c r="E2" s="345" t="s">
        <v>44</v>
      </c>
      <c r="F2" s="345" t="s">
        <v>19</v>
      </c>
      <c r="G2" s="345" t="s">
        <v>0</v>
      </c>
      <c r="H2" s="345" t="s">
        <v>18</v>
      </c>
      <c r="I2" s="345" t="s">
        <v>0</v>
      </c>
      <c r="J2" s="345" t="s">
        <v>17</v>
      </c>
      <c r="K2" s="345" t="s">
        <v>0</v>
      </c>
      <c r="L2" s="345" t="s">
        <v>16</v>
      </c>
      <c r="M2" s="345" t="s">
        <v>0</v>
      </c>
      <c r="N2" s="346" t="s">
        <v>15</v>
      </c>
    </row>
    <row r="3" spans="1:14" ht="15" customHeight="1">
      <c r="A3" s="339"/>
      <c r="B3" s="340"/>
      <c r="C3" s="345" t="s">
        <v>0</v>
      </c>
      <c r="D3" s="345" t="s">
        <v>0</v>
      </c>
      <c r="E3" s="345" t="s">
        <v>0</v>
      </c>
      <c r="F3" s="2" t="s">
        <v>43</v>
      </c>
      <c r="G3" s="2" t="s">
        <v>42</v>
      </c>
      <c r="H3" s="2" t="s">
        <v>43</v>
      </c>
      <c r="I3" s="2" t="s">
        <v>42</v>
      </c>
      <c r="J3" s="2" t="s">
        <v>43</v>
      </c>
      <c r="K3" s="2" t="s">
        <v>42</v>
      </c>
      <c r="L3" s="2" t="s">
        <v>43</v>
      </c>
      <c r="M3" s="2" t="s">
        <v>42</v>
      </c>
      <c r="N3" s="346" t="s">
        <v>0</v>
      </c>
    </row>
    <row r="4" spans="1:14" ht="15" customHeight="1">
      <c r="A4" s="13"/>
      <c r="B4" s="14"/>
      <c r="C4" s="1"/>
      <c r="D4" s="1"/>
      <c r="E4" s="2"/>
      <c r="F4" s="4"/>
      <c r="G4" s="8"/>
      <c r="H4" s="4"/>
      <c r="I4" s="8"/>
      <c r="J4" s="4"/>
      <c r="K4" s="8"/>
      <c r="L4" s="4"/>
      <c r="M4" s="8"/>
      <c r="N4" s="12"/>
    </row>
    <row r="5" spans="1:14" ht="15" customHeight="1">
      <c r="A5" s="64">
        <v>1</v>
      </c>
      <c r="B5" s="46" t="s">
        <v>403</v>
      </c>
      <c r="C5" s="47" t="s">
        <v>210</v>
      </c>
      <c r="D5" s="76">
        <v>1</v>
      </c>
      <c r="E5" s="48" t="s">
        <v>407</v>
      </c>
      <c r="F5" s="49"/>
      <c r="G5" s="50" t="e">
        <f>I5+K5+M5</f>
        <v>#REF!</v>
      </c>
      <c r="H5" s="49"/>
      <c r="I5" s="50" t="e">
        <f>SUM(I6:I8)</f>
        <v>#REF!</v>
      </c>
      <c r="J5" s="49"/>
      <c r="K5" s="50" t="e">
        <f>SUM(K6:K8)</f>
        <v>#REF!</v>
      </c>
      <c r="L5" s="49"/>
      <c r="M5" s="50" t="e">
        <f>SUM(M6:M8)</f>
        <v>#REF!</v>
      </c>
      <c r="N5" s="63"/>
    </row>
    <row r="6" spans="1:14" ht="15" customHeight="1">
      <c r="A6" s="13"/>
      <c r="B6" s="14" t="s">
        <v>399</v>
      </c>
      <c r="C6" s="1" t="s">
        <v>401</v>
      </c>
      <c r="D6" s="40">
        <v>2.0625</v>
      </c>
      <c r="E6" s="2" t="s">
        <v>404</v>
      </c>
      <c r="F6" s="8" t="e">
        <f>H6+J6+L6</f>
        <v>#REF!</v>
      </c>
      <c r="G6" s="8" t="e">
        <f>I6+K6+M6</f>
        <v>#REF!</v>
      </c>
      <c r="H6" s="8" t="e">
        <f>보호공!$I$5</f>
        <v>#REF!</v>
      </c>
      <c r="I6" s="8" t="e">
        <f>TRUNC(H6*D6,1)</f>
        <v>#REF!</v>
      </c>
      <c r="J6" s="8" t="e">
        <f>보호공!$K$5</f>
        <v>#REF!</v>
      </c>
      <c r="K6" s="8" t="e">
        <f>TRUNC(J6*D6,1)</f>
        <v>#REF!</v>
      </c>
      <c r="L6" s="8" t="e">
        <f>보호공!$M$5</f>
        <v>#REF!</v>
      </c>
      <c r="M6" s="8" t="e">
        <f>TRUNC(L6*D6,1)</f>
        <v>#REF!</v>
      </c>
      <c r="N6" s="12" t="s">
        <v>0</v>
      </c>
    </row>
    <row r="7" spans="1:14" ht="15" customHeight="1">
      <c r="A7" s="16"/>
      <c r="B7" s="14" t="s">
        <v>400</v>
      </c>
      <c r="C7" s="1" t="s">
        <v>402</v>
      </c>
      <c r="D7" s="40">
        <f>(0.9*1.5+1.375)*2</f>
        <v>5.45</v>
      </c>
      <c r="E7" s="2" t="s">
        <v>14</v>
      </c>
      <c r="F7" s="8">
        <f t="shared" ref="F7:G7" si="0">H7+J7+L7</f>
        <v>59053.4</v>
      </c>
      <c r="G7" s="8">
        <f t="shared" si="0"/>
        <v>321840.90000000002</v>
      </c>
      <c r="H7" s="8">
        <f>보호공!$I$12</f>
        <v>22063.4</v>
      </c>
      <c r="I7" s="8">
        <f>TRUNC(H7*D7,1)</f>
        <v>120245.5</v>
      </c>
      <c r="J7" s="8">
        <f>보호공!$K$12</f>
        <v>36623.800000000003</v>
      </c>
      <c r="K7" s="8">
        <f>TRUNC(J7*D7,1)</f>
        <v>199599.7</v>
      </c>
      <c r="L7" s="8">
        <f>보호공!$M$12</f>
        <v>366.2</v>
      </c>
      <c r="M7" s="8">
        <f>TRUNC(L7*D7,1)</f>
        <v>1995.7</v>
      </c>
      <c r="N7" s="12" t="s">
        <v>0</v>
      </c>
    </row>
    <row r="8" spans="1:14" ht="15" customHeight="1">
      <c r="A8" s="16"/>
      <c r="B8" s="14"/>
      <c r="C8" s="1"/>
      <c r="D8" s="93"/>
      <c r="E8" s="2"/>
      <c r="F8" s="4"/>
      <c r="G8" s="8"/>
      <c r="H8" s="4"/>
      <c r="I8" s="8"/>
      <c r="J8" s="4"/>
      <c r="K8" s="8"/>
      <c r="L8" s="4"/>
      <c r="M8" s="8"/>
      <c r="N8" s="12"/>
    </row>
    <row r="9" spans="1:14" ht="15" customHeight="1">
      <c r="A9" s="16"/>
      <c r="B9" s="15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12"/>
    </row>
    <row r="10" spans="1:14" ht="15" customHeight="1">
      <c r="A10" s="64">
        <f>A5+1</f>
        <v>2</v>
      </c>
      <c r="B10" s="46" t="s">
        <v>403</v>
      </c>
      <c r="C10" s="47" t="s">
        <v>211</v>
      </c>
      <c r="D10" s="76">
        <v>1</v>
      </c>
      <c r="E10" s="48" t="s">
        <v>407</v>
      </c>
      <c r="F10" s="49"/>
      <c r="G10" s="50" t="e">
        <f>I10+K10+M10</f>
        <v>#REF!</v>
      </c>
      <c r="H10" s="49"/>
      <c r="I10" s="50" t="e">
        <f>SUM(I11:I13)</f>
        <v>#REF!</v>
      </c>
      <c r="J10" s="49"/>
      <c r="K10" s="50" t="e">
        <f>SUM(K11:K13)</f>
        <v>#REF!</v>
      </c>
      <c r="L10" s="49"/>
      <c r="M10" s="50" t="e">
        <f>SUM(M11:M13)</f>
        <v>#REF!</v>
      </c>
      <c r="N10" s="63"/>
    </row>
    <row r="11" spans="1:14" ht="15" customHeight="1">
      <c r="A11" s="13"/>
      <c r="B11" s="14" t="s">
        <v>399</v>
      </c>
      <c r="C11" s="1" t="s">
        <v>401</v>
      </c>
      <c r="D11" s="40">
        <f>(2.1*1.3-0.5975)*1.8</f>
        <v>3.8385000000000007</v>
      </c>
      <c r="E11" s="2" t="s">
        <v>404</v>
      </c>
      <c r="F11" s="4" t="e">
        <f>H11+J11+L11</f>
        <v>#REF!</v>
      </c>
      <c r="G11" s="8" t="e">
        <f>I11+K11+M11</f>
        <v>#REF!</v>
      </c>
      <c r="H11" s="8" t="e">
        <f>보호공!$I$5</f>
        <v>#REF!</v>
      </c>
      <c r="I11" s="8" t="e">
        <f>TRUNC(H11*D11,1)</f>
        <v>#REF!</v>
      </c>
      <c r="J11" s="8" t="e">
        <f>보호공!$K$5</f>
        <v>#REF!</v>
      </c>
      <c r="K11" s="8" t="e">
        <f>TRUNC(J11*D11,1)</f>
        <v>#REF!</v>
      </c>
      <c r="L11" s="8" t="e">
        <f>보호공!$M$5</f>
        <v>#REF!</v>
      </c>
      <c r="M11" s="8" t="e">
        <f>TRUNC(L11*D11,1)</f>
        <v>#REF!</v>
      </c>
      <c r="N11" s="12"/>
    </row>
    <row r="12" spans="1:14" ht="15" customHeight="1">
      <c r="A12" s="13"/>
      <c r="B12" s="14" t="s">
        <v>400</v>
      </c>
      <c r="C12" s="1" t="s">
        <v>402</v>
      </c>
      <c r="D12" s="40">
        <f>(1.3*1.8+(1.3*2.1-0.5975))*2</f>
        <v>8.9450000000000003</v>
      </c>
      <c r="E12" s="2" t="s">
        <v>14</v>
      </c>
      <c r="F12" s="4">
        <f>H12+J12+L12</f>
        <v>59053.4</v>
      </c>
      <c r="G12" s="8">
        <f>I12+K12+M12</f>
        <v>528232.5</v>
      </c>
      <c r="H12" s="8">
        <f>보호공!$I$12</f>
        <v>22063.4</v>
      </c>
      <c r="I12" s="8">
        <f>TRUNC(H12*D12,1)</f>
        <v>197357.1</v>
      </c>
      <c r="J12" s="8">
        <f>보호공!$K$12</f>
        <v>36623.800000000003</v>
      </c>
      <c r="K12" s="8">
        <f>TRUNC(J12*D12,1)</f>
        <v>327599.8</v>
      </c>
      <c r="L12" s="8">
        <f>보호공!$M$12</f>
        <v>366.2</v>
      </c>
      <c r="M12" s="8">
        <f>TRUNC(L12*D12,1)</f>
        <v>3275.6</v>
      </c>
      <c r="N12" s="12"/>
    </row>
    <row r="13" spans="1:14" ht="15" customHeight="1">
      <c r="A13" s="13"/>
      <c r="B13" s="14"/>
      <c r="C13" s="1"/>
      <c r="D13" s="3"/>
      <c r="E13" s="2"/>
      <c r="F13" s="4"/>
      <c r="G13" s="8"/>
      <c r="H13" s="4"/>
      <c r="I13" s="8"/>
      <c r="J13" s="4"/>
      <c r="K13" s="8"/>
      <c r="L13" s="4"/>
      <c r="M13" s="8"/>
      <c r="N13" s="12"/>
    </row>
    <row r="14" spans="1:14" ht="15" customHeight="1">
      <c r="A14" s="13"/>
      <c r="B14" s="14"/>
      <c r="C14" s="1"/>
      <c r="D14" s="3"/>
      <c r="E14" s="2"/>
      <c r="F14" s="4"/>
      <c r="G14" s="8"/>
      <c r="H14" s="4"/>
      <c r="I14" s="8"/>
      <c r="J14" s="4"/>
      <c r="K14" s="8"/>
      <c r="L14" s="4"/>
      <c r="M14" s="8"/>
      <c r="N14" s="12"/>
    </row>
    <row r="15" spans="1:14" ht="15" customHeight="1">
      <c r="A15" s="64">
        <f>A10+1</f>
        <v>3</v>
      </c>
      <c r="B15" s="46" t="s">
        <v>403</v>
      </c>
      <c r="C15" s="47" t="s">
        <v>212</v>
      </c>
      <c r="D15" s="76">
        <v>1</v>
      </c>
      <c r="E15" s="48" t="s">
        <v>407</v>
      </c>
      <c r="F15" s="49"/>
      <c r="G15" s="50" t="e">
        <f>I15+K15+M15</f>
        <v>#REF!</v>
      </c>
      <c r="H15" s="49"/>
      <c r="I15" s="50" t="e">
        <f>SUM(I16:I18)</f>
        <v>#REF!</v>
      </c>
      <c r="J15" s="49"/>
      <c r="K15" s="50" t="e">
        <f>SUM(K16:K18)</f>
        <v>#REF!</v>
      </c>
      <c r="L15" s="49"/>
      <c r="M15" s="50" t="e">
        <f>SUM(M16:M18)</f>
        <v>#REF!</v>
      </c>
      <c r="N15" s="63"/>
    </row>
    <row r="16" spans="1:14" ht="15" customHeight="1">
      <c r="A16" s="13"/>
      <c r="B16" s="14" t="s">
        <v>399</v>
      </c>
      <c r="C16" s="1" t="s">
        <v>401</v>
      </c>
      <c r="D16" s="40">
        <f>(1.5*2.8-1.1368)*2</f>
        <v>6.1263999999999985</v>
      </c>
      <c r="E16" s="2" t="s">
        <v>404</v>
      </c>
      <c r="F16" s="4" t="e">
        <f>H16+J16+L16</f>
        <v>#REF!</v>
      </c>
      <c r="G16" s="8" t="e">
        <f>I16+K16+M16</f>
        <v>#REF!</v>
      </c>
      <c r="H16" s="8" t="e">
        <f>보호공!$I$5</f>
        <v>#REF!</v>
      </c>
      <c r="I16" s="8" t="e">
        <f>TRUNC(H16*D16,1)</f>
        <v>#REF!</v>
      </c>
      <c r="J16" s="8" t="e">
        <f>보호공!$K$5</f>
        <v>#REF!</v>
      </c>
      <c r="K16" s="8" t="e">
        <f>TRUNC(J16*D16,1)</f>
        <v>#REF!</v>
      </c>
      <c r="L16" s="8" t="e">
        <f>보호공!$M$5</f>
        <v>#REF!</v>
      </c>
      <c r="M16" s="8" t="e">
        <f>TRUNC(L16*D16,1)</f>
        <v>#REF!</v>
      </c>
      <c r="N16" s="12"/>
    </row>
    <row r="17" spans="1:14" ht="15" customHeight="1">
      <c r="A17" s="13"/>
      <c r="B17" s="14" t="s">
        <v>400</v>
      </c>
      <c r="C17" s="1" t="s">
        <v>402</v>
      </c>
      <c r="D17" s="40">
        <f>(1.5*2+(1.5*2.8-1.1368))*2</f>
        <v>12.126399999999999</v>
      </c>
      <c r="E17" s="2" t="s">
        <v>14</v>
      </c>
      <c r="F17" s="4">
        <f>H17+J17+L17</f>
        <v>59053.4</v>
      </c>
      <c r="G17" s="8">
        <f>I17+K17+M17</f>
        <v>716104.99999999988</v>
      </c>
      <c r="H17" s="8">
        <f>보호공!$I$12</f>
        <v>22063.4</v>
      </c>
      <c r="I17" s="8">
        <f>TRUNC(H17*D17,1)</f>
        <v>267549.59999999998</v>
      </c>
      <c r="J17" s="8">
        <f>보호공!$K$12</f>
        <v>36623.800000000003</v>
      </c>
      <c r="K17" s="8">
        <f>TRUNC(J17*D17,1)</f>
        <v>444114.8</v>
      </c>
      <c r="L17" s="8">
        <f>보호공!$M$12</f>
        <v>366.2</v>
      </c>
      <c r="M17" s="8">
        <f>TRUNC(L17*D17,1)</f>
        <v>4440.6000000000004</v>
      </c>
      <c r="N17" s="12"/>
    </row>
    <row r="18" spans="1:14" ht="15" customHeight="1">
      <c r="A18" s="13"/>
      <c r="B18" s="14"/>
      <c r="C18" s="1"/>
      <c r="D18" s="3"/>
      <c r="E18" s="2"/>
      <c r="F18" s="4"/>
      <c r="G18" s="8"/>
      <c r="H18" s="4"/>
      <c r="I18" s="8"/>
      <c r="J18" s="4"/>
      <c r="K18" s="8"/>
      <c r="L18" s="4"/>
      <c r="M18" s="8"/>
      <c r="N18" s="12"/>
    </row>
    <row r="19" spans="1:14" ht="15" customHeight="1">
      <c r="A19" s="13"/>
      <c r="B19" s="14"/>
      <c r="C19" s="1"/>
      <c r="D19" s="3"/>
      <c r="E19" s="2"/>
      <c r="F19" s="4"/>
      <c r="G19" s="8"/>
      <c r="H19" s="4"/>
      <c r="I19" s="8"/>
      <c r="J19" s="4"/>
      <c r="K19" s="8"/>
      <c r="L19" s="4"/>
      <c r="M19" s="8"/>
      <c r="N19" s="12"/>
    </row>
    <row r="20" spans="1:14" ht="15" customHeight="1">
      <c r="A20" s="64">
        <f>A15+1</f>
        <v>4</v>
      </c>
      <c r="B20" s="46" t="s">
        <v>403</v>
      </c>
      <c r="C20" s="47" t="s">
        <v>213</v>
      </c>
      <c r="D20" s="76">
        <v>1</v>
      </c>
      <c r="E20" s="48" t="s">
        <v>407</v>
      </c>
      <c r="F20" s="49"/>
      <c r="G20" s="50" t="e">
        <f>I20+K20+M20</f>
        <v>#REF!</v>
      </c>
      <c r="H20" s="49"/>
      <c r="I20" s="50" t="e">
        <f>SUM(I21:I23)</f>
        <v>#REF!</v>
      </c>
      <c r="J20" s="49"/>
      <c r="K20" s="50" t="e">
        <f>SUM(K21:K23)</f>
        <v>#REF!</v>
      </c>
      <c r="L20" s="49"/>
      <c r="M20" s="50" t="e">
        <f>SUM(M21:M23)</f>
        <v>#REF!</v>
      </c>
      <c r="N20" s="63"/>
    </row>
    <row r="21" spans="1:14" ht="15" customHeight="1">
      <c r="A21" s="13"/>
      <c r="B21" s="14" t="s">
        <v>399</v>
      </c>
      <c r="C21" s="1" t="s">
        <v>401</v>
      </c>
      <c r="D21" s="40">
        <f>(1.85*2.7-1.6752)*2.2</f>
        <v>7.3035600000000018</v>
      </c>
      <c r="E21" s="2" t="s">
        <v>404</v>
      </c>
      <c r="F21" s="4" t="e">
        <f>H21+J21+L21</f>
        <v>#REF!</v>
      </c>
      <c r="G21" s="8" t="e">
        <f>I21+K21+M21</f>
        <v>#REF!</v>
      </c>
      <c r="H21" s="8" t="e">
        <f>보호공!$I$5</f>
        <v>#REF!</v>
      </c>
      <c r="I21" s="8" t="e">
        <f>TRUNC(H21*D21,1)</f>
        <v>#REF!</v>
      </c>
      <c r="J21" s="8" t="e">
        <f>보호공!$K$5</f>
        <v>#REF!</v>
      </c>
      <c r="K21" s="8" t="e">
        <f>TRUNC(J21*D21,1)</f>
        <v>#REF!</v>
      </c>
      <c r="L21" s="8" t="e">
        <f>보호공!$M$5</f>
        <v>#REF!</v>
      </c>
      <c r="M21" s="8" t="e">
        <f>TRUNC(L21*D21,1)</f>
        <v>#REF!</v>
      </c>
      <c r="N21" s="12"/>
    </row>
    <row r="22" spans="1:14" ht="15" customHeight="1">
      <c r="A22" s="13"/>
      <c r="B22" s="14" t="s">
        <v>400</v>
      </c>
      <c r="C22" s="1" t="s">
        <v>402</v>
      </c>
      <c r="D22" s="40">
        <f>(1.85*2.2+(1.85*2.7-1.6752))*2</f>
        <v>14.779600000000002</v>
      </c>
      <c r="E22" s="2" t="s">
        <v>14</v>
      </c>
      <c r="F22" s="4">
        <f>H22+J22+L22</f>
        <v>59053.4</v>
      </c>
      <c r="G22" s="8">
        <f>I22+K22+M22</f>
        <v>872785.5</v>
      </c>
      <c r="H22" s="8">
        <f>보호공!$I$12</f>
        <v>22063.4</v>
      </c>
      <c r="I22" s="8">
        <f>TRUNC(H22*D22,1)</f>
        <v>326088.2</v>
      </c>
      <c r="J22" s="8">
        <f>보호공!$K$12</f>
        <v>36623.800000000003</v>
      </c>
      <c r="K22" s="8">
        <f>TRUNC(J22*D22,1)</f>
        <v>541285.1</v>
      </c>
      <c r="L22" s="8">
        <f>보호공!$M$12</f>
        <v>366.2</v>
      </c>
      <c r="M22" s="8">
        <f>TRUNC(L22*D22,1)</f>
        <v>5412.2</v>
      </c>
      <c r="N22" s="12"/>
    </row>
    <row r="23" spans="1:14" ht="15" customHeight="1">
      <c r="A23" s="13"/>
      <c r="B23" s="14"/>
      <c r="C23" s="1"/>
      <c r="D23" s="3"/>
      <c r="E23" s="2"/>
      <c r="F23" s="4"/>
      <c r="G23" s="8"/>
      <c r="H23" s="4"/>
      <c r="I23" s="8"/>
      <c r="J23" s="4"/>
      <c r="K23" s="8"/>
      <c r="L23" s="4"/>
      <c r="M23" s="8"/>
      <c r="N23" s="12"/>
    </row>
    <row r="24" spans="1:14" ht="15" customHeight="1">
      <c r="A24" s="13"/>
      <c r="B24" s="14"/>
      <c r="C24" s="1"/>
      <c r="D24" s="3"/>
      <c r="E24" s="2"/>
      <c r="F24" s="4"/>
      <c r="G24" s="8"/>
      <c r="H24" s="4"/>
      <c r="I24" s="8"/>
      <c r="J24" s="4"/>
      <c r="K24" s="8"/>
      <c r="L24" s="4"/>
      <c r="M24" s="8"/>
      <c r="N24" s="12"/>
    </row>
    <row r="25" spans="1:14" ht="15" customHeight="1">
      <c r="A25" s="64">
        <f>A20+1</f>
        <v>5</v>
      </c>
      <c r="B25" s="46" t="s">
        <v>403</v>
      </c>
      <c r="C25" s="47" t="s">
        <v>214</v>
      </c>
      <c r="D25" s="76">
        <v>1</v>
      </c>
      <c r="E25" s="48" t="s">
        <v>407</v>
      </c>
      <c r="F25" s="49"/>
      <c r="G25" s="50" t="e">
        <f>I25+K25+M25</f>
        <v>#REF!</v>
      </c>
      <c r="H25" s="49"/>
      <c r="I25" s="50" t="e">
        <f>SUM(I26:I28)</f>
        <v>#REF!</v>
      </c>
      <c r="J25" s="49"/>
      <c r="K25" s="50" t="e">
        <f>SUM(K26:K28)</f>
        <v>#REF!</v>
      </c>
      <c r="L25" s="49"/>
      <c r="M25" s="50" t="e">
        <f>SUM(M26:M28)</f>
        <v>#REF!</v>
      </c>
      <c r="N25" s="63"/>
    </row>
    <row r="26" spans="1:14" ht="15" customHeight="1">
      <c r="A26" s="13"/>
      <c r="B26" s="14" t="s">
        <v>399</v>
      </c>
      <c r="C26" s="1" t="s">
        <v>401</v>
      </c>
      <c r="D26" s="40">
        <f>(2*3.4-2.2659)*2.6</f>
        <v>11.788660000000002</v>
      </c>
      <c r="E26" s="2" t="s">
        <v>404</v>
      </c>
      <c r="F26" s="4" t="e">
        <f>H26+J26+L26</f>
        <v>#REF!</v>
      </c>
      <c r="G26" s="8" t="e">
        <f>I26+K26+M26</f>
        <v>#REF!</v>
      </c>
      <c r="H26" s="8" t="e">
        <f>보호공!$I$5</f>
        <v>#REF!</v>
      </c>
      <c r="I26" s="8" t="e">
        <f>TRUNC(H26*D26,1)</f>
        <v>#REF!</v>
      </c>
      <c r="J26" s="8" t="e">
        <f>보호공!$K$5</f>
        <v>#REF!</v>
      </c>
      <c r="K26" s="8" t="e">
        <f>TRUNC(J26*D26,1)</f>
        <v>#REF!</v>
      </c>
      <c r="L26" s="8" t="e">
        <f>보호공!$M$5</f>
        <v>#REF!</v>
      </c>
      <c r="M26" s="8" t="e">
        <f>TRUNC(L26*D26,1)</f>
        <v>#REF!</v>
      </c>
      <c r="N26" s="12"/>
    </row>
    <row r="27" spans="1:14" ht="15" customHeight="1">
      <c r="A27" s="13"/>
      <c r="B27" s="14" t="s">
        <v>400</v>
      </c>
      <c r="C27" s="1" t="s">
        <v>402</v>
      </c>
      <c r="D27" s="40">
        <f>(2*2.6+(2*3.4-2.2659))*2</f>
        <v>19.468200000000003</v>
      </c>
      <c r="E27" s="2" t="s">
        <v>14</v>
      </c>
      <c r="F27" s="4">
        <f>H27+J27+L27</f>
        <v>59053.4</v>
      </c>
      <c r="G27" s="8">
        <f>I27+K27+M27</f>
        <v>1149663.2</v>
      </c>
      <c r="H27" s="8">
        <f>보호공!$I$12</f>
        <v>22063.4</v>
      </c>
      <c r="I27" s="8">
        <f>TRUNC(H27*D27,1)</f>
        <v>429534.6</v>
      </c>
      <c r="J27" s="8">
        <f>보호공!$K$12</f>
        <v>36623.800000000003</v>
      </c>
      <c r="K27" s="8">
        <f>TRUNC(J27*D27,1)</f>
        <v>712999.4</v>
      </c>
      <c r="L27" s="8">
        <f>보호공!$M$12</f>
        <v>366.2</v>
      </c>
      <c r="M27" s="8">
        <f>TRUNC(L27*D27,1)</f>
        <v>7129.2</v>
      </c>
      <c r="N27" s="12"/>
    </row>
    <row r="28" spans="1:14" ht="15" customHeight="1">
      <c r="A28" s="13"/>
      <c r="B28" s="14"/>
      <c r="C28" s="1"/>
      <c r="D28" s="3"/>
      <c r="E28" s="2"/>
      <c r="F28" s="4"/>
      <c r="G28" s="8"/>
      <c r="H28" s="4"/>
      <c r="I28" s="8"/>
      <c r="J28" s="4"/>
      <c r="K28" s="8"/>
      <c r="L28" s="4"/>
      <c r="M28" s="8"/>
      <c r="N28" s="12"/>
    </row>
    <row r="29" spans="1:14" ht="15" customHeight="1">
      <c r="A29" s="13"/>
      <c r="B29" s="14"/>
      <c r="C29" s="1"/>
      <c r="D29" s="3"/>
      <c r="E29" s="2"/>
      <c r="F29" s="4"/>
      <c r="G29" s="8"/>
      <c r="H29" s="4"/>
      <c r="I29" s="8"/>
      <c r="J29" s="4"/>
      <c r="K29" s="8"/>
      <c r="L29" s="4"/>
      <c r="M29" s="8"/>
      <c r="N29" s="12"/>
    </row>
    <row r="30" spans="1:14" ht="15" customHeight="1">
      <c r="A30" s="16"/>
      <c r="B30" s="15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12"/>
    </row>
  </sheetData>
  <mergeCells count="9">
    <mergeCell ref="J2:K2"/>
    <mergeCell ref="L2:M2"/>
    <mergeCell ref="N2:N3"/>
    <mergeCell ref="A2:B3"/>
    <mergeCell ref="C2:C3"/>
    <mergeCell ref="D2:D3"/>
    <mergeCell ref="E2:E3"/>
    <mergeCell ref="F2:G2"/>
    <mergeCell ref="H2:I2"/>
  </mergeCells>
  <phoneticPr fontId="2" type="noConversion"/>
  <pageMargins left="0.31496062992125984" right="0.31496062992125984" top="1" bottom="0.59055118110236215" header="0.5" footer="0.5"/>
  <pageSetup paperSize="9" orientation="landscape" r:id="rId1"/>
  <headerFooter alignWithMargins="0">
    <oddHeader>&amp;RPage : &amp;P/&amp;N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N27"/>
  <sheetViews>
    <sheetView workbookViewId="0">
      <pane ySplit="3" topLeftCell="A4" activePane="bottomLeft" state="frozen"/>
      <selection activeCell="N21" sqref="N21"/>
      <selection pane="bottomLeft" activeCell="N21" sqref="N21"/>
    </sheetView>
  </sheetViews>
  <sheetFormatPr defaultRowHeight="12.75" customHeight="1"/>
  <cols>
    <col min="1" max="1" width="8.83203125" customWidth="1"/>
    <col min="2" max="3" width="35.83203125" customWidth="1"/>
    <col min="4" max="4" width="10.83203125" customWidth="1"/>
    <col min="5" max="5" width="8.83203125" style="11" customWidth="1"/>
    <col min="6" max="6" width="12.83203125" customWidth="1"/>
    <col min="7" max="7" width="14.83203125" customWidth="1"/>
    <col min="8" max="8" width="12.83203125" customWidth="1"/>
    <col min="9" max="9" width="14.83203125" customWidth="1"/>
    <col min="10" max="10" width="12.83203125" customWidth="1"/>
    <col min="11" max="11" width="14.83203125" customWidth="1"/>
    <col min="12" max="12" width="12.83203125" customWidth="1"/>
    <col min="13" max="13" width="14.83203125" customWidth="1"/>
    <col min="14" max="14" width="15.83203125" style="11" customWidth="1"/>
    <col min="15" max="27" width="9.33203125" customWidth="1"/>
  </cols>
  <sheetData>
    <row r="1" spans="1:14" ht="15" customHeight="1">
      <c r="A1" s="72" t="s">
        <v>341</v>
      </c>
    </row>
    <row r="2" spans="1:14" ht="15" customHeight="1">
      <c r="A2" s="339" t="s">
        <v>23</v>
      </c>
      <c r="B2" s="340"/>
      <c r="C2" s="345" t="s">
        <v>46</v>
      </c>
      <c r="D2" s="345" t="s">
        <v>45</v>
      </c>
      <c r="E2" s="345" t="s">
        <v>44</v>
      </c>
      <c r="F2" s="345" t="s">
        <v>19</v>
      </c>
      <c r="G2" s="345" t="s">
        <v>0</v>
      </c>
      <c r="H2" s="345" t="s">
        <v>18</v>
      </c>
      <c r="I2" s="345" t="s">
        <v>0</v>
      </c>
      <c r="J2" s="345" t="s">
        <v>17</v>
      </c>
      <c r="K2" s="345" t="s">
        <v>0</v>
      </c>
      <c r="L2" s="345" t="s">
        <v>16</v>
      </c>
      <c r="M2" s="345" t="s">
        <v>0</v>
      </c>
      <c r="N2" s="346" t="s">
        <v>15</v>
      </c>
    </row>
    <row r="3" spans="1:14" ht="15" customHeight="1">
      <c r="A3" s="339"/>
      <c r="B3" s="340"/>
      <c r="C3" s="345" t="s">
        <v>0</v>
      </c>
      <c r="D3" s="345" t="s">
        <v>0</v>
      </c>
      <c r="E3" s="345" t="s">
        <v>0</v>
      </c>
      <c r="F3" s="2" t="s">
        <v>43</v>
      </c>
      <c r="G3" s="2" t="s">
        <v>42</v>
      </c>
      <c r="H3" s="2" t="s">
        <v>43</v>
      </c>
      <c r="I3" s="2" t="s">
        <v>42</v>
      </c>
      <c r="J3" s="2" t="s">
        <v>43</v>
      </c>
      <c r="K3" s="2" t="s">
        <v>42</v>
      </c>
      <c r="L3" s="2" t="s">
        <v>43</v>
      </c>
      <c r="M3" s="2" t="s">
        <v>42</v>
      </c>
      <c r="N3" s="346" t="s">
        <v>0</v>
      </c>
    </row>
    <row r="4" spans="1:14" ht="15" customHeight="1">
      <c r="A4" s="13"/>
      <c r="B4" s="14"/>
      <c r="C4" s="1"/>
      <c r="D4" s="1"/>
      <c r="E4" s="2"/>
      <c r="F4" s="4"/>
      <c r="G4" s="8"/>
      <c r="H4" s="4"/>
      <c r="I4" s="8"/>
      <c r="J4" s="4"/>
      <c r="K4" s="8"/>
      <c r="L4" s="4"/>
      <c r="M4" s="8"/>
      <c r="N4" s="12"/>
    </row>
    <row r="5" spans="1:14" ht="15" customHeight="1">
      <c r="A5" s="64">
        <v>287</v>
      </c>
      <c r="B5" s="46" t="s">
        <v>534</v>
      </c>
      <c r="C5" s="47" t="s">
        <v>381</v>
      </c>
      <c r="D5" s="76">
        <v>1</v>
      </c>
      <c r="E5" s="48" t="s">
        <v>405</v>
      </c>
      <c r="F5" s="49"/>
      <c r="G5" s="50" t="e">
        <f>I5+K5+M5</f>
        <v>#REF!</v>
      </c>
      <c r="H5" s="49"/>
      <c r="I5" s="68" t="e">
        <f>TRUNC(I10,0)</f>
        <v>#REF!</v>
      </c>
      <c r="J5" s="49"/>
      <c r="K5" s="68" t="e">
        <f>TRUNC(K10,0)</f>
        <v>#REF!</v>
      </c>
      <c r="L5" s="49"/>
      <c r="M5" s="68" t="e">
        <f>TRUNC(M10,0)</f>
        <v>#REF!</v>
      </c>
      <c r="N5" s="63" t="s">
        <v>387</v>
      </c>
    </row>
    <row r="6" spans="1:14" ht="15" customHeight="1">
      <c r="A6" s="13"/>
      <c r="B6" s="14" t="s">
        <v>382</v>
      </c>
      <c r="C6" s="1" t="s">
        <v>384</v>
      </c>
      <c r="D6" s="106">
        <v>3</v>
      </c>
      <c r="E6" s="2" t="s">
        <v>24</v>
      </c>
      <c r="F6" s="4">
        <f>H6+J6+L6</f>
        <v>273540</v>
      </c>
      <c r="G6" s="8">
        <f>I6+K6+M6</f>
        <v>820620</v>
      </c>
      <c r="H6" s="4">
        <v>0</v>
      </c>
      <c r="I6" s="8"/>
      <c r="J6" s="4">
        <f>노임!D8</f>
        <v>273540</v>
      </c>
      <c r="K6" s="8">
        <f>TRUNC(J6*D6,1)</f>
        <v>820620</v>
      </c>
      <c r="L6" s="4">
        <v>0</v>
      </c>
      <c r="M6" s="8"/>
      <c r="N6" s="12" t="s">
        <v>0</v>
      </c>
    </row>
    <row r="7" spans="1:14" ht="15" customHeight="1">
      <c r="A7" s="16"/>
      <c r="B7" s="14" t="s">
        <v>262</v>
      </c>
      <c r="C7" s="1" t="s">
        <v>385</v>
      </c>
      <c r="D7" s="106">
        <v>3</v>
      </c>
      <c r="E7" s="2" t="s">
        <v>24</v>
      </c>
      <c r="F7" s="4">
        <f t="shared" ref="F7:G7" si="0">H7+J7+L7</f>
        <v>172068</v>
      </c>
      <c r="G7" s="8">
        <f t="shared" si="0"/>
        <v>516204</v>
      </c>
      <c r="H7" s="4"/>
      <c r="I7" s="8">
        <f>TRUNC(H7*D7,1)</f>
        <v>0</v>
      </c>
      <c r="J7" s="4">
        <f>노임!D3</f>
        <v>172068</v>
      </c>
      <c r="K7" s="8">
        <f>TRUNC(J7*D7,1)</f>
        <v>516204</v>
      </c>
      <c r="L7" s="4"/>
      <c r="M7" s="8">
        <f>TRUNC(L7*D7,1)</f>
        <v>0</v>
      </c>
      <c r="N7" s="12" t="s">
        <v>0</v>
      </c>
    </row>
    <row r="8" spans="1:14" ht="15" customHeight="1">
      <c r="A8" s="16"/>
      <c r="B8" s="14" t="s">
        <v>386</v>
      </c>
      <c r="C8" s="1" t="s">
        <v>406</v>
      </c>
      <c r="D8" s="106">
        <v>8</v>
      </c>
      <c r="E8" s="2" t="s">
        <v>7</v>
      </c>
      <c r="F8" s="4" t="e">
        <f t="shared" ref="F8" si="1">H8+J8+L8</f>
        <v>#REF!</v>
      </c>
      <c r="G8" s="8" t="e">
        <f t="shared" ref="G8" si="2">I8+K8+M8</f>
        <v>#REF!</v>
      </c>
      <c r="H8" s="4" t="e">
        <f>#REF!</f>
        <v>#REF!</v>
      </c>
      <c r="I8" s="8" t="e">
        <f>TRUNC(H8*D8,1)</f>
        <v>#REF!</v>
      </c>
      <c r="J8" s="4" t="e">
        <f>#REF!</f>
        <v>#REF!</v>
      </c>
      <c r="K8" s="8" t="e">
        <f>TRUNC(J8*D8,1)</f>
        <v>#REF!</v>
      </c>
      <c r="L8" s="4" t="e">
        <f>#REF!</f>
        <v>#REF!</v>
      </c>
      <c r="M8" s="8" t="e">
        <f>TRUNC(L8*D8,1)</f>
        <v>#REF!</v>
      </c>
      <c r="N8" s="12"/>
    </row>
    <row r="9" spans="1:14" ht="15" customHeight="1">
      <c r="A9" s="64"/>
      <c r="B9" s="14" t="s">
        <v>288</v>
      </c>
      <c r="C9" s="1" t="s">
        <v>220</v>
      </c>
      <c r="D9" s="3">
        <v>2</v>
      </c>
      <c r="E9" s="2" t="s">
        <v>221</v>
      </c>
      <c r="F9" s="4">
        <f>H9+J9+L9</f>
        <v>0</v>
      </c>
      <c r="G9" s="8">
        <f>I9+K9+M9</f>
        <v>26736.400000000001</v>
      </c>
      <c r="H9" s="4"/>
      <c r="I9" s="8"/>
      <c r="J9" s="4"/>
      <c r="K9" s="8"/>
      <c r="L9" s="4"/>
      <c r="M9" s="8">
        <f>TRUNC((K6+K7)*D9%,1)</f>
        <v>26736.400000000001</v>
      </c>
      <c r="N9" s="12"/>
    </row>
    <row r="10" spans="1:14" ht="15" customHeight="1">
      <c r="A10" s="94"/>
      <c r="B10" s="87" t="s">
        <v>533</v>
      </c>
      <c r="C10" s="107">
        <v>31.5</v>
      </c>
      <c r="D10" s="89">
        <f>ROUND(1/C10,4)</f>
        <v>3.1699999999999999E-2</v>
      </c>
      <c r="E10" s="90" t="s">
        <v>375</v>
      </c>
      <c r="F10" s="91"/>
      <c r="G10" s="92" t="e">
        <f>I10+K10+M10</f>
        <v>#REF!</v>
      </c>
      <c r="H10" s="91"/>
      <c r="I10" s="92" t="e">
        <f>TRUNC(SUM(I6:I9)*$D10,1)</f>
        <v>#REF!</v>
      </c>
      <c r="J10" s="91"/>
      <c r="K10" s="92" t="e">
        <f>TRUNC(SUM(K6:K9)*$D10,1)</f>
        <v>#REF!</v>
      </c>
      <c r="L10" s="91"/>
      <c r="M10" s="92" t="e">
        <f>TRUNC(SUM(M6:M9)*$D10,1)</f>
        <v>#REF!</v>
      </c>
      <c r="N10" s="96"/>
    </row>
    <row r="11" spans="1:14" ht="15" customHeight="1">
      <c r="A11" s="16"/>
      <c r="B11" s="15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12"/>
    </row>
    <row r="12" spans="1:14" ht="15" customHeight="1">
      <c r="A12" s="64">
        <f>A5+1</f>
        <v>288</v>
      </c>
      <c r="B12" s="46" t="s">
        <v>380</v>
      </c>
      <c r="C12" s="47" t="s">
        <v>388</v>
      </c>
      <c r="D12" s="76">
        <v>1</v>
      </c>
      <c r="E12" s="48" t="s">
        <v>348</v>
      </c>
      <c r="F12" s="49"/>
      <c r="G12" s="50">
        <f>I12+K12+M12</f>
        <v>59053.4</v>
      </c>
      <c r="H12" s="49"/>
      <c r="I12" s="50">
        <f>SUM(I13:I18)</f>
        <v>22063.4</v>
      </c>
      <c r="J12" s="49"/>
      <c r="K12" s="50">
        <f>SUM(K13:K18)</f>
        <v>36623.800000000003</v>
      </c>
      <c r="L12" s="49"/>
      <c r="M12" s="50">
        <f>SUM(M13:M18)</f>
        <v>366.2</v>
      </c>
      <c r="N12" s="63" t="s">
        <v>535</v>
      </c>
    </row>
    <row r="13" spans="1:14" ht="15" customHeight="1">
      <c r="A13" s="13"/>
      <c r="B13" s="14" t="s">
        <v>389</v>
      </c>
      <c r="C13" s="1" t="s">
        <v>397</v>
      </c>
      <c r="D13" s="3">
        <f>1.03*0.327</f>
        <v>0.33681</v>
      </c>
      <c r="E13" s="2" t="s">
        <v>348</v>
      </c>
      <c r="F13" s="4">
        <f>H13+J13+L13</f>
        <v>33500</v>
      </c>
      <c r="G13" s="8">
        <f>I13+K13+M13</f>
        <v>11283.1</v>
      </c>
      <c r="H13" s="4">
        <v>33500</v>
      </c>
      <c r="I13" s="8">
        <f t="shared" ref="I13:I14" si="3">TRUNC(H13*D13,1)</f>
        <v>11283.1</v>
      </c>
      <c r="J13" s="4"/>
      <c r="K13" s="8">
        <f>TRUNC(J13*D13,1)</f>
        <v>0</v>
      </c>
      <c r="L13" s="4">
        <v>0</v>
      </c>
      <c r="M13" s="8"/>
      <c r="N13" s="12"/>
    </row>
    <row r="14" spans="1:14" ht="15" customHeight="1">
      <c r="A14" s="13"/>
      <c r="B14" s="14" t="s">
        <v>390</v>
      </c>
      <c r="C14" s="1" t="s">
        <v>398</v>
      </c>
      <c r="D14" s="3">
        <f>0.038*0.327</f>
        <v>1.2426E-2</v>
      </c>
      <c r="E14" s="2" t="s">
        <v>405</v>
      </c>
      <c r="F14" s="4">
        <f>H14+J14+L14</f>
        <v>691614</v>
      </c>
      <c r="G14" s="8">
        <f>I14+K14+M14</f>
        <v>8593.9</v>
      </c>
      <c r="H14" s="4">
        <v>691614</v>
      </c>
      <c r="I14" s="8">
        <f t="shared" si="3"/>
        <v>8593.9</v>
      </c>
      <c r="J14" s="4"/>
      <c r="K14" s="8">
        <f>TRUNC(J14*D14,1)</f>
        <v>0</v>
      </c>
      <c r="L14" s="4">
        <v>0</v>
      </c>
      <c r="M14" s="8"/>
      <c r="N14" s="12"/>
    </row>
    <row r="15" spans="1:14" ht="15" customHeight="1">
      <c r="A15" s="13"/>
      <c r="B15" s="14" t="s">
        <v>391</v>
      </c>
      <c r="C15" s="1" t="s">
        <v>396</v>
      </c>
      <c r="D15" s="3">
        <v>11</v>
      </c>
      <c r="E15" s="2" t="s">
        <v>221</v>
      </c>
      <c r="F15" s="4">
        <f t="shared" ref="F15:G16" si="4">H15+J15+L15</f>
        <v>0</v>
      </c>
      <c r="G15" s="8">
        <f t="shared" si="4"/>
        <v>2186.4</v>
      </c>
      <c r="H15" s="4"/>
      <c r="I15" s="8">
        <f>TRUNC((I13+I14)*D15%,1)</f>
        <v>2186.4</v>
      </c>
      <c r="J15" s="4"/>
      <c r="K15" s="8">
        <f>TRUNC(J15*D15,1)</f>
        <v>0</v>
      </c>
      <c r="L15" s="4"/>
      <c r="M15" s="8"/>
      <c r="N15" s="12"/>
    </row>
    <row r="16" spans="1:14" ht="15" customHeight="1">
      <c r="A16" s="13"/>
      <c r="B16" s="14" t="s">
        <v>392</v>
      </c>
      <c r="C16" s="1" t="s">
        <v>394</v>
      </c>
      <c r="D16" s="3">
        <f>5*(1/50)</f>
        <v>0.1</v>
      </c>
      <c r="E16" s="2" t="s">
        <v>24</v>
      </c>
      <c r="F16" s="4">
        <f t="shared" si="4"/>
        <v>275790</v>
      </c>
      <c r="G16" s="8">
        <f t="shared" si="4"/>
        <v>27579</v>
      </c>
      <c r="H16" s="4"/>
      <c r="I16" s="8">
        <f>TRUNC(H16*D16,1)</f>
        <v>0</v>
      </c>
      <c r="J16" s="4">
        <f>노임!D5</f>
        <v>275790</v>
      </c>
      <c r="K16" s="8">
        <f>TRUNC(J16*D16,1)</f>
        <v>27579</v>
      </c>
      <c r="L16" s="4"/>
      <c r="M16" s="8">
        <f>TRUNC(L16*D16,1)</f>
        <v>0</v>
      </c>
      <c r="N16" s="12"/>
    </row>
    <row r="17" spans="1:14" ht="15" customHeight="1">
      <c r="A17" s="13"/>
      <c r="B17" s="14" t="s">
        <v>262</v>
      </c>
      <c r="C17" s="1" t="s">
        <v>395</v>
      </c>
      <c r="D17" s="3">
        <f>2*(1/50)</f>
        <v>0.04</v>
      </c>
      <c r="E17" s="2" t="s">
        <v>24</v>
      </c>
      <c r="F17" s="4">
        <f t="shared" ref="F17" si="5">H17+J17+L17</f>
        <v>226122</v>
      </c>
      <c r="G17" s="8">
        <f t="shared" ref="G17" si="6">I17+K17+M17</f>
        <v>9044.7999999999993</v>
      </c>
      <c r="H17" s="4"/>
      <c r="I17" s="8">
        <f>TRUNC(H17*D17,1)</f>
        <v>0</v>
      </c>
      <c r="J17" s="4">
        <f>노임!D4</f>
        <v>226122</v>
      </c>
      <c r="K17" s="8">
        <f>TRUNC(J17*D17,1)</f>
        <v>9044.7999999999993</v>
      </c>
      <c r="L17" s="4"/>
      <c r="M17" s="8">
        <f>TRUNC(L17*D17,1)</f>
        <v>0</v>
      </c>
      <c r="N17" s="12"/>
    </row>
    <row r="18" spans="1:14" ht="15" customHeight="1">
      <c r="A18" s="13"/>
      <c r="B18" s="14" t="s">
        <v>346</v>
      </c>
      <c r="C18" s="1" t="s">
        <v>220</v>
      </c>
      <c r="D18" s="3">
        <v>1</v>
      </c>
      <c r="E18" s="2" t="s">
        <v>221</v>
      </c>
      <c r="F18" s="4">
        <f>H18+J18+L18</f>
        <v>0</v>
      </c>
      <c r="G18" s="8">
        <f>I18+K18+M18</f>
        <v>366.2</v>
      </c>
      <c r="H18" s="4"/>
      <c r="I18" s="8"/>
      <c r="J18" s="4"/>
      <c r="K18" s="8"/>
      <c r="L18" s="4"/>
      <c r="M18" s="8">
        <f>TRUNC((K16+K17)*D18%,1)</f>
        <v>366.2</v>
      </c>
      <c r="N18" s="12"/>
    </row>
    <row r="19" spans="1:14" ht="15" customHeight="1">
      <c r="A19" s="16"/>
      <c r="B19" s="15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12"/>
    </row>
    <row r="20" spans="1:14" ht="15" customHeight="1">
      <c r="A20" s="64">
        <f>A12+1</f>
        <v>289</v>
      </c>
      <c r="B20" s="46" t="s">
        <v>342</v>
      </c>
      <c r="C20" s="47" t="s">
        <v>246</v>
      </c>
      <c r="D20" s="76">
        <v>1</v>
      </c>
      <c r="E20" s="48" t="s">
        <v>243</v>
      </c>
      <c r="F20" s="49"/>
      <c r="G20" s="50">
        <f>I20+K20+M20</f>
        <v>5754776.1999999993</v>
      </c>
      <c r="H20" s="49"/>
      <c r="I20" s="50">
        <f>SUM(I21:I26)</f>
        <v>0</v>
      </c>
      <c r="J20" s="49"/>
      <c r="K20" s="50">
        <f>SUM(K21:K26)</f>
        <v>5328496.5999999996</v>
      </c>
      <c r="L20" s="49"/>
      <c r="M20" s="50">
        <f>SUM(M21:M26)</f>
        <v>426279.6</v>
      </c>
      <c r="N20" s="63" t="s">
        <v>536</v>
      </c>
    </row>
    <row r="21" spans="1:14" ht="15" customHeight="1">
      <c r="A21" s="13"/>
      <c r="B21" s="14" t="s">
        <v>343</v>
      </c>
      <c r="C21" s="1"/>
      <c r="D21" s="3">
        <v>12.38</v>
      </c>
      <c r="E21" s="2" t="s">
        <v>24</v>
      </c>
      <c r="F21" s="4">
        <f>H21+J21+L21</f>
        <v>239808</v>
      </c>
      <c r="G21" s="8">
        <f>I21+K21+M21</f>
        <v>2968823</v>
      </c>
      <c r="H21" s="4">
        <v>0</v>
      </c>
      <c r="I21" s="8"/>
      <c r="J21" s="4">
        <f>노임!D6</f>
        <v>239808</v>
      </c>
      <c r="K21" s="8">
        <f>TRUNC(J21*D21,1)</f>
        <v>2968823</v>
      </c>
      <c r="L21" s="4">
        <v>0</v>
      </c>
      <c r="M21" s="8"/>
      <c r="N21" s="12"/>
    </row>
    <row r="22" spans="1:14" ht="15" customHeight="1">
      <c r="A22" s="13"/>
      <c r="B22" s="14" t="s">
        <v>344</v>
      </c>
      <c r="C22" s="1" t="s">
        <v>0</v>
      </c>
      <c r="D22" s="3">
        <v>3.38</v>
      </c>
      <c r="E22" s="2" t="s">
        <v>24</v>
      </c>
      <c r="F22" s="4">
        <f>H22+J22+L22</f>
        <v>282536</v>
      </c>
      <c r="G22" s="8">
        <f>I22+K22+M22</f>
        <v>954971.6</v>
      </c>
      <c r="H22" s="4">
        <v>0</v>
      </c>
      <c r="I22" s="8"/>
      <c r="J22" s="4">
        <f>노임!D7</f>
        <v>282536</v>
      </c>
      <c r="K22" s="8">
        <f>TRUNC(J22*D22,1)</f>
        <v>954971.6</v>
      </c>
      <c r="L22" s="4">
        <v>0</v>
      </c>
      <c r="M22" s="8"/>
      <c r="N22" s="12" t="s">
        <v>0</v>
      </c>
    </row>
    <row r="23" spans="1:14" ht="15" customHeight="1">
      <c r="A23" s="13"/>
      <c r="B23" s="14" t="s">
        <v>345</v>
      </c>
      <c r="C23" s="1"/>
      <c r="D23" s="3">
        <v>4.5</v>
      </c>
      <c r="E23" s="2" t="s">
        <v>24</v>
      </c>
      <c r="F23" s="4">
        <f t="shared" ref="F23:G24" si="7">H23+J23+L23</f>
        <v>226122</v>
      </c>
      <c r="G23" s="8">
        <f t="shared" si="7"/>
        <v>1017549</v>
      </c>
      <c r="H23" s="4"/>
      <c r="I23" s="8"/>
      <c r="J23" s="4">
        <f>노임!D4</f>
        <v>226122</v>
      </c>
      <c r="K23" s="8">
        <f>TRUNC(J23*D23,1)</f>
        <v>1017549</v>
      </c>
      <c r="L23" s="4"/>
      <c r="M23" s="8"/>
      <c r="N23" s="12"/>
    </row>
    <row r="24" spans="1:14" ht="15" customHeight="1">
      <c r="A24" s="13"/>
      <c r="B24" s="14" t="s">
        <v>262</v>
      </c>
      <c r="C24" s="1"/>
      <c r="D24" s="3">
        <v>2.25</v>
      </c>
      <c r="E24" s="2" t="s">
        <v>24</v>
      </c>
      <c r="F24" s="4">
        <f t="shared" si="7"/>
        <v>172068</v>
      </c>
      <c r="G24" s="8">
        <f t="shared" si="7"/>
        <v>387153</v>
      </c>
      <c r="H24" s="4"/>
      <c r="I24" s="8">
        <f>TRUNC(H24*D24,1)</f>
        <v>0</v>
      </c>
      <c r="J24" s="4">
        <f>노임!D3</f>
        <v>172068</v>
      </c>
      <c r="K24" s="8">
        <f>TRUNC(J24*D24,1)</f>
        <v>387153</v>
      </c>
      <c r="L24" s="4"/>
      <c r="M24" s="8">
        <f>TRUNC(L24*D24,1)</f>
        <v>0</v>
      </c>
      <c r="N24" s="12" t="s">
        <v>0</v>
      </c>
    </row>
    <row r="25" spans="1:14" ht="15" customHeight="1">
      <c r="A25" s="13"/>
      <c r="B25" s="14" t="s">
        <v>346</v>
      </c>
      <c r="C25" s="1" t="s">
        <v>220</v>
      </c>
      <c r="D25" s="3">
        <v>5</v>
      </c>
      <c r="E25" s="2" t="s">
        <v>221</v>
      </c>
      <c r="F25" s="4">
        <f>H25+J25+L25</f>
        <v>0</v>
      </c>
      <c r="G25" s="8">
        <f>I25+K25+M25</f>
        <v>266424.8</v>
      </c>
      <c r="H25" s="4"/>
      <c r="I25" s="8"/>
      <c r="J25" s="4"/>
      <c r="K25" s="8"/>
      <c r="L25" s="4"/>
      <c r="M25" s="8">
        <f>TRUNC((K21+K22+K23+K24)*D25%,1)</f>
        <v>266424.8</v>
      </c>
      <c r="N25" s="12"/>
    </row>
    <row r="26" spans="1:14" ht="15" customHeight="1">
      <c r="A26" s="13"/>
      <c r="B26" s="14" t="s">
        <v>347</v>
      </c>
      <c r="C26" s="1" t="s">
        <v>220</v>
      </c>
      <c r="D26" s="3">
        <v>3</v>
      </c>
      <c r="E26" s="2" t="s">
        <v>221</v>
      </c>
      <c r="F26" s="2"/>
      <c r="G26" s="8">
        <f>I26+K26+M26</f>
        <v>159854.79999999999</v>
      </c>
      <c r="H26" s="2"/>
      <c r="I26" s="2"/>
      <c r="J26" s="2"/>
      <c r="K26" s="2"/>
      <c r="L26" s="2"/>
      <c r="M26" s="8">
        <f>TRUNC((K21+K22+K23+K24)*D26%,1)</f>
        <v>159854.79999999999</v>
      </c>
      <c r="N26" s="12"/>
    </row>
    <row r="27" spans="1:14" ht="15" customHeight="1">
      <c r="A27" s="16"/>
      <c r="B27" s="15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12"/>
    </row>
  </sheetData>
  <mergeCells count="9">
    <mergeCell ref="J2:K2"/>
    <mergeCell ref="L2:M2"/>
    <mergeCell ref="N2:N3"/>
    <mergeCell ref="A2:B3"/>
    <mergeCell ref="C2:C3"/>
    <mergeCell ref="D2:D3"/>
    <mergeCell ref="E2:E3"/>
    <mergeCell ref="F2:G2"/>
    <mergeCell ref="H2:I2"/>
  </mergeCells>
  <phoneticPr fontId="2" type="noConversion"/>
  <pageMargins left="0.31496062992125984" right="0.31496062992125984" top="1" bottom="0.59055118110236215" header="0.5" footer="0.5"/>
  <pageSetup paperSize="9" orientation="landscape" copies="0"/>
  <headerFooter alignWithMargins="0">
    <oddHeader>&amp;RPage : &amp;P/&amp;N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B0F0"/>
  </sheetPr>
  <dimension ref="A1:H30"/>
  <sheetViews>
    <sheetView view="pageBreakPreview" zoomScale="130" zoomScaleNormal="100" zoomScaleSheetLayoutView="130" workbookViewId="0">
      <pane ySplit="2" topLeftCell="A12" activePane="bottomLeft" state="frozen"/>
      <selection activeCell="I31" sqref="I31"/>
      <selection pane="bottomLeft" activeCell="D18" sqref="D18"/>
    </sheetView>
  </sheetViews>
  <sheetFormatPr defaultRowHeight="12.75" customHeight="1"/>
  <cols>
    <col min="1" max="1" width="35.83203125" customWidth="1"/>
    <col min="2" max="2" width="16.6640625" customWidth="1"/>
    <col min="3" max="3" width="8.83203125" style="11" customWidth="1"/>
    <col min="4" max="4" width="20.83203125" customWidth="1"/>
    <col min="5" max="5" width="35" customWidth="1"/>
    <col min="7" max="7" width="13.33203125" bestFit="1" customWidth="1"/>
  </cols>
  <sheetData>
    <row r="1" spans="1:8" ht="18" customHeight="1">
      <c r="A1" t="s">
        <v>61</v>
      </c>
    </row>
    <row r="2" spans="1:8" ht="18" customHeight="1">
      <c r="A2" s="2" t="s">
        <v>48</v>
      </c>
      <c r="B2" s="2" t="s">
        <v>22</v>
      </c>
      <c r="C2" s="2" t="s">
        <v>20</v>
      </c>
      <c r="D2" s="2" t="s">
        <v>53</v>
      </c>
      <c r="E2" s="2" t="s">
        <v>15</v>
      </c>
    </row>
    <row r="3" spans="1:8" ht="20.100000000000001" customHeight="1">
      <c r="A3" s="1" t="s">
        <v>58</v>
      </c>
      <c r="B3" s="1" t="s">
        <v>0</v>
      </c>
      <c r="C3" s="2" t="s">
        <v>349</v>
      </c>
      <c r="D3" s="10">
        <v>172068</v>
      </c>
      <c r="E3" s="2" t="s">
        <v>654</v>
      </c>
    </row>
    <row r="4" spans="1:8" ht="20.100000000000001" customHeight="1">
      <c r="A4" s="1" t="s">
        <v>59</v>
      </c>
      <c r="B4" s="1" t="s">
        <v>0</v>
      </c>
      <c r="C4" s="2" t="s">
        <v>349</v>
      </c>
      <c r="D4" s="10">
        <v>226122</v>
      </c>
      <c r="E4" s="2" t="s">
        <v>654</v>
      </c>
    </row>
    <row r="5" spans="1:8" ht="20.100000000000001" customHeight="1">
      <c r="A5" s="1" t="s">
        <v>393</v>
      </c>
      <c r="B5" s="1"/>
      <c r="C5" s="2" t="s">
        <v>349</v>
      </c>
      <c r="D5" s="10">
        <v>275790</v>
      </c>
      <c r="E5" s="2" t="s">
        <v>654</v>
      </c>
    </row>
    <row r="6" spans="1:8" ht="20.100000000000001" customHeight="1">
      <c r="A6" s="1" t="s">
        <v>242</v>
      </c>
      <c r="B6" s="1"/>
      <c r="C6" s="2" t="s">
        <v>349</v>
      </c>
      <c r="D6" s="10">
        <v>239808</v>
      </c>
      <c r="E6" s="2" t="s">
        <v>654</v>
      </c>
    </row>
    <row r="7" spans="1:8" ht="20.100000000000001" customHeight="1">
      <c r="A7" s="1" t="s">
        <v>56</v>
      </c>
      <c r="B7" s="1" t="s">
        <v>0</v>
      </c>
      <c r="C7" s="2" t="s">
        <v>349</v>
      </c>
      <c r="D7" s="10">
        <v>282536</v>
      </c>
      <c r="E7" s="2" t="s">
        <v>654</v>
      </c>
    </row>
    <row r="8" spans="1:8" ht="20.100000000000001" customHeight="1">
      <c r="A8" s="1" t="s">
        <v>383</v>
      </c>
      <c r="B8" s="1"/>
      <c r="C8" s="2" t="s">
        <v>349</v>
      </c>
      <c r="D8" s="10">
        <v>273540</v>
      </c>
      <c r="E8" s="2" t="s">
        <v>654</v>
      </c>
    </row>
    <row r="9" spans="1:8" ht="20.100000000000001" customHeight="1">
      <c r="A9" s="1" t="s">
        <v>60</v>
      </c>
      <c r="B9" s="1" t="s">
        <v>0</v>
      </c>
      <c r="C9" s="2" t="s">
        <v>349</v>
      </c>
      <c r="D9" s="10">
        <v>263017</v>
      </c>
      <c r="E9" s="2" t="s">
        <v>654</v>
      </c>
    </row>
    <row r="10" spans="1:8" ht="20.100000000000001" customHeight="1">
      <c r="A10" s="1" t="s">
        <v>55</v>
      </c>
      <c r="B10" s="1" t="s">
        <v>32</v>
      </c>
      <c r="C10" s="2" t="s">
        <v>349</v>
      </c>
      <c r="D10" s="10">
        <v>262580</v>
      </c>
      <c r="E10" s="2" t="s">
        <v>654</v>
      </c>
    </row>
    <row r="11" spans="1:8" ht="20.100000000000001" customHeight="1">
      <c r="A11" s="1" t="s">
        <v>241</v>
      </c>
      <c r="B11" s="1"/>
      <c r="C11" s="2" t="s">
        <v>349</v>
      </c>
      <c r="D11" s="10">
        <v>247897</v>
      </c>
      <c r="E11" s="2" t="s">
        <v>654</v>
      </c>
    </row>
    <row r="12" spans="1:8" ht="20.100000000000001" customHeight="1">
      <c r="A12" s="1" t="s">
        <v>169</v>
      </c>
      <c r="B12" s="1"/>
      <c r="C12" s="2" t="s">
        <v>349</v>
      </c>
      <c r="D12" s="10">
        <v>283297</v>
      </c>
      <c r="E12" s="2" t="s">
        <v>654</v>
      </c>
    </row>
    <row r="13" spans="1:8" ht="20.100000000000001" customHeight="1">
      <c r="A13" s="1" t="s">
        <v>170</v>
      </c>
      <c r="B13" s="1"/>
      <c r="C13" s="2" t="s">
        <v>349</v>
      </c>
      <c r="D13" s="10">
        <v>238936</v>
      </c>
      <c r="E13" s="2" t="s">
        <v>654</v>
      </c>
    </row>
    <row r="14" spans="1:8" ht="20.100000000000001" customHeight="1">
      <c r="A14" s="1" t="s">
        <v>47</v>
      </c>
      <c r="B14" s="1" t="s">
        <v>0</v>
      </c>
      <c r="C14" s="2" t="s">
        <v>349</v>
      </c>
      <c r="D14" s="10">
        <v>173995</v>
      </c>
      <c r="E14" s="2" t="s">
        <v>654</v>
      </c>
    </row>
    <row r="15" spans="1:8" ht="20.100000000000001" customHeight="1">
      <c r="A15" s="1" t="s">
        <v>57</v>
      </c>
      <c r="B15" s="1" t="s">
        <v>0</v>
      </c>
      <c r="C15" s="2" t="s">
        <v>349</v>
      </c>
      <c r="D15" s="10">
        <v>197788</v>
      </c>
      <c r="E15" s="2" t="s">
        <v>654</v>
      </c>
    </row>
    <row r="16" spans="1:8" ht="20.100000000000001" customHeight="1" thickBot="1">
      <c r="A16" s="174" t="s">
        <v>652</v>
      </c>
      <c r="B16" s="174"/>
      <c r="C16" s="175" t="s">
        <v>349</v>
      </c>
      <c r="D16" s="176">
        <v>335379</v>
      </c>
      <c r="E16" s="175" t="s">
        <v>655</v>
      </c>
      <c r="H16">
        <v>1.875</v>
      </c>
    </row>
    <row r="17" spans="1:8" ht="20.100000000000001" customHeight="1">
      <c r="A17" s="177" t="s">
        <v>58</v>
      </c>
      <c r="B17" s="178" t="s">
        <v>0</v>
      </c>
      <c r="C17" s="179" t="s">
        <v>349</v>
      </c>
      <c r="D17" s="180">
        <v>322627</v>
      </c>
      <c r="E17" s="181" t="s">
        <v>653</v>
      </c>
      <c r="G17" s="10">
        <v>172068</v>
      </c>
      <c r="H17">
        <f>INT(G17*$H$16)</f>
        <v>322627</v>
      </c>
    </row>
    <row r="18" spans="1:8" ht="20.100000000000001" customHeight="1">
      <c r="A18" s="182" t="s">
        <v>59</v>
      </c>
      <c r="B18" s="1" t="s">
        <v>0</v>
      </c>
      <c r="C18" s="2" t="s">
        <v>349</v>
      </c>
      <c r="D18" s="10">
        <v>423978</v>
      </c>
      <c r="E18" s="183" t="s">
        <v>653</v>
      </c>
      <c r="G18" s="10">
        <v>226122</v>
      </c>
      <c r="H18">
        <f t="shared" ref="H18:H30" si="0">INT(G18*$H$16)</f>
        <v>423978</v>
      </c>
    </row>
    <row r="19" spans="1:8" ht="20.100000000000001" customHeight="1">
      <c r="A19" s="182" t="s">
        <v>393</v>
      </c>
      <c r="B19" s="1"/>
      <c r="C19" s="2" t="s">
        <v>349</v>
      </c>
      <c r="D19" s="10">
        <v>517106</v>
      </c>
      <c r="E19" s="183" t="s">
        <v>653</v>
      </c>
      <c r="G19" s="10">
        <v>275790</v>
      </c>
      <c r="H19">
        <f t="shared" si="0"/>
        <v>517106</v>
      </c>
    </row>
    <row r="20" spans="1:8" ht="20.100000000000001" customHeight="1">
      <c r="A20" s="182" t="s">
        <v>242</v>
      </c>
      <c r="B20" s="1"/>
      <c r="C20" s="2" t="s">
        <v>349</v>
      </c>
      <c r="D20" s="10">
        <v>449640</v>
      </c>
      <c r="E20" s="183" t="s">
        <v>653</v>
      </c>
      <c r="G20" s="10">
        <v>239808</v>
      </c>
      <c r="H20">
        <f t="shared" si="0"/>
        <v>449640</v>
      </c>
    </row>
    <row r="21" spans="1:8" ht="20.100000000000001" customHeight="1">
      <c r="A21" s="182" t="s">
        <v>56</v>
      </c>
      <c r="B21" s="1" t="s">
        <v>0</v>
      </c>
      <c r="C21" s="2" t="s">
        <v>349</v>
      </c>
      <c r="D21" s="10">
        <v>529755</v>
      </c>
      <c r="E21" s="183" t="s">
        <v>653</v>
      </c>
      <c r="G21" s="10">
        <v>282536</v>
      </c>
      <c r="H21">
        <f t="shared" si="0"/>
        <v>529755</v>
      </c>
    </row>
    <row r="22" spans="1:8" ht="20.100000000000001" customHeight="1">
      <c r="A22" s="182" t="s">
        <v>383</v>
      </c>
      <c r="B22" s="1"/>
      <c r="C22" s="2" t="s">
        <v>349</v>
      </c>
      <c r="D22" s="10">
        <v>512887</v>
      </c>
      <c r="E22" s="183" t="s">
        <v>653</v>
      </c>
      <c r="G22" s="10">
        <v>273540</v>
      </c>
      <c r="H22">
        <f t="shared" si="0"/>
        <v>512887</v>
      </c>
    </row>
    <row r="23" spans="1:8" ht="20.100000000000001" customHeight="1">
      <c r="A23" s="182" t="s">
        <v>60</v>
      </c>
      <c r="B23" s="1" t="s">
        <v>0</v>
      </c>
      <c r="C23" s="2" t="s">
        <v>349</v>
      </c>
      <c r="D23" s="10">
        <v>493156</v>
      </c>
      <c r="E23" s="183" t="s">
        <v>653</v>
      </c>
      <c r="G23" s="10">
        <v>263017</v>
      </c>
      <c r="H23">
        <f t="shared" si="0"/>
        <v>493156</v>
      </c>
    </row>
    <row r="24" spans="1:8" ht="20.100000000000001" customHeight="1">
      <c r="A24" s="182" t="s">
        <v>55</v>
      </c>
      <c r="B24" s="1" t="s">
        <v>32</v>
      </c>
      <c r="C24" s="2" t="s">
        <v>349</v>
      </c>
      <c r="D24" s="10">
        <v>492337</v>
      </c>
      <c r="E24" s="183" t="s">
        <v>653</v>
      </c>
      <c r="G24" s="10">
        <v>262580</v>
      </c>
      <c r="H24">
        <f t="shared" si="0"/>
        <v>492337</v>
      </c>
    </row>
    <row r="25" spans="1:8" ht="20.100000000000001" customHeight="1">
      <c r="A25" s="182" t="s">
        <v>241</v>
      </c>
      <c r="B25" s="1"/>
      <c r="C25" s="2" t="s">
        <v>349</v>
      </c>
      <c r="D25" s="10">
        <v>464806</v>
      </c>
      <c r="E25" s="183" t="s">
        <v>653</v>
      </c>
      <c r="G25" s="10">
        <v>247897</v>
      </c>
      <c r="H25">
        <f t="shared" si="0"/>
        <v>464806</v>
      </c>
    </row>
    <row r="26" spans="1:8" ht="20.100000000000001" customHeight="1">
      <c r="A26" s="182" t="s">
        <v>169</v>
      </c>
      <c r="B26" s="1"/>
      <c r="C26" s="2" t="s">
        <v>349</v>
      </c>
      <c r="D26" s="10">
        <v>531181</v>
      </c>
      <c r="E26" s="183" t="s">
        <v>653</v>
      </c>
      <c r="G26" s="10">
        <v>283297</v>
      </c>
      <c r="H26">
        <f t="shared" si="0"/>
        <v>531181</v>
      </c>
    </row>
    <row r="27" spans="1:8" ht="20.100000000000001" customHeight="1">
      <c r="A27" s="182" t="s">
        <v>170</v>
      </c>
      <c r="B27" s="1"/>
      <c r="C27" s="2" t="s">
        <v>349</v>
      </c>
      <c r="D27" s="10">
        <v>448005</v>
      </c>
      <c r="E27" s="183" t="s">
        <v>653</v>
      </c>
      <c r="G27" s="10">
        <v>238936</v>
      </c>
      <c r="H27">
        <f t="shared" si="0"/>
        <v>448005</v>
      </c>
    </row>
    <row r="28" spans="1:8" ht="20.100000000000001" customHeight="1">
      <c r="A28" s="182" t="s">
        <v>47</v>
      </c>
      <c r="B28" s="1" t="s">
        <v>0</v>
      </c>
      <c r="C28" s="2" t="s">
        <v>349</v>
      </c>
      <c r="D28" s="10">
        <v>326240</v>
      </c>
      <c r="E28" s="183" t="s">
        <v>653</v>
      </c>
      <c r="G28" s="10">
        <v>173995</v>
      </c>
      <c r="H28">
        <f t="shared" si="0"/>
        <v>326240</v>
      </c>
    </row>
    <row r="29" spans="1:8" ht="20.100000000000001" customHeight="1">
      <c r="A29" s="182" t="s">
        <v>57</v>
      </c>
      <c r="B29" s="1" t="s">
        <v>0</v>
      </c>
      <c r="C29" s="2" t="s">
        <v>349</v>
      </c>
      <c r="D29" s="10">
        <v>370852</v>
      </c>
      <c r="E29" s="183" t="s">
        <v>653</v>
      </c>
      <c r="G29" s="10">
        <v>197788</v>
      </c>
      <c r="H29">
        <f t="shared" si="0"/>
        <v>370852</v>
      </c>
    </row>
    <row r="30" spans="1:8" ht="20.100000000000001" customHeight="1" thickBot="1">
      <c r="A30" s="184" t="s">
        <v>652</v>
      </c>
      <c r="B30" s="185"/>
      <c r="C30" s="186" t="s">
        <v>349</v>
      </c>
      <c r="D30" s="187">
        <v>628835</v>
      </c>
      <c r="E30" s="188" t="s">
        <v>656</v>
      </c>
      <c r="G30" s="10">
        <v>335379</v>
      </c>
      <c r="H30">
        <f t="shared" si="0"/>
        <v>628835</v>
      </c>
    </row>
  </sheetData>
  <phoneticPr fontId="2" type="noConversion"/>
  <pageMargins left="0.31496062992125984" right="0.31496062992125984" top="1" bottom="0.59055118110236215" header="0.5" footer="0.5"/>
  <pageSetup paperSize="9" orientation="portrait" r:id="rId1"/>
  <headerFooter alignWithMargins="0">
    <oddHeader>&amp;RPage : &amp;P/&amp;N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4"/>
  <sheetViews>
    <sheetView workbookViewId="0">
      <pane ySplit="2" topLeftCell="A3" activePane="bottomLeft" state="frozen"/>
      <selection pane="bottomLeft" activeCell="E23" sqref="E23"/>
    </sheetView>
  </sheetViews>
  <sheetFormatPr defaultRowHeight="12.75" customHeight="1"/>
  <cols>
    <col min="1" max="1" width="37.5" bestFit="1" customWidth="1"/>
    <col min="2" max="2" width="30.5" bestFit="1" customWidth="1"/>
    <col min="3" max="3" width="5" customWidth="1"/>
    <col min="4" max="4" width="18" customWidth="1"/>
    <col min="5" max="5" width="16" customWidth="1"/>
    <col min="6" max="7" width="18" customWidth="1"/>
    <col min="8" max="8" width="5" customWidth="1"/>
    <col min="9" max="10" width="0" hidden="1" customWidth="1"/>
  </cols>
  <sheetData>
    <row r="1" spans="1:10" ht="14.1" customHeight="1">
      <c r="A1" t="s">
        <v>69</v>
      </c>
    </row>
    <row r="2" spans="1:10" ht="14.1" customHeight="1">
      <c r="A2" s="2" t="s">
        <v>48</v>
      </c>
      <c r="B2" s="2" t="s">
        <v>22</v>
      </c>
      <c r="C2" s="2" t="s">
        <v>20</v>
      </c>
      <c r="D2" s="2" t="s">
        <v>18</v>
      </c>
      <c r="E2" s="2" t="s">
        <v>17</v>
      </c>
      <c r="F2" s="2" t="s">
        <v>16</v>
      </c>
      <c r="G2" s="2" t="s">
        <v>19</v>
      </c>
      <c r="H2" s="2" t="s">
        <v>15</v>
      </c>
    </row>
    <row r="3" spans="1:10" ht="14.1" customHeight="1">
      <c r="A3" s="1" t="s">
        <v>68</v>
      </c>
      <c r="B3" s="1" t="s">
        <v>67</v>
      </c>
      <c r="C3" s="1" t="s">
        <v>52</v>
      </c>
      <c r="D3" s="9">
        <v>0</v>
      </c>
      <c r="E3" s="9">
        <v>0</v>
      </c>
      <c r="F3" s="9">
        <v>1530</v>
      </c>
      <c r="G3" s="9">
        <f t="shared" ref="G3" si="0">D3+E3+F3</f>
        <v>1530</v>
      </c>
      <c r="H3" s="1" t="s">
        <v>0</v>
      </c>
      <c r="I3" t="s">
        <v>0</v>
      </c>
      <c r="J3" t="s">
        <v>66</v>
      </c>
    </row>
    <row r="4" spans="1:10" ht="14.1" customHeight="1">
      <c r="A4" s="1" t="s">
        <v>65</v>
      </c>
      <c r="B4" s="1" t="s">
        <v>64</v>
      </c>
      <c r="C4" s="1" t="s">
        <v>62</v>
      </c>
      <c r="D4" s="9">
        <v>0</v>
      </c>
      <c r="E4" s="9">
        <v>0</v>
      </c>
      <c r="F4" s="9">
        <v>111240</v>
      </c>
      <c r="G4" s="9">
        <f t="shared" ref="G4" si="1">D4+E4+F4</f>
        <v>111240</v>
      </c>
      <c r="H4" s="1" t="s">
        <v>0</v>
      </c>
      <c r="I4" t="s">
        <v>0</v>
      </c>
      <c r="J4" t="s">
        <v>63</v>
      </c>
    </row>
  </sheetData>
  <phoneticPr fontId="2" type="noConversion"/>
  <pageMargins left="0.31496062992125984" right="0.31496062992125984" top="1" bottom="0.59055118110236215" header="0.5" footer="0.5"/>
  <pageSetup paperSize="9" orientation="portrait" copies="0"/>
  <headerFooter alignWithMargins="0">
    <oddHeader>&amp;RPage : &amp;P/&amp;N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2"/>
  <sheetViews>
    <sheetView workbookViewId="0">
      <pane ySplit="2" topLeftCell="A3" activePane="bottomLeft" state="frozen"/>
      <selection pane="bottomLeft" activeCell="J11" sqref="J11"/>
    </sheetView>
  </sheetViews>
  <sheetFormatPr defaultRowHeight="12.75" customHeight="1"/>
  <cols>
    <col min="1" max="1" width="25" customWidth="1"/>
    <col min="2" max="2" width="10" customWidth="1"/>
    <col min="3" max="3" width="25" customWidth="1"/>
    <col min="4" max="5" width="9" customWidth="1"/>
  </cols>
  <sheetData>
    <row r="1" spans="1:5" ht="12.75" customHeight="1">
      <c r="A1" t="s">
        <v>77</v>
      </c>
    </row>
    <row r="2" spans="1:5" ht="12.75" customHeight="1">
      <c r="A2" s="2" t="s">
        <v>76</v>
      </c>
      <c r="B2" s="2" t="s">
        <v>75</v>
      </c>
      <c r="C2" s="2" t="s">
        <v>74</v>
      </c>
      <c r="D2" s="2" t="s">
        <v>73</v>
      </c>
      <c r="E2" s="2" t="s">
        <v>72</v>
      </c>
    </row>
  </sheetData>
  <phoneticPr fontId="2" type="noConversion"/>
  <pageMargins left="0.31496062992125984" right="0.31496062992125984" top="1" bottom="0.59055118110236215" header="0.5" footer="0.5"/>
  <pageSetup paperSize="9" orientation="portrait" copies="0"/>
  <headerFooter alignWithMargins="0">
    <oddHeader>&amp;RPage : &amp;P/&amp;N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45"/>
  <sheetViews>
    <sheetView showFormulas="1" workbookViewId="0">
      <pane ySplit="2" topLeftCell="A3" activePane="bottomLeft" state="frozen"/>
      <selection pane="bottomLeft" activeCell="C18" sqref="C18"/>
    </sheetView>
  </sheetViews>
  <sheetFormatPr defaultRowHeight="12.75" customHeight="1"/>
  <cols>
    <col min="1" max="1" width="25" customWidth="1"/>
    <col min="2" max="2" width="10" customWidth="1"/>
    <col min="3" max="3" width="25" customWidth="1"/>
    <col min="4" max="4" width="40" customWidth="1"/>
  </cols>
  <sheetData>
    <row r="1" spans="1:4" ht="12.75" customHeight="1">
      <c r="A1" t="s">
        <v>168</v>
      </c>
    </row>
    <row r="2" spans="1:4" ht="12.75" customHeight="1">
      <c r="A2" s="2" t="s">
        <v>76</v>
      </c>
      <c r="B2" s="2" t="s">
        <v>75</v>
      </c>
      <c r="C2" s="2" t="s">
        <v>74</v>
      </c>
      <c r="D2" s="2" t="s">
        <v>73</v>
      </c>
    </row>
    <row r="3" spans="1:4" ht="12.75" customHeight="1">
      <c r="A3" s="1" t="s">
        <v>167</v>
      </c>
      <c r="B3" s="1" t="s">
        <v>84</v>
      </c>
      <c r="C3" s="1" t="s">
        <v>166</v>
      </c>
      <c r="D3" s="1" t="s">
        <v>0</v>
      </c>
    </row>
    <row r="4" spans="1:4" ht="12.75" customHeight="1">
      <c r="A4" s="1" t="s">
        <v>165</v>
      </c>
      <c r="B4" s="1" t="s">
        <v>79</v>
      </c>
      <c r="C4" s="1">
        <v>1142.5</v>
      </c>
      <c r="D4" s="1" t="s">
        <v>164</v>
      </c>
    </row>
    <row r="5" spans="1:4" ht="12.75" customHeight="1">
      <c r="A5" s="1" t="s">
        <v>163</v>
      </c>
      <c r="B5" s="1" t="s">
        <v>79</v>
      </c>
      <c r="C5" s="1">
        <v>1142.5</v>
      </c>
      <c r="D5" s="1" t="s">
        <v>162</v>
      </c>
    </row>
    <row r="6" spans="1:4" ht="12.75" customHeight="1">
      <c r="A6" s="1" t="s">
        <v>161</v>
      </c>
      <c r="B6" s="1" t="s">
        <v>79</v>
      </c>
      <c r="C6" s="1">
        <v>13.2</v>
      </c>
      <c r="D6" s="1" t="s">
        <v>160</v>
      </c>
    </row>
    <row r="7" spans="1:4" ht="12.75" customHeight="1">
      <c r="A7" s="1" t="s">
        <v>159</v>
      </c>
      <c r="B7" s="1" t="s">
        <v>79</v>
      </c>
      <c r="C7" s="1">
        <v>724.05</v>
      </c>
      <c r="D7" s="1" t="s">
        <v>158</v>
      </c>
    </row>
    <row r="8" spans="1:4" ht="12.75" customHeight="1">
      <c r="A8" s="1" t="s">
        <v>157</v>
      </c>
      <c r="B8" s="1" t="s">
        <v>79</v>
      </c>
      <c r="C8" s="1">
        <v>1000</v>
      </c>
      <c r="D8" s="1" t="s">
        <v>156</v>
      </c>
    </row>
    <row r="9" spans="1:4" ht="12.75" customHeight="1">
      <c r="A9" s="1" t="s">
        <v>155</v>
      </c>
      <c r="B9" s="1" t="s">
        <v>79</v>
      </c>
      <c r="C9" s="1">
        <v>1580</v>
      </c>
      <c r="D9" s="1" t="s">
        <v>154</v>
      </c>
    </row>
    <row r="10" spans="1:4" ht="12.75" customHeight="1">
      <c r="A10" s="1" t="s">
        <v>153</v>
      </c>
      <c r="B10" s="1" t="s">
        <v>84</v>
      </c>
      <c r="C10" s="1" t="s">
        <v>150</v>
      </c>
      <c r="D10" s="1" t="s">
        <v>152</v>
      </c>
    </row>
    <row r="11" spans="1:4" ht="12.75" customHeight="1">
      <c r="A11" s="1" t="s">
        <v>151</v>
      </c>
      <c r="B11" s="1" t="s">
        <v>84</v>
      </c>
      <c r="C11" s="1" t="s">
        <v>150</v>
      </c>
      <c r="D11" s="1" t="s">
        <v>149</v>
      </c>
    </row>
    <row r="12" spans="1:4" ht="12.75" customHeight="1">
      <c r="A12" s="1" t="s">
        <v>148</v>
      </c>
      <c r="B12" s="1" t="s">
        <v>84</v>
      </c>
      <c r="C12" s="1" t="s">
        <v>147</v>
      </c>
      <c r="D12" s="1" t="s">
        <v>146</v>
      </c>
    </row>
    <row r="13" spans="1:4" ht="12.75" customHeight="1">
      <c r="A13" s="1" t="s">
        <v>145</v>
      </c>
      <c r="B13" s="1" t="s">
        <v>79</v>
      </c>
      <c r="C13" s="1">
        <v>1.25</v>
      </c>
      <c r="D13" s="1" t="s">
        <v>144</v>
      </c>
    </row>
    <row r="14" spans="1:4" ht="12.75" customHeight="1">
      <c r="A14" s="1" t="s">
        <v>143</v>
      </c>
      <c r="B14" s="1" t="s">
        <v>79</v>
      </c>
      <c r="C14" s="1">
        <v>1.071</v>
      </c>
      <c r="D14" s="1" t="s">
        <v>142</v>
      </c>
    </row>
    <row r="15" spans="1:4" ht="12.75" customHeight="1">
      <c r="A15" s="1" t="s">
        <v>141</v>
      </c>
      <c r="B15" s="1" t="s">
        <v>84</v>
      </c>
      <c r="C15" s="1" t="s">
        <v>70</v>
      </c>
      <c r="D15" s="1" t="s">
        <v>140</v>
      </c>
    </row>
    <row r="16" spans="1:4" ht="12.75" customHeight="1">
      <c r="A16" s="1" t="s">
        <v>139</v>
      </c>
      <c r="B16" s="1" t="s">
        <v>84</v>
      </c>
      <c r="C16" s="1" t="s">
        <v>70</v>
      </c>
      <c r="D16" s="1" t="s">
        <v>138</v>
      </c>
    </row>
    <row r="17" spans="1:4" ht="12.75" customHeight="1">
      <c r="A17" s="1" t="s">
        <v>137</v>
      </c>
      <c r="B17" s="1" t="s">
        <v>84</v>
      </c>
      <c r="C17" s="1" t="s">
        <v>70</v>
      </c>
      <c r="D17" s="1" t="s">
        <v>136</v>
      </c>
    </row>
    <row r="18" spans="1:4" ht="12.75" customHeight="1">
      <c r="A18" s="1" t="s">
        <v>135</v>
      </c>
      <c r="B18" s="1" t="s">
        <v>84</v>
      </c>
      <c r="C18" s="3">
        <f t="shared" ref="C18:C23" si="0">25/20 * 16/12 * 1/8</f>
        <v>0.20833333333333334</v>
      </c>
      <c r="D18" s="1" t="s">
        <v>134</v>
      </c>
    </row>
    <row r="19" spans="1:4" ht="12.75" customHeight="1">
      <c r="A19" s="1" t="s">
        <v>133</v>
      </c>
      <c r="B19" s="1" t="s">
        <v>84</v>
      </c>
      <c r="C19" s="3">
        <f t="shared" si="0"/>
        <v>0.20833333333333334</v>
      </c>
      <c r="D19" s="1" t="s">
        <v>132</v>
      </c>
    </row>
    <row r="20" spans="1:4" ht="12.75" customHeight="1">
      <c r="A20" s="1" t="s">
        <v>131</v>
      </c>
      <c r="B20" s="1" t="s">
        <v>84</v>
      </c>
      <c r="C20" s="3">
        <f t="shared" si="0"/>
        <v>0.20833333333333334</v>
      </c>
      <c r="D20" s="1" t="s">
        <v>130</v>
      </c>
    </row>
    <row r="21" spans="1:4" ht="12.75" customHeight="1">
      <c r="A21" s="1" t="s">
        <v>129</v>
      </c>
      <c r="B21" s="1" t="s">
        <v>84</v>
      </c>
      <c r="C21" s="3">
        <f t="shared" si="0"/>
        <v>0.20833333333333334</v>
      </c>
      <c r="D21" s="1" t="s">
        <v>128</v>
      </c>
    </row>
    <row r="22" spans="1:4" ht="12.75" customHeight="1">
      <c r="A22" s="1" t="s">
        <v>127</v>
      </c>
      <c r="B22" s="1" t="s">
        <v>84</v>
      </c>
      <c r="C22" s="3">
        <f t="shared" si="0"/>
        <v>0.20833333333333334</v>
      </c>
      <c r="D22" s="1" t="s">
        <v>126</v>
      </c>
    </row>
    <row r="23" spans="1:4" ht="12.75" customHeight="1">
      <c r="A23" s="1" t="s">
        <v>125</v>
      </c>
      <c r="B23" s="1" t="s">
        <v>84</v>
      </c>
      <c r="C23" s="3">
        <f t="shared" si="0"/>
        <v>0.20833333333333334</v>
      </c>
      <c r="D23" s="1" t="s">
        <v>124</v>
      </c>
    </row>
    <row r="24" spans="1:4" ht="12.75" customHeight="1">
      <c r="A24" s="1" t="s">
        <v>123</v>
      </c>
      <c r="B24" s="1" t="s">
        <v>79</v>
      </c>
      <c r="C24" s="1">
        <v>1</v>
      </c>
      <c r="D24" s="1" t="s">
        <v>122</v>
      </c>
    </row>
    <row r="25" spans="1:4" ht="12.75" customHeight="1">
      <c r="A25" s="1" t="s">
        <v>121</v>
      </c>
      <c r="B25" s="1" t="s">
        <v>79</v>
      </c>
      <c r="C25" s="1">
        <v>1.5</v>
      </c>
      <c r="D25" s="1" t="s">
        <v>120</v>
      </c>
    </row>
    <row r="26" spans="1:4" ht="12.75" customHeight="1">
      <c r="A26" s="1" t="s">
        <v>119</v>
      </c>
      <c r="B26" s="1" t="s">
        <v>79</v>
      </c>
      <c r="C26" s="1">
        <v>1.1599999999999999</v>
      </c>
      <c r="D26" s="1" t="s">
        <v>118</v>
      </c>
    </row>
    <row r="27" spans="1:4" ht="12.75" customHeight="1">
      <c r="A27" s="1" t="s">
        <v>117</v>
      </c>
      <c r="B27" s="1" t="s">
        <v>79</v>
      </c>
      <c r="C27" s="1">
        <v>1.6</v>
      </c>
      <c r="D27" s="1" t="s">
        <v>116</v>
      </c>
    </row>
    <row r="28" spans="1:4" ht="12.75" customHeight="1">
      <c r="A28" s="1" t="s">
        <v>115</v>
      </c>
      <c r="B28" s="1" t="s">
        <v>79</v>
      </c>
      <c r="C28" s="1">
        <v>1.6</v>
      </c>
      <c r="D28" s="1" t="s">
        <v>114</v>
      </c>
    </row>
    <row r="29" spans="1:4" ht="12.75" customHeight="1">
      <c r="A29" s="1" t="s">
        <v>113</v>
      </c>
      <c r="B29" s="1" t="s">
        <v>79</v>
      </c>
      <c r="C29" s="1">
        <v>1.6</v>
      </c>
      <c r="D29" s="1" t="s">
        <v>112</v>
      </c>
    </row>
    <row r="30" spans="1:4" ht="12.75" customHeight="1">
      <c r="A30" s="1" t="s">
        <v>111</v>
      </c>
      <c r="B30" s="1" t="s">
        <v>79</v>
      </c>
      <c r="C30" s="1">
        <v>1.94</v>
      </c>
      <c r="D30" s="1" t="s">
        <v>110</v>
      </c>
    </row>
    <row r="31" spans="1:4" ht="12.75" customHeight="1">
      <c r="A31" s="1" t="s">
        <v>109</v>
      </c>
      <c r="B31" s="1" t="s">
        <v>79</v>
      </c>
      <c r="C31" s="1">
        <v>1.94</v>
      </c>
      <c r="D31" s="1" t="s">
        <v>108</v>
      </c>
    </row>
    <row r="32" spans="1:4" ht="12.75" customHeight="1">
      <c r="A32" s="1" t="s">
        <v>107</v>
      </c>
      <c r="B32" s="1" t="s">
        <v>79</v>
      </c>
      <c r="C32" s="1">
        <v>1.94</v>
      </c>
      <c r="D32" s="1" t="s">
        <v>106</v>
      </c>
    </row>
    <row r="33" spans="1:4" ht="12.75" customHeight="1">
      <c r="A33" s="1" t="s">
        <v>105</v>
      </c>
      <c r="B33" s="1" t="s">
        <v>79</v>
      </c>
      <c r="C33" s="1">
        <v>1</v>
      </c>
      <c r="D33" s="1" t="s">
        <v>104</v>
      </c>
    </row>
    <row r="34" spans="1:4" ht="12.75" customHeight="1">
      <c r="A34" s="1" t="s">
        <v>103</v>
      </c>
      <c r="B34" s="1" t="s">
        <v>79</v>
      </c>
      <c r="C34" s="1">
        <v>1</v>
      </c>
      <c r="D34" s="1" t="s">
        <v>102</v>
      </c>
    </row>
    <row r="35" spans="1:4" ht="12.75" customHeight="1">
      <c r="A35" s="1" t="s">
        <v>101</v>
      </c>
      <c r="B35" s="1" t="s">
        <v>79</v>
      </c>
      <c r="C35" s="1">
        <v>1</v>
      </c>
      <c r="D35" s="1" t="s">
        <v>100</v>
      </c>
    </row>
    <row r="36" spans="1:4" ht="12.75" customHeight="1">
      <c r="A36" s="1" t="s">
        <v>99</v>
      </c>
      <c r="B36" s="1" t="s">
        <v>84</v>
      </c>
      <c r="C36" s="1" t="s">
        <v>70</v>
      </c>
      <c r="D36" s="1" t="s">
        <v>98</v>
      </c>
    </row>
    <row r="37" spans="1:4" ht="12.75" customHeight="1">
      <c r="A37" s="1" t="s">
        <v>97</v>
      </c>
      <c r="B37" s="1" t="s">
        <v>84</v>
      </c>
      <c r="C37" s="1" t="s">
        <v>70</v>
      </c>
      <c r="D37" s="1" t="s">
        <v>96</v>
      </c>
    </row>
    <row r="38" spans="1:4" ht="12.75" customHeight="1">
      <c r="A38" s="1" t="s">
        <v>95</v>
      </c>
      <c r="B38" s="1" t="s">
        <v>84</v>
      </c>
      <c r="C38" s="1" t="s">
        <v>70</v>
      </c>
      <c r="D38" s="1" t="s">
        <v>94</v>
      </c>
    </row>
    <row r="39" spans="1:4" ht="12.75" customHeight="1">
      <c r="A39" s="1" t="s">
        <v>93</v>
      </c>
      <c r="B39" s="1" t="s">
        <v>79</v>
      </c>
      <c r="C39" s="1">
        <v>1.1100000000000001</v>
      </c>
      <c r="D39" s="1" t="s">
        <v>92</v>
      </c>
    </row>
    <row r="40" spans="1:4" ht="12.75" customHeight="1">
      <c r="A40" s="1" t="s">
        <v>91</v>
      </c>
      <c r="B40" s="1" t="s">
        <v>79</v>
      </c>
      <c r="C40" s="1">
        <v>1.1200000000000001</v>
      </c>
      <c r="D40" s="1" t="s">
        <v>90</v>
      </c>
    </row>
    <row r="41" spans="1:4" ht="12.75" customHeight="1">
      <c r="A41" s="1" t="s">
        <v>89</v>
      </c>
      <c r="B41" s="1" t="s">
        <v>84</v>
      </c>
      <c r="C41" s="1" t="s">
        <v>71</v>
      </c>
      <c r="D41" s="1" t="s">
        <v>88</v>
      </c>
    </row>
    <row r="42" spans="1:4" ht="12.75" customHeight="1">
      <c r="A42" s="1" t="s">
        <v>87</v>
      </c>
      <c r="B42" s="1" t="s">
        <v>84</v>
      </c>
      <c r="C42" s="1" t="s">
        <v>71</v>
      </c>
      <c r="D42" s="1" t="s">
        <v>86</v>
      </c>
    </row>
    <row r="43" spans="1:4" ht="12.75" customHeight="1">
      <c r="A43" s="1" t="s">
        <v>85</v>
      </c>
      <c r="B43" s="1" t="s">
        <v>84</v>
      </c>
      <c r="C43" s="1" t="s">
        <v>71</v>
      </c>
      <c r="D43" s="1" t="s">
        <v>83</v>
      </c>
    </row>
    <row r="44" spans="1:4" ht="12.75" customHeight="1">
      <c r="A44" s="1" t="s">
        <v>82</v>
      </c>
      <c r="B44" s="1" t="s">
        <v>79</v>
      </c>
      <c r="C44" s="1">
        <v>0</v>
      </c>
      <c r="D44" s="1" t="s">
        <v>81</v>
      </c>
    </row>
    <row r="45" spans="1:4" ht="12.75" customHeight="1">
      <c r="A45" s="1" t="s">
        <v>80</v>
      </c>
      <c r="B45" s="1" t="s">
        <v>79</v>
      </c>
      <c r="C45" s="1">
        <v>0</v>
      </c>
      <c r="D45" s="1" t="s">
        <v>78</v>
      </c>
    </row>
  </sheetData>
  <phoneticPr fontId="2" type="noConversion"/>
  <pageMargins left="0.31496062992125984" right="0.31496062992125984" top="1" bottom="0.59055118110236215" header="0.5" footer="0.5"/>
  <pageSetup paperSize="9" orientation="portrait" copies="0" r:id="rId1"/>
  <headerFooter alignWithMargins="0">
    <oddHeader>&amp;RPage : &amp;P/&amp;N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21</vt:i4>
      </vt:variant>
      <vt:variant>
        <vt:lpstr>이름 지정된 범위</vt:lpstr>
      </vt:variant>
      <vt:variant>
        <vt:i4>25</vt:i4>
      </vt:variant>
    </vt:vector>
  </HeadingPairs>
  <TitlesOfParts>
    <vt:vector size="46" baseType="lpstr">
      <vt:lpstr>견적서</vt:lpstr>
      <vt:lpstr>내역서(700)</vt:lpstr>
      <vt:lpstr>내역서(1350)</vt:lpstr>
      <vt:lpstr>목록(강관)</vt:lpstr>
      <vt:lpstr>강관부설 및 철거</vt:lpstr>
      <vt:lpstr>강관용접</vt:lpstr>
      <vt:lpstr>강관도장</vt:lpstr>
      <vt:lpstr>강관절단 및 절단(철거)</vt:lpstr>
      <vt:lpstr>플랜지</vt:lpstr>
      <vt:lpstr>목록(주철관)</vt:lpstr>
      <vt:lpstr>KP메카니컬접합부설</vt:lpstr>
      <vt:lpstr>KP접합</vt:lpstr>
      <vt:lpstr>절단</vt:lpstr>
      <vt:lpstr>밸브</vt:lpstr>
      <vt:lpstr>잡철물</vt:lpstr>
      <vt:lpstr>보호공 계)</vt:lpstr>
      <vt:lpstr>보호공</vt:lpstr>
      <vt:lpstr>노임</vt:lpstr>
      <vt:lpstr>경비</vt:lpstr>
      <vt:lpstr>전역변수</vt:lpstr>
      <vt:lpstr>중기전역변수</vt:lpstr>
      <vt:lpstr>견적서!Print_Area</vt:lpstr>
      <vt:lpstr>'내역서(1350)'!Print_Area</vt:lpstr>
      <vt:lpstr>'내역서(700)'!Print_Area</vt:lpstr>
      <vt:lpstr>노임!Print_Area</vt:lpstr>
      <vt:lpstr>'목록(강관)'!Print_Area</vt:lpstr>
      <vt:lpstr>'목록(주철관)'!Print_Area</vt:lpstr>
      <vt:lpstr>KP메카니컬접합부설!Print_Titles</vt:lpstr>
      <vt:lpstr>KP접합!Print_Titles</vt:lpstr>
      <vt:lpstr>강관도장!Print_Titles</vt:lpstr>
      <vt:lpstr>강관용접!Print_Titles</vt:lpstr>
      <vt:lpstr>'강관절단 및 절단(철거)'!Print_Titles</vt:lpstr>
      <vt:lpstr>경비!Print_Titles</vt:lpstr>
      <vt:lpstr>'내역서(1350)'!Print_Titles</vt:lpstr>
      <vt:lpstr>'내역서(700)'!Print_Titles</vt:lpstr>
      <vt:lpstr>노임!Print_Titles</vt:lpstr>
      <vt:lpstr>'목록(강관)'!Print_Titles</vt:lpstr>
      <vt:lpstr>'목록(주철관)'!Print_Titles</vt:lpstr>
      <vt:lpstr>밸브!Print_Titles</vt:lpstr>
      <vt:lpstr>보호공!Print_Titles</vt:lpstr>
      <vt:lpstr>'보호공 계)'!Print_Titles</vt:lpstr>
      <vt:lpstr>잡철물!Print_Titles</vt:lpstr>
      <vt:lpstr>전역변수!Print_Titles</vt:lpstr>
      <vt:lpstr>절단!Print_Titles</vt:lpstr>
      <vt:lpstr>중기전역변수!Print_Titles</vt:lpstr>
      <vt:lpstr>플랜지!Print_Titles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KDC</dc:creator>
  <cp:lastModifiedBy>승리 백</cp:lastModifiedBy>
  <cp:lastPrinted>2026-03-17T01:25:28Z</cp:lastPrinted>
  <dcterms:created xsi:type="dcterms:W3CDTF">2019-03-12T23:42:06Z</dcterms:created>
  <dcterms:modified xsi:type="dcterms:W3CDTF">2026-04-01T08:07:34Z</dcterms:modified>
</cp:coreProperties>
</file>