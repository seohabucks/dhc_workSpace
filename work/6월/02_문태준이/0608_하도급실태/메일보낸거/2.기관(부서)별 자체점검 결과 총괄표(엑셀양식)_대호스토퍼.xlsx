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1M\Desktop\seohabucks\work\6월\02_문태준이\0608_하도급실태\"/>
    </mc:Choice>
  </mc:AlternateContent>
  <xr:revisionPtr revIDLastSave="0" documentId="8_{C5D5D73F-4BB7-4E59-8728-13E727BDD9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기관(부서)별 자체점검 결과 총괄표-수정" sheetId="4" r:id="rId1"/>
  </sheets>
  <definedNames>
    <definedName name="_xlnm._FilterDatabase" localSheetId="0" hidden="1">'기관(부서)별 자체점검 결과 총괄표-수정'!$A$8:$CK$838</definedName>
    <definedName name="_xlnm.Print_Area" localSheetId="0">'기관(부서)별 자체점검 결과 총괄표-수정'!$A$1:$CI$27</definedName>
    <definedName name="_xlnm.Print_Titles" localSheetId="0">'기관(부서)별 자체점검 결과 총괄표-수정'!$5:$6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9" i="4" l="1"/>
  <c r="AR7" i="4" l="1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6" authorId="0" shapeId="0" xr:uid="{00000000-0006-0000-0000-000001000000}">
      <text>
        <r>
          <rPr>
            <sz val="14"/>
            <color indexed="81"/>
            <rFont val="돋움"/>
            <family val="3"/>
            <charset val="129"/>
          </rPr>
          <t xml:space="preserve">구분
</t>
        </r>
        <r>
          <rPr>
            <sz val="14"/>
            <color indexed="81"/>
            <rFont val="Tahoma"/>
            <family val="2"/>
          </rPr>
          <t xml:space="preserve"> - </t>
        </r>
        <r>
          <rPr>
            <sz val="14"/>
            <color indexed="81"/>
            <rFont val="돋움"/>
            <family val="3"/>
            <charset val="129"/>
          </rPr>
          <t>시</t>
        </r>
        <r>
          <rPr>
            <sz val="14"/>
            <color indexed="81"/>
            <rFont val="Tahoma"/>
            <family val="2"/>
          </rPr>
          <t xml:space="preserve">, </t>
        </r>
        <r>
          <rPr>
            <sz val="14"/>
            <color indexed="81"/>
            <rFont val="돋움"/>
            <family val="3"/>
            <charset val="129"/>
          </rPr>
          <t xml:space="preserve">사업소
</t>
        </r>
        <r>
          <rPr>
            <sz val="14"/>
            <color indexed="81"/>
            <rFont val="Tahoma"/>
            <family val="2"/>
          </rPr>
          <t xml:space="preserve"> - </t>
        </r>
        <r>
          <rPr>
            <sz val="14"/>
            <color indexed="81"/>
            <rFont val="돋움"/>
            <family val="3"/>
            <charset val="129"/>
          </rPr>
          <t xml:space="preserve">자치구
</t>
        </r>
        <r>
          <rPr>
            <sz val="14"/>
            <color indexed="81"/>
            <rFont val="Tahoma"/>
            <family val="2"/>
          </rPr>
          <t xml:space="preserve"> - </t>
        </r>
        <r>
          <rPr>
            <sz val="14"/>
            <color indexed="81"/>
            <rFont val="돋움"/>
            <family val="3"/>
            <charset val="129"/>
          </rPr>
          <t>투자출연기관</t>
        </r>
      </text>
    </comment>
    <comment ref="N6" authorId="1" shapeId="0" xr:uid="{00000000-0006-0000-0000-000002000000}">
      <text>
        <r>
          <rPr>
            <b/>
            <sz val="13"/>
            <color indexed="81"/>
            <rFont val="돋움"/>
            <family val="3"/>
            <charset val="129"/>
          </rPr>
          <t>(대상) 추정가격 30억원 이상 종합공사</t>
        </r>
      </text>
    </comment>
    <comment ref="O6" authorId="1" shapeId="0" xr:uid="{00000000-0006-0000-0000-000003000000}">
      <text>
        <r>
          <rPr>
            <b/>
            <sz val="13"/>
            <color indexed="81"/>
            <rFont val="돋움"/>
            <family val="3"/>
            <charset val="129"/>
          </rPr>
          <t>종합공사로써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입찰공고문에</t>
        </r>
        <r>
          <rPr>
            <b/>
            <sz val="13"/>
            <color indexed="81"/>
            <rFont val="Tahoma"/>
            <family val="2"/>
          </rPr>
          <t xml:space="preserve"> </t>
        </r>
        <r>
          <rPr>
            <b/>
            <sz val="13"/>
            <color indexed="81"/>
            <rFont val="돋움"/>
            <family val="3"/>
            <charset val="129"/>
          </rPr>
          <t>지정여부
지정
비지엉
전문공사</t>
        </r>
        <r>
          <rPr>
            <b/>
            <sz val="13"/>
            <color indexed="81"/>
            <rFont val="Tahoma"/>
            <family val="2"/>
          </rPr>
          <t xml:space="preserve"> : </t>
        </r>
        <r>
          <rPr>
            <b/>
            <sz val="13"/>
            <color indexed="81"/>
            <rFont val="돋움"/>
            <family val="3"/>
            <charset val="129"/>
          </rPr>
          <t>비대상</t>
        </r>
      </text>
    </comment>
  </commentList>
</comments>
</file>

<file path=xl/sharedStrings.xml><?xml version="1.0" encoding="utf-8"?>
<sst xmlns="http://schemas.openxmlformats.org/spreadsheetml/2006/main" count="205" uniqueCount="142">
  <si>
    <t>착공일</t>
    <phoneticPr fontId="1" type="noConversion"/>
  </si>
  <si>
    <t>기관명</t>
    <phoneticPr fontId="1" type="noConversion"/>
  </si>
  <si>
    <t>준공일</t>
    <phoneticPr fontId="1" type="noConversion"/>
  </si>
  <si>
    <t>건설업종
(종합/전문)</t>
    <phoneticPr fontId="1" type="noConversion"/>
  </si>
  <si>
    <t>하수급인
(하도급자)</t>
    <phoneticPr fontId="1" type="noConversion"/>
  </si>
  <si>
    <t>O</t>
  </si>
  <si>
    <t>△</t>
    <phoneticPr fontId="1" type="noConversion"/>
  </si>
  <si>
    <t>계</t>
    <phoneticPr fontId="1" type="noConversion"/>
  </si>
  <si>
    <t>O</t>
    <phoneticPr fontId="1" type="noConversion"/>
  </si>
  <si>
    <t>원도급 계약 00건</t>
    <phoneticPr fontId="1" type="noConversion"/>
  </si>
  <si>
    <t>계약일</t>
    <phoneticPr fontId="1" type="noConversion"/>
  </si>
  <si>
    <t>△</t>
  </si>
  <si>
    <t>② 지연지급 시 이자 
지급</t>
    <phoneticPr fontId="1" type="noConversion"/>
  </si>
  <si>
    <t>③대금 수령 후 15일 
이내 하도급분 지급</t>
    <phoneticPr fontId="1" type="noConversion"/>
  </si>
  <si>
    <t>④지연지급 시 이자 
지급</t>
    <phoneticPr fontId="1" type="noConversion"/>
  </si>
  <si>
    <t>①제출</t>
    <phoneticPr fontId="1" type="noConversion"/>
  </si>
  <si>
    <t>②심사
위원회 
구성 적정</t>
    <phoneticPr fontId="1" type="noConversion"/>
  </si>
  <si>
    <t>③심사기준 부합</t>
    <phoneticPr fontId="1" type="noConversion"/>
  </si>
  <si>
    <t>①하도급 
대금에 
제경비 포함</t>
    <phoneticPr fontId="1" type="noConversion"/>
  </si>
  <si>
    <t xml:space="preserve">②설계변경등에 따른 
하도금액 
증감 반영 </t>
    <phoneticPr fontId="1" type="noConversion"/>
  </si>
  <si>
    <t xml:space="preserve">①공사
대장 
작성 </t>
    <phoneticPr fontId="1" type="noConversion"/>
  </si>
  <si>
    <t>③30일 
이내 통보</t>
    <phoneticPr fontId="1" type="noConversion"/>
  </si>
  <si>
    <t>①표준
계약서 
사용</t>
    <phoneticPr fontId="1" type="noConversion"/>
  </si>
  <si>
    <t>①서울시 표준계약서 사용</t>
    <phoneticPr fontId="1" type="noConversion"/>
  </si>
  <si>
    <t>②근로
계약서 
서면 교부</t>
    <phoneticPr fontId="1" type="noConversion"/>
  </si>
  <si>
    <t>①직접지급 사유 시 
직접지급
이행</t>
    <phoneticPr fontId="1" type="noConversion"/>
  </si>
  <si>
    <t>②하도급
대금 
지급보증 
발급</t>
    <phoneticPr fontId="1" type="noConversion"/>
  </si>
  <si>
    <t>①적정임금 지급</t>
    <phoneticPr fontId="1" type="noConversion"/>
  </si>
  <si>
    <t>③적정임금 이행각서 
제출</t>
    <phoneticPr fontId="1" type="noConversion"/>
  </si>
  <si>
    <t>④노무비 
전용계좌
사용</t>
    <phoneticPr fontId="1" type="noConversion"/>
  </si>
  <si>
    <t>⑤노무비 지급기한
(5일) 준수</t>
    <phoneticPr fontId="1" type="noConversion"/>
  </si>
  <si>
    <t>⑥매월 
일정한 
날짜 지정 지급</t>
    <phoneticPr fontId="1" type="noConversion"/>
  </si>
  <si>
    <t>① 지급기한 내 하수급인에게 지급</t>
    <phoneticPr fontId="1" type="noConversion"/>
  </si>
  <si>
    <t>②지급
보증 
발급</t>
    <phoneticPr fontId="1" type="noConversion"/>
  </si>
  <si>
    <t>① 지급기한 내 지급</t>
    <phoneticPr fontId="1" type="noConversion"/>
  </si>
  <si>
    <t>대상</t>
    <phoneticPr fontId="1" type="noConversion"/>
  </si>
  <si>
    <t>종합</t>
    <phoneticPr fontId="1" type="noConversion"/>
  </si>
  <si>
    <t>제출</t>
    <phoneticPr fontId="1" type="noConversion"/>
  </si>
  <si>
    <t>하도급부분
금액
(백만원)</t>
    <phoneticPr fontId="1" type="noConversion"/>
  </si>
  <si>
    <t>하도급
계약금액
(백만원)</t>
    <phoneticPr fontId="1" type="noConversion"/>
  </si>
  <si>
    <t>하도급율
(%)</t>
    <phoneticPr fontId="1" type="noConversion"/>
  </si>
  <si>
    <t>하도급
비율
(%)</t>
    <phoneticPr fontId="1" type="noConversion"/>
  </si>
  <si>
    <t>③계획 
변경시 
승인</t>
    <phoneticPr fontId="1" type="noConversion"/>
  </si>
  <si>
    <t>①하도급지킴이 사용 여부</t>
    <phoneticPr fontId="1" type="noConversion"/>
  </si>
  <si>
    <t>②대금 구분청구 및 지급 여부</t>
    <phoneticPr fontId="1" type="noConversion"/>
  </si>
  <si>
    <t>①하도급
계약심사
위원회에서 
심사 이행</t>
    <phoneticPr fontId="1" type="noConversion"/>
  </si>
  <si>
    <t>④ 적정성심사 내용</t>
    <phoneticPr fontId="1" type="noConversion"/>
  </si>
  <si>
    <t>중대 재해
발생 여부</t>
    <phoneticPr fontId="1" type="noConversion"/>
  </si>
  <si>
    <t>미해당</t>
    <phoneticPr fontId="1" type="noConversion"/>
  </si>
  <si>
    <t>입찰공고시
건설업종</t>
    <phoneticPr fontId="1" type="noConversion"/>
  </si>
  <si>
    <t>(원도급) 건설공사 계약 현황</t>
    <phoneticPr fontId="1" type="noConversion"/>
  </si>
  <si>
    <t>구분</t>
    <phoneticPr fontId="1" type="noConversion"/>
  </si>
  <si>
    <t>부서명</t>
    <phoneticPr fontId="1" type="noConversion"/>
  </si>
  <si>
    <t>입찰공고 시
(종합/전문)</t>
    <phoneticPr fontId="1" type="noConversion"/>
  </si>
  <si>
    <t>직접시공
공종 등</t>
    <phoneticPr fontId="1" type="noConversion"/>
  </si>
  <si>
    <t>하도급
공종 등</t>
    <phoneticPr fontId="1" type="noConversion"/>
  </si>
  <si>
    <t>지적건수</t>
    <phoneticPr fontId="1" type="noConversion"/>
  </si>
  <si>
    <t>②일치여부</t>
    <phoneticPr fontId="1" type="noConversion"/>
  </si>
  <si>
    <t>②부당특약 존재 여부 확인</t>
    <phoneticPr fontId="1" type="noConversion"/>
  </si>
  <si>
    <t>③불법하도급 및 부당특약 부존재 확인서 제출</t>
    <phoneticPr fontId="1" type="noConversion"/>
  </si>
  <si>
    <t>건설공사 대장 통보 여부
(30일 이내)</t>
    <phoneticPr fontId="1" type="noConversion"/>
  </si>
  <si>
    <t>②하도급율 산정 적정 여부</t>
    <phoneticPr fontId="1" type="noConversion"/>
  </si>
  <si>
    <t>원도급
계약번호</t>
    <phoneticPr fontId="1" type="noConversion"/>
  </si>
  <si>
    <t>하도급 계약 건수</t>
    <phoneticPr fontId="1" type="noConversion"/>
  </si>
  <si>
    <t xml:space="preserve">(원도급)
공  사  명 </t>
    <phoneticPr fontId="1" type="noConversion"/>
  </si>
  <si>
    <t>(원도급)
계약금액
(백만원)</t>
    <phoneticPr fontId="1" type="noConversion"/>
  </si>
  <si>
    <t>(원도급)
계약일</t>
    <phoneticPr fontId="1" type="noConversion"/>
  </si>
  <si>
    <t>(원도급)
착공일</t>
    <phoneticPr fontId="1" type="noConversion"/>
  </si>
  <si>
    <t>(원도급)
준공일</t>
    <phoneticPr fontId="1" type="noConversion"/>
  </si>
  <si>
    <t>(원도급)
회사명</t>
    <phoneticPr fontId="1" type="noConversion"/>
  </si>
  <si>
    <t>(원도급)
건설업종
(종합/전문)</t>
    <phoneticPr fontId="1" type="noConversion"/>
  </si>
  <si>
    <t>(중대재해)
사망 1명이상
(해당/미해당)</t>
    <phoneticPr fontId="1" type="noConversion"/>
  </si>
  <si>
    <t>지적건수
합계</t>
    <phoneticPr fontId="1" type="noConversion"/>
  </si>
  <si>
    <t>적정</t>
    <phoneticPr fontId="1" type="noConversion"/>
  </si>
  <si>
    <t>감독(또는 감리자)직접시공확인서 KISCON 제출 여부</t>
    <phoneticPr fontId="1" type="noConversion"/>
  </si>
  <si>
    <t>직접시공(입찰 및 계약단계)</t>
    <phoneticPr fontId="1" type="noConversion"/>
  </si>
  <si>
    <t>직접시공계획서 
제출 여부</t>
    <phoneticPr fontId="1" type="noConversion"/>
  </si>
  <si>
    <t xml:space="preserve">직접시공계획서
제출기한
준수 여부
(30일내) </t>
    <phoneticPr fontId="1" type="noConversion"/>
  </si>
  <si>
    <t>입찰공고문 직접시공 비율 만점 비율(%)</t>
    <phoneticPr fontId="1" type="noConversion"/>
  </si>
  <si>
    <t>직접시공
금액(총 노무비 기준)
(백만원)</t>
    <phoneticPr fontId="1" type="noConversion"/>
  </si>
  <si>
    <t>직접시공 계획서의 직접시공
비율(%)</t>
    <phoneticPr fontId="1" type="noConversion"/>
  </si>
  <si>
    <t>직접시공 준수여부 점검 횟수(회)</t>
    <phoneticPr fontId="1" type="noConversion"/>
  </si>
  <si>
    <t>2회</t>
    <phoneticPr fontId="1" type="noConversion"/>
  </si>
  <si>
    <t>직접시공 비율평가 대상여부(행안부 기준)</t>
    <phoneticPr fontId="1" type="noConversion"/>
  </si>
  <si>
    <t>직접시공을 위한 기능공 확보여부</t>
    <phoneticPr fontId="1" type="noConversion"/>
  </si>
  <si>
    <t>반영</t>
    <phoneticPr fontId="1" type="noConversion"/>
  </si>
  <si>
    <t>전자인력카드 출입명부 확인</t>
    <phoneticPr fontId="1" type="noConversion"/>
  </si>
  <si>
    <t>4대보험 가입 증빙서류 확인 여부</t>
    <phoneticPr fontId="1" type="noConversion"/>
  </si>
  <si>
    <t>안전교육일지 서명부 대조 확인</t>
    <phoneticPr fontId="1" type="noConversion"/>
  </si>
  <si>
    <t>원도급사 자재납품 확인</t>
    <phoneticPr fontId="1" type="noConversion"/>
  </si>
  <si>
    <t>원도급사 장비 사용내역 확인</t>
    <phoneticPr fontId="1" type="noConversion"/>
  </si>
  <si>
    <t>직접시공 의무 위반업체 등록관청 처분 요청</t>
  </si>
  <si>
    <t>비대상</t>
  </si>
  <si>
    <t>직접시공 의무비율 준수여부</t>
  </si>
  <si>
    <t>직접시공 이행 여부 확인(시공단계)</t>
    <phoneticPr fontId="1" type="noConversion"/>
  </si>
  <si>
    <t>직접시공 준수 여부(준공단계)</t>
    <phoneticPr fontId="1" type="noConversion"/>
  </si>
  <si>
    <t>입찰시 
지정한 
직접시공 의무비율 반영여부</t>
    <phoneticPr fontId="1" type="noConversion"/>
  </si>
  <si>
    <t>②One-PMIS 노무비명세서 작성</t>
    <phoneticPr fontId="1" type="noConversion"/>
  </si>
  <si>
    <t>9. 건설기계 
임대차 계약</t>
    <phoneticPr fontId="1" type="noConversion"/>
  </si>
  <si>
    <t>10. 근로계약</t>
    <phoneticPr fontId="1" type="noConversion"/>
  </si>
  <si>
    <t>13. 하도급지킴이 사용</t>
    <phoneticPr fontId="1" type="noConversion"/>
  </si>
  <si>
    <t>14. 노무비 지급 및 적정임금</t>
    <phoneticPr fontId="1" type="noConversion"/>
  </si>
  <si>
    <t>15. 자재·장비 대금의 
지급기한 준수</t>
    <phoneticPr fontId="1" type="noConversion"/>
  </si>
  <si>
    <t>(하도급) 건설공사 계약현황
(하도급 공사 有만 작성)</t>
    <phoneticPr fontId="1" type="noConversion"/>
  </si>
  <si>
    <t>2. 하도급(관리)계획서 적정성
(하도급 공사 有만 작성)</t>
    <phoneticPr fontId="1" type="noConversion"/>
  </si>
  <si>
    <t>4. 하도급 통보
(하도급 공사 有만 작성)</t>
    <phoneticPr fontId="1" type="noConversion"/>
  </si>
  <si>
    <t>6. 하도급 적정성 심사
(하도급 공사 有만 작성, 하도급율 82% 미만 외 )</t>
    <phoneticPr fontId="1" type="noConversion"/>
  </si>
  <si>
    <t>7. 하도급 대금 산정 및 조정
(하도급 공사 有만 작성)</t>
    <phoneticPr fontId="1" type="noConversion"/>
  </si>
  <si>
    <t>11. 선급금 지급
(하도급 공사 有만 작성)</t>
    <phoneticPr fontId="1" type="noConversion"/>
  </si>
  <si>
    <t>12. 하도급대금 지급
(하도급 공사 有만 작성)</t>
    <phoneticPr fontId="1" type="noConversion"/>
  </si>
  <si>
    <t>② 하도급자 지급내역 
5일 이내 
통보
(하도급 공사 有만 작성)</t>
    <phoneticPr fontId="1" type="noConversion"/>
  </si>
  <si>
    <t>체크리스트
확인서(서명)
PDF 제출</t>
    <phoneticPr fontId="1" type="noConversion"/>
  </si>
  <si>
    <t>0. 확인서 제출</t>
    <phoneticPr fontId="1" type="noConversion"/>
  </si>
  <si>
    <t>1. 원하도급사
건설공사 대장</t>
    <phoneticPr fontId="1" type="noConversion"/>
  </si>
  <si>
    <t>①표준     하도급
계약서 
사용</t>
    <phoneticPr fontId="1" type="noConversion"/>
  </si>
  <si>
    <t>3. 표준하도급계약서 및 부당특약
(하도급 공사 有만 작성)</t>
    <phoneticPr fontId="1" type="noConversion"/>
  </si>
  <si>
    <t>①하도급 계약통보 이행
(30일 이내)</t>
    <phoneticPr fontId="1" type="noConversion"/>
  </si>
  <si>
    <t>⑦ 10억미만공사 종합업자에게 하도급 위반</t>
    <phoneticPr fontId="1" type="noConversion"/>
  </si>
  <si>
    <t>②무등록 하도급 위반
(무자격자)</t>
    <phoneticPr fontId="1" type="noConversion"/>
  </si>
  <si>
    <t>①일괄하도급 위반
(전부, 주요부분의 대부분 
하도급)</t>
    <phoneticPr fontId="1" type="noConversion"/>
  </si>
  <si>
    <t>8. 하도급 건설공사대장
(KISCON) 통보</t>
    <phoneticPr fontId="1" type="noConversion"/>
  </si>
  <si>
    <t>②KISCON 통보 
내용의 
누락 여부</t>
    <phoneticPr fontId="1" type="noConversion"/>
  </si>
  <si>
    <t>□ 2026년 건설공사 상반기 자제점검 결과 총괄표</t>
    <phoneticPr fontId="1" type="noConversion"/>
  </si>
  <si>
    <t xml:space="preserve">  ○ 작성대상 : '26년 상반기 진행중(3월~)인 1억원 이상 모든 모든 공공건설공사 (하도급이 없는 공사도 포함)</t>
    <phoneticPr fontId="1" type="noConversion"/>
  </si>
  <si>
    <t>④재하도급 
위반행위
(요건 미충족)</t>
    <phoneticPr fontId="1" type="noConversion"/>
  </si>
  <si>
    <t>⑤교차수주현장 하도급 위반행위(서면승낙, 특허공법 등 20%이내)</t>
    <phoneticPr fontId="1" type="noConversion"/>
  </si>
  <si>
    <t>⑥재하도급 시 발주자에게 미통보 위반 행위</t>
    <phoneticPr fontId="1" type="noConversion"/>
  </si>
  <si>
    <t xml:space="preserve"> </t>
    <phoneticPr fontId="1" type="noConversion"/>
  </si>
  <si>
    <t>③전문공사의 하도급 행위
(서면승낙 없이 하도급)</t>
    <phoneticPr fontId="1" type="noConversion"/>
  </si>
  <si>
    <r>
      <t>5. 중요 불법 하도급(일괄, 재하도, 무자격)</t>
    </r>
    <r>
      <rPr>
        <b/>
        <sz val="16"/>
        <color rgb="FF000099"/>
        <rFont val="서울남산 장체 B"/>
        <family val="1"/>
        <charset val="129"/>
      </rPr>
      <t xml:space="preserve"> :</t>
    </r>
    <r>
      <rPr>
        <b/>
        <sz val="16"/>
        <color rgb="FFFF0000"/>
        <rFont val="서울남산 장체 B"/>
        <family val="1"/>
        <charset val="129"/>
      </rPr>
      <t xml:space="preserve"> </t>
    </r>
    <r>
      <rPr>
        <b/>
        <sz val="16"/>
        <color rgb="FF000099"/>
        <rFont val="서울남산 장체 B"/>
        <family val="1"/>
        <charset val="129"/>
      </rPr>
      <t>적정(O), 위반(X), 비대상(△) 작성주의
(중요 불법하도급은 필히 작성 주의) : 불법하도급은 행정처분 등 대상</t>
    </r>
    <phoneticPr fontId="1" type="noConversion"/>
  </si>
  <si>
    <t>R26TA01547088-00</t>
  </si>
  <si>
    <t>서울에너지공사</t>
    <phoneticPr fontId="1" type="noConversion"/>
  </si>
  <si>
    <t>열수송기술부</t>
    <phoneticPr fontId="1" type="noConversion"/>
  </si>
  <si>
    <t>2026년~2027년양지사열수송관천공및부단수공사</t>
    <phoneticPr fontId="1" type="noConversion"/>
  </si>
  <si>
    <t>26.03.03</t>
    <phoneticPr fontId="1" type="noConversion"/>
  </si>
  <si>
    <t>26.03.13</t>
    <phoneticPr fontId="1" type="noConversion"/>
  </si>
  <si>
    <t>27.12.31</t>
    <phoneticPr fontId="1" type="noConversion"/>
  </si>
  <si>
    <t>㈜대호스토퍼</t>
    <phoneticPr fontId="1" type="noConversion"/>
  </si>
  <si>
    <t>부단수 차단</t>
    <phoneticPr fontId="1" type="noConversion"/>
  </si>
  <si>
    <r>
      <t xml:space="preserve">하도급 계약 </t>
    </r>
    <r>
      <rPr>
        <sz val="14"/>
        <color theme="1"/>
        <rFont val="맑은 고딕"/>
        <family val="1"/>
        <charset val="129"/>
      </rPr>
      <t>0</t>
    </r>
    <r>
      <rPr>
        <sz val="14"/>
        <color theme="1"/>
        <rFont val="서울남산 장체 B"/>
        <family val="1"/>
        <charset val="129"/>
      </rPr>
      <t>건</t>
    </r>
    <phoneticPr fontId="1" type="noConversion"/>
  </si>
  <si>
    <t>△</t>
    <phoneticPr fontId="1" type="noConversion"/>
  </si>
  <si>
    <r>
      <t>토목건축
공사업(</t>
    </r>
    <r>
      <rPr>
        <sz val="14"/>
        <color theme="1"/>
        <rFont val="맑은 고딕"/>
        <family val="1"/>
        <charset val="129"/>
      </rPr>
      <t>전문</t>
    </r>
    <r>
      <rPr>
        <sz val="14"/>
        <color theme="1"/>
        <rFont val="서울남산 장체 B"/>
        <family val="1"/>
        <charset val="129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</si>
</sst>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%"/>
  </numFmts>
  <fonts count="4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HY헤드라인M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28"/>
      <color theme="1"/>
      <name val="HY견고딕"/>
      <family val="1"/>
      <charset val="129"/>
    </font>
    <font>
      <b/>
      <sz val="14"/>
      <color theme="1"/>
      <name val="HY신명조"/>
      <family val="1"/>
      <charset val="129"/>
    </font>
    <font>
      <sz val="14"/>
      <color theme="1"/>
      <name val="맑은 고딕"/>
      <family val="3"/>
      <charset val="129"/>
      <scheme val="minor"/>
    </font>
    <font>
      <b/>
      <sz val="13"/>
      <color indexed="81"/>
      <name val="돋움"/>
      <family val="3"/>
      <charset val="129"/>
    </font>
    <font>
      <b/>
      <sz val="13"/>
      <color indexed="81"/>
      <name val="Tahoma"/>
      <family val="2"/>
    </font>
    <font>
      <sz val="14"/>
      <color indexed="81"/>
      <name val="돋움"/>
      <family val="3"/>
      <charset val="129"/>
    </font>
    <font>
      <sz val="14"/>
      <color indexed="81"/>
      <name val="Tahoma"/>
      <family val="2"/>
    </font>
    <font>
      <sz val="11"/>
      <name val="맑은 고딕"/>
      <family val="2"/>
      <charset val="129"/>
      <scheme val="minor"/>
    </font>
    <font>
      <sz val="28"/>
      <name val="HY견고딕"/>
      <family val="1"/>
      <charset val="129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서울남산 장체 B"/>
      <family val="1"/>
      <charset val="129"/>
    </font>
    <font>
      <sz val="11"/>
      <name val="서울남산 장체 B"/>
      <family val="1"/>
      <charset val="129"/>
    </font>
    <font>
      <sz val="14"/>
      <color theme="1"/>
      <name val="서울남산 장체 B"/>
      <family val="1"/>
      <charset val="129"/>
    </font>
    <font>
      <b/>
      <sz val="14"/>
      <color theme="1"/>
      <name val="서울남산 장체 B"/>
      <family val="1"/>
      <charset val="129"/>
    </font>
    <font>
      <sz val="14"/>
      <name val="서울남산 장체 B"/>
      <family val="1"/>
      <charset val="129"/>
    </font>
    <font>
      <b/>
      <sz val="14"/>
      <color rgb="FFFF0000"/>
      <name val="서울남산 장체 B"/>
      <family val="1"/>
      <charset val="129"/>
    </font>
    <font>
      <sz val="14"/>
      <color indexed="8"/>
      <name val="서울남산 장체 B"/>
      <family val="1"/>
      <charset val="129"/>
    </font>
    <font>
      <b/>
      <sz val="28"/>
      <color theme="1"/>
      <name val="HY견고딕"/>
      <family val="1"/>
      <charset val="129"/>
    </font>
    <font>
      <b/>
      <sz val="11"/>
      <color theme="1"/>
      <name val="서울남산 장체 B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HY헤드라인M"/>
      <family val="1"/>
      <charset val="129"/>
    </font>
    <font>
      <sz val="22"/>
      <color theme="1"/>
      <name val="서울남산 장체 BL"/>
      <family val="1"/>
      <charset val="129"/>
    </font>
    <font>
      <sz val="32"/>
      <color theme="1"/>
      <name val="HY견고딕"/>
      <family val="1"/>
      <charset val="129"/>
    </font>
    <font>
      <b/>
      <sz val="16"/>
      <color rgb="FFFF0000"/>
      <name val="서울남산 장체 B"/>
      <family val="1"/>
      <charset val="129"/>
    </font>
    <font>
      <b/>
      <sz val="16"/>
      <color rgb="FF000099"/>
      <name val="서울남산 장체 B"/>
      <family val="1"/>
      <charset val="129"/>
    </font>
    <font>
      <sz val="14"/>
      <color theme="1"/>
      <name val="맑은 고딕"/>
      <family val="1"/>
      <charset val="129"/>
    </font>
    <font>
      <sz val="14"/>
      <color rgb="FF0066FF"/>
      <name val="서울남산 장체 B"/>
      <family val="1"/>
      <charset val="129"/>
    </font>
    <font>
      <b/>
      <sz val="14"/>
      <color rgb="FF0066FF"/>
      <name val="서울남산 장체 B"/>
      <family val="1"/>
      <charset val="129"/>
    </font>
    <font>
      <sz val="14"/>
      <color rgb="FF000000"/>
      <name val="서울남산장체"/>
      <family val="3"/>
      <charset val="129"/>
    </font>
    <font>
      <sz val="11"/>
      <color theme="1"/>
      <name val="Arial"/>
      <family val="2"/>
    </font>
    <font>
      <sz val="14"/>
      <color rgb="FF0066FF"/>
      <name val="Segoe UI Symbol"/>
      <family val="1"/>
    </font>
    <font>
      <sz val="14"/>
      <color theme="1"/>
      <name val="Segoe UI Symbol"/>
      <family val="1"/>
    </font>
  </fonts>
  <fills count="6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7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quotePrefix="1" applyFont="1">
      <alignment vertical="center"/>
    </xf>
    <xf numFmtId="0" fontId="6" fillId="0" borderId="0" xfId="0" quotePrefix="1" applyFont="1" applyAlignment="1">
      <alignment horizontal="center" vertical="center"/>
    </xf>
    <xf numFmtId="0" fontId="8" fillId="0" borderId="0" xfId="0" quotePrefix="1" applyFont="1">
      <alignment vertical="center"/>
    </xf>
    <xf numFmtId="0" fontId="8" fillId="0" borderId="0" xfId="0" quotePrefix="1" applyFont="1" applyAlignment="1">
      <alignment horizontal="center" vertical="center"/>
    </xf>
    <xf numFmtId="0" fontId="6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quotePrefix="1" applyFont="1" applyAlignment="1">
      <alignment horizontal="left"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0" fillId="0" borderId="0" xfId="0" applyAlignment="1">
      <alignment horizontal="right" vertical="center" wrapText="1"/>
    </xf>
    <xf numFmtId="0" fontId="6" fillId="0" borderId="0" xfId="0" quotePrefix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8" fillId="0" borderId="12" xfId="0" applyFont="1" applyBorder="1">
      <alignment vertical="center"/>
    </xf>
    <xf numFmtId="0" fontId="18" fillId="0" borderId="12" xfId="0" applyFont="1" applyBorder="1" applyAlignment="1">
      <alignment horizontal="right" vertical="center"/>
    </xf>
    <xf numFmtId="0" fontId="19" fillId="0" borderId="12" xfId="0" applyFont="1" applyBorder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right" vertical="center"/>
    </xf>
    <xf numFmtId="0" fontId="19" fillId="0" borderId="0" xfId="0" applyFont="1">
      <alignment vertical="center"/>
    </xf>
    <xf numFmtId="0" fontId="21" fillId="2" borderId="1" xfId="0" applyFont="1" applyFill="1" applyBorder="1" applyAlignment="1">
      <alignment horizontal="center" vertical="center" wrapText="1"/>
    </xf>
    <xf numFmtId="0" fontId="20" fillId="0" borderId="0" xfId="0" applyFont="1">
      <alignment vertical="center"/>
    </xf>
    <xf numFmtId="0" fontId="21" fillId="5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41" fontId="20" fillId="0" borderId="5" xfId="1" applyFont="1" applyBorder="1" applyAlignment="1">
      <alignment horizontal="right" vertical="center"/>
    </xf>
    <xf numFmtId="0" fontId="20" fillId="0" borderId="5" xfId="0" quotePrefix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41" fontId="20" fillId="0" borderId="5" xfId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41" fontId="20" fillId="0" borderId="12" xfId="1" applyFont="1" applyFill="1" applyBorder="1" applyAlignment="1">
      <alignment horizontal="right" vertical="center" wrapText="1"/>
    </xf>
    <xf numFmtId="0" fontId="20" fillId="0" borderId="12" xfId="0" quotePrefix="1" applyFont="1" applyBorder="1" applyAlignment="1">
      <alignment horizontal="center" vertical="center" wrapText="1"/>
    </xf>
    <xf numFmtId="9" fontId="20" fillId="0" borderId="12" xfId="0" applyNumberFormat="1" applyFont="1" applyBorder="1" applyAlignment="1">
      <alignment horizontal="center" vertical="center" wrapText="1"/>
    </xf>
    <xf numFmtId="176" fontId="20" fillId="0" borderId="12" xfId="0" applyNumberFormat="1" applyFont="1" applyBorder="1" applyAlignment="1">
      <alignment horizontal="center" vertical="center" wrapText="1"/>
    </xf>
    <xf numFmtId="177" fontId="22" fillId="0" borderId="12" xfId="4" applyNumberFormat="1" applyFont="1" applyFill="1" applyBorder="1" applyAlignment="1">
      <alignment horizontal="center" vertical="center" wrapText="1"/>
    </xf>
    <xf numFmtId="43" fontId="20" fillId="0" borderId="12" xfId="0" applyNumberFormat="1" applyFont="1" applyBorder="1" applyAlignment="1">
      <alignment horizontal="center" vertical="center" wrapText="1"/>
    </xf>
    <xf numFmtId="41" fontId="20" fillId="0" borderId="12" xfId="1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4" fillId="0" borderId="12" xfId="5" applyFont="1" applyBorder="1" applyAlignment="1">
      <alignment horizontal="center" vertical="center" wrapText="1"/>
    </xf>
    <xf numFmtId="0" fontId="20" fillId="0" borderId="12" xfId="0" applyFont="1" applyBorder="1">
      <alignment vertical="center"/>
    </xf>
    <xf numFmtId="0" fontId="20" fillId="0" borderId="12" xfId="0" applyFont="1" applyBorder="1" applyAlignment="1">
      <alignment horizontal="right" vertical="center"/>
    </xf>
    <xf numFmtId="0" fontId="22" fillId="0" borderId="12" xfId="0" applyFont="1" applyBorder="1">
      <alignment vertical="center"/>
    </xf>
    <xf numFmtId="0" fontId="16" fillId="0" borderId="0" xfId="0" applyFont="1" applyAlignment="1">
      <alignment horizontal="left" vertical="center" wrapText="1"/>
    </xf>
    <xf numFmtId="0" fontId="25" fillId="0" borderId="0" xfId="0" quotePrefix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6" fillId="0" borderId="12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 wrapText="1"/>
    </xf>
    <xf numFmtId="0" fontId="16" fillId="0" borderId="0" xfId="0" applyFont="1">
      <alignment vertical="center"/>
    </xf>
    <xf numFmtId="0" fontId="21" fillId="0" borderId="12" xfId="0" applyFont="1" applyBorder="1" applyAlignment="1">
      <alignment horizontal="center" vertical="center" wrapText="1"/>
    </xf>
    <xf numFmtId="0" fontId="21" fillId="0" borderId="12" xfId="0" applyFont="1" applyBorder="1">
      <alignment vertical="center"/>
    </xf>
    <xf numFmtId="0" fontId="26" fillId="0" borderId="12" xfId="0" applyFont="1" applyBorder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9" fillId="0" borderId="0" xfId="0" quotePrefix="1" applyFont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0" borderId="15" xfId="0" applyFont="1" applyBorder="1">
      <alignment vertical="center"/>
    </xf>
    <xf numFmtId="41" fontId="20" fillId="0" borderId="15" xfId="6" applyFont="1" applyBorder="1" applyAlignment="1">
      <alignment horizontal="right" vertical="center"/>
    </xf>
    <xf numFmtId="0" fontId="20" fillId="0" borderId="14" xfId="0" applyFont="1" applyBorder="1">
      <alignment vertical="center"/>
    </xf>
    <xf numFmtId="0" fontId="23" fillId="2" borderId="1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30" fillId="0" borderId="0" xfId="0" quotePrefix="1" applyFont="1" applyAlignment="1">
      <alignment horizontal="left" vertical="center" wrapText="1"/>
    </xf>
    <xf numFmtId="0" fontId="30" fillId="0" borderId="0" xfId="0" quotePrefix="1" applyFont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 wrapText="1"/>
    </xf>
    <xf numFmtId="0" fontId="21" fillId="5" borderId="10" xfId="0" applyFont="1" applyFill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/>
    </xf>
    <xf numFmtId="0" fontId="34" fillId="0" borderId="1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left" vertical="center" wrapText="1"/>
    </xf>
    <xf numFmtId="41" fontId="34" fillId="0" borderId="3" xfId="1" applyFont="1" applyFill="1" applyBorder="1" applyAlignment="1">
      <alignment horizontal="right" vertical="center"/>
    </xf>
    <xf numFmtId="0" fontId="34" fillId="0" borderId="3" xfId="0" quotePrefix="1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9" fontId="34" fillId="0" borderId="3" xfId="0" applyNumberFormat="1" applyFont="1" applyBorder="1" applyAlignment="1">
      <alignment horizontal="center" vertical="center" wrapText="1"/>
    </xf>
    <xf numFmtId="177" fontId="34" fillId="0" borderId="3" xfId="4" applyNumberFormat="1" applyFont="1" applyFill="1" applyBorder="1" applyAlignment="1">
      <alignment horizontal="center" vertical="center" wrapText="1"/>
    </xf>
    <xf numFmtId="10" fontId="34" fillId="0" borderId="3" xfId="4" applyNumberFormat="1" applyFont="1" applyFill="1" applyBorder="1" applyAlignment="1">
      <alignment horizontal="center" vertical="center"/>
    </xf>
    <xf numFmtId="177" fontId="34" fillId="0" borderId="0" xfId="4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176" fontId="34" fillId="0" borderId="0" xfId="0" applyNumberFormat="1" applyFont="1" applyAlignment="1">
      <alignment horizontal="right" vertical="center" wrapText="1"/>
    </xf>
    <xf numFmtId="177" fontId="34" fillId="0" borderId="0" xfId="4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43" fontId="34" fillId="0" borderId="0" xfId="0" applyNumberFormat="1" applyFont="1" applyAlignment="1">
      <alignment horizontal="center" vertical="center" wrapText="1"/>
    </xf>
    <xf numFmtId="41" fontId="34" fillId="0" borderId="0" xfId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4" fillId="0" borderId="12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left" vertical="center" wrapText="1"/>
    </xf>
    <xf numFmtId="41" fontId="34" fillId="0" borderId="12" xfId="1" applyFont="1" applyFill="1" applyBorder="1" applyAlignment="1">
      <alignment horizontal="right" vertical="center"/>
    </xf>
    <xf numFmtId="0" fontId="34" fillId="0" borderId="12" xfId="0" quotePrefix="1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9" fontId="34" fillId="0" borderId="12" xfId="0" applyNumberFormat="1" applyFont="1" applyBorder="1" applyAlignment="1">
      <alignment horizontal="center" vertical="center" wrapText="1"/>
    </xf>
    <xf numFmtId="176" fontId="34" fillId="0" borderId="12" xfId="0" applyNumberFormat="1" applyFont="1" applyBorder="1" applyAlignment="1">
      <alignment horizontal="right" vertical="center" wrapText="1"/>
    </xf>
    <xf numFmtId="177" fontId="34" fillId="0" borderId="12" xfId="4" applyNumberFormat="1" applyFont="1" applyFill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/>
    </xf>
    <xf numFmtId="0" fontId="34" fillId="0" borderId="12" xfId="0" applyFont="1" applyBorder="1" applyAlignment="1">
      <alignment horizontal="right" vertical="center"/>
    </xf>
    <xf numFmtId="41" fontId="34" fillId="0" borderId="12" xfId="1" applyFont="1" applyFill="1" applyBorder="1" applyAlignment="1">
      <alignment horizontal="center" vertical="center"/>
    </xf>
    <xf numFmtId="0" fontId="34" fillId="0" borderId="15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left" vertical="center" wrapText="1"/>
    </xf>
    <xf numFmtId="41" fontId="34" fillId="0" borderId="15" xfId="1" applyFont="1" applyFill="1" applyBorder="1" applyAlignment="1">
      <alignment horizontal="right" vertical="center"/>
    </xf>
    <xf numFmtId="0" fontId="34" fillId="0" borderId="14" xfId="0" quotePrefix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left" vertical="center" wrapText="1"/>
    </xf>
    <xf numFmtId="41" fontId="20" fillId="0" borderId="3" xfId="1" applyFont="1" applyFill="1" applyBorder="1" applyAlignment="1">
      <alignment horizontal="right" vertical="center"/>
    </xf>
    <xf numFmtId="0" fontId="33" fillId="0" borderId="3" xfId="0" quotePrefix="1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9" fontId="20" fillId="0" borderId="3" xfId="0" applyNumberFormat="1" applyFont="1" applyBorder="1" applyAlignment="1">
      <alignment horizontal="center" vertical="center" wrapText="1"/>
    </xf>
    <xf numFmtId="176" fontId="20" fillId="0" borderId="3" xfId="0" applyNumberFormat="1" applyFont="1" applyBorder="1" applyAlignment="1">
      <alignment horizontal="right" vertical="center" wrapText="1"/>
    </xf>
    <xf numFmtId="177" fontId="20" fillId="0" borderId="3" xfId="4" applyNumberFormat="1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0" fontId="37" fillId="0" borderId="0" xfId="0" applyNumberFormat="1" applyFont="1">
      <alignment vertical="center"/>
    </xf>
    <xf numFmtId="0" fontId="38" fillId="0" borderId="12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7">
    <cellStyle name="백분율" xfId="4" builtinId="5"/>
    <cellStyle name="쉼표 [0]" xfId="1" builtinId="6"/>
    <cellStyle name="쉼표 [0] 2" xfId="3" xr:uid="{00000000-0005-0000-0000-000002000000}"/>
    <cellStyle name="쉼표 [0] 3" xfId="6" xr:uid="{00000000-0005-0000-0000-000003000000}"/>
    <cellStyle name="표준" xfId="0" builtinId="0"/>
    <cellStyle name="표준 2" xfId="2" xr:uid="{00000000-0005-0000-0000-000005000000}"/>
    <cellStyle name="표준 3" xfId="5" xr:uid="{00000000-0005-0000-0000-000006000000}"/>
  </cellStyles>
  <dxfs count="0"/>
  <tableStyles count="0" defaultTableStyle="TableStyleMedium2" defaultPivotStyle="PivotStyleLight16"/>
  <colors>
    <mruColors>
      <color rgb="FF000099"/>
      <color rgb="FF0066FF"/>
      <color rgb="FFFFFF66"/>
      <color rgb="FFCCECFF"/>
      <color rgb="FF66CCFF"/>
      <color rgb="FFFFFF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888"/>
  <sheetViews>
    <sheetView tabSelected="1" zoomScale="65" zoomScaleNormal="65" workbookViewId="0">
      <selection activeCell="BW15" sqref="BW15"/>
    </sheetView>
  </sheetViews>
  <sheetFormatPr defaultColWidth="8.75" defaultRowHeight="16.5"/>
  <cols>
    <col min="1" max="1" width="13.25" customWidth="1"/>
    <col min="2" max="2" width="17.5" customWidth="1"/>
    <col min="3" max="3" width="22.75" customWidth="1"/>
    <col min="4" max="4" width="13.25" customWidth="1"/>
    <col min="5" max="5" width="13.25" style="64" customWidth="1"/>
    <col min="6" max="6" width="55" style="58" customWidth="1"/>
    <col min="7" max="7" width="18.125" style="16" customWidth="1"/>
    <col min="8" max="8" width="13.875" customWidth="1"/>
    <col min="9" max="9" width="11.375" customWidth="1"/>
    <col min="10" max="10" width="12.25" customWidth="1"/>
    <col min="11" max="11" width="19.875" customWidth="1"/>
    <col min="12" max="12" width="15.875" customWidth="1"/>
    <col min="13" max="13" width="14.75" customWidth="1"/>
    <col min="14" max="14" width="12.75" customWidth="1"/>
    <col min="15" max="15" width="13.5" customWidth="1"/>
    <col min="16" max="16" width="16" customWidth="1"/>
    <col min="17" max="17" width="20.375" customWidth="1"/>
    <col min="18" max="18" width="12.625" customWidth="1"/>
    <col min="19" max="21" width="11.125" style="12" customWidth="1"/>
    <col min="22" max="22" width="14.75" style="12" customWidth="1"/>
    <col min="23" max="29" width="11.125" style="12" customWidth="1"/>
    <col min="30" max="31" width="14.625" customWidth="1"/>
    <col min="32" max="32" width="11.625" customWidth="1"/>
    <col min="33" max="33" width="11.375" customWidth="1"/>
    <col min="34" max="34" width="17" customWidth="1"/>
    <col min="35" max="35" width="13.375" customWidth="1"/>
    <col min="36" max="36" width="14.375" customWidth="1"/>
    <col min="37" max="37" width="12.125" customWidth="1"/>
    <col min="38" max="40" width="11.25" customWidth="1"/>
    <col min="41" max="41" width="18.125" customWidth="1"/>
    <col min="42" max="43" width="18.375" customWidth="1"/>
    <col min="44" max="44" width="11" customWidth="1"/>
    <col min="45" max="45" width="15.625" customWidth="1"/>
    <col min="46" max="46" width="9.125" customWidth="1"/>
    <col min="47" max="47" width="9.75" customWidth="1"/>
    <col min="48" max="48" width="12.625" customWidth="1"/>
    <col min="49" max="49" width="10.5" customWidth="1"/>
    <col min="50" max="50" width="11.625" customWidth="1"/>
    <col min="51" max="51" width="19.875" customWidth="1"/>
    <col min="52" max="52" width="13.75" customWidth="1"/>
    <col min="53" max="53" width="13.125" customWidth="1"/>
    <col min="54" max="58" width="13.875" customWidth="1"/>
    <col min="59" max="59" width="14.625" customWidth="1"/>
    <col min="60" max="60" width="15.5" customWidth="1"/>
    <col min="61" max="61" width="15.25" customWidth="1"/>
    <col min="62" max="63" width="12.75" customWidth="1"/>
    <col min="64" max="64" width="14.75" customWidth="1"/>
    <col min="65" max="65" width="13.875" customWidth="1"/>
    <col min="66" max="66" width="16.375" customWidth="1"/>
    <col min="67" max="67" width="10" customWidth="1"/>
    <col min="68" max="68" width="12.625" customWidth="1"/>
    <col min="69" max="69" width="13.25" customWidth="1"/>
    <col min="70" max="70" width="10.125" customWidth="1"/>
    <col min="71" max="71" width="9.5" customWidth="1"/>
    <col min="72" max="73" width="12.5" customWidth="1"/>
    <col min="74" max="76" width="13.375" customWidth="1"/>
    <col min="77" max="80" width="13.625" customWidth="1"/>
    <col min="81" max="81" width="15" customWidth="1"/>
    <col min="82" max="87" width="13" customWidth="1"/>
    <col min="88" max="88" width="13.375" customWidth="1"/>
    <col min="89" max="89" width="15.25" customWidth="1"/>
  </cols>
  <sheetData>
    <row r="1" spans="1:89" s="9" customFormat="1" ht="32.450000000000003" customHeight="1">
      <c r="A1" s="83"/>
      <c r="B1" s="84"/>
      <c r="C1" s="8"/>
      <c r="D1" s="8"/>
      <c r="E1" s="63"/>
      <c r="F1" s="56"/>
      <c r="G1" s="14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89" ht="57.6" customHeight="1">
      <c r="A2" s="85" t="s">
        <v>122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2"/>
      <c r="AQ2" s="2"/>
      <c r="AR2" s="2"/>
      <c r="AS2" s="2"/>
      <c r="AT2" s="2"/>
      <c r="AU2" s="2"/>
      <c r="AV2" s="7"/>
      <c r="AW2" s="2"/>
      <c r="AX2" s="2"/>
      <c r="AY2" s="2"/>
      <c r="AZ2" s="2"/>
      <c r="BA2" s="2"/>
      <c r="BB2" s="3"/>
      <c r="BC2" s="3"/>
      <c r="BD2" s="3"/>
      <c r="BE2" s="3"/>
      <c r="BF2" s="3"/>
      <c r="BG2" s="3"/>
      <c r="BH2" s="3"/>
      <c r="BI2" s="3"/>
      <c r="BJ2" s="3" t="s">
        <v>127</v>
      </c>
      <c r="BK2" s="3"/>
      <c r="BL2" s="3"/>
      <c r="BM2" s="3"/>
      <c r="BN2" s="3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</row>
    <row r="3" spans="1:89" ht="35.25">
      <c r="A3" s="70" t="s">
        <v>123</v>
      </c>
      <c r="F3" s="57"/>
      <c r="G3" s="1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</row>
    <row r="4" spans="1:89" ht="25.5" customHeight="1">
      <c r="A4" s="4"/>
      <c r="F4" s="57"/>
      <c r="G4" s="1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2"/>
      <c r="AQ4" s="2"/>
      <c r="AR4" s="2"/>
      <c r="AS4" s="2"/>
      <c r="AT4" s="4"/>
      <c r="AU4" s="4"/>
      <c r="AV4" s="4"/>
      <c r="AW4" s="4"/>
      <c r="AX4" s="4"/>
      <c r="AY4" s="4"/>
      <c r="AZ4" s="4"/>
      <c r="BA4" s="4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</row>
    <row r="5" spans="1:89" s="25" customFormat="1" ht="65.25" customHeight="1">
      <c r="A5" s="71" t="s">
        <v>51</v>
      </c>
      <c r="B5" s="71" t="s">
        <v>1</v>
      </c>
      <c r="C5" s="71" t="s">
        <v>52</v>
      </c>
      <c r="D5" s="72" t="s">
        <v>49</v>
      </c>
      <c r="E5" s="24" t="s">
        <v>62</v>
      </c>
      <c r="F5" s="87" t="s">
        <v>50</v>
      </c>
      <c r="G5" s="87"/>
      <c r="H5" s="87"/>
      <c r="I5" s="87"/>
      <c r="J5" s="87"/>
      <c r="K5" s="87"/>
      <c r="L5" s="87"/>
      <c r="M5" s="24" t="s">
        <v>47</v>
      </c>
      <c r="N5" s="88" t="s">
        <v>75</v>
      </c>
      <c r="O5" s="89"/>
      <c r="P5" s="89"/>
      <c r="Q5" s="89"/>
      <c r="R5" s="89"/>
      <c r="S5" s="89"/>
      <c r="T5" s="90"/>
      <c r="U5" s="91" t="s">
        <v>94</v>
      </c>
      <c r="V5" s="92"/>
      <c r="W5" s="92"/>
      <c r="X5" s="92"/>
      <c r="Y5" s="92"/>
      <c r="Z5" s="92"/>
      <c r="AA5" s="92"/>
      <c r="AB5" s="92"/>
      <c r="AC5" s="91" t="s">
        <v>95</v>
      </c>
      <c r="AD5" s="92"/>
      <c r="AE5" s="93"/>
      <c r="AF5" s="94" t="s">
        <v>103</v>
      </c>
      <c r="AG5" s="94"/>
      <c r="AH5" s="95"/>
      <c r="AI5" s="95"/>
      <c r="AJ5" s="95"/>
      <c r="AK5" s="95"/>
      <c r="AL5" s="95"/>
      <c r="AM5" s="95"/>
      <c r="AN5" s="95"/>
      <c r="AO5" s="95"/>
      <c r="AP5" s="95"/>
      <c r="AQ5" s="79" t="s">
        <v>112</v>
      </c>
      <c r="AR5" s="27" t="s">
        <v>56</v>
      </c>
      <c r="AS5" s="27" t="s">
        <v>113</v>
      </c>
      <c r="AT5" s="82" t="s">
        <v>104</v>
      </c>
      <c r="AU5" s="82"/>
      <c r="AV5" s="82"/>
      <c r="AW5" s="96" t="s">
        <v>115</v>
      </c>
      <c r="AX5" s="96"/>
      <c r="AY5" s="96"/>
      <c r="AZ5" s="96" t="s">
        <v>105</v>
      </c>
      <c r="BA5" s="96"/>
      <c r="BB5" s="97" t="s">
        <v>129</v>
      </c>
      <c r="BC5" s="98"/>
      <c r="BD5" s="98"/>
      <c r="BE5" s="98"/>
      <c r="BF5" s="98"/>
      <c r="BG5" s="98"/>
      <c r="BH5" s="98"/>
      <c r="BI5" s="82" t="s">
        <v>106</v>
      </c>
      <c r="BJ5" s="82"/>
      <c r="BK5" s="82"/>
      <c r="BL5" s="82"/>
      <c r="BM5" s="82" t="s">
        <v>107</v>
      </c>
      <c r="BN5" s="82"/>
      <c r="BO5" s="82" t="s">
        <v>120</v>
      </c>
      <c r="BP5" s="82"/>
      <c r="BQ5" s="81"/>
      <c r="BR5" s="82" t="s">
        <v>98</v>
      </c>
      <c r="BS5" s="81"/>
      <c r="BT5" s="82" t="s">
        <v>99</v>
      </c>
      <c r="BU5" s="81"/>
      <c r="BV5" s="82" t="s">
        <v>108</v>
      </c>
      <c r="BW5" s="81"/>
      <c r="BX5" s="82" t="s">
        <v>109</v>
      </c>
      <c r="BY5" s="81"/>
      <c r="BZ5" s="81"/>
      <c r="CA5" s="81"/>
      <c r="CB5" s="82" t="s">
        <v>100</v>
      </c>
      <c r="CC5" s="82"/>
      <c r="CD5" s="81" t="s">
        <v>101</v>
      </c>
      <c r="CE5" s="81"/>
      <c r="CF5" s="81"/>
      <c r="CG5" s="81"/>
      <c r="CH5" s="81"/>
      <c r="CI5" s="81"/>
      <c r="CJ5" s="82" t="s">
        <v>102</v>
      </c>
      <c r="CK5" s="81"/>
    </row>
    <row r="6" spans="1:89" s="28" customFormat="1" ht="129.75" customHeight="1">
      <c r="A6" s="71" t="s">
        <v>51</v>
      </c>
      <c r="B6" s="71" t="s">
        <v>1</v>
      </c>
      <c r="C6" s="71" t="s">
        <v>52</v>
      </c>
      <c r="D6" s="72" t="s">
        <v>53</v>
      </c>
      <c r="E6" s="24" t="s">
        <v>62</v>
      </c>
      <c r="F6" s="24" t="s">
        <v>64</v>
      </c>
      <c r="G6" s="72" t="s">
        <v>65</v>
      </c>
      <c r="H6" s="72" t="s">
        <v>66</v>
      </c>
      <c r="I6" s="72" t="s">
        <v>67</v>
      </c>
      <c r="J6" s="72" t="s">
        <v>68</v>
      </c>
      <c r="K6" s="72" t="s">
        <v>69</v>
      </c>
      <c r="L6" s="24" t="s">
        <v>70</v>
      </c>
      <c r="M6" s="24" t="s">
        <v>71</v>
      </c>
      <c r="N6" s="26" t="s">
        <v>83</v>
      </c>
      <c r="O6" s="26" t="s">
        <v>78</v>
      </c>
      <c r="P6" s="26" t="s">
        <v>80</v>
      </c>
      <c r="Q6" s="26" t="s">
        <v>54</v>
      </c>
      <c r="R6" s="26" t="s">
        <v>79</v>
      </c>
      <c r="S6" s="26" t="s">
        <v>76</v>
      </c>
      <c r="T6" s="26" t="s">
        <v>77</v>
      </c>
      <c r="U6" s="26" t="s">
        <v>81</v>
      </c>
      <c r="V6" s="26" t="s">
        <v>96</v>
      </c>
      <c r="W6" s="26" t="s">
        <v>84</v>
      </c>
      <c r="X6" s="26" t="s">
        <v>86</v>
      </c>
      <c r="Y6" s="26" t="s">
        <v>87</v>
      </c>
      <c r="Z6" s="26" t="s">
        <v>88</v>
      </c>
      <c r="AA6" s="26" t="s">
        <v>89</v>
      </c>
      <c r="AB6" s="26" t="s">
        <v>90</v>
      </c>
      <c r="AC6" s="26" t="s">
        <v>93</v>
      </c>
      <c r="AD6" s="26" t="s">
        <v>74</v>
      </c>
      <c r="AE6" s="26" t="s">
        <v>91</v>
      </c>
      <c r="AF6" s="24" t="s">
        <v>63</v>
      </c>
      <c r="AG6" s="72" t="s">
        <v>41</v>
      </c>
      <c r="AH6" s="72" t="s">
        <v>55</v>
      </c>
      <c r="AI6" s="72" t="s">
        <v>38</v>
      </c>
      <c r="AJ6" s="77" t="s">
        <v>40</v>
      </c>
      <c r="AK6" s="72" t="s">
        <v>39</v>
      </c>
      <c r="AL6" s="72" t="s">
        <v>10</v>
      </c>
      <c r="AM6" s="73" t="s">
        <v>0</v>
      </c>
      <c r="AN6" s="73" t="s">
        <v>2</v>
      </c>
      <c r="AO6" s="72" t="s">
        <v>4</v>
      </c>
      <c r="AP6" s="24" t="s">
        <v>3</v>
      </c>
      <c r="AQ6" s="27" t="s">
        <v>111</v>
      </c>
      <c r="AR6" s="27" t="s">
        <v>72</v>
      </c>
      <c r="AS6" s="27" t="s">
        <v>60</v>
      </c>
      <c r="AT6" s="27" t="s">
        <v>15</v>
      </c>
      <c r="AU6" s="27" t="s">
        <v>57</v>
      </c>
      <c r="AV6" s="27" t="s">
        <v>42</v>
      </c>
      <c r="AW6" s="80" t="s">
        <v>114</v>
      </c>
      <c r="AX6" s="27" t="s">
        <v>58</v>
      </c>
      <c r="AY6" s="27" t="s">
        <v>59</v>
      </c>
      <c r="AZ6" s="27" t="s">
        <v>116</v>
      </c>
      <c r="BA6" s="27" t="s">
        <v>61</v>
      </c>
      <c r="BB6" s="80" t="s">
        <v>119</v>
      </c>
      <c r="BC6" s="80" t="s">
        <v>118</v>
      </c>
      <c r="BD6" s="80" t="s">
        <v>128</v>
      </c>
      <c r="BE6" s="80" t="s">
        <v>124</v>
      </c>
      <c r="BF6" s="80" t="s">
        <v>125</v>
      </c>
      <c r="BG6" s="27" t="s">
        <v>126</v>
      </c>
      <c r="BH6" s="80" t="s">
        <v>117</v>
      </c>
      <c r="BI6" s="27" t="s">
        <v>45</v>
      </c>
      <c r="BJ6" s="27" t="s">
        <v>16</v>
      </c>
      <c r="BK6" s="27" t="s">
        <v>17</v>
      </c>
      <c r="BL6" s="27" t="s">
        <v>46</v>
      </c>
      <c r="BM6" s="27" t="s">
        <v>18</v>
      </c>
      <c r="BN6" s="27" t="s">
        <v>19</v>
      </c>
      <c r="BO6" s="27" t="s">
        <v>20</v>
      </c>
      <c r="BP6" s="27" t="s">
        <v>121</v>
      </c>
      <c r="BQ6" s="27" t="s">
        <v>21</v>
      </c>
      <c r="BR6" s="27" t="s">
        <v>22</v>
      </c>
      <c r="BS6" s="27" t="s">
        <v>33</v>
      </c>
      <c r="BT6" s="27" t="s">
        <v>23</v>
      </c>
      <c r="BU6" s="27" t="s">
        <v>24</v>
      </c>
      <c r="BV6" s="27" t="s">
        <v>32</v>
      </c>
      <c r="BW6" s="27" t="s">
        <v>12</v>
      </c>
      <c r="BX6" s="27" t="s">
        <v>25</v>
      </c>
      <c r="BY6" s="27" t="s">
        <v>26</v>
      </c>
      <c r="BZ6" s="27" t="s">
        <v>13</v>
      </c>
      <c r="CA6" s="27" t="s">
        <v>14</v>
      </c>
      <c r="CB6" s="27" t="s">
        <v>43</v>
      </c>
      <c r="CC6" s="27" t="s">
        <v>44</v>
      </c>
      <c r="CD6" s="27" t="s">
        <v>27</v>
      </c>
      <c r="CE6" s="27" t="s">
        <v>97</v>
      </c>
      <c r="CF6" s="27" t="s">
        <v>28</v>
      </c>
      <c r="CG6" s="27" t="s">
        <v>29</v>
      </c>
      <c r="CH6" s="27" t="s">
        <v>30</v>
      </c>
      <c r="CI6" s="27" t="s">
        <v>31</v>
      </c>
      <c r="CJ6" s="27" t="s">
        <v>34</v>
      </c>
      <c r="CK6" s="27" t="s">
        <v>110</v>
      </c>
    </row>
    <row r="7" spans="1:89" s="28" customFormat="1" ht="75" customHeight="1" thickBot="1">
      <c r="A7" s="29" t="s">
        <v>7</v>
      </c>
      <c r="B7" s="30"/>
      <c r="C7" s="30"/>
      <c r="D7" s="30"/>
      <c r="E7" s="31"/>
      <c r="F7" s="31" t="s">
        <v>9</v>
      </c>
      <c r="G7" s="32"/>
      <c r="H7" s="33"/>
      <c r="I7" s="33"/>
      <c r="J7" s="33"/>
      <c r="K7" s="30"/>
      <c r="L7" s="30"/>
      <c r="M7" s="30"/>
      <c r="N7" s="30"/>
      <c r="O7" s="30"/>
      <c r="P7" s="30"/>
      <c r="Q7" s="30"/>
      <c r="R7" s="30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0"/>
      <c r="AE7" s="30"/>
      <c r="AF7" s="35"/>
      <c r="AG7" s="30"/>
      <c r="AH7" s="36"/>
      <c r="AI7" s="30"/>
      <c r="AJ7" s="30"/>
      <c r="AK7" s="37"/>
      <c r="AL7" s="34"/>
      <c r="AM7" s="34"/>
      <c r="AN7" s="34"/>
      <c r="AO7" s="30" t="s">
        <v>139</v>
      </c>
      <c r="AP7" s="30"/>
      <c r="AQ7" s="30"/>
      <c r="AR7" s="30">
        <f>SUM(AR8:AR8)</f>
        <v>0</v>
      </c>
      <c r="AS7" s="78"/>
      <c r="AT7" s="38">
        <f t="shared" ref="AT7:BK7" si="0">COUNTIF(AT8:AT75,"X")</f>
        <v>0</v>
      </c>
      <c r="AU7" s="38">
        <f t="shared" si="0"/>
        <v>0</v>
      </c>
      <c r="AV7" s="38">
        <f t="shared" si="0"/>
        <v>0</v>
      </c>
      <c r="AW7" s="38">
        <f t="shared" si="0"/>
        <v>0</v>
      </c>
      <c r="AX7" s="38">
        <f t="shared" si="0"/>
        <v>0</v>
      </c>
      <c r="AY7" s="38">
        <f t="shared" si="0"/>
        <v>0</v>
      </c>
      <c r="AZ7" s="38">
        <f t="shared" si="0"/>
        <v>0</v>
      </c>
      <c r="BA7" s="38">
        <f t="shared" si="0"/>
        <v>0</v>
      </c>
      <c r="BB7" s="38">
        <f t="shared" si="0"/>
        <v>0</v>
      </c>
      <c r="BC7" s="38">
        <f t="shared" si="0"/>
        <v>0</v>
      </c>
      <c r="BD7" s="38">
        <f t="shared" si="0"/>
        <v>0</v>
      </c>
      <c r="BE7" s="38">
        <f t="shared" si="0"/>
        <v>0</v>
      </c>
      <c r="BF7" s="38">
        <f t="shared" si="0"/>
        <v>0</v>
      </c>
      <c r="BG7" s="38">
        <f t="shared" si="0"/>
        <v>0</v>
      </c>
      <c r="BH7" s="38">
        <f t="shared" si="0"/>
        <v>0</v>
      </c>
      <c r="BI7" s="38">
        <f t="shared" si="0"/>
        <v>0</v>
      </c>
      <c r="BJ7" s="38">
        <f t="shared" si="0"/>
        <v>0</v>
      </c>
      <c r="BK7" s="38">
        <f t="shared" si="0"/>
        <v>0</v>
      </c>
      <c r="BL7" s="39"/>
      <c r="BM7" s="38">
        <f t="shared" ref="BM7:CK7" si="1">COUNTIF(BM8:BM75,"X")</f>
        <v>0</v>
      </c>
      <c r="BN7" s="38">
        <f t="shared" si="1"/>
        <v>0</v>
      </c>
      <c r="BO7" s="38">
        <f t="shared" si="1"/>
        <v>0</v>
      </c>
      <c r="BP7" s="38">
        <f t="shared" si="1"/>
        <v>0</v>
      </c>
      <c r="BQ7" s="38">
        <f t="shared" si="1"/>
        <v>0</v>
      </c>
      <c r="BR7" s="38">
        <f t="shared" si="1"/>
        <v>0</v>
      </c>
      <c r="BS7" s="38">
        <f t="shared" si="1"/>
        <v>0</v>
      </c>
      <c r="BT7" s="38">
        <f t="shared" si="1"/>
        <v>0</v>
      </c>
      <c r="BU7" s="38">
        <f t="shared" si="1"/>
        <v>0</v>
      </c>
      <c r="BV7" s="38">
        <f t="shared" si="1"/>
        <v>0</v>
      </c>
      <c r="BW7" s="38">
        <f t="shared" si="1"/>
        <v>0</v>
      </c>
      <c r="BX7" s="38">
        <f t="shared" si="1"/>
        <v>0</v>
      </c>
      <c r="BY7" s="38">
        <f t="shared" si="1"/>
        <v>0</v>
      </c>
      <c r="BZ7" s="38">
        <f t="shared" si="1"/>
        <v>0</v>
      </c>
      <c r="CA7" s="38">
        <f t="shared" si="1"/>
        <v>0</v>
      </c>
      <c r="CB7" s="38">
        <f t="shared" si="1"/>
        <v>0</v>
      </c>
      <c r="CC7" s="38">
        <f t="shared" si="1"/>
        <v>0</v>
      </c>
      <c r="CD7" s="38">
        <f t="shared" si="1"/>
        <v>0</v>
      </c>
      <c r="CE7" s="38">
        <f t="shared" si="1"/>
        <v>0</v>
      </c>
      <c r="CF7" s="38">
        <f t="shared" si="1"/>
        <v>0</v>
      </c>
      <c r="CG7" s="38">
        <f t="shared" si="1"/>
        <v>0</v>
      </c>
      <c r="CH7" s="38">
        <f t="shared" si="1"/>
        <v>0</v>
      </c>
      <c r="CI7" s="38">
        <f t="shared" si="1"/>
        <v>0</v>
      </c>
      <c r="CJ7" s="38">
        <f t="shared" si="1"/>
        <v>0</v>
      </c>
      <c r="CK7" s="40">
        <f t="shared" si="1"/>
        <v>0</v>
      </c>
    </row>
    <row r="8" spans="1:89" s="51" customFormat="1" ht="33" customHeight="1" thickTop="1">
      <c r="A8" s="41"/>
      <c r="B8" s="41"/>
      <c r="C8" s="41"/>
      <c r="D8" s="41"/>
      <c r="E8" s="65"/>
      <c r="F8" s="42"/>
      <c r="G8" s="43"/>
      <c r="H8" s="44"/>
      <c r="I8" s="44"/>
      <c r="J8" s="44"/>
      <c r="K8" s="41"/>
      <c r="L8" s="41"/>
      <c r="M8" s="41"/>
      <c r="N8" s="41"/>
      <c r="O8" s="41"/>
      <c r="P8" s="45"/>
      <c r="Q8" s="41"/>
      <c r="R8" s="46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1"/>
      <c r="AE8" s="41"/>
      <c r="AF8" s="41"/>
      <c r="AG8" s="48"/>
      <c r="AH8" s="41"/>
      <c r="AI8" s="41"/>
      <c r="AJ8" s="41"/>
      <c r="AK8" s="49"/>
      <c r="AL8" s="50"/>
      <c r="AM8" s="50"/>
      <c r="AN8" s="50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50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</row>
    <row r="9" spans="1:89" s="51" customFormat="1" ht="39">
      <c r="A9" s="135"/>
      <c r="B9" s="136" t="s">
        <v>131</v>
      </c>
      <c r="C9" s="136" t="s">
        <v>132</v>
      </c>
      <c r="D9" s="137" t="s">
        <v>36</v>
      </c>
      <c r="E9" t="s">
        <v>130</v>
      </c>
      <c r="F9" s="138" t="s">
        <v>133</v>
      </c>
      <c r="G9" s="139">
        <v>1220</v>
      </c>
      <c r="H9" s="140" t="s">
        <v>134</v>
      </c>
      <c r="I9" s="140" t="s">
        <v>135</v>
      </c>
      <c r="J9" s="140" t="s">
        <v>136</v>
      </c>
      <c r="K9" s="141" t="s">
        <v>137</v>
      </c>
      <c r="L9" s="137" t="s">
        <v>141</v>
      </c>
      <c r="M9" s="136" t="s">
        <v>48</v>
      </c>
      <c r="N9" s="137" t="s">
        <v>35</v>
      </c>
      <c r="O9" s="142">
        <v>0.97199999999999998</v>
      </c>
      <c r="P9" s="148">
        <v>0.72199999999999998</v>
      </c>
      <c r="Q9" s="136" t="s">
        <v>138</v>
      </c>
      <c r="R9" s="143">
        <v>111</v>
      </c>
      <c r="S9" s="144" t="s">
        <v>37</v>
      </c>
      <c r="T9" s="144" t="s">
        <v>73</v>
      </c>
      <c r="U9" s="144" t="s">
        <v>82</v>
      </c>
      <c r="V9" s="144" t="s">
        <v>85</v>
      </c>
      <c r="W9" s="144" t="s">
        <v>85</v>
      </c>
      <c r="X9" s="144" t="s">
        <v>73</v>
      </c>
      <c r="Y9" s="144" t="s">
        <v>73</v>
      </c>
      <c r="Z9" s="144" t="s">
        <v>73</v>
      </c>
      <c r="AA9" s="144" t="s">
        <v>73</v>
      </c>
      <c r="AB9" s="144" t="s">
        <v>73</v>
      </c>
      <c r="AC9" s="144" t="s">
        <v>73</v>
      </c>
      <c r="AD9" s="137" t="s">
        <v>37</v>
      </c>
      <c r="AE9" s="137" t="s">
        <v>92</v>
      </c>
      <c r="AF9" s="145">
        <v>0</v>
      </c>
      <c r="AG9" s="151" t="s">
        <v>6</v>
      </c>
      <c r="AH9" s="152" t="s">
        <v>6</v>
      </c>
      <c r="AI9" s="152" t="s">
        <v>6</v>
      </c>
      <c r="AJ9" s="152" t="s">
        <v>6</v>
      </c>
      <c r="AK9" s="152" t="s">
        <v>6</v>
      </c>
      <c r="AL9" s="152" t="s">
        <v>6</v>
      </c>
      <c r="AM9" s="152" t="s">
        <v>6</v>
      </c>
      <c r="AN9" s="152" t="s">
        <v>6</v>
      </c>
      <c r="AO9" s="152" t="s">
        <v>6</v>
      </c>
      <c r="AP9" s="151" t="s">
        <v>6</v>
      </c>
      <c r="AQ9" s="146" t="s">
        <v>8</v>
      </c>
      <c r="AR9" s="147">
        <f>COUNTIF(AS9:CK9, "X")</f>
        <v>0</v>
      </c>
      <c r="AS9" s="146" t="s">
        <v>5</v>
      </c>
      <c r="AT9" s="146" t="s">
        <v>11</v>
      </c>
      <c r="AU9" s="146" t="s">
        <v>11</v>
      </c>
      <c r="AV9" s="146" t="s">
        <v>6</v>
      </c>
      <c r="AW9" s="146" t="s">
        <v>11</v>
      </c>
      <c r="AX9" s="146" t="s">
        <v>11</v>
      </c>
      <c r="AY9" s="146" t="s">
        <v>6</v>
      </c>
      <c r="AZ9" s="146" t="s">
        <v>6</v>
      </c>
      <c r="BA9" s="146" t="s">
        <v>11</v>
      </c>
      <c r="BB9" s="146" t="s">
        <v>6</v>
      </c>
      <c r="BC9" s="146" t="s">
        <v>6</v>
      </c>
      <c r="BD9" s="146" t="s">
        <v>6</v>
      </c>
      <c r="BE9" s="146" t="s">
        <v>6</v>
      </c>
      <c r="BF9" s="146" t="s">
        <v>6</v>
      </c>
      <c r="BG9" s="146" t="s">
        <v>6</v>
      </c>
      <c r="BH9" s="146" t="s">
        <v>6</v>
      </c>
      <c r="BI9" s="146" t="s">
        <v>11</v>
      </c>
      <c r="BJ9" s="146" t="s">
        <v>11</v>
      </c>
      <c r="BK9" s="146" t="s">
        <v>11</v>
      </c>
      <c r="BL9" s="150" t="s">
        <v>140</v>
      </c>
      <c r="BM9" s="146" t="s">
        <v>11</v>
      </c>
      <c r="BN9" s="146" t="s">
        <v>11</v>
      </c>
      <c r="BO9" s="146" t="s">
        <v>5</v>
      </c>
      <c r="BP9" s="146" t="s">
        <v>5</v>
      </c>
      <c r="BQ9" s="146" t="s">
        <v>5</v>
      </c>
      <c r="BR9" s="146" t="s">
        <v>5</v>
      </c>
      <c r="BS9" s="146" t="s">
        <v>5</v>
      </c>
      <c r="BT9" s="146" t="s">
        <v>5</v>
      </c>
      <c r="BU9" s="146" t="s">
        <v>5</v>
      </c>
      <c r="BV9" s="146" t="s">
        <v>6</v>
      </c>
      <c r="BW9" s="146" t="s">
        <v>6</v>
      </c>
      <c r="BX9" s="150" t="s">
        <v>6</v>
      </c>
      <c r="BY9" s="150" t="s">
        <v>6</v>
      </c>
      <c r="BZ9" s="150" t="s">
        <v>6</v>
      </c>
      <c r="CA9" s="150" t="s">
        <v>6</v>
      </c>
      <c r="CB9" s="146" t="s">
        <v>8</v>
      </c>
      <c r="CC9" s="146" t="s">
        <v>8</v>
      </c>
      <c r="CD9" s="146" t="s">
        <v>8</v>
      </c>
      <c r="CE9" s="146" t="s">
        <v>5</v>
      </c>
      <c r="CF9" s="146" t="s">
        <v>5</v>
      </c>
      <c r="CG9" s="146" t="s">
        <v>8</v>
      </c>
      <c r="CH9" s="146" t="s">
        <v>8</v>
      </c>
      <c r="CI9" s="146" t="s">
        <v>8</v>
      </c>
      <c r="CJ9" s="146" t="s">
        <v>8</v>
      </c>
      <c r="CK9" s="146" t="s">
        <v>11</v>
      </c>
    </row>
    <row r="10" spans="1:89" s="51" customFormat="1" ht="33" customHeight="1">
      <c r="A10" s="99"/>
      <c r="B10" s="100"/>
      <c r="C10" s="100"/>
      <c r="D10" s="100"/>
      <c r="E10" s="101"/>
      <c r="F10" s="102"/>
      <c r="G10" s="103"/>
      <c r="H10" s="104"/>
      <c r="I10" s="104"/>
      <c r="J10" s="104"/>
      <c r="K10" s="105"/>
      <c r="L10" s="100"/>
      <c r="M10" s="100"/>
      <c r="N10" s="100"/>
      <c r="O10" s="100"/>
      <c r="P10" s="106"/>
      <c r="Q10" s="110"/>
      <c r="R10" s="111"/>
      <c r="S10" s="107"/>
      <c r="T10" s="107"/>
      <c r="U10" s="107"/>
      <c r="V10" s="112"/>
      <c r="W10" s="112"/>
      <c r="X10" s="112"/>
      <c r="Y10" s="112"/>
      <c r="Z10" s="112"/>
      <c r="AA10" s="112"/>
      <c r="AB10" s="112"/>
      <c r="AC10" s="112"/>
      <c r="AD10" s="110"/>
      <c r="AE10" s="110"/>
      <c r="AF10" s="113"/>
      <c r="AG10" s="108"/>
      <c r="AH10" s="114"/>
      <c r="AI10" s="115"/>
      <c r="AJ10" s="109"/>
      <c r="AK10" s="115"/>
      <c r="AL10" s="105"/>
      <c r="AM10" s="105"/>
      <c r="AN10" s="116"/>
      <c r="AO10" s="116"/>
      <c r="AP10" s="110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7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  <c r="CF10" s="116"/>
      <c r="CG10" s="116"/>
      <c r="CH10" s="116"/>
      <c r="CI10" s="116"/>
      <c r="CJ10" s="116"/>
      <c r="CK10" s="116"/>
    </row>
    <row r="11" spans="1:89" s="51" customFormat="1" ht="33" customHeight="1">
      <c r="A11" s="118"/>
      <c r="B11" s="118"/>
      <c r="C11" s="118"/>
      <c r="D11" s="118"/>
      <c r="E11" s="119"/>
      <c r="F11" s="120"/>
      <c r="G11" s="121"/>
      <c r="H11" s="122"/>
      <c r="I11" s="122"/>
      <c r="J11" s="122"/>
      <c r="K11" s="123"/>
      <c r="L11" s="118"/>
      <c r="M11" s="118"/>
      <c r="N11" s="118"/>
      <c r="O11" s="124"/>
      <c r="P11" s="124"/>
      <c r="Q11" s="118"/>
      <c r="R11" s="125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18"/>
      <c r="AE11" s="118"/>
      <c r="AF11" s="127"/>
      <c r="AG11" s="108"/>
      <c r="AH11" s="118"/>
      <c r="AI11" s="128"/>
      <c r="AJ11" s="109"/>
      <c r="AK11" s="129"/>
      <c r="AL11" s="122"/>
      <c r="AM11" s="122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18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3"/>
      <c r="BP11" s="123"/>
      <c r="BQ11" s="123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</row>
    <row r="12" spans="1:89" s="51" customFormat="1" ht="33" customHeight="1">
      <c r="A12" s="110"/>
      <c r="B12" s="130"/>
      <c r="C12" s="130"/>
      <c r="D12" s="130"/>
      <c r="E12" s="131"/>
      <c r="F12" s="132"/>
      <c r="G12" s="133"/>
      <c r="H12" s="134"/>
      <c r="I12" s="122"/>
      <c r="J12" s="122"/>
      <c r="K12" s="123"/>
      <c r="L12" s="118"/>
      <c r="M12" s="118"/>
      <c r="N12" s="118"/>
      <c r="O12" s="124"/>
      <c r="P12" s="124"/>
      <c r="Q12" s="118"/>
      <c r="R12" s="125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18"/>
      <c r="AE12" s="118"/>
      <c r="AF12" s="127"/>
      <c r="AG12" s="149"/>
      <c r="AH12" s="123"/>
      <c r="AI12" s="123"/>
      <c r="AJ12" s="123"/>
      <c r="AK12" s="123"/>
      <c r="AL12" s="123"/>
      <c r="AM12" s="123"/>
      <c r="AN12" s="123"/>
      <c r="AO12" s="123"/>
      <c r="AP12" s="123"/>
      <c r="AQ12" s="105"/>
      <c r="AR12" s="123"/>
      <c r="AS12" s="105"/>
      <c r="AT12" s="123"/>
      <c r="AU12" s="123"/>
      <c r="AV12" s="123"/>
      <c r="AW12" s="123"/>
      <c r="AX12" s="123"/>
      <c r="AY12" s="123"/>
      <c r="AZ12" s="123"/>
      <c r="BA12" s="118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</row>
    <row r="13" spans="1:89" s="51" customFormat="1" ht="33" customHeight="1">
      <c r="A13" s="74"/>
      <c r="B13" s="74"/>
      <c r="C13" s="74"/>
      <c r="D13" s="74"/>
      <c r="E13" s="74"/>
      <c r="F13" s="74"/>
      <c r="G13" s="75"/>
      <c r="H13" s="76"/>
      <c r="I13" s="52"/>
      <c r="J13" s="52"/>
      <c r="K13" s="52"/>
      <c r="L13" s="41"/>
      <c r="M13" s="41"/>
      <c r="N13" s="41"/>
      <c r="O13" s="41"/>
      <c r="P13" s="41"/>
      <c r="Q13" s="41"/>
      <c r="R13" s="41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</row>
    <row r="14" spans="1:89" s="51" customFormat="1" ht="33" customHeight="1">
      <c r="A14" s="74"/>
      <c r="B14" s="74"/>
      <c r="C14" s="74"/>
      <c r="D14" s="74"/>
      <c r="E14" s="74"/>
      <c r="F14" s="74"/>
      <c r="G14" s="75"/>
      <c r="H14" s="76"/>
      <c r="I14" s="52"/>
      <c r="J14" s="52"/>
      <c r="K14" s="52"/>
      <c r="L14" s="41"/>
      <c r="M14" s="41"/>
      <c r="N14" s="41"/>
      <c r="O14" s="41"/>
      <c r="P14" s="41"/>
      <c r="Q14" s="41"/>
      <c r="R14" s="41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</row>
    <row r="15" spans="1:89" s="51" customFormat="1" ht="33" customHeight="1">
      <c r="A15" s="74"/>
      <c r="B15" s="74"/>
      <c r="C15" s="74"/>
      <c r="D15" s="74"/>
      <c r="E15" s="74"/>
      <c r="F15" s="74"/>
      <c r="G15" s="75"/>
      <c r="H15" s="76"/>
      <c r="I15" s="52"/>
      <c r="J15" s="52"/>
      <c r="K15" s="52"/>
      <c r="L15" s="41"/>
      <c r="M15" s="41"/>
      <c r="N15" s="41"/>
      <c r="O15" s="41"/>
      <c r="P15" s="45"/>
      <c r="Q15" s="41"/>
      <c r="R15" s="46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1"/>
      <c r="AE15" s="41"/>
      <c r="AF15" s="41"/>
      <c r="AG15" s="48"/>
      <c r="AH15" s="41"/>
      <c r="AI15" s="41"/>
      <c r="AJ15" s="41"/>
      <c r="AK15" s="49"/>
      <c r="AL15" s="50"/>
      <c r="AM15" s="50"/>
      <c r="AN15" s="50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50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</row>
    <row r="16" spans="1:89" s="51" customFormat="1" ht="33" customHeight="1">
      <c r="A16" s="74"/>
      <c r="B16" s="74"/>
      <c r="C16" s="74"/>
      <c r="D16" s="74"/>
      <c r="E16" s="74"/>
      <c r="F16" s="74"/>
      <c r="G16" s="75"/>
      <c r="H16" s="76"/>
      <c r="I16" s="52"/>
      <c r="J16" s="52"/>
      <c r="K16" s="52"/>
      <c r="L16" s="41"/>
      <c r="M16" s="41"/>
      <c r="N16" s="41"/>
      <c r="O16" s="41"/>
      <c r="P16" s="45"/>
      <c r="Q16" s="41"/>
      <c r="R16" s="46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1"/>
      <c r="AE16" s="41"/>
      <c r="AF16" s="41"/>
      <c r="AG16" s="48"/>
      <c r="AH16" s="41"/>
      <c r="AI16" s="41"/>
      <c r="AJ16" s="41"/>
      <c r="AK16" s="49"/>
      <c r="AL16" s="50"/>
      <c r="AM16" s="50"/>
      <c r="AN16" s="50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50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</row>
    <row r="17" spans="1:89" s="51" customFormat="1" ht="33" customHeight="1">
      <c r="A17" s="74"/>
      <c r="B17" s="74"/>
      <c r="C17" s="74"/>
      <c r="D17" s="74"/>
      <c r="E17" s="74"/>
      <c r="F17" s="74"/>
      <c r="G17" s="75"/>
      <c r="H17" s="76"/>
      <c r="I17" s="52"/>
      <c r="J17" s="52"/>
      <c r="K17" s="52"/>
      <c r="L17" s="41"/>
      <c r="M17" s="41"/>
      <c r="N17" s="41"/>
      <c r="O17" s="41"/>
      <c r="P17" s="45"/>
      <c r="Q17" s="41"/>
      <c r="R17" s="46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1"/>
      <c r="AE17" s="41"/>
      <c r="AF17" s="41"/>
      <c r="AG17" s="48"/>
      <c r="AH17" s="41"/>
      <c r="AI17" s="41"/>
      <c r="AJ17" s="41"/>
      <c r="AK17" s="49"/>
      <c r="AL17" s="50"/>
      <c r="AM17" s="50"/>
      <c r="AN17" s="50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50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</row>
    <row r="18" spans="1:89" s="51" customFormat="1" ht="33" customHeight="1">
      <c r="A18" s="74"/>
      <c r="B18" s="74"/>
      <c r="C18" s="74"/>
      <c r="D18" s="74"/>
      <c r="E18" s="74"/>
      <c r="F18" s="74"/>
      <c r="G18" s="75"/>
      <c r="H18" s="76"/>
      <c r="I18" s="52"/>
      <c r="J18" s="52"/>
      <c r="K18" s="52"/>
      <c r="L18" s="41"/>
      <c r="M18" s="41"/>
      <c r="N18" s="41"/>
      <c r="O18" s="41"/>
      <c r="P18" s="45"/>
      <c r="Q18" s="41"/>
      <c r="R18" s="46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1"/>
      <c r="AE18" s="41"/>
      <c r="AF18" s="41"/>
      <c r="AG18" s="48"/>
      <c r="AH18" s="41"/>
      <c r="AI18" s="41"/>
      <c r="AJ18" s="41"/>
      <c r="AK18" s="49"/>
      <c r="AL18" s="50"/>
      <c r="AM18" s="50"/>
      <c r="AN18" s="50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50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</row>
    <row r="19" spans="1:89" s="51" customFormat="1" ht="33" customHeight="1">
      <c r="A19" s="74"/>
      <c r="B19" s="74"/>
      <c r="C19" s="74"/>
      <c r="D19" s="74"/>
      <c r="E19" s="74"/>
      <c r="F19" s="74"/>
      <c r="G19" s="75"/>
      <c r="H19" s="76"/>
      <c r="I19" s="52"/>
      <c r="J19" s="52"/>
      <c r="K19" s="52"/>
      <c r="L19" s="41"/>
      <c r="M19" s="41"/>
      <c r="N19" s="41"/>
      <c r="O19" s="41"/>
      <c r="P19" s="41"/>
      <c r="Q19" s="41"/>
      <c r="R19" s="41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</row>
    <row r="20" spans="1:89" s="51" customFormat="1" ht="33" customHeight="1">
      <c r="A20" s="74"/>
      <c r="B20" s="74"/>
      <c r="C20" s="74"/>
      <c r="D20" s="74"/>
      <c r="E20" s="74"/>
      <c r="F20" s="74"/>
      <c r="G20" s="75"/>
      <c r="H20" s="76"/>
      <c r="I20" s="52"/>
      <c r="J20" s="52"/>
      <c r="K20" s="52"/>
      <c r="L20" s="41"/>
      <c r="M20" s="41"/>
      <c r="N20" s="41"/>
      <c r="O20" s="41"/>
      <c r="P20" s="41"/>
      <c r="Q20" s="41"/>
      <c r="R20" s="41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</row>
    <row r="21" spans="1:89" s="51" customFormat="1" ht="33" customHeight="1">
      <c r="A21" s="74"/>
      <c r="B21" s="74"/>
      <c r="C21" s="74"/>
      <c r="D21" s="74"/>
      <c r="E21" s="74"/>
      <c r="F21" s="74"/>
      <c r="G21" s="75"/>
      <c r="H21" s="76"/>
      <c r="I21" s="52"/>
      <c r="J21" s="52"/>
      <c r="K21" s="52"/>
      <c r="L21" s="41"/>
      <c r="M21" s="41"/>
      <c r="N21" s="41"/>
      <c r="O21" s="41"/>
      <c r="P21" s="45"/>
      <c r="Q21" s="41"/>
      <c r="R21" s="46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1"/>
      <c r="AE21" s="41"/>
      <c r="AF21" s="41"/>
      <c r="AG21" s="48"/>
      <c r="AH21" s="41"/>
      <c r="AI21" s="41"/>
      <c r="AJ21" s="41"/>
      <c r="AK21" s="49"/>
      <c r="AL21" s="50"/>
      <c r="AM21" s="50"/>
      <c r="AN21" s="50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50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</row>
    <row r="22" spans="1:89" s="51" customFormat="1" ht="33" customHeight="1">
      <c r="A22" s="74"/>
      <c r="B22" s="74"/>
      <c r="C22" s="74"/>
      <c r="D22" s="74"/>
      <c r="E22" s="74"/>
      <c r="F22" s="74"/>
      <c r="G22" s="75"/>
      <c r="H22" s="76"/>
      <c r="I22" s="52"/>
      <c r="J22" s="52"/>
      <c r="K22" s="52"/>
      <c r="L22" s="41"/>
      <c r="M22" s="41"/>
      <c r="N22" s="41"/>
      <c r="O22" s="41"/>
      <c r="P22" s="41"/>
      <c r="Q22" s="41"/>
      <c r="R22" s="41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</row>
    <row r="23" spans="1:89" s="51" customFormat="1" ht="33" customHeight="1">
      <c r="A23" s="74"/>
      <c r="B23" s="74"/>
      <c r="C23" s="74"/>
      <c r="D23" s="74"/>
      <c r="E23" s="74"/>
      <c r="F23" s="74"/>
      <c r="G23" s="75"/>
      <c r="H23" s="76"/>
      <c r="I23" s="52"/>
      <c r="J23" s="52"/>
      <c r="K23" s="52"/>
      <c r="L23" s="41"/>
      <c r="M23" s="41"/>
      <c r="N23" s="41"/>
      <c r="O23" s="41"/>
      <c r="P23" s="41"/>
      <c r="Q23" s="41"/>
      <c r="R23" s="41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</row>
    <row r="24" spans="1:89" s="51" customFormat="1" ht="33" customHeight="1">
      <c r="A24" s="74"/>
      <c r="B24" s="74"/>
      <c r="C24" s="74"/>
      <c r="D24" s="74"/>
      <c r="E24" s="74"/>
      <c r="F24" s="74"/>
      <c r="G24" s="75"/>
      <c r="H24" s="76"/>
      <c r="I24" s="52"/>
      <c r="J24" s="52"/>
      <c r="K24" s="52"/>
      <c r="L24" s="41"/>
      <c r="M24" s="41"/>
      <c r="N24" s="41"/>
      <c r="O24" s="41"/>
      <c r="P24" s="41"/>
      <c r="Q24" s="41"/>
      <c r="R24" s="41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</row>
    <row r="25" spans="1:89" s="51" customFormat="1" ht="33" customHeight="1">
      <c r="A25" s="74"/>
      <c r="B25" s="74"/>
      <c r="C25" s="74"/>
      <c r="D25" s="74"/>
      <c r="E25" s="74"/>
      <c r="F25" s="74"/>
      <c r="G25" s="75"/>
      <c r="H25" s="76"/>
      <c r="I25" s="52"/>
      <c r="J25" s="52"/>
      <c r="K25" s="52"/>
      <c r="L25" s="41"/>
      <c r="M25" s="41"/>
      <c r="N25" s="41"/>
      <c r="O25" s="41"/>
      <c r="P25" s="41"/>
      <c r="Q25" s="41"/>
      <c r="R25" s="41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</row>
    <row r="26" spans="1:89" s="51" customFormat="1" ht="33" customHeight="1">
      <c r="A26" s="74"/>
      <c r="B26" s="74"/>
      <c r="C26" s="74"/>
      <c r="D26" s="74"/>
      <c r="E26" s="74"/>
      <c r="F26" s="74"/>
      <c r="G26" s="75"/>
      <c r="H26" s="76"/>
      <c r="I26" s="52"/>
      <c r="J26" s="52"/>
      <c r="K26" s="52"/>
      <c r="L26" s="41"/>
      <c r="M26" s="41"/>
      <c r="N26" s="41"/>
      <c r="O26" s="41"/>
      <c r="P26" s="45"/>
      <c r="Q26" s="41"/>
      <c r="R26" s="46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1"/>
      <c r="AE26" s="41"/>
      <c r="AF26" s="41"/>
      <c r="AG26" s="48"/>
      <c r="AH26" s="41"/>
      <c r="AI26" s="41"/>
      <c r="AJ26" s="41"/>
      <c r="AK26" s="49"/>
      <c r="AL26" s="50"/>
      <c r="AM26" s="50"/>
      <c r="AN26" s="50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50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</row>
    <row r="27" spans="1:89" s="51" customFormat="1" ht="33" customHeight="1">
      <c r="A27" s="74"/>
      <c r="B27" s="74"/>
      <c r="C27" s="74"/>
      <c r="D27" s="74"/>
      <c r="E27" s="74"/>
      <c r="F27" s="74"/>
      <c r="G27" s="75"/>
      <c r="H27" s="76"/>
      <c r="I27" s="52"/>
      <c r="J27" s="52"/>
      <c r="K27" s="52"/>
      <c r="L27" s="41"/>
      <c r="M27" s="41"/>
      <c r="N27" s="41"/>
      <c r="O27" s="41"/>
      <c r="P27" s="45"/>
      <c r="Q27" s="41"/>
      <c r="R27" s="46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1"/>
      <c r="AE27" s="41"/>
      <c r="AF27" s="41"/>
      <c r="AG27" s="48"/>
      <c r="AH27" s="41"/>
      <c r="AI27" s="41"/>
      <c r="AJ27" s="41"/>
      <c r="AK27" s="49"/>
      <c r="AL27" s="50"/>
      <c r="AM27" s="50"/>
      <c r="AN27" s="50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50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</row>
    <row r="28" spans="1:89" s="51" customFormat="1" ht="33" customHeight="1">
      <c r="A28" s="74"/>
      <c r="B28" s="74"/>
      <c r="C28" s="74"/>
      <c r="D28" s="74"/>
      <c r="E28" s="74"/>
      <c r="F28" s="74"/>
      <c r="G28" s="75"/>
      <c r="H28" s="76"/>
      <c r="I28" s="52"/>
      <c r="J28" s="52"/>
      <c r="K28" s="52"/>
      <c r="L28" s="41"/>
      <c r="M28" s="41"/>
      <c r="N28" s="41"/>
      <c r="O28" s="41"/>
      <c r="P28" s="41"/>
      <c r="Q28" s="41"/>
      <c r="R28" s="41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</row>
    <row r="29" spans="1:89" s="51" customFormat="1" ht="33" customHeight="1">
      <c r="A29" s="74"/>
      <c r="B29" s="74"/>
      <c r="C29" s="74"/>
      <c r="D29" s="74"/>
      <c r="E29" s="74"/>
      <c r="F29" s="74"/>
      <c r="G29" s="75"/>
      <c r="H29" s="76"/>
      <c r="I29" s="52"/>
      <c r="J29" s="52"/>
      <c r="K29" s="52"/>
      <c r="L29" s="41"/>
      <c r="M29" s="41"/>
      <c r="N29" s="41"/>
      <c r="O29" s="41"/>
      <c r="P29" s="41"/>
      <c r="Q29" s="41"/>
      <c r="R29" s="41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</row>
    <row r="30" spans="1:89" s="51" customFormat="1" ht="33" customHeight="1">
      <c r="A30" s="74"/>
      <c r="B30" s="74"/>
      <c r="C30" s="74"/>
      <c r="D30" s="74"/>
      <c r="E30" s="74"/>
      <c r="F30" s="74"/>
      <c r="G30" s="75"/>
      <c r="H30" s="76"/>
      <c r="I30" s="52"/>
      <c r="J30" s="52"/>
      <c r="K30" s="52"/>
      <c r="L30" s="41"/>
      <c r="M30" s="41"/>
      <c r="N30" s="41"/>
      <c r="O30" s="41"/>
      <c r="P30" s="41"/>
      <c r="Q30" s="41"/>
      <c r="R30" s="41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</row>
    <row r="31" spans="1:89" s="51" customFormat="1" ht="33" customHeight="1">
      <c r="A31" s="74"/>
      <c r="B31" s="74"/>
      <c r="C31" s="74"/>
      <c r="D31" s="74"/>
      <c r="E31" s="74"/>
      <c r="F31" s="74"/>
      <c r="G31" s="75"/>
      <c r="H31" s="76"/>
      <c r="I31" s="52"/>
      <c r="J31" s="52"/>
      <c r="K31" s="52"/>
      <c r="L31" s="41"/>
      <c r="M31" s="41"/>
      <c r="N31" s="41"/>
      <c r="O31" s="41"/>
      <c r="P31" s="45"/>
      <c r="Q31" s="41"/>
      <c r="R31" s="46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1"/>
      <c r="AE31" s="41"/>
      <c r="AF31" s="41"/>
      <c r="AG31" s="48"/>
      <c r="AH31" s="41"/>
      <c r="AI31" s="41"/>
      <c r="AJ31" s="41"/>
      <c r="AK31" s="49"/>
      <c r="AL31" s="50"/>
      <c r="AM31" s="50"/>
      <c r="AN31" s="50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50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</row>
    <row r="32" spans="1:89" s="51" customFormat="1" ht="33" customHeight="1">
      <c r="A32" s="74"/>
      <c r="B32" s="74"/>
      <c r="C32" s="74"/>
      <c r="D32" s="74"/>
      <c r="E32" s="74"/>
      <c r="F32" s="74"/>
      <c r="G32" s="75"/>
      <c r="H32" s="76"/>
      <c r="I32" s="52"/>
      <c r="J32" s="52"/>
      <c r="K32" s="52"/>
      <c r="L32" s="41"/>
      <c r="M32" s="41"/>
      <c r="N32" s="41"/>
      <c r="O32" s="41"/>
      <c r="P32" s="45"/>
      <c r="Q32" s="41"/>
      <c r="R32" s="46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1"/>
      <c r="AE32" s="41"/>
      <c r="AF32" s="41"/>
      <c r="AG32" s="48"/>
      <c r="AH32" s="41"/>
      <c r="AI32" s="41"/>
      <c r="AJ32" s="41"/>
      <c r="AK32" s="49"/>
      <c r="AL32" s="50"/>
      <c r="AM32" s="50"/>
      <c r="AN32" s="50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50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</row>
    <row r="33" spans="1:89" s="51" customFormat="1" ht="33" customHeight="1">
      <c r="A33" s="74"/>
      <c r="B33" s="74"/>
      <c r="C33" s="74"/>
      <c r="D33" s="74"/>
      <c r="E33" s="74"/>
      <c r="F33" s="74"/>
      <c r="G33" s="75"/>
      <c r="H33" s="76"/>
      <c r="I33" s="52"/>
      <c r="J33" s="52"/>
      <c r="K33" s="52"/>
      <c r="L33" s="41"/>
      <c r="M33" s="41"/>
      <c r="N33" s="41"/>
      <c r="O33" s="41"/>
      <c r="P33" s="41"/>
      <c r="Q33" s="41"/>
      <c r="R33" s="41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</row>
    <row r="34" spans="1:89" s="51" customFormat="1" ht="33" customHeight="1">
      <c r="A34" s="74"/>
      <c r="B34" s="74"/>
      <c r="C34" s="74"/>
      <c r="D34" s="74"/>
      <c r="E34" s="74"/>
      <c r="F34" s="74"/>
      <c r="G34" s="75"/>
      <c r="H34" s="76"/>
      <c r="I34" s="52"/>
      <c r="J34" s="52"/>
      <c r="K34" s="52"/>
      <c r="L34" s="41"/>
      <c r="M34" s="41"/>
      <c r="N34" s="41"/>
      <c r="O34" s="41"/>
      <c r="P34" s="41"/>
      <c r="Q34" s="41"/>
      <c r="R34" s="41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</row>
    <row r="35" spans="1:89" s="51" customFormat="1" ht="33" customHeight="1">
      <c r="A35" s="74"/>
      <c r="B35" s="74"/>
      <c r="C35" s="74"/>
      <c r="D35" s="74"/>
      <c r="E35" s="74"/>
      <c r="F35" s="74"/>
      <c r="G35" s="75"/>
      <c r="H35" s="76"/>
      <c r="I35" s="52"/>
      <c r="J35" s="52"/>
      <c r="K35" s="52"/>
      <c r="L35" s="41"/>
      <c r="M35" s="41"/>
      <c r="N35" s="41"/>
      <c r="O35" s="41"/>
      <c r="P35" s="41"/>
      <c r="Q35" s="41"/>
      <c r="R35" s="41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</row>
    <row r="36" spans="1:89" s="51" customFormat="1" ht="33" customHeight="1">
      <c r="A36" s="74"/>
      <c r="B36" s="74"/>
      <c r="C36" s="74"/>
      <c r="D36" s="74"/>
      <c r="E36" s="74"/>
      <c r="F36" s="74"/>
      <c r="G36" s="75"/>
      <c r="H36" s="76"/>
      <c r="I36" s="52"/>
      <c r="J36" s="52"/>
      <c r="K36" s="52"/>
      <c r="L36" s="41"/>
      <c r="M36" s="41"/>
      <c r="N36" s="41"/>
      <c r="O36" s="41"/>
      <c r="P36" s="45"/>
      <c r="Q36" s="41"/>
      <c r="R36" s="46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1"/>
      <c r="AE36" s="41"/>
      <c r="AF36" s="41"/>
      <c r="AG36" s="48"/>
      <c r="AH36" s="41"/>
      <c r="AI36" s="41"/>
      <c r="AJ36" s="41"/>
      <c r="AK36" s="49"/>
      <c r="AL36" s="50"/>
      <c r="AM36" s="50"/>
      <c r="AN36" s="50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50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</row>
    <row r="37" spans="1:89" s="51" customFormat="1" ht="33" customHeight="1">
      <c r="A37" s="74"/>
      <c r="B37" s="74"/>
      <c r="C37" s="74"/>
      <c r="D37" s="74"/>
      <c r="E37" s="74"/>
      <c r="F37" s="74"/>
      <c r="G37" s="75"/>
      <c r="H37" s="76"/>
      <c r="I37" s="52"/>
      <c r="J37" s="52"/>
      <c r="K37" s="52"/>
      <c r="L37" s="41"/>
      <c r="M37" s="41"/>
      <c r="N37" s="41"/>
      <c r="O37" s="41"/>
      <c r="P37" s="45"/>
      <c r="Q37" s="41"/>
      <c r="R37" s="46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1"/>
      <c r="AE37" s="41"/>
      <c r="AF37" s="41"/>
      <c r="AG37" s="48"/>
      <c r="AH37" s="41"/>
      <c r="AI37" s="41"/>
      <c r="AJ37" s="41"/>
      <c r="AK37" s="49"/>
      <c r="AL37" s="50"/>
      <c r="AM37" s="50"/>
      <c r="AN37" s="50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50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</row>
    <row r="38" spans="1:89" s="51" customFormat="1" ht="33" customHeight="1">
      <c r="A38" s="74"/>
      <c r="B38" s="74"/>
      <c r="C38" s="74"/>
      <c r="D38" s="74"/>
      <c r="E38" s="74"/>
      <c r="F38" s="74"/>
      <c r="G38" s="75"/>
      <c r="H38" s="76"/>
      <c r="I38" s="52"/>
      <c r="J38" s="52"/>
      <c r="K38" s="52"/>
      <c r="L38" s="41"/>
      <c r="M38" s="41"/>
      <c r="N38" s="41"/>
      <c r="O38" s="41"/>
      <c r="P38" s="41"/>
      <c r="Q38" s="41"/>
      <c r="R38" s="41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</row>
    <row r="39" spans="1:89" s="51" customFormat="1" ht="33" customHeight="1">
      <c r="A39" s="74"/>
      <c r="B39" s="74"/>
      <c r="C39" s="74"/>
      <c r="D39" s="74"/>
      <c r="E39" s="74"/>
      <c r="F39" s="74"/>
      <c r="G39" s="75"/>
      <c r="H39" s="76"/>
      <c r="I39" s="52"/>
      <c r="J39" s="52"/>
      <c r="K39" s="52"/>
      <c r="L39" s="41"/>
      <c r="M39" s="41"/>
      <c r="N39" s="41"/>
      <c r="O39" s="41"/>
      <c r="P39" s="45"/>
      <c r="Q39" s="41"/>
      <c r="R39" s="46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1"/>
      <c r="AE39" s="41"/>
      <c r="AF39" s="41"/>
      <c r="AG39" s="48"/>
      <c r="AH39" s="41"/>
      <c r="AI39" s="41"/>
      <c r="AJ39" s="41"/>
      <c r="AK39" s="49"/>
      <c r="AL39" s="50"/>
      <c r="AM39" s="50"/>
      <c r="AN39" s="50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50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</row>
    <row r="40" spans="1:89" s="51" customFormat="1" ht="33" customHeight="1">
      <c r="A40" s="74"/>
      <c r="B40" s="74"/>
      <c r="C40" s="74"/>
      <c r="D40" s="74"/>
      <c r="E40" s="74"/>
      <c r="F40" s="74"/>
      <c r="G40" s="75"/>
      <c r="H40" s="76"/>
      <c r="I40" s="52"/>
      <c r="J40" s="52"/>
      <c r="K40" s="52"/>
      <c r="L40" s="41"/>
      <c r="M40" s="41"/>
      <c r="N40" s="41"/>
      <c r="O40" s="41"/>
      <c r="P40" s="41"/>
      <c r="Q40" s="41"/>
      <c r="R40" s="41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</row>
    <row r="41" spans="1:89" s="51" customFormat="1" ht="33" customHeight="1">
      <c r="A41" s="74"/>
      <c r="B41" s="74"/>
      <c r="C41" s="74"/>
      <c r="D41" s="74"/>
      <c r="E41" s="74"/>
      <c r="F41" s="74"/>
      <c r="G41" s="75"/>
      <c r="H41" s="76"/>
      <c r="I41" s="52"/>
      <c r="J41" s="52"/>
      <c r="K41" s="52"/>
      <c r="L41" s="41"/>
      <c r="M41" s="41"/>
      <c r="N41" s="41"/>
      <c r="O41" s="41"/>
      <c r="P41" s="41"/>
      <c r="Q41" s="41"/>
      <c r="R41" s="41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</row>
    <row r="42" spans="1:89" s="51" customFormat="1" ht="33" customHeight="1">
      <c r="A42" s="74"/>
      <c r="B42" s="74"/>
      <c r="C42" s="74"/>
      <c r="D42" s="74"/>
      <c r="E42" s="74"/>
      <c r="F42" s="74"/>
      <c r="G42" s="75"/>
      <c r="H42" s="76"/>
      <c r="I42" s="52"/>
      <c r="J42" s="52"/>
      <c r="K42" s="52"/>
      <c r="L42" s="41"/>
      <c r="M42" s="41"/>
      <c r="N42" s="41"/>
      <c r="O42" s="41"/>
      <c r="P42" s="41"/>
      <c r="Q42" s="41"/>
      <c r="R42" s="41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</row>
    <row r="43" spans="1:89" s="51" customFormat="1" ht="33" customHeight="1">
      <c r="A43" s="74"/>
      <c r="B43" s="74"/>
      <c r="C43" s="74"/>
      <c r="D43" s="74"/>
      <c r="E43" s="74"/>
      <c r="F43" s="74"/>
      <c r="G43" s="75"/>
      <c r="H43" s="76"/>
      <c r="I43" s="52"/>
      <c r="J43" s="52"/>
      <c r="K43" s="52"/>
      <c r="L43" s="41"/>
      <c r="M43" s="41"/>
      <c r="N43" s="41"/>
      <c r="O43" s="41"/>
      <c r="P43" s="45"/>
      <c r="Q43" s="41"/>
      <c r="R43" s="46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1"/>
      <c r="AE43" s="41"/>
      <c r="AF43" s="41"/>
      <c r="AG43" s="48"/>
      <c r="AH43" s="41"/>
      <c r="AI43" s="41"/>
      <c r="AJ43" s="41"/>
      <c r="AK43" s="49"/>
      <c r="AL43" s="50"/>
      <c r="AM43" s="50"/>
      <c r="AN43" s="50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50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</row>
    <row r="44" spans="1:89" s="51" customFormat="1" ht="33" customHeight="1">
      <c r="A44" s="74"/>
      <c r="B44" s="74"/>
      <c r="C44" s="74"/>
      <c r="D44" s="74"/>
      <c r="E44" s="74"/>
      <c r="F44" s="74"/>
      <c r="G44" s="75"/>
      <c r="H44" s="76"/>
      <c r="I44" s="52"/>
      <c r="J44" s="52"/>
      <c r="K44" s="52"/>
      <c r="L44" s="41"/>
      <c r="M44" s="41"/>
      <c r="N44" s="41"/>
      <c r="O44" s="41"/>
      <c r="P44" s="41"/>
      <c r="Q44" s="41"/>
      <c r="R44" s="41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</row>
    <row r="45" spans="1:89" s="51" customFormat="1" ht="33" customHeight="1">
      <c r="A45" s="74"/>
      <c r="B45" s="74"/>
      <c r="C45" s="74"/>
      <c r="D45" s="74"/>
      <c r="E45" s="74"/>
      <c r="F45" s="74"/>
      <c r="G45" s="75"/>
      <c r="H45" s="76"/>
      <c r="I45" s="52"/>
      <c r="J45" s="52"/>
      <c r="K45" s="52"/>
      <c r="L45" s="41"/>
      <c r="M45" s="41"/>
      <c r="N45" s="41"/>
      <c r="O45" s="41"/>
      <c r="P45" s="41"/>
      <c r="Q45" s="41"/>
      <c r="R45" s="41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</row>
    <row r="46" spans="1:89" s="51" customFormat="1" ht="33" customHeight="1">
      <c r="A46" s="74"/>
      <c r="B46" s="74"/>
      <c r="C46" s="74"/>
      <c r="D46" s="74"/>
      <c r="E46" s="74"/>
      <c r="F46" s="74"/>
      <c r="G46" s="75"/>
      <c r="H46" s="76"/>
      <c r="I46" s="52"/>
      <c r="J46" s="52"/>
      <c r="K46" s="52"/>
      <c r="L46" s="41"/>
      <c r="M46" s="41"/>
      <c r="N46" s="41"/>
      <c r="O46" s="41"/>
      <c r="P46" s="41"/>
      <c r="Q46" s="41"/>
      <c r="R46" s="41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</row>
    <row r="47" spans="1:89" s="51" customFormat="1" ht="33" customHeight="1">
      <c r="A47" s="74"/>
      <c r="B47" s="74"/>
      <c r="C47" s="74"/>
      <c r="D47" s="74"/>
      <c r="E47" s="74"/>
      <c r="F47" s="74"/>
      <c r="G47" s="75"/>
      <c r="H47" s="76"/>
      <c r="I47" s="52"/>
      <c r="J47" s="52"/>
      <c r="K47" s="52"/>
      <c r="L47" s="41"/>
      <c r="M47" s="41"/>
      <c r="N47" s="41"/>
      <c r="O47" s="41"/>
      <c r="P47" s="41"/>
      <c r="Q47" s="41"/>
      <c r="R47" s="41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</row>
    <row r="48" spans="1:89" s="51" customFormat="1" ht="33" customHeight="1">
      <c r="A48" s="74"/>
      <c r="B48" s="74"/>
      <c r="C48" s="74"/>
      <c r="D48" s="74"/>
      <c r="E48" s="74"/>
      <c r="F48" s="74"/>
      <c r="G48" s="75"/>
      <c r="H48" s="76"/>
      <c r="I48" s="52"/>
      <c r="J48" s="52"/>
      <c r="K48" s="52"/>
      <c r="L48" s="41"/>
      <c r="M48" s="41"/>
      <c r="N48" s="41"/>
      <c r="O48" s="41"/>
      <c r="P48" s="45"/>
      <c r="Q48" s="41"/>
      <c r="R48" s="46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1"/>
      <c r="AE48" s="41"/>
      <c r="AF48" s="41"/>
      <c r="AG48" s="48"/>
      <c r="AH48" s="41"/>
      <c r="AI48" s="41"/>
      <c r="AJ48" s="41"/>
      <c r="AK48" s="49"/>
      <c r="AL48" s="50"/>
      <c r="AM48" s="50"/>
      <c r="AN48" s="50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50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</row>
    <row r="49" spans="1:89" s="51" customFormat="1" ht="33" customHeight="1">
      <c r="A49" s="74"/>
      <c r="B49" s="74"/>
      <c r="C49" s="74"/>
      <c r="D49" s="74"/>
      <c r="E49" s="74"/>
      <c r="F49" s="74"/>
      <c r="G49" s="75"/>
      <c r="H49" s="76"/>
      <c r="I49" s="52"/>
      <c r="J49" s="52"/>
      <c r="K49" s="52"/>
      <c r="L49" s="41"/>
      <c r="M49" s="41"/>
      <c r="N49" s="41"/>
      <c r="O49" s="41"/>
      <c r="P49" s="41"/>
      <c r="Q49" s="41"/>
      <c r="R49" s="41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</row>
    <row r="50" spans="1:89" s="51" customFormat="1" ht="33" customHeight="1">
      <c r="A50" s="74"/>
      <c r="B50" s="74"/>
      <c r="C50" s="74"/>
      <c r="D50" s="74"/>
      <c r="E50" s="74"/>
      <c r="F50" s="74"/>
      <c r="G50" s="75"/>
      <c r="H50" s="76"/>
      <c r="I50" s="52"/>
      <c r="J50" s="52"/>
      <c r="K50" s="52"/>
      <c r="L50" s="41"/>
      <c r="M50" s="41"/>
      <c r="N50" s="41"/>
      <c r="O50" s="41"/>
      <c r="P50" s="41"/>
      <c r="Q50" s="41"/>
      <c r="R50" s="41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</row>
    <row r="51" spans="1:89" s="51" customFormat="1" ht="33" customHeight="1">
      <c r="A51" s="74"/>
      <c r="B51" s="74"/>
      <c r="C51" s="74"/>
      <c r="D51" s="74"/>
      <c r="E51" s="74"/>
      <c r="F51" s="74"/>
      <c r="G51" s="75"/>
      <c r="H51" s="76"/>
      <c r="I51" s="52"/>
      <c r="J51" s="52"/>
      <c r="K51" s="52"/>
      <c r="L51" s="41"/>
      <c r="M51" s="41"/>
      <c r="N51" s="41"/>
      <c r="O51" s="41"/>
      <c r="P51" s="41"/>
      <c r="Q51" s="41"/>
      <c r="R51" s="41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</row>
    <row r="52" spans="1:89" s="51" customFormat="1" ht="33" customHeight="1">
      <c r="A52" s="74"/>
      <c r="B52" s="74"/>
      <c r="C52" s="74"/>
      <c r="D52" s="74"/>
      <c r="E52" s="74"/>
      <c r="F52" s="74"/>
      <c r="G52" s="75"/>
      <c r="H52" s="76"/>
      <c r="I52" s="52"/>
      <c r="J52" s="52"/>
      <c r="K52" s="52"/>
      <c r="L52" s="41"/>
      <c r="M52" s="41"/>
      <c r="N52" s="41"/>
      <c r="O52" s="41"/>
      <c r="P52" s="41"/>
      <c r="Q52" s="41"/>
      <c r="R52" s="41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</row>
    <row r="53" spans="1:89" s="51" customFormat="1" ht="33" customHeight="1">
      <c r="A53" s="74"/>
      <c r="B53" s="74"/>
      <c r="C53" s="74"/>
      <c r="D53" s="74"/>
      <c r="E53" s="74"/>
      <c r="F53" s="74"/>
      <c r="G53" s="75"/>
      <c r="H53" s="76"/>
      <c r="I53" s="52"/>
      <c r="J53" s="52"/>
      <c r="K53" s="52"/>
      <c r="L53" s="41"/>
      <c r="M53" s="41"/>
      <c r="N53" s="41"/>
      <c r="O53" s="41"/>
      <c r="P53" s="41"/>
      <c r="Q53" s="41"/>
      <c r="R53" s="41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</row>
    <row r="54" spans="1:89" s="51" customFormat="1" ht="33" customHeight="1">
      <c r="A54" s="74"/>
      <c r="B54" s="74"/>
      <c r="C54" s="74"/>
      <c r="D54" s="74"/>
      <c r="E54" s="74"/>
      <c r="F54" s="74"/>
      <c r="G54" s="75"/>
      <c r="H54" s="76"/>
      <c r="I54" s="52"/>
      <c r="J54" s="52"/>
      <c r="K54" s="52"/>
      <c r="L54" s="41"/>
      <c r="M54" s="41"/>
      <c r="N54" s="41"/>
      <c r="O54" s="41"/>
      <c r="P54" s="45"/>
      <c r="Q54" s="41"/>
      <c r="R54" s="46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1"/>
      <c r="AE54" s="41"/>
      <c r="AF54" s="41"/>
      <c r="AG54" s="48"/>
      <c r="AH54" s="41"/>
      <c r="AI54" s="41"/>
      <c r="AJ54" s="41"/>
      <c r="AK54" s="49"/>
      <c r="AL54" s="50"/>
      <c r="AM54" s="50"/>
      <c r="AN54" s="50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50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</row>
    <row r="55" spans="1:89" s="51" customFormat="1" ht="33" customHeight="1">
      <c r="A55" s="74"/>
      <c r="B55" s="74"/>
      <c r="C55" s="74"/>
      <c r="D55" s="74"/>
      <c r="E55" s="74"/>
      <c r="F55" s="74"/>
      <c r="G55" s="75"/>
      <c r="H55" s="76"/>
      <c r="I55" s="52"/>
      <c r="J55" s="52"/>
      <c r="K55" s="52"/>
      <c r="L55" s="41"/>
      <c r="M55" s="41"/>
      <c r="N55" s="41"/>
      <c r="O55" s="41"/>
      <c r="P55" s="45"/>
      <c r="Q55" s="41"/>
      <c r="R55" s="46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1"/>
      <c r="AE55" s="41"/>
      <c r="AF55" s="41"/>
      <c r="AG55" s="48"/>
      <c r="AH55" s="41"/>
      <c r="AI55" s="41"/>
      <c r="AJ55" s="41"/>
      <c r="AK55" s="49"/>
      <c r="AL55" s="50"/>
      <c r="AM55" s="50"/>
      <c r="AN55" s="50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50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</row>
    <row r="56" spans="1:89" s="51" customFormat="1" ht="33" customHeight="1">
      <c r="A56" s="74"/>
      <c r="B56" s="74"/>
      <c r="C56" s="74"/>
      <c r="D56" s="74"/>
      <c r="E56" s="74"/>
      <c r="F56" s="74"/>
      <c r="G56" s="75"/>
      <c r="H56" s="76"/>
      <c r="I56" s="52"/>
      <c r="J56" s="52"/>
      <c r="K56" s="52"/>
      <c r="L56" s="41"/>
      <c r="M56" s="41"/>
      <c r="N56" s="41"/>
      <c r="O56" s="41"/>
      <c r="P56" s="45"/>
      <c r="Q56" s="41"/>
      <c r="R56" s="46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1"/>
      <c r="AE56" s="41"/>
      <c r="AF56" s="41"/>
      <c r="AG56" s="48"/>
      <c r="AH56" s="41"/>
      <c r="AI56" s="41"/>
      <c r="AJ56" s="41"/>
      <c r="AK56" s="49"/>
      <c r="AL56" s="50"/>
      <c r="AM56" s="50"/>
      <c r="AN56" s="50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50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</row>
    <row r="57" spans="1:89" s="51" customFormat="1" ht="33" customHeight="1">
      <c r="A57" s="74"/>
      <c r="B57" s="74"/>
      <c r="C57" s="74"/>
      <c r="D57" s="74"/>
      <c r="E57" s="74"/>
      <c r="F57" s="74"/>
      <c r="G57" s="75"/>
      <c r="H57" s="76"/>
      <c r="I57" s="52"/>
      <c r="J57" s="52"/>
      <c r="K57" s="52"/>
      <c r="L57" s="41"/>
      <c r="M57" s="41"/>
      <c r="N57" s="41"/>
      <c r="O57" s="41"/>
      <c r="P57" s="45"/>
      <c r="Q57" s="41"/>
      <c r="R57" s="46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1"/>
      <c r="AE57" s="41"/>
      <c r="AF57" s="41"/>
      <c r="AG57" s="48"/>
      <c r="AH57" s="41"/>
      <c r="AI57" s="41"/>
      <c r="AJ57" s="41"/>
      <c r="AK57" s="49"/>
      <c r="AL57" s="50"/>
      <c r="AM57" s="50"/>
      <c r="AN57" s="50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50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</row>
    <row r="58" spans="1:89" s="51" customFormat="1" ht="33" customHeight="1">
      <c r="A58" s="74"/>
      <c r="B58" s="74"/>
      <c r="C58" s="74"/>
      <c r="D58" s="74"/>
      <c r="E58" s="74"/>
      <c r="F58" s="74"/>
      <c r="G58" s="75"/>
      <c r="H58" s="76"/>
      <c r="I58" s="52"/>
      <c r="J58" s="52"/>
      <c r="K58" s="52"/>
      <c r="L58" s="41"/>
      <c r="M58" s="41"/>
      <c r="N58" s="41"/>
      <c r="O58" s="41"/>
      <c r="P58" s="45"/>
      <c r="Q58" s="41"/>
      <c r="R58" s="46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1"/>
      <c r="AE58" s="41"/>
      <c r="AF58" s="41"/>
      <c r="AG58" s="48"/>
      <c r="AH58" s="41"/>
      <c r="AI58" s="41"/>
      <c r="AJ58" s="41"/>
      <c r="AK58" s="49"/>
      <c r="AL58" s="50"/>
      <c r="AM58" s="50"/>
      <c r="AN58" s="50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50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</row>
    <row r="59" spans="1:89" s="51" customFormat="1" ht="33" customHeight="1">
      <c r="A59" s="74"/>
      <c r="B59" s="74"/>
      <c r="C59" s="74"/>
      <c r="D59" s="74"/>
      <c r="E59" s="74"/>
      <c r="F59" s="74"/>
      <c r="G59" s="75"/>
      <c r="H59" s="76"/>
      <c r="I59" s="52"/>
      <c r="J59" s="52"/>
      <c r="K59" s="52"/>
      <c r="L59" s="41"/>
      <c r="M59" s="41"/>
      <c r="N59" s="41"/>
      <c r="O59" s="41"/>
      <c r="P59" s="41"/>
      <c r="Q59" s="41"/>
      <c r="R59" s="41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</row>
    <row r="60" spans="1:89" s="51" customFormat="1" ht="33" customHeight="1">
      <c r="A60" s="74"/>
      <c r="B60" s="74"/>
      <c r="C60" s="74"/>
      <c r="D60" s="74"/>
      <c r="E60" s="74"/>
      <c r="F60" s="74"/>
      <c r="G60" s="75"/>
      <c r="H60" s="76"/>
      <c r="I60" s="52"/>
      <c r="J60" s="52"/>
      <c r="K60" s="52"/>
      <c r="L60" s="41"/>
      <c r="M60" s="41"/>
      <c r="N60" s="41"/>
      <c r="O60" s="41"/>
      <c r="P60" s="41"/>
      <c r="Q60" s="41"/>
      <c r="R60" s="41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</row>
    <row r="61" spans="1:89" s="51" customFormat="1" ht="33" customHeight="1">
      <c r="A61" s="74"/>
      <c r="B61" s="74"/>
      <c r="C61" s="74"/>
      <c r="D61" s="74"/>
      <c r="E61" s="74"/>
      <c r="F61" s="74"/>
      <c r="G61" s="75"/>
      <c r="H61" s="76"/>
      <c r="I61" s="52"/>
      <c r="J61" s="52"/>
      <c r="K61" s="52"/>
      <c r="L61" s="41"/>
      <c r="M61" s="41"/>
      <c r="N61" s="41"/>
      <c r="O61" s="41"/>
      <c r="P61" s="41"/>
      <c r="Q61" s="41"/>
      <c r="R61" s="41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</row>
    <row r="62" spans="1:89" s="51" customFormat="1" ht="33" customHeight="1">
      <c r="A62" s="74"/>
      <c r="B62" s="74"/>
      <c r="C62" s="74"/>
      <c r="D62" s="74"/>
      <c r="E62" s="74"/>
      <c r="F62" s="74"/>
      <c r="G62" s="75"/>
      <c r="H62" s="76"/>
      <c r="I62" s="52"/>
      <c r="J62" s="52"/>
      <c r="K62" s="52"/>
      <c r="L62" s="41"/>
      <c r="M62" s="41"/>
      <c r="N62" s="41"/>
      <c r="O62" s="41"/>
      <c r="P62" s="41"/>
      <c r="Q62" s="41"/>
      <c r="R62" s="41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</row>
    <row r="63" spans="1:89" s="51" customFormat="1" ht="33" customHeight="1">
      <c r="A63" s="74"/>
      <c r="B63" s="74"/>
      <c r="C63" s="74"/>
      <c r="D63" s="74"/>
      <c r="E63" s="74"/>
      <c r="F63" s="74"/>
      <c r="G63" s="75"/>
      <c r="H63" s="76"/>
      <c r="I63" s="52"/>
      <c r="J63" s="52"/>
      <c r="K63" s="52"/>
      <c r="L63" s="41"/>
      <c r="M63" s="41"/>
      <c r="N63" s="41"/>
      <c r="O63" s="41"/>
      <c r="P63" s="41"/>
      <c r="Q63" s="41"/>
      <c r="R63" s="41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</row>
    <row r="64" spans="1:89" s="51" customFormat="1" ht="33" customHeight="1">
      <c r="A64" s="74"/>
      <c r="B64" s="74"/>
      <c r="C64" s="74"/>
      <c r="D64" s="74"/>
      <c r="E64" s="74"/>
      <c r="F64" s="74"/>
      <c r="G64" s="75"/>
      <c r="H64" s="76"/>
      <c r="I64" s="52"/>
      <c r="J64" s="52"/>
      <c r="K64" s="52"/>
      <c r="L64" s="41"/>
      <c r="M64" s="41"/>
      <c r="N64" s="41"/>
      <c r="O64" s="41"/>
      <c r="P64" s="41"/>
      <c r="Q64" s="41"/>
      <c r="R64" s="41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</row>
    <row r="65" spans="1:89" s="51" customFormat="1" ht="33" customHeight="1">
      <c r="A65" s="74"/>
      <c r="B65" s="74"/>
      <c r="C65" s="74"/>
      <c r="D65" s="74"/>
      <c r="E65" s="74"/>
      <c r="F65" s="74"/>
      <c r="G65" s="75"/>
      <c r="H65" s="76"/>
      <c r="I65" s="52"/>
      <c r="J65" s="52"/>
      <c r="K65" s="52"/>
      <c r="L65" s="41"/>
      <c r="M65" s="41"/>
      <c r="N65" s="41"/>
      <c r="O65" s="41"/>
      <c r="P65" s="41"/>
      <c r="Q65" s="41"/>
      <c r="R65" s="41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</row>
    <row r="66" spans="1:89" s="51" customFormat="1" ht="33" customHeight="1">
      <c r="A66" s="74"/>
      <c r="B66" s="74"/>
      <c r="C66" s="74"/>
      <c r="D66" s="74"/>
      <c r="E66" s="74"/>
      <c r="F66" s="74"/>
      <c r="G66" s="75"/>
      <c r="H66" s="76"/>
      <c r="I66" s="52"/>
      <c r="J66" s="52"/>
      <c r="K66" s="52"/>
      <c r="L66" s="41"/>
      <c r="M66" s="41"/>
      <c r="N66" s="41"/>
      <c r="O66" s="41"/>
      <c r="P66" s="41"/>
      <c r="Q66" s="41"/>
      <c r="R66" s="41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</row>
    <row r="67" spans="1:89" s="51" customFormat="1" ht="33" customHeight="1">
      <c r="A67" s="74"/>
      <c r="B67" s="74"/>
      <c r="C67" s="74"/>
      <c r="D67" s="74"/>
      <c r="E67" s="74"/>
      <c r="F67" s="74"/>
      <c r="G67" s="75"/>
      <c r="H67" s="76"/>
      <c r="I67" s="52"/>
      <c r="J67" s="52"/>
      <c r="K67" s="52"/>
      <c r="L67" s="41"/>
      <c r="M67" s="41"/>
      <c r="N67" s="41"/>
      <c r="O67" s="41"/>
      <c r="P67" s="41"/>
      <c r="Q67" s="41"/>
      <c r="R67" s="41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</row>
    <row r="68" spans="1:89" s="51" customFormat="1" ht="33" customHeight="1">
      <c r="A68" s="74"/>
      <c r="B68" s="74"/>
      <c r="C68" s="74"/>
      <c r="D68" s="74"/>
      <c r="E68" s="74"/>
      <c r="F68" s="74"/>
      <c r="G68" s="75"/>
      <c r="H68" s="76"/>
      <c r="I68" s="52"/>
      <c r="J68" s="52"/>
      <c r="K68" s="52"/>
      <c r="L68" s="41"/>
      <c r="M68" s="41"/>
      <c r="N68" s="41"/>
      <c r="O68" s="41"/>
      <c r="P68" s="41"/>
      <c r="Q68" s="41"/>
      <c r="R68" s="41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</row>
    <row r="69" spans="1:89" s="51" customFormat="1" ht="33" customHeight="1">
      <c r="A69" s="74"/>
      <c r="B69" s="74"/>
      <c r="C69" s="74"/>
      <c r="D69" s="74"/>
      <c r="E69" s="74"/>
      <c r="F69" s="74"/>
      <c r="G69" s="75"/>
      <c r="H69" s="76"/>
      <c r="I69" s="52"/>
      <c r="J69" s="52"/>
      <c r="K69" s="52"/>
      <c r="L69" s="41"/>
      <c r="M69" s="41"/>
      <c r="N69" s="41"/>
      <c r="O69" s="41"/>
      <c r="P69" s="41"/>
      <c r="Q69" s="41"/>
      <c r="R69" s="41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</row>
    <row r="70" spans="1:89" s="51" customFormat="1" ht="33" customHeight="1">
      <c r="A70" s="74"/>
      <c r="B70" s="74"/>
      <c r="C70" s="74"/>
      <c r="D70" s="74"/>
      <c r="E70" s="74"/>
      <c r="F70" s="74"/>
      <c r="G70" s="75"/>
      <c r="H70" s="76"/>
      <c r="I70" s="52"/>
      <c r="J70" s="52"/>
      <c r="K70" s="52"/>
      <c r="L70" s="41"/>
      <c r="M70" s="41"/>
      <c r="N70" s="41"/>
      <c r="O70" s="41"/>
      <c r="P70" s="41"/>
      <c r="Q70" s="41"/>
      <c r="R70" s="41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</row>
    <row r="71" spans="1:89" s="51" customFormat="1" ht="33" customHeight="1">
      <c r="A71" s="74"/>
      <c r="B71" s="74"/>
      <c r="C71" s="74"/>
      <c r="D71" s="74"/>
      <c r="E71" s="74"/>
      <c r="F71" s="74"/>
      <c r="G71" s="75"/>
      <c r="H71" s="76"/>
      <c r="I71" s="52"/>
      <c r="J71" s="52"/>
      <c r="K71" s="52"/>
      <c r="L71" s="41"/>
      <c r="M71" s="41"/>
      <c r="N71" s="41"/>
      <c r="O71" s="41"/>
      <c r="P71" s="41"/>
      <c r="Q71" s="41"/>
      <c r="R71" s="41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</row>
    <row r="72" spans="1:89" s="51" customFormat="1" ht="33" customHeight="1">
      <c r="A72" s="74"/>
      <c r="B72" s="74"/>
      <c r="C72" s="74"/>
      <c r="D72" s="74"/>
      <c r="E72" s="74"/>
      <c r="F72" s="74"/>
      <c r="G72" s="75"/>
      <c r="H72" s="76"/>
      <c r="I72" s="52"/>
      <c r="J72" s="52"/>
      <c r="K72" s="52"/>
      <c r="L72" s="41"/>
      <c r="M72" s="41"/>
      <c r="N72" s="41"/>
      <c r="O72" s="41"/>
      <c r="P72" s="41"/>
      <c r="Q72" s="41"/>
      <c r="R72" s="41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</row>
    <row r="73" spans="1:89" s="51" customFormat="1" ht="33" customHeight="1">
      <c r="A73" s="74"/>
      <c r="B73" s="74"/>
      <c r="C73" s="74"/>
      <c r="D73" s="74"/>
      <c r="E73" s="74"/>
      <c r="F73" s="74"/>
      <c r="G73" s="75"/>
      <c r="H73" s="76"/>
      <c r="I73" s="52"/>
      <c r="J73" s="52"/>
      <c r="K73" s="52"/>
      <c r="L73" s="41"/>
      <c r="M73" s="41"/>
      <c r="N73" s="41"/>
      <c r="O73" s="41"/>
      <c r="P73" s="41"/>
      <c r="Q73" s="41"/>
      <c r="R73" s="41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</row>
    <row r="74" spans="1:89" s="51" customFormat="1" ht="33" customHeight="1">
      <c r="A74" s="74"/>
      <c r="B74" s="74"/>
      <c r="C74" s="74"/>
      <c r="D74" s="74"/>
      <c r="E74" s="74"/>
      <c r="F74" s="74"/>
      <c r="G74" s="75"/>
      <c r="H74" s="76"/>
      <c r="I74" s="52"/>
      <c r="J74" s="52"/>
      <c r="K74" s="52"/>
      <c r="L74" s="41"/>
      <c r="M74" s="41"/>
      <c r="N74" s="41"/>
      <c r="O74" s="41"/>
      <c r="P74" s="41"/>
      <c r="Q74" s="41"/>
      <c r="R74" s="41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</row>
    <row r="75" spans="1:89" s="51" customFormat="1" ht="33" customHeight="1">
      <c r="A75" s="74"/>
      <c r="B75" s="74"/>
      <c r="C75" s="74"/>
      <c r="D75" s="74"/>
      <c r="E75" s="74"/>
      <c r="F75" s="74"/>
      <c r="G75" s="75"/>
      <c r="H75" s="76"/>
      <c r="I75" s="52"/>
      <c r="J75" s="52"/>
      <c r="K75" s="52"/>
      <c r="L75" s="41"/>
      <c r="M75" s="41"/>
      <c r="N75" s="41"/>
      <c r="O75" s="41"/>
      <c r="P75" s="41"/>
      <c r="Q75" s="41"/>
      <c r="R75" s="41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</row>
    <row r="76" spans="1:89" s="51" customFormat="1" ht="33" customHeight="1">
      <c r="A76" s="74"/>
      <c r="B76" s="74"/>
      <c r="C76" s="74"/>
      <c r="D76" s="74"/>
      <c r="E76" s="74"/>
      <c r="F76" s="74"/>
      <c r="G76" s="75"/>
      <c r="H76" s="76"/>
      <c r="I76" s="52"/>
      <c r="J76" s="52"/>
      <c r="K76" s="52"/>
      <c r="L76" s="41"/>
      <c r="M76" s="41"/>
      <c r="N76" s="41"/>
      <c r="O76" s="41"/>
      <c r="P76" s="41"/>
      <c r="Q76" s="41"/>
      <c r="R76" s="41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</row>
    <row r="77" spans="1:89" s="51" customFormat="1" ht="33" customHeight="1">
      <c r="A77" s="74"/>
      <c r="B77" s="74"/>
      <c r="C77" s="74"/>
      <c r="D77" s="74"/>
      <c r="E77" s="74"/>
      <c r="F77" s="74"/>
      <c r="G77" s="75"/>
      <c r="H77" s="76"/>
      <c r="I77" s="52"/>
      <c r="J77" s="52"/>
      <c r="K77" s="52"/>
      <c r="L77" s="41"/>
      <c r="M77" s="41"/>
      <c r="N77" s="41"/>
      <c r="O77" s="41"/>
      <c r="P77" s="41"/>
      <c r="Q77" s="41"/>
      <c r="R77" s="41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</row>
    <row r="78" spans="1:89" s="51" customFormat="1" ht="33" customHeight="1">
      <c r="A78" s="74"/>
      <c r="B78" s="74"/>
      <c r="C78" s="74"/>
      <c r="D78" s="74"/>
      <c r="E78" s="74"/>
      <c r="F78" s="74"/>
      <c r="G78" s="75"/>
      <c r="H78" s="76"/>
      <c r="I78" s="52"/>
      <c r="J78" s="52"/>
      <c r="K78" s="52"/>
      <c r="L78" s="41"/>
      <c r="M78" s="41"/>
      <c r="N78" s="41"/>
      <c r="O78" s="41"/>
      <c r="P78" s="41"/>
      <c r="Q78" s="41"/>
      <c r="R78" s="41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</row>
    <row r="79" spans="1:89" s="51" customFormat="1" ht="33" customHeight="1">
      <c r="A79" s="74"/>
      <c r="B79" s="74"/>
      <c r="C79" s="74"/>
      <c r="D79" s="74"/>
      <c r="E79" s="74"/>
      <c r="F79" s="74"/>
      <c r="G79" s="75"/>
      <c r="H79" s="76"/>
      <c r="I79" s="52"/>
      <c r="J79" s="52"/>
      <c r="K79" s="52"/>
      <c r="L79" s="41"/>
      <c r="M79" s="41"/>
      <c r="N79" s="41"/>
      <c r="O79" s="41"/>
      <c r="P79" s="45"/>
      <c r="Q79" s="41"/>
      <c r="R79" s="46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1"/>
      <c r="AE79" s="41"/>
      <c r="AF79" s="41"/>
      <c r="AG79" s="48"/>
      <c r="AH79" s="41"/>
      <c r="AI79" s="41"/>
      <c r="AJ79" s="41"/>
      <c r="AK79" s="49"/>
      <c r="AL79" s="50"/>
      <c r="AM79" s="50"/>
      <c r="AN79" s="50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50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</row>
    <row r="80" spans="1:89" s="51" customFormat="1" ht="33" customHeight="1">
      <c r="A80" s="74"/>
      <c r="B80" s="74"/>
      <c r="C80" s="74"/>
      <c r="D80" s="74"/>
      <c r="E80" s="74"/>
      <c r="F80" s="74"/>
      <c r="G80" s="75"/>
      <c r="H80" s="76"/>
      <c r="I80" s="52"/>
      <c r="J80" s="52"/>
      <c r="K80" s="52"/>
      <c r="L80" s="41"/>
      <c r="M80" s="41"/>
      <c r="N80" s="41"/>
      <c r="O80" s="41"/>
      <c r="P80" s="41"/>
      <c r="Q80" s="41"/>
      <c r="R80" s="41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</row>
    <row r="81" spans="1:89" s="51" customFormat="1" ht="33" customHeight="1">
      <c r="A81" s="74"/>
      <c r="B81" s="74"/>
      <c r="C81" s="74"/>
      <c r="D81" s="74"/>
      <c r="E81" s="74"/>
      <c r="F81" s="74"/>
      <c r="G81" s="75"/>
      <c r="H81" s="76"/>
      <c r="I81" s="52"/>
      <c r="J81" s="52"/>
      <c r="K81" s="52"/>
      <c r="L81" s="41"/>
      <c r="M81" s="41"/>
      <c r="N81" s="41"/>
      <c r="O81" s="41"/>
      <c r="P81" s="41"/>
      <c r="Q81" s="41"/>
      <c r="R81" s="41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</row>
    <row r="82" spans="1:89" s="51" customFormat="1" ht="33" customHeight="1">
      <c r="A82" s="74"/>
      <c r="B82" s="74"/>
      <c r="C82" s="74"/>
      <c r="D82" s="74"/>
      <c r="E82" s="74"/>
      <c r="F82" s="74"/>
      <c r="G82" s="75"/>
      <c r="H82" s="76"/>
      <c r="I82" s="52"/>
      <c r="J82" s="52"/>
      <c r="K82" s="52"/>
      <c r="L82" s="41"/>
      <c r="M82" s="41"/>
      <c r="N82" s="41"/>
      <c r="O82" s="41"/>
      <c r="P82" s="45"/>
      <c r="Q82" s="41"/>
      <c r="R82" s="46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1"/>
      <c r="AE82" s="41"/>
      <c r="AF82" s="41"/>
      <c r="AG82" s="48"/>
      <c r="AH82" s="41"/>
      <c r="AI82" s="41"/>
      <c r="AJ82" s="41"/>
      <c r="AK82" s="49"/>
      <c r="AL82" s="50"/>
      <c r="AM82" s="50"/>
      <c r="AN82" s="50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50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</row>
    <row r="83" spans="1:89" s="51" customFormat="1" ht="33" customHeight="1">
      <c r="A83" s="74"/>
      <c r="B83" s="74"/>
      <c r="C83" s="74"/>
      <c r="D83" s="74"/>
      <c r="E83" s="74"/>
      <c r="F83" s="74"/>
      <c r="G83" s="75"/>
      <c r="H83" s="76"/>
      <c r="I83" s="52"/>
      <c r="J83" s="52"/>
      <c r="K83" s="52"/>
      <c r="L83" s="41"/>
      <c r="M83" s="41"/>
      <c r="N83" s="41"/>
      <c r="O83" s="41"/>
      <c r="P83" s="45"/>
      <c r="Q83" s="41"/>
      <c r="R83" s="46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1"/>
      <c r="AE83" s="41"/>
      <c r="AF83" s="41"/>
      <c r="AG83" s="48"/>
      <c r="AH83" s="41"/>
      <c r="AI83" s="41"/>
      <c r="AJ83" s="41"/>
      <c r="AK83" s="49"/>
      <c r="AL83" s="50"/>
      <c r="AM83" s="50"/>
      <c r="AN83" s="50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50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</row>
    <row r="84" spans="1:89" s="51" customFormat="1" ht="33" customHeight="1">
      <c r="A84" s="74"/>
      <c r="B84" s="74"/>
      <c r="C84" s="74"/>
      <c r="D84" s="74"/>
      <c r="E84" s="74"/>
      <c r="F84" s="74"/>
      <c r="G84" s="75"/>
      <c r="H84" s="76"/>
      <c r="I84" s="52"/>
      <c r="J84" s="52"/>
      <c r="K84" s="52"/>
      <c r="L84" s="41"/>
      <c r="M84" s="41"/>
      <c r="N84" s="41"/>
      <c r="O84" s="41"/>
      <c r="P84" s="41"/>
      <c r="Q84" s="41"/>
      <c r="R84" s="41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</row>
    <row r="85" spans="1:89" s="51" customFormat="1" ht="33" customHeight="1">
      <c r="A85" s="74"/>
      <c r="B85" s="74"/>
      <c r="C85" s="74"/>
      <c r="D85" s="74"/>
      <c r="E85" s="74"/>
      <c r="F85" s="74"/>
      <c r="G85" s="75"/>
      <c r="H85" s="76"/>
      <c r="I85" s="52"/>
      <c r="J85" s="52"/>
      <c r="K85" s="52"/>
      <c r="L85" s="41"/>
      <c r="M85" s="41"/>
      <c r="N85" s="41"/>
      <c r="O85" s="41"/>
      <c r="P85" s="41"/>
      <c r="Q85" s="41"/>
      <c r="R85" s="41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</row>
    <row r="86" spans="1:89" s="51" customFormat="1" ht="33" customHeight="1">
      <c r="A86" s="74"/>
      <c r="B86" s="74"/>
      <c r="C86" s="74"/>
      <c r="D86" s="74"/>
      <c r="E86" s="74"/>
      <c r="F86" s="74"/>
      <c r="G86" s="75"/>
      <c r="H86" s="76"/>
      <c r="I86" s="52"/>
      <c r="J86" s="52"/>
      <c r="K86" s="52"/>
      <c r="L86" s="41"/>
      <c r="M86" s="41"/>
      <c r="N86" s="41"/>
      <c r="O86" s="41"/>
      <c r="P86" s="41"/>
      <c r="Q86" s="41"/>
      <c r="R86" s="41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</row>
    <row r="87" spans="1:89" s="51" customFormat="1" ht="33" customHeight="1">
      <c r="A87" s="74"/>
      <c r="B87" s="74"/>
      <c r="C87" s="74"/>
      <c r="D87" s="74"/>
      <c r="E87" s="74"/>
      <c r="F87" s="74"/>
      <c r="G87" s="75"/>
      <c r="H87" s="76"/>
      <c r="I87" s="52"/>
      <c r="J87" s="52"/>
      <c r="K87" s="52"/>
      <c r="L87" s="41"/>
      <c r="M87" s="41"/>
      <c r="N87" s="41"/>
      <c r="O87" s="41"/>
      <c r="P87" s="41"/>
      <c r="Q87" s="41"/>
      <c r="R87" s="41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</row>
    <row r="88" spans="1:89" s="51" customFormat="1" ht="33" customHeight="1">
      <c r="A88" s="74"/>
      <c r="B88" s="74"/>
      <c r="C88" s="74"/>
      <c r="D88" s="74"/>
      <c r="E88" s="74"/>
      <c r="F88" s="74"/>
      <c r="G88" s="75"/>
      <c r="H88" s="76"/>
      <c r="I88" s="52"/>
      <c r="J88" s="52"/>
      <c r="K88" s="52"/>
      <c r="L88" s="41"/>
      <c r="M88" s="41"/>
      <c r="N88" s="41"/>
      <c r="O88" s="41"/>
      <c r="P88" s="41"/>
      <c r="Q88" s="41"/>
      <c r="R88" s="41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</row>
    <row r="89" spans="1:89" s="51" customFormat="1" ht="33" customHeight="1">
      <c r="A89" s="74"/>
      <c r="B89" s="74"/>
      <c r="C89" s="74"/>
      <c r="D89" s="74"/>
      <c r="E89" s="74"/>
      <c r="F89" s="74"/>
      <c r="G89" s="75"/>
      <c r="H89" s="76"/>
      <c r="I89" s="52"/>
      <c r="J89" s="52"/>
      <c r="K89" s="52"/>
      <c r="L89" s="41"/>
      <c r="M89" s="41"/>
      <c r="N89" s="41"/>
      <c r="O89" s="41"/>
      <c r="P89" s="41"/>
      <c r="Q89" s="41"/>
      <c r="R89" s="41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</row>
    <row r="90" spans="1:89" s="51" customFormat="1" ht="33" customHeight="1">
      <c r="A90" s="74"/>
      <c r="B90" s="74"/>
      <c r="C90" s="74"/>
      <c r="D90" s="74"/>
      <c r="E90" s="74"/>
      <c r="F90" s="74"/>
      <c r="G90" s="75"/>
      <c r="H90" s="76"/>
      <c r="I90" s="52"/>
      <c r="J90" s="52"/>
      <c r="K90" s="52"/>
      <c r="L90" s="41"/>
      <c r="M90" s="41"/>
      <c r="N90" s="41"/>
      <c r="O90" s="41"/>
      <c r="P90" s="41"/>
      <c r="Q90" s="41"/>
      <c r="R90" s="41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</row>
    <row r="91" spans="1:89" s="51" customFormat="1" ht="33" customHeight="1">
      <c r="A91" s="74"/>
      <c r="B91" s="74"/>
      <c r="C91" s="74"/>
      <c r="D91" s="74"/>
      <c r="E91" s="74"/>
      <c r="F91" s="74"/>
      <c r="G91" s="75"/>
      <c r="H91" s="76"/>
      <c r="I91" s="52"/>
      <c r="J91" s="52"/>
      <c r="K91" s="52"/>
      <c r="L91" s="41"/>
      <c r="M91" s="41"/>
      <c r="N91" s="41"/>
      <c r="O91" s="41"/>
      <c r="P91" s="41"/>
      <c r="Q91" s="41"/>
      <c r="R91" s="41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</row>
    <row r="92" spans="1:89" s="51" customFormat="1" ht="33" customHeight="1">
      <c r="A92" s="74"/>
      <c r="B92" s="74"/>
      <c r="C92" s="74"/>
      <c r="D92" s="74"/>
      <c r="E92" s="74"/>
      <c r="F92" s="74"/>
      <c r="G92" s="75"/>
      <c r="H92" s="76"/>
      <c r="I92" s="52"/>
      <c r="J92" s="52"/>
      <c r="K92" s="52"/>
      <c r="L92" s="41"/>
      <c r="M92" s="41"/>
      <c r="N92" s="41"/>
      <c r="O92" s="41"/>
      <c r="P92" s="41"/>
      <c r="Q92" s="41"/>
      <c r="R92" s="41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</row>
    <row r="93" spans="1:89" s="51" customFormat="1" ht="33" customHeight="1">
      <c r="A93" s="74"/>
      <c r="B93" s="74"/>
      <c r="C93" s="74"/>
      <c r="D93" s="74"/>
      <c r="E93" s="74"/>
      <c r="F93" s="74"/>
      <c r="G93" s="75"/>
      <c r="H93" s="76"/>
      <c r="I93" s="52"/>
      <c r="J93" s="52"/>
      <c r="K93" s="52"/>
      <c r="L93" s="41"/>
      <c r="M93" s="41"/>
      <c r="N93" s="41"/>
      <c r="O93" s="41"/>
      <c r="P93" s="41"/>
      <c r="Q93" s="41"/>
      <c r="R93" s="41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</row>
    <row r="94" spans="1:89" s="51" customFormat="1" ht="33" customHeight="1">
      <c r="A94" s="74"/>
      <c r="B94" s="74"/>
      <c r="C94" s="74"/>
      <c r="D94" s="74"/>
      <c r="E94" s="74"/>
      <c r="F94" s="74"/>
      <c r="G94" s="75"/>
      <c r="H94" s="76"/>
      <c r="I94" s="52"/>
      <c r="J94" s="52"/>
      <c r="K94" s="52"/>
      <c r="L94" s="41"/>
      <c r="M94" s="41"/>
      <c r="N94" s="41"/>
      <c r="O94" s="41"/>
      <c r="P94" s="41"/>
      <c r="Q94" s="41"/>
      <c r="R94" s="41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</row>
    <row r="95" spans="1:89" s="51" customFormat="1" ht="33" customHeight="1">
      <c r="A95" s="74"/>
      <c r="B95" s="74"/>
      <c r="C95" s="74"/>
      <c r="D95" s="74"/>
      <c r="E95" s="74"/>
      <c r="F95" s="74"/>
      <c r="G95" s="75"/>
      <c r="H95" s="76"/>
      <c r="I95" s="52"/>
      <c r="J95" s="52"/>
      <c r="K95" s="52"/>
      <c r="L95" s="41"/>
      <c r="M95" s="41"/>
      <c r="N95" s="41"/>
      <c r="O95" s="41"/>
      <c r="P95" s="41"/>
      <c r="Q95" s="41"/>
      <c r="R95" s="41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</row>
    <row r="96" spans="1:89" s="51" customFormat="1" ht="33" customHeight="1">
      <c r="A96" s="74"/>
      <c r="B96" s="74"/>
      <c r="C96" s="74"/>
      <c r="D96" s="74"/>
      <c r="E96" s="74"/>
      <c r="F96" s="74"/>
      <c r="G96" s="75"/>
      <c r="H96" s="76"/>
      <c r="I96" s="52"/>
      <c r="J96" s="52"/>
      <c r="K96" s="52"/>
      <c r="L96" s="41"/>
      <c r="M96" s="41"/>
      <c r="N96" s="41"/>
      <c r="O96" s="41"/>
      <c r="P96" s="45"/>
      <c r="Q96" s="41"/>
      <c r="R96" s="46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1"/>
      <c r="AE96" s="41"/>
      <c r="AF96" s="41"/>
      <c r="AG96" s="48"/>
      <c r="AH96" s="41"/>
      <c r="AI96" s="41"/>
      <c r="AJ96" s="41"/>
      <c r="AK96" s="49"/>
      <c r="AL96" s="50"/>
      <c r="AM96" s="50"/>
      <c r="AN96" s="50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50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</row>
    <row r="97" spans="1:89" s="51" customFormat="1" ht="33" customHeight="1">
      <c r="A97" s="74"/>
      <c r="B97" s="74"/>
      <c r="C97" s="74"/>
      <c r="D97" s="74"/>
      <c r="E97" s="74"/>
      <c r="F97" s="74"/>
      <c r="G97" s="75"/>
      <c r="H97" s="76"/>
      <c r="I97" s="52"/>
      <c r="J97" s="52"/>
      <c r="K97" s="52"/>
      <c r="L97" s="41"/>
      <c r="M97" s="41"/>
      <c r="N97" s="41"/>
      <c r="O97" s="41"/>
      <c r="P97" s="45"/>
      <c r="Q97" s="41"/>
      <c r="R97" s="46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1"/>
      <c r="AE97" s="41"/>
      <c r="AF97" s="41"/>
      <c r="AG97" s="48"/>
      <c r="AH97" s="41"/>
      <c r="AI97" s="41"/>
      <c r="AJ97" s="41"/>
      <c r="AK97" s="49"/>
      <c r="AL97" s="50"/>
      <c r="AM97" s="50"/>
      <c r="AN97" s="50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50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</row>
    <row r="98" spans="1:89" s="51" customFormat="1" ht="33" customHeight="1">
      <c r="A98" s="74"/>
      <c r="B98" s="74"/>
      <c r="C98" s="74"/>
      <c r="D98" s="74"/>
      <c r="E98" s="74"/>
      <c r="F98" s="74"/>
      <c r="G98" s="75"/>
      <c r="H98" s="76"/>
      <c r="I98" s="52"/>
      <c r="J98" s="52"/>
      <c r="K98" s="52"/>
      <c r="L98" s="41"/>
      <c r="M98" s="41"/>
      <c r="N98" s="41"/>
      <c r="O98" s="41"/>
      <c r="P98" s="45"/>
      <c r="Q98" s="41"/>
      <c r="R98" s="46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1"/>
      <c r="AE98" s="41"/>
      <c r="AF98" s="41"/>
      <c r="AG98" s="48"/>
      <c r="AH98" s="41"/>
      <c r="AI98" s="41"/>
      <c r="AJ98" s="41"/>
      <c r="AK98" s="49"/>
      <c r="AL98" s="50"/>
      <c r="AM98" s="50"/>
      <c r="AN98" s="50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50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</row>
    <row r="99" spans="1:89" s="51" customFormat="1" ht="33" customHeight="1">
      <c r="A99" s="74"/>
      <c r="B99" s="74"/>
      <c r="C99" s="74"/>
      <c r="D99" s="74"/>
      <c r="E99" s="74"/>
      <c r="F99" s="74"/>
      <c r="G99" s="75"/>
      <c r="H99" s="76"/>
      <c r="I99" s="52"/>
      <c r="J99" s="52"/>
      <c r="K99" s="52"/>
      <c r="L99" s="41"/>
      <c r="M99" s="41"/>
      <c r="N99" s="41"/>
      <c r="O99" s="41"/>
      <c r="P99" s="41"/>
      <c r="Q99" s="41"/>
      <c r="R99" s="41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</row>
    <row r="100" spans="1:89" s="51" customFormat="1" ht="33" customHeight="1">
      <c r="A100" s="74"/>
      <c r="B100" s="74"/>
      <c r="C100" s="74"/>
      <c r="D100" s="74"/>
      <c r="E100" s="74"/>
      <c r="F100" s="74"/>
      <c r="G100" s="75"/>
      <c r="H100" s="76"/>
      <c r="I100" s="52"/>
      <c r="J100" s="52"/>
      <c r="K100" s="52"/>
      <c r="L100" s="41"/>
      <c r="M100" s="41"/>
      <c r="N100" s="41"/>
      <c r="O100" s="41"/>
      <c r="P100" s="41"/>
      <c r="Q100" s="41"/>
      <c r="R100" s="41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</row>
    <row r="101" spans="1:89" s="51" customFormat="1" ht="33" customHeight="1">
      <c r="A101" s="74"/>
      <c r="B101" s="74"/>
      <c r="C101" s="74"/>
      <c r="D101" s="74"/>
      <c r="E101" s="74"/>
      <c r="F101" s="74"/>
      <c r="G101" s="75"/>
      <c r="H101" s="76"/>
      <c r="I101" s="52"/>
      <c r="J101" s="52"/>
      <c r="K101" s="52"/>
      <c r="L101" s="41"/>
      <c r="M101" s="41"/>
      <c r="N101" s="41"/>
      <c r="O101" s="41"/>
      <c r="P101" s="41"/>
      <c r="Q101" s="41"/>
      <c r="R101" s="41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</row>
    <row r="102" spans="1:89" s="51" customFormat="1" ht="33" customHeight="1">
      <c r="A102" s="74"/>
      <c r="B102" s="74"/>
      <c r="C102" s="74"/>
      <c r="D102" s="74"/>
      <c r="E102" s="74"/>
      <c r="F102" s="74"/>
      <c r="G102" s="75"/>
      <c r="H102" s="76"/>
      <c r="I102" s="52"/>
      <c r="J102" s="52"/>
      <c r="K102" s="52"/>
      <c r="L102" s="41"/>
      <c r="M102" s="41"/>
      <c r="N102" s="41"/>
      <c r="O102" s="41"/>
      <c r="P102" s="41"/>
      <c r="Q102" s="41"/>
      <c r="R102" s="41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</row>
    <row r="103" spans="1:89" s="51" customFormat="1" ht="33" customHeight="1">
      <c r="A103" s="74"/>
      <c r="B103" s="74"/>
      <c r="C103" s="74"/>
      <c r="D103" s="74"/>
      <c r="E103" s="74"/>
      <c r="F103" s="74"/>
      <c r="G103" s="75"/>
      <c r="H103" s="76"/>
      <c r="I103" s="52"/>
      <c r="J103" s="52"/>
      <c r="K103" s="52"/>
      <c r="L103" s="41"/>
      <c r="M103" s="41"/>
      <c r="N103" s="41"/>
      <c r="O103" s="41"/>
      <c r="P103" s="45"/>
      <c r="Q103" s="41"/>
      <c r="R103" s="46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1"/>
      <c r="AE103" s="41"/>
      <c r="AF103" s="41"/>
      <c r="AG103" s="48"/>
      <c r="AH103" s="41"/>
      <c r="AI103" s="41"/>
      <c r="AJ103" s="41"/>
      <c r="AK103" s="49"/>
      <c r="AL103" s="50"/>
      <c r="AM103" s="50"/>
      <c r="AN103" s="50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50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</row>
    <row r="104" spans="1:89" s="51" customFormat="1" ht="33" customHeight="1">
      <c r="A104" s="74"/>
      <c r="B104" s="74"/>
      <c r="C104" s="74"/>
      <c r="D104" s="74"/>
      <c r="E104" s="74"/>
      <c r="F104" s="74"/>
      <c r="G104" s="75"/>
      <c r="H104" s="76"/>
      <c r="I104" s="52"/>
      <c r="J104" s="52"/>
      <c r="K104" s="52"/>
      <c r="L104" s="41"/>
      <c r="M104" s="41"/>
      <c r="N104" s="41"/>
      <c r="O104" s="41"/>
      <c r="P104" s="41"/>
      <c r="Q104" s="41"/>
      <c r="R104" s="41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</row>
    <row r="105" spans="1:89" s="51" customFormat="1" ht="33" customHeight="1">
      <c r="A105" s="74"/>
      <c r="B105" s="74"/>
      <c r="C105" s="74"/>
      <c r="D105" s="74"/>
      <c r="E105" s="74"/>
      <c r="F105" s="74"/>
      <c r="G105" s="75"/>
      <c r="H105" s="76"/>
      <c r="I105" s="52"/>
      <c r="J105" s="52"/>
      <c r="K105" s="52"/>
      <c r="L105" s="41"/>
      <c r="M105" s="41"/>
      <c r="N105" s="41"/>
      <c r="O105" s="41"/>
      <c r="P105" s="41"/>
      <c r="Q105" s="41"/>
      <c r="R105" s="41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</row>
    <row r="106" spans="1:89" s="51" customFormat="1" ht="33" customHeight="1">
      <c r="A106" s="74"/>
      <c r="B106" s="74"/>
      <c r="C106" s="74"/>
      <c r="D106" s="74"/>
      <c r="E106" s="74"/>
      <c r="F106" s="74"/>
      <c r="G106" s="75"/>
      <c r="H106" s="76"/>
      <c r="I106" s="52"/>
      <c r="J106" s="52"/>
      <c r="K106" s="52"/>
      <c r="L106" s="41"/>
      <c r="M106" s="41"/>
      <c r="N106" s="41"/>
      <c r="O106" s="41"/>
      <c r="P106" s="41"/>
      <c r="Q106" s="41"/>
      <c r="R106" s="41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</row>
    <row r="107" spans="1:89" s="51" customFormat="1" ht="33" customHeight="1">
      <c r="A107" s="74"/>
      <c r="B107" s="74"/>
      <c r="C107" s="74"/>
      <c r="D107" s="74"/>
      <c r="E107" s="74"/>
      <c r="F107" s="74"/>
      <c r="G107" s="75"/>
      <c r="H107" s="76"/>
      <c r="I107" s="52"/>
      <c r="J107" s="52"/>
      <c r="K107" s="52"/>
      <c r="L107" s="41"/>
      <c r="M107" s="41"/>
      <c r="N107" s="41"/>
      <c r="O107" s="41"/>
      <c r="P107" s="45"/>
      <c r="Q107" s="41"/>
      <c r="R107" s="46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1"/>
      <c r="AE107" s="41"/>
      <c r="AF107" s="41"/>
      <c r="AG107" s="48"/>
      <c r="AH107" s="41"/>
      <c r="AI107" s="41"/>
      <c r="AJ107" s="41"/>
      <c r="AK107" s="49"/>
      <c r="AL107" s="50"/>
      <c r="AM107" s="50"/>
      <c r="AN107" s="50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50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</row>
    <row r="108" spans="1:89" s="51" customFormat="1" ht="33" customHeight="1">
      <c r="A108" s="74"/>
      <c r="B108" s="74"/>
      <c r="C108" s="74"/>
      <c r="D108" s="74"/>
      <c r="E108" s="74"/>
      <c r="F108" s="74"/>
      <c r="G108" s="75"/>
      <c r="H108" s="76"/>
      <c r="I108" s="52"/>
      <c r="J108" s="52"/>
      <c r="K108" s="52"/>
      <c r="L108" s="41"/>
      <c r="M108" s="41"/>
      <c r="N108" s="41"/>
      <c r="O108" s="41"/>
      <c r="P108" s="41"/>
      <c r="Q108" s="41"/>
      <c r="R108" s="41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</row>
    <row r="109" spans="1:89" s="51" customFormat="1" ht="33" customHeight="1">
      <c r="A109" s="74"/>
      <c r="B109" s="74"/>
      <c r="C109" s="74"/>
      <c r="D109" s="74"/>
      <c r="E109" s="74"/>
      <c r="F109" s="74"/>
      <c r="G109" s="75"/>
      <c r="H109" s="76"/>
      <c r="I109" s="52"/>
      <c r="J109" s="52"/>
      <c r="K109" s="52"/>
      <c r="L109" s="41"/>
      <c r="M109" s="41"/>
      <c r="N109" s="41"/>
      <c r="O109" s="41"/>
      <c r="P109" s="45"/>
      <c r="Q109" s="41"/>
      <c r="R109" s="46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1"/>
      <c r="AE109" s="41"/>
      <c r="AF109" s="41"/>
      <c r="AG109" s="48"/>
      <c r="AH109" s="41"/>
      <c r="AI109" s="41"/>
      <c r="AJ109" s="41"/>
      <c r="AK109" s="49"/>
      <c r="AL109" s="50"/>
      <c r="AM109" s="50"/>
      <c r="AN109" s="50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50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</row>
    <row r="110" spans="1:89" s="51" customFormat="1" ht="33" customHeight="1">
      <c r="A110" s="74"/>
      <c r="B110" s="74"/>
      <c r="C110" s="74"/>
      <c r="D110" s="74"/>
      <c r="E110" s="74"/>
      <c r="F110" s="74"/>
      <c r="G110" s="75"/>
      <c r="H110" s="76"/>
      <c r="I110" s="52"/>
      <c r="J110" s="52"/>
      <c r="K110" s="52"/>
      <c r="L110" s="41"/>
      <c r="M110" s="41"/>
      <c r="N110" s="41"/>
      <c r="O110" s="41"/>
      <c r="P110" s="41"/>
      <c r="Q110" s="41"/>
      <c r="R110" s="41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</row>
    <row r="111" spans="1:89" s="51" customFormat="1" ht="33" customHeight="1">
      <c r="A111" s="74"/>
      <c r="B111" s="74"/>
      <c r="C111" s="74"/>
      <c r="D111" s="74"/>
      <c r="E111" s="74"/>
      <c r="F111" s="74"/>
      <c r="G111" s="75"/>
      <c r="H111" s="76"/>
      <c r="I111" s="52"/>
      <c r="J111" s="52"/>
      <c r="K111" s="52"/>
      <c r="L111" s="41"/>
      <c r="M111" s="41"/>
      <c r="N111" s="41"/>
      <c r="O111" s="41"/>
      <c r="P111" s="45"/>
      <c r="Q111" s="41"/>
      <c r="R111" s="46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1"/>
      <c r="AE111" s="41"/>
      <c r="AF111" s="41"/>
      <c r="AG111" s="48"/>
      <c r="AH111" s="41"/>
      <c r="AI111" s="41"/>
      <c r="AJ111" s="41"/>
      <c r="AK111" s="49"/>
      <c r="AL111" s="50"/>
      <c r="AM111" s="50"/>
      <c r="AN111" s="50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50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</row>
    <row r="112" spans="1:89" s="51" customFormat="1" ht="33" customHeight="1">
      <c r="A112" s="74"/>
      <c r="B112" s="74"/>
      <c r="C112" s="74"/>
      <c r="D112" s="74"/>
      <c r="E112" s="74"/>
      <c r="F112" s="74"/>
      <c r="G112" s="75"/>
      <c r="H112" s="76"/>
      <c r="I112" s="52"/>
      <c r="J112" s="52"/>
      <c r="K112" s="52"/>
      <c r="L112" s="41"/>
      <c r="M112" s="41"/>
      <c r="N112" s="41"/>
      <c r="O112" s="41"/>
      <c r="P112" s="45"/>
      <c r="Q112" s="41"/>
      <c r="R112" s="46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1"/>
      <c r="AE112" s="41"/>
      <c r="AF112" s="41"/>
      <c r="AG112" s="48"/>
      <c r="AH112" s="41"/>
      <c r="AI112" s="41"/>
      <c r="AJ112" s="41"/>
      <c r="AK112" s="49"/>
      <c r="AL112" s="50"/>
      <c r="AM112" s="50"/>
      <c r="AN112" s="50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50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</row>
    <row r="113" spans="1:89" s="51" customFormat="1" ht="33" customHeight="1">
      <c r="A113" s="74"/>
      <c r="B113" s="74"/>
      <c r="C113" s="74"/>
      <c r="D113" s="74"/>
      <c r="E113" s="74"/>
      <c r="F113" s="74"/>
      <c r="G113" s="75"/>
      <c r="H113" s="76"/>
      <c r="I113" s="52"/>
      <c r="J113" s="52"/>
      <c r="K113" s="52"/>
      <c r="L113" s="41"/>
      <c r="M113" s="41"/>
      <c r="N113" s="41"/>
      <c r="O113" s="41"/>
      <c r="P113" s="41"/>
      <c r="Q113" s="41"/>
      <c r="R113" s="41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</row>
    <row r="114" spans="1:89" s="51" customFormat="1" ht="33" customHeight="1">
      <c r="A114" s="74"/>
      <c r="B114" s="74"/>
      <c r="C114" s="74"/>
      <c r="D114" s="74"/>
      <c r="E114" s="74"/>
      <c r="F114" s="74"/>
      <c r="G114" s="75"/>
      <c r="H114" s="76"/>
      <c r="I114" s="52"/>
      <c r="J114" s="52"/>
      <c r="K114" s="52"/>
      <c r="L114" s="41"/>
      <c r="M114" s="41"/>
      <c r="N114" s="41"/>
      <c r="O114" s="41"/>
      <c r="P114" s="41"/>
      <c r="Q114" s="41"/>
      <c r="R114" s="41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</row>
    <row r="115" spans="1:89" s="51" customFormat="1" ht="33" customHeight="1">
      <c r="A115" s="74"/>
      <c r="B115" s="74"/>
      <c r="C115" s="74"/>
      <c r="D115" s="74"/>
      <c r="E115" s="74"/>
      <c r="F115" s="74"/>
      <c r="G115" s="75"/>
      <c r="H115" s="76"/>
      <c r="I115" s="52"/>
      <c r="J115" s="52"/>
      <c r="K115" s="52"/>
      <c r="L115" s="41"/>
      <c r="M115" s="41"/>
      <c r="N115" s="41"/>
      <c r="O115" s="41"/>
      <c r="P115" s="41"/>
      <c r="Q115" s="41"/>
      <c r="R115" s="41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</row>
    <row r="116" spans="1:89" s="51" customFormat="1" ht="33" customHeight="1">
      <c r="A116" s="74"/>
      <c r="B116" s="74"/>
      <c r="C116" s="74"/>
      <c r="D116" s="74"/>
      <c r="E116" s="74"/>
      <c r="F116" s="74"/>
      <c r="G116" s="75"/>
      <c r="H116" s="76"/>
      <c r="I116" s="52"/>
      <c r="J116" s="52"/>
      <c r="K116" s="52"/>
      <c r="L116" s="41"/>
      <c r="M116" s="41"/>
      <c r="N116" s="41"/>
      <c r="O116" s="41"/>
      <c r="P116" s="41"/>
      <c r="Q116" s="41"/>
      <c r="R116" s="41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</row>
    <row r="117" spans="1:89" s="51" customFormat="1" ht="33" customHeight="1">
      <c r="A117" s="74"/>
      <c r="B117" s="74"/>
      <c r="C117" s="74"/>
      <c r="D117" s="74"/>
      <c r="E117" s="74"/>
      <c r="F117" s="74"/>
      <c r="G117" s="75"/>
      <c r="H117" s="76"/>
      <c r="I117" s="52"/>
      <c r="J117" s="52"/>
      <c r="K117" s="52"/>
      <c r="L117" s="41"/>
      <c r="M117" s="41"/>
      <c r="N117" s="41"/>
      <c r="O117" s="41"/>
      <c r="P117" s="41"/>
      <c r="Q117" s="41"/>
      <c r="R117" s="41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</row>
    <row r="118" spans="1:89" s="51" customFormat="1" ht="33" customHeight="1">
      <c r="A118" s="74"/>
      <c r="B118" s="74"/>
      <c r="C118" s="74"/>
      <c r="D118" s="74"/>
      <c r="E118" s="74"/>
      <c r="F118" s="74"/>
      <c r="G118" s="75"/>
      <c r="H118" s="76"/>
      <c r="I118" s="52"/>
      <c r="J118" s="52"/>
      <c r="K118" s="52"/>
      <c r="L118" s="41"/>
      <c r="M118" s="41"/>
      <c r="N118" s="41"/>
      <c r="O118" s="41"/>
      <c r="P118" s="41"/>
      <c r="Q118" s="41"/>
      <c r="R118" s="41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</row>
    <row r="119" spans="1:89" s="51" customFormat="1" ht="33" customHeight="1">
      <c r="A119" s="74"/>
      <c r="B119" s="74"/>
      <c r="C119" s="74"/>
      <c r="D119" s="74"/>
      <c r="E119" s="74"/>
      <c r="F119" s="74"/>
      <c r="G119" s="75"/>
      <c r="H119" s="76"/>
      <c r="I119" s="52"/>
      <c r="J119" s="52"/>
      <c r="K119" s="52"/>
      <c r="L119" s="41"/>
      <c r="M119" s="41"/>
      <c r="N119" s="41"/>
      <c r="O119" s="41"/>
      <c r="P119" s="41"/>
      <c r="Q119" s="41"/>
      <c r="R119" s="41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</row>
    <row r="120" spans="1:89" s="51" customFormat="1" ht="33" customHeight="1">
      <c r="A120" s="74"/>
      <c r="B120" s="74"/>
      <c r="C120" s="74"/>
      <c r="D120" s="74"/>
      <c r="E120" s="74"/>
      <c r="F120" s="74"/>
      <c r="G120" s="75"/>
      <c r="H120" s="76"/>
      <c r="I120" s="52"/>
      <c r="J120" s="52"/>
      <c r="K120" s="52"/>
      <c r="L120" s="41"/>
      <c r="M120" s="41"/>
      <c r="N120" s="41"/>
      <c r="O120" s="41"/>
      <c r="P120" s="41"/>
      <c r="Q120" s="41"/>
      <c r="R120" s="41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</row>
    <row r="121" spans="1:89" s="51" customFormat="1" ht="33" customHeight="1">
      <c r="A121" s="74"/>
      <c r="B121" s="74"/>
      <c r="C121" s="74"/>
      <c r="D121" s="74"/>
      <c r="E121" s="74"/>
      <c r="F121" s="74"/>
      <c r="G121" s="75"/>
      <c r="H121" s="76"/>
      <c r="I121" s="52"/>
      <c r="J121" s="52"/>
      <c r="K121" s="52"/>
      <c r="L121" s="41"/>
      <c r="M121" s="41"/>
      <c r="N121" s="41"/>
      <c r="O121" s="41"/>
      <c r="P121" s="41"/>
      <c r="Q121" s="41"/>
      <c r="R121" s="41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</row>
    <row r="122" spans="1:89" s="51" customFormat="1" ht="33" customHeight="1">
      <c r="A122" s="74"/>
      <c r="B122" s="74"/>
      <c r="C122" s="74"/>
      <c r="D122" s="74"/>
      <c r="E122" s="74"/>
      <c r="F122" s="74"/>
      <c r="G122" s="75"/>
      <c r="H122" s="76"/>
      <c r="I122" s="52"/>
      <c r="J122" s="52"/>
      <c r="K122" s="52"/>
      <c r="L122" s="41"/>
      <c r="M122" s="41"/>
      <c r="N122" s="41"/>
      <c r="O122" s="41"/>
      <c r="P122" s="41"/>
      <c r="Q122" s="41"/>
      <c r="R122" s="41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</row>
    <row r="123" spans="1:89" s="51" customFormat="1" ht="33" customHeight="1">
      <c r="A123" s="74"/>
      <c r="B123" s="74"/>
      <c r="C123" s="74"/>
      <c r="D123" s="74"/>
      <c r="E123" s="74"/>
      <c r="F123" s="74"/>
      <c r="G123" s="75"/>
      <c r="H123" s="76"/>
      <c r="I123" s="52"/>
      <c r="J123" s="52"/>
      <c r="K123" s="52"/>
      <c r="L123" s="41"/>
      <c r="M123" s="41"/>
      <c r="N123" s="41"/>
      <c r="O123" s="41"/>
      <c r="P123" s="41"/>
      <c r="Q123" s="41"/>
      <c r="R123" s="41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</row>
    <row r="124" spans="1:89" s="51" customFormat="1" ht="33" customHeight="1">
      <c r="A124" s="74"/>
      <c r="B124" s="74"/>
      <c r="C124" s="74"/>
      <c r="D124" s="74"/>
      <c r="E124" s="74"/>
      <c r="F124" s="74"/>
      <c r="G124" s="75"/>
      <c r="H124" s="76"/>
      <c r="I124" s="52"/>
      <c r="J124" s="52"/>
      <c r="K124" s="52"/>
      <c r="L124" s="41"/>
      <c r="M124" s="41"/>
      <c r="N124" s="41"/>
      <c r="O124" s="41"/>
      <c r="P124" s="45"/>
      <c r="Q124" s="41"/>
      <c r="R124" s="46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1"/>
      <c r="AE124" s="41"/>
      <c r="AF124" s="41"/>
      <c r="AG124" s="48"/>
      <c r="AH124" s="41"/>
      <c r="AI124" s="41"/>
      <c r="AJ124" s="41"/>
      <c r="AK124" s="49"/>
      <c r="AL124" s="50"/>
      <c r="AM124" s="50"/>
      <c r="AN124" s="50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50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</row>
    <row r="125" spans="1:89" s="51" customFormat="1" ht="33" customHeight="1">
      <c r="A125" s="74"/>
      <c r="B125" s="74"/>
      <c r="C125" s="74"/>
      <c r="D125" s="74"/>
      <c r="E125" s="74"/>
      <c r="F125" s="74"/>
      <c r="G125" s="75"/>
      <c r="H125" s="76"/>
      <c r="I125" s="52"/>
      <c r="J125" s="52"/>
      <c r="K125" s="52"/>
      <c r="L125" s="41"/>
      <c r="M125" s="41"/>
      <c r="N125" s="41"/>
      <c r="O125" s="41"/>
      <c r="P125" s="41"/>
      <c r="Q125" s="41"/>
      <c r="R125" s="41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</row>
    <row r="126" spans="1:89" s="51" customFormat="1" ht="33" customHeight="1">
      <c r="A126" s="74"/>
      <c r="B126" s="74"/>
      <c r="C126" s="74"/>
      <c r="D126" s="74"/>
      <c r="E126" s="74"/>
      <c r="F126" s="74"/>
      <c r="G126" s="75"/>
      <c r="H126" s="76"/>
      <c r="I126" s="52"/>
      <c r="J126" s="52"/>
      <c r="K126" s="52"/>
      <c r="L126" s="41"/>
      <c r="M126" s="41"/>
      <c r="N126" s="41"/>
      <c r="O126" s="41"/>
      <c r="P126" s="45"/>
      <c r="Q126" s="41"/>
      <c r="R126" s="46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1"/>
      <c r="AE126" s="41"/>
      <c r="AF126" s="41"/>
      <c r="AG126" s="48"/>
      <c r="AH126" s="41"/>
      <c r="AI126" s="41"/>
      <c r="AJ126" s="41"/>
      <c r="AK126" s="49"/>
      <c r="AL126" s="50"/>
      <c r="AM126" s="50"/>
      <c r="AN126" s="50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50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</row>
    <row r="127" spans="1:89" s="51" customFormat="1" ht="33" customHeight="1">
      <c r="A127" s="74"/>
      <c r="B127" s="74"/>
      <c r="C127" s="74"/>
      <c r="D127" s="74"/>
      <c r="E127" s="74"/>
      <c r="F127" s="74"/>
      <c r="G127" s="75"/>
      <c r="H127" s="76"/>
      <c r="I127" s="52"/>
      <c r="J127" s="52"/>
      <c r="K127" s="52"/>
      <c r="L127" s="41"/>
      <c r="M127" s="41"/>
      <c r="N127" s="41"/>
      <c r="O127" s="41"/>
      <c r="P127" s="41"/>
      <c r="Q127" s="41"/>
      <c r="R127" s="41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</row>
    <row r="128" spans="1:89" s="51" customFormat="1" ht="33" customHeight="1">
      <c r="A128" s="74"/>
      <c r="B128" s="74"/>
      <c r="C128" s="74"/>
      <c r="D128" s="74"/>
      <c r="E128" s="74"/>
      <c r="F128" s="74"/>
      <c r="G128" s="75"/>
      <c r="H128" s="76"/>
      <c r="I128" s="52"/>
      <c r="J128" s="52"/>
      <c r="K128" s="52"/>
      <c r="L128" s="41"/>
      <c r="M128" s="41"/>
      <c r="N128" s="41"/>
      <c r="O128" s="41"/>
      <c r="P128" s="41"/>
      <c r="Q128" s="41"/>
      <c r="R128" s="41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  <c r="CC128" s="41"/>
      <c r="CD128" s="41"/>
      <c r="CE128" s="41"/>
      <c r="CF128" s="41"/>
      <c r="CG128" s="41"/>
      <c r="CH128" s="41"/>
      <c r="CI128" s="41"/>
      <c r="CJ128" s="41"/>
      <c r="CK128" s="41"/>
    </row>
    <row r="129" spans="1:89" s="51" customFormat="1" ht="33" customHeight="1">
      <c r="A129" s="74"/>
      <c r="B129" s="74"/>
      <c r="C129" s="74"/>
      <c r="D129" s="74"/>
      <c r="E129" s="74"/>
      <c r="F129" s="74"/>
      <c r="G129" s="75"/>
      <c r="H129" s="76"/>
      <c r="I129" s="52"/>
      <c r="J129" s="52"/>
      <c r="K129" s="52"/>
      <c r="L129" s="41"/>
      <c r="M129" s="41"/>
      <c r="N129" s="41"/>
      <c r="O129" s="41"/>
      <c r="P129" s="41"/>
      <c r="Q129" s="41"/>
      <c r="R129" s="41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</row>
    <row r="130" spans="1:89" s="51" customFormat="1" ht="33" customHeight="1">
      <c r="A130" s="74"/>
      <c r="B130" s="74"/>
      <c r="C130" s="74"/>
      <c r="D130" s="74"/>
      <c r="E130" s="74"/>
      <c r="F130" s="74"/>
      <c r="G130" s="75"/>
      <c r="H130" s="76"/>
      <c r="I130" s="52"/>
      <c r="J130" s="52"/>
      <c r="K130" s="52"/>
      <c r="L130" s="41"/>
      <c r="M130" s="41"/>
      <c r="N130" s="41"/>
      <c r="O130" s="41"/>
      <c r="P130" s="41"/>
      <c r="Q130" s="41"/>
      <c r="R130" s="41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G130" s="41"/>
      <c r="CH130" s="41"/>
      <c r="CI130" s="41"/>
      <c r="CJ130" s="41"/>
      <c r="CK130" s="41"/>
    </row>
    <row r="131" spans="1:89" s="51" customFormat="1" ht="33" customHeight="1">
      <c r="A131" s="74"/>
      <c r="B131" s="74"/>
      <c r="C131" s="74"/>
      <c r="D131" s="74"/>
      <c r="E131" s="74"/>
      <c r="F131" s="74"/>
      <c r="G131" s="75"/>
      <c r="H131" s="76"/>
      <c r="I131" s="52"/>
      <c r="J131" s="52"/>
      <c r="K131" s="52"/>
      <c r="L131" s="41"/>
      <c r="M131" s="41"/>
      <c r="N131" s="41"/>
      <c r="O131" s="41"/>
      <c r="P131" s="41"/>
      <c r="Q131" s="41"/>
      <c r="R131" s="41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G131" s="41"/>
      <c r="CH131" s="41"/>
      <c r="CI131" s="41"/>
      <c r="CJ131" s="41"/>
      <c r="CK131" s="41"/>
    </row>
    <row r="132" spans="1:89" s="51" customFormat="1" ht="33" customHeight="1">
      <c r="A132" s="74"/>
      <c r="B132" s="74"/>
      <c r="C132" s="74"/>
      <c r="D132" s="74"/>
      <c r="E132" s="74"/>
      <c r="F132" s="74"/>
      <c r="G132" s="75"/>
      <c r="H132" s="76"/>
      <c r="I132" s="52"/>
      <c r="J132" s="52"/>
      <c r="K132" s="52"/>
      <c r="L132" s="41"/>
      <c r="M132" s="41"/>
      <c r="N132" s="41"/>
      <c r="O132" s="41"/>
      <c r="P132" s="41"/>
      <c r="Q132" s="41"/>
      <c r="R132" s="41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</row>
    <row r="133" spans="1:89" s="51" customFormat="1" ht="33" customHeight="1">
      <c r="A133" s="74"/>
      <c r="B133" s="74"/>
      <c r="C133" s="74"/>
      <c r="D133" s="74"/>
      <c r="E133" s="74"/>
      <c r="F133" s="74"/>
      <c r="G133" s="75"/>
      <c r="H133" s="76"/>
      <c r="I133" s="52"/>
      <c r="J133" s="52"/>
      <c r="K133" s="52"/>
      <c r="L133" s="41"/>
      <c r="M133" s="41"/>
      <c r="N133" s="41"/>
      <c r="O133" s="41"/>
      <c r="P133" s="41"/>
      <c r="Q133" s="41"/>
      <c r="R133" s="41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</row>
    <row r="134" spans="1:89" s="51" customFormat="1" ht="33" customHeight="1">
      <c r="A134" s="74"/>
      <c r="B134" s="74"/>
      <c r="C134" s="74"/>
      <c r="D134" s="74"/>
      <c r="E134" s="74"/>
      <c r="F134" s="74"/>
      <c r="G134" s="75"/>
      <c r="H134" s="76"/>
      <c r="I134" s="52"/>
      <c r="J134" s="52"/>
      <c r="K134" s="52"/>
      <c r="L134" s="41"/>
      <c r="M134" s="41"/>
      <c r="N134" s="41"/>
      <c r="O134" s="41"/>
      <c r="P134" s="41"/>
      <c r="Q134" s="41"/>
      <c r="R134" s="41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</row>
    <row r="135" spans="1:89" s="51" customFormat="1" ht="33" customHeight="1">
      <c r="A135" s="74"/>
      <c r="B135" s="74"/>
      <c r="C135" s="74"/>
      <c r="D135" s="74"/>
      <c r="E135" s="74"/>
      <c r="F135" s="74"/>
      <c r="G135" s="75"/>
      <c r="H135" s="76"/>
      <c r="I135" s="52"/>
      <c r="J135" s="52"/>
      <c r="K135" s="52"/>
      <c r="L135" s="41"/>
      <c r="M135" s="41"/>
      <c r="N135" s="41"/>
      <c r="O135" s="41"/>
      <c r="P135" s="41"/>
      <c r="Q135" s="41"/>
      <c r="R135" s="41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</row>
    <row r="136" spans="1:89" s="51" customFormat="1" ht="33" customHeight="1">
      <c r="A136" s="74"/>
      <c r="B136" s="74"/>
      <c r="C136" s="74"/>
      <c r="D136" s="74"/>
      <c r="E136" s="74"/>
      <c r="F136" s="74"/>
      <c r="G136" s="75"/>
      <c r="H136" s="76"/>
      <c r="I136" s="52"/>
      <c r="J136" s="52"/>
      <c r="K136" s="52"/>
      <c r="L136" s="41"/>
      <c r="M136" s="41"/>
      <c r="N136" s="41"/>
      <c r="O136" s="41"/>
      <c r="P136" s="41"/>
      <c r="Q136" s="41"/>
      <c r="R136" s="41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</row>
    <row r="137" spans="1:89" s="51" customFormat="1" ht="33" customHeight="1">
      <c r="A137" s="74"/>
      <c r="B137" s="74"/>
      <c r="C137" s="74"/>
      <c r="D137" s="74"/>
      <c r="E137" s="74"/>
      <c r="F137" s="74"/>
      <c r="G137" s="75"/>
      <c r="H137" s="76"/>
      <c r="I137" s="52"/>
      <c r="J137" s="52"/>
      <c r="K137" s="52"/>
      <c r="L137" s="41"/>
      <c r="M137" s="41"/>
      <c r="N137" s="41"/>
      <c r="O137" s="41"/>
      <c r="P137" s="41"/>
      <c r="Q137" s="41"/>
      <c r="R137" s="41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  <c r="BZ137" s="41"/>
      <c r="CA137" s="41"/>
      <c r="CB137" s="41"/>
      <c r="CC137" s="41"/>
      <c r="CD137" s="41"/>
      <c r="CE137" s="41"/>
      <c r="CF137" s="41"/>
      <c r="CG137" s="41"/>
      <c r="CH137" s="41"/>
      <c r="CI137" s="41"/>
      <c r="CJ137" s="41"/>
      <c r="CK137" s="41"/>
    </row>
    <row r="138" spans="1:89" s="51" customFormat="1" ht="33" customHeight="1">
      <c r="A138" s="74"/>
      <c r="B138" s="74"/>
      <c r="C138" s="74"/>
      <c r="D138" s="74"/>
      <c r="E138" s="74"/>
      <c r="F138" s="74"/>
      <c r="G138" s="75"/>
      <c r="H138" s="76"/>
      <c r="I138" s="52"/>
      <c r="J138" s="52"/>
      <c r="K138" s="52"/>
      <c r="L138" s="41"/>
      <c r="M138" s="41"/>
      <c r="N138" s="41"/>
      <c r="O138" s="41"/>
      <c r="P138" s="41"/>
      <c r="Q138" s="41"/>
      <c r="R138" s="41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41"/>
      <c r="CD138" s="41"/>
      <c r="CE138" s="41"/>
      <c r="CF138" s="41"/>
      <c r="CG138" s="41"/>
      <c r="CH138" s="41"/>
      <c r="CI138" s="41"/>
      <c r="CJ138" s="41"/>
      <c r="CK138" s="41"/>
    </row>
    <row r="139" spans="1:89" s="51" customFormat="1" ht="33" customHeight="1">
      <c r="A139" s="74"/>
      <c r="B139" s="74"/>
      <c r="C139" s="74"/>
      <c r="D139" s="74"/>
      <c r="E139" s="74"/>
      <c r="F139" s="74"/>
      <c r="G139" s="75"/>
      <c r="H139" s="76"/>
      <c r="I139" s="52"/>
      <c r="J139" s="52"/>
      <c r="K139" s="52"/>
      <c r="L139" s="41"/>
      <c r="M139" s="41"/>
      <c r="N139" s="41"/>
      <c r="O139" s="41"/>
      <c r="P139" s="41"/>
      <c r="Q139" s="41"/>
      <c r="R139" s="41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41"/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</row>
    <row r="140" spans="1:89" s="51" customFormat="1" ht="33" customHeight="1">
      <c r="A140" s="74"/>
      <c r="B140" s="74"/>
      <c r="C140" s="74"/>
      <c r="D140" s="74"/>
      <c r="E140" s="74"/>
      <c r="F140" s="74"/>
      <c r="G140" s="75"/>
      <c r="H140" s="76"/>
      <c r="I140" s="52"/>
      <c r="J140" s="52"/>
      <c r="K140" s="52"/>
      <c r="L140" s="41"/>
      <c r="M140" s="41"/>
      <c r="N140" s="41"/>
      <c r="O140" s="41"/>
      <c r="P140" s="41"/>
      <c r="Q140" s="41"/>
      <c r="R140" s="41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</row>
    <row r="141" spans="1:89" s="51" customFormat="1" ht="33" customHeight="1">
      <c r="A141" s="74"/>
      <c r="B141" s="74"/>
      <c r="C141" s="74"/>
      <c r="D141" s="74"/>
      <c r="E141" s="74"/>
      <c r="F141" s="74"/>
      <c r="G141" s="75"/>
      <c r="H141" s="76"/>
      <c r="I141" s="52"/>
      <c r="J141" s="52"/>
      <c r="K141" s="52"/>
      <c r="L141" s="41"/>
      <c r="M141" s="41"/>
      <c r="N141" s="41"/>
      <c r="O141" s="41"/>
      <c r="P141" s="41"/>
      <c r="Q141" s="41"/>
      <c r="R141" s="41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</row>
    <row r="142" spans="1:89" s="51" customFormat="1" ht="33" customHeight="1">
      <c r="A142" s="74"/>
      <c r="B142" s="74"/>
      <c r="C142" s="74"/>
      <c r="D142" s="74"/>
      <c r="E142" s="74"/>
      <c r="F142" s="74"/>
      <c r="G142" s="75"/>
      <c r="H142" s="76"/>
      <c r="I142" s="52"/>
      <c r="J142" s="52"/>
      <c r="K142" s="52"/>
      <c r="L142" s="41"/>
      <c r="M142" s="41"/>
      <c r="N142" s="41"/>
      <c r="O142" s="41"/>
      <c r="P142" s="41"/>
      <c r="Q142" s="41"/>
      <c r="R142" s="41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</row>
    <row r="143" spans="1:89" s="51" customFormat="1" ht="33" customHeight="1">
      <c r="A143" s="74"/>
      <c r="B143" s="74"/>
      <c r="C143" s="74"/>
      <c r="D143" s="74"/>
      <c r="E143" s="74"/>
      <c r="F143" s="74"/>
      <c r="G143" s="75"/>
      <c r="H143" s="76"/>
      <c r="I143" s="52"/>
      <c r="J143" s="52"/>
      <c r="K143" s="52"/>
      <c r="L143" s="41"/>
      <c r="M143" s="41"/>
      <c r="N143" s="41"/>
      <c r="O143" s="41"/>
      <c r="P143" s="41"/>
      <c r="Q143" s="41"/>
      <c r="R143" s="41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</row>
    <row r="144" spans="1:89" s="51" customFormat="1" ht="33" customHeight="1">
      <c r="A144" s="74"/>
      <c r="B144" s="74"/>
      <c r="C144" s="74"/>
      <c r="D144" s="74"/>
      <c r="E144" s="74"/>
      <c r="F144" s="74"/>
      <c r="G144" s="75"/>
      <c r="H144" s="76"/>
      <c r="I144" s="52"/>
      <c r="J144" s="52"/>
      <c r="K144" s="52"/>
      <c r="L144" s="41"/>
      <c r="M144" s="41"/>
      <c r="N144" s="41"/>
      <c r="O144" s="41"/>
      <c r="P144" s="41"/>
      <c r="Q144" s="41"/>
      <c r="R144" s="41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  <c r="BV144" s="41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</row>
    <row r="145" spans="1:89" s="51" customFormat="1" ht="33" customHeight="1">
      <c r="A145" s="74"/>
      <c r="B145" s="74"/>
      <c r="C145" s="74"/>
      <c r="D145" s="74"/>
      <c r="E145" s="74"/>
      <c r="F145" s="74"/>
      <c r="G145" s="75"/>
      <c r="H145" s="76"/>
      <c r="I145" s="52"/>
      <c r="J145" s="52"/>
      <c r="K145" s="52"/>
      <c r="L145" s="41"/>
      <c r="M145" s="41"/>
      <c r="N145" s="41"/>
      <c r="O145" s="41"/>
      <c r="P145" s="41"/>
      <c r="Q145" s="41"/>
      <c r="R145" s="41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</row>
    <row r="146" spans="1:89" s="51" customFormat="1" ht="33" customHeight="1">
      <c r="A146" s="74"/>
      <c r="B146" s="74"/>
      <c r="C146" s="74"/>
      <c r="D146" s="74"/>
      <c r="E146" s="74"/>
      <c r="F146" s="74"/>
      <c r="G146" s="75"/>
      <c r="H146" s="76"/>
      <c r="I146" s="52"/>
      <c r="J146" s="52"/>
      <c r="K146" s="52"/>
      <c r="L146" s="41"/>
      <c r="M146" s="41"/>
      <c r="N146" s="41"/>
      <c r="O146" s="41"/>
      <c r="P146" s="41"/>
      <c r="Q146" s="41"/>
      <c r="R146" s="41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</row>
    <row r="147" spans="1:89" s="51" customFormat="1" ht="33" customHeight="1">
      <c r="A147" s="74"/>
      <c r="B147" s="74"/>
      <c r="C147" s="74"/>
      <c r="D147" s="74"/>
      <c r="E147" s="74"/>
      <c r="F147" s="74"/>
      <c r="G147" s="75"/>
      <c r="H147" s="76"/>
      <c r="I147" s="52"/>
      <c r="J147" s="52"/>
      <c r="K147" s="52"/>
      <c r="L147" s="41"/>
      <c r="M147" s="41"/>
      <c r="N147" s="41"/>
      <c r="O147" s="41"/>
      <c r="P147" s="41"/>
      <c r="Q147" s="41"/>
      <c r="R147" s="41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  <c r="BK147" s="41"/>
      <c r="BL147" s="41"/>
      <c r="BM147" s="41"/>
      <c r="BN147" s="41"/>
      <c r="BO147" s="41"/>
      <c r="BP147" s="41"/>
      <c r="BQ147" s="41"/>
      <c r="BR147" s="41"/>
      <c r="BS147" s="41"/>
      <c r="BT147" s="41"/>
      <c r="BU147" s="41"/>
      <c r="BV147" s="41"/>
      <c r="BW147" s="41"/>
      <c r="BX147" s="41"/>
      <c r="BY147" s="41"/>
      <c r="BZ147" s="41"/>
      <c r="CA147" s="41"/>
      <c r="CB147" s="41"/>
      <c r="CC147" s="41"/>
      <c r="CD147" s="41"/>
      <c r="CE147" s="41"/>
      <c r="CF147" s="41"/>
      <c r="CG147" s="41"/>
      <c r="CH147" s="41"/>
      <c r="CI147" s="41"/>
      <c r="CJ147" s="41"/>
      <c r="CK147" s="41"/>
    </row>
    <row r="148" spans="1:89" s="51" customFormat="1" ht="33" customHeight="1">
      <c r="A148" s="74"/>
      <c r="B148" s="74"/>
      <c r="C148" s="74"/>
      <c r="D148" s="74"/>
      <c r="E148" s="74"/>
      <c r="F148" s="74"/>
      <c r="G148" s="75"/>
      <c r="H148" s="76"/>
      <c r="I148" s="52"/>
      <c r="J148" s="52"/>
      <c r="K148" s="52"/>
      <c r="L148" s="41"/>
      <c r="M148" s="41"/>
      <c r="N148" s="41"/>
      <c r="O148" s="41"/>
      <c r="P148" s="41"/>
      <c r="Q148" s="41"/>
      <c r="R148" s="41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</row>
    <row r="149" spans="1:89" s="51" customFormat="1" ht="33" customHeight="1">
      <c r="A149" s="74"/>
      <c r="B149" s="74"/>
      <c r="C149" s="74"/>
      <c r="D149" s="74"/>
      <c r="E149" s="74"/>
      <c r="F149" s="74"/>
      <c r="G149" s="75"/>
      <c r="H149" s="76"/>
      <c r="I149" s="52"/>
      <c r="J149" s="52"/>
      <c r="K149" s="52"/>
      <c r="L149" s="41"/>
      <c r="M149" s="41"/>
      <c r="N149" s="41"/>
      <c r="O149" s="41"/>
      <c r="P149" s="41"/>
      <c r="Q149" s="41"/>
      <c r="R149" s="41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  <c r="CC149" s="41"/>
      <c r="CD149" s="41"/>
      <c r="CE149" s="41"/>
      <c r="CF149" s="41"/>
      <c r="CG149" s="41"/>
      <c r="CH149" s="41"/>
      <c r="CI149" s="41"/>
      <c r="CJ149" s="41"/>
      <c r="CK149" s="41"/>
    </row>
    <row r="150" spans="1:89" s="51" customFormat="1" ht="33" customHeight="1">
      <c r="A150" s="74"/>
      <c r="B150" s="74"/>
      <c r="C150" s="74"/>
      <c r="D150" s="74"/>
      <c r="E150" s="74"/>
      <c r="F150" s="74"/>
      <c r="G150" s="75"/>
      <c r="H150" s="76"/>
      <c r="I150" s="52"/>
      <c r="J150" s="52"/>
      <c r="K150" s="52"/>
      <c r="L150" s="41"/>
      <c r="M150" s="41"/>
      <c r="N150" s="41"/>
      <c r="O150" s="41"/>
      <c r="P150" s="41"/>
      <c r="Q150" s="41"/>
      <c r="R150" s="41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  <c r="CC150" s="41"/>
      <c r="CD150" s="41"/>
      <c r="CE150" s="41"/>
      <c r="CF150" s="41"/>
      <c r="CG150" s="41"/>
      <c r="CH150" s="41"/>
      <c r="CI150" s="41"/>
      <c r="CJ150" s="41"/>
      <c r="CK150" s="41"/>
    </row>
    <row r="151" spans="1:89" s="51" customFormat="1" ht="33" customHeight="1">
      <c r="A151" s="74"/>
      <c r="B151" s="74"/>
      <c r="C151" s="74"/>
      <c r="D151" s="74"/>
      <c r="E151" s="74"/>
      <c r="F151" s="74"/>
      <c r="G151" s="75"/>
      <c r="H151" s="76"/>
      <c r="I151" s="52"/>
      <c r="J151" s="52"/>
      <c r="K151" s="52"/>
      <c r="L151" s="41"/>
      <c r="M151" s="41"/>
      <c r="N151" s="41"/>
      <c r="O151" s="41"/>
      <c r="P151" s="45"/>
      <c r="Q151" s="41"/>
      <c r="R151" s="46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1"/>
      <c r="AE151" s="41"/>
      <c r="AF151" s="41"/>
      <c r="AG151" s="48"/>
      <c r="AH151" s="41"/>
      <c r="AI151" s="41"/>
      <c r="AJ151" s="41"/>
      <c r="AK151" s="49"/>
      <c r="AL151" s="50"/>
      <c r="AM151" s="50"/>
      <c r="AN151" s="50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50"/>
      <c r="BM151" s="41"/>
      <c r="BN151" s="41"/>
      <c r="BO151" s="41"/>
      <c r="BP151" s="41"/>
      <c r="BQ151" s="41"/>
      <c r="BR151" s="41"/>
      <c r="BS151" s="41"/>
      <c r="BT151" s="41"/>
      <c r="BU151" s="41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</row>
    <row r="152" spans="1:89" s="51" customFormat="1" ht="33" customHeight="1">
      <c r="A152" s="74"/>
      <c r="B152" s="74"/>
      <c r="C152" s="74"/>
      <c r="D152" s="74"/>
      <c r="E152" s="74"/>
      <c r="F152" s="74"/>
      <c r="G152" s="75"/>
      <c r="H152" s="76"/>
      <c r="I152" s="52"/>
      <c r="J152" s="52"/>
      <c r="K152" s="52"/>
      <c r="L152" s="41"/>
      <c r="M152" s="41"/>
      <c r="N152" s="41"/>
      <c r="O152" s="41"/>
      <c r="P152" s="41"/>
      <c r="Q152" s="41"/>
      <c r="R152" s="41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</row>
    <row r="153" spans="1:89" s="51" customFormat="1" ht="33" customHeight="1">
      <c r="A153" s="74"/>
      <c r="B153" s="74"/>
      <c r="C153" s="74"/>
      <c r="D153" s="74"/>
      <c r="E153" s="74"/>
      <c r="F153" s="74"/>
      <c r="G153" s="75"/>
      <c r="H153" s="76"/>
      <c r="I153" s="52"/>
      <c r="J153" s="52"/>
      <c r="K153" s="52"/>
      <c r="L153" s="41"/>
      <c r="M153" s="41"/>
      <c r="N153" s="41"/>
      <c r="O153" s="41"/>
      <c r="P153" s="41"/>
      <c r="Q153" s="41"/>
      <c r="R153" s="41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G153" s="41"/>
      <c r="CH153" s="41"/>
      <c r="CI153" s="41"/>
      <c r="CJ153" s="41"/>
      <c r="CK153" s="41"/>
    </row>
    <row r="154" spans="1:89" s="51" customFormat="1" ht="33" customHeight="1">
      <c r="A154" s="74"/>
      <c r="B154" s="74"/>
      <c r="C154" s="74"/>
      <c r="D154" s="74"/>
      <c r="E154" s="74"/>
      <c r="F154" s="74"/>
      <c r="G154" s="75"/>
      <c r="H154" s="76"/>
      <c r="I154" s="52"/>
      <c r="J154" s="52"/>
      <c r="K154" s="52"/>
      <c r="L154" s="41"/>
      <c r="M154" s="41"/>
      <c r="N154" s="41"/>
      <c r="O154" s="41"/>
      <c r="P154" s="41"/>
      <c r="Q154" s="41"/>
      <c r="R154" s="41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G154" s="41"/>
      <c r="CH154" s="41"/>
      <c r="CI154" s="41"/>
      <c r="CJ154" s="41"/>
      <c r="CK154" s="41"/>
    </row>
    <row r="155" spans="1:89" s="51" customFormat="1" ht="33" customHeight="1">
      <c r="A155" s="74"/>
      <c r="B155" s="74"/>
      <c r="C155" s="74"/>
      <c r="D155" s="74"/>
      <c r="E155" s="74"/>
      <c r="F155" s="74"/>
      <c r="G155" s="75"/>
      <c r="H155" s="76"/>
      <c r="I155" s="52"/>
      <c r="J155" s="52"/>
      <c r="K155" s="52"/>
      <c r="L155" s="41"/>
      <c r="M155" s="41"/>
      <c r="N155" s="41"/>
      <c r="O155" s="41"/>
      <c r="P155" s="45"/>
      <c r="Q155" s="41"/>
      <c r="R155" s="46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1"/>
      <c r="AE155" s="41"/>
      <c r="AF155" s="41"/>
      <c r="AG155" s="48"/>
      <c r="AH155" s="41"/>
      <c r="AI155" s="41"/>
      <c r="AJ155" s="41"/>
      <c r="AK155" s="49"/>
      <c r="AL155" s="50"/>
      <c r="AM155" s="50"/>
      <c r="AN155" s="50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50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  <c r="CC155" s="41"/>
      <c r="CD155" s="41"/>
      <c r="CE155" s="41"/>
      <c r="CF155" s="41"/>
      <c r="CG155" s="41"/>
      <c r="CH155" s="41"/>
      <c r="CI155" s="41"/>
      <c r="CJ155" s="41"/>
      <c r="CK155" s="41"/>
    </row>
    <row r="156" spans="1:89" s="51" customFormat="1" ht="33" customHeight="1">
      <c r="A156" s="74"/>
      <c r="B156" s="74"/>
      <c r="C156" s="74"/>
      <c r="D156" s="74"/>
      <c r="E156" s="74"/>
      <c r="F156" s="74"/>
      <c r="G156" s="75"/>
      <c r="H156" s="76"/>
      <c r="I156" s="52"/>
      <c r="J156" s="52"/>
      <c r="K156" s="52"/>
      <c r="L156" s="41"/>
      <c r="M156" s="41"/>
      <c r="N156" s="41"/>
      <c r="O156" s="41"/>
      <c r="P156" s="45"/>
      <c r="Q156" s="41"/>
      <c r="R156" s="46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1"/>
      <c r="AE156" s="41"/>
      <c r="AF156" s="41"/>
      <c r="AG156" s="48"/>
      <c r="AH156" s="41"/>
      <c r="AI156" s="41"/>
      <c r="AJ156" s="41"/>
      <c r="AK156" s="49"/>
      <c r="AL156" s="50"/>
      <c r="AM156" s="50"/>
      <c r="AN156" s="50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50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  <c r="CD156" s="41"/>
      <c r="CE156" s="41"/>
      <c r="CF156" s="41"/>
      <c r="CG156" s="41"/>
      <c r="CH156" s="41"/>
      <c r="CI156" s="41"/>
      <c r="CJ156" s="41"/>
      <c r="CK156" s="41"/>
    </row>
    <row r="157" spans="1:89" s="51" customFormat="1" ht="33" customHeight="1">
      <c r="A157" s="74"/>
      <c r="B157" s="74"/>
      <c r="C157" s="74"/>
      <c r="D157" s="74"/>
      <c r="E157" s="74"/>
      <c r="F157" s="74"/>
      <c r="G157" s="75"/>
      <c r="H157" s="76"/>
      <c r="I157" s="52"/>
      <c r="J157" s="52"/>
      <c r="K157" s="52"/>
      <c r="L157" s="41"/>
      <c r="M157" s="41"/>
      <c r="N157" s="41"/>
      <c r="O157" s="41"/>
      <c r="P157" s="45"/>
      <c r="Q157" s="41"/>
      <c r="R157" s="46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1"/>
      <c r="AE157" s="41"/>
      <c r="AF157" s="41"/>
      <c r="AG157" s="48"/>
      <c r="AH157" s="41"/>
      <c r="AI157" s="41"/>
      <c r="AJ157" s="41"/>
      <c r="AK157" s="49"/>
      <c r="AL157" s="50"/>
      <c r="AM157" s="50"/>
      <c r="AN157" s="50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50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</row>
    <row r="158" spans="1:89" s="51" customFormat="1" ht="33" customHeight="1">
      <c r="A158" s="74"/>
      <c r="B158" s="74"/>
      <c r="C158" s="74"/>
      <c r="D158" s="74"/>
      <c r="E158" s="74"/>
      <c r="F158" s="74"/>
      <c r="G158" s="75"/>
      <c r="H158" s="76"/>
      <c r="I158" s="52"/>
      <c r="J158" s="52"/>
      <c r="K158" s="52"/>
      <c r="L158" s="41"/>
      <c r="M158" s="41"/>
      <c r="N158" s="41"/>
      <c r="O158" s="41"/>
      <c r="P158" s="41"/>
      <c r="Q158" s="41"/>
      <c r="R158" s="41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</row>
    <row r="159" spans="1:89" s="51" customFormat="1" ht="33" customHeight="1">
      <c r="A159" s="74"/>
      <c r="B159" s="74"/>
      <c r="C159" s="74"/>
      <c r="D159" s="74"/>
      <c r="E159" s="74"/>
      <c r="F159" s="74"/>
      <c r="G159" s="75"/>
      <c r="H159" s="76"/>
      <c r="I159" s="52"/>
      <c r="J159" s="52"/>
      <c r="K159" s="52"/>
      <c r="L159" s="41"/>
      <c r="M159" s="41"/>
      <c r="N159" s="41"/>
      <c r="O159" s="41"/>
      <c r="P159" s="41"/>
      <c r="Q159" s="41"/>
      <c r="R159" s="41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41"/>
      <c r="CI159" s="41"/>
      <c r="CJ159" s="41"/>
      <c r="CK159" s="41"/>
    </row>
    <row r="160" spans="1:89" s="51" customFormat="1" ht="33" customHeight="1">
      <c r="A160" s="74"/>
      <c r="B160" s="74"/>
      <c r="C160" s="74"/>
      <c r="D160" s="74"/>
      <c r="E160" s="74"/>
      <c r="F160" s="74"/>
      <c r="G160" s="75"/>
      <c r="H160" s="76"/>
      <c r="I160" s="52"/>
      <c r="J160" s="52"/>
      <c r="K160" s="52"/>
      <c r="L160" s="41"/>
      <c r="M160" s="41"/>
      <c r="N160" s="41"/>
      <c r="O160" s="41"/>
      <c r="P160" s="41"/>
      <c r="Q160" s="41"/>
      <c r="R160" s="41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</row>
    <row r="161" spans="1:89" s="51" customFormat="1" ht="33" customHeight="1">
      <c r="A161" s="74"/>
      <c r="B161" s="74"/>
      <c r="C161" s="74"/>
      <c r="D161" s="74"/>
      <c r="E161" s="74"/>
      <c r="F161" s="74"/>
      <c r="G161" s="75"/>
      <c r="H161" s="76"/>
      <c r="I161" s="52"/>
      <c r="J161" s="52"/>
      <c r="K161" s="52"/>
      <c r="L161" s="41"/>
      <c r="M161" s="41"/>
      <c r="N161" s="41"/>
      <c r="O161" s="41"/>
      <c r="P161" s="41"/>
      <c r="Q161" s="41"/>
      <c r="R161" s="41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  <c r="CC161" s="41"/>
      <c r="CD161" s="41"/>
      <c r="CE161" s="41"/>
      <c r="CF161" s="41"/>
      <c r="CG161" s="41"/>
      <c r="CH161" s="41"/>
      <c r="CI161" s="41"/>
      <c r="CJ161" s="41"/>
      <c r="CK161" s="41"/>
    </row>
    <row r="162" spans="1:89" s="51" customFormat="1" ht="33" customHeight="1">
      <c r="A162" s="74"/>
      <c r="B162" s="74"/>
      <c r="C162" s="74"/>
      <c r="D162" s="74"/>
      <c r="E162" s="74"/>
      <c r="F162" s="74"/>
      <c r="G162" s="75"/>
      <c r="H162" s="76"/>
      <c r="I162" s="52"/>
      <c r="J162" s="52"/>
      <c r="K162" s="52"/>
      <c r="L162" s="41"/>
      <c r="M162" s="41"/>
      <c r="N162" s="41"/>
      <c r="O162" s="41"/>
      <c r="P162" s="41"/>
      <c r="Q162" s="41"/>
      <c r="R162" s="41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  <c r="CC162" s="41"/>
      <c r="CD162" s="41"/>
      <c r="CE162" s="41"/>
      <c r="CF162" s="41"/>
      <c r="CG162" s="41"/>
      <c r="CH162" s="41"/>
      <c r="CI162" s="41"/>
      <c r="CJ162" s="41"/>
      <c r="CK162" s="41"/>
    </row>
    <row r="163" spans="1:89" s="51" customFormat="1" ht="33" customHeight="1">
      <c r="A163" s="74"/>
      <c r="B163" s="74"/>
      <c r="C163" s="74"/>
      <c r="D163" s="74"/>
      <c r="E163" s="74"/>
      <c r="F163" s="74"/>
      <c r="G163" s="75"/>
      <c r="H163" s="76"/>
      <c r="I163" s="52"/>
      <c r="J163" s="52"/>
      <c r="K163" s="52"/>
      <c r="L163" s="41"/>
      <c r="M163" s="41"/>
      <c r="N163" s="41"/>
      <c r="O163" s="41"/>
      <c r="P163" s="41"/>
      <c r="Q163" s="41"/>
      <c r="R163" s="41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  <c r="BV163" s="41"/>
      <c r="BW163" s="41"/>
      <c r="BX163" s="41"/>
      <c r="BY163" s="41"/>
      <c r="BZ163" s="41"/>
      <c r="CA163" s="41"/>
      <c r="CB163" s="41"/>
      <c r="CC163" s="41"/>
      <c r="CD163" s="41"/>
      <c r="CE163" s="41"/>
      <c r="CF163" s="41"/>
      <c r="CG163" s="41"/>
      <c r="CH163" s="41"/>
      <c r="CI163" s="41"/>
      <c r="CJ163" s="41"/>
      <c r="CK163" s="41"/>
    </row>
    <row r="164" spans="1:89" s="51" customFormat="1" ht="33" customHeight="1">
      <c r="A164" s="74"/>
      <c r="B164" s="74"/>
      <c r="C164" s="74"/>
      <c r="D164" s="74"/>
      <c r="E164" s="74"/>
      <c r="F164" s="74"/>
      <c r="G164" s="75"/>
      <c r="H164" s="76"/>
      <c r="I164" s="52"/>
      <c r="J164" s="52"/>
      <c r="K164" s="52"/>
      <c r="L164" s="41"/>
      <c r="M164" s="41"/>
      <c r="N164" s="41"/>
      <c r="O164" s="41"/>
      <c r="P164" s="41"/>
      <c r="Q164" s="41"/>
      <c r="R164" s="41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/>
    </row>
    <row r="165" spans="1:89" s="51" customFormat="1" ht="33" customHeight="1">
      <c r="A165" s="74"/>
      <c r="B165" s="74"/>
      <c r="C165" s="74"/>
      <c r="D165" s="74"/>
      <c r="E165" s="74"/>
      <c r="F165" s="74"/>
      <c r="G165" s="75"/>
      <c r="H165" s="76"/>
      <c r="I165" s="52"/>
      <c r="J165" s="52"/>
      <c r="K165" s="52"/>
      <c r="L165" s="41"/>
      <c r="M165" s="41"/>
      <c r="N165" s="41"/>
      <c r="O165" s="41"/>
      <c r="P165" s="41"/>
      <c r="Q165" s="41"/>
      <c r="R165" s="41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1"/>
      <c r="CK165" s="41"/>
    </row>
    <row r="166" spans="1:89" s="51" customFormat="1" ht="33" customHeight="1">
      <c r="A166" s="74"/>
      <c r="B166" s="74"/>
      <c r="C166" s="74"/>
      <c r="D166" s="74"/>
      <c r="E166" s="74"/>
      <c r="F166" s="74"/>
      <c r="G166" s="75"/>
      <c r="H166" s="76"/>
      <c r="I166" s="52"/>
      <c r="J166" s="52"/>
      <c r="K166" s="52"/>
      <c r="L166" s="41"/>
      <c r="M166" s="41"/>
      <c r="N166" s="41"/>
      <c r="O166" s="41"/>
      <c r="P166" s="41"/>
      <c r="Q166" s="41"/>
      <c r="R166" s="41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  <c r="BV166" s="41"/>
      <c r="BW166" s="41"/>
      <c r="BX166" s="41"/>
      <c r="BY166" s="41"/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1"/>
      <c r="CK166" s="41"/>
    </row>
    <row r="167" spans="1:89" s="51" customFormat="1" ht="33" customHeight="1">
      <c r="A167" s="74"/>
      <c r="B167" s="74"/>
      <c r="C167" s="74"/>
      <c r="D167" s="74"/>
      <c r="E167" s="74"/>
      <c r="F167" s="74"/>
      <c r="G167" s="75"/>
      <c r="H167" s="76"/>
      <c r="I167" s="52"/>
      <c r="J167" s="52"/>
      <c r="K167" s="52"/>
      <c r="L167" s="41"/>
      <c r="M167" s="41"/>
      <c r="N167" s="41"/>
      <c r="O167" s="41"/>
      <c r="P167" s="41"/>
      <c r="Q167" s="41"/>
      <c r="R167" s="41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</row>
    <row r="168" spans="1:89" s="51" customFormat="1" ht="33" customHeight="1">
      <c r="A168" s="74"/>
      <c r="B168" s="74"/>
      <c r="C168" s="74"/>
      <c r="D168" s="74"/>
      <c r="E168" s="74"/>
      <c r="F168" s="74"/>
      <c r="G168" s="75"/>
      <c r="H168" s="76"/>
      <c r="I168" s="52"/>
      <c r="J168" s="52"/>
      <c r="K168" s="52"/>
      <c r="L168" s="41"/>
      <c r="M168" s="41"/>
      <c r="N168" s="41"/>
      <c r="O168" s="41"/>
      <c r="P168" s="41"/>
      <c r="Q168" s="41"/>
      <c r="R168" s="41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</row>
    <row r="169" spans="1:89" s="51" customFormat="1" ht="33" customHeight="1">
      <c r="A169" s="74"/>
      <c r="B169" s="74"/>
      <c r="C169" s="74"/>
      <c r="D169" s="74"/>
      <c r="E169" s="74"/>
      <c r="F169" s="74"/>
      <c r="G169" s="75"/>
      <c r="H169" s="76"/>
      <c r="I169" s="52"/>
      <c r="J169" s="52"/>
      <c r="K169" s="52"/>
      <c r="L169" s="41"/>
      <c r="M169" s="41"/>
      <c r="N169" s="41"/>
      <c r="O169" s="41"/>
      <c r="P169" s="41"/>
      <c r="Q169" s="41"/>
      <c r="R169" s="41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  <c r="CC169" s="41"/>
      <c r="CD169" s="41"/>
      <c r="CE169" s="41"/>
      <c r="CF169" s="41"/>
      <c r="CG169" s="41"/>
      <c r="CH169" s="41"/>
      <c r="CI169" s="41"/>
      <c r="CJ169" s="41"/>
      <c r="CK169" s="41"/>
    </row>
    <row r="170" spans="1:89" s="51" customFormat="1" ht="33" customHeight="1">
      <c r="A170" s="74"/>
      <c r="B170" s="74"/>
      <c r="C170" s="74"/>
      <c r="D170" s="74"/>
      <c r="E170" s="74"/>
      <c r="F170" s="74"/>
      <c r="G170" s="75"/>
      <c r="H170" s="76"/>
      <c r="I170" s="52"/>
      <c r="J170" s="52"/>
      <c r="K170" s="52"/>
      <c r="L170" s="41"/>
      <c r="M170" s="41"/>
      <c r="N170" s="41"/>
      <c r="O170" s="41"/>
      <c r="P170" s="41"/>
      <c r="Q170" s="41"/>
      <c r="R170" s="41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  <c r="CD170" s="41"/>
      <c r="CE170" s="41"/>
      <c r="CF170" s="41"/>
      <c r="CG170" s="41"/>
      <c r="CH170" s="41"/>
      <c r="CI170" s="41"/>
      <c r="CJ170" s="41"/>
      <c r="CK170" s="41"/>
    </row>
    <row r="171" spans="1:89" s="51" customFormat="1" ht="33" customHeight="1">
      <c r="A171" s="74"/>
      <c r="B171" s="74"/>
      <c r="C171" s="74"/>
      <c r="D171" s="74"/>
      <c r="E171" s="74"/>
      <c r="F171" s="74"/>
      <c r="G171" s="75"/>
      <c r="H171" s="76"/>
      <c r="I171" s="52"/>
      <c r="J171" s="52"/>
      <c r="K171" s="52"/>
      <c r="L171" s="41"/>
      <c r="M171" s="41"/>
      <c r="N171" s="41"/>
      <c r="O171" s="41"/>
      <c r="P171" s="41"/>
      <c r="Q171" s="41"/>
      <c r="R171" s="41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  <c r="CF171" s="41"/>
      <c r="CG171" s="41"/>
      <c r="CH171" s="41"/>
      <c r="CI171" s="41"/>
      <c r="CJ171" s="41"/>
      <c r="CK171" s="41"/>
    </row>
    <row r="172" spans="1:89" s="51" customFormat="1" ht="33" customHeight="1">
      <c r="A172" s="74"/>
      <c r="B172" s="74"/>
      <c r="C172" s="74"/>
      <c r="D172" s="74"/>
      <c r="E172" s="74"/>
      <c r="F172" s="74"/>
      <c r="G172" s="75"/>
      <c r="H172" s="76"/>
      <c r="I172" s="52"/>
      <c r="J172" s="52"/>
      <c r="K172" s="52"/>
      <c r="L172" s="41"/>
      <c r="M172" s="41"/>
      <c r="N172" s="41"/>
      <c r="O172" s="41"/>
      <c r="P172" s="41"/>
      <c r="Q172" s="41"/>
      <c r="R172" s="41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  <c r="CD172" s="41"/>
      <c r="CE172" s="41"/>
      <c r="CF172" s="41"/>
      <c r="CG172" s="41"/>
      <c r="CH172" s="41"/>
      <c r="CI172" s="41"/>
      <c r="CJ172" s="41"/>
      <c r="CK172" s="41"/>
    </row>
    <row r="173" spans="1:89" s="51" customFormat="1" ht="33" customHeight="1">
      <c r="A173" s="74"/>
      <c r="B173" s="74"/>
      <c r="C173" s="74"/>
      <c r="D173" s="74"/>
      <c r="E173" s="74"/>
      <c r="F173" s="74"/>
      <c r="G173" s="75"/>
      <c r="H173" s="76"/>
      <c r="I173" s="52"/>
      <c r="J173" s="52"/>
      <c r="K173" s="52"/>
      <c r="L173" s="41"/>
      <c r="M173" s="41"/>
      <c r="N173" s="41"/>
      <c r="O173" s="41"/>
      <c r="P173" s="41"/>
      <c r="Q173" s="41"/>
      <c r="R173" s="41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  <c r="CC173" s="41"/>
      <c r="CD173" s="41"/>
      <c r="CE173" s="41"/>
      <c r="CF173" s="41"/>
      <c r="CG173" s="41"/>
      <c r="CH173" s="41"/>
      <c r="CI173" s="41"/>
      <c r="CJ173" s="41"/>
      <c r="CK173" s="41"/>
    </row>
    <row r="174" spans="1:89" s="51" customFormat="1" ht="33" customHeight="1">
      <c r="A174" s="74"/>
      <c r="B174" s="74"/>
      <c r="C174" s="74"/>
      <c r="D174" s="74"/>
      <c r="E174" s="74"/>
      <c r="F174" s="74"/>
      <c r="G174" s="75"/>
      <c r="H174" s="76"/>
      <c r="I174" s="52"/>
      <c r="J174" s="52"/>
      <c r="K174" s="52"/>
      <c r="L174" s="41"/>
      <c r="M174" s="41"/>
      <c r="N174" s="41"/>
      <c r="O174" s="41"/>
      <c r="P174" s="41"/>
      <c r="Q174" s="41"/>
      <c r="R174" s="41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  <c r="CC174" s="41"/>
      <c r="CD174" s="41"/>
      <c r="CE174" s="41"/>
      <c r="CF174" s="41"/>
      <c r="CG174" s="41"/>
      <c r="CH174" s="41"/>
      <c r="CI174" s="41"/>
      <c r="CJ174" s="41"/>
      <c r="CK174" s="41"/>
    </row>
    <row r="175" spans="1:89" s="51" customFormat="1" ht="33" customHeight="1">
      <c r="A175" s="74"/>
      <c r="B175" s="74"/>
      <c r="C175" s="74"/>
      <c r="D175" s="74"/>
      <c r="E175" s="74"/>
      <c r="F175" s="74"/>
      <c r="G175" s="75"/>
      <c r="H175" s="76"/>
      <c r="I175" s="52"/>
      <c r="J175" s="52"/>
      <c r="K175" s="52"/>
      <c r="L175" s="41"/>
      <c r="M175" s="41"/>
      <c r="N175" s="41"/>
      <c r="O175" s="41"/>
      <c r="P175" s="41"/>
      <c r="Q175" s="41"/>
      <c r="R175" s="41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41"/>
      <c r="CF175" s="41"/>
      <c r="CG175" s="41"/>
      <c r="CH175" s="41"/>
      <c r="CI175" s="41"/>
      <c r="CJ175" s="41"/>
      <c r="CK175" s="41"/>
    </row>
    <row r="176" spans="1:89" s="51" customFormat="1" ht="33" customHeight="1">
      <c r="A176" s="74"/>
      <c r="B176" s="74"/>
      <c r="C176" s="74"/>
      <c r="D176" s="74"/>
      <c r="E176" s="74"/>
      <c r="F176" s="74"/>
      <c r="G176" s="75"/>
      <c r="H176" s="76"/>
      <c r="I176" s="52"/>
      <c r="J176" s="52"/>
      <c r="K176" s="52"/>
      <c r="L176" s="41"/>
      <c r="M176" s="41"/>
      <c r="N176" s="41"/>
      <c r="O176" s="41"/>
      <c r="P176" s="41"/>
      <c r="Q176" s="41"/>
      <c r="R176" s="41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41"/>
      <c r="CI176" s="41"/>
      <c r="CJ176" s="41"/>
      <c r="CK176" s="41"/>
    </row>
    <row r="177" spans="1:89" s="51" customFormat="1" ht="33" customHeight="1">
      <c r="A177" s="74"/>
      <c r="B177" s="74"/>
      <c r="C177" s="74"/>
      <c r="D177" s="74"/>
      <c r="E177" s="74"/>
      <c r="F177" s="74"/>
      <c r="G177" s="75"/>
      <c r="H177" s="76"/>
      <c r="I177" s="52"/>
      <c r="J177" s="52"/>
      <c r="K177" s="52"/>
      <c r="L177" s="41"/>
      <c r="M177" s="41"/>
      <c r="N177" s="41"/>
      <c r="O177" s="41"/>
      <c r="P177" s="41"/>
      <c r="Q177" s="41"/>
      <c r="R177" s="41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G177" s="41"/>
      <c r="CH177" s="41"/>
      <c r="CI177" s="41"/>
      <c r="CJ177" s="41"/>
      <c r="CK177" s="41"/>
    </row>
    <row r="178" spans="1:89" s="51" customFormat="1" ht="33" customHeight="1">
      <c r="A178" s="74"/>
      <c r="B178" s="74"/>
      <c r="C178" s="74"/>
      <c r="D178" s="74"/>
      <c r="E178" s="74"/>
      <c r="F178" s="74"/>
      <c r="G178" s="75"/>
      <c r="H178" s="76"/>
      <c r="I178" s="52"/>
      <c r="J178" s="52"/>
      <c r="K178" s="52"/>
      <c r="L178" s="41"/>
      <c r="M178" s="41"/>
      <c r="N178" s="41"/>
      <c r="O178" s="41"/>
      <c r="P178" s="41"/>
      <c r="Q178" s="41"/>
      <c r="R178" s="41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  <c r="BV178" s="41"/>
      <c r="BW178" s="41"/>
      <c r="BX178" s="41"/>
      <c r="BY178" s="41"/>
      <c r="BZ178" s="41"/>
      <c r="CA178" s="41"/>
      <c r="CB178" s="41"/>
      <c r="CC178" s="41"/>
      <c r="CD178" s="41"/>
      <c r="CE178" s="41"/>
      <c r="CF178" s="41"/>
      <c r="CG178" s="41"/>
      <c r="CH178" s="41"/>
      <c r="CI178" s="41"/>
      <c r="CJ178" s="41"/>
      <c r="CK178" s="41"/>
    </row>
    <row r="179" spans="1:89" s="51" customFormat="1" ht="33" customHeight="1">
      <c r="A179" s="74"/>
      <c r="B179" s="74"/>
      <c r="C179" s="74"/>
      <c r="D179" s="74"/>
      <c r="E179" s="74"/>
      <c r="F179" s="74"/>
      <c r="G179" s="75"/>
      <c r="H179" s="76"/>
      <c r="I179" s="52"/>
      <c r="J179" s="52"/>
      <c r="K179" s="52"/>
      <c r="L179" s="41"/>
      <c r="M179" s="41"/>
      <c r="N179" s="41"/>
      <c r="O179" s="41"/>
      <c r="P179" s="41"/>
      <c r="Q179" s="41"/>
      <c r="R179" s="41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  <c r="CC179" s="41"/>
      <c r="CD179" s="41"/>
      <c r="CE179" s="41"/>
      <c r="CF179" s="41"/>
      <c r="CG179" s="41"/>
      <c r="CH179" s="41"/>
      <c r="CI179" s="41"/>
      <c r="CJ179" s="41"/>
      <c r="CK179" s="41"/>
    </row>
    <row r="180" spans="1:89" s="51" customFormat="1" ht="33" customHeight="1">
      <c r="A180" s="74"/>
      <c r="B180" s="74"/>
      <c r="C180" s="74"/>
      <c r="D180" s="74"/>
      <c r="E180" s="74"/>
      <c r="F180" s="74"/>
      <c r="G180" s="75"/>
      <c r="H180" s="76"/>
      <c r="I180" s="52"/>
      <c r="J180" s="52"/>
      <c r="K180" s="52"/>
      <c r="L180" s="41"/>
      <c r="M180" s="41"/>
      <c r="N180" s="41"/>
      <c r="O180" s="41"/>
      <c r="P180" s="41"/>
      <c r="Q180" s="41"/>
      <c r="R180" s="41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1"/>
      <c r="CK180" s="41"/>
    </row>
    <row r="181" spans="1:89" s="51" customFormat="1" ht="33" customHeight="1">
      <c r="A181" s="74"/>
      <c r="B181" s="74"/>
      <c r="C181" s="74"/>
      <c r="D181" s="74"/>
      <c r="E181" s="74"/>
      <c r="F181" s="74"/>
      <c r="G181" s="75"/>
      <c r="H181" s="76"/>
      <c r="I181" s="52"/>
      <c r="J181" s="52"/>
      <c r="K181" s="52"/>
      <c r="L181" s="41"/>
      <c r="M181" s="41"/>
      <c r="N181" s="41"/>
      <c r="O181" s="41"/>
      <c r="P181" s="41"/>
      <c r="Q181" s="41"/>
      <c r="R181" s="41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</row>
    <row r="182" spans="1:89" s="51" customFormat="1" ht="33" customHeight="1">
      <c r="A182" s="74"/>
      <c r="B182" s="74"/>
      <c r="C182" s="74"/>
      <c r="D182" s="74"/>
      <c r="E182" s="74"/>
      <c r="F182" s="74"/>
      <c r="G182" s="75"/>
      <c r="H182" s="76"/>
      <c r="I182" s="52"/>
      <c r="J182" s="52"/>
      <c r="K182" s="52"/>
      <c r="L182" s="41"/>
      <c r="M182" s="41"/>
      <c r="N182" s="41"/>
      <c r="O182" s="41"/>
      <c r="P182" s="41"/>
      <c r="Q182" s="41"/>
      <c r="R182" s="41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</row>
    <row r="183" spans="1:89" s="51" customFormat="1" ht="33" customHeight="1">
      <c r="A183" s="74"/>
      <c r="B183" s="74"/>
      <c r="C183" s="74"/>
      <c r="D183" s="74"/>
      <c r="E183" s="74"/>
      <c r="F183" s="74"/>
      <c r="G183" s="75"/>
      <c r="H183" s="76"/>
      <c r="I183" s="52"/>
      <c r="J183" s="52"/>
      <c r="K183" s="52"/>
      <c r="L183" s="41"/>
      <c r="M183" s="41"/>
      <c r="N183" s="41"/>
      <c r="O183" s="41"/>
      <c r="P183" s="41"/>
      <c r="Q183" s="41"/>
      <c r="R183" s="41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</row>
    <row r="184" spans="1:89" s="51" customFormat="1" ht="33" customHeight="1">
      <c r="A184" s="74"/>
      <c r="B184" s="74"/>
      <c r="C184" s="74"/>
      <c r="D184" s="74"/>
      <c r="E184" s="74"/>
      <c r="F184" s="74"/>
      <c r="G184" s="75"/>
      <c r="H184" s="76"/>
      <c r="I184" s="52"/>
      <c r="J184" s="52"/>
      <c r="K184" s="52"/>
      <c r="L184" s="41"/>
      <c r="M184" s="41"/>
      <c r="N184" s="41"/>
      <c r="O184" s="41"/>
      <c r="P184" s="41"/>
      <c r="Q184" s="41"/>
      <c r="R184" s="41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  <c r="BZ184" s="41"/>
      <c r="CA184" s="41"/>
      <c r="CB184" s="41"/>
      <c r="CC184" s="41"/>
      <c r="CD184" s="41"/>
      <c r="CE184" s="41"/>
      <c r="CF184" s="41"/>
      <c r="CG184" s="41"/>
      <c r="CH184" s="41"/>
      <c r="CI184" s="41"/>
      <c r="CJ184" s="41"/>
      <c r="CK184" s="41"/>
    </row>
    <row r="185" spans="1:89" s="51" customFormat="1" ht="33" customHeight="1">
      <c r="A185" s="74"/>
      <c r="B185" s="74"/>
      <c r="C185" s="74"/>
      <c r="D185" s="74"/>
      <c r="E185" s="74"/>
      <c r="F185" s="74"/>
      <c r="G185" s="75"/>
      <c r="H185" s="76"/>
      <c r="I185" s="52"/>
      <c r="J185" s="52"/>
      <c r="K185" s="52"/>
      <c r="L185" s="41"/>
      <c r="M185" s="41"/>
      <c r="N185" s="41"/>
      <c r="O185" s="41"/>
      <c r="P185" s="41"/>
      <c r="Q185" s="41"/>
      <c r="R185" s="41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  <c r="CC185" s="41"/>
      <c r="CD185" s="41"/>
      <c r="CE185" s="41"/>
      <c r="CF185" s="41"/>
      <c r="CG185" s="41"/>
      <c r="CH185" s="41"/>
      <c r="CI185" s="41"/>
      <c r="CJ185" s="41"/>
      <c r="CK185" s="41"/>
    </row>
    <row r="186" spans="1:89" s="51" customFormat="1" ht="33" customHeight="1">
      <c r="A186" s="74"/>
      <c r="B186" s="74"/>
      <c r="C186" s="74"/>
      <c r="D186" s="74"/>
      <c r="E186" s="74"/>
      <c r="F186" s="74"/>
      <c r="G186" s="75"/>
      <c r="H186" s="76"/>
      <c r="I186" s="52"/>
      <c r="J186" s="52"/>
      <c r="K186" s="52"/>
      <c r="L186" s="41"/>
      <c r="M186" s="41"/>
      <c r="N186" s="41"/>
      <c r="O186" s="41"/>
      <c r="P186" s="41"/>
      <c r="Q186" s="41"/>
      <c r="R186" s="41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</row>
    <row r="187" spans="1:89" s="51" customFormat="1" ht="33" customHeight="1">
      <c r="A187" s="74"/>
      <c r="B187" s="74"/>
      <c r="C187" s="74"/>
      <c r="D187" s="74"/>
      <c r="E187" s="74"/>
      <c r="F187" s="74"/>
      <c r="G187" s="75"/>
      <c r="H187" s="76"/>
      <c r="I187" s="52"/>
      <c r="J187" s="52"/>
      <c r="K187" s="52"/>
      <c r="L187" s="41"/>
      <c r="M187" s="41"/>
      <c r="N187" s="41"/>
      <c r="O187" s="41"/>
      <c r="P187" s="41"/>
      <c r="Q187" s="41"/>
      <c r="R187" s="41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</row>
    <row r="188" spans="1:89" s="51" customFormat="1" ht="33" customHeight="1">
      <c r="A188" s="74"/>
      <c r="B188" s="74"/>
      <c r="C188" s="74"/>
      <c r="D188" s="74"/>
      <c r="E188" s="74"/>
      <c r="F188" s="74"/>
      <c r="G188" s="75"/>
      <c r="H188" s="76"/>
      <c r="I188" s="52"/>
      <c r="J188" s="52"/>
      <c r="K188" s="52"/>
      <c r="L188" s="41"/>
      <c r="M188" s="41"/>
      <c r="N188" s="41"/>
      <c r="O188" s="41"/>
      <c r="P188" s="41"/>
      <c r="Q188" s="41"/>
      <c r="R188" s="41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1"/>
      <c r="CA188" s="41"/>
      <c r="CB188" s="41"/>
      <c r="CC188" s="41"/>
      <c r="CD188" s="41"/>
      <c r="CE188" s="41"/>
      <c r="CF188" s="41"/>
      <c r="CG188" s="41"/>
      <c r="CH188" s="41"/>
      <c r="CI188" s="41"/>
      <c r="CJ188" s="41"/>
      <c r="CK188" s="41"/>
    </row>
    <row r="189" spans="1:89" s="51" customFormat="1" ht="33" customHeight="1">
      <c r="A189" s="74"/>
      <c r="B189" s="74"/>
      <c r="C189" s="74"/>
      <c r="D189" s="74"/>
      <c r="E189" s="74"/>
      <c r="F189" s="74"/>
      <c r="G189" s="75"/>
      <c r="H189" s="76"/>
      <c r="I189" s="52"/>
      <c r="J189" s="52"/>
      <c r="K189" s="52"/>
      <c r="L189" s="41"/>
      <c r="M189" s="41"/>
      <c r="N189" s="41"/>
      <c r="O189" s="41"/>
      <c r="P189" s="41"/>
      <c r="Q189" s="41"/>
      <c r="R189" s="41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  <c r="CD189" s="41"/>
      <c r="CE189" s="41"/>
      <c r="CF189" s="41"/>
      <c r="CG189" s="41"/>
      <c r="CH189" s="41"/>
      <c r="CI189" s="41"/>
      <c r="CJ189" s="41"/>
      <c r="CK189" s="41"/>
    </row>
    <row r="190" spans="1:89" s="51" customFormat="1" ht="33" customHeight="1">
      <c r="A190" s="74"/>
      <c r="B190" s="74"/>
      <c r="C190" s="74"/>
      <c r="D190" s="74"/>
      <c r="E190" s="74"/>
      <c r="F190" s="74"/>
      <c r="G190" s="75"/>
      <c r="H190" s="76"/>
      <c r="I190" s="52"/>
      <c r="J190" s="52"/>
      <c r="K190" s="52"/>
      <c r="L190" s="41"/>
      <c r="M190" s="41"/>
      <c r="N190" s="41"/>
      <c r="O190" s="41"/>
      <c r="P190" s="41"/>
      <c r="Q190" s="41"/>
      <c r="R190" s="41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</row>
    <row r="191" spans="1:89" s="51" customFormat="1" ht="33" customHeight="1">
      <c r="A191" s="74"/>
      <c r="B191" s="74"/>
      <c r="C191" s="74"/>
      <c r="D191" s="74"/>
      <c r="E191" s="74"/>
      <c r="F191" s="74"/>
      <c r="G191" s="75"/>
      <c r="H191" s="76"/>
      <c r="I191" s="52"/>
      <c r="J191" s="52"/>
      <c r="K191" s="52"/>
      <c r="L191" s="41"/>
      <c r="M191" s="41"/>
      <c r="N191" s="41"/>
      <c r="O191" s="41"/>
      <c r="P191" s="41"/>
      <c r="Q191" s="41"/>
      <c r="R191" s="41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</row>
    <row r="192" spans="1:89" s="51" customFormat="1" ht="33" customHeight="1">
      <c r="A192" s="74"/>
      <c r="B192" s="74"/>
      <c r="C192" s="74"/>
      <c r="D192" s="74"/>
      <c r="E192" s="74"/>
      <c r="F192" s="74"/>
      <c r="G192" s="75"/>
      <c r="H192" s="76"/>
      <c r="I192" s="52"/>
      <c r="J192" s="52"/>
      <c r="K192" s="52"/>
      <c r="L192" s="41"/>
      <c r="M192" s="41"/>
      <c r="N192" s="41"/>
      <c r="O192" s="41"/>
      <c r="P192" s="41"/>
      <c r="Q192" s="41"/>
      <c r="R192" s="41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</row>
    <row r="193" spans="1:89" s="51" customFormat="1" ht="33" customHeight="1">
      <c r="A193" s="74"/>
      <c r="B193" s="74"/>
      <c r="C193" s="74"/>
      <c r="D193" s="74"/>
      <c r="E193" s="74"/>
      <c r="F193" s="74"/>
      <c r="G193" s="75"/>
      <c r="H193" s="76"/>
      <c r="I193" s="52"/>
      <c r="J193" s="52"/>
      <c r="K193" s="52"/>
      <c r="L193" s="41"/>
      <c r="M193" s="41"/>
      <c r="N193" s="41"/>
      <c r="O193" s="41"/>
      <c r="P193" s="41"/>
      <c r="Q193" s="41"/>
      <c r="R193" s="41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</row>
    <row r="194" spans="1:89" s="51" customFormat="1" ht="33" customHeight="1">
      <c r="A194" s="74"/>
      <c r="B194" s="74"/>
      <c r="C194" s="74"/>
      <c r="D194" s="74"/>
      <c r="E194" s="74"/>
      <c r="F194" s="74"/>
      <c r="G194" s="75"/>
      <c r="H194" s="76"/>
      <c r="I194" s="52"/>
      <c r="J194" s="52"/>
      <c r="K194" s="52"/>
      <c r="L194" s="41"/>
      <c r="M194" s="41"/>
      <c r="N194" s="41"/>
      <c r="O194" s="41"/>
      <c r="P194" s="41"/>
      <c r="Q194" s="41"/>
      <c r="R194" s="41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</row>
    <row r="195" spans="1:89" s="51" customFormat="1" ht="33" customHeight="1">
      <c r="A195" s="74"/>
      <c r="B195" s="74"/>
      <c r="C195" s="74"/>
      <c r="D195" s="74"/>
      <c r="E195" s="74"/>
      <c r="F195" s="74"/>
      <c r="G195" s="75"/>
      <c r="H195" s="76"/>
      <c r="I195" s="52"/>
      <c r="J195" s="52"/>
      <c r="K195" s="52"/>
      <c r="L195" s="41"/>
      <c r="M195" s="41"/>
      <c r="N195" s="41"/>
      <c r="O195" s="41"/>
      <c r="P195" s="41"/>
      <c r="Q195" s="41"/>
      <c r="R195" s="41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</row>
    <row r="196" spans="1:89" s="51" customFormat="1" ht="33" customHeight="1">
      <c r="A196" s="74"/>
      <c r="B196" s="74"/>
      <c r="C196" s="74"/>
      <c r="D196" s="74"/>
      <c r="E196" s="74"/>
      <c r="F196" s="74"/>
      <c r="G196" s="75"/>
      <c r="H196" s="76"/>
      <c r="I196" s="52"/>
      <c r="J196" s="52"/>
      <c r="K196" s="52"/>
      <c r="L196" s="41"/>
      <c r="M196" s="41"/>
      <c r="N196" s="41"/>
      <c r="O196" s="41"/>
      <c r="P196" s="41"/>
      <c r="Q196" s="41"/>
      <c r="R196" s="41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</row>
    <row r="197" spans="1:89" s="51" customFormat="1" ht="33" customHeight="1">
      <c r="A197" s="74"/>
      <c r="B197" s="74"/>
      <c r="C197" s="74"/>
      <c r="D197" s="74"/>
      <c r="E197" s="74"/>
      <c r="F197" s="74"/>
      <c r="G197" s="75"/>
      <c r="H197" s="76"/>
      <c r="I197" s="52"/>
      <c r="J197" s="52"/>
      <c r="K197" s="52"/>
      <c r="L197" s="41"/>
      <c r="M197" s="41"/>
      <c r="N197" s="41"/>
      <c r="O197" s="41"/>
      <c r="P197" s="41"/>
      <c r="Q197" s="41"/>
      <c r="R197" s="41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</row>
    <row r="198" spans="1:89" s="51" customFormat="1" ht="33" customHeight="1">
      <c r="A198" s="74"/>
      <c r="B198" s="74"/>
      <c r="C198" s="74"/>
      <c r="D198" s="74"/>
      <c r="E198" s="74"/>
      <c r="F198" s="74"/>
      <c r="G198" s="75"/>
      <c r="H198" s="76"/>
      <c r="I198" s="52"/>
      <c r="J198" s="52"/>
      <c r="K198" s="52"/>
      <c r="L198" s="41"/>
      <c r="M198" s="41"/>
      <c r="N198" s="41"/>
      <c r="O198" s="41"/>
      <c r="P198" s="41"/>
      <c r="Q198" s="41"/>
      <c r="R198" s="41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</row>
    <row r="199" spans="1:89" s="51" customFormat="1" ht="33" customHeight="1">
      <c r="A199" s="74"/>
      <c r="B199" s="74"/>
      <c r="C199" s="74"/>
      <c r="D199" s="74"/>
      <c r="E199" s="74"/>
      <c r="F199" s="74"/>
      <c r="G199" s="75"/>
      <c r="H199" s="76"/>
      <c r="I199" s="52"/>
      <c r="J199" s="52"/>
      <c r="K199" s="52"/>
      <c r="L199" s="41"/>
      <c r="M199" s="41"/>
      <c r="N199" s="41"/>
      <c r="O199" s="41"/>
      <c r="P199" s="41"/>
      <c r="Q199" s="41"/>
      <c r="R199" s="41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</row>
    <row r="200" spans="1:89" s="51" customFormat="1" ht="33" customHeight="1">
      <c r="A200" s="74"/>
      <c r="B200" s="74"/>
      <c r="C200" s="74"/>
      <c r="D200" s="74"/>
      <c r="E200" s="74"/>
      <c r="F200" s="74"/>
      <c r="G200" s="75"/>
      <c r="H200" s="76"/>
      <c r="I200" s="52"/>
      <c r="J200" s="52"/>
      <c r="K200" s="52"/>
      <c r="L200" s="41"/>
      <c r="M200" s="41"/>
      <c r="N200" s="41"/>
      <c r="O200" s="41"/>
      <c r="P200" s="41"/>
      <c r="Q200" s="41"/>
      <c r="R200" s="41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41"/>
      <c r="CF200" s="41"/>
      <c r="CG200" s="41"/>
      <c r="CH200" s="41"/>
      <c r="CI200" s="41"/>
      <c r="CJ200" s="41"/>
      <c r="CK200" s="41"/>
    </row>
    <row r="201" spans="1:89" s="51" customFormat="1" ht="33" customHeight="1">
      <c r="A201" s="74"/>
      <c r="B201" s="74"/>
      <c r="C201" s="74"/>
      <c r="D201" s="74"/>
      <c r="E201" s="74"/>
      <c r="F201" s="74"/>
      <c r="G201" s="75"/>
      <c r="H201" s="76"/>
      <c r="I201" s="52"/>
      <c r="J201" s="52"/>
      <c r="K201" s="52"/>
      <c r="L201" s="41"/>
      <c r="M201" s="41"/>
      <c r="N201" s="41"/>
      <c r="O201" s="41"/>
      <c r="P201" s="41"/>
      <c r="Q201" s="41"/>
      <c r="R201" s="41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</row>
    <row r="202" spans="1:89" s="51" customFormat="1" ht="33" customHeight="1">
      <c r="A202" s="74"/>
      <c r="B202" s="74"/>
      <c r="C202" s="74"/>
      <c r="D202" s="74"/>
      <c r="E202" s="74"/>
      <c r="F202" s="74"/>
      <c r="G202" s="75"/>
      <c r="H202" s="76"/>
      <c r="I202" s="52"/>
      <c r="J202" s="52"/>
      <c r="K202" s="52"/>
      <c r="L202" s="41"/>
      <c r="M202" s="41"/>
      <c r="N202" s="41"/>
      <c r="O202" s="41"/>
      <c r="P202" s="41"/>
      <c r="Q202" s="41"/>
      <c r="R202" s="41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</row>
    <row r="203" spans="1:89" s="51" customFormat="1" ht="33" customHeight="1">
      <c r="A203" s="74"/>
      <c r="B203" s="74"/>
      <c r="C203" s="74"/>
      <c r="D203" s="74"/>
      <c r="E203" s="74"/>
      <c r="F203" s="74"/>
      <c r="G203" s="75"/>
      <c r="H203" s="76"/>
      <c r="I203" s="52"/>
      <c r="J203" s="52"/>
      <c r="K203" s="52"/>
      <c r="L203" s="41"/>
      <c r="M203" s="41"/>
      <c r="N203" s="41"/>
      <c r="O203" s="41"/>
      <c r="P203" s="41"/>
      <c r="Q203" s="41"/>
      <c r="R203" s="41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</row>
    <row r="204" spans="1:89" s="51" customFormat="1" ht="33" customHeight="1">
      <c r="A204" s="74"/>
      <c r="B204" s="74"/>
      <c r="C204" s="74"/>
      <c r="D204" s="74"/>
      <c r="E204" s="74"/>
      <c r="F204" s="74"/>
      <c r="G204" s="75"/>
      <c r="H204" s="76"/>
      <c r="I204" s="52"/>
      <c r="J204" s="52"/>
      <c r="K204" s="52"/>
      <c r="L204" s="41"/>
      <c r="M204" s="41"/>
      <c r="N204" s="41"/>
      <c r="O204" s="41"/>
      <c r="P204" s="41"/>
      <c r="Q204" s="41"/>
      <c r="R204" s="41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</row>
    <row r="205" spans="1:89" s="51" customFormat="1" ht="33" customHeight="1">
      <c r="A205" s="74"/>
      <c r="B205" s="74"/>
      <c r="C205" s="74"/>
      <c r="D205" s="74"/>
      <c r="E205" s="74"/>
      <c r="F205" s="74"/>
      <c r="G205" s="75"/>
      <c r="H205" s="76"/>
      <c r="I205" s="52"/>
      <c r="J205" s="52"/>
      <c r="K205" s="52"/>
      <c r="L205" s="41"/>
      <c r="M205" s="41"/>
      <c r="N205" s="41"/>
      <c r="O205" s="41"/>
      <c r="P205" s="41"/>
      <c r="Q205" s="41"/>
      <c r="R205" s="41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</row>
    <row r="206" spans="1:89" s="51" customFormat="1" ht="33" customHeight="1">
      <c r="A206" s="74"/>
      <c r="B206" s="74"/>
      <c r="C206" s="74"/>
      <c r="D206" s="74"/>
      <c r="E206" s="74"/>
      <c r="F206" s="74"/>
      <c r="G206" s="75"/>
      <c r="H206" s="76"/>
      <c r="I206" s="52"/>
      <c r="J206" s="52"/>
      <c r="K206" s="52"/>
      <c r="L206" s="41"/>
      <c r="M206" s="41"/>
      <c r="N206" s="41"/>
      <c r="O206" s="41"/>
      <c r="P206" s="41"/>
      <c r="Q206" s="41"/>
      <c r="R206" s="41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41"/>
      <c r="CG206" s="41"/>
      <c r="CH206" s="41"/>
      <c r="CI206" s="41"/>
      <c r="CJ206" s="41"/>
      <c r="CK206" s="41"/>
    </row>
    <row r="207" spans="1:89" s="51" customFormat="1" ht="33" customHeight="1">
      <c r="A207" s="74"/>
      <c r="B207" s="74"/>
      <c r="C207" s="74"/>
      <c r="D207" s="74"/>
      <c r="E207" s="74"/>
      <c r="F207" s="74"/>
      <c r="G207" s="75"/>
      <c r="H207" s="76"/>
      <c r="I207" s="52"/>
      <c r="J207" s="52"/>
      <c r="K207" s="52"/>
      <c r="L207" s="41"/>
      <c r="M207" s="41"/>
      <c r="N207" s="41"/>
      <c r="O207" s="41"/>
      <c r="P207" s="41"/>
      <c r="Q207" s="41"/>
      <c r="R207" s="41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</row>
    <row r="208" spans="1:89" s="51" customFormat="1" ht="33" customHeight="1">
      <c r="A208" s="74"/>
      <c r="B208" s="74"/>
      <c r="C208" s="74"/>
      <c r="D208" s="74"/>
      <c r="E208" s="74"/>
      <c r="F208" s="74"/>
      <c r="G208" s="75"/>
      <c r="H208" s="76"/>
      <c r="I208" s="52"/>
      <c r="J208" s="52"/>
      <c r="K208" s="52"/>
      <c r="L208" s="41"/>
      <c r="M208" s="41"/>
      <c r="N208" s="41"/>
      <c r="O208" s="41"/>
      <c r="P208" s="41"/>
      <c r="Q208" s="41"/>
      <c r="R208" s="41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</row>
    <row r="209" spans="1:89" s="51" customFormat="1" ht="33" customHeight="1">
      <c r="A209" s="74"/>
      <c r="B209" s="74"/>
      <c r="C209" s="74"/>
      <c r="D209" s="74"/>
      <c r="E209" s="74"/>
      <c r="F209" s="74"/>
      <c r="G209" s="75"/>
      <c r="H209" s="76"/>
      <c r="I209" s="52"/>
      <c r="J209" s="52"/>
      <c r="K209" s="52"/>
      <c r="L209" s="41"/>
      <c r="M209" s="41"/>
      <c r="N209" s="41"/>
      <c r="O209" s="41"/>
      <c r="P209" s="41"/>
      <c r="Q209" s="41"/>
      <c r="R209" s="41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</row>
    <row r="210" spans="1:89" s="51" customFormat="1" ht="33" customHeight="1">
      <c r="A210" s="74"/>
      <c r="B210" s="74"/>
      <c r="C210" s="74"/>
      <c r="D210" s="74"/>
      <c r="E210" s="74"/>
      <c r="F210" s="74"/>
      <c r="G210" s="75"/>
      <c r="H210" s="76"/>
      <c r="I210" s="52"/>
      <c r="J210" s="52"/>
      <c r="K210" s="52"/>
      <c r="L210" s="41"/>
      <c r="M210" s="41"/>
      <c r="N210" s="41"/>
      <c r="O210" s="41"/>
      <c r="P210" s="41"/>
      <c r="Q210" s="41"/>
      <c r="R210" s="41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</row>
    <row r="211" spans="1:89" s="51" customFormat="1" ht="33" customHeight="1">
      <c r="A211" s="74"/>
      <c r="B211" s="74"/>
      <c r="C211" s="74"/>
      <c r="D211" s="74"/>
      <c r="E211" s="74"/>
      <c r="F211" s="74"/>
      <c r="G211" s="75"/>
      <c r="H211" s="76"/>
      <c r="I211" s="52"/>
      <c r="J211" s="52"/>
      <c r="K211" s="52"/>
      <c r="L211" s="41"/>
      <c r="M211" s="41"/>
      <c r="N211" s="41"/>
      <c r="O211" s="41"/>
      <c r="P211" s="41"/>
      <c r="Q211" s="41"/>
      <c r="R211" s="41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</row>
    <row r="212" spans="1:89" s="51" customFormat="1" ht="33" customHeight="1">
      <c r="A212" s="74"/>
      <c r="B212" s="74"/>
      <c r="C212" s="74"/>
      <c r="D212" s="74"/>
      <c r="E212" s="74"/>
      <c r="F212" s="74"/>
      <c r="G212" s="75"/>
      <c r="H212" s="76"/>
      <c r="I212" s="52"/>
      <c r="J212" s="52"/>
      <c r="K212" s="52"/>
      <c r="L212" s="41"/>
      <c r="M212" s="41"/>
      <c r="N212" s="41"/>
      <c r="O212" s="41"/>
      <c r="P212" s="41"/>
      <c r="Q212" s="41"/>
      <c r="R212" s="41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</row>
    <row r="213" spans="1:89" s="51" customFormat="1" ht="33" customHeight="1">
      <c r="A213" s="74"/>
      <c r="B213" s="74"/>
      <c r="C213" s="74"/>
      <c r="D213" s="74"/>
      <c r="E213" s="74"/>
      <c r="F213" s="74"/>
      <c r="G213" s="75"/>
      <c r="H213" s="76"/>
      <c r="I213" s="52"/>
      <c r="J213" s="52"/>
      <c r="K213" s="52"/>
      <c r="L213" s="41"/>
      <c r="M213" s="41"/>
      <c r="N213" s="41"/>
      <c r="O213" s="41"/>
      <c r="P213" s="41"/>
      <c r="Q213" s="41"/>
      <c r="R213" s="41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</row>
    <row r="214" spans="1:89" s="51" customFormat="1" ht="33" customHeight="1">
      <c r="A214" s="74"/>
      <c r="B214" s="74"/>
      <c r="C214" s="74"/>
      <c r="D214" s="74"/>
      <c r="E214" s="74"/>
      <c r="F214" s="74"/>
      <c r="G214" s="75"/>
      <c r="H214" s="76"/>
      <c r="I214" s="52"/>
      <c r="J214" s="52"/>
      <c r="K214" s="52"/>
      <c r="L214" s="41"/>
      <c r="M214" s="41"/>
      <c r="N214" s="41"/>
      <c r="O214" s="41"/>
      <c r="P214" s="41"/>
      <c r="Q214" s="41"/>
      <c r="R214" s="41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</row>
    <row r="215" spans="1:89" s="51" customFormat="1" ht="33" customHeight="1">
      <c r="A215" s="74"/>
      <c r="B215" s="74"/>
      <c r="C215" s="74"/>
      <c r="D215" s="74"/>
      <c r="E215" s="74"/>
      <c r="F215" s="74"/>
      <c r="G215" s="75"/>
      <c r="H215" s="76"/>
      <c r="I215" s="52"/>
      <c r="J215" s="52"/>
      <c r="K215" s="52"/>
      <c r="L215" s="41"/>
      <c r="M215" s="41"/>
      <c r="N215" s="41"/>
      <c r="O215" s="41"/>
      <c r="P215" s="41"/>
      <c r="Q215" s="41"/>
      <c r="R215" s="41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</row>
    <row r="216" spans="1:89" s="51" customFormat="1" ht="33" customHeight="1">
      <c r="A216" s="74"/>
      <c r="B216" s="74"/>
      <c r="C216" s="74"/>
      <c r="D216" s="74"/>
      <c r="E216" s="74"/>
      <c r="F216" s="74"/>
      <c r="G216" s="75"/>
      <c r="H216" s="76"/>
      <c r="I216" s="52"/>
      <c r="J216" s="52"/>
      <c r="K216" s="52"/>
      <c r="L216" s="41"/>
      <c r="M216" s="41"/>
      <c r="N216" s="41"/>
      <c r="O216" s="41"/>
      <c r="P216" s="41"/>
      <c r="Q216" s="41"/>
      <c r="R216" s="41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</row>
    <row r="217" spans="1:89" s="51" customFormat="1" ht="33" customHeight="1">
      <c r="A217" s="74"/>
      <c r="B217" s="74"/>
      <c r="C217" s="74"/>
      <c r="D217" s="74"/>
      <c r="E217" s="74"/>
      <c r="F217" s="74"/>
      <c r="G217" s="75"/>
      <c r="H217" s="76"/>
      <c r="I217" s="52"/>
      <c r="J217" s="52"/>
      <c r="K217" s="52"/>
      <c r="L217" s="41"/>
      <c r="M217" s="41"/>
      <c r="N217" s="41"/>
      <c r="O217" s="41"/>
      <c r="P217" s="41"/>
      <c r="Q217" s="41"/>
      <c r="R217" s="41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</row>
    <row r="218" spans="1:89" s="51" customFormat="1" ht="33" customHeight="1">
      <c r="A218" s="74"/>
      <c r="B218" s="74"/>
      <c r="C218" s="74"/>
      <c r="D218" s="74"/>
      <c r="E218" s="74"/>
      <c r="F218" s="74"/>
      <c r="G218" s="75"/>
      <c r="H218" s="76"/>
      <c r="I218" s="52"/>
      <c r="J218" s="52"/>
      <c r="K218" s="52"/>
      <c r="L218" s="41"/>
      <c r="M218" s="41"/>
      <c r="N218" s="41"/>
      <c r="O218" s="41"/>
      <c r="P218" s="41"/>
      <c r="Q218" s="41"/>
      <c r="R218" s="41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</row>
    <row r="219" spans="1:89" s="51" customFormat="1" ht="33" customHeight="1">
      <c r="A219" s="74"/>
      <c r="B219" s="74"/>
      <c r="C219" s="74"/>
      <c r="D219" s="74"/>
      <c r="E219" s="74"/>
      <c r="F219" s="74"/>
      <c r="G219" s="75"/>
      <c r="H219" s="76"/>
      <c r="I219" s="52"/>
      <c r="J219" s="52"/>
      <c r="K219" s="52"/>
      <c r="L219" s="41"/>
      <c r="M219" s="41"/>
      <c r="N219" s="41"/>
      <c r="O219" s="41"/>
      <c r="P219" s="41"/>
      <c r="Q219" s="41"/>
      <c r="R219" s="41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</row>
    <row r="220" spans="1:89" s="51" customFormat="1" ht="33" customHeight="1">
      <c r="A220" s="74"/>
      <c r="B220" s="74"/>
      <c r="C220" s="74"/>
      <c r="D220" s="74"/>
      <c r="E220" s="74"/>
      <c r="F220" s="74"/>
      <c r="G220" s="75"/>
      <c r="H220" s="76"/>
      <c r="I220" s="52"/>
      <c r="J220" s="52"/>
      <c r="K220" s="52"/>
      <c r="L220" s="41"/>
      <c r="M220" s="41"/>
      <c r="N220" s="41"/>
      <c r="O220" s="41"/>
      <c r="P220" s="41"/>
      <c r="Q220" s="41"/>
      <c r="R220" s="41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</row>
    <row r="221" spans="1:89" s="51" customFormat="1" ht="33" customHeight="1">
      <c r="A221" s="74"/>
      <c r="B221" s="74"/>
      <c r="C221" s="74"/>
      <c r="D221" s="74"/>
      <c r="E221" s="74"/>
      <c r="F221" s="74"/>
      <c r="G221" s="75"/>
      <c r="H221" s="76"/>
      <c r="I221" s="52"/>
      <c r="J221" s="52"/>
      <c r="K221" s="52"/>
      <c r="L221" s="41"/>
      <c r="M221" s="41"/>
      <c r="N221" s="41"/>
      <c r="O221" s="41"/>
      <c r="P221" s="41"/>
      <c r="Q221" s="41"/>
      <c r="R221" s="41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</row>
    <row r="222" spans="1:89" s="51" customFormat="1" ht="33" customHeight="1">
      <c r="A222" s="74"/>
      <c r="B222" s="74"/>
      <c r="C222" s="74"/>
      <c r="D222" s="74"/>
      <c r="E222" s="74"/>
      <c r="F222" s="74"/>
      <c r="G222" s="75"/>
      <c r="H222" s="76"/>
      <c r="I222" s="52"/>
      <c r="J222" s="52"/>
      <c r="K222" s="52"/>
      <c r="L222" s="41"/>
      <c r="M222" s="41"/>
      <c r="N222" s="41"/>
      <c r="O222" s="41"/>
      <c r="P222" s="41"/>
      <c r="Q222" s="41"/>
      <c r="R222" s="41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</row>
    <row r="223" spans="1:89" s="51" customFormat="1" ht="33" customHeight="1">
      <c r="A223" s="74"/>
      <c r="B223" s="74"/>
      <c r="C223" s="74"/>
      <c r="D223" s="74"/>
      <c r="E223" s="74"/>
      <c r="F223" s="74"/>
      <c r="G223" s="75"/>
      <c r="H223" s="76"/>
      <c r="I223" s="52"/>
      <c r="J223" s="52"/>
      <c r="K223" s="52"/>
      <c r="L223" s="41"/>
      <c r="M223" s="41"/>
      <c r="N223" s="41"/>
      <c r="O223" s="41"/>
      <c r="P223" s="41"/>
      <c r="Q223" s="41"/>
      <c r="R223" s="41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</row>
    <row r="224" spans="1:89" s="51" customFormat="1" ht="33" customHeight="1">
      <c r="A224" s="74"/>
      <c r="B224" s="74"/>
      <c r="C224" s="74"/>
      <c r="D224" s="74"/>
      <c r="E224" s="74"/>
      <c r="F224" s="74"/>
      <c r="G224" s="75"/>
      <c r="H224" s="76"/>
      <c r="I224" s="52"/>
      <c r="J224" s="52"/>
      <c r="K224" s="52"/>
      <c r="L224" s="41"/>
      <c r="M224" s="41"/>
      <c r="N224" s="41"/>
      <c r="O224" s="41"/>
      <c r="P224" s="41"/>
      <c r="Q224" s="41"/>
      <c r="R224" s="41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</row>
    <row r="225" spans="1:89" s="51" customFormat="1" ht="33" customHeight="1">
      <c r="A225" s="74"/>
      <c r="B225" s="74"/>
      <c r="C225" s="74"/>
      <c r="D225" s="74"/>
      <c r="E225" s="74"/>
      <c r="F225" s="74"/>
      <c r="G225" s="75"/>
      <c r="H225" s="76"/>
      <c r="I225" s="52"/>
      <c r="J225" s="52"/>
      <c r="K225" s="52"/>
      <c r="L225" s="41"/>
      <c r="M225" s="41"/>
      <c r="N225" s="41"/>
      <c r="O225" s="41"/>
      <c r="P225" s="41"/>
      <c r="Q225" s="41"/>
      <c r="R225" s="41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</row>
    <row r="226" spans="1:89" s="51" customFormat="1" ht="33" customHeight="1">
      <c r="A226" s="74"/>
      <c r="B226" s="74"/>
      <c r="C226" s="74"/>
      <c r="D226" s="74"/>
      <c r="E226" s="74"/>
      <c r="F226" s="74"/>
      <c r="G226" s="75"/>
      <c r="H226" s="76"/>
      <c r="I226" s="52"/>
      <c r="J226" s="52"/>
      <c r="K226" s="52"/>
      <c r="L226" s="41"/>
      <c r="M226" s="41"/>
      <c r="N226" s="41"/>
      <c r="O226" s="41"/>
      <c r="P226" s="41"/>
      <c r="Q226" s="41"/>
      <c r="R226" s="41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</row>
    <row r="227" spans="1:89" s="51" customFormat="1" ht="33" customHeight="1">
      <c r="A227" s="74"/>
      <c r="B227" s="74"/>
      <c r="C227" s="74"/>
      <c r="D227" s="74"/>
      <c r="E227" s="74"/>
      <c r="F227" s="74"/>
      <c r="G227" s="75"/>
      <c r="H227" s="76"/>
      <c r="I227" s="52"/>
      <c r="J227" s="52"/>
      <c r="K227" s="52"/>
      <c r="L227" s="41"/>
      <c r="M227" s="41"/>
      <c r="N227" s="41"/>
      <c r="O227" s="41"/>
      <c r="P227" s="41"/>
      <c r="Q227" s="41"/>
      <c r="R227" s="41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</row>
    <row r="228" spans="1:89" s="51" customFormat="1" ht="33" customHeight="1">
      <c r="A228" s="74"/>
      <c r="B228" s="74"/>
      <c r="C228" s="74"/>
      <c r="D228" s="74"/>
      <c r="E228" s="74"/>
      <c r="F228" s="74"/>
      <c r="G228" s="75"/>
      <c r="H228" s="76"/>
      <c r="I228" s="52"/>
      <c r="J228" s="52"/>
      <c r="K228" s="52"/>
      <c r="L228" s="41"/>
      <c r="M228" s="41"/>
      <c r="N228" s="41"/>
      <c r="O228" s="41"/>
      <c r="P228" s="41"/>
      <c r="Q228" s="41"/>
      <c r="R228" s="41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</row>
    <row r="229" spans="1:89" s="51" customFormat="1" ht="33" customHeight="1">
      <c r="A229" s="74"/>
      <c r="B229" s="74"/>
      <c r="C229" s="74"/>
      <c r="D229" s="74"/>
      <c r="E229" s="74"/>
      <c r="F229" s="74"/>
      <c r="G229" s="75"/>
      <c r="H229" s="76"/>
      <c r="I229" s="52"/>
      <c r="J229" s="52"/>
      <c r="K229" s="52"/>
      <c r="L229" s="41"/>
      <c r="M229" s="41"/>
      <c r="N229" s="41"/>
      <c r="O229" s="41"/>
      <c r="P229" s="41"/>
      <c r="Q229" s="41"/>
      <c r="R229" s="41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</row>
    <row r="230" spans="1:89" s="51" customFormat="1" ht="33" customHeight="1">
      <c r="A230" s="74"/>
      <c r="B230" s="74"/>
      <c r="C230" s="74"/>
      <c r="D230" s="74"/>
      <c r="E230" s="74"/>
      <c r="F230" s="74"/>
      <c r="G230" s="75"/>
      <c r="H230" s="76"/>
      <c r="I230" s="52"/>
      <c r="J230" s="52"/>
      <c r="K230" s="52"/>
      <c r="L230" s="41"/>
      <c r="M230" s="41"/>
      <c r="N230" s="41"/>
      <c r="O230" s="41"/>
      <c r="P230" s="41"/>
      <c r="Q230" s="41"/>
      <c r="R230" s="41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</row>
    <row r="231" spans="1:89" s="51" customFormat="1" ht="33" customHeight="1">
      <c r="A231" s="74"/>
      <c r="B231" s="74"/>
      <c r="C231" s="74"/>
      <c r="D231" s="74"/>
      <c r="E231" s="74"/>
      <c r="F231" s="74"/>
      <c r="G231" s="75"/>
      <c r="H231" s="76"/>
      <c r="I231" s="52"/>
      <c r="J231" s="52"/>
      <c r="K231" s="52"/>
      <c r="L231" s="41"/>
      <c r="M231" s="41"/>
      <c r="N231" s="41"/>
      <c r="O231" s="41"/>
      <c r="P231" s="41"/>
      <c r="Q231" s="41"/>
      <c r="R231" s="41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</row>
    <row r="232" spans="1:89" s="51" customFormat="1" ht="33" customHeight="1">
      <c r="A232" s="74"/>
      <c r="B232" s="74"/>
      <c r="C232" s="74"/>
      <c r="D232" s="74"/>
      <c r="E232" s="74"/>
      <c r="F232" s="74"/>
      <c r="G232" s="75"/>
      <c r="H232" s="76"/>
      <c r="I232" s="52"/>
      <c r="J232" s="52"/>
      <c r="K232" s="52"/>
      <c r="L232" s="41"/>
      <c r="M232" s="41"/>
      <c r="N232" s="41"/>
      <c r="O232" s="41"/>
      <c r="P232" s="41"/>
      <c r="Q232" s="41"/>
      <c r="R232" s="41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</row>
    <row r="233" spans="1:89" s="51" customFormat="1" ht="33" customHeight="1">
      <c r="A233" s="74"/>
      <c r="B233" s="74"/>
      <c r="C233" s="74"/>
      <c r="D233" s="74"/>
      <c r="E233" s="74"/>
      <c r="F233" s="74"/>
      <c r="G233" s="75"/>
      <c r="H233" s="76"/>
      <c r="I233" s="52"/>
      <c r="J233" s="52"/>
      <c r="K233" s="52"/>
      <c r="L233" s="41"/>
      <c r="M233" s="41"/>
      <c r="N233" s="41"/>
      <c r="O233" s="41"/>
      <c r="P233" s="41"/>
      <c r="Q233" s="41"/>
      <c r="R233" s="41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</row>
    <row r="234" spans="1:89" s="51" customFormat="1" ht="33" customHeight="1">
      <c r="A234" s="74"/>
      <c r="B234" s="74"/>
      <c r="C234" s="74"/>
      <c r="D234" s="74"/>
      <c r="E234" s="74"/>
      <c r="F234" s="74"/>
      <c r="G234" s="75"/>
      <c r="H234" s="76"/>
      <c r="I234" s="52"/>
      <c r="J234" s="52"/>
      <c r="K234" s="52"/>
      <c r="L234" s="41"/>
      <c r="M234" s="41"/>
      <c r="N234" s="41"/>
      <c r="O234" s="41"/>
      <c r="P234" s="45"/>
      <c r="Q234" s="41"/>
      <c r="R234" s="46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1"/>
      <c r="AE234" s="41"/>
      <c r="AF234" s="41"/>
      <c r="AG234" s="48"/>
      <c r="AH234" s="41"/>
      <c r="AI234" s="41"/>
      <c r="AJ234" s="41"/>
      <c r="AK234" s="49"/>
      <c r="AL234" s="50"/>
      <c r="AM234" s="50"/>
      <c r="AN234" s="50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50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</row>
    <row r="235" spans="1:89" s="51" customFormat="1" ht="33" customHeight="1">
      <c r="A235" s="74"/>
      <c r="B235" s="74"/>
      <c r="C235" s="74"/>
      <c r="D235" s="74"/>
      <c r="E235" s="74"/>
      <c r="F235" s="74"/>
      <c r="G235" s="75"/>
      <c r="H235" s="76"/>
      <c r="I235" s="52"/>
      <c r="J235" s="52"/>
      <c r="K235" s="52"/>
      <c r="L235" s="41"/>
      <c r="M235" s="41"/>
      <c r="N235" s="41"/>
      <c r="O235" s="41"/>
      <c r="P235" s="41"/>
      <c r="Q235" s="41"/>
      <c r="R235" s="41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</row>
    <row r="236" spans="1:89" s="51" customFormat="1" ht="33" customHeight="1">
      <c r="A236" s="74"/>
      <c r="B236" s="74"/>
      <c r="C236" s="74"/>
      <c r="D236" s="74"/>
      <c r="E236" s="74"/>
      <c r="F236" s="74"/>
      <c r="G236" s="75"/>
      <c r="H236" s="76"/>
      <c r="I236" s="52"/>
      <c r="J236" s="52"/>
      <c r="K236" s="52"/>
      <c r="L236" s="41"/>
      <c r="M236" s="41"/>
      <c r="N236" s="41"/>
      <c r="O236" s="41"/>
      <c r="P236" s="41"/>
      <c r="Q236" s="41"/>
      <c r="R236" s="41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</row>
    <row r="237" spans="1:89" s="51" customFormat="1" ht="33" customHeight="1">
      <c r="A237" s="74"/>
      <c r="B237" s="74"/>
      <c r="C237" s="74"/>
      <c r="D237" s="74"/>
      <c r="E237" s="74"/>
      <c r="F237" s="74"/>
      <c r="G237" s="75"/>
      <c r="H237" s="76"/>
      <c r="I237" s="52"/>
      <c r="J237" s="52"/>
      <c r="K237" s="52"/>
      <c r="L237" s="41"/>
      <c r="M237" s="41"/>
      <c r="N237" s="41"/>
      <c r="O237" s="41"/>
      <c r="P237" s="41"/>
      <c r="Q237" s="41"/>
      <c r="R237" s="41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</row>
    <row r="238" spans="1:89" s="51" customFormat="1" ht="33" customHeight="1">
      <c r="A238" s="74"/>
      <c r="B238" s="74"/>
      <c r="C238" s="74"/>
      <c r="D238" s="74"/>
      <c r="E238" s="74"/>
      <c r="F238" s="74"/>
      <c r="G238" s="75"/>
      <c r="H238" s="76"/>
      <c r="I238" s="52"/>
      <c r="J238" s="52"/>
      <c r="K238" s="52"/>
      <c r="L238" s="41"/>
      <c r="M238" s="41"/>
      <c r="N238" s="41"/>
      <c r="O238" s="41"/>
      <c r="P238" s="41"/>
      <c r="Q238" s="41"/>
      <c r="R238" s="41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</row>
    <row r="239" spans="1:89" s="51" customFormat="1" ht="33" customHeight="1">
      <c r="A239" s="74"/>
      <c r="B239" s="74"/>
      <c r="C239" s="74"/>
      <c r="D239" s="74"/>
      <c r="E239" s="74"/>
      <c r="F239" s="74"/>
      <c r="G239" s="75"/>
      <c r="H239" s="76"/>
      <c r="I239" s="52"/>
      <c r="J239" s="52"/>
      <c r="K239" s="52"/>
      <c r="L239" s="41"/>
      <c r="M239" s="41"/>
      <c r="N239" s="41"/>
      <c r="O239" s="41"/>
      <c r="P239" s="41"/>
      <c r="Q239" s="41"/>
      <c r="R239" s="41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</row>
    <row r="240" spans="1:89" s="51" customFormat="1" ht="33" customHeight="1">
      <c r="A240" s="74"/>
      <c r="B240" s="74"/>
      <c r="C240" s="74"/>
      <c r="D240" s="74"/>
      <c r="E240" s="74"/>
      <c r="F240" s="74"/>
      <c r="G240" s="75"/>
      <c r="H240" s="76"/>
      <c r="I240" s="52"/>
      <c r="J240" s="52"/>
      <c r="K240" s="52"/>
      <c r="L240" s="41"/>
      <c r="M240" s="41"/>
      <c r="N240" s="41"/>
      <c r="O240" s="41"/>
      <c r="P240" s="41"/>
      <c r="Q240" s="41"/>
      <c r="R240" s="41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</row>
    <row r="241" spans="1:89" s="51" customFormat="1" ht="33" customHeight="1">
      <c r="A241" s="74"/>
      <c r="B241" s="74"/>
      <c r="C241" s="74"/>
      <c r="D241" s="74"/>
      <c r="E241" s="74"/>
      <c r="F241" s="74"/>
      <c r="G241" s="75"/>
      <c r="H241" s="76"/>
      <c r="I241" s="52"/>
      <c r="J241" s="52"/>
      <c r="K241" s="52"/>
      <c r="L241" s="41"/>
      <c r="M241" s="41"/>
      <c r="N241" s="41"/>
      <c r="O241" s="41"/>
      <c r="P241" s="41"/>
      <c r="Q241" s="41"/>
      <c r="R241" s="41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</row>
    <row r="242" spans="1:89" s="51" customFormat="1" ht="33" customHeight="1">
      <c r="A242" s="74"/>
      <c r="B242" s="74"/>
      <c r="C242" s="74"/>
      <c r="D242" s="74"/>
      <c r="E242" s="74"/>
      <c r="F242" s="74"/>
      <c r="G242" s="75"/>
      <c r="H242" s="76"/>
      <c r="I242" s="52"/>
      <c r="J242" s="52"/>
      <c r="K242" s="52"/>
      <c r="L242" s="41"/>
      <c r="M242" s="41"/>
      <c r="N242" s="41"/>
      <c r="O242" s="41"/>
      <c r="P242" s="41"/>
      <c r="Q242" s="41"/>
      <c r="R242" s="41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</row>
    <row r="243" spans="1:89" s="51" customFormat="1" ht="33" customHeight="1">
      <c r="A243" s="74"/>
      <c r="B243" s="74"/>
      <c r="C243" s="74"/>
      <c r="D243" s="74"/>
      <c r="E243" s="74"/>
      <c r="F243" s="74"/>
      <c r="G243" s="75"/>
      <c r="H243" s="76"/>
      <c r="I243" s="52"/>
      <c r="J243" s="52"/>
      <c r="K243" s="52"/>
      <c r="L243" s="41"/>
      <c r="M243" s="41"/>
      <c r="N243" s="41"/>
      <c r="O243" s="41"/>
      <c r="P243" s="41"/>
      <c r="Q243" s="41"/>
      <c r="R243" s="41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</row>
    <row r="244" spans="1:89" s="51" customFormat="1" ht="33" customHeight="1">
      <c r="A244" s="74"/>
      <c r="B244" s="74"/>
      <c r="C244" s="74"/>
      <c r="D244" s="74"/>
      <c r="E244" s="74"/>
      <c r="F244" s="74"/>
      <c r="G244" s="75"/>
      <c r="H244" s="76"/>
      <c r="I244" s="52"/>
      <c r="J244" s="52"/>
      <c r="K244" s="52"/>
      <c r="L244" s="41"/>
      <c r="M244" s="41"/>
      <c r="N244" s="41"/>
      <c r="O244" s="41"/>
      <c r="P244" s="45"/>
      <c r="Q244" s="41"/>
      <c r="R244" s="46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1"/>
      <c r="AE244" s="41"/>
      <c r="AF244" s="41"/>
      <c r="AG244" s="48"/>
      <c r="AH244" s="41"/>
      <c r="AI244" s="41"/>
      <c r="AJ244" s="41"/>
      <c r="AK244" s="49"/>
      <c r="AL244" s="50"/>
      <c r="AM244" s="50"/>
      <c r="AN244" s="50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50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</row>
    <row r="245" spans="1:89" s="51" customFormat="1" ht="33" customHeight="1">
      <c r="A245" s="74"/>
      <c r="B245" s="74"/>
      <c r="C245" s="74"/>
      <c r="D245" s="74"/>
      <c r="E245" s="74"/>
      <c r="F245" s="74"/>
      <c r="G245" s="75"/>
      <c r="H245" s="76"/>
      <c r="I245" s="52"/>
      <c r="J245" s="52"/>
      <c r="K245" s="52"/>
      <c r="L245" s="41"/>
      <c r="M245" s="41"/>
      <c r="N245" s="41"/>
      <c r="O245" s="41"/>
      <c r="P245" s="45"/>
      <c r="Q245" s="41"/>
      <c r="R245" s="46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1"/>
      <c r="AE245" s="41"/>
      <c r="AF245" s="41"/>
      <c r="AG245" s="48"/>
      <c r="AH245" s="41"/>
      <c r="AI245" s="41"/>
      <c r="AJ245" s="41"/>
      <c r="AK245" s="49"/>
      <c r="AL245" s="50"/>
      <c r="AM245" s="50"/>
      <c r="AN245" s="50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50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</row>
    <row r="246" spans="1:89" s="51" customFormat="1" ht="33" customHeight="1">
      <c r="A246" s="74"/>
      <c r="B246" s="74"/>
      <c r="C246" s="74"/>
      <c r="D246" s="74"/>
      <c r="E246" s="74"/>
      <c r="F246" s="74"/>
      <c r="G246" s="75"/>
      <c r="H246" s="76"/>
      <c r="I246" s="52"/>
      <c r="J246" s="52"/>
      <c r="K246" s="52"/>
      <c r="L246" s="41"/>
      <c r="M246" s="41"/>
      <c r="N246" s="41"/>
      <c r="O246" s="41"/>
      <c r="P246" s="41"/>
      <c r="Q246" s="41"/>
      <c r="R246" s="41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</row>
    <row r="247" spans="1:89" s="51" customFormat="1" ht="33" customHeight="1">
      <c r="A247" s="74"/>
      <c r="B247" s="74"/>
      <c r="C247" s="74"/>
      <c r="D247" s="74"/>
      <c r="E247" s="74"/>
      <c r="F247" s="74"/>
      <c r="G247" s="75"/>
      <c r="H247" s="76"/>
      <c r="I247" s="52"/>
      <c r="J247" s="52"/>
      <c r="K247" s="52"/>
      <c r="L247" s="41"/>
      <c r="M247" s="41"/>
      <c r="N247" s="41"/>
      <c r="O247" s="41"/>
      <c r="P247" s="41"/>
      <c r="Q247" s="41"/>
      <c r="R247" s="41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</row>
    <row r="248" spans="1:89" s="51" customFormat="1" ht="33" customHeight="1">
      <c r="A248" s="74"/>
      <c r="B248" s="74"/>
      <c r="C248" s="74"/>
      <c r="D248" s="74"/>
      <c r="E248" s="74"/>
      <c r="F248" s="74"/>
      <c r="G248" s="75"/>
      <c r="H248" s="76"/>
      <c r="I248" s="52"/>
      <c r="J248" s="52"/>
      <c r="K248" s="52"/>
      <c r="L248" s="41"/>
      <c r="M248" s="41"/>
      <c r="N248" s="41"/>
      <c r="O248" s="41"/>
      <c r="P248" s="41"/>
      <c r="Q248" s="41"/>
      <c r="R248" s="41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</row>
    <row r="249" spans="1:89" s="51" customFormat="1" ht="33" customHeight="1">
      <c r="A249" s="74"/>
      <c r="B249" s="74"/>
      <c r="C249" s="74"/>
      <c r="D249" s="74"/>
      <c r="E249" s="74"/>
      <c r="F249" s="74"/>
      <c r="G249" s="75"/>
      <c r="H249" s="76"/>
      <c r="I249" s="52"/>
      <c r="J249" s="52"/>
      <c r="K249" s="52"/>
      <c r="L249" s="41"/>
      <c r="M249" s="41"/>
      <c r="N249" s="41"/>
      <c r="O249" s="41"/>
      <c r="P249" s="45"/>
      <c r="Q249" s="41"/>
      <c r="R249" s="46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1"/>
      <c r="AE249" s="41"/>
      <c r="AF249" s="41"/>
      <c r="AG249" s="48"/>
      <c r="AH249" s="41"/>
      <c r="AI249" s="41"/>
      <c r="AJ249" s="41"/>
      <c r="AK249" s="49"/>
      <c r="AL249" s="50"/>
      <c r="AM249" s="50"/>
      <c r="AN249" s="50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50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  <c r="CG249" s="41"/>
      <c r="CH249" s="41"/>
      <c r="CI249" s="41"/>
      <c r="CJ249" s="41"/>
      <c r="CK249" s="41"/>
    </row>
    <row r="250" spans="1:89" s="51" customFormat="1" ht="33" customHeight="1">
      <c r="A250" s="74"/>
      <c r="B250" s="74"/>
      <c r="C250" s="74"/>
      <c r="D250" s="74"/>
      <c r="E250" s="74"/>
      <c r="F250" s="74"/>
      <c r="G250" s="75"/>
      <c r="H250" s="76"/>
      <c r="I250" s="52"/>
      <c r="J250" s="52"/>
      <c r="K250" s="52"/>
      <c r="L250" s="41"/>
      <c r="M250" s="41"/>
      <c r="N250" s="41"/>
      <c r="O250" s="41"/>
      <c r="P250" s="41"/>
      <c r="Q250" s="41"/>
      <c r="R250" s="41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</row>
    <row r="251" spans="1:89" s="51" customFormat="1" ht="33" customHeight="1">
      <c r="A251" s="74"/>
      <c r="B251" s="74"/>
      <c r="C251" s="74"/>
      <c r="D251" s="74"/>
      <c r="E251" s="74"/>
      <c r="F251" s="74"/>
      <c r="G251" s="75"/>
      <c r="H251" s="76"/>
      <c r="I251" s="52"/>
      <c r="J251" s="52"/>
      <c r="K251" s="52"/>
      <c r="L251" s="41"/>
      <c r="M251" s="41"/>
      <c r="N251" s="41"/>
      <c r="O251" s="41"/>
      <c r="P251" s="41"/>
      <c r="Q251" s="41"/>
      <c r="R251" s="41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</row>
    <row r="252" spans="1:89" s="51" customFormat="1" ht="33" customHeight="1">
      <c r="A252" s="74"/>
      <c r="B252" s="74"/>
      <c r="C252" s="74"/>
      <c r="D252" s="74"/>
      <c r="E252" s="74"/>
      <c r="F252" s="74"/>
      <c r="G252" s="75"/>
      <c r="H252" s="76"/>
      <c r="I252" s="52"/>
      <c r="J252" s="52"/>
      <c r="K252" s="52"/>
      <c r="L252" s="41"/>
      <c r="M252" s="41"/>
      <c r="N252" s="41"/>
      <c r="O252" s="41"/>
      <c r="P252" s="41"/>
      <c r="Q252" s="41"/>
      <c r="R252" s="41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  <c r="CG252" s="41"/>
      <c r="CH252" s="41"/>
      <c r="CI252" s="41"/>
      <c r="CJ252" s="41"/>
      <c r="CK252" s="41"/>
    </row>
    <row r="253" spans="1:89" s="51" customFormat="1" ht="33" customHeight="1">
      <c r="A253" s="74"/>
      <c r="B253" s="74"/>
      <c r="C253" s="74"/>
      <c r="D253" s="74"/>
      <c r="E253" s="74"/>
      <c r="F253" s="74"/>
      <c r="G253" s="75"/>
      <c r="H253" s="76"/>
      <c r="I253" s="52"/>
      <c r="J253" s="52"/>
      <c r="K253" s="52"/>
      <c r="L253" s="41"/>
      <c r="M253" s="41"/>
      <c r="N253" s="41"/>
      <c r="O253" s="41"/>
      <c r="P253" s="41"/>
      <c r="Q253" s="41"/>
      <c r="R253" s="41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</row>
    <row r="254" spans="1:89" s="51" customFormat="1" ht="33" customHeight="1">
      <c r="A254" s="74"/>
      <c r="B254" s="74"/>
      <c r="C254" s="74"/>
      <c r="D254" s="74"/>
      <c r="E254" s="74"/>
      <c r="F254" s="74"/>
      <c r="G254" s="75"/>
      <c r="H254" s="76"/>
      <c r="I254" s="52"/>
      <c r="J254" s="52"/>
      <c r="K254" s="52"/>
      <c r="L254" s="41"/>
      <c r="M254" s="41"/>
      <c r="N254" s="41"/>
      <c r="O254" s="41"/>
      <c r="P254" s="45"/>
      <c r="Q254" s="41"/>
      <c r="R254" s="46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1"/>
      <c r="AE254" s="41"/>
      <c r="AF254" s="41"/>
      <c r="AG254" s="48"/>
      <c r="AH254" s="41"/>
      <c r="AI254" s="41"/>
      <c r="AJ254" s="41"/>
      <c r="AK254" s="49"/>
      <c r="AL254" s="50"/>
      <c r="AM254" s="50"/>
      <c r="AN254" s="50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50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</row>
    <row r="255" spans="1:89" s="51" customFormat="1" ht="33" customHeight="1">
      <c r="A255" s="74"/>
      <c r="B255" s="74"/>
      <c r="C255" s="74"/>
      <c r="D255" s="74"/>
      <c r="E255" s="74"/>
      <c r="F255" s="74"/>
      <c r="G255" s="75"/>
      <c r="H255" s="76"/>
      <c r="I255" s="52"/>
      <c r="J255" s="52"/>
      <c r="K255" s="52"/>
      <c r="L255" s="41"/>
      <c r="M255" s="41"/>
      <c r="N255" s="41"/>
      <c r="O255" s="41"/>
      <c r="P255" s="41"/>
      <c r="Q255" s="41"/>
      <c r="R255" s="41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</row>
    <row r="256" spans="1:89" s="51" customFormat="1" ht="33" customHeight="1">
      <c r="A256" s="74"/>
      <c r="B256" s="74"/>
      <c r="C256" s="74"/>
      <c r="D256" s="74"/>
      <c r="E256" s="74"/>
      <c r="F256" s="74"/>
      <c r="G256" s="75"/>
      <c r="H256" s="76"/>
      <c r="I256" s="52"/>
      <c r="J256" s="52"/>
      <c r="K256" s="52"/>
      <c r="L256" s="41"/>
      <c r="M256" s="41"/>
      <c r="N256" s="41"/>
      <c r="O256" s="41"/>
      <c r="P256" s="41"/>
      <c r="Q256" s="41"/>
      <c r="R256" s="41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</row>
    <row r="257" spans="1:89" s="51" customFormat="1" ht="33" customHeight="1">
      <c r="A257" s="74"/>
      <c r="B257" s="74"/>
      <c r="C257" s="74"/>
      <c r="D257" s="74"/>
      <c r="E257" s="74"/>
      <c r="F257" s="74"/>
      <c r="G257" s="75"/>
      <c r="H257" s="76"/>
      <c r="I257" s="52"/>
      <c r="J257" s="52"/>
      <c r="K257" s="52"/>
      <c r="L257" s="41"/>
      <c r="M257" s="41"/>
      <c r="N257" s="41"/>
      <c r="O257" s="41"/>
      <c r="P257" s="41"/>
      <c r="Q257" s="41"/>
      <c r="R257" s="41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</row>
    <row r="258" spans="1:89" s="51" customFormat="1" ht="33" customHeight="1">
      <c r="A258" s="74"/>
      <c r="B258" s="74"/>
      <c r="C258" s="74"/>
      <c r="D258" s="74"/>
      <c r="E258" s="74"/>
      <c r="F258" s="74"/>
      <c r="G258" s="75"/>
      <c r="H258" s="76"/>
      <c r="I258" s="52"/>
      <c r="J258" s="52"/>
      <c r="K258" s="52"/>
      <c r="L258" s="41"/>
      <c r="M258" s="41"/>
      <c r="N258" s="41"/>
      <c r="O258" s="41"/>
      <c r="P258" s="41"/>
      <c r="Q258" s="41"/>
      <c r="R258" s="41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</row>
    <row r="259" spans="1:89" s="51" customFormat="1" ht="33" customHeight="1">
      <c r="A259" s="74"/>
      <c r="B259" s="74"/>
      <c r="C259" s="74"/>
      <c r="D259" s="74"/>
      <c r="E259" s="74"/>
      <c r="F259" s="74"/>
      <c r="G259" s="75"/>
      <c r="H259" s="76"/>
      <c r="I259" s="52"/>
      <c r="J259" s="52"/>
      <c r="K259" s="52"/>
      <c r="L259" s="41"/>
      <c r="M259" s="41"/>
      <c r="N259" s="41"/>
      <c r="O259" s="41"/>
      <c r="P259" s="41"/>
      <c r="Q259" s="41"/>
      <c r="R259" s="41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</row>
    <row r="260" spans="1:89" s="51" customFormat="1" ht="33" customHeight="1">
      <c r="A260" s="74"/>
      <c r="B260" s="74"/>
      <c r="C260" s="74"/>
      <c r="D260" s="74"/>
      <c r="E260" s="74"/>
      <c r="F260" s="74"/>
      <c r="G260" s="75"/>
      <c r="H260" s="76"/>
      <c r="I260" s="52"/>
      <c r="J260" s="52"/>
      <c r="K260" s="52"/>
      <c r="L260" s="41"/>
      <c r="M260" s="41"/>
      <c r="N260" s="41"/>
      <c r="O260" s="41"/>
      <c r="P260" s="45"/>
      <c r="Q260" s="41"/>
      <c r="R260" s="46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1"/>
      <c r="AE260" s="41"/>
      <c r="AF260" s="41"/>
      <c r="AG260" s="48"/>
      <c r="AH260" s="41"/>
      <c r="AI260" s="41"/>
      <c r="AJ260" s="41"/>
      <c r="AK260" s="49"/>
      <c r="AL260" s="50"/>
      <c r="AM260" s="50"/>
      <c r="AN260" s="50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50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  <c r="CG260" s="41"/>
      <c r="CH260" s="41"/>
      <c r="CI260" s="41"/>
      <c r="CJ260" s="41"/>
      <c r="CK260" s="41"/>
    </row>
    <row r="261" spans="1:89" s="51" customFormat="1" ht="33" customHeight="1">
      <c r="A261" s="74"/>
      <c r="B261" s="74"/>
      <c r="C261" s="74"/>
      <c r="D261" s="74"/>
      <c r="E261" s="74"/>
      <c r="F261" s="74"/>
      <c r="G261" s="75"/>
      <c r="H261" s="76"/>
      <c r="I261" s="52"/>
      <c r="J261" s="52"/>
      <c r="K261" s="52"/>
      <c r="L261" s="41"/>
      <c r="M261" s="41"/>
      <c r="N261" s="41"/>
      <c r="O261" s="41"/>
      <c r="P261" s="41"/>
      <c r="Q261" s="41"/>
      <c r="R261" s="41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  <c r="CG261" s="41"/>
      <c r="CH261" s="41"/>
      <c r="CI261" s="41"/>
      <c r="CJ261" s="41"/>
      <c r="CK261" s="41"/>
    </row>
    <row r="262" spans="1:89" s="51" customFormat="1" ht="33" customHeight="1">
      <c r="A262" s="74"/>
      <c r="B262" s="74"/>
      <c r="C262" s="74"/>
      <c r="D262" s="74"/>
      <c r="E262" s="74"/>
      <c r="F262" s="74"/>
      <c r="G262" s="75"/>
      <c r="H262" s="76"/>
      <c r="I262" s="52"/>
      <c r="J262" s="52"/>
      <c r="K262" s="52"/>
      <c r="L262" s="41"/>
      <c r="M262" s="41"/>
      <c r="N262" s="41"/>
      <c r="O262" s="41"/>
      <c r="P262" s="41"/>
      <c r="Q262" s="41"/>
      <c r="R262" s="41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</row>
    <row r="263" spans="1:89" s="51" customFormat="1" ht="33" customHeight="1">
      <c r="A263" s="74"/>
      <c r="B263" s="74"/>
      <c r="C263" s="74"/>
      <c r="D263" s="74"/>
      <c r="E263" s="74"/>
      <c r="F263" s="74"/>
      <c r="G263" s="75"/>
      <c r="H263" s="76"/>
      <c r="I263" s="52"/>
      <c r="J263" s="52"/>
      <c r="K263" s="52"/>
      <c r="L263" s="41"/>
      <c r="M263" s="41"/>
      <c r="N263" s="41"/>
      <c r="O263" s="41"/>
      <c r="P263" s="41"/>
      <c r="Q263" s="41"/>
      <c r="R263" s="41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</row>
    <row r="264" spans="1:89" s="51" customFormat="1" ht="33" customHeight="1">
      <c r="A264" s="74"/>
      <c r="B264" s="74"/>
      <c r="C264" s="74"/>
      <c r="D264" s="74"/>
      <c r="E264" s="74"/>
      <c r="F264" s="74"/>
      <c r="G264" s="75"/>
      <c r="H264" s="76"/>
      <c r="I264" s="52"/>
      <c r="J264" s="52"/>
      <c r="K264" s="52"/>
      <c r="L264" s="41"/>
      <c r="M264" s="41"/>
      <c r="N264" s="41"/>
      <c r="O264" s="41"/>
      <c r="P264" s="41"/>
      <c r="Q264" s="41"/>
      <c r="R264" s="41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</row>
    <row r="265" spans="1:89" s="51" customFormat="1" ht="33" customHeight="1">
      <c r="A265" s="74"/>
      <c r="B265" s="74"/>
      <c r="C265" s="74"/>
      <c r="D265" s="74"/>
      <c r="E265" s="74"/>
      <c r="F265" s="74"/>
      <c r="G265" s="75"/>
      <c r="H265" s="76"/>
      <c r="I265" s="52"/>
      <c r="J265" s="52"/>
      <c r="K265" s="52"/>
      <c r="L265" s="41"/>
      <c r="M265" s="41"/>
      <c r="N265" s="41"/>
      <c r="O265" s="41"/>
      <c r="P265" s="41"/>
      <c r="Q265" s="41"/>
      <c r="R265" s="41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</row>
    <row r="266" spans="1:89" s="51" customFormat="1" ht="33" customHeight="1">
      <c r="A266" s="74"/>
      <c r="B266" s="74"/>
      <c r="C266" s="74"/>
      <c r="D266" s="74"/>
      <c r="E266" s="74"/>
      <c r="F266" s="74"/>
      <c r="G266" s="75"/>
      <c r="H266" s="76"/>
      <c r="I266" s="52"/>
      <c r="J266" s="52"/>
      <c r="K266" s="52"/>
      <c r="L266" s="41"/>
      <c r="M266" s="41"/>
      <c r="N266" s="41"/>
      <c r="O266" s="41"/>
      <c r="P266" s="41"/>
      <c r="Q266" s="41"/>
      <c r="R266" s="41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</row>
    <row r="267" spans="1:89" s="51" customFormat="1" ht="33" customHeight="1">
      <c r="A267" s="74"/>
      <c r="B267" s="74"/>
      <c r="C267" s="74"/>
      <c r="D267" s="74"/>
      <c r="E267" s="74"/>
      <c r="F267" s="74"/>
      <c r="G267" s="75"/>
      <c r="H267" s="76"/>
      <c r="I267" s="52"/>
      <c r="J267" s="52"/>
      <c r="K267" s="52"/>
      <c r="L267" s="41"/>
      <c r="M267" s="41"/>
      <c r="N267" s="41"/>
      <c r="O267" s="41"/>
      <c r="P267" s="41"/>
      <c r="Q267" s="41"/>
      <c r="R267" s="41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</row>
    <row r="268" spans="1:89" s="51" customFormat="1" ht="33" customHeight="1">
      <c r="A268" s="74"/>
      <c r="B268" s="74"/>
      <c r="C268" s="74"/>
      <c r="D268" s="74"/>
      <c r="E268" s="74"/>
      <c r="F268" s="74"/>
      <c r="G268" s="75"/>
      <c r="H268" s="76"/>
      <c r="I268" s="52"/>
      <c r="J268" s="52"/>
      <c r="K268" s="52"/>
      <c r="L268" s="41"/>
      <c r="M268" s="41"/>
      <c r="N268" s="41"/>
      <c r="O268" s="41"/>
      <c r="P268" s="41"/>
      <c r="Q268" s="41"/>
      <c r="R268" s="41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  <c r="CG268" s="41"/>
      <c r="CH268" s="41"/>
      <c r="CI268" s="41"/>
      <c r="CJ268" s="41"/>
      <c r="CK268" s="41"/>
    </row>
    <row r="269" spans="1:89" s="51" customFormat="1" ht="33" customHeight="1">
      <c r="A269" s="74"/>
      <c r="B269" s="74"/>
      <c r="C269" s="74"/>
      <c r="D269" s="74"/>
      <c r="E269" s="74"/>
      <c r="F269" s="74"/>
      <c r="G269" s="75"/>
      <c r="H269" s="76"/>
      <c r="I269" s="52"/>
      <c r="J269" s="52"/>
      <c r="K269" s="52"/>
      <c r="L269" s="41"/>
      <c r="M269" s="41"/>
      <c r="N269" s="41"/>
      <c r="O269" s="41"/>
      <c r="P269" s="41"/>
      <c r="Q269" s="41"/>
      <c r="R269" s="41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  <c r="CG269" s="41"/>
      <c r="CH269" s="41"/>
      <c r="CI269" s="41"/>
      <c r="CJ269" s="41"/>
      <c r="CK269" s="41"/>
    </row>
    <row r="270" spans="1:89" s="51" customFormat="1" ht="33" customHeight="1">
      <c r="A270" s="74"/>
      <c r="B270" s="74"/>
      <c r="C270" s="74"/>
      <c r="D270" s="74"/>
      <c r="E270" s="74"/>
      <c r="F270" s="74"/>
      <c r="G270" s="75"/>
      <c r="H270" s="76"/>
      <c r="I270" s="52"/>
      <c r="J270" s="52"/>
      <c r="K270" s="52"/>
      <c r="L270" s="41"/>
      <c r="M270" s="41"/>
      <c r="N270" s="41"/>
      <c r="O270" s="41"/>
      <c r="P270" s="41"/>
      <c r="Q270" s="41"/>
      <c r="R270" s="41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</row>
    <row r="271" spans="1:89" s="51" customFormat="1" ht="33" customHeight="1">
      <c r="A271" s="74"/>
      <c r="B271" s="74"/>
      <c r="C271" s="74"/>
      <c r="D271" s="74"/>
      <c r="E271" s="74"/>
      <c r="F271" s="74"/>
      <c r="G271" s="75"/>
      <c r="H271" s="76"/>
      <c r="I271" s="52"/>
      <c r="J271" s="52"/>
      <c r="K271" s="52"/>
      <c r="L271" s="41"/>
      <c r="M271" s="41"/>
      <c r="N271" s="41"/>
      <c r="O271" s="41"/>
      <c r="P271" s="41"/>
      <c r="Q271" s="41"/>
      <c r="R271" s="41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</row>
    <row r="272" spans="1:89" s="51" customFormat="1" ht="33" customHeight="1">
      <c r="A272" s="74"/>
      <c r="B272" s="74"/>
      <c r="C272" s="74"/>
      <c r="D272" s="74"/>
      <c r="E272" s="74"/>
      <c r="F272" s="74"/>
      <c r="G272" s="75"/>
      <c r="H272" s="76"/>
      <c r="I272" s="52"/>
      <c r="J272" s="52"/>
      <c r="K272" s="52"/>
      <c r="L272" s="41"/>
      <c r="M272" s="41"/>
      <c r="N272" s="41"/>
      <c r="O272" s="41"/>
      <c r="P272" s="41"/>
      <c r="Q272" s="41"/>
      <c r="R272" s="41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  <c r="CG272" s="41"/>
      <c r="CH272" s="41"/>
      <c r="CI272" s="41"/>
      <c r="CJ272" s="41"/>
      <c r="CK272" s="41"/>
    </row>
    <row r="273" spans="1:89" s="51" customFormat="1" ht="33" customHeight="1">
      <c r="A273" s="74"/>
      <c r="B273" s="74"/>
      <c r="C273" s="74"/>
      <c r="D273" s="74"/>
      <c r="E273" s="74"/>
      <c r="F273" s="74"/>
      <c r="G273" s="75"/>
      <c r="H273" s="76"/>
      <c r="I273" s="52"/>
      <c r="J273" s="52"/>
      <c r="K273" s="52"/>
      <c r="L273" s="41"/>
      <c r="M273" s="41"/>
      <c r="N273" s="41"/>
      <c r="O273" s="41"/>
      <c r="P273" s="41"/>
      <c r="Q273" s="41"/>
      <c r="R273" s="41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</row>
    <row r="274" spans="1:89" s="51" customFormat="1" ht="33" customHeight="1">
      <c r="A274" s="74"/>
      <c r="B274" s="74"/>
      <c r="C274" s="74"/>
      <c r="D274" s="74"/>
      <c r="E274" s="74"/>
      <c r="F274" s="74"/>
      <c r="G274" s="75"/>
      <c r="H274" s="76"/>
      <c r="I274" s="52"/>
      <c r="J274" s="52"/>
      <c r="K274" s="52"/>
      <c r="L274" s="41"/>
      <c r="M274" s="41"/>
      <c r="N274" s="41"/>
      <c r="O274" s="41"/>
      <c r="P274" s="41"/>
      <c r="Q274" s="41"/>
      <c r="R274" s="41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</row>
    <row r="275" spans="1:89" s="51" customFormat="1" ht="33" customHeight="1">
      <c r="A275" s="74"/>
      <c r="B275" s="74"/>
      <c r="C275" s="74"/>
      <c r="D275" s="74"/>
      <c r="E275" s="74"/>
      <c r="F275" s="74"/>
      <c r="G275" s="75"/>
      <c r="H275" s="76"/>
      <c r="I275" s="52"/>
      <c r="J275" s="52"/>
      <c r="K275" s="52"/>
      <c r="L275" s="41"/>
      <c r="M275" s="41"/>
      <c r="N275" s="41"/>
      <c r="O275" s="41"/>
      <c r="P275" s="41"/>
      <c r="Q275" s="41"/>
      <c r="R275" s="41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</row>
    <row r="276" spans="1:89" s="51" customFormat="1" ht="33" customHeight="1">
      <c r="A276" s="74"/>
      <c r="B276" s="74"/>
      <c r="C276" s="74"/>
      <c r="D276" s="74"/>
      <c r="E276" s="74"/>
      <c r="F276" s="74"/>
      <c r="G276" s="75"/>
      <c r="H276" s="76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  <c r="BE276" s="53"/>
      <c r="BF276" s="53"/>
      <c r="BG276" s="53"/>
      <c r="BH276" s="53"/>
      <c r="BI276" s="53"/>
      <c r="BJ276" s="53"/>
      <c r="BK276" s="53"/>
      <c r="BL276" s="53"/>
      <c r="BM276" s="53"/>
      <c r="BN276" s="53"/>
      <c r="BO276" s="53"/>
      <c r="BP276" s="53"/>
      <c r="BQ276" s="53"/>
      <c r="BR276" s="53"/>
      <c r="BS276" s="53"/>
      <c r="BT276" s="53"/>
      <c r="BU276" s="53"/>
      <c r="BV276" s="53"/>
      <c r="BW276" s="53"/>
      <c r="BX276" s="53"/>
      <c r="BY276" s="53"/>
      <c r="BZ276" s="53"/>
      <c r="CA276" s="53"/>
      <c r="CB276" s="53"/>
      <c r="CC276" s="53"/>
      <c r="CD276" s="53"/>
      <c r="CE276" s="53"/>
      <c r="CF276" s="53"/>
      <c r="CG276" s="53"/>
      <c r="CH276" s="53"/>
      <c r="CI276" s="53"/>
      <c r="CJ276" s="53"/>
      <c r="CK276" s="53"/>
    </row>
    <row r="277" spans="1:89" s="51" customFormat="1" ht="33" customHeight="1">
      <c r="A277" s="74"/>
      <c r="B277" s="74"/>
      <c r="C277" s="74"/>
      <c r="D277" s="74"/>
      <c r="E277" s="74"/>
      <c r="F277" s="74"/>
      <c r="G277" s="75"/>
      <c r="H277" s="76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  <c r="BE277" s="53"/>
      <c r="BF277" s="53"/>
      <c r="BG277" s="53"/>
      <c r="BH277" s="53"/>
      <c r="BI277" s="53"/>
      <c r="BJ277" s="53"/>
      <c r="BK277" s="53"/>
      <c r="BL277" s="53"/>
      <c r="BM277" s="53"/>
      <c r="BN277" s="53"/>
      <c r="BO277" s="53"/>
      <c r="BP277" s="53"/>
      <c r="BQ277" s="53"/>
      <c r="BR277" s="53"/>
      <c r="BS277" s="53"/>
      <c r="BT277" s="53"/>
      <c r="BU277" s="53"/>
      <c r="BV277" s="53"/>
      <c r="BW277" s="53"/>
      <c r="BX277" s="53"/>
      <c r="BY277" s="53"/>
      <c r="BZ277" s="53"/>
      <c r="CA277" s="53"/>
      <c r="CB277" s="53"/>
      <c r="CC277" s="53"/>
      <c r="CD277" s="53"/>
      <c r="CE277" s="53"/>
      <c r="CF277" s="53"/>
      <c r="CG277" s="53"/>
      <c r="CH277" s="53"/>
      <c r="CI277" s="53"/>
      <c r="CJ277" s="53"/>
      <c r="CK277" s="53"/>
    </row>
    <row r="278" spans="1:89" s="51" customFormat="1" ht="33" customHeight="1">
      <c r="A278" s="74"/>
      <c r="B278" s="74"/>
      <c r="C278" s="74"/>
      <c r="D278" s="74"/>
      <c r="E278" s="74"/>
      <c r="F278" s="74"/>
      <c r="G278" s="75"/>
      <c r="H278" s="76"/>
      <c r="I278" s="52"/>
      <c r="J278" s="52"/>
      <c r="K278" s="52"/>
      <c r="L278" s="41"/>
      <c r="M278" s="41"/>
      <c r="N278" s="41"/>
      <c r="O278" s="41"/>
      <c r="P278" s="41"/>
      <c r="Q278" s="41"/>
      <c r="R278" s="41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</row>
    <row r="279" spans="1:89" s="51" customFormat="1" ht="33" customHeight="1">
      <c r="A279" s="74"/>
      <c r="B279" s="74"/>
      <c r="C279" s="74"/>
      <c r="D279" s="74"/>
      <c r="E279" s="74"/>
      <c r="F279" s="74"/>
      <c r="G279" s="75"/>
      <c r="H279" s="76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  <c r="BE279" s="53"/>
      <c r="BF279" s="53"/>
      <c r="BG279" s="53"/>
      <c r="BH279" s="53"/>
      <c r="BI279" s="53"/>
      <c r="BJ279" s="53"/>
      <c r="BK279" s="53"/>
      <c r="BL279" s="53"/>
      <c r="BM279" s="53"/>
      <c r="BN279" s="53"/>
      <c r="BO279" s="53"/>
      <c r="BP279" s="53"/>
      <c r="BQ279" s="53"/>
      <c r="BR279" s="53"/>
      <c r="BS279" s="53"/>
      <c r="BT279" s="53"/>
      <c r="BU279" s="53"/>
      <c r="BV279" s="53"/>
      <c r="BW279" s="53"/>
      <c r="BX279" s="53"/>
      <c r="BY279" s="53"/>
      <c r="BZ279" s="53"/>
      <c r="CA279" s="53"/>
      <c r="CB279" s="53"/>
      <c r="CC279" s="53"/>
      <c r="CD279" s="53"/>
      <c r="CE279" s="53"/>
      <c r="CF279" s="53"/>
      <c r="CG279" s="53"/>
      <c r="CH279" s="53"/>
      <c r="CI279" s="53"/>
      <c r="CJ279" s="53"/>
      <c r="CK279" s="53"/>
    </row>
    <row r="280" spans="1:89" s="51" customFormat="1" ht="33" customHeight="1">
      <c r="A280" s="74"/>
      <c r="B280" s="74"/>
      <c r="C280" s="74"/>
      <c r="D280" s="74"/>
      <c r="E280" s="74"/>
      <c r="F280" s="74"/>
      <c r="G280" s="75"/>
      <c r="H280" s="76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  <c r="BE280" s="53"/>
      <c r="BF280" s="53"/>
      <c r="BG280" s="53"/>
      <c r="BH280" s="53"/>
      <c r="BI280" s="53"/>
      <c r="BJ280" s="53"/>
      <c r="BK280" s="53"/>
      <c r="BL280" s="53"/>
      <c r="BM280" s="53"/>
      <c r="BN280" s="53"/>
      <c r="BO280" s="53"/>
      <c r="BP280" s="53"/>
      <c r="BQ280" s="53"/>
      <c r="BR280" s="53"/>
      <c r="BS280" s="53"/>
      <c r="BT280" s="53"/>
      <c r="BU280" s="53"/>
      <c r="BV280" s="53"/>
      <c r="BW280" s="53"/>
      <c r="BX280" s="53"/>
      <c r="BY280" s="53"/>
      <c r="BZ280" s="53"/>
      <c r="CA280" s="53"/>
      <c r="CB280" s="53"/>
      <c r="CC280" s="53"/>
      <c r="CD280" s="53"/>
      <c r="CE280" s="53"/>
      <c r="CF280" s="53"/>
      <c r="CG280" s="53"/>
      <c r="CH280" s="53"/>
      <c r="CI280" s="53"/>
      <c r="CJ280" s="53"/>
      <c r="CK280" s="53"/>
    </row>
    <row r="281" spans="1:89" s="51" customFormat="1" ht="33" customHeight="1">
      <c r="A281" s="74"/>
      <c r="B281" s="74"/>
      <c r="C281" s="74"/>
      <c r="D281" s="74"/>
      <c r="E281" s="74"/>
      <c r="F281" s="74"/>
      <c r="G281" s="75"/>
      <c r="H281" s="76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  <c r="BE281" s="53"/>
      <c r="BF281" s="53"/>
      <c r="BG281" s="53"/>
      <c r="BH281" s="53"/>
      <c r="BI281" s="53"/>
      <c r="BJ281" s="53"/>
      <c r="BK281" s="53"/>
      <c r="BL281" s="53"/>
      <c r="BM281" s="53"/>
      <c r="BN281" s="53"/>
      <c r="BO281" s="53"/>
      <c r="BP281" s="53"/>
      <c r="BQ281" s="53"/>
      <c r="BR281" s="53"/>
      <c r="BS281" s="53"/>
      <c r="BT281" s="53"/>
      <c r="BU281" s="53"/>
      <c r="BV281" s="53"/>
      <c r="BW281" s="53"/>
      <c r="BX281" s="53"/>
      <c r="BY281" s="53"/>
      <c r="BZ281" s="53"/>
      <c r="CA281" s="53"/>
      <c r="CB281" s="53"/>
      <c r="CC281" s="53"/>
      <c r="CD281" s="53"/>
      <c r="CE281" s="53"/>
      <c r="CF281" s="53"/>
      <c r="CG281" s="53"/>
      <c r="CH281" s="53"/>
      <c r="CI281" s="53"/>
      <c r="CJ281" s="53"/>
      <c r="CK281" s="53"/>
    </row>
    <row r="282" spans="1:89" s="51" customFormat="1" ht="33" customHeight="1">
      <c r="A282" s="74"/>
      <c r="B282" s="74"/>
      <c r="C282" s="74"/>
      <c r="D282" s="74"/>
      <c r="E282" s="74"/>
      <c r="F282" s="74"/>
      <c r="G282" s="75"/>
      <c r="H282" s="76"/>
      <c r="I282" s="52"/>
      <c r="J282" s="52"/>
      <c r="K282" s="52"/>
      <c r="L282" s="41"/>
      <c r="M282" s="41"/>
      <c r="N282" s="41"/>
      <c r="O282" s="41"/>
      <c r="P282" s="41"/>
      <c r="Q282" s="41"/>
      <c r="R282" s="41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</row>
    <row r="283" spans="1:89" s="51" customFormat="1" ht="33" customHeight="1">
      <c r="A283" s="74"/>
      <c r="B283" s="74"/>
      <c r="C283" s="74"/>
      <c r="D283" s="74"/>
      <c r="E283" s="74"/>
      <c r="F283" s="74"/>
      <c r="G283" s="75"/>
      <c r="H283" s="76"/>
      <c r="I283" s="52"/>
      <c r="J283" s="52"/>
      <c r="K283" s="52"/>
      <c r="L283" s="41"/>
      <c r="M283" s="41"/>
      <c r="N283" s="41"/>
      <c r="O283" s="41"/>
      <c r="P283" s="41"/>
      <c r="Q283" s="41"/>
      <c r="R283" s="41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</row>
    <row r="284" spans="1:89" s="51" customFormat="1" ht="33" customHeight="1">
      <c r="A284" s="74"/>
      <c r="B284" s="74"/>
      <c r="C284" s="74"/>
      <c r="D284" s="74"/>
      <c r="E284" s="74"/>
      <c r="F284" s="74"/>
      <c r="G284" s="75"/>
      <c r="H284" s="76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  <c r="BE284" s="53"/>
      <c r="BF284" s="53"/>
      <c r="BG284" s="53"/>
      <c r="BH284" s="53"/>
      <c r="BI284" s="53"/>
      <c r="BJ284" s="53"/>
      <c r="BK284" s="53"/>
      <c r="BL284" s="53"/>
      <c r="BM284" s="53"/>
      <c r="BN284" s="53"/>
      <c r="BO284" s="53"/>
      <c r="BP284" s="53"/>
      <c r="BQ284" s="53"/>
      <c r="BR284" s="53"/>
      <c r="BS284" s="53"/>
      <c r="BT284" s="53"/>
      <c r="BU284" s="53"/>
      <c r="BV284" s="53"/>
      <c r="BW284" s="53"/>
      <c r="BX284" s="53"/>
      <c r="BY284" s="53"/>
      <c r="BZ284" s="53"/>
      <c r="CA284" s="53"/>
      <c r="CB284" s="53"/>
      <c r="CC284" s="53"/>
      <c r="CD284" s="53"/>
      <c r="CE284" s="53"/>
      <c r="CF284" s="53"/>
      <c r="CG284" s="53"/>
      <c r="CH284" s="53"/>
      <c r="CI284" s="53"/>
      <c r="CJ284" s="53"/>
      <c r="CK284" s="53"/>
    </row>
    <row r="285" spans="1:89" s="51" customFormat="1" ht="33" customHeight="1">
      <c r="A285" s="74"/>
      <c r="B285" s="74"/>
      <c r="C285" s="74"/>
      <c r="D285" s="74"/>
      <c r="E285" s="74"/>
      <c r="F285" s="74"/>
      <c r="G285" s="75"/>
      <c r="H285" s="76"/>
      <c r="I285" s="52"/>
      <c r="J285" s="52"/>
      <c r="K285" s="52"/>
      <c r="L285" s="41"/>
      <c r="M285" s="41"/>
      <c r="N285" s="41"/>
      <c r="O285" s="41"/>
      <c r="P285" s="41"/>
      <c r="Q285" s="41"/>
      <c r="R285" s="41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</row>
    <row r="286" spans="1:89" s="51" customFormat="1" ht="33" customHeight="1">
      <c r="A286" s="74"/>
      <c r="B286" s="74"/>
      <c r="C286" s="74"/>
      <c r="D286" s="74"/>
      <c r="E286" s="74"/>
      <c r="F286" s="74"/>
      <c r="G286" s="75"/>
      <c r="H286" s="76"/>
      <c r="I286" s="52"/>
      <c r="J286" s="52"/>
      <c r="K286" s="52"/>
      <c r="L286" s="41"/>
      <c r="M286" s="41"/>
      <c r="N286" s="41"/>
      <c r="O286" s="41"/>
      <c r="P286" s="41"/>
      <c r="Q286" s="41"/>
      <c r="R286" s="41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  <c r="CG286" s="41"/>
      <c r="CH286" s="41"/>
      <c r="CI286" s="41"/>
      <c r="CJ286" s="41"/>
      <c r="CK286" s="41"/>
    </row>
    <row r="287" spans="1:89" s="51" customFormat="1" ht="33" customHeight="1">
      <c r="A287" s="74"/>
      <c r="B287" s="74"/>
      <c r="C287" s="74"/>
      <c r="D287" s="74"/>
      <c r="E287" s="74"/>
      <c r="F287" s="74"/>
      <c r="G287" s="75"/>
      <c r="H287" s="76"/>
      <c r="I287" s="52"/>
      <c r="J287" s="52"/>
      <c r="K287" s="52"/>
      <c r="L287" s="41"/>
      <c r="M287" s="41"/>
      <c r="N287" s="41"/>
      <c r="O287" s="41"/>
      <c r="P287" s="41"/>
      <c r="Q287" s="41"/>
      <c r="R287" s="41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  <c r="CG287" s="41"/>
      <c r="CH287" s="41"/>
      <c r="CI287" s="41"/>
      <c r="CJ287" s="41"/>
      <c r="CK287" s="41"/>
    </row>
    <row r="288" spans="1:89" s="51" customFormat="1" ht="33" customHeight="1">
      <c r="A288" s="74"/>
      <c r="B288" s="74"/>
      <c r="C288" s="74"/>
      <c r="D288" s="74"/>
      <c r="E288" s="74"/>
      <c r="F288" s="74"/>
      <c r="G288" s="75"/>
      <c r="H288" s="76"/>
      <c r="I288" s="52"/>
      <c r="J288" s="52"/>
      <c r="K288" s="52"/>
      <c r="L288" s="41"/>
      <c r="M288" s="41"/>
      <c r="N288" s="41"/>
      <c r="O288" s="41"/>
      <c r="P288" s="41"/>
      <c r="Q288" s="41"/>
      <c r="R288" s="41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</row>
    <row r="289" spans="1:89" s="51" customFormat="1" ht="33" customHeight="1">
      <c r="A289" s="74"/>
      <c r="B289" s="74"/>
      <c r="C289" s="74"/>
      <c r="D289" s="74"/>
      <c r="E289" s="74"/>
      <c r="F289" s="74"/>
      <c r="G289" s="75"/>
      <c r="H289" s="76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  <c r="BE289" s="53"/>
      <c r="BF289" s="53"/>
      <c r="BG289" s="53"/>
      <c r="BH289" s="53"/>
      <c r="BI289" s="53"/>
      <c r="BJ289" s="53"/>
      <c r="BK289" s="53"/>
      <c r="BL289" s="53"/>
      <c r="BM289" s="53"/>
      <c r="BN289" s="53"/>
      <c r="BO289" s="53"/>
      <c r="BP289" s="53"/>
      <c r="BQ289" s="53"/>
      <c r="BR289" s="53"/>
      <c r="BS289" s="53"/>
      <c r="BT289" s="53"/>
      <c r="BU289" s="53"/>
      <c r="BV289" s="53"/>
      <c r="BW289" s="53"/>
      <c r="BX289" s="53"/>
      <c r="BY289" s="53"/>
      <c r="BZ289" s="53"/>
      <c r="CA289" s="53"/>
      <c r="CB289" s="53"/>
      <c r="CC289" s="53"/>
      <c r="CD289" s="53"/>
      <c r="CE289" s="53"/>
      <c r="CF289" s="53"/>
      <c r="CG289" s="53"/>
      <c r="CH289" s="53"/>
      <c r="CI289" s="53"/>
      <c r="CJ289" s="53"/>
      <c r="CK289" s="53"/>
    </row>
    <row r="290" spans="1:89" s="51" customFormat="1" ht="33" customHeight="1">
      <c r="A290" s="74"/>
      <c r="B290" s="74"/>
      <c r="C290" s="74"/>
      <c r="D290" s="74"/>
      <c r="E290" s="74"/>
      <c r="F290" s="74"/>
      <c r="G290" s="75"/>
      <c r="H290" s="76"/>
      <c r="I290" s="52"/>
      <c r="J290" s="52"/>
      <c r="K290" s="52"/>
      <c r="L290" s="41"/>
      <c r="M290" s="41"/>
      <c r="N290" s="41"/>
      <c r="O290" s="41"/>
      <c r="P290" s="41"/>
      <c r="Q290" s="41"/>
      <c r="R290" s="41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  <c r="CG290" s="41"/>
      <c r="CH290" s="41"/>
      <c r="CI290" s="41"/>
      <c r="CJ290" s="41"/>
      <c r="CK290" s="41"/>
    </row>
    <row r="291" spans="1:89" s="51" customFormat="1" ht="33" customHeight="1">
      <c r="A291" s="74"/>
      <c r="B291" s="74"/>
      <c r="C291" s="74"/>
      <c r="D291" s="74"/>
      <c r="E291" s="74"/>
      <c r="F291" s="74"/>
      <c r="G291" s="75"/>
      <c r="H291" s="76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</row>
    <row r="292" spans="1:89" s="51" customFormat="1" ht="33" customHeight="1">
      <c r="A292" s="74"/>
      <c r="B292" s="74"/>
      <c r="C292" s="74"/>
      <c r="D292" s="74"/>
      <c r="E292" s="74"/>
      <c r="F292" s="74"/>
      <c r="G292" s="75"/>
      <c r="H292" s="76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  <c r="BE292" s="53"/>
      <c r="BF292" s="53"/>
      <c r="BG292" s="53"/>
      <c r="BH292" s="53"/>
      <c r="BI292" s="53"/>
      <c r="BJ292" s="53"/>
      <c r="BK292" s="53"/>
      <c r="BL292" s="53"/>
      <c r="BM292" s="53"/>
      <c r="BN292" s="53"/>
      <c r="BO292" s="53"/>
      <c r="BP292" s="53"/>
      <c r="BQ292" s="53"/>
      <c r="BR292" s="53"/>
      <c r="BS292" s="53"/>
      <c r="BT292" s="53"/>
      <c r="BU292" s="53"/>
      <c r="BV292" s="53"/>
      <c r="BW292" s="53"/>
      <c r="BX292" s="53"/>
      <c r="BY292" s="53"/>
      <c r="BZ292" s="53"/>
      <c r="CA292" s="53"/>
      <c r="CB292" s="53"/>
      <c r="CC292" s="53"/>
      <c r="CD292" s="53"/>
      <c r="CE292" s="53"/>
      <c r="CF292" s="53"/>
      <c r="CG292" s="53"/>
      <c r="CH292" s="53"/>
      <c r="CI292" s="53"/>
      <c r="CJ292" s="53"/>
      <c r="CK292" s="53"/>
    </row>
    <row r="293" spans="1:89" s="51" customFormat="1" ht="33" customHeight="1">
      <c r="A293" s="74"/>
      <c r="B293" s="74"/>
      <c r="C293" s="74"/>
      <c r="D293" s="74"/>
      <c r="E293" s="74"/>
      <c r="F293" s="74"/>
      <c r="G293" s="75"/>
      <c r="H293" s="76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  <c r="BE293" s="53"/>
      <c r="BF293" s="53"/>
      <c r="BG293" s="53"/>
      <c r="BH293" s="53"/>
      <c r="BI293" s="53"/>
      <c r="BJ293" s="53"/>
      <c r="BK293" s="53"/>
      <c r="BL293" s="53"/>
      <c r="BM293" s="53"/>
      <c r="BN293" s="53"/>
      <c r="BO293" s="53"/>
      <c r="BP293" s="53"/>
      <c r="BQ293" s="53"/>
      <c r="BR293" s="53"/>
      <c r="BS293" s="53"/>
      <c r="BT293" s="53"/>
      <c r="BU293" s="53"/>
      <c r="BV293" s="53"/>
      <c r="BW293" s="53"/>
      <c r="BX293" s="53"/>
      <c r="BY293" s="53"/>
      <c r="BZ293" s="53"/>
      <c r="CA293" s="53"/>
      <c r="CB293" s="53"/>
      <c r="CC293" s="53"/>
      <c r="CD293" s="53"/>
      <c r="CE293" s="53"/>
      <c r="CF293" s="53"/>
      <c r="CG293" s="53"/>
      <c r="CH293" s="53"/>
      <c r="CI293" s="53"/>
      <c r="CJ293" s="53"/>
      <c r="CK293" s="53"/>
    </row>
    <row r="294" spans="1:89" s="51" customFormat="1" ht="33" customHeight="1">
      <c r="A294" s="74"/>
      <c r="B294" s="74"/>
      <c r="C294" s="74"/>
      <c r="D294" s="74"/>
      <c r="E294" s="74"/>
      <c r="F294" s="74"/>
      <c r="G294" s="75"/>
      <c r="H294" s="76"/>
      <c r="I294" s="52"/>
      <c r="J294" s="52"/>
      <c r="K294" s="52"/>
      <c r="L294" s="41"/>
      <c r="M294" s="41"/>
      <c r="N294" s="41"/>
      <c r="O294" s="41"/>
      <c r="P294" s="41"/>
      <c r="Q294" s="41"/>
      <c r="R294" s="41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1"/>
      <c r="CA294" s="41"/>
      <c r="CB294" s="41"/>
      <c r="CC294" s="41"/>
      <c r="CD294" s="41"/>
      <c r="CE294" s="41"/>
      <c r="CF294" s="41"/>
      <c r="CG294" s="41"/>
      <c r="CH294" s="41"/>
      <c r="CI294" s="41"/>
      <c r="CJ294" s="41"/>
      <c r="CK294" s="41"/>
    </row>
    <row r="295" spans="1:89" s="51" customFormat="1" ht="33" customHeight="1">
      <c r="A295" s="74"/>
      <c r="B295" s="74"/>
      <c r="C295" s="74"/>
      <c r="D295" s="74"/>
      <c r="E295" s="74"/>
      <c r="F295" s="74"/>
      <c r="G295" s="75"/>
      <c r="H295" s="76"/>
      <c r="I295" s="52"/>
      <c r="J295" s="52"/>
      <c r="K295" s="52"/>
      <c r="L295" s="41"/>
      <c r="M295" s="41"/>
      <c r="N295" s="41"/>
      <c r="O295" s="41"/>
      <c r="P295" s="41"/>
      <c r="Q295" s="41"/>
      <c r="R295" s="41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  <c r="CG295" s="41"/>
      <c r="CH295" s="41"/>
      <c r="CI295" s="41"/>
      <c r="CJ295" s="41"/>
      <c r="CK295" s="41"/>
    </row>
    <row r="296" spans="1:89" s="51" customFormat="1" ht="33" customHeight="1">
      <c r="A296" s="74"/>
      <c r="B296" s="74"/>
      <c r="C296" s="74"/>
      <c r="D296" s="74"/>
      <c r="E296" s="74"/>
      <c r="F296" s="74"/>
      <c r="G296" s="75"/>
      <c r="H296" s="76"/>
      <c r="I296" s="52"/>
      <c r="J296" s="52"/>
      <c r="K296" s="52"/>
      <c r="L296" s="41"/>
      <c r="M296" s="41"/>
      <c r="N296" s="41"/>
      <c r="O296" s="41"/>
      <c r="P296" s="41"/>
      <c r="Q296" s="41"/>
      <c r="R296" s="41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</row>
    <row r="297" spans="1:89" s="51" customFormat="1" ht="33" customHeight="1">
      <c r="A297" s="74"/>
      <c r="B297" s="74"/>
      <c r="C297" s="74"/>
      <c r="D297" s="74"/>
      <c r="E297" s="74"/>
      <c r="F297" s="74"/>
      <c r="G297" s="75"/>
      <c r="H297" s="76"/>
      <c r="I297" s="52"/>
      <c r="J297" s="52"/>
      <c r="K297" s="52"/>
      <c r="L297" s="41"/>
      <c r="M297" s="41"/>
      <c r="N297" s="41"/>
      <c r="O297" s="41"/>
      <c r="P297" s="41"/>
      <c r="Q297" s="41"/>
      <c r="R297" s="41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</row>
    <row r="298" spans="1:89" s="51" customFormat="1" ht="33" customHeight="1">
      <c r="A298" s="74"/>
      <c r="B298" s="74"/>
      <c r="C298" s="74"/>
      <c r="D298" s="74"/>
      <c r="E298" s="74"/>
      <c r="F298" s="74"/>
      <c r="G298" s="75"/>
      <c r="H298" s="76"/>
      <c r="I298" s="52"/>
      <c r="J298" s="52"/>
      <c r="K298" s="52"/>
      <c r="L298" s="41"/>
      <c r="M298" s="41"/>
      <c r="N298" s="41"/>
      <c r="O298" s="41"/>
      <c r="P298" s="41"/>
      <c r="Q298" s="41"/>
      <c r="R298" s="41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</row>
    <row r="299" spans="1:89" s="51" customFormat="1" ht="33" customHeight="1">
      <c r="A299" s="74"/>
      <c r="B299" s="74"/>
      <c r="C299" s="74"/>
      <c r="D299" s="74"/>
      <c r="E299" s="74"/>
      <c r="F299" s="74"/>
      <c r="G299" s="75"/>
      <c r="H299" s="76"/>
      <c r="I299" s="52"/>
      <c r="J299" s="52"/>
      <c r="K299" s="52"/>
      <c r="L299" s="41"/>
      <c r="M299" s="41"/>
      <c r="N299" s="41"/>
      <c r="O299" s="41"/>
      <c r="P299" s="41"/>
      <c r="Q299" s="41"/>
      <c r="R299" s="41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</row>
    <row r="300" spans="1:89" s="51" customFormat="1" ht="33" customHeight="1">
      <c r="A300" s="74"/>
      <c r="B300" s="74"/>
      <c r="C300" s="74"/>
      <c r="D300" s="74"/>
      <c r="E300" s="74"/>
      <c r="F300" s="74"/>
      <c r="G300" s="75"/>
      <c r="H300" s="76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  <c r="BE300" s="53"/>
      <c r="BF300" s="53"/>
      <c r="BG300" s="53"/>
      <c r="BH300" s="53"/>
      <c r="BI300" s="53"/>
      <c r="BJ300" s="53"/>
      <c r="BK300" s="53"/>
      <c r="BL300" s="53"/>
      <c r="BM300" s="53"/>
      <c r="BN300" s="53"/>
      <c r="BO300" s="53"/>
      <c r="BP300" s="53"/>
      <c r="BQ300" s="53"/>
      <c r="BR300" s="53"/>
      <c r="BS300" s="53"/>
      <c r="BT300" s="53"/>
      <c r="BU300" s="53"/>
      <c r="BV300" s="53"/>
      <c r="BW300" s="53"/>
      <c r="BX300" s="53"/>
      <c r="BY300" s="53"/>
      <c r="BZ300" s="53"/>
      <c r="CA300" s="53"/>
      <c r="CB300" s="53"/>
      <c r="CC300" s="53"/>
      <c r="CD300" s="53"/>
      <c r="CE300" s="53"/>
      <c r="CF300" s="53"/>
      <c r="CG300" s="53"/>
      <c r="CH300" s="53"/>
      <c r="CI300" s="53"/>
      <c r="CJ300" s="53"/>
      <c r="CK300" s="53"/>
    </row>
    <row r="301" spans="1:89" s="51" customFormat="1" ht="33" customHeight="1">
      <c r="A301" s="74"/>
      <c r="B301" s="74"/>
      <c r="C301" s="74"/>
      <c r="D301" s="74"/>
      <c r="E301" s="74"/>
      <c r="F301" s="74"/>
      <c r="G301" s="75"/>
      <c r="H301" s="76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  <c r="BE301" s="53"/>
      <c r="BF301" s="53"/>
      <c r="BG301" s="53"/>
      <c r="BH301" s="53"/>
      <c r="BI301" s="53"/>
      <c r="BJ301" s="53"/>
      <c r="BK301" s="53"/>
      <c r="BL301" s="53"/>
      <c r="BM301" s="53"/>
      <c r="BN301" s="53"/>
      <c r="BO301" s="53"/>
      <c r="BP301" s="53"/>
      <c r="BQ301" s="53"/>
      <c r="BR301" s="53"/>
      <c r="BS301" s="53"/>
      <c r="BT301" s="53"/>
      <c r="BU301" s="53"/>
      <c r="BV301" s="53"/>
      <c r="BW301" s="53"/>
      <c r="BX301" s="53"/>
      <c r="BY301" s="53"/>
      <c r="BZ301" s="53"/>
      <c r="CA301" s="53"/>
      <c r="CB301" s="53"/>
      <c r="CC301" s="53"/>
      <c r="CD301" s="53"/>
      <c r="CE301" s="53"/>
      <c r="CF301" s="53"/>
      <c r="CG301" s="53"/>
      <c r="CH301" s="53"/>
      <c r="CI301" s="53"/>
      <c r="CJ301" s="53"/>
      <c r="CK301" s="53"/>
    </row>
    <row r="302" spans="1:89" s="51" customFormat="1" ht="33" customHeight="1">
      <c r="A302" s="74"/>
      <c r="B302" s="74"/>
      <c r="C302" s="74"/>
      <c r="D302" s="74"/>
      <c r="E302" s="74"/>
      <c r="F302" s="74"/>
      <c r="G302" s="75"/>
      <c r="H302" s="76"/>
      <c r="I302" s="52"/>
      <c r="J302" s="52"/>
      <c r="K302" s="52"/>
      <c r="L302" s="41"/>
      <c r="M302" s="41"/>
      <c r="N302" s="41"/>
      <c r="O302" s="41"/>
      <c r="P302" s="41"/>
      <c r="Q302" s="41"/>
      <c r="R302" s="41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  <c r="CG302" s="41"/>
      <c r="CH302" s="41"/>
      <c r="CI302" s="41"/>
      <c r="CJ302" s="41"/>
      <c r="CK302" s="41"/>
    </row>
    <row r="303" spans="1:89" s="51" customFormat="1" ht="33" customHeight="1">
      <c r="A303" s="74"/>
      <c r="B303" s="74"/>
      <c r="C303" s="74"/>
      <c r="D303" s="74"/>
      <c r="E303" s="74"/>
      <c r="F303" s="74"/>
      <c r="G303" s="75"/>
      <c r="H303" s="76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  <c r="BE303" s="53"/>
      <c r="BF303" s="53"/>
      <c r="BG303" s="53"/>
      <c r="BH303" s="53"/>
      <c r="BI303" s="53"/>
      <c r="BJ303" s="53"/>
      <c r="BK303" s="53"/>
      <c r="BL303" s="53"/>
      <c r="BM303" s="53"/>
      <c r="BN303" s="53"/>
      <c r="BO303" s="53"/>
      <c r="BP303" s="53"/>
      <c r="BQ303" s="53"/>
      <c r="BR303" s="53"/>
      <c r="BS303" s="53"/>
      <c r="BT303" s="53"/>
      <c r="BU303" s="53"/>
      <c r="BV303" s="53"/>
      <c r="BW303" s="53"/>
      <c r="BX303" s="53"/>
      <c r="BY303" s="53"/>
      <c r="BZ303" s="53"/>
      <c r="CA303" s="53"/>
      <c r="CB303" s="53"/>
      <c r="CC303" s="53"/>
      <c r="CD303" s="53"/>
      <c r="CE303" s="53"/>
      <c r="CF303" s="53"/>
      <c r="CG303" s="53"/>
      <c r="CH303" s="53"/>
      <c r="CI303" s="53"/>
      <c r="CJ303" s="53"/>
      <c r="CK303" s="53"/>
    </row>
    <row r="304" spans="1:89" s="51" customFormat="1" ht="33" customHeight="1">
      <c r="A304" s="74"/>
      <c r="B304" s="74"/>
      <c r="C304" s="74"/>
      <c r="D304" s="74"/>
      <c r="E304" s="74"/>
      <c r="F304" s="74"/>
      <c r="G304" s="75"/>
      <c r="H304" s="76"/>
      <c r="I304" s="52"/>
      <c r="J304" s="52"/>
      <c r="K304" s="52"/>
      <c r="L304" s="41"/>
      <c r="M304" s="41"/>
      <c r="N304" s="41"/>
      <c r="O304" s="41"/>
      <c r="P304" s="41"/>
      <c r="Q304" s="41"/>
      <c r="R304" s="41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  <c r="CG304" s="41"/>
      <c r="CH304" s="41"/>
      <c r="CI304" s="41"/>
      <c r="CJ304" s="41"/>
      <c r="CK304" s="41"/>
    </row>
    <row r="305" spans="1:89" s="51" customFormat="1" ht="33" customHeight="1">
      <c r="A305" s="74"/>
      <c r="B305" s="74"/>
      <c r="C305" s="74"/>
      <c r="D305" s="74"/>
      <c r="E305" s="74"/>
      <c r="F305" s="74"/>
      <c r="G305" s="75"/>
      <c r="H305" s="76"/>
      <c r="I305" s="52"/>
      <c r="J305" s="52"/>
      <c r="K305" s="52"/>
      <c r="L305" s="41"/>
      <c r="M305" s="41"/>
      <c r="N305" s="41"/>
      <c r="O305" s="41"/>
      <c r="P305" s="41"/>
      <c r="Q305" s="41"/>
      <c r="R305" s="41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  <c r="CG305" s="41"/>
      <c r="CH305" s="41"/>
      <c r="CI305" s="41"/>
      <c r="CJ305" s="41"/>
      <c r="CK305" s="41"/>
    </row>
    <row r="306" spans="1:89" s="51" customFormat="1" ht="33" customHeight="1">
      <c r="A306" s="74"/>
      <c r="B306" s="74"/>
      <c r="C306" s="74"/>
      <c r="D306" s="74"/>
      <c r="E306" s="74"/>
      <c r="F306" s="74"/>
      <c r="G306" s="75"/>
      <c r="H306" s="76"/>
      <c r="I306" s="52"/>
      <c r="J306" s="52"/>
      <c r="K306" s="52"/>
      <c r="L306" s="41"/>
      <c r="M306" s="41"/>
      <c r="N306" s="41"/>
      <c r="O306" s="41"/>
      <c r="P306" s="41"/>
      <c r="Q306" s="41"/>
      <c r="R306" s="41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  <c r="CG306" s="41"/>
      <c r="CH306" s="41"/>
      <c r="CI306" s="41"/>
      <c r="CJ306" s="41"/>
      <c r="CK306" s="41"/>
    </row>
    <row r="307" spans="1:89" s="51" customFormat="1" ht="33" customHeight="1">
      <c r="A307" s="74"/>
      <c r="B307" s="74"/>
      <c r="C307" s="74"/>
      <c r="D307" s="74"/>
      <c r="E307" s="74"/>
      <c r="F307" s="74"/>
      <c r="G307" s="75"/>
      <c r="H307" s="76"/>
      <c r="I307" s="52"/>
      <c r="J307" s="52"/>
      <c r="K307" s="52"/>
      <c r="L307" s="41"/>
      <c r="M307" s="41"/>
      <c r="N307" s="41"/>
      <c r="O307" s="41"/>
      <c r="P307" s="41"/>
      <c r="Q307" s="41"/>
      <c r="R307" s="41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  <c r="CG307" s="41"/>
      <c r="CH307" s="41"/>
      <c r="CI307" s="41"/>
      <c r="CJ307" s="41"/>
      <c r="CK307" s="41"/>
    </row>
    <row r="308" spans="1:89" s="51" customFormat="1" ht="33" customHeight="1">
      <c r="A308" s="74"/>
      <c r="B308" s="74"/>
      <c r="C308" s="74"/>
      <c r="D308" s="74"/>
      <c r="E308" s="74"/>
      <c r="F308" s="74"/>
      <c r="G308" s="75"/>
      <c r="H308" s="76"/>
      <c r="I308" s="52"/>
      <c r="J308" s="52"/>
      <c r="K308" s="52"/>
      <c r="L308" s="41"/>
      <c r="M308" s="41"/>
      <c r="N308" s="41"/>
      <c r="O308" s="41"/>
      <c r="P308" s="41"/>
      <c r="Q308" s="41"/>
      <c r="R308" s="41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  <c r="CG308" s="41"/>
      <c r="CH308" s="41"/>
      <c r="CI308" s="41"/>
      <c r="CJ308" s="41"/>
      <c r="CK308" s="41"/>
    </row>
    <row r="309" spans="1:89" s="51" customFormat="1" ht="33" customHeight="1">
      <c r="A309" s="74"/>
      <c r="B309" s="74"/>
      <c r="C309" s="74"/>
      <c r="D309" s="74"/>
      <c r="E309" s="74"/>
      <c r="F309" s="74"/>
      <c r="G309" s="75"/>
      <c r="H309" s="76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  <c r="BE309" s="53"/>
      <c r="BF309" s="53"/>
      <c r="BG309" s="53"/>
      <c r="BH309" s="53"/>
      <c r="BI309" s="53"/>
      <c r="BJ309" s="53"/>
      <c r="BK309" s="53"/>
      <c r="BL309" s="53"/>
      <c r="BM309" s="53"/>
      <c r="BN309" s="53"/>
      <c r="BO309" s="53"/>
      <c r="BP309" s="53"/>
      <c r="BQ309" s="53"/>
      <c r="BR309" s="53"/>
      <c r="BS309" s="53"/>
      <c r="BT309" s="53"/>
      <c r="BU309" s="53"/>
      <c r="BV309" s="53"/>
      <c r="BW309" s="53"/>
      <c r="BX309" s="53"/>
      <c r="BY309" s="53"/>
      <c r="BZ309" s="53"/>
      <c r="CA309" s="53"/>
      <c r="CB309" s="53"/>
      <c r="CC309" s="53"/>
      <c r="CD309" s="53"/>
      <c r="CE309" s="53"/>
      <c r="CF309" s="53"/>
      <c r="CG309" s="53"/>
      <c r="CH309" s="53"/>
      <c r="CI309" s="53"/>
      <c r="CJ309" s="53"/>
      <c r="CK309" s="53"/>
    </row>
    <row r="310" spans="1:89" s="51" customFormat="1" ht="33" customHeight="1">
      <c r="A310" s="74"/>
      <c r="B310" s="74"/>
      <c r="C310" s="74"/>
      <c r="D310" s="74"/>
      <c r="E310" s="74"/>
      <c r="F310" s="74"/>
      <c r="G310" s="75"/>
      <c r="H310" s="76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  <c r="BE310" s="53"/>
      <c r="BF310" s="53"/>
      <c r="BG310" s="53"/>
      <c r="BH310" s="53"/>
      <c r="BI310" s="53"/>
      <c r="BJ310" s="53"/>
      <c r="BK310" s="53"/>
      <c r="BL310" s="53"/>
      <c r="BM310" s="53"/>
      <c r="BN310" s="53"/>
      <c r="BO310" s="53"/>
      <c r="BP310" s="53"/>
      <c r="BQ310" s="53"/>
      <c r="BR310" s="53"/>
      <c r="BS310" s="53"/>
      <c r="BT310" s="53"/>
      <c r="BU310" s="53"/>
      <c r="BV310" s="53"/>
      <c r="BW310" s="53"/>
      <c r="BX310" s="53"/>
      <c r="BY310" s="53"/>
      <c r="BZ310" s="53"/>
      <c r="CA310" s="53"/>
      <c r="CB310" s="53"/>
      <c r="CC310" s="53"/>
      <c r="CD310" s="53"/>
      <c r="CE310" s="53"/>
      <c r="CF310" s="53"/>
      <c r="CG310" s="53"/>
      <c r="CH310" s="53"/>
      <c r="CI310" s="53"/>
      <c r="CJ310" s="53"/>
      <c r="CK310" s="53"/>
    </row>
    <row r="311" spans="1:89" s="51" customFormat="1" ht="33" customHeight="1">
      <c r="A311" s="74"/>
      <c r="B311" s="74"/>
      <c r="C311" s="74"/>
      <c r="D311" s="74"/>
      <c r="E311" s="74"/>
      <c r="F311" s="74"/>
      <c r="G311" s="75"/>
      <c r="H311" s="76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  <c r="BE311" s="53"/>
      <c r="BF311" s="53"/>
      <c r="BG311" s="53"/>
      <c r="BH311" s="53"/>
      <c r="BI311" s="53"/>
      <c r="BJ311" s="53"/>
      <c r="BK311" s="53"/>
      <c r="BL311" s="53"/>
      <c r="BM311" s="53"/>
      <c r="BN311" s="53"/>
      <c r="BO311" s="53"/>
      <c r="BP311" s="53"/>
      <c r="BQ311" s="53"/>
      <c r="BR311" s="53"/>
      <c r="BS311" s="53"/>
      <c r="BT311" s="53"/>
      <c r="BU311" s="53"/>
      <c r="BV311" s="53"/>
      <c r="BW311" s="53"/>
      <c r="BX311" s="53"/>
      <c r="BY311" s="53"/>
      <c r="BZ311" s="53"/>
      <c r="CA311" s="53"/>
      <c r="CB311" s="53"/>
      <c r="CC311" s="53"/>
      <c r="CD311" s="53"/>
      <c r="CE311" s="53"/>
      <c r="CF311" s="53"/>
      <c r="CG311" s="53"/>
      <c r="CH311" s="53"/>
      <c r="CI311" s="53"/>
      <c r="CJ311" s="53"/>
      <c r="CK311" s="53"/>
    </row>
    <row r="312" spans="1:89" s="51" customFormat="1" ht="33" customHeight="1">
      <c r="A312" s="74"/>
      <c r="B312" s="74"/>
      <c r="C312" s="74"/>
      <c r="D312" s="74"/>
      <c r="E312" s="74"/>
      <c r="F312" s="74"/>
      <c r="G312" s="75"/>
      <c r="H312" s="76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  <c r="BE312" s="53"/>
      <c r="BF312" s="53"/>
      <c r="BG312" s="53"/>
      <c r="BH312" s="53"/>
      <c r="BI312" s="53"/>
      <c r="BJ312" s="53"/>
      <c r="BK312" s="53"/>
      <c r="BL312" s="53"/>
      <c r="BM312" s="53"/>
      <c r="BN312" s="53"/>
      <c r="BO312" s="53"/>
      <c r="BP312" s="53"/>
      <c r="BQ312" s="53"/>
      <c r="BR312" s="53"/>
      <c r="BS312" s="53"/>
      <c r="BT312" s="53"/>
      <c r="BU312" s="53"/>
      <c r="BV312" s="53"/>
      <c r="BW312" s="53"/>
      <c r="BX312" s="53"/>
      <c r="BY312" s="53"/>
      <c r="BZ312" s="53"/>
      <c r="CA312" s="53"/>
      <c r="CB312" s="53"/>
      <c r="CC312" s="53"/>
      <c r="CD312" s="53"/>
      <c r="CE312" s="53"/>
      <c r="CF312" s="53"/>
      <c r="CG312" s="53"/>
      <c r="CH312" s="53"/>
      <c r="CI312" s="53"/>
      <c r="CJ312" s="53"/>
      <c r="CK312" s="53"/>
    </row>
    <row r="313" spans="1:89" s="51" customFormat="1" ht="33" customHeight="1">
      <c r="A313" s="74"/>
      <c r="B313" s="74"/>
      <c r="C313" s="74"/>
      <c r="D313" s="74"/>
      <c r="E313" s="74"/>
      <c r="F313" s="74"/>
      <c r="G313" s="75"/>
      <c r="H313" s="76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  <c r="BE313" s="53"/>
      <c r="BF313" s="53"/>
      <c r="BG313" s="53"/>
      <c r="BH313" s="53"/>
      <c r="BI313" s="53"/>
      <c r="BJ313" s="53"/>
      <c r="BK313" s="53"/>
      <c r="BL313" s="53"/>
      <c r="BM313" s="53"/>
      <c r="BN313" s="53"/>
      <c r="BO313" s="53"/>
      <c r="BP313" s="53"/>
      <c r="BQ313" s="53"/>
      <c r="BR313" s="53"/>
      <c r="BS313" s="53"/>
      <c r="BT313" s="53"/>
      <c r="BU313" s="53"/>
      <c r="BV313" s="53"/>
      <c r="BW313" s="53"/>
      <c r="BX313" s="53"/>
      <c r="BY313" s="53"/>
      <c r="BZ313" s="53"/>
      <c r="CA313" s="53"/>
      <c r="CB313" s="53"/>
      <c r="CC313" s="53"/>
      <c r="CD313" s="53"/>
      <c r="CE313" s="53"/>
      <c r="CF313" s="53"/>
      <c r="CG313" s="53"/>
      <c r="CH313" s="53"/>
      <c r="CI313" s="53"/>
      <c r="CJ313" s="53"/>
      <c r="CK313" s="53"/>
    </row>
    <row r="314" spans="1:89" s="51" customFormat="1" ht="33" customHeight="1">
      <c r="A314" s="74"/>
      <c r="B314" s="74"/>
      <c r="C314" s="74"/>
      <c r="D314" s="74"/>
      <c r="E314" s="74"/>
      <c r="F314" s="74"/>
      <c r="G314" s="75"/>
      <c r="H314" s="76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  <c r="BE314" s="53"/>
      <c r="BF314" s="53"/>
      <c r="BG314" s="53"/>
      <c r="BH314" s="53"/>
      <c r="BI314" s="53"/>
      <c r="BJ314" s="53"/>
      <c r="BK314" s="53"/>
      <c r="BL314" s="53"/>
      <c r="BM314" s="53"/>
      <c r="BN314" s="53"/>
      <c r="BO314" s="53"/>
      <c r="BP314" s="53"/>
      <c r="BQ314" s="53"/>
      <c r="BR314" s="53"/>
      <c r="BS314" s="53"/>
      <c r="BT314" s="53"/>
      <c r="BU314" s="53"/>
      <c r="BV314" s="53"/>
      <c r="BW314" s="53"/>
      <c r="BX314" s="53"/>
      <c r="BY314" s="53"/>
      <c r="BZ314" s="53"/>
      <c r="CA314" s="53"/>
      <c r="CB314" s="53"/>
      <c r="CC314" s="53"/>
      <c r="CD314" s="53"/>
      <c r="CE314" s="53"/>
      <c r="CF314" s="53"/>
      <c r="CG314" s="53"/>
      <c r="CH314" s="53"/>
      <c r="CI314" s="53"/>
      <c r="CJ314" s="53"/>
      <c r="CK314" s="53"/>
    </row>
    <row r="315" spans="1:89" s="51" customFormat="1" ht="33" customHeight="1">
      <c r="A315" s="74"/>
      <c r="B315" s="74"/>
      <c r="C315" s="74"/>
      <c r="D315" s="74"/>
      <c r="E315" s="74"/>
      <c r="F315" s="74"/>
      <c r="G315" s="75"/>
      <c r="H315" s="76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  <c r="BE315" s="53"/>
      <c r="BF315" s="53"/>
      <c r="BG315" s="53"/>
      <c r="BH315" s="53"/>
      <c r="BI315" s="53"/>
      <c r="BJ315" s="53"/>
      <c r="BK315" s="53"/>
      <c r="BL315" s="53"/>
      <c r="BM315" s="53"/>
      <c r="BN315" s="53"/>
      <c r="BO315" s="53"/>
      <c r="BP315" s="53"/>
      <c r="BQ315" s="53"/>
      <c r="BR315" s="53"/>
      <c r="BS315" s="53"/>
      <c r="BT315" s="53"/>
      <c r="BU315" s="53"/>
      <c r="BV315" s="53"/>
      <c r="BW315" s="53"/>
      <c r="BX315" s="53"/>
      <c r="BY315" s="53"/>
      <c r="BZ315" s="53"/>
      <c r="CA315" s="53"/>
      <c r="CB315" s="53"/>
      <c r="CC315" s="53"/>
      <c r="CD315" s="53"/>
      <c r="CE315" s="53"/>
      <c r="CF315" s="53"/>
      <c r="CG315" s="53"/>
      <c r="CH315" s="53"/>
      <c r="CI315" s="53"/>
      <c r="CJ315" s="53"/>
      <c r="CK315" s="53"/>
    </row>
    <row r="316" spans="1:89" s="51" customFormat="1" ht="33" customHeight="1">
      <c r="A316" s="74"/>
      <c r="B316" s="74"/>
      <c r="C316" s="74"/>
      <c r="D316" s="74"/>
      <c r="E316" s="74"/>
      <c r="F316" s="74"/>
      <c r="G316" s="75"/>
      <c r="H316" s="76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  <c r="BE316" s="53"/>
      <c r="BF316" s="53"/>
      <c r="BG316" s="53"/>
      <c r="BH316" s="53"/>
      <c r="BI316" s="53"/>
      <c r="BJ316" s="53"/>
      <c r="BK316" s="53"/>
      <c r="BL316" s="53"/>
      <c r="BM316" s="53"/>
      <c r="BN316" s="53"/>
      <c r="BO316" s="53"/>
      <c r="BP316" s="53"/>
      <c r="BQ316" s="53"/>
      <c r="BR316" s="53"/>
      <c r="BS316" s="53"/>
      <c r="BT316" s="53"/>
      <c r="BU316" s="53"/>
      <c r="BV316" s="53"/>
      <c r="BW316" s="53"/>
      <c r="BX316" s="53"/>
      <c r="BY316" s="53"/>
      <c r="BZ316" s="53"/>
      <c r="CA316" s="53"/>
      <c r="CB316" s="53"/>
      <c r="CC316" s="53"/>
      <c r="CD316" s="53"/>
      <c r="CE316" s="53"/>
      <c r="CF316" s="53"/>
      <c r="CG316" s="53"/>
      <c r="CH316" s="53"/>
      <c r="CI316" s="53"/>
      <c r="CJ316" s="53"/>
      <c r="CK316" s="53"/>
    </row>
    <row r="317" spans="1:89" s="51" customFormat="1" ht="33" customHeight="1">
      <c r="A317" s="74"/>
      <c r="B317" s="74"/>
      <c r="C317" s="74"/>
      <c r="D317" s="74"/>
      <c r="E317" s="74"/>
      <c r="F317" s="74"/>
      <c r="G317" s="75"/>
      <c r="H317" s="76"/>
      <c r="I317" s="52"/>
      <c r="J317" s="52"/>
      <c r="K317" s="52"/>
      <c r="L317" s="41"/>
      <c r="M317" s="41"/>
      <c r="N317" s="41"/>
      <c r="O317" s="41"/>
      <c r="P317" s="41"/>
      <c r="Q317" s="41"/>
      <c r="R317" s="41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  <c r="CG317" s="41"/>
      <c r="CH317" s="41"/>
      <c r="CI317" s="41"/>
      <c r="CJ317" s="41"/>
      <c r="CK317" s="41"/>
    </row>
    <row r="318" spans="1:89" s="51" customFormat="1" ht="33" customHeight="1">
      <c r="A318" s="74"/>
      <c r="B318" s="74"/>
      <c r="C318" s="74"/>
      <c r="D318" s="74"/>
      <c r="E318" s="74"/>
      <c r="F318" s="74"/>
      <c r="G318" s="75"/>
      <c r="H318" s="76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  <c r="BE318" s="53"/>
      <c r="BF318" s="53"/>
      <c r="BG318" s="53"/>
      <c r="BH318" s="53"/>
      <c r="BI318" s="53"/>
      <c r="BJ318" s="53"/>
      <c r="BK318" s="53"/>
      <c r="BL318" s="53"/>
      <c r="BM318" s="53"/>
      <c r="BN318" s="53"/>
      <c r="BO318" s="53"/>
      <c r="BP318" s="53"/>
      <c r="BQ318" s="53"/>
      <c r="BR318" s="53"/>
      <c r="BS318" s="53"/>
      <c r="BT318" s="53"/>
      <c r="BU318" s="53"/>
      <c r="BV318" s="53"/>
      <c r="BW318" s="53"/>
      <c r="BX318" s="53"/>
      <c r="BY318" s="53"/>
      <c r="BZ318" s="53"/>
      <c r="CA318" s="53"/>
      <c r="CB318" s="53"/>
      <c r="CC318" s="53"/>
      <c r="CD318" s="53"/>
      <c r="CE318" s="53"/>
      <c r="CF318" s="53"/>
      <c r="CG318" s="53"/>
      <c r="CH318" s="53"/>
      <c r="CI318" s="53"/>
      <c r="CJ318" s="53"/>
      <c r="CK318" s="53"/>
    </row>
    <row r="319" spans="1:89" s="51" customFormat="1" ht="33" customHeight="1">
      <c r="A319" s="74"/>
      <c r="B319" s="74"/>
      <c r="C319" s="74"/>
      <c r="D319" s="74"/>
      <c r="E319" s="74"/>
      <c r="F319" s="74"/>
      <c r="G319" s="75"/>
      <c r="H319" s="76"/>
      <c r="I319" s="52"/>
      <c r="J319" s="52"/>
      <c r="K319" s="52"/>
      <c r="L319" s="41"/>
      <c r="M319" s="41"/>
      <c r="N319" s="41"/>
      <c r="O319" s="41"/>
      <c r="P319" s="41"/>
      <c r="Q319" s="41"/>
      <c r="R319" s="41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  <c r="CG319" s="41"/>
      <c r="CH319" s="41"/>
      <c r="CI319" s="41"/>
      <c r="CJ319" s="41"/>
      <c r="CK319" s="41"/>
    </row>
    <row r="320" spans="1:89" s="51" customFormat="1" ht="33" customHeight="1">
      <c r="A320" s="74"/>
      <c r="B320" s="74"/>
      <c r="C320" s="74"/>
      <c r="D320" s="74"/>
      <c r="E320" s="74"/>
      <c r="F320" s="74"/>
      <c r="G320" s="75"/>
      <c r="H320" s="76"/>
      <c r="I320" s="52"/>
      <c r="J320" s="52"/>
      <c r="K320" s="52"/>
      <c r="L320" s="41"/>
      <c r="M320" s="41"/>
      <c r="N320" s="41"/>
      <c r="O320" s="41"/>
      <c r="P320" s="41"/>
      <c r="Q320" s="41"/>
      <c r="R320" s="41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  <c r="CG320" s="41"/>
      <c r="CH320" s="41"/>
      <c r="CI320" s="41"/>
      <c r="CJ320" s="41"/>
      <c r="CK320" s="41"/>
    </row>
    <row r="321" spans="1:89" s="51" customFormat="1" ht="33" customHeight="1">
      <c r="A321" s="74"/>
      <c r="B321" s="74"/>
      <c r="C321" s="74"/>
      <c r="D321" s="74"/>
      <c r="E321" s="74"/>
      <c r="F321" s="74"/>
      <c r="G321" s="75"/>
      <c r="H321" s="76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  <c r="BE321" s="53"/>
      <c r="BF321" s="53"/>
      <c r="BG321" s="53"/>
      <c r="BH321" s="53"/>
      <c r="BI321" s="53"/>
      <c r="BJ321" s="53"/>
      <c r="BK321" s="53"/>
      <c r="BL321" s="53"/>
      <c r="BM321" s="53"/>
      <c r="BN321" s="53"/>
      <c r="BO321" s="53"/>
      <c r="BP321" s="53"/>
      <c r="BQ321" s="53"/>
      <c r="BR321" s="53"/>
      <c r="BS321" s="53"/>
      <c r="BT321" s="53"/>
      <c r="BU321" s="53"/>
      <c r="BV321" s="53"/>
      <c r="BW321" s="53"/>
      <c r="BX321" s="53"/>
      <c r="BY321" s="53"/>
      <c r="BZ321" s="53"/>
      <c r="CA321" s="53"/>
      <c r="CB321" s="53"/>
      <c r="CC321" s="53"/>
      <c r="CD321" s="53"/>
      <c r="CE321" s="53"/>
      <c r="CF321" s="53"/>
      <c r="CG321" s="53"/>
      <c r="CH321" s="53"/>
      <c r="CI321" s="53"/>
      <c r="CJ321" s="53"/>
      <c r="CK321" s="53"/>
    </row>
    <row r="322" spans="1:89" s="51" customFormat="1" ht="33" customHeight="1">
      <c r="A322" s="74"/>
      <c r="B322" s="74"/>
      <c r="C322" s="74"/>
      <c r="D322" s="74"/>
      <c r="E322" s="74"/>
      <c r="F322" s="74"/>
      <c r="G322" s="75"/>
      <c r="H322" s="76"/>
      <c r="I322" s="52"/>
      <c r="J322" s="52"/>
      <c r="K322" s="52"/>
      <c r="L322" s="41"/>
      <c r="M322" s="41"/>
      <c r="N322" s="41"/>
      <c r="O322" s="41"/>
      <c r="P322" s="41"/>
      <c r="Q322" s="41"/>
      <c r="R322" s="41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  <c r="CG322" s="41"/>
      <c r="CH322" s="41"/>
      <c r="CI322" s="41"/>
      <c r="CJ322" s="41"/>
      <c r="CK322" s="41"/>
    </row>
    <row r="323" spans="1:89" s="51" customFormat="1" ht="33" customHeight="1">
      <c r="A323" s="74"/>
      <c r="B323" s="74"/>
      <c r="C323" s="74"/>
      <c r="D323" s="74"/>
      <c r="E323" s="74"/>
      <c r="F323" s="74"/>
      <c r="G323" s="75"/>
      <c r="H323" s="76"/>
      <c r="I323" s="52"/>
      <c r="J323" s="52"/>
      <c r="K323" s="52"/>
      <c r="L323" s="41"/>
      <c r="M323" s="41"/>
      <c r="N323" s="41"/>
      <c r="O323" s="41"/>
      <c r="P323" s="41"/>
      <c r="Q323" s="41"/>
      <c r="R323" s="41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  <c r="CG323" s="41"/>
      <c r="CH323" s="41"/>
      <c r="CI323" s="41"/>
      <c r="CJ323" s="41"/>
      <c r="CK323" s="41"/>
    </row>
    <row r="324" spans="1:89" s="51" customFormat="1" ht="33" customHeight="1">
      <c r="A324" s="74"/>
      <c r="B324" s="74"/>
      <c r="C324" s="74"/>
      <c r="D324" s="74"/>
      <c r="E324" s="74"/>
      <c r="F324" s="74"/>
      <c r="G324" s="75"/>
      <c r="H324" s="76"/>
      <c r="I324" s="52"/>
      <c r="J324" s="52"/>
      <c r="K324" s="52"/>
      <c r="L324" s="41"/>
      <c r="M324" s="41"/>
      <c r="N324" s="41"/>
      <c r="O324" s="41"/>
      <c r="P324" s="41"/>
      <c r="Q324" s="41"/>
      <c r="R324" s="41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  <c r="CG324" s="41"/>
      <c r="CH324" s="41"/>
      <c r="CI324" s="41"/>
      <c r="CJ324" s="41"/>
      <c r="CK324" s="41"/>
    </row>
    <row r="325" spans="1:89" s="51" customFormat="1" ht="33" customHeight="1">
      <c r="A325" s="74"/>
      <c r="B325" s="74"/>
      <c r="C325" s="74"/>
      <c r="D325" s="74"/>
      <c r="E325" s="74"/>
      <c r="F325" s="74"/>
      <c r="G325" s="75"/>
      <c r="H325" s="76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  <c r="BE325" s="53"/>
      <c r="BF325" s="53"/>
      <c r="BG325" s="53"/>
      <c r="BH325" s="53"/>
      <c r="BI325" s="53"/>
      <c r="BJ325" s="53"/>
      <c r="BK325" s="53"/>
      <c r="BL325" s="53"/>
      <c r="BM325" s="53"/>
      <c r="BN325" s="53"/>
      <c r="BO325" s="53"/>
      <c r="BP325" s="53"/>
      <c r="BQ325" s="53"/>
      <c r="BR325" s="53"/>
      <c r="BS325" s="53"/>
      <c r="BT325" s="53"/>
      <c r="BU325" s="53"/>
      <c r="BV325" s="53"/>
      <c r="BW325" s="53"/>
      <c r="BX325" s="53"/>
      <c r="BY325" s="53"/>
      <c r="BZ325" s="53"/>
      <c r="CA325" s="53"/>
      <c r="CB325" s="53"/>
      <c r="CC325" s="53"/>
      <c r="CD325" s="53"/>
      <c r="CE325" s="53"/>
      <c r="CF325" s="53"/>
      <c r="CG325" s="53"/>
      <c r="CH325" s="53"/>
      <c r="CI325" s="53"/>
      <c r="CJ325" s="53"/>
      <c r="CK325" s="53"/>
    </row>
    <row r="326" spans="1:89" s="51" customFormat="1" ht="33" customHeight="1">
      <c r="A326" s="74"/>
      <c r="B326" s="74"/>
      <c r="C326" s="74"/>
      <c r="D326" s="74"/>
      <c r="E326" s="74"/>
      <c r="F326" s="74"/>
      <c r="G326" s="75"/>
      <c r="H326" s="76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  <c r="BE326" s="53"/>
      <c r="BF326" s="53"/>
      <c r="BG326" s="53"/>
      <c r="BH326" s="53"/>
      <c r="BI326" s="53"/>
      <c r="BJ326" s="53"/>
      <c r="BK326" s="53"/>
      <c r="BL326" s="53"/>
      <c r="BM326" s="53"/>
      <c r="BN326" s="53"/>
      <c r="BO326" s="53"/>
      <c r="BP326" s="53"/>
      <c r="BQ326" s="53"/>
      <c r="BR326" s="53"/>
      <c r="BS326" s="53"/>
      <c r="BT326" s="53"/>
      <c r="BU326" s="53"/>
      <c r="BV326" s="53"/>
      <c r="BW326" s="53"/>
      <c r="BX326" s="53"/>
      <c r="BY326" s="53"/>
      <c r="BZ326" s="53"/>
      <c r="CA326" s="53"/>
      <c r="CB326" s="53"/>
      <c r="CC326" s="53"/>
      <c r="CD326" s="53"/>
      <c r="CE326" s="53"/>
      <c r="CF326" s="53"/>
      <c r="CG326" s="53"/>
      <c r="CH326" s="53"/>
      <c r="CI326" s="53"/>
      <c r="CJ326" s="53"/>
      <c r="CK326" s="53"/>
    </row>
    <row r="327" spans="1:89" s="51" customFormat="1" ht="33" customHeight="1">
      <c r="A327" s="74"/>
      <c r="B327" s="74"/>
      <c r="C327" s="74"/>
      <c r="D327" s="74"/>
      <c r="E327" s="74"/>
      <c r="F327" s="74"/>
      <c r="G327" s="75"/>
      <c r="H327" s="76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  <c r="BE327" s="53"/>
      <c r="BF327" s="53"/>
      <c r="BG327" s="53"/>
      <c r="BH327" s="53"/>
      <c r="BI327" s="53"/>
      <c r="BJ327" s="53"/>
      <c r="BK327" s="53"/>
      <c r="BL327" s="53"/>
      <c r="BM327" s="53"/>
      <c r="BN327" s="53"/>
      <c r="BO327" s="53"/>
      <c r="BP327" s="53"/>
      <c r="BQ327" s="53"/>
      <c r="BR327" s="53"/>
      <c r="BS327" s="53"/>
      <c r="BT327" s="53"/>
      <c r="BU327" s="53"/>
      <c r="BV327" s="53"/>
      <c r="BW327" s="53"/>
      <c r="BX327" s="53"/>
      <c r="BY327" s="53"/>
      <c r="BZ327" s="53"/>
      <c r="CA327" s="53"/>
      <c r="CB327" s="53"/>
      <c r="CC327" s="53"/>
      <c r="CD327" s="53"/>
      <c r="CE327" s="53"/>
      <c r="CF327" s="53"/>
      <c r="CG327" s="53"/>
      <c r="CH327" s="53"/>
      <c r="CI327" s="53"/>
      <c r="CJ327" s="53"/>
      <c r="CK327" s="53"/>
    </row>
    <row r="328" spans="1:89" s="51" customFormat="1" ht="33" customHeight="1">
      <c r="A328" s="74"/>
      <c r="B328" s="74"/>
      <c r="C328" s="74"/>
      <c r="D328" s="74"/>
      <c r="E328" s="74"/>
      <c r="F328" s="74"/>
      <c r="G328" s="75"/>
      <c r="H328" s="76"/>
      <c r="I328" s="52"/>
      <c r="J328" s="52"/>
      <c r="K328" s="52"/>
      <c r="L328" s="41"/>
      <c r="M328" s="41"/>
      <c r="N328" s="41"/>
      <c r="O328" s="41"/>
      <c r="P328" s="41"/>
      <c r="Q328" s="41"/>
      <c r="R328" s="41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  <c r="CG328" s="41"/>
      <c r="CH328" s="41"/>
      <c r="CI328" s="41"/>
      <c r="CJ328" s="41"/>
      <c r="CK328" s="41"/>
    </row>
    <row r="329" spans="1:89" s="51" customFormat="1" ht="33" customHeight="1">
      <c r="A329" s="74"/>
      <c r="B329" s="74"/>
      <c r="C329" s="74"/>
      <c r="D329" s="74"/>
      <c r="E329" s="74"/>
      <c r="F329" s="74"/>
      <c r="G329" s="75"/>
      <c r="H329" s="76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  <c r="BE329" s="53"/>
      <c r="BF329" s="53"/>
      <c r="BG329" s="53"/>
      <c r="BH329" s="53"/>
      <c r="BI329" s="53"/>
      <c r="BJ329" s="53"/>
      <c r="BK329" s="53"/>
      <c r="BL329" s="53"/>
      <c r="BM329" s="53"/>
      <c r="BN329" s="53"/>
      <c r="BO329" s="53"/>
      <c r="BP329" s="53"/>
      <c r="BQ329" s="53"/>
      <c r="BR329" s="53"/>
      <c r="BS329" s="53"/>
      <c r="BT329" s="53"/>
      <c r="BU329" s="53"/>
      <c r="BV329" s="53"/>
      <c r="BW329" s="53"/>
      <c r="BX329" s="53"/>
      <c r="BY329" s="53"/>
      <c r="BZ329" s="53"/>
      <c r="CA329" s="53"/>
      <c r="CB329" s="53"/>
      <c r="CC329" s="53"/>
      <c r="CD329" s="53"/>
      <c r="CE329" s="53"/>
      <c r="CF329" s="53"/>
      <c r="CG329" s="53"/>
      <c r="CH329" s="53"/>
      <c r="CI329" s="53"/>
      <c r="CJ329" s="53"/>
      <c r="CK329" s="53"/>
    </row>
    <row r="330" spans="1:89" s="51" customFormat="1" ht="33" customHeight="1">
      <c r="A330" s="74"/>
      <c r="B330" s="74"/>
      <c r="C330" s="74"/>
      <c r="D330" s="74"/>
      <c r="E330" s="74"/>
      <c r="F330" s="74"/>
      <c r="G330" s="75"/>
      <c r="H330" s="76"/>
      <c r="I330" s="52"/>
      <c r="J330" s="52"/>
      <c r="K330" s="52"/>
      <c r="L330" s="41"/>
      <c r="M330" s="41"/>
      <c r="N330" s="41"/>
      <c r="O330" s="41"/>
      <c r="P330" s="41"/>
      <c r="Q330" s="41"/>
      <c r="R330" s="41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  <c r="CG330" s="41"/>
      <c r="CH330" s="41"/>
      <c r="CI330" s="41"/>
      <c r="CJ330" s="41"/>
      <c r="CK330" s="41"/>
    </row>
    <row r="331" spans="1:89" s="51" customFormat="1" ht="33" customHeight="1">
      <c r="A331" s="74"/>
      <c r="B331" s="74"/>
      <c r="C331" s="74"/>
      <c r="D331" s="74"/>
      <c r="E331" s="74"/>
      <c r="F331" s="74"/>
      <c r="G331" s="75"/>
      <c r="H331" s="76"/>
      <c r="I331" s="52"/>
      <c r="J331" s="52"/>
      <c r="K331" s="52"/>
      <c r="L331" s="41"/>
      <c r="M331" s="41"/>
      <c r="N331" s="41"/>
      <c r="O331" s="41"/>
      <c r="P331" s="41"/>
      <c r="Q331" s="41"/>
      <c r="R331" s="41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  <c r="CG331" s="41"/>
      <c r="CH331" s="41"/>
      <c r="CI331" s="41"/>
      <c r="CJ331" s="41"/>
      <c r="CK331" s="41"/>
    </row>
    <row r="332" spans="1:89" s="51" customFormat="1" ht="33" customHeight="1">
      <c r="A332" s="74"/>
      <c r="B332" s="74"/>
      <c r="C332" s="74"/>
      <c r="D332" s="74"/>
      <c r="E332" s="74"/>
      <c r="F332" s="74"/>
      <c r="G332" s="75"/>
      <c r="H332" s="76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  <c r="BE332" s="53"/>
      <c r="BF332" s="53"/>
      <c r="BG332" s="53"/>
      <c r="BH332" s="53"/>
      <c r="BI332" s="53"/>
      <c r="BJ332" s="53"/>
      <c r="BK332" s="53"/>
      <c r="BL332" s="53"/>
      <c r="BM332" s="53"/>
      <c r="BN332" s="53"/>
      <c r="BO332" s="53"/>
      <c r="BP332" s="53"/>
      <c r="BQ332" s="53"/>
      <c r="BR332" s="53"/>
      <c r="BS332" s="53"/>
      <c r="BT332" s="53"/>
      <c r="BU332" s="53"/>
      <c r="BV332" s="53"/>
      <c r="BW332" s="53"/>
      <c r="BX332" s="53"/>
      <c r="BY332" s="53"/>
      <c r="BZ332" s="53"/>
      <c r="CA332" s="53"/>
      <c r="CB332" s="53"/>
      <c r="CC332" s="53"/>
      <c r="CD332" s="53"/>
      <c r="CE332" s="53"/>
      <c r="CF332" s="53"/>
      <c r="CG332" s="53"/>
      <c r="CH332" s="53"/>
      <c r="CI332" s="53"/>
      <c r="CJ332" s="53"/>
      <c r="CK332" s="53"/>
    </row>
    <row r="333" spans="1:89" s="51" customFormat="1" ht="33" customHeight="1">
      <c r="A333" s="74"/>
      <c r="B333" s="74"/>
      <c r="C333" s="74"/>
      <c r="D333" s="74"/>
      <c r="E333" s="74"/>
      <c r="F333" s="74"/>
      <c r="G333" s="75"/>
      <c r="H333" s="76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  <c r="BE333" s="53"/>
      <c r="BF333" s="53"/>
      <c r="BG333" s="53"/>
      <c r="BH333" s="53"/>
      <c r="BI333" s="53"/>
      <c r="BJ333" s="53"/>
      <c r="BK333" s="53"/>
      <c r="BL333" s="53"/>
      <c r="BM333" s="53"/>
      <c r="BN333" s="53"/>
      <c r="BO333" s="53"/>
      <c r="BP333" s="53"/>
      <c r="BQ333" s="53"/>
      <c r="BR333" s="53"/>
      <c r="BS333" s="53"/>
      <c r="BT333" s="53"/>
      <c r="BU333" s="53"/>
      <c r="BV333" s="53"/>
      <c r="BW333" s="53"/>
      <c r="BX333" s="53"/>
      <c r="BY333" s="53"/>
      <c r="BZ333" s="53"/>
      <c r="CA333" s="53"/>
      <c r="CB333" s="53"/>
      <c r="CC333" s="53"/>
      <c r="CD333" s="53"/>
      <c r="CE333" s="53"/>
      <c r="CF333" s="53"/>
      <c r="CG333" s="53"/>
      <c r="CH333" s="53"/>
      <c r="CI333" s="53"/>
      <c r="CJ333" s="53"/>
      <c r="CK333" s="53"/>
    </row>
    <row r="334" spans="1:89" s="51" customFormat="1" ht="33" customHeight="1">
      <c r="A334" s="74"/>
      <c r="B334" s="74"/>
      <c r="C334" s="74"/>
      <c r="D334" s="74"/>
      <c r="E334" s="74"/>
      <c r="F334" s="74"/>
      <c r="G334" s="75"/>
      <c r="H334" s="76"/>
      <c r="I334" s="52"/>
      <c r="J334" s="52"/>
      <c r="K334" s="52"/>
      <c r="L334" s="41"/>
      <c r="M334" s="41"/>
      <c r="N334" s="41"/>
      <c r="O334" s="41"/>
      <c r="P334" s="41"/>
      <c r="Q334" s="41"/>
      <c r="R334" s="41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  <c r="BV334" s="41"/>
      <c r="BW334" s="41"/>
      <c r="BX334" s="41"/>
      <c r="BY334" s="41"/>
      <c r="BZ334" s="41"/>
      <c r="CA334" s="41"/>
      <c r="CB334" s="41"/>
      <c r="CC334" s="41"/>
      <c r="CD334" s="41"/>
      <c r="CE334" s="41"/>
      <c r="CF334" s="41"/>
      <c r="CG334" s="41"/>
      <c r="CH334" s="41"/>
      <c r="CI334" s="41"/>
      <c r="CJ334" s="41"/>
      <c r="CK334" s="41"/>
    </row>
    <row r="335" spans="1:89" s="51" customFormat="1" ht="33" customHeight="1">
      <c r="A335" s="74"/>
      <c r="B335" s="74"/>
      <c r="C335" s="74"/>
      <c r="D335" s="74"/>
      <c r="E335" s="74"/>
      <c r="F335" s="74"/>
      <c r="G335" s="75"/>
      <c r="H335" s="76"/>
      <c r="I335" s="52"/>
      <c r="J335" s="52"/>
      <c r="K335" s="52"/>
      <c r="L335" s="41"/>
      <c r="M335" s="41"/>
      <c r="N335" s="41"/>
      <c r="O335" s="41"/>
      <c r="P335" s="41"/>
      <c r="Q335" s="41"/>
      <c r="R335" s="41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41"/>
      <c r="CF335" s="41"/>
      <c r="CG335" s="41"/>
      <c r="CH335" s="41"/>
      <c r="CI335" s="41"/>
      <c r="CJ335" s="41"/>
      <c r="CK335" s="41"/>
    </row>
    <row r="336" spans="1:89" s="51" customFormat="1" ht="33" customHeight="1">
      <c r="A336" s="74"/>
      <c r="B336" s="74"/>
      <c r="C336" s="74"/>
      <c r="D336" s="74"/>
      <c r="E336" s="74"/>
      <c r="F336" s="74"/>
      <c r="G336" s="75"/>
      <c r="H336" s="76"/>
      <c r="I336" s="52"/>
      <c r="J336" s="52"/>
      <c r="K336" s="52"/>
      <c r="L336" s="41"/>
      <c r="M336" s="41"/>
      <c r="N336" s="41"/>
      <c r="O336" s="41"/>
      <c r="P336" s="41"/>
      <c r="Q336" s="41"/>
      <c r="R336" s="41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  <c r="BV336" s="41"/>
      <c r="BW336" s="41"/>
      <c r="BX336" s="41"/>
      <c r="BY336" s="41"/>
      <c r="BZ336" s="41"/>
      <c r="CA336" s="41"/>
      <c r="CB336" s="41"/>
      <c r="CC336" s="41"/>
      <c r="CD336" s="41"/>
      <c r="CE336" s="41"/>
      <c r="CF336" s="41"/>
      <c r="CG336" s="41"/>
      <c r="CH336" s="41"/>
      <c r="CI336" s="41"/>
      <c r="CJ336" s="41"/>
      <c r="CK336" s="41"/>
    </row>
    <row r="337" spans="1:89" s="51" customFormat="1" ht="33" customHeight="1">
      <c r="A337" s="74"/>
      <c r="B337" s="74"/>
      <c r="C337" s="74"/>
      <c r="D337" s="74"/>
      <c r="E337" s="74"/>
      <c r="F337" s="74"/>
      <c r="G337" s="75"/>
      <c r="H337" s="76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  <c r="BE337" s="53"/>
      <c r="BF337" s="53"/>
      <c r="BG337" s="53"/>
      <c r="BH337" s="53"/>
      <c r="BI337" s="53"/>
      <c r="BJ337" s="53"/>
      <c r="BK337" s="53"/>
      <c r="BL337" s="53"/>
      <c r="BM337" s="53"/>
      <c r="BN337" s="53"/>
      <c r="BO337" s="53"/>
      <c r="BP337" s="53"/>
      <c r="BQ337" s="53"/>
      <c r="BR337" s="53"/>
      <c r="BS337" s="53"/>
      <c r="BT337" s="53"/>
      <c r="BU337" s="53"/>
      <c r="BV337" s="53"/>
      <c r="BW337" s="53"/>
      <c r="BX337" s="53"/>
      <c r="BY337" s="53"/>
      <c r="BZ337" s="53"/>
      <c r="CA337" s="53"/>
      <c r="CB337" s="53"/>
      <c r="CC337" s="53"/>
      <c r="CD337" s="53"/>
      <c r="CE337" s="53"/>
      <c r="CF337" s="53"/>
      <c r="CG337" s="53"/>
      <c r="CH337" s="53"/>
      <c r="CI337" s="53"/>
      <c r="CJ337" s="53"/>
      <c r="CK337" s="53"/>
    </row>
    <row r="338" spans="1:89" s="51" customFormat="1" ht="33" customHeight="1">
      <c r="A338" s="74"/>
      <c r="B338" s="74"/>
      <c r="C338" s="74"/>
      <c r="D338" s="74"/>
      <c r="E338" s="74"/>
      <c r="F338" s="74"/>
      <c r="G338" s="75"/>
      <c r="H338" s="76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  <c r="BE338" s="53"/>
      <c r="BF338" s="53"/>
      <c r="BG338" s="53"/>
      <c r="BH338" s="53"/>
      <c r="BI338" s="53"/>
      <c r="BJ338" s="53"/>
      <c r="BK338" s="53"/>
      <c r="BL338" s="53"/>
      <c r="BM338" s="53"/>
      <c r="BN338" s="53"/>
      <c r="BO338" s="53"/>
      <c r="BP338" s="53"/>
      <c r="BQ338" s="53"/>
      <c r="BR338" s="53"/>
      <c r="BS338" s="53"/>
      <c r="BT338" s="53"/>
      <c r="BU338" s="53"/>
      <c r="BV338" s="53"/>
      <c r="BW338" s="53"/>
      <c r="BX338" s="53"/>
      <c r="BY338" s="53"/>
      <c r="BZ338" s="53"/>
      <c r="CA338" s="53"/>
      <c r="CB338" s="53"/>
      <c r="CC338" s="53"/>
      <c r="CD338" s="53"/>
      <c r="CE338" s="53"/>
      <c r="CF338" s="53"/>
      <c r="CG338" s="53"/>
      <c r="CH338" s="53"/>
      <c r="CI338" s="53"/>
      <c r="CJ338" s="53"/>
      <c r="CK338" s="53"/>
    </row>
    <row r="339" spans="1:89" s="51" customFormat="1" ht="33" customHeight="1">
      <c r="A339" s="74"/>
      <c r="B339" s="74"/>
      <c r="C339" s="74"/>
      <c r="D339" s="74"/>
      <c r="E339" s="74"/>
      <c r="F339" s="74"/>
      <c r="G339" s="75"/>
      <c r="H339" s="76"/>
      <c r="I339" s="52"/>
      <c r="J339" s="52"/>
      <c r="K339" s="52"/>
      <c r="L339" s="41"/>
      <c r="M339" s="41"/>
      <c r="N339" s="41"/>
      <c r="O339" s="41"/>
      <c r="P339" s="41"/>
      <c r="Q339" s="41"/>
      <c r="R339" s="41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  <c r="BZ339" s="41"/>
      <c r="CA339" s="41"/>
      <c r="CB339" s="41"/>
      <c r="CC339" s="41"/>
      <c r="CD339" s="41"/>
      <c r="CE339" s="41"/>
      <c r="CF339" s="41"/>
      <c r="CG339" s="41"/>
      <c r="CH339" s="41"/>
      <c r="CI339" s="41"/>
      <c r="CJ339" s="41"/>
      <c r="CK339" s="41"/>
    </row>
    <row r="340" spans="1:89" s="51" customFormat="1" ht="33" customHeight="1">
      <c r="A340" s="74"/>
      <c r="B340" s="74"/>
      <c r="C340" s="74"/>
      <c r="D340" s="74"/>
      <c r="E340" s="74"/>
      <c r="F340" s="74"/>
      <c r="G340" s="75"/>
      <c r="H340" s="76"/>
      <c r="I340" s="52"/>
      <c r="J340" s="52"/>
      <c r="K340" s="52"/>
      <c r="L340" s="41"/>
      <c r="M340" s="41"/>
      <c r="N340" s="41"/>
      <c r="O340" s="41"/>
      <c r="P340" s="41"/>
      <c r="Q340" s="41"/>
      <c r="R340" s="41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41"/>
      <c r="CF340" s="41"/>
      <c r="CG340" s="41"/>
      <c r="CH340" s="41"/>
      <c r="CI340" s="41"/>
      <c r="CJ340" s="41"/>
      <c r="CK340" s="41"/>
    </row>
    <row r="341" spans="1:89" s="51" customFormat="1" ht="33" customHeight="1">
      <c r="A341" s="74"/>
      <c r="B341" s="74"/>
      <c r="C341" s="74"/>
      <c r="D341" s="74"/>
      <c r="E341" s="74"/>
      <c r="F341" s="74"/>
      <c r="G341" s="75"/>
      <c r="H341" s="76"/>
      <c r="I341" s="52"/>
      <c r="J341" s="52"/>
      <c r="K341" s="52"/>
      <c r="L341" s="41"/>
      <c r="M341" s="41"/>
      <c r="N341" s="41"/>
      <c r="O341" s="41"/>
      <c r="P341" s="41"/>
      <c r="Q341" s="41"/>
      <c r="R341" s="41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  <c r="CG341" s="41"/>
      <c r="CH341" s="41"/>
      <c r="CI341" s="41"/>
      <c r="CJ341" s="41"/>
      <c r="CK341" s="41"/>
    </row>
    <row r="342" spans="1:89" s="51" customFormat="1" ht="33" customHeight="1">
      <c r="A342" s="74"/>
      <c r="B342" s="74"/>
      <c r="C342" s="74"/>
      <c r="D342" s="74"/>
      <c r="E342" s="74"/>
      <c r="F342" s="74"/>
      <c r="G342" s="75"/>
      <c r="H342" s="76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  <c r="BE342" s="53"/>
      <c r="BF342" s="53"/>
      <c r="BG342" s="53"/>
      <c r="BH342" s="53"/>
      <c r="BI342" s="53"/>
      <c r="BJ342" s="53"/>
      <c r="BK342" s="53"/>
      <c r="BL342" s="53"/>
      <c r="BM342" s="53"/>
      <c r="BN342" s="53"/>
      <c r="BO342" s="53"/>
      <c r="BP342" s="53"/>
      <c r="BQ342" s="53"/>
      <c r="BR342" s="53"/>
      <c r="BS342" s="53"/>
      <c r="BT342" s="53"/>
      <c r="BU342" s="53"/>
      <c r="BV342" s="53"/>
      <c r="BW342" s="53"/>
      <c r="BX342" s="53"/>
      <c r="BY342" s="53"/>
      <c r="BZ342" s="53"/>
      <c r="CA342" s="53"/>
      <c r="CB342" s="53"/>
      <c r="CC342" s="53"/>
      <c r="CD342" s="53"/>
      <c r="CE342" s="53"/>
      <c r="CF342" s="53"/>
      <c r="CG342" s="53"/>
      <c r="CH342" s="53"/>
      <c r="CI342" s="53"/>
      <c r="CJ342" s="53"/>
      <c r="CK342" s="53"/>
    </row>
    <row r="343" spans="1:89" s="51" customFormat="1" ht="33" customHeight="1">
      <c r="A343" s="74"/>
      <c r="B343" s="74"/>
      <c r="C343" s="74"/>
      <c r="D343" s="74"/>
      <c r="E343" s="74"/>
      <c r="F343" s="74"/>
      <c r="G343" s="75"/>
      <c r="H343" s="76"/>
      <c r="I343" s="52"/>
      <c r="J343" s="52"/>
      <c r="K343" s="52"/>
      <c r="L343" s="41"/>
      <c r="M343" s="41"/>
      <c r="N343" s="41"/>
      <c r="O343" s="41"/>
      <c r="P343" s="41"/>
      <c r="Q343" s="41"/>
      <c r="R343" s="41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  <c r="CD343" s="41"/>
      <c r="CE343" s="41"/>
      <c r="CF343" s="41"/>
      <c r="CG343" s="41"/>
      <c r="CH343" s="41"/>
      <c r="CI343" s="41"/>
      <c r="CJ343" s="41"/>
      <c r="CK343" s="41"/>
    </row>
    <row r="344" spans="1:89" s="51" customFormat="1" ht="33" customHeight="1">
      <c r="A344" s="74"/>
      <c r="B344" s="74"/>
      <c r="C344" s="74"/>
      <c r="D344" s="74"/>
      <c r="E344" s="74"/>
      <c r="F344" s="74"/>
      <c r="G344" s="75"/>
      <c r="H344" s="76"/>
      <c r="I344" s="52"/>
      <c r="J344" s="52"/>
      <c r="K344" s="52"/>
      <c r="L344" s="41"/>
      <c r="M344" s="41"/>
      <c r="N344" s="41"/>
      <c r="O344" s="41"/>
      <c r="P344" s="41"/>
      <c r="Q344" s="41"/>
      <c r="R344" s="41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  <c r="CG344" s="41"/>
      <c r="CH344" s="41"/>
      <c r="CI344" s="41"/>
      <c r="CJ344" s="41"/>
      <c r="CK344" s="41"/>
    </row>
    <row r="345" spans="1:89" s="51" customFormat="1" ht="33" customHeight="1">
      <c r="A345" s="74"/>
      <c r="B345" s="74"/>
      <c r="C345" s="74"/>
      <c r="D345" s="74"/>
      <c r="E345" s="74"/>
      <c r="F345" s="74"/>
      <c r="G345" s="75"/>
      <c r="H345" s="76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  <c r="BE345" s="53"/>
      <c r="BF345" s="53"/>
      <c r="BG345" s="53"/>
      <c r="BH345" s="53"/>
      <c r="BI345" s="53"/>
      <c r="BJ345" s="53"/>
      <c r="BK345" s="53"/>
      <c r="BL345" s="53"/>
      <c r="BM345" s="53"/>
      <c r="BN345" s="53"/>
      <c r="BO345" s="53"/>
      <c r="BP345" s="53"/>
      <c r="BQ345" s="53"/>
      <c r="BR345" s="53"/>
      <c r="BS345" s="53"/>
      <c r="BT345" s="53"/>
      <c r="BU345" s="53"/>
      <c r="BV345" s="53"/>
      <c r="BW345" s="53"/>
      <c r="BX345" s="53"/>
      <c r="BY345" s="53"/>
      <c r="BZ345" s="53"/>
      <c r="CA345" s="53"/>
      <c r="CB345" s="53"/>
      <c r="CC345" s="53"/>
      <c r="CD345" s="53"/>
      <c r="CE345" s="53"/>
      <c r="CF345" s="53"/>
      <c r="CG345" s="53"/>
      <c r="CH345" s="53"/>
      <c r="CI345" s="53"/>
      <c r="CJ345" s="53"/>
      <c r="CK345" s="53"/>
    </row>
    <row r="346" spans="1:89" s="51" customFormat="1" ht="33" customHeight="1">
      <c r="A346" s="74"/>
      <c r="B346" s="74"/>
      <c r="C346" s="74"/>
      <c r="D346" s="74"/>
      <c r="E346" s="74"/>
      <c r="F346" s="74"/>
      <c r="G346" s="75"/>
      <c r="H346" s="76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  <c r="BE346" s="53"/>
      <c r="BF346" s="53"/>
      <c r="BG346" s="53"/>
      <c r="BH346" s="53"/>
      <c r="BI346" s="53"/>
      <c r="BJ346" s="53"/>
      <c r="BK346" s="53"/>
      <c r="BL346" s="53"/>
      <c r="BM346" s="53"/>
      <c r="BN346" s="53"/>
      <c r="BO346" s="53"/>
      <c r="BP346" s="53"/>
      <c r="BQ346" s="53"/>
      <c r="BR346" s="53"/>
      <c r="BS346" s="53"/>
      <c r="BT346" s="53"/>
      <c r="BU346" s="53"/>
      <c r="BV346" s="53"/>
      <c r="BW346" s="53"/>
      <c r="BX346" s="53"/>
      <c r="BY346" s="53"/>
      <c r="BZ346" s="53"/>
      <c r="CA346" s="53"/>
      <c r="CB346" s="53"/>
      <c r="CC346" s="53"/>
      <c r="CD346" s="53"/>
      <c r="CE346" s="53"/>
      <c r="CF346" s="53"/>
      <c r="CG346" s="53"/>
      <c r="CH346" s="53"/>
      <c r="CI346" s="53"/>
      <c r="CJ346" s="53"/>
      <c r="CK346" s="53"/>
    </row>
    <row r="347" spans="1:89" s="51" customFormat="1" ht="33" customHeight="1">
      <c r="A347" s="74"/>
      <c r="B347" s="74"/>
      <c r="C347" s="74"/>
      <c r="D347" s="74"/>
      <c r="E347" s="74"/>
      <c r="F347" s="74"/>
      <c r="G347" s="75"/>
      <c r="H347" s="76"/>
      <c r="I347" s="52"/>
      <c r="J347" s="52"/>
      <c r="K347" s="52"/>
      <c r="L347" s="41"/>
      <c r="M347" s="41"/>
      <c r="N347" s="41"/>
      <c r="O347" s="41"/>
      <c r="P347" s="41"/>
      <c r="Q347" s="41"/>
      <c r="R347" s="41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  <c r="CD347" s="41"/>
      <c r="CE347" s="41"/>
      <c r="CF347" s="41"/>
      <c r="CG347" s="41"/>
      <c r="CH347" s="41"/>
      <c r="CI347" s="41"/>
      <c r="CJ347" s="41"/>
      <c r="CK347" s="41"/>
    </row>
    <row r="348" spans="1:89" s="51" customFormat="1" ht="33" customHeight="1">
      <c r="A348" s="74"/>
      <c r="B348" s="74"/>
      <c r="C348" s="74"/>
      <c r="D348" s="74"/>
      <c r="E348" s="74"/>
      <c r="F348" s="74"/>
      <c r="G348" s="75"/>
      <c r="H348" s="76"/>
      <c r="I348" s="52"/>
      <c r="J348" s="52"/>
      <c r="K348" s="52"/>
      <c r="L348" s="41"/>
      <c r="M348" s="41"/>
      <c r="N348" s="41"/>
      <c r="O348" s="41"/>
      <c r="P348" s="41"/>
      <c r="Q348" s="41"/>
      <c r="R348" s="41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  <c r="CG348" s="41"/>
      <c r="CH348" s="41"/>
      <c r="CI348" s="41"/>
      <c r="CJ348" s="41"/>
      <c r="CK348" s="41"/>
    </row>
    <row r="349" spans="1:89" s="51" customFormat="1" ht="33" customHeight="1">
      <c r="A349" s="74"/>
      <c r="B349" s="74"/>
      <c r="C349" s="74"/>
      <c r="D349" s="74"/>
      <c r="E349" s="74"/>
      <c r="F349" s="74"/>
      <c r="G349" s="75"/>
      <c r="H349" s="76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  <c r="BE349" s="53"/>
      <c r="BF349" s="53"/>
      <c r="BG349" s="53"/>
      <c r="BH349" s="53"/>
      <c r="BI349" s="53"/>
      <c r="BJ349" s="53"/>
      <c r="BK349" s="53"/>
      <c r="BL349" s="53"/>
      <c r="BM349" s="53"/>
      <c r="BN349" s="53"/>
      <c r="BO349" s="53"/>
      <c r="BP349" s="53"/>
      <c r="BQ349" s="53"/>
      <c r="BR349" s="53"/>
      <c r="BS349" s="53"/>
      <c r="BT349" s="53"/>
      <c r="BU349" s="53"/>
      <c r="BV349" s="53"/>
      <c r="BW349" s="53"/>
      <c r="BX349" s="53"/>
      <c r="BY349" s="53"/>
      <c r="BZ349" s="53"/>
      <c r="CA349" s="53"/>
      <c r="CB349" s="53"/>
      <c r="CC349" s="53"/>
      <c r="CD349" s="53"/>
      <c r="CE349" s="53"/>
      <c r="CF349" s="53"/>
      <c r="CG349" s="53"/>
      <c r="CH349" s="53"/>
      <c r="CI349" s="53"/>
      <c r="CJ349" s="53"/>
      <c r="CK349" s="53"/>
    </row>
    <row r="350" spans="1:89" s="51" customFormat="1" ht="33" customHeight="1">
      <c r="A350" s="74"/>
      <c r="B350" s="74"/>
      <c r="C350" s="74"/>
      <c r="D350" s="74"/>
      <c r="E350" s="74"/>
      <c r="F350" s="74"/>
      <c r="G350" s="75"/>
      <c r="H350" s="76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  <c r="BE350" s="53"/>
      <c r="BF350" s="53"/>
      <c r="BG350" s="53"/>
      <c r="BH350" s="53"/>
      <c r="BI350" s="53"/>
      <c r="BJ350" s="53"/>
      <c r="BK350" s="53"/>
      <c r="BL350" s="53"/>
      <c r="BM350" s="53"/>
      <c r="BN350" s="53"/>
      <c r="BO350" s="53"/>
      <c r="BP350" s="53"/>
      <c r="BQ350" s="53"/>
      <c r="BR350" s="53"/>
      <c r="BS350" s="53"/>
      <c r="BT350" s="53"/>
      <c r="BU350" s="53"/>
      <c r="BV350" s="53"/>
      <c r="BW350" s="53"/>
      <c r="BX350" s="53"/>
      <c r="BY350" s="53"/>
      <c r="BZ350" s="53"/>
      <c r="CA350" s="53"/>
      <c r="CB350" s="53"/>
      <c r="CC350" s="53"/>
      <c r="CD350" s="53"/>
      <c r="CE350" s="53"/>
      <c r="CF350" s="53"/>
      <c r="CG350" s="53"/>
      <c r="CH350" s="53"/>
      <c r="CI350" s="53"/>
      <c r="CJ350" s="53"/>
      <c r="CK350" s="53"/>
    </row>
    <row r="351" spans="1:89" s="51" customFormat="1" ht="33" customHeight="1">
      <c r="A351" s="74"/>
      <c r="B351" s="74"/>
      <c r="C351" s="74"/>
      <c r="D351" s="74"/>
      <c r="E351" s="74"/>
      <c r="F351" s="74"/>
      <c r="G351" s="75"/>
      <c r="H351" s="76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  <c r="BE351" s="53"/>
      <c r="BF351" s="53"/>
      <c r="BG351" s="53"/>
      <c r="BH351" s="53"/>
      <c r="BI351" s="53"/>
      <c r="BJ351" s="53"/>
      <c r="BK351" s="53"/>
      <c r="BL351" s="53"/>
      <c r="BM351" s="53"/>
      <c r="BN351" s="53"/>
      <c r="BO351" s="53"/>
      <c r="BP351" s="53"/>
      <c r="BQ351" s="53"/>
      <c r="BR351" s="53"/>
      <c r="BS351" s="53"/>
      <c r="BT351" s="53"/>
      <c r="BU351" s="53"/>
      <c r="BV351" s="53"/>
      <c r="BW351" s="53"/>
      <c r="BX351" s="53"/>
      <c r="BY351" s="53"/>
      <c r="BZ351" s="53"/>
      <c r="CA351" s="53"/>
      <c r="CB351" s="53"/>
      <c r="CC351" s="53"/>
      <c r="CD351" s="53"/>
      <c r="CE351" s="53"/>
      <c r="CF351" s="53"/>
      <c r="CG351" s="53"/>
      <c r="CH351" s="53"/>
      <c r="CI351" s="53"/>
      <c r="CJ351" s="53"/>
      <c r="CK351" s="53"/>
    </row>
    <row r="352" spans="1:89" s="51" customFormat="1" ht="33" customHeight="1">
      <c r="A352" s="74"/>
      <c r="B352" s="74"/>
      <c r="C352" s="74"/>
      <c r="D352" s="74"/>
      <c r="E352" s="74"/>
      <c r="F352" s="74"/>
      <c r="G352" s="75"/>
      <c r="H352" s="76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  <c r="BE352" s="53"/>
      <c r="BF352" s="53"/>
      <c r="BG352" s="53"/>
      <c r="BH352" s="53"/>
      <c r="BI352" s="53"/>
      <c r="BJ352" s="53"/>
      <c r="BK352" s="53"/>
      <c r="BL352" s="53"/>
      <c r="BM352" s="53"/>
      <c r="BN352" s="53"/>
      <c r="BO352" s="53"/>
      <c r="BP352" s="53"/>
      <c r="BQ352" s="53"/>
      <c r="BR352" s="53"/>
      <c r="BS352" s="53"/>
      <c r="BT352" s="53"/>
      <c r="BU352" s="53"/>
      <c r="BV352" s="53"/>
      <c r="BW352" s="53"/>
      <c r="BX352" s="53"/>
      <c r="BY352" s="53"/>
      <c r="BZ352" s="53"/>
      <c r="CA352" s="53"/>
      <c r="CB352" s="53"/>
      <c r="CC352" s="53"/>
      <c r="CD352" s="53"/>
      <c r="CE352" s="53"/>
      <c r="CF352" s="53"/>
      <c r="CG352" s="53"/>
      <c r="CH352" s="53"/>
      <c r="CI352" s="53"/>
      <c r="CJ352" s="53"/>
      <c r="CK352" s="53"/>
    </row>
    <row r="353" spans="1:89" s="51" customFormat="1" ht="33" customHeight="1">
      <c r="A353" s="74"/>
      <c r="B353" s="74"/>
      <c r="C353" s="74"/>
      <c r="D353" s="74"/>
      <c r="E353" s="74"/>
      <c r="F353" s="74"/>
      <c r="G353" s="75"/>
      <c r="H353" s="76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  <c r="BE353" s="53"/>
      <c r="BF353" s="53"/>
      <c r="BG353" s="53"/>
      <c r="BH353" s="53"/>
      <c r="BI353" s="53"/>
      <c r="BJ353" s="53"/>
      <c r="BK353" s="53"/>
      <c r="BL353" s="53"/>
      <c r="BM353" s="53"/>
      <c r="BN353" s="53"/>
      <c r="BO353" s="53"/>
      <c r="BP353" s="53"/>
      <c r="BQ353" s="53"/>
      <c r="BR353" s="53"/>
      <c r="BS353" s="53"/>
      <c r="BT353" s="53"/>
      <c r="BU353" s="53"/>
      <c r="BV353" s="53"/>
      <c r="BW353" s="53"/>
      <c r="BX353" s="53"/>
      <c r="BY353" s="53"/>
      <c r="BZ353" s="53"/>
      <c r="CA353" s="53"/>
      <c r="CB353" s="53"/>
      <c r="CC353" s="53"/>
      <c r="CD353" s="53"/>
      <c r="CE353" s="53"/>
      <c r="CF353" s="53"/>
      <c r="CG353" s="53"/>
      <c r="CH353" s="53"/>
      <c r="CI353" s="53"/>
      <c r="CJ353" s="53"/>
      <c r="CK353" s="53"/>
    </row>
    <row r="354" spans="1:89" s="51" customFormat="1" ht="33" customHeight="1">
      <c r="A354" s="74"/>
      <c r="B354" s="74"/>
      <c r="C354" s="74"/>
      <c r="D354" s="74"/>
      <c r="E354" s="74"/>
      <c r="F354" s="74"/>
      <c r="G354" s="75"/>
      <c r="H354" s="76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  <c r="BE354" s="53"/>
      <c r="BF354" s="53"/>
      <c r="BG354" s="53"/>
      <c r="BH354" s="53"/>
      <c r="BI354" s="53"/>
      <c r="BJ354" s="53"/>
      <c r="BK354" s="53"/>
      <c r="BL354" s="53"/>
      <c r="BM354" s="53"/>
      <c r="BN354" s="53"/>
      <c r="BO354" s="53"/>
      <c r="BP354" s="53"/>
      <c r="BQ354" s="53"/>
      <c r="BR354" s="53"/>
      <c r="BS354" s="53"/>
      <c r="BT354" s="53"/>
      <c r="BU354" s="53"/>
      <c r="BV354" s="53"/>
      <c r="BW354" s="53"/>
      <c r="BX354" s="53"/>
      <c r="BY354" s="53"/>
      <c r="BZ354" s="53"/>
      <c r="CA354" s="53"/>
      <c r="CB354" s="53"/>
      <c r="CC354" s="53"/>
      <c r="CD354" s="53"/>
      <c r="CE354" s="53"/>
      <c r="CF354" s="53"/>
      <c r="CG354" s="53"/>
      <c r="CH354" s="53"/>
      <c r="CI354" s="53"/>
      <c r="CJ354" s="53"/>
      <c r="CK354" s="53"/>
    </row>
    <row r="355" spans="1:89" s="51" customFormat="1" ht="33" customHeight="1">
      <c r="A355" s="74"/>
      <c r="B355" s="74"/>
      <c r="C355" s="74"/>
      <c r="D355" s="74"/>
      <c r="E355" s="74"/>
      <c r="F355" s="74"/>
      <c r="G355" s="75"/>
      <c r="H355" s="76"/>
      <c r="I355" s="52"/>
      <c r="J355" s="52"/>
      <c r="K355" s="52"/>
      <c r="L355" s="41"/>
      <c r="M355" s="41"/>
      <c r="N355" s="41"/>
      <c r="O355" s="41"/>
      <c r="P355" s="41"/>
      <c r="Q355" s="41"/>
      <c r="R355" s="41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  <c r="CD355" s="41"/>
      <c r="CE355" s="41"/>
      <c r="CF355" s="41"/>
      <c r="CG355" s="41"/>
      <c r="CH355" s="41"/>
      <c r="CI355" s="41"/>
      <c r="CJ355" s="41"/>
      <c r="CK355" s="41"/>
    </row>
    <row r="356" spans="1:89" s="51" customFormat="1" ht="33" customHeight="1">
      <c r="A356" s="74"/>
      <c r="B356" s="74"/>
      <c r="C356" s="74"/>
      <c r="D356" s="74"/>
      <c r="E356" s="74"/>
      <c r="F356" s="74"/>
      <c r="G356" s="75"/>
      <c r="H356" s="76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  <c r="BE356" s="53"/>
      <c r="BF356" s="53"/>
      <c r="BG356" s="53"/>
      <c r="BH356" s="53"/>
      <c r="BI356" s="53"/>
      <c r="BJ356" s="53"/>
      <c r="BK356" s="53"/>
      <c r="BL356" s="53"/>
      <c r="BM356" s="53"/>
      <c r="BN356" s="53"/>
      <c r="BO356" s="53"/>
      <c r="BP356" s="53"/>
      <c r="BQ356" s="53"/>
      <c r="BR356" s="53"/>
      <c r="BS356" s="53"/>
      <c r="BT356" s="53"/>
      <c r="BU356" s="53"/>
      <c r="BV356" s="53"/>
      <c r="BW356" s="53"/>
      <c r="BX356" s="53"/>
      <c r="BY356" s="53"/>
      <c r="BZ356" s="53"/>
      <c r="CA356" s="53"/>
      <c r="CB356" s="53"/>
      <c r="CC356" s="53"/>
      <c r="CD356" s="53"/>
      <c r="CE356" s="53"/>
      <c r="CF356" s="53"/>
      <c r="CG356" s="53"/>
      <c r="CH356" s="53"/>
      <c r="CI356" s="53"/>
      <c r="CJ356" s="53"/>
      <c r="CK356" s="53"/>
    </row>
    <row r="357" spans="1:89" s="51" customFormat="1" ht="33" customHeight="1">
      <c r="A357" s="74"/>
      <c r="B357" s="74"/>
      <c r="C357" s="74"/>
      <c r="D357" s="74"/>
      <c r="E357" s="74"/>
      <c r="F357" s="74"/>
      <c r="G357" s="75"/>
      <c r="H357" s="76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  <c r="BE357" s="53"/>
      <c r="BF357" s="53"/>
      <c r="BG357" s="53"/>
      <c r="BH357" s="53"/>
      <c r="BI357" s="53"/>
      <c r="BJ357" s="53"/>
      <c r="BK357" s="53"/>
      <c r="BL357" s="53"/>
      <c r="BM357" s="53"/>
      <c r="BN357" s="53"/>
      <c r="BO357" s="53"/>
      <c r="BP357" s="53"/>
      <c r="BQ357" s="53"/>
      <c r="BR357" s="53"/>
      <c r="BS357" s="53"/>
      <c r="BT357" s="53"/>
      <c r="BU357" s="53"/>
      <c r="BV357" s="53"/>
      <c r="BW357" s="53"/>
      <c r="BX357" s="53"/>
      <c r="BY357" s="53"/>
      <c r="BZ357" s="53"/>
      <c r="CA357" s="53"/>
      <c r="CB357" s="53"/>
      <c r="CC357" s="53"/>
      <c r="CD357" s="53"/>
      <c r="CE357" s="53"/>
      <c r="CF357" s="53"/>
      <c r="CG357" s="53"/>
      <c r="CH357" s="53"/>
      <c r="CI357" s="53"/>
      <c r="CJ357" s="53"/>
      <c r="CK357" s="53"/>
    </row>
    <row r="358" spans="1:89" s="51" customFormat="1" ht="33" customHeight="1">
      <c r="A358" s="74"/>
      <c r="B358" s="74"/>
      <c r="C358" s="74"/>
      <c r="D358" s="74"/>
      <c r="E358" s="74"/>
      <c r="F358" s="74"/>
      <c r="G358" s="75"/>
      <c r="H358" s="76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  <c r="BE358" s="53"/>
      <c r="BF358" s="53"/>
      <c r="BG358" s="53"/>
      <c r="BH358" s="53"/>
      <c r="BI358" s="53"/>
      <c r="BJ358" s="53"/>
      <c r="BK358" s="53"/>
      <c r="BL358" s="53"/>
      <c r="BM358" s="53"/>
      <c r="BN358" s="53"/>
      <c r="BO358" s="53"/>
      <c r="BP358" s="53"/>
      <c r="BQ358" s="53"/>
      <c r="BR358" s="53"/>
      <c r="BS358" s="53"/>
      <c r="BT358" s="53"/>
      <c r="BU358" s="53"/>
      <c r="BV358" s="53"/>
      <c r="BW358" s="53"/>
      <c r="BX358" s="53"/>
      <c r="BY358" s="53"/>
      <c r="BZ358" s="53"/>
      <c r="CA358" s="53"/>
      <c r="CB358" s="53"/>
      <c r="CC358" s="53"/>
      <c r="CD358" s="53"/>
      <c r="CE358" s="53"/>
      <c r="CF358" s="53"/>
      <c r="CG358" s="53"/>
      <c r="CH358" s="53"/>
      <c r="CI358" s="53"/>
      <c r="CJ358" s="53"/>
      <c r="CK358" s="53"/>
    </row>
    <row r="359" spans="1:89" s="51" customFormat="1" ht="33" customHeight="1">
      <c r="A359" s="74"/>
      <c r="B359" s="74"/>
      <c r="C359" s="74"/>
      <c r="D359" s="74"/>
      <c r="E359" s="74"/>
      <c r="F359" s="74"/>
      <c r="G359" s="75"/>
      <c r="H359" s="76"/>
      <c r="I359" s="52"/>
      <c r="J359" s="52"/>
      <c r="K359" s="52"/>
      <c r="L359" s="41"/>
      <c r="M359" s="41"/>
      <c r="N359" s="41"/>
      <c r="O359" s="41"/>
      <c r="P359" s="41"/>
      <c r="Q359" s="41"/>
      <c r="R359" s="41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  <c r="BZ359" s="41"/>
      <c r="CA359" s="41"/>
      <c r="CB359" s="41"/>
      <c r="CC359" s="41"/>
      <c r="CD359" s="41"/>
      <c r="CE359" s="41"/>
      <c r="CF359" s="41"/>
      <c r="CG359" s="41"/>
      <c r="CH359" s="41"/>
      <c r="CI359" s="41"/>
      <c r="CJ359" s="41"/>
      <c r="CK359" s="41"/>
    </row>
    <row r="360" spans="1:89" s="51" customFormat="1" ht="33" customHeight="1">
      <c r="A360" s="74"/>
      <c r="B360" s="74"/>
      <c r="C360" s="74"/>
      <c r="D360" s="74"/>
      <c r="E360" s="74"/>
      <c r="F360" s="74"/>
      <c r="G360" s="75"/>
      <c r="H360" s="76"/>
      <c r="I360" s="52"/>
      <c r="J360" s="52"/>
      <c r="K360" s="52"/>
      <c r="L360" s="41"/>
      <c r="M360" s="41"/>
      <c r="N360" s="41"/>
      <c r="O360" s="41"/>
      <c r="P360" s="41"/>
      <c r="Q360" s="41"/>
      <c r="R360" s="41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  <c r="CD360" s="41"/>
      <c r="CE360" s="41"/>
      <c r="CF360" s="41"/>
      <c r="CG360" s="41"/>
      <c r="CH360" s="41"/>
      <c r="CI360" s="41"/>
      <c r="CJ360" s="41"/>
      <c r="CK360" s="41"/>
    </row>
    <row r="361" spans="1:89" s="51" customFormat="1" ht="33" customHeight="1">
      <c r="A361" s="74"/>
      <c r="B361" s="74"/>
      <c r="C361" s="74"/>
      <c r="D361" s="74"/>
      <c r="E361" s="74"/>
      <c r="F361" s="74"/>
      <c r="G361" s="75"/>
      <c r="H361" s="76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  <c r="BE361" s="53"/>
      <c r="BF361" s="53"/>
      <c r="BG361" s="53"/>
      <c r="BH361" s="53"/>
      <c r="BI361" s="53"/>
      <c r="BJ361" s="53"/>
      <c r="BK361" s="53"/>
      <c r="BL361" s="53"/>
      <c r="BM361" s="53"/>
      <c r="BN361" s="53"/>
      <c r="BO361" s="53"/>
      <c r="BP361" s="53"/>
      <c r="BQ361" s="53"/>
      <c r="BR361" s="53"/>
      <c r="BS361" s="53"/>
      <c r="BT361" s="53"/>
      <c r="BU361" s="53"/>
      <c r="BV361" s="53"/>
      <c r="BW361" s="53"/>
      <c r="BX361" s="53"/>
      <c r="BY361" s="53"/>
      <c r="BZ361" s="53"/>
      <c r="CA361" s="53"/>
      <c r="CB361" s="53"/>
      <c r="CC361" s="53"/>
      <c r="CD361" s="53"/>
      <c r="CE361" s="53"/>
      <c r="CF361" s="53"/>
      <c r="CG361" s="53"/>
      <c r="CH361" s="53"/>
      <c r="CI361" s="53"/>
      <c r="CJ361" s="53"/>
      <c r="CK361" s="53"/>
    </row>
    <row r="362" spans="1:89" s="51" customFormat="1" ht="33" customHeight="1">
      <c r="A362" s="74"/>
      <c r="B362" s="74"/>
      <c r="C362" s="74"/>
      <c r="D362" s="74"/>
      <c r="E362" s="74"/>
      <c r="F362" s="74"/>
      <c r="G362" s="75"/>
      <c r="H362" s="76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  <c r="BE362" s="53"/>
      <c r="BF362" s="53"/>
      <c r="BG362" s="53"/>
      <c r="BH362" s="53"/>
      <c r="BI362" s="53"/>
      <c r="BJ362" s="53"/>
      <c r="BK362" s="53"/>
      <c r="BL362" s="53"/>
      <c r="BM362" s="53"/>
      <c r="BN362" s="53"/>
      <c r="BO362" s="53"/>
      <c r="BP362" s="53"/>
      <c r="BQ362" s="53"/>
      <c r="BR362" s="53"/>
      <c r="BS362" s="53"/>
      <c r="BT362" s="53"/>
      <c r="BU362" s="53"/>
      <c r="BV362" s="53"/>
      <c r="BW362" s="53"/>
      <c r="BX362" s="53"/>
      <c r="BY362" s="53"/>
      <c r="BZ362" s="53"/>
      <c r="CA362" s="53"/>
      <c r="CB362" s="53"/>
      <c r="CC362" s="53"/>
      <c r="CD362" s="53"/>
      <c r="CE362" s="53"/>
      <c r="CF362" s="53"/>
      <c r="CG362" s="53"/>
      <c r="CH362" s="53"/>
      <c r="CI362" s="53"/>
      <c r="CJ362" s="53"/>
      <c r="CK362" s="53"/>
    </row>
    <row r="363" spans="1:89" s="51" customFormat="1" ht="33" customHeight="1">
      <c r="A363" s="74"/>
      <c r="B363" s="74"/>
      <c r="C363" s="74"/>
      <c r="D363" s="74"/>
      <c r="E363" s="74"/>
      <c r="F363" s="74"/>
      <c r="G363" s="75"/>
      <c r="H363" s="76"/>
      <c r="I363" s="52"/>
      <c r="J363" s="52"/>
      <c r="K363" s="52"/>
      <c r="L363" s="41"/>
      <c r="M363" s="41"/>
      <c r="N363" s="41"/>
      <c r="O363" s="41"/>
      <c r="P363" s="41"/>
      <c r="Q363" s="41"/>
      <c r="R363" s="41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  <c r="CD363" s="41"/>
      <c r="CE363" s="41"/>
      <c r="CF363" s="41"/>
      <c r="CG363" s="41"/>
      <c r="CH363" s="41"/>
      <c r="CI363" s="41"/>
      <c r="CJ363" s="41"/>
      <c r="CK363" s="41"/>
    </row>
    <row r="364" spans="1:89" s="51" customFormat="1" ht="33" customHeight="1">
      <c r="A364" s="74"/>
      <c r="B364" s="74"/>
      <c r="C364" s="74"/>
      <c r="D364" s="74"/>
      <c r="E364" s="74"/>
      <c r="F364" s="74"/>
      <c r="G364" s="75"/>
      <c r="H364" s="76"/>
      <c r="I364" s="52"/>
      <c r="J364" s="52"/>
      <c r="K364" s="52"/>
      <c r="L364" s="41"/>
      <c r="M364" s="41"/>
      <c r="N364" s="41"/>
      <c r="O364" s="41"/>
      <c r="P364" s="41"/>
      <c r="Q364" s="41"/>
      <c r="R364" s="41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  <c r="BV364" s="41"/>
      <c r="BW364" s="41"/>
      <c r="BX364" s="41"/>
      <c r="BY364" s="41"/>
      <c r="BZ364" s="41"/>
      <c r="CA364" s="41"/>
      <c r="CB364" s="41"/>
      <c r="CC364" s="41"/>
      <c r="CD364" s="41"/>
      <c r="CE364" s="41"/>
      <c r="CF364" s="41"/>
      <c r="CG364" s="41"/>
      <c r="CH364" s="41"/>
      <c r="CI364" s="41"/>
      <c r="CJ364" s="41"/>
      <c r="CK364" s="41"/>
    </row>
    <row r="365" spans="1:89" s="51" customFormat="1" ht="33" customHeight="1">
      <c r="A365" s="74"/>
      <c r="B365" s="74"/>
      <c r="C365" s="74"/>
      <c r="D365" s="74"/>
      <c r="E365" s="74"/>
      <c r="F365" s="74"/>
      <c r="G365" s="75"/>
      <c r="H365" s="76"/>
      <c r="I365" s="52"/>
      <c r="J365" s="52"/>
      <c r="K365" s="52"/>
      <c r="L365" s="41"/>
      <c r="M365" s="41"/>
      <c r="N365" s="41"/>
      <c r="O365" s="41"/>
      <c r="P365" s="41"/>
      <c r="Q365" s="41"/>
      <c r="R365" s="41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41"/>
      <c r="CF365" s="41"/>
      <c r="CG365" s="41"/>
      <c r="CH365" s="41"/>
      <c r="CI365" s="41"/>
      <c r="CJ365" s="41"/>
      <c r="CK365" s="41"/>
    </row>
    <row r="366" spans="1:89" s="51" customFormat="1" ht="33" customHeight="1">
      <c r="A366" s="74"/>
      <c r="B366" s="74"/>
      <c r="C366" s="74"/>
      <c r="D366" s="74"/>
      <c r="E366" s="74"/>
      <c r="F366" s="74"/>
      <c r="G366" s="75"/>
      <c r="H366" s="76"/>
      <c r="I366" s="52"/>
      <c r="J366" s="52"/>
      <c r="K366" s="52"/>
      <c r="L366" s="41"/>
      <c r="M366" s="41"/>
      <c r="N366" s="41"/>
      <c r="O366" s="41"/>
      <c r="P366" s="41"/>
      <c r="Q366" s="41"/>
      <c r="R366" s="41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  <c r="CD366" s="41"/>
      <c r="CE366" s="41"/>
      <c r="CF366" s="41"/>
      <c r="CG366" s="41"/>
      <c r="CH366" s="41"/>
      <c r="CI366" s="41"/>
      <c r="CJ366" s="41"/>
      <c r="CK366" s="41"/>
    </row>
    <row r="367" spans="1:89" s="51" customFormat="1" ht="33" customHeight="1">
      <c r="A367" s="74"/>
      <c r="B367" s="74"/>
      <c r="C367" s="74"/>
      <c r="D367" s="74"/>
      <c r="E367" s="74"/>
      <c r="F367" s="74"/>
      <c r="G367" s="75"/>
      <c r="H367" s="76"/>
      <c r="I367" s="52"/>
      <c r="J367" s="52"/>
      <c r="K367" s="52"/>
      <c r="L367" s="41"/>
      <c r="M367" s="41"/>
      <c r="N367" s="41"/>
      <c r="O367" s="41"/>
      <c r="P367" s="41"/>
      <c r="Q367" s="41"/>
      <c r="R367" s="41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  <c r="CD367" s="41"/>
      <c r="CE367" s="41"/>
      <c r="CF367" s="41"/>
      <c r="CG367" s="41"/>
      <c r="CH367" s="41"/>
      <c r="CI367" s="41"/>
      <c r="CJ367" s="41"/>
      <c r="CK367" s="41"/>
    </row>
    <row r="368" spans="1:89" s="51" customFormat="1" ht="33" customHeight="1">
      <c r="A368" s="74"/>
      <c r="B368" s="74"/>
      <c r="C368" s="74"/>
      <c r="D368" s="74"/>
      <c r="E368" s="74"/>
      <c r="F368" s="74"/>
      <c r="G368" s="75"/>
      <c r="H368" s="76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  <c r="BE368" s="53"/>
      <c r="BF368" s="53"/>
      <c r="BG368" s="53"/>
      <c r="BH368" s="53"/>
      <c r="BI368" s="53"/>
      <c r="BJ368" s="53"/>
      <c r="BK368" s="53"/>
      <c r="BL368" s="53"/>
      <c r="BM368" s="53"/>
      <c r="BN368" s="53"/>
      <c r="BO368" s="53"/>
      <c r="BP368" s="53"/>
      <c r="BQ368" s="53"/>
      <c r="BR368" s="53"/>
      <c r="BS368" s="53"/>
      <c r="BT368" s="53"/>
      <c r="BU368" s="53"/>
      <c r="BV368" s="53"/>
      <c r="BW368" s="53"/>
      <c r="BX368" s="53"/>
      <c r="BY368" s="53"/>
      <c r="BZ368" s="53"/>
      <c r="CA368" s="53"/>
      <c r="CB368" s="53"/>
      <c r="CC368" s="53"/>
      <c r="CD368" s="53"/>
      <c r="CE368" s="53"/>
      <c r="CF368" s="53"/>
      <c r="CG368" s="53"/>
      <c r="CH368" s="53"/>
      <c r="CI368" s="53"/>
      <c r="CJ368" s="53"/>
      <c r="CK368" s="53"/>
    </row>
    <row r="369" spans="1:89" s="51" customFormat="1" ht="33" customHeight="1">
      <c r="A369" s="74"/>
      <c r="B369" s="74"/>
      <c r="C369" s="74"/>
      <c r="D369" s="74"/>
      <c r="E369" s="74"/>
      <c r="F369" s="74"/>
      <c r="G369" s="75"/>
      <c r="H369" s="76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3"/>
      <c r="BG369" s="53"/>
      <c r="BH369" s="53"/>
      <c r="BI369" s="53"/>
      <c r="BJ369" s="53"/>
      <c r="BK369" s="53"/>
      <c r="BL369" s="53"/>
      <c r="BM369" s="53"/>
      <c r="BN369" s="53"/>
      <c r="BO369" s="53"/>
      <c r="BP369" s="53"/>
      <c r="BQ369" s="53"/>
      <c r="BR369" s="53"/>
      <c r="BS369" s="53"/>
      <c r="BT369" s="53"/>
      <c r="BU369" s="53"/>
      <c r="BV369" s="53"/>
      <c r="BW369" s="53"/>
      <c r="BX369" s="53"/>
      <c r="BY369" s="53"/>
      <c r="BZ369" s="53"/>
      <c r="CA369" s="53"/>
      <c r="CB369" s="53"/>
      <c r="CC369" s="53"/>
      <c r="CD369" s="53"/>
      <c r="CE369" s="53"/>
      <c r="CF369" s="53"/>
      <c r="CG369" s="53"/>
      <c r="CH369" s="53"/>
      <c r="CI369" s="53"/>
      <c r="CJ369" s="53"/>
      <c r="CK369" s="53"/>
    </row>
    <row r="370" spans="1:89" s="51" customFormat="1" ht="33" customHeight="1">
      <c r="A370" s="74"/>
      <c r="B370" s="74"/>
      <c r="C370" s="74"/>
      <c r="D370" s="74"/>
      <c r="E370" s="74"/>
      <c r="F370" s="74"/>
      <c r="G370" s="75"/>
      <c r="H370" s="76"/>
      <c r="I370" s="52"/>
      <c r="J370" s="52"/>
      <c r="K370" s="52"/>
      <c r="L370" s="41"/>
      <c r="M370" s="41"/>
      <c r="N370" s="41"/>
      <c r="O370" s="41"/>
      <c r="P370" s="41"/>
      <c r="Q370" s="41"/>
      <c r="R370" s="41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  <c r="CD370" s="41"/>
      <c r="CE370" s="41"/>
      <c r="CF370" s="41"/>
      <c r="CG370" s="41"/>
      <c r="CH370" s="41"/>
      <c r="CI370" s="41"/>
      <c r="CJ370" s="41"/>
      <c r="CK370" s="41"/>
    </row>
    <row r="371" spans="1:89" s="51" customFormat="1" ht="33" customHeight="1">
      <c r="A371" s="74"/>
      <c r="B371" s="74"/>
      <c r="C371" s="74"/>
      <c r="D371" s="74"/>
      <c r="E371" s="74"/>
      <c r="F371" s="74"/>
      <c r="G371" s="75"/>
      <c r="H371" s="76"/>
      <c r="I371" s="52"/>
      <c r="J371" s="52"/>
      <c r="K371" s="52"/>
      <c r="L371" s="41"/>
      <c r="M371" s="41"/>
      <c r="N371" s="41"/>
      <c r="O371" s="41"/>
      <c r="P371" s="41"/>
      <c r="Q371" s="41"/>
      <c r="R371" s="41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  <c r="BZ371" s="41"/>
      <c r="CA371" s="41"/>
      <c r="CB371" s="41"/>
      <c r="CC371" s="41"/>
      <c r="CD371" s="41"/>
      <c r="CE371" s="41"/>
      <c r="CF371" s="41"/>
      <c r="CG371" s="41"/>
      <c r="CH371" s="41"/>
      <c r="CI371" s="41"/>
      <c r="CJ371" s="41"/>
      <c r="CK371" s="41"/>
    </row>
    <row r="372" spans="1:89" s="51" customFormat="1" ht="33" customHeight="1">
      <c r="A372" s="74"/>
      <c r="B372" s="74"/>
      <c r="C372" s="74"/>
      <c r="D372" s="74"/>
      <c r="E372" s="74"/>
      <c r="F372" s="74"/>
      <c r="G372" s="75"/>
      <c r="H372" s="76"/>
      <c r="I372" s="52"/>
      <c r="J372" s="52"/>
      <c r="K372" s="52"/>
      <c r="L372" s="41"/>
      <c r="M372" s="41"/>
      <c r="N372" s="41"/>
      <c r="O372" s="41"/>
      <c r="P372" s="41"/>
      <c r="Q372" s="41"/>
      <c r="R372" s="41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  <c r="BZ372" s="41"/>
      <c r="CA372" s="41"/>
      <c r="CB372" s="41"/>
      <c r="CC372" s="41"/>
      <c r="CD372" s="41"/>
      <c r="CE372" s="41"/>
      <c r="CF372" s="41"/>
      <c r="CG372" s="41"/>
      <c r="CH372" s="41"/>
      <c r="CI372" s="41"/>
      <c r="CJ372" s="41"/>
      <c r="CK372" s="41"/>
    </row>
    <row r="373" spans="1:89" s="51" customFormat="1" ht="33" customHeight="1">
      <c r="A373" s="74"/>
      <c r="B373" s="74"/>
      <c r="C373" s="74"/>
      <c r="D373" s="74"/>
      <c r="E373" s="74"/>
      <c r="F373" s="74"/>
      <c r="G373" s="75"/>
      <c r="H373" s="76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3"/>
      <c r="BG373" s="53"/>
      <c r="BH373" s="53"/>
      <c r="BI373" s="53"/>
      <c r="BJ373" s="53"/>
      <c r="BK373" s="53"/>
      <c r="BL373" s="53"/>
      <c r="BM373" s="53"/>
      <c r="BN373" s="53"/>
      <c r="BO373" s="53"/>
      <c r="BP373" s="53"/>
      <c r="BQ373" s="53"/>
      <c r="BR373" s="53"/>
      <c r="BS373" s="53"/>
      <c r="BT373" s="53"/>
      <c r="BU373" s="53"/>
      <c r="BV373" s="53"/>
      <c r="BW373" s="53"/>
      <c r="BX373" s="53"/>
      <c r="BY373" s="53"/>
      <c r="BZ373" s="53"/>
      <c r="CA373" s="53"/>
      <c r="CB373" s="53"/>
      <c r="CC373" s="53"/>
      <c r="CD373" s="53"/>
      <c r="CE373" s="53"/>
      <c r="CF373" s="53"/>
      <c r="CG373" s="53"/>
      <c r="CH373" s="53"/>
      <c r="CI373" s="53"/>
      <c r="CJ373" s="53"/>
      <c r="CK373" s="53"/>
    </row>
    <row r="374" spans="1:89" s="51" customFormat="1" ht="33" customHeight="1">
      <c r="A374" s="74"/>
      <c r="B374" s="74"/>
      <c r="C374" s="74"/>
      <c r="D374" s="74"/>
      <c r="E374" s="74"/>
      <c r="F374" s="74"/>
      <c r="G374" s="75"/>
      <c r="H374" s="76"/>
      <c r="I374" s="52"/>
      <c r="J374" s="52"/>
      <c r="K374" s="52"/>
      <c r="L374" s="41"/>
      <c r="M374" s="41"/>
      <c r="N374" s="41"/>
      <c r="O374" s="41"/>
      <c r="P374" s="41"/>
      <c r="Q374" s="41"/>
      <c r="R374" s="41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  <c r="BZ374" s="41"/>
      <c r="CA374" s="41"/>
      <c r="CB374" s="41"/>
      <c r="CC374" s="41"/>
      <c r="CD374" s="41"/>
      <c r="CE374" s="41"/>
      <c r="CF374" s="41"/>
      <c r="CG374" s="41"/>
      <c r="CH374" s="41"/>
      <c r="CI374" s="41"/>
      <c r="CJ374" s="41"/>
      <c r="CK374" s="41"/>
    </row>
    <row r="375" spans="1:89" s="51" customFormat="1" ht="33" customHeight="1">
      <c r="A375" s="74"/>
      <c r="B375" s="74"/>
      <c r="C375" s="74"/>
      <c r="D375" s="74"/>
      <c r="E375" s="74"/>
      <c r="F375" s="74"/>
      <c r="G375" s="75"/>
      <c r="H375" s="76"/>
      <c r="I375" s="52"/>
      <c r="J375" s="52"/>
      <c r="K375" s="52"/>
      <c r="L375" s="41"/>
      <c r="M375" s="41"/>
      <c r="N375" s="41"/>
      <c r="O375" s="41"/>
      <c r="P375" s="41"/>
      <c r="Q375" s="41"/>
      <c r="R375" s="41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  <c r="CD375" s="41"/>
      <c r="CE375" s="41"/>
      <c r="CF375" s="41"/>
      <c r="CG375" s="41"/>
      <c r="CH375" s="41"/>
      <c r="CI375" s="41"/>
      <c r="CJ375" s="41"/>
      <c r="CK375" s="41"/>
    </row>
    <row r="376" spans="1:89" s="51" customFormat="1" ht="33" customHeight="1">
      <c r="A376" s="74"/>
      <c r="B376" s="74"/>
      <c r="C376" s="74"/>
      <c r="D376" s="74"/>
      <c r="E376" s="74"/>
      <c r="F376" s="74"/>
      <c r="G376" s="75"/>
      <c r="H376" s="76"/>
      <c r="I376" s="52"/>
      <c r="J376" s="52"/>
      <c r="K376" s="52"/>
      <c r="L376" s="41"/>
      <c r="M376" s="41"/>
      <c r="N376" s="41"/>
      <c r="O376" s="41"/>
      <c r="P376" s="41"/>
      <c r="Q376" s="41"/>
      <c r="R376" s="41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  <c r="CD376" s="41"/>
      <c r="CE376" s="41"/>
      <c r="CF376" s="41"/>
      <c r="CG376" s="41"/>
      <c r="CH376" s="41"/>
      <c r="CI376" s="41"/>
      <c r="CJ376" s="41"/>
      <c r="CK376" s="41"/>
    </row>
    <row r="377" spans="1:89" s="51" customFormat="1" ht="33" customHeight="1">
      <c r="A377" s="74"/>
      <c r="B377" s="74"/>
      <c r="C377" s="74"/>
      <c r="D377" s="74"/>
      <c r="E377" s="74"/>
      <c r="F377" s="74"/>
      <c r="G377" s="75"/>
      <c r="H377" s="76"/>
      <c r="I377" s="52"/>
      <c r="J377" s="52"/>
      <c r="K377" s="52"/>
      <c r="L377" s="41"/>
      <c r="M377" s="41"/>
      <c r="N377" s="41"/>
      <c r="O377" s="41"/>
      <c r="P377" s="41"/>
      <c r="Q377" s="41"/>
      <c r="R377" s="41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  <c r="BV377" s="41"/>
      <c r="BW377" s="41"/>
      <c r="BX377" s="41"/>
      <c r="BY377" s="41"/>
      <c r="BZ377" s="41"/>
      <c r="CA377" s="41"/>
      <c r="CB377" s="41"/>
      <c r="CC377" s="41"/>
      <c r="CD377" s="41"/>
      <c r="CE377" s="41"/>
      <c r="CF377" s="41"/>
      <c r="CG377" s="41"/>
      <c r="CH377" s="41"/>
      <c r="CI377" s="41"/>
      <c r="CJ377" s="41"/>
      <c r="CK377" s="41"/>
    </row>
    <row r="378" spans="1:89" s="51" customFormat="1" ht="33" customHeight="1">
      <c r="A378" s="74"/>
      <c r="B378" s="74"/>
      <c r="C378" s="74"/>
      <c r="D378" s="74"/>
      <c r="E378" s="74"/>
      <c r="F378" s="74"/>
      <c r="G378" s="75"/>
      <c r="H378" s="76"/>
      <c r="I378" s="52"/>
      <c r="J378" s="52"/>
      <c r="K378" s="52"/>
      <c r="L378" s="41"/>
      <c r="M378" s="41"/>
      <c r="N378" s="41"/>
      <c r="O378" s="41"/>
      <c r="P378" s="41"/>
      <c r="Q378" s="41"/>
      <c r="R378" s="41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  <c r="BV378" s="41"/>
      <c r="BW378" s="41"/>
      <c r="BX378" s="41"/>
      <c r="BY378" s="41"/>
      <c r="BZ378" s="41"/>
      <c r="CA378" s="41"/>
      <c r="CB378" s="41"/>
      <c r="CC378" s="41"/>
      <c r="CD378" s="41"/>
      <c r="CE378" s="41"/>
      <c r="CF378" s="41"/>
      <c r="CG378" s="41"/>
      <c r="CH378" s="41"/>
      <c r="CI378" s="41"/>
      <c r="CJ378" s="41"/>
      <c r="CK378" s="41"/>
    </row>
    <row r="379" spans="1:89" s="51" customFormat="1" ht="33" customHeight="1">
      <c r="A379" s="74"/>
      <c r="B379" s="74"/>
      <c r="C379" s="74"/>
      <c r="D379" s="74"/>
      <c r="E379" s="74"/>
      <c r="F379" s="74"/>
      <c r="G379" s="75"/>
      <c r="H379" s="76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3"/>
      <c r="BG379" s="53"/>
      <c r="BH379" s="53"/>
      <c r="BI379" s="53"/>
      <c r="BJ379" s="53"/>
      <c r="BK379" s="53"/>
      <c r="BL379" s="53"/>
      <c r="BM379" s="53"/>
      <c r="BN379" s="53"/>
      <c r="BO379" s="53"/>
      <c r="BP379" s="53"/>
      <c r="BQ379" s="53"/>
      <c r="BR379" s="53"/>
      <c r="BS379" s="53"/>
      <c r="BT379" s="53"/>
      <c r="BU379" s="53"/>
      <c r="BV379" s="53"/>
      <c r="BW379" s="53"/>
      <c r="BX379" s="53"/>
      <c r="BY379" s="53"/>
      <c r="BZ379" s="53"/>
      <c r="CA379" s="53"/>
      <c r="CB379" s="53"/>
      <c r="CC379" s="53"/>
      <c r="CD379" s="53"/>
      <c r="CE379" s="53"/>
      <c r="CF379" s="53"/>
      <c r="CG379" s="53"/>
      <c r="CH379" s="53"/>
      <c r="CI379" s="53"/>
      <c r="CJ379" s="53"/>
      <c r="CK379" s="53"/>
    </row>
    <row r="380" spans="1:89" s="51" customFormat="1" ht="33" customHeight="1">
      <c r="A380" s="74"/>
      <c r="B380" s="74"/>
      <c r="C380" s="74"/>
      <c r="D380" s="74"/>
      <c r="E380" s="74"/>
      <c r="F380" s="74"/>
      <c r="G380" s="75"/>
      <c r="H380" s="76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  <c r="BE380" s="53"/>
      <c r="BF380" s="53"/>
      <c r="BG380" s="53"/>
      <c r="BH380" s="53"/>
      <c r="BI380" s="53"/>
      <c r="BJ380" s="53"/>
      <c r="BK380" s="53"/>
      <c r="BL380" s="53"/>
      <c r="BM380" s="53"/>
      <c r="BN380" s="53"/>
      <c r="BO380" s="53"/>
      <c r="BP380" s="53"/>
      <c r="BQ380" s="53"/>
      <c r="BR380" s="53"/>
      <c r="BS380" s="53"/>
      <c r="BT380" s="53"/>
      <c r="BU380" s="53"/>
      <c r="BV380" s="53"/>
      <c r="BW380" s="53"/>
      <c r="BX380" s="53"/>
      <c r="BY380" s="53"/>
      <c r="BZ380" s="53"/>
      <c r="CA380" s="53"/>
      <c r="CB380" s="53"/>
      <c r="CC380" s="53"/>
      <c r="CD380" s="53"/>
      <c r="CE380" s="53"/>
      <c r="CF380" s="53"/>
      <c r="CG380" s="53"/>
      <c r="CH380" s="53"/>
      <c r="CI380" s="53"/>
      <c r="CJ380" s="53"/>
      <c r="CK380" s="53"/>
    </row>
    <row r="381" spans="1:89" s="51" customFormat="1" ht="33" customHeight="1">
      <c r="A381" s="74"/>
      <c r="B381" s="74"/>
      <c r="C381" s="74"/>
      <c r="D381" s="74"/>
      <c r="E381" s="74"/>
      <c r="F381" s="74"/>
      <c r="G381" s="75"/>
      <c r="H381" s="76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3"/>
      <c r="BG381" s="53"/>
      <c r="BH381" s="53"/>
      <c r="BI381" s="53"/>
      <c r="BJ381" s="53"/>
      <c r="BK381" s="53"/>
      <c r="BL381" s="53"/>
      <c r="BM381" s="53"/>
      <c r="BN381" s="53"/>
      <c r="BO381" s="53"/>
      <c r="BP381" s="53"/>
      <c r="BQ381" s="53"/>
      <c r="BR381" s="53"/>
      <c r="BS381" s="53"/>
      <c r="BT381" s="53"/>
      <c r="BU381" s="53"/>
      <c r="BV381" s="53"/>
      <c r="BW381" s="53"/>
      <c r="BX381" s="53"/>
      <c r="BY381" s="53"/>
      <c r="BZ381" s="53"/>
      <c r="CA381" s="53"/>
      <c r="CB381" s="53"/>
      <c r="CC381" s="53"/>
      <c r="CD381" s="53"/>
      <c r="CE381" s="53"/>
      <c r="CF381" s="53"/>
      <c r="CG381" s="53"/>
      <c r="CH381" s="53"/>
      <c r="CI381" s="53"/>
      <c r="CJ381" s="53"/>
      <c r="CK381" s="53"/>
    </row>
    <row r="382" spans="1:89" s="51" customFormat="1" ht="33" customHeight="1">
      <c r="A382" s="74"/>
      <c r="B382" s="74"/>
      <c r="C382" s="74"/>
      <c r="D382" s="74"/>
      <c r="E382" s="74"/>
      <c r="F382" s="74"/>
      <c r="G382" s="75"/>
      <c r="H382" s="76"/>
      <c r="I382" s="52"/>
      <c r="J382" s="52"/>
      <c r="K382" s="52"/>
      <c r="L382" s="41"/>
      <c r="M382" s="41"/>
      <c r="N382" s="41"/>
      <c r="O382" s="41"/>
      <c r="P382" s="41"/>
      <c r="Q382" s="41"/>
      <c r="R382" s="41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  <c r="BZ382" s="41"/>
      <c r="CA382" s="41"/>
      <c r="CB382" s="41"/>
      <c r="CC382" s="41"/>
      <c r="CD382" s="41"/>
      <c r="CE382" s="41"/>
      <c r="CF382" s="41"/>
      <c r="CG382" s="41"/>
      <c r="CH382" s="41"/>
      <c r="CI382" s="41"/>
      <c r="CJ382" s="41"/>
      <c r="CK382" s="41"/>
    </row>
    <row r="383" spans="1:89" s="51" customFormat="1" ht="33" customHeight="1">
      <c r="A383" s="74"/>
      <c r="B383" s="74"/>
      <c r="C383" s="74"/>
      <c r="D383" s="74"/>
      <c r="E383" s="74"/>
      <c r="F383" s="74"/>
      <c r="G383" s="75"/>
      <c r="H383" s="76"/>
      <c r="I383" s="52"/>
      <c r="J383" s="52"/>
      <c r="K383" s="52"/>
      <c r="L383" s="41"/>
      <c r="M383" s="41"/>
      <c r="N383" s="41"/>
      <c r="O383" s="41"/>
      <c r="P383" s="41"/>
      <c r="Q383" s="41"/>
      <c r="R383" s="41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  <c r="BZ383" s="41"/>
      <c r="CA383" s="41"/>
      <c r="CB383" s="41"/>
      <c r="CC383" s="41"/>
      <c r="CD383" s="41"/>
      <c r="CE383" s="41"/>
      <c r="CF383" s="41"/>
      <c r="CG383" s="41"/>
      <c r="CH383" s="41"/>
      <c r="CI383" s="41"/>
      <c r="CJ383" s="41"/>
      <c r="CK383" s="41"/>
    </row>
    <row r="384" spans="1:89" s="51" customFormat="1" ht="33" customHeight="1">
      <c r="A384" s="74"/>
      <c r="B384" s="74"/>
      <c r="C384" s="74"/>
      <c r="D384" s="74"/>
      <c r="E384" s="74"/>
      <c r="F384" s="74"/>
      <c r="G384" s="75"/>
      <c r="H384" s="76"/>
      <c r="I384" s="52"/>
      <c r="J384" s="52"/>
      <c r="K384" s="52"/>
      <c r="L384" s="41"/>
      <c r="M384" s="41"/>
      <c r="N384" s="41"/>
      <c r="O384" s="41"/>
      <c r="P384" s="41"/>
      <c r="Q384" s="41"/>
      <c r="R384" s="41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  <c r="BV384" s="41"/>
      <c r="BW384" s="41"/>
      <c r="BX384" s="41"/>
      <c r="BY384" s="41"/>
      <c r="BZ384" s="41"/>
      <c r="CA384" s="41"/>
      <c r="CB384" s="41"/>
      <c r="CC384" s="41"/>
      <c r="CD384" s="41"/>
      <c r="CE384" s="41"/>
      <c r="CF384" s="41"/>
      <c r="CG384" s="41"/>
      <c r="CH384" s="41"/>
      <c r="CI384" s="41"/>
      <c r="CJ384" s="41"/>
      <c r="CK384" s="41"/>
    </row>
    <row r="385" spans="1:89" s="51" customFormat="1" ht="33" customHeight="1">
      <c r="A385" s="74"/>
      <c r="B385" s="74"/>
      <c r="C385" s="74"/>
      <c r="D385" s="74"/>
      <c r="E385" s="74"/>
      <c r="F385" s="74"/>
      <c r="G385" s="75"/>
      <c r="H385" s="76"/>
      <c r="I385" s="52"/>
      <c r="J385" s="52"/>
      <c r="K385" s="52"/>
      <c r="L385" s="41"/>
      <c r="M385" s="41"/>
      <c r="N385" s="41"/>
      <c r="O385" s="41"/>
      <c r="P385" s="41"/>
      <c r="Q385" s="41"/>
      <c r="R385" s="41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  <c r="BZ385" s="41"/>
      <c r="CA385" s="41"/>
      <c r="CB385" s="41"/>
      <c r="CC385" s="41"/>
      <c r="CD385" s="41"/>
      <c r="CE385" s="41"/>
      <c r="CF385" s="41"/>
      <c r="CG385" s="41"/>
      <c r="CH385" s="41"/>
      <c r="CI385" s="41"/>
      <c r="CJ385" s="41"/>
      <c r="CK385" s="41"/>
    </row>
    <row r="386" spans="1:89" s="51" customFormat="1" ht="33" customHeight="1">
      <c r="A386" s="74"/>
      <c r="B386" s="74"/>
      <c r="C386" s="74"/>
      <c r="D386" s="74"/>
      <c r="E386" s="74"/>
      <c r="F386" s="74"/>
      <c r="G386" s="75"/>
      <c r="H386" s="76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  <c r="BE386" s="53"/>
      <c r="BF386" s="53"/>
      <c r="BG386" s="53"/>
      <c r="BH386" s="53"/>
      <c r="BI386" s="53"/>
      <c r="BJ386" s="53"/>
      <c r="BK386" s="53"/>
      <c r="BL386" s="53"/>
      <c r="BM386" s="53"/>
      <c r="BN386" s="53"/>
      <c r="BO386" s="53"/>
      <c r="BP386" s="53"/>
      <c r="BQ386" s="53"/>
      <c r="BR386" s="53"/>
      <c r="BS386" s="53"/>
      <c r="BT386" s="53"/>
      <c r="BU386" s="53"/>
      <c r="BV386" s="53"/>
      <c r="BW386" s="53"/>
      <c r="BX386" s="53"/>
      <c r="BY386" s="53"/>
      <c r="BZ386" s="53"/>
      <c r="CA386" s="53"/>
      <c r="CB386" s="53"/>
      <c r="CC386" s="53"/>
      <c r="CD386" s="53"/>
      <c r="CE386" s="53"/>
      <c r="CF386" s="53"/>
      <c r="CG386" s="53"/>
      <c r="CH386" s="53"/>
      <c r="CI386" s="53"/>
      <c r="CJ386" s="53"/>
      <c r="CK386" s="53"/>
    </row>
    <row r="387" spans="1:89" s="51" customFormat="1" ht="33" customHeight="1">
      <c r="A387" s="74"/>
      <c r="B387" s="74"/>
      <c r="C387" s="74"/>
      <c r="D387" s="74"/>
      <c r="E387" s="74"/>
      <c r="F387" s="74"/>
      <c r="G387" s="75"/>
      <c r="H387" s="76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53"/>
      <c r="BG387" s="53"/>
      <c r="BH387" s="53"/>
      <c r="BI387" s="53"/>
      <c r="BJ387" s="53"/>
      <c r="BK387" s="53"/>
      <c r="BL387" s="53"/>
      <c r="BM387" s="53"/>
      <c r="BN387" s="53"/>
      <c r="BO387" s="53"/>
      <c r="BP387" s="53"/>
      <c r="BQ387" s="53"/>
      <c r="BR387" s="53"/>
      <c r="BS387" s="53"/>
      <c r="BT387" s="53"/>
      <c r="BU387" s="53"/>
      <c r="BV387" s="53"/>
      <c r="BW387" s="53"/>
      <c r="BX387" s="53"/>
      <c r="BY387" s="53"/>
      <c r="BZ387" s="53"/>
      <c r="CA387" s="53"/>
      <c r="CB387" s="53"/>
      <c r="CC387" s="53"/>
      <c r="CD387" s="53"/>
      <c r="CE387" s="53"/>
      <c r="CF387" s="53"/>
      <c r="CG387" s="53"/>
      <c r="CH387" s="53"/>
      <c r="CI387" s="53"/>
      <c r="CJ387" s="53"/>
      <c r="CK387" s="53"/>
    </row>
    <row r="388" spans="1:89" s="51" customFormat="1" ht="33" customHeight="1">
      <c r="A388" s="74"/>
      <c r="B388" s="74"/>
      <c r="C388" s="74"/>
      <c r="D388" s="74"/>
      <c r="E388" s="74"/>
      <c r="F388" s="74"/>
      <c r="G388" s="75"/>
      <c r="H388" s="76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  <c r="BE388" s="53"/>
      <c r="BF388" s="53"/>
      <c r="BG388" s="53"/>
      <c r="BH388" s="53"/>
      <c r="BI388" s="53"/>
      <c r="BJ388" s="53"/>
      <c r="BK388" s="53"/>
      <c r="BL388" s="53"/>
      <c r="BM388" s="53"/>
      <c r="BN388" s="53"/>
      <c r="BO388" s="53"/>
      <c r="BP388" s="53"/>
      <c r="BQ388" s="53"/>
      <c r="BR388" s="53"/>
      <c r="BS388" s="53"/>
      <c r="BT388" s="53"/>
      <c r="BU388" s="53"/>
      <c r="BV388" s="53"/>
      <c r="BW388" s="53"/>
      <c r="BX388" s="53"/>
      <c r="BY388" s="53"/>
      <c r="BZ388" s="53"/>
      <c r="CA388" s="53"/>
      <c r="CB388" s="53"/>
      <c r="CC388" s="53"/>
      <c r="CD388" s="53"/>
      <c r="CE388" s="53"/>
      <c r="CF388" s="53"/>
      <c r="CG388" s="53"/>
      <c r="CH388" s="53"/>
      <c r="CI388" s="53"/>
      <c r="CJ388" s="53"/>
      <c r="CK388" s="53"/>
    </row>
    <row r="389" spans="1:89" s="51" customFormat="1" ht="33" customHeight="1">
      <c r="A389" s="74"/>
      <c r="B389" s="74"/>
      <c r="C389" s="74"/>
      <c r="D389" s="74"/>
      <c r="E389" s="74"/>
      <c r="F389" s="74"/>
      <c r="G389" s="75"/>
      <c r="H389" s="76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3"/>
      <c r="BG389" s="53"/>
      <c r="BH389" s="53"/>
      <c r="BI389" s="53"/>
      <c r="BJ389" s="53"/>
      <c r="BK389" s="53"/>
      <c r="BL389" s="53"/>
      <c r="BM389" s="53"/>
      <c r="BN389" s="53"/>
      <c r="BO389" s="53"/>
      <c r="BP389" s="53"/>
      <c r="BQ389" s="53"/>
      <c r="BR389" s="53"/>
      <c r="BS389" s="53"/>
      <c r="BT389" s="53"/>
      <c r="BU389" s="53"/>
      <c r="BV389" s="53"/>
      <c r="BW389" s="53"/>
      <c r="BX389" s="53"/>
      <c r="BY389" s="53"/>
      <c r="BZ389" s="53"/>
      <c r="CA389" s="53"/>
      <c r="CB389" s="53"/>
      <c r="CC389" s="53"/>
      <c r="CD389" s="53"/>
      <c r="CE389" s="53"/>
      <c r="CF389" s="53"/>
      <c r="CG389" s="53"/>
      <c r="CH389" s="53"/>
      <c r="CI389" s="53"/>
      <c r="CJ389" s="53"/>
      <c r="CK389" s="53"/>
    </row>
    <row r="390" spans="1:89" s="51" customFormat="1" ht="33" customHeight="1">
      <c r="A390" s="74"/>
      <c r="B390" s="74"/>
      <c r="C390" s="74"/>
      <c r="D390" s="74"/>
      <c r="E390" s="74"/>
      <c r="F390" s="74"/>
      <c r="G390" s="75"/>
      <c r="H390" s="76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3"/>
      <c r="BN390" s="53"/>
      <c r="BO390" s="53"/>
      <c r="BP390" s="53"/>
      <c r="BQ390" s="53"/>
      <c r="BR390" s="53"/>
      <c r="BS390" s="53"/>
      <c r="BT390" s="53"/>
      <c r="BU390" s="53"/>
      <c r="BV390" s="53"/>
      <c r="BW390" s="53"/>
      <c r="BX390" s="53"/>
      <c r="BY390" s="53"/>
      <c r="BZ390" s="53"/>
      <c r="CA390" s="53"/>
      <c r="CB390" s="53"/>
      <c r="CC390" s="53"/>
      <c r="CD390" s="53"/>
      <c r="CE390" s="53"/>
      <c r="CF390" s="53"/>
      <c r="CG390" s="53"/>
      <c r="CH390" s="53"/>
      <c r="CI390" s="53"/>
      <c r="CJ390" s="53"/>
      <c r="CK390" s="53"/>
    </row>
    <row r="391" spans="1:89" s="51" customFormat="1" ht="33" customHeight="1">
      <c r="A391" s="74"/>
      <c r="B391" s="74"/>
      <c r="C391" s="74"/>
      <c r="D391" s="74"/>
      <c r="E391" s="74"/>
      <c r="F391" s="74"/>
      <c r="G391" s="75"/>
      <c r="H391" s="76"/>
      <c r="I391" s="52"/>
      <c r="J391" s="52"/>
      <c r="K391" s="52"/>
      <c r="L391" s="41"/>
      <c r="M391" s="41"/>
      <c r="N391" s="41"/>
      <c r="O391" s="41"/>
      <c r="P391" s="41"/>
      <c r="Q391" s="41"/>
      <c r="R391" s="41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  <c r="CG391" s="41"/>
      <c r="CH391" s="41"/>
      <c r="CI391" s="41"/>
      <c r="CJ391" s="41"/>
      <c r="CK391" s="41"/>
    </row>
    <row r="392" spans="1:89" s="51" customFormat="1" ht="33" customHeight="1">
      <c r="A392" s="74"/>
      <c r="B392" s="74"/>
      <c r="C392" s="74"/>
      <c r="D392" s="74"/>
      <c r="E392" s="74"/>
      <c r="F392" s="74"/>
      <c r="G392" s="75"/>
      <c r="H392" s="76"/>
      <c r="I392" s="52"/>
      <c r="J392" s="52"/>
      <c r="K392" s="52"/>
      <c r="L392" s="41"/>
      <c r="M392" s="41"/>
      <c r="N392" s="41"/>
      <c r="O392" s="41"/>
      <c r="P392" s="41"/>
      <c r="Q392" s="41"/>
      <c r="R392" s="41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  <c r="CD392" s="41"/>
      <c r="CE392" s="41"/>
      <c r="CF392" s="41"/>
      <c r="CG392" s="41"/>
      <c r="CH392" s="41"/>
      <c r="CI392" s="41"/>
      <c r="CJ392" s="41"/>
      <c r="CK392" s="41"/>
    </row>
    <row r="393" spans="1:89" s="51" customFormat="1" ht="33" customHeight="1">
      <c r="A393" s="74"/>
      <c r="B393" s="74"/>
      <c r="C393" s="74"/>
      <c r="D393" s="74"/>
      <c r="E393" s="74"/>
      <c r="F393" s="74"/>
      <c r="G393" s="75"/>
      <c r="H393" s="76"/>
      <c r="I393" s="52"/>
      <c r="J393" s="52"/>
      <c r="K393" s="52"/>
      <c r="L393" s="41"/>
      <c r="M393" s="41"/>
      <c r="N393" s="41"/>
      <c r="O393" s="41"/>
      <c r="P393" s="41"/>
      <c r="Q393" s="41"/>
      <c r="R393" s="41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  <c r="CD393" s="41"/>
      <c r="CE393" s="41"/>
      <c r="CF393" s="41"/>
      <c r="CG393" s="41"/>
      <c r="CH393" s="41"/>
      <c r="CI393" s="41"/>
      <c r="CJ393" s="41"/>
      <c r="CK393" s="41"/>
    </row>
    <row r="394" spans="1:89" s="51" customFormat="1" ht="33" customHeight="1">
      <c r="A394" s="74"/>
      <c r="B394" s="74"/>
      <c r="C394" s="74"/>
      <c r="D394" s="74"/>
      <c r="E394" s="74"/>
      <c r="F394" s="74"/>
      <c r="G394" s="75"/>
      <c r="H394" s="76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  <c r="BE394" s="53"/>
      <c r="BF394" s="53"/>
      <c r="BG394" s="53"/>
      <c r="BH394" s="53"/>
      <c r="BI394" s="53"/>
      <c r="BJ394" s="53"/>
      <c r="BK394" s="53"/>
      <c r="BL394" s="53"/>
      <c r="BM394" s="53"/>
      <c r="BN394" s="53"/>
      <c r="BO394" s="53"/>
      <c r="BP394" s="53"/>
      <c r="BQ394" s="53"/>
      <c r="BR394" s="53"/>
      <c r="BS394" s="53"/>
      <c r="BT394" s="53"/>
      <c r="BU394" s="53"/>
      <c r="BV394" s="53"/>
      <c r="BW394" s="53"/>
      <c r="BX394" s="53"/>
      <c r="BY394" s="53"/>
      <c r="BZ394" s="53"/>
      <c r="CA394" s="53"/>
      <c r="CB394" s="53"/>
      <c r="CC394" s="53"/>
      <c r="CD394" s="53"/>
      <c r="CE394" s="53"/>
      <c r="CF394" s="53"/>
      <c r="CG394" s="53"/>
      <c r="CH394" s="53"/>
      <c r="CI394" s="53"/>
      <c r="CJ394" s="53"/>
      <c r="CK394" s="53"/>
    </row>
    <row r="395" spans="1:89" s="51" customFormat="1" ht="33" customHeight="1">
      <c r="A395" s="74"/>
      <c r="B395" s="74"/>
      <c r="C395" s="74"/>
      <c r="D395" s="74"/>
      <c r="E395" s="74"/>
      <c r="F395" s="74"/>
      <c r="G395" s="75"/>
      <c r="H395" s="76"/>
      <c r="I395" s="52"/>
      <c r="J395" s="52"/>
      <c r="K395" s="52"/>
      <c r="L395" s="41"/>
      <c r="M395" s="41"/>
      <c r="N395" s="41"/>
      <c r="O395" s="41"/>
      <c r="P395" s="41"/>
      <c r="Q395" s="41"/>
      <c r="R395" s="41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  <c r="CD395" s="41"/>
      <c r="CE395" s="41"/>
      <c r="CF395" s="41"/>
      <c r="CG395" s="41"/>
      <c r="CH395" s="41"/>
      <c r="CI395" s="41"/>
      <c r="CJ395" s="41"/>
      <c r="CK395" s="41"/>
    </row>
    <row r="396" spans="1:89" s="51" customFormat="1" ht="33" customHeight="1">
      <c r="A396" s="74"/>
      <c r="B396" s="74"/>
      <c r="C396" s="74"/>
      <c r="D396" s="74"/>
      <c r="E396" s="74"/>
      <c r="F396" s="74"/>
      <c r="G396" s="75"/>
      <c r="H396" s="76"/>
      <c r="I396" s="52"/>
      <c r="J396" s="52"/>
      <c r="K396" s="52"/>
      <c r="L396" s="41"/>
      <c r="M396" s="41"/>
      <c r="N396" s="41"/>
      <c r="O396" s="41"/>
      <c r="P396" s="41"/>
      <c r="Q396" s="41"/>
      <c r="R396" s="41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  <c r="BZ396" s="41"/>
      <c r="CA396" s="41"/>
      <c r="CB396" s="41"/>
      <c r="CC396" s="41"/>
      <c r="CD396" s="41"/>
      <c r="CE396" s="41"/>
      <c r="CF396" s="41"/>
      <c r="CG396" s="41"/>
      <c r="CH396" s="41"/>
      <c r="CI396" s="41"/>
      <c r="CJ396" s="41"/>
      <c r="CK396" s="41"/>
    </row>
    <row r="397" spans="1:89" s="51" customFormat="1" ht="33" customHeight="1">
      <c r="A397" s="74"/>
      <c r="B397" s="74"/>
      <c r="C397" s="74"/>
      <c r="D397" s="74"/>
      <c r="E397" s="74"/>
      <c r="F397" s="74"/>
      <c r="G397" s="75"/>
      <c r="H397" s="76"/>
      <c r="I397" s="52"/>
      <c r="J397" s="52"/>
      <c r="K397" s="52"/>
      <c r="L397" s="41"/>
      <c r="M397" s="41"/>
      <c r="N397" s="41"/>
      <c r="O397" s="41"/>
      <c r="P397" s="41"/>
      <c r="Q397" s="41"/>
      <c r="R397" s="41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41"/>
      <c r="BX397" s="41"/>
      <c r="BY397" s="41"/>
      <c r="BZ397" s="41"/>
      <c r="CA397" s="41"/>
      <c r="CB397" s="41"/>
      <c r="CC397" s="41"/>
      <c r="CD397" s="41"/>
      <c r="CE397" s="41"/>
      <c r="CF397" s="41"/>
      <c r="CG397" s="41"/>
      <c r="CH397" s="41"/>
      <c r="CI397" s="41"/>
      <c r="CJ397" s="41"/>
      <c r="CK397" s="41"/>
    </row>
    <row r="398" spans="1:89" s="51" customFormat="1" ht="33" customHeight="1">
      <c r="A398" s="74"/>
      <c r="B398" s="74"/>
      <c r="C398" s="74"/>
      <c r="D398" s="74"/>
      <c r="E398" s="74"/>
      <c r="F398" s="74"/>
      <c r="G398" s="75"/>
      <c r="H398" s="76"/>
      <c r="I398" s="52"/>
      <c r="J398" s="52"/>
      <c r="K398" s="52"/>
      <c r="L398" s="41"/>
      <c r="M398" s="41"/>
      <c r="N398" s="41"/>
      <c r="O398" s="41"/>
      <c r="P398" s="41"/>
      <c r="Q398" s="41"/>
      <c r="R398" s="41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  <c r="BV398" s="41"/>
      <c r="BW398" s="41"/>
      <c r="BX398" s="41"/>
      <c r="BY398" s="41"/>
      <c r="BZ398" s="41"/>
      <c r="CA398" s="41"/>
      <c r="CB398" s="41"/>
      <c r="CC398" s="41"/>
      <c r="CD398" s="41"/>
      <c r="CE398" s="41"/>
      <c r="CF398" s="41"/>
      <c r="CG398" s="41"/>
      <c r="CH398" s="41"/>
      <c r="CI398" s="41"/>
      <c r="CJ398" s="41"/>
      <c r="CK398" s="41"/>
    </row>
    <row r="399" spans="1:89" s="51" customFormat="1" ht="33" customHeight="1">
      <c r="A399" s="74"/>
      <c r="B399" s="74"/>
      <c r="C399" s="74"/>
      <c r="D399" s="74"/>
      <c r="E399" s="74"/>
      <c r="F399" s="74"/>
      <c r="G399" s="75"/>
      <c r="H399" s="76"/>
      <c r="I399" s="52"/>
      <c r="J399" s="52"/>
      <c r="K399" s="52"/>
      <c r="L399" s="41"/>
      <c r="M399" s="41"/>
      <c r="N399" s="41"/>
      <c r="O399" s="41"/>
      <c r="P399" s="41"/>
      <c r="Q399" s="41"/>
      <c r="R399" s="41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  <c r="BV399" s="41"/>
      <c r="BW399" s="41"/>
      <c r="BX399" s="41"/>
      <c r="BY399" s="41"/>
      <c r="BZ399" s="41"/>
      <c r="CA399" s="41"/>
      <c r="CB399" s="41"/>
      <c r="CC399" s="41"/>
      <c r="CD399" s="41"/>
      <c r="CE399" s="41"/>
      <c r="CF399" s="41"/>
      <c r="CG399" s="41"/>
      <c r="CH399" s="41"/>
      <c r="CI399" s="41"/>
      <c r="CJ399" s="41"/>
      <c r="CK399" s="41"/>
    </row>
    <row r="400" spans="1:89" s="51" customFormat="1" ht="33" customHeight="1">
      <c r="A400" s="74"/>
      <c r="B400" s="74"/>
      <c r="C400" s="74"/>
      <c r="D400" s="74"/>
      <c r="E400" s="74"/>
      <c r="F400" s="74"/>
      <c r="G400" s="75"/>
      <c r="H400" s="76"/>
      <c r="I400" s="52"/>
      <c r="J400" s="52"/>
      <c r="K400" s="52"/>
      <c r="L400" s="41"/>
      <c r="M400" s="41"/>
      <c r="N400" s="41"/>
      <c r="O400" s="41"/>
      <c r="P400" s="41"/>
      <c r="Q400" s="41"/>
      <c r="R400" s="41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  <c r="BZ400" s="41"/>
      <c r="CA400" s="41"/>
      <c r="CB400" s="41"/>
      <c r="CC400" s="41"/>
      <c r="CD400" s="41"/>
      <c r="CE400" s="41"/>
      <c r="CF400" s="41"/>
      <c r="CG400" s="41"/>
      <c r="CH400" s="41"/>
      <c r="CI400" s="41"/>
      <c r="CJ400" s="41"/>
      <c r="CK400" s="41"/>
    </row>
    <row r="401" spans="1:89" s="51" customFormat="1" ht="33" customHeight="1">
      <c r="A401" s="74"/>
      <c r="B401" s="74"/>
      <c r="C401" s="74"/>
      <c r="D401" s="74"/>
      <c r="E401" s="74"/>
      <c r="F401" s="74"/>
      <c r="G401" s="75"/>
      <c r="H401" s="76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53"/>
      <c r="BG401" s="53"/>
      <c r="BH401" s="53"/>
      <c r="BI401" s="53"/>
      <c r="BJ401" s="53"/>
      <c r="BK401" s="53"/>
      <c r="BL401" s="53"/>
      <c r="BM401" s="53"/>
      <c r="BN401" s="53"/>
      <c r="BO401" s="53"/>
      <c r="BP401" s="53"/>
      <c r="BQ401" s="53"/>
      <c r="BR401" s="53"/>
      <c r="BS401" s="53"/>
      <c r="BT401" s="53"/>
      <c r="BU401" s="53"/>
      <c r="BV401" s="53"/>
      <c r="BW401" s="53"/>
      <c r="BX401" s="53"/>
      <c r="BY401" s="53"/>
      <c r="BZ401" s="53"/>
      <c r="CA401" s="53"/>
      <c r="CB401" s="53"/>
      <c r="CC401" s="53"/>
      <c r="CD401" s="53"/>
      <c r="CE401" s="53"/>
      <c r="CF401" s="53"/>
      <c r="CG401" s="53"/>
      <c r="CH401" s="53"/>
      <c r="CI401" s="53"/>
      <c r="CJ401" s="53"/>
      <c r="CK401" s="53"/>
    </row>
    <row r="402" spans="1:89" s="51" customFormat="1" ht="33" customHeight="1">
      <c r="A402" s="74"/>
      <c r="B402" s="74"/>
      <c r="C402" s="74"/>
      <c r="D402" s="74"/>
      <c r="E402" s="74"/>
      <c r="F402" s="74"/>
      <c r="G402" s="75"/>
      <c r="H402" s="76"/>
      <c r="I402" s="52"/>
      <c r="J402" s="52"/>
      <c r="K402" s="52"/>
      <c r="L402" s="41"/>
      <c r="M402" s="41"/>
      <c r="N402" s="41"/>
      <c r="O402" s="41"/>
      <c r="P402" s="41"/>
      <c r="Q402" s="41"/>
      <c r="R402" s="41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  <c r="BV402" s="41"/>
      <c r="BW402" s="41"/>
      <c r="BX402" s="41"/>
      <c r="BY402" s="41"/>
      <c r="BZ402" s="41"/>
      <c r="CA402" s="41"/>
      <c r="CB402" s="41"/>
      <c r="CC402" s="41"/>
      <c r="CD402" s="41"/>
      <c r="CE402" s="41"/>
      <c r="CF402" s="41"/>
      <c r="CG402" s="41"/>
      <c r="CH402" s="41"/>
      <c r="CI402" s="41"/>
      <c r="CJ402" s="41"/>
      <c r="CK402" s="41"/>
    </row>
    <row r="403" spans="1:89" s="51" customFormat="1" ht="33" customHeight="1">
      <c r="A403" s="74"/>
      <c r="B403" s="74"/>
      <c r="C403" s="74"/>
      <c r="D403" s="74"/>
      <c r="E403" s="74"/>
      <c r="F403" s="74"/>
      <c r="G403" s="75"/>
      <c r="H403" s="76"/>
      <c r="I403" s="52"/>
      <c r="J403" s="52"/>
      <c r="K403" s="52"/>
      <c r="L403" s="41"/>
      <c r="M403" s="41"/>
      <c r="N403" s="41"/>
      <c r="O403" s="41"/>
      <c r="P403" s="41"/>
      <c r="Q403" s="41"/>
      <c r="R403" s="41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  <c r="BV403" s="41"/>
      <c r="BW403" s="41"/>
      <c r="BX403" s="41"/>
      <c r="BY403" s="41"/>
      <c r="BZ403" s="41"/>
      <c r="CA403" s="41"/>
      <c r="CB403" s="41"/>
      <c r="CC403" s="41"/>
      <c r="CD403" s="41"/>
      <c r="CE403" s="41"/>
      <c r="CF403" s="41"/>
      <c r="CG403" s="41"/>
      <c r="CH403" s="41"/>
      <c r="CI403" s="41"/>
      <c r="CJ403" s="41"/>
      <c r="CK403" s="41"/>
    </row>
    <row r="404" spans="1:89" s="51" customFormat="1" ht="33" customHeight="1">
      <c r="A404" s="74"/>
      <c r="B404" s="74"/>
      <c r="C404" s="74"/>
      <c r="D404" s="74"/>
      <c r="E404" s="74"/>
      <c r="F404" s="74"/>
      <c r="G404" s="75"/>
      <c r="H404" s="76"/>
      <c r="I404" s="52"/>
      <c r="J404" s="52"/>
      <c r="K404" s="52"/>
      <c r="L404" s="41"/>
      <c r="M404" s="41"/>
      <c r="N404" s="41"/>
      <c r="O404" s="41"/>
      <c r="P404" s="41"/>
      <c r="Q404" s="41"/>
      <c r="R404" s="41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  <c r="BV404" s="41"/>
      <c r="BW404" s="41"/>
      <c r="BX404" s="41"/>
      <c r="BY404" s="41"/>
      <c r="BZ404" s="41"/>
      <c r="CA404" s="41"/>
      <c r="CB404" s="41"/>
      <c r="CC404" s="41"/>
      <c r="CD404" s="41"/>
      <c r="CE404" s="41"/>
      <c r="CF404" s="41"/>
      <c r="CG404" s="41"/>
      <c r="CH404" s="41"/>
      <c r="CI404" s="41"/>
      <c r="CJ404" s="41"/>
      <c r="CK404" s="41"/>
    </row>
    <row r="405" spans="1:89" s="51" customFormat="1" ht="33" customHeight="1">
      <c r="A405" s="74"/>
      <c r="B405" s="74"/>
      <c r="C405" s="74"/>
      <c r="D405" s="74"/>
      <c r="E405" s="74"/>
      <c r="F405" s="74"/>
      <c r="G405" s="75"/>
      <c r="H405" s="76"/>
      <c r="I405" s="52"/>
      <c r="J405" s="52"/>
      <c r="K405" s="52"/>
      <c r="L405" s="41"/>
      <c r="M405" s="41"/>
      <c r="N405" s="41"/>
      <c r="O405" s="41"/>
      <c r="P405" s="41"/>
      <c r="Q405" s="41"/>
      <c r="R405" s="41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  <c r="BZ405" s="41"/>
      <c r="CA405" s="41"/>
      <c r="CB405" s="41"/>
      <c r="CC405" s="41"/>
      <c r="CD405" s="41"/>
      <c r="CE405" s="41"/>
      <c r="CF405" s="41"/>
      <c r="CG405" s="41"/>
      <c r="CH405" s="41"/>
      <c r="CI405" s="41"/>
      <c r="CJ405" s="41"/>
      <c r="CK405" s="41"/>
    </row>
    <row r="406" spans="1:89" s="51" customFormat="1" ht="33" customHeight="1">
      <c r="A406" s="74"/>
      <c r="B406" s="74"/>
      <c r="C406" s="74"/>
      <c r="D406" s="74"/>
      <c r="E406" s="74"/>
      <c r="F406" s="74"/>
      <c r="G406" s="75"/>
      <c r="H406" s="76"/>
      <c r="I406" s="52"/>
      <c r="J406" s="52"/>
      <c r="K406" s="52"/>
      <c r="L406" s="41"/>
      <c r="M406" s="41"/>
      <c r="N406" s="41"/>
      <c r="O406" s="41"/>
      <c r="P406" s="41"/>
      <c r="Q406" s="41"/>
      <c r="R406" s="41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  <c r="BZ406" s="41"/>
      <c r="CA406" s="41"/>
      <c r="CB406" s="41"/>
      <c r="CC406" s="41"/>
      <c r="CD406" s="41"/>
      <c r="CE406" s="41"/>
      <c r="CF406" s="41"/>
      <c r="CG406" s="41"/>
      <c r="CH406" s="41"/>
      <c r="CI406" s="41"/>
      <c r="CJ406" s="41"/>
      <c r="CK406" s="41"/>
    </row>
    <row r="407" spans="1:89" s="51" customFormat="1" ht="33" customHeight="1">
      <c r="A407" s="74"/>
      <c r="B407" s="74"/>
      <c r="C407" s="74"/>
      <c r="D407" s="74"/>
      <c r="E407" s="74"/>
      <c r="F407" s="74"/>
      <c r="G407" s="75"/>
      <c r="H407" s="76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53"/>
      <c r="BG407" s="53"/>
      <c r="BH407" s="53"/>
      <c r="BI407" s="53"/>
      <c r="BJ407" s="53"/>
      <c r="BK407" s="53"/>
      <c r="BL407" s="53"/>
      <c r="BM407" s="53"/>
      <c r="BN407" s="53"/>
      <c r="BO407" s="53"/>
      <c r="BP407" s="53"/>
      <c r="BQ407" s="53"/>
      <c r="BR407" s="53"/>
      <c r="BS407" s="53"/>
      <c r="BT407" s="53"/>
      <c r="BU407" s="53"/>
      <c r="BV407" s="53"/>
      <c r="BW407" s="53"/>
      <c r="BX407" s="53"/>
      <c r="BY407" s="53"/>
      <c r="BZ407" s="53"/>
      <c r="CA407" s="53"/>
      <c r="CB407" s="53"/>
      <c r="CC407" s="53"/>
      <c r="CD407" s="53"/>
      <c r="CE407" s="53"/>
      <c r="CF407" s="53"/>
      <c r="CG407" s="53"/>
      <c r="CH407" s="53"/>
      <c r="CI407" s="53"/>
      <c r="CJ407" s="53"/>
      <c r="CK407" s="53"/>
    </row>
    <row r="408" spans="1:89" s="51" customFormat="1" ht="33" customHeight="1">
      <c r="A408" s="74"/>
      <c r="B408" s="74"/>
      <c r="C408" s="74"/>
      <c r="D408" s="74"/>
      <c r="E408" s="74"/>
      <c r="F408" s="74"/>
      <c r="G408" s="75"/>
      <c r="H408" s="76"/>
      <c r="I408" s="52"/>
      <c r="J408" s="52"/>
      <c r="K408" s="52"/>
      <c r="L408" s="41"/>
      <c r="M408" s="41"/>
      <c r="N408" s="41"/>
      <c r="O408" s="41"/>
      <c r="P408" s="41"/>
      <c r="Q408" s="41"/>
      <c r="R408" s="41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1"/>
      <c r="CA408" s="41"/>
      <c r="CB408" s="41"/>
      <c r="CC408" s="41"/>
      <c r="CD408" s="41"/>
      <c r="CE408" s="41"/>
      <c r="CF408" s="41"/>
      <c r="CG408" s="41"/>
      <c r="CH408" s="41"/>
      <c r="CI408" s="41"/>
      <c r="CJ408" s="41"/>
      <c r="CK408" s="41"/>
    </row>
    <row r="409" spans="1:89" s="51" customFormat="1" ht="33" customHeight="1">
      <c r="A409" s="74"/>
      <c r="B409" s="74"/>
      <c r="C409" s="74"/>
      <c r="D409" s="74"/>
      <c r="E409" s="74"/>
      <c r="F409" s="74"/>
      <c r="G409" s="75"/>
      <c r="H409" s="76"/>
      <c r="I409" s="52"/>
      <c r="J409" s="52"/>
      <c r="K409" s="52"/>
      <c r="L409" s="41"/>
      <c r="M409" s="41"/>
      <c r="N409" s="41"/>
      <c r="O409" s="41"/>
      <c r="P409" s="41"/>
      <c r="Q409" s="41"/>
      <c r="R409" s="41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  <c r="BV409" s="41"/>
      <c r="BW409" s="41"/>
      <c r="BX409" s="41"/>
      <c r="BY409" s="41"/>
      <c r="BZ409" s="41"/>
      <c r="CA409" s="41"/>
      <c r="CB409" s="41"/>
      <c r="CC409" s="41"/>
      <c r="CD409" s="41"/>
      <c r="CE409" s="41"/>
      <c r="CF409" s="41"/>
      <c r="CG409" s="41"/>
      <c r="CH409" s="41"/>
      <c r="CI409" s="41"/>
      <c r="CJ409" s="41"/>
      <c r="CK409" s="41"/>
    </row>
    <row r="410" spans="1:89" s="51" customFormat="1" ht="33" customHeight="1">
      <c r="A410" s="74"/>
      <c r="B410" s="74"/>
      <c r="C410" s="74"/>
      <c r="D410" s="74"/>
      <c r="E410" s="74"/>
      <c r="F410" s="74"/>
      <c r="G410" s="75"/>
      <c r="H410" s="76"/>
      <c r="I410" s="52"/>
      <c r="J410" s="52"/>
      <c r="K410" s="52"/>
      <c r="L410" s="41"/>
      <c r="M410" s="41"/>
      <c r="N410" s="41"/>
      <c r="O410" s="41"/>
      <c r="P410" s="41"/>
      <c r="Q410" s="41"/>
      <c r="R410" s="41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  <c r="BZ410" s="41"/>
      <c r="CA410" s="41"/>
      <c r="CB410" s="41"/>
      <c r="CC410" s="41"/>
      <c r="CD410" s="41"/>
      <c r="CE410" s="41"/>
      <c r="CF410" s="41"/>
      <c r="CG410" s="41"/>
      <c r="CH410" s="41"/>
      <c r="CI410" s="41"/>
      <c r="CJ410" s="41"/>
      <c r="CK410" s="41"/>
    </row>
    <row r="411" spans="1:89" s="51" customFormat="1" ht="33" customHeight="1">
      <c r="A411" s="74"/>
      <c r="B411" s="74"/>
      <c r="C411" s="74"/>
      <c r="D411" s="74"/>
      <c r="E411" s="74"/>
      <c r="F411" s="74"/>
      <c r="G411" s="75"/>
      <c r="H411" s="76"/>
      <c r="I411" s="52"/>
      <c r="J411" s="52"/>
      <c r="K411" s="52"/>
      <c r="L411" s="41"/>
      <c r="M411" s="41"/>
      <c r="N411" s="41"/>
      <c r="O411" s="41"/>
      <c r="P411" s="41"/>
      <c r="Q411" s="41"/>
      <c r="R411" s="41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  <c r="BZ411" s="41"/>
      <c r="CA411" s="41"/>
      <c r="CB411" s="41"/>
      <c r="CC411" s="41"/>
      <c r="CD411" s="41"/>
      <c r="CE411" s="41"/>
      <c r="CF411" s="41"/>
      <c r="CG411" s="41"/>
      <c r="CH411" s="41"/>
      <c r="CI411" s="41"/>
      <c r="CJ411" s="41"/>
      <c r="CK411" s="41"/>
    </row>
    <row r="412" spans="1:89" s="51" customFormat="1" ht="33" customHeight="1">
      <c r="A412" s="74"/>
      <c r="B412" s="74"/>
      <c r="C412" s="74"/>
      <c r="D412" s="74"/>
      <c r="E412" s="74"/>
      <c r="F412" s="74"/>
      <c r="G412" s="75"/>
      <c r="H412" s="76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  <c r="BE412" s="53"/>
      <c r="BF412" s="53"/>
      <c r="BG412" s="53"/>
      <c r="BH412" s="53"/>
      <c r="BI412" s="53"/>
      <c r="BJ412" s="53"/>
      <c r="BK412" s="53"/>
      <c r="BL412" s="53"/>
      <c r="BM412" s="53"/>
      <c r="BN412" s="53"/>
      <c r="BO412" s="53"/>
      <c r="BP412" s="53"/>
      <c r="BQ412" s="53"/>
      <c r="BR412" s="53"/>
      <c r="BS412" s="53"/>
      <c r="BT412" s="53"/>
      <c r="BU412" s="53"/>
      <c r="BV412" s="53"/>
      <c r="BW412" s="53"/>
      <c r="BX412" s="53"/>
      <c r="BY412" s="53"/>
      <c r="BZ412" s="53"/>
      <c r="CA412" s="53"/>
      <c r="CB412" s="53"/>
      <c r="CC412" s="53"/>
      <c r="CD412" s="53"/>
      <c r="CE412" s="53"/>
      <c r="CF412" s="53"/>
      <c r="CG412" s="53"/>
      <c r="CH412" s="53"/>
      <c r="CI412" s="53"/>
      <c r="CJ412" s="53"/>
      <c r="CK412" s="53"/>
    </row>
    <row r="413" spans="1:89" s="51" customFormat="1" ht="33" customHeight="1">
      <c r="A413" s="74"/>
      <c r="B413" s="74"/>
      <c r="C413" s="74"/>
      <c r="D413" s="74"/>
      <c r="E413" s="74"/>
      <c r="F413" s="74"/>
      <c r="G413" s="75"/>
      <c r="H413" s="76"/>
      <c r="I413" s="52"/>
      <c r="J413" s="52"/>
      <c r="K413" s="52"/>
      <c r="L413" s="41"/>
      <c r="M413" s="41"/>
      <c r="N413" s="41"/>
      <c r="O413" s="41"/>
      <c r="P413" s="41"/>
      <c r="Q413" s="41"/>
      <c r="R413" s="41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  <c r="BV413" s="41"/>
      <c r="BW413" s="41"/>
      <c r="BX413" s="41"/>
      <c r="BY413" s="41"/>
      <c r="BZ413" s="41"/>
      <c r="CA413" s="41"/>
      <c r="CB413" s="41"/>
      <c r="CC413" s="41"/>
      <c r="CD413" s="41"/>
      <c r="CE413" s="41"/>
      <c r="CF413" s="41"/>
      <c r="CG413" s="41"/>
      <c r="CH413" s="41"/>
      <c r="CI413" s="41"/>
      <c r="CJ413" s="41"/>
      <c r="CK413" s="41"/>
    </row>
    <row r="414" spans="1:89" s="51" customFormat="1" ht="33" customHeight="1">
      <c r="A414" s="74"/>
      <c r="B414" s="74"/>
      <c r="C414" s="74"/>
      <c r="D414" s="74"/>
      <c r="E414" s="74"/>
      <c r="F414" s="74"/>
      <c r="G414" s="75"/>
      <c r="H414" s="76"/>
      <c r="I414" s="52"/>
      <c r="J414" s="52"/>
      <c r="K414" s="52"/>
      <c r="L414" s="41"/>
      <c r="M414" s="41"/>
      <c r="N414" s="41"/>
      <c r="O414" s="41"/>
      <c r="P414" s="41"/>
      <c r="Q414" s="41"/>
      <c r="R414" s="41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  <c r="BV414" s="41"/>
      <c r="BW414" s="41"/>
      <c r="BX414" s="41"/>
      <c r="BY414" s="41"/>
      <c r="BZ414" s="41"/>
      <c r="CA414" s="41"/>
      <c r="CB414" s="41"/>
      <c r="CC414" s="41"/>
      <c r="CD414" s="41"/>
      <c r="CE414" s="41"/>
      <c r="CF414" s="41"/>
      <c r="CG414" s="41"/>
      <c r="CH414" s="41"/>
      <c r="CI414" s="41"/>
      <c r="CJ414" s="41"/>
      <c r="CK414" s="41"/>
    </row>
    <row r="415" spans="1:89" s="51" customFormat="1" ht="33" customHeight="1">
      <c r="A415" s="74"/>
      <c r="B415" s="74"/>
      <c r="C415" s="74"/>
      <c r="D415" s="74"/>
      <c r="E415" s="74"/>
      <c r="F415" s="74"/>
      <c r="G415" s="75"/>
      <c r="H415" s="76"/>
      <c r="I415" s="52"/>
      <c r="J415" s="52"/>
      <c r="K415" s="52"/>
      <c r="L415" s="41"/>
      <c r="M415" s="41"/>
      <c r="N415" s="41"/>
      <c r="O415" s="41"/>
      <c r="P415" s="41"/>
      <c r="Q415" s="41"/>
      <c r="R415" s="41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  <c r="BV415" s="41"/>
      <c r="BW415" s="41"/>
      <c r="BX415" s="41"/>
      <c r="BY415" s="41"/>
      <c r="BZ415" s="41"/>
      <c r="CA415" s="41"/>
      <c r="CB415" s="41"/>
      <c r="CC415" s="41"/>
      <c r="CD415" s="41"/>
      <c r="CE415" s="41"/>
      <c r="CF415" s="41"/>
      <c r="CG415" s="41"/>
      <c r="CH415" s="41"/>
      <c r="CI415" s="41"/>
      <c r="CJ415" s="41"/>
      <c r="CK415" s="41"/>
    </row>
    <row r="416" spans="1:89" s="51" customFormat="1" ht="33" customHeight="1">
      <c r="A416" s="74"/>
      <c r="B416" s="74"/>
      <c r="C416" s="74"/>
      <c r="D416" s="74"/>
      <c r="E416" s="74"/>
      <c r="F416" s="74"/>
      <c r="G416" s="75"/>
      <c r="H416" s="76"/>
      <c r="I416" s="52"/>
      <c r="J416" s="52"/>
      <c r="K416" s="52"/>
      <c r="L416" s="41"/>
      <c r="M416" s="41"/>
      <c r="N416" s="41"/>
      <c r="O416" s="41"/>
      <c r="P416" s="41"/>
      <c r="Q416" s="41"/>
      <c r="R416" s="41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  <c r="BV416" s="41"/>
      <c r="BW416" s="41"/>
      <c r="BX416" s="41"/>
      <c r="BY416" s="41"/>
      <c r="BZ416" s="41"/>
      <c r="CA416" s="41"/>
      <c r="CB416" s="41"/>
      <c r="CC416" s="41"/>
      <c r="CD416" s="41"/>
      <c r="CE416" s="41"/>
      <c r="CF416" s="41"/>
      <c r="CG416" s="41"/>
      <c r="CH416" s="41"/>
      <c r="CI416" s="41"/>
      <c r="CJ416" s="41"/>
      <c r="CK416" s="41"/>
    </row>
    <row r="417" spans="1:89" s="51" customFormat="1" ht="33" customHeight="1">
      <c r="A417" s="74"/>
      <c r="B417" s="74"/>
      <c r="C417" s="74"/>
      <c r="D417" s="74"/>
      <c r="E417" s="74"/>
      <c r="F417" s="74"/>
      <c r="G417" s="75"/>
      <c r="H417" s="76"/>
      <c r="I417" s="52"/>
      <c r="J417" s="52"/>
      <c r="K417" s="52"/>
      <c r="L417" s="41"/>
      <c r="M417" s="41"/>
      <c r="N417" s="41"/>
      <c r="O417" s="41"/>
      <c r="P417" s="41"/>
      <c r="Q417" s="41"/>
      <c r="R417" s="41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  <c r="BV417" s="41"/>
      <c r="BW417" s="41"/>
      <c r="BX417" s="41"/>
      <c r="BY417" s="41"/>
      <c r="BZ417" s="41"/>
      <c r="CA417" s="41"/>
      <c r="CB417" s="41"/>
      <c r="CC417" s="41"/>
      <c r="CD417" s="41"/>
      <c r="CE417" s="41"/>
      <c r="CF417" s="41"/>
      <c r="CG417" s="41"/>
      <c r="CH417" s="41"/>
      <c r="CI417" s="41"/>
      <c r="CJ417" s="41"/>
      <c r="CK417" s="41"/>
    </row>
    <row r="418" spans="1:89" s="51" customFormat="1" ht="33" customHeight="1">
      <c r="A418" s="74"/>
      <c r="B418" s="74"/>
      <c r="C418" s="74"/>
      <c r="D418" s="74"/>
      <c r="E418" s="74"/>
      <c r="F418" s="74"/>
      <c r="G418" s="75"/>
      <c r="H418" s="76"/>
      <c r="I418" s="52"/>
      <c r="J418" s="52"/>
      <c r="K418" s="52"/>
      <c r="L418" s="41"/>
      <c r="M418" s="41"/>
      <c r="N418" s="41"/>
      <c r="O418" s="41"/>
      <c r="P418" s="41"/>
      <c r="Q418" s="41"/>
      <c r="R418" s="41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  <c r="BV418" s="41"/>
      <c r="BW418" s="41"/>
      <c r="BX418" s="41"/>
      <c r="BY418" s="41"/>
      <c r="BZ418" s="41"/>
      <c r="CA418" s="41"/>
      <c r="CB418" s="41"/>
      <c r="CC418" s="41"/>
      <c r="CD418" s="41"/>
      <c r="CE418" s="41"/>
      <c r="CF418" s="41"/>
      <c r="CG418" s="41"/>
      <c r="CH418" s="41"/>
      <c r="CI418" s="41"/>
      <c r="CJ418" s="41"/>
      <c r="CK418" s="41"/>
    </row>
    <row r="419" spans="1:89" s="51" customFormat="1" ht="33" customHeight="1">
      <c r="A419" s="74"/>
      <c r="B419" s="74"/>
      <c r="C419" s="74"/>
      <c r="D419" s="74"/>
      <c r="E419" s="74"/>
      <c r="F419" s="74"/>
      <c r="G419" s="75"/>
      <c r="H419" s="76"/>
      <c r="I419" s="52"/>
      <c r="J419" s="52"/>
      <c r="K419" s="52"/>
      <c r="L419" s="41"/>
      <c r="M419" s="41"/>
      <c r="N419" s="41"/>
      <c r="O419" s="41"/>
      <c r="P419" s="41"/>
      <c r="Q419" s="41"/>
      <c r="R419" s="41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  <c r="BV419" s="41"/>
      <c r="BW419" s="41"/>
      <c r="BX419" s="41"/>
      <c r="BY419" s="41"/>
      <c r="BZ419" s="41"/>
      <c r="CA419" s="41"/>
      <c r="CB419" s="41"/>
      <c r="CC419" s="41"/>
      <c r="CD419" s="41"/>
      <c r="CE419" s="41"/>
      <c r="CF419" s="41"/>
      <c r="CG419" s="41"/>
      <c r="CH419" s="41"/>
      <c r="CI419" s="41"/>
      <c r="CJ419" s="41"/>
      <c r="CK419" s="41"/>
    </row>
    <row r="420" spans="1:89" s="51" customFormat="1" ht="33" customHeight="1">
      <c r="A420" s="74"/>
      <c r="B420" s="74"/>
      <c r="C420" s="74"/>
      <c r="D420" s="74"/>
      <c r="E420" s="74"/>
      <c r="F420" s="74"/>
      <c r="G420" s="75"/>
      <c r="H420" s="76"/>
      <c r="I420" s="52"/>
      <c r="J420" s="52"/>
      <c r="K420" s="52"/>
      <c r="L420" s="41"/>
      <c r="M420" s="41"/>
      <c r="N420" s="41"/>
      <c r="O420" s="41"/>
      <c r="P420" s="41"/>
      <c r="Q420" s="41"/>
      <c r="R420" s="41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  <c r="BZ420" s="41"/>
      <c r="CA420" s="41"/>
      <c r="CB420" s="41"/>
      <c r="CC420" s="41"/>
      <c r="CD420" s="41"/>
      <c r="CE420" s="41"/>
      <c r="CF420" s="41"/>
      <c r="CG420" s="41"/>
      <c r="CH420" s="41"/>
      <c r="CI420" s="41"/>
      <c r="CJ420" s="41"/>
      <c r="CK420" s="41"/>
    </row>
    <row r="421" spans="1:89" s="51" customFormat="1" ht="33" customHeight="1">
      <c r="A421" s="74"/>
      <c r="B421" s="74"/>
      <c r="C421" s="74"/>
      <c r="D421" s="74"/>
      <c r="E421" s="74"/>
      <c r="F421" s="74"/>
      <c r="G421" s="75"/>
      <c r="H421" s="76"/>
      <c r="I421" s="52"/>
      <c r="J421" s="52"/>
      <c r="K421" s="52"/>
      <c r="L421" s="41"/>
      <c r="M421" s="41"/>
      <c r="N421" s="41"/>
      <c r="O421" s="41"/>
      <c r="P421" s="41"/>
      <c r="Q421" s="41"/>
      <c r="R421" s="41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  <c r="BV421" s="41"/>
      <c r="BW421" s="41"/>
      <c r="BX421" s="41"/>
      <c r="BY421" s="41"/>
      <c r="BZ421" s="41"/>
      <c r="CA421" s="41"/>
      <c r="CB421" s="41"/>
      <c r="CC421" s="41"/>
      <c r="CD421" s="41"/>
      <c r="CE421" s="41"/>
      <c r="CF421" s="41"/>
      <c r="CG421" s="41"/>
      <c r="CH421" s="41"/>
      <c r="CI421" s="41"/>
      <c r="CJ421" s="41"/>
      <c r="CK421" s="41"/>
    </row>
    <row r="422" spans="1:89" s="51" customFormat="1" ht="33" customHeight="1">
      <c r="A422" s="74"/>
      <c r="B422" s="74"/>
      <c r="C422" s="74"/>
      <c r="D422" s="74"/>
      <c r="E422" s="74"/>
      <c r="F422" s="74"/>
      <c r="G422" s="75"/>
      <c r="H422" s="76"/>
      <c r="I422" s="52"/>
      <c r="J422" s="52"/>
      <c r="K422" s="52"/>
      <c r="L422" s="41"/>
      <c r="M422" s="41"/>
      <c r="N422" s="41"/>
      <c r="O422" s="41"/>
      <c r="P422" s="41"/>
      <c r="Q422" s="41"/>
      <c r="R422" s="41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  <c r="BV422" s="41"/>
      <c r="BW422" s="41"/>
      <c r="BX422" s="41"/>
      <c r="BY422" s="41"/>
      <c r="BZ422" s="41"/>
      <c r="CA422" s="41"/>
      <c r="CB422" s="41"/>
      <c r="CC422" s="41"/>
      <c r="CD422" s="41"/>
      <c r="CE422" s="41"/>
      <c r="CF422" s="41"/>
      <c r="CG422" s="41"/>
      <c r="CH422" s="41"/>
      <c r="CI422" s="41"/>
      <c r="CJ422" s="41"/>
      <c r="CK422" s="41"/>
    </row>
    <row r="423" spans="1:89" s="51" customFormat="1" ht="33" customHeight="1">
      <c r="A423" s="74"/>
      <c r="B423" s="74"/>
      <c r="C423" s="74"/>
      <c r="D423" s="74"/>
      <c r="E423" s="74"/>
      <c r="F423" s="74"/>
      <c r="G423" s="75"/>
      <c r="H423" s="76"/>
      <c r="I423" s="52"/>
      <c r="J423" s="52"/>
      <c r="K423" s="52"/>
      <c r="L423" s="41"/>
      <c r="M423" s="41"/>
      <c r="N423" s="41"/>
      <c r="O423" s="41"/>
      <c r="P423" s="41"/>
      <c r="Q423" s="41"/>
      <c r="R423" s="41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  <c r="BV423" s="41"/>
      <c r="BW423" s="41"/>
      <c r="BX423" s="41"/>
      <c r="BY423" s="41"/>
      <c r="BZ423" s="41"/>
      <c r="CA423" s="41"/>
      <c r="CB423" s="41"/>
      <c r="CC423" s="41"/>
      <c r="CD423" s="41"/>
      <c r="CE423" s="41"/>
      <c r="CF423" s="41"/>
      <c r="CG423" s="41"/>
      <c r="CH423" s="41"/>
      <c r="CI423" s="41"/>
      <c r="CJ423" s="41"/>
      <c r="CK423" s="41"/>
    </row>
    <row r="424" spans="1:89" s="51" customFormat="1" ht="33" customHeight="1">
      <c r="A424" s="74"/>
      <c r="B424" s="74"/>
      <c r="C424" s="74"/>
      <c r="D424" s="74"/>
      <c r="E424" s="74"/>
      <c r="F424" s="74"/>
      <c r="G424" s="75"/>
      <c r="H424" s="76"/>
      <c r="I424" s="52"/>
      <c r="J424" s="52"/>
      <c r="K424" s="52"/>
      <c r="L424" s="41"/>
      <c r="M424" s="41"/>
      <c r="N424" s="41"/>
      <c r="O424" s="41"/>
      <c r="P424" s="41"/>
      <c r="Q424" s="41"/>
      <c r="R424" s="41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  <c r="BV424" s="41"/>
      <c r="BW424" s="41"/>
      <c r="BX424" s="41"/>
      <c r="BY424" s="41"/>
      <c r="BZ424" s="41"/>
      <c r="CA424" s="41"/>
      <c r="CB424" s="41"/>
      <c r="CC424" s="41"/>
      <c r="CD424" s="41"/>
      <c r="CE424" s="41"/>
      <c r="CF424" s="41"/>
      <c r="CG424" s="41"/>
      <c r="CH424" s="41"/>
      <c r="CI424" s="41"/>
      <c r="CJ424" s="41"/>
      <c r="CK424" s="41"/>
    </row>
    <row r="425" spans="1:89" s="51" customFormat="1" ht="33" customHeight="1">
      <c r="A425" s="74"/>
      <c r="B425" s="74"/>
      <c r="C425" s="74"/>
      <c r="D425" s="74"/>
      <c r="E425" s="74"/>
      <c r="F425" s="74"/>
      <c r="G425" s="75"/>
      <c r="H425" s="76"/>
      <c r="I425" s="52"/>
      <c r="J425" s="52"/>
      <c r="K425" s="52"/>
      <c r="L425" s="41"/>
      <c r="M425" s="41"/>
      <c r="N425" s="41"/>
      <c r="O425" s="41"/>
      <c r="P425" s="41"/>
      <c r="Q425" s="41"/>
      <c r="R425" s="41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  <c r="BV425" s="41"/>
      <c r="BW425" s="41"/>
      <c r="BX425" s="41"/>
      <c r="BY425" s="41"/>
      <c r="BZ425" s="41"/>
      <c r="CA425" s="41"/>
      <c r="CB425" s="41"/>
      <c r="CC425" s="41"/>
      <c r="CD425" s="41"/>
      <c r="CE425" s="41"/>
      <c r="CF425" s="41"/>
      <c r="CG425" s="41"/>
      <c r="CH425" s="41"/>
      <c r="CI425" s="41"/>
      <c r="CJ425" s="41"/>
      <c r="CK425" s="41"/>
    </row>
    <row r="426" spans="1:89" s="51" customFormat="1" ht="33" customHeight="1">
      <c r="A426" s="74"/>
      <c r="B426" s="74"/>
      <c r="C426" s="74"/>
      <c r="D426" s="74"/>
      <c r="E426" s="74"/>
      <c r="F426" s="74"/>
      <c r="G426" s="75"/>
      <c r="H426" s="76"/>
      <c r="I426" s="52"/>
      <c r="J426" s="52"/>
      <c r="K426" s="52"/>
      <c r="L426" s="41"/>
      <c r="M426" s="41"/>
      <c r="N426" s="41"/>
      <c r="O426" s="41"/>
      <c r="P426" s="41"/>
      <c r="Q426" s="41"/>
      <c r="R426" s="41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  <c r="BV426" s="41"/>
      <c r="BW426" s="41"/>
      <c r="BX426" s="41"/>
      <c r="BY426" s="41"/>
      <c r="BZ426" s="41"/>
      <c r="CA426" s="41"/>
      <c r="CB426" s="41"/>
      <c r="CC426" s="41"/>
      <c r="CD426" s="41"/>
      <c r="CE426" s="41"/>
      <c r="CF426" s="41"/>
      <c r="CG426" s="41"/>
      <c r="CH426" s="41"/>
      <c r="CI426" s="41"/>
      <c r="CJ426" s="41"/>
      <c r="CK426" s="41"/>
    </row>
    <row r="427" spans="1:89" s="51" customFormat="1" ht="33" customHeight="1">
      <c r="A427" s="74"/>
      <c r="B427" s="74"/>
      <c r="C427" s="74"/>
      <c r="D427" s="74"/>
      <c r="E427" s="74"/>
      <c r="F427" s="74"/>
      <c r="G427" s="75"/>
      <c r="H427" s="76"/>
      <c r="I427" s="52"/>
      <c r="J427" s="52"/>
      <c r="K427" s="52"/>
      <c r="L427" s="41"/>
      <c r="M427" s="41"/>
      <c r="N427" s="41"/>
      <c r="O427" s="41"/>
      <c r="P427" s="41"/>
      <c r="Q427" s="41"/>
      <c r="R427" s="41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  <c r="BV427" s="41"/>
      <c r="BW427" s="41"/>
      <c r="BX427" s="41"/>
      <c r="BY427" s="41"/>
      <c r="BZ427" s="41"/>
      <c r="CA427" s="41"/>
      <c r="CB427" s="41"/>
      <c r="CC427" s="41"/>
      <c r="CD427" s="41"/>
      <c r="CE427" s="41"/>
      <c r="CF427" s="41"/>
      <c r="CG427" s="41"/>
      <c r="CH427" s="41"/>
      <c r="CI427" s="41"/>
      <c r="CJ427" s="41"/>
      <c r="CK427" s="41"/>
    </row>
    <row r="428" spans="1:89" s="51" customFormat="1" ht="33" customHeight="1">
      <c r="A428" s="74"/>
      <c r="B428" s="74"/>
      <c r="C428" s="74"/>
      <c r="D428" s="74"/>
      <c r="E428" s="74"/>
      <c r="F428" s="74"/>
      <c r="G428" s="75"/>
      <c r="H428" s="76"/>
      <c r="I428" s="52"/>
      <c r="J428" s="52"/>
      <c r="K428" s="52"/>
      <c r="L428" s="41"/>
      <c r="M428" s="41"/>
      <c r="N428" s="41"/>
      <c r="O428" s="41"/>
      <c r="P428" s="41"/>
      <c r="Q428" s="41"/>
      <c r="R428" s="41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1"/>
      <c r="CA428" s="41"/>
      <c r="CB428" s="41"/>
      <c r="CC428" s="41"/>
      <c r="CD428" s="41"/>
      <c r="CE428" s="41"/>
      <c r="CF428" s="41"/>
      <c r="CG428" s="41"/>
      <c r="CH428" s="41"/>
      <c r="CI428" s="41"/>
      <c r="CJ428" s="41"/>
      <c r="CK428" s="41"/>
    </row>
    <row r="429" spans="1:89" s="51" customFormat="1" ht="33" customHeight="1">
      <c r="A429" s="74"/>
      <c r="B429" s="74"/>
      <c r="C429" s="74"/>
      <c r="D429" s="74"/>
      <c r="E429" s="74"/>
      <c r="F429" s="74"/>
      <c r="G429" s="75"/>
      <c r="H429" s="76"/>
      <c r="I429" s="52"/>
      <c r="J429" s="52"/>
      <c r="K429" s="52"/>
      <c r="L429" s="41"/>
      <c r="M429" s="41"/>
      <c r="N429" s="41"/>
      <c r="O429" s="41"/>
      <c r="P429" s="41"/>
      <c r="Q429" s="41"/>
      <c r="R429" s="41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  <c r="BV429" s="41"/>
      <c r="BW429" s="41"/>
      <c r="BX429" s="41"/>
      <c r="BY429" s="41"/>
      <c r="BZ429" s="41"/>
      <c r="CA429" s="41"/>
      <c r="CB429" s="41"/>
      <c r="CC429" s="41"/>
      <c r="CD429" s="41"/>
      <c r="CE429" s="41"/>
      <c r="CF429" s="41"/>
      <c r="CG429" s="41"/>
      <c r="CH429" s="41"/>
      <c r="CI429" s="41"/>
      <c r="CJ429" s="41"/>
      <c r="CK429" s="41"/>
    </row>
    <row r="430" spans="1:89" s="51" customFormat="1" ht="33" customHeight="1">
      <c r="A430" s="74"/>
      <c r="B430" s="74"/>
      <c r="C430" s="74"/>
      <c r="D430" s="74"/>
      <c r="E430" s="74"/>
      <c r="F430" s="74"/>
      <c r="G430" s="75"/>
      <c r="H430" s="76"/>
      <c r="I430" s="52"/>
      <c r="J430" s="52"/>
      <c r="K430" s="52"/>
      <c r="L430" s="41"/>
      <c r="M430" s="41"/>
      <c r="N430" s="41"/>
      <c r="O430" s="41"/>
      <c r="P430" s="41"/>
      <c r="Q430" s="41"/>
      <c r="R430" s="41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1"/>
      <c r="CA430" s="41"/>
      <c r="CB430" s="41"/>
      <c r="CC430" s="41"/>
      <c r="CD430" s="41"/>
      <c r="CE430" s="41"/>
      <c r="CF430" s="41"/>
      <c r="CG430" s="41"/>
      <c r="CH430" s="41"/>
      <c r="CI430" s="41"/>
      <c r="CJ430" s="41"/>
      <c r="CK430" s="41"/>
    </row>
    <row r="431" spans="1:89" s="51" customFormat="1" ht="33" customHeight="1">
      <c r="A431" s="74"/>
      <c r="B431" s="74"/>
      <c r="C431" s="74"/>
      <c r="D431" s="74"/>
      <c r="E431" s="74"/>
      <c r="F431" s="74"/>
      <c r="G431" s="75"/>
      <c r="H431" s="76"/>
      <c r="I431" s="52"/>
      <c r="J431" s="52"/>
      <c r="K431" s="52"/>
      <c r="L431" s="41"/>
      <c r="M431" s="41"/>
      <c r="N431" s="41"/>
      <c r="O431" s="41"/>
      <c r="P431" s="41"/>
      <c r="Q431" s="41"/>
      <c r="R431" s="41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/>
      <c r="BW431" s="41"/>
      <c r="BX431" s="41"/>
      <c r="BY431" s="41"/>
      <c r="BZ431" s="41"/>
      <c r="CA431" s="41"/>
      <c r="CB431" s="41"/>
      <c r="CC431" s="41"/>
      <c r="CD431" s="41"/>
      <c r="CE431" s="41"/>
      <c r="CF431" s="41"/>
      <c r="CG431" s="41"/>
      <c r="CH431" s="41"/>
      <c r="CI431" s="41"/>
      <c r="CJ431" s="41"/>
      <c r="CK431" s="41"/>
    </row>
    <row r="432" spans="1:89" s="51" customFormat="1" ht="33" customHeight="1">
      <c r="A432" s="74"/>
      <c r="B432" s="74"/>
      <c r="C432" s="74"/>
      <c r="D432" s="74"/>
      <c r="E432" s="74"/>
      <c r="F432" s="74"/>
      <c r="G432" s="75"/>
      <c r="H432" s="76"/>
      <c r="I432" s="52"/>
      <c r="J432" s="52"/>
      <c r="K432" s="52"/>
      <c r="L432" s="41"/>
      <c r="M432" s="41"/>
      <c r="N432" s="41"/>
      <c r="O432" s="41"/>
      <c r="P432" s="41"/>
      <c r="Q432" s="41"/>
      <c r="R432" s="41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1"/>
      <c r="BX432" s="41"/>
      <c r="BY432" s="41"/>
      <c r="BZ432" s="41"/>
      <c r="CA432" s="41"/>
      <c r="CB432" s="41"/>
      <c r="CC432" s="41"/>
      <c r="CD432" s="41"/>
      <c r="CE432" s="41"/>
      <c r="CF432" s="41"/>
      <c r="CG432" s="41"/>
      <c r="CH432" s="41"/>
      <c r="CI432" s="41"/>
      <c r="CJ432" s="41"/>
      <c r="CK432" s="41"/>
    </row>
    <row r="433" spans="1:89" s="51" customFormat="1" ht="33" customHeight="1">
      <c r="A433" s="74"/>
      <c r="B433" s="74"/>
      <c r="C433" s="74"/>
      <c r="D433" s="74"/>
      <c r="E433" s="74"/>
      <c r="F433" s="74"/>
      <c r="G433" s="75"/>
      <c r="H433" s="76"/>
      <c r="I433" s="52"/>
      <c r="J433" s="52"/>
      <c r="K433" s="52"/>
      <c r="L433" s="41"/>
      <c r="M433" s="41"/>
      <c r="N433" s="41"/>
      <c r="O433" s="41"/>
      <c r="P433" s="41"/>
      <c r="Q433" s="41"/>
      <c r="R433" s="41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  <c r="BV433" s="41"/>
      <c r="BW433" s="41"/>
      <c r="BX433" s="41"/>
      <c r="BY433" s="41"/>
      <c r="BZ433" s="41"/>
      <c r="CA433" s="41"/>
      <c r="CB433" s="41"/>
      <c r="CC433" s="41"/>
      <c r="CD433" s="41"/>
      <c r="CE433" s="41"/>
      <c r="CF433" s="41"/>
      <c r="CG433" s="41"/>
      <c r="CH433" s="41"/>
      <c r="CI433" s="41"/>
      <c r="CJ433" s="41"/>
      <c r="CK433" s="41"/>
    </row>
    <row r="434" spans="1:89" s="51" customFormat="1" ht="33" customHeight="1">
      <c r="A434" s="74"/>
      <c r="B434" s="74"/>
      <c r="C434" s="74"/>
      <c r="D434" s="74"/>
      <c r="E434" s="74"/>
      <c r="F434" s="74"/>
      <c r="G434" s="75"/>
      <c r="H434" s="76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3"/>
      <c r="BF434" s="53"/>
      <c r="BG434" s="53"/>
      <c r="BH434" s="53"/>
      <c r="BI434" s="53"/>
      <c r="BJ434" s="53"/>
      <c r="BK434" s="53"/>
      <c r="BL434" s="53"/>
      <c r="BM434" s="53"/>
      <c r="BN434" s="53"/>
      <c r="BO434" s="53"/>
      <c r="BP434" s="53"/>
      <c r="BQ434" s="53"/>
      <c r="BR434" s="53"/>
      <c r="BS434" s="53"/>
      <c r="BT434" s="53"/>
      <c r="BU434" s="53"/>
      <c r="BV434" s="53"/>
      <c r="BW434" s="53"/>
      <c r="BX434" s="53"/>
      <c r="BY434" s="53"/>
      <c r="BZ434" s="53"/>
      <c r="CA434" s="53"/>
      <c r="CB434" s="53"/>
      <c r="CC434" s="53"/>
      <c r="CD434" s="53"/>
      <c r="CE434" s="53"/>
      <c r="CF434" s="53"/>
      <c r="CG434" s="53"/>
      <c r="CH434" s="53"/>
      <c r="CI434" s="53"/>
      <c r="CJ434" s="53"/>
      <c r="CK434" s="53"/>
    </row>
    <row r="435" spans="1:89" s="51" customFormat="1" ht="33" customHeight="1">
      <c r="A435" s="74"/>
      <c r="B435" s="74"/>
      <c r="C435" s="74"/>
      <c r="D435" s="74"/>
      <c r="E435" s="74"/>
      <c r="F435" s="74"/>
      <c r="G435" s="75"/>
      <c r="H435" s="76"/>
      <c r="I435" s="52"/>
      <c r="J435" s="52"/>
      <c r="K435" s="52"/>
      <c r="L435" s="41"/>
      <c r="M435" s="41"/>
      <c r="N435" s="41"/>
      <c r="O435" s="41"/>
      <c r="P435" s="41"/>
      <c r="Q435" s="41"/>
      <c r="R435" s="41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  <c r="BV435" s="41"/>
      <c r="BW435" s="41"/>
      <c r="BX435" s="41"/>
      <c r="BY435" s="41"/>
      <c r="BZ435" s="41"/>
      <c r="CA435" s="41"/>
      <c r="CB435" s="41"/>
      <c r="CC435" s="41"/>
      <c r="CD435" s="41"/>
      <c r="CE435" s="41"/>
      <c r="CF435" s="41"/>
      <c r="CG435" s="41"/>
      <c r="CH435" s="41"/>
      <c r="CI435" s="41"/>
      <c r="CJ435" s="41"/>
      <c r="CK435" s="41"/>
    </row>
    <row r="436" spans="1:89" s="51" customFormat="1" ht="33" customHeight="1">
      <c r="A436" s="74"/>
      <c r="B436" s="74"/>
      <c r="C436" s="74"/>
      <c r="D436" s="74"/>
      <c r="E436" s="74"/>
      <c r="F436" s="74"/>
      <c r="G436" s="75"/>
      <c r="H436" s="76"/>
      <c r="I436" s="52"/>
      <c r="J436" s="52"/>
      <c r="K436" s="52"/>
      <c r="L436" s="41"/>
      <c r="M436" s="41"/>
      <c r="N436" s="41"/>
      <c r="O436" s="41"/>
      <c r="P436" s="41"/>
      <c r="Q436" s="41"/>
      <c r="R436" s="41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  <c r="BV436" s="41"/>
      <c r="BW436" s="41"/>
      <c r="BX436" s="41"/>
      <c r="BY436" s="41"/>
      <c r="BZ436" s="41"/>
      <c r="CA436" s="41"/>
      <c r="CB436" s="41"/>
      <c r="CC436" s="41"/>
      <c r="CD436" s="41"/>
      <c r="CE436" s="41"/>
      <c r="CF436" s="41"/>
      <c r="CG436" s="41"/>
      <c r="CH436" s="41"/>
      <c r="CI436" s="41"/>
      <c r="CJ436" s="41"/>
      <c r="CK436" s="41"/>
    </row>
    <row r="437" spans="1:89" s="51" customFormat="1" ht="33" customHeight="1">
      <c r="A437" s="74"/>
      <c r="B437" s="74"/>
      <c r="C437" s="74"/>
      <c r="D437" s="74"/>
      <c r="E437" s="74"/>
      <c r="F437" s="74"/>
      <c r="G437" s="75"/>
      <c r="H437" s="76"/>
      <c r="I437" s="52"/>
      <c r="J437" s="52"/>
      <c r="K437" s="52"/>
      <c r="L437" s="41"/>
      <c r="M437" s="41"/>
      <c r="N437" s="41"/>
      <c r="O437" s="41"/>
      <c r="P437" s="41"/>
      <c r="Q437" s="41"/>
      <c r="R437" s="41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  <c r="BV437" s="41"/>
      <c r="BW437" s="41"/>
      <c r="BX437" s="41"/>
      <c r="BY437" s="41"/>
      <c r="BZ437" s="41"/>
      <c r="CA437" s="41"/>
      <c r="CB437" s="41"/>
      <c r="CC437" s="41"/>
      <c r="CD437" s="41"/>
      <c r="CE437" s="41"/>
      <c r="CF437" s="41"/>
      <c r="CG437" s="41"/>
      <c r="CH437" s="41"/>
      <c r="CI437" s="41"/>
      <c r="CJ437" s="41"/>
      <c r="CK437" s="41"/>
    </row>
    <row r="438" spans="1:89" s="51" customFormat="1" ht="33" customHeight="1">
      <c r="A438" s="74"/>
      <c r="B438" s="74"/>
      <c r="C438" s="74"/>
      <c r="D438" s="74"/>
      <c r="E438" s="74"/>
      <c r="F438" s="74"/>
      <c r="G438" s="75"/>
      <c r="H438" s="76"/>
      <c r="I438" s="52"/>
      <c r="J438" s="52"/>
      <c r="K438" s="52"/>
      <c r="L438" s="41"/>
      <c r="M438" s="41"/>
      <c r="N438" s="41"/>
      <c r="O438" s="41"/>
      <c r="P438" s="41"/>
      <c r="Q438" s="41"/>
      <c r="R438" s="41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  <c r="BK438" s="41"/>
      <c r="BL438" s="41"/>
      <c r="BM438" s="41"/>
      <c r="BN438" s="41"/>
      <c r="BO438" s="41"/>
      <c r="BP438" s="41"/>
      <c r="BQ438" s="41"/>
      <c r="BR438" s="41"/>
      <c r="BS438" s="41"/>
      <c r="BT438" s="41"/>
      <c r="BU438" s="41"/>
      <c r="BV438" s="41"/>
      <c r="BW438" s="41"/>
      <c r="BX438" s="41"/>
      <c r="BY438" s="41"/>
      <c r="BZ438" s="41"/>
      <c r="CA438" s="41"/>
      <c r="CB438" s="41"/>
      <c r="CC438" s="41"/>
      <c r="CD438" s="41"/>
      <c r="CE438" s="41"/>
      <c r="CF438" s="41"/>
      <c r="CG438" s="41"/>
      <c r="CH438" s="41"/>
      <c r="CI438" s="41"/>
      <c r="CJ438" s="41"/>
      <c r="CK438" s="41"/>
    </row>
    <row r="439" spans="1:89" s="51" customFormat="1" ht="33" customHeight="1">
      <c r="A439" s="74"/>
      <c r="B439" s="74"/>
      <c r="C439" s="74"/>
      <c r="D439" s="74"/>
      <c r="E439" s="74"/>
      <c r="F439" s="74"/>
      <c r="G439" s="75"/>
      <c r="H439" s="76"/>
      <c r="I439" s="52"/>
      <c r="J439" s="52"/>
      <c r="K439" s="52"/>
      <c r="L439" s="41"/>
      <c r="M439" s="41"/>
      <c r="N439" s="41"/>
      <c r="O439" s="41"/>
      <c r="P439" s="41"/>
      <c r="Q439" s="41"/>
      <c r="R439" s="41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  <c r="BV439" s="41"/>
      <c r="BW439" s="41"/>
      <c r="BX439" s="41"/>
      <c r="BY439" s="41"/>
      <c r="BZ439" s="41"/>
      <c r="CA439" s="41"/>
      <c r="CB439" s="41"/>
      <c r="CC439" s="41"/>
      <c r="CD439" s="41"/>
      <c r="CE439" s="41"/>
      <c r="CF439" s="41"/>
      <c r="CG439" s="41"/>
      <c r="CH439" s="41"/>
      <c r="CI439" s="41"/>
      <c r="CJ439" s="41"/>
      <c r="CK439" s="41"/>
    </row>
    <row r="440" spans="1:89" s="51" customFormat="1" ht="33" customHeight="1">
      <c r="A440" s="74"/>
      <c r="B440" s="74"/>
      <c r="C440" s="74"/>
      <c r="D440" s="74"/>
      <c r="E440" s="74"/>
      <c r="F440" s="74"/>
      <c r="G440" s="75"/>
      <c r="H440" s="76"/>
      <c r="I440" s="52"/>
      <c r="J440" s="52"/>
      <c r="K440" s="52"/>
      <c r="L440" s="41"/>
      <c r="M440" s="41"/>
      <c r="N440" s="41"/>
      <c r="O440" s="41"/>
      <c r="P440" s="41"/>
      <c r="Q440" s="41"/>
      <c r="R440" s="41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  <c r="BV440" s="41"/>
      <c r="BW440" s="41"/>
      <c r="BX440" s="41"/>
      <c r="BY440" s="41"/>
      <c r="BZ440" s="41"/>
      <c r="CA440" s="41"/>
      <c r="CB440" s="41"/>
      <c r="CC440" s="41"/>
      <c r="CD440" s="41"/>
      <c r="CE440" s="41"/>
      <c r="CF440" s="41"/>
      <c r="CG440" s="41"/>
      <c r="CH440" s="41"/>
      <c r="CI440" s="41"/>
      <c r="CJ440" s="41"/>
      <c r="CK440" s="41"/>
    </row>
    <row r="441" spans="1:89" s="51" customFormat="1" ht="33" customHeight="1">
      <c r="A441" s="74"/>
      <c r="B441" s="74"/>
      <c r="C441" s="74"/>
      <c r="D441" s="74"/>
      <c r="E441" s="74"/>
      <c r="F441" s="74"/>
      <c r="G441" s="75"/>
      <c r="H441" s="76"/>
      <c r="I441" s="52"/>
      <c r="J441" s="52"/>
      <c r="K441" s="52"/>
      <c r="L441" s="41"/>
      <c r="M441" s="41"/>
      <c r="N441" s="41"/>
      <c r="O441" s="41"/>
      <c r="P441" s="41"/>
      <c r="Q441" s="41"/>
      <c r="R441" s="41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  <c r="BV441" s="41"/>
      <c r="BW441" s="41"/>
      <c r="BX441" s="41"/>
      <c r="BY441" s="41"/>
      <c r="BZ441" s="41"/>
      <c r="CA441" s="41"/>
      <c r="CB441" s="41"/>
      <c r="CC441" s="41"/>
      <c r="CD441" s="41"/>
      <c r="CE441" s="41"/>
      <c r="CF441" s="41"/>
      <c r="CG441" s="41"/>
      <c r="CH441" s="41"/>
      <c r="CI441" s="41"/>
      <c r="CJ441" s="41"/>
      <c r="CK441" s="41"/>
    </row>
    <row r="442" spans="1:89" s="51" customFormat="1" ht="33" customHeight="1">
      <c r="A442" s="74"/>
      <c r="B442" s="74"/>
      <c r="C442" s="74"/>
      <c r="D442" s="74"/>
      <c r="E442" s="74"/>
      <c r="F442" s="74"/>
      <c r="G442" s="75"/>
      <c r="H442" s="76"/>
      <c r="I442" s="52"/>
      <c r="J442" s="52"/>
      <c r="K442" s="52"/>
      <c r="L442" s="41"/>
      <c r="M442" s="41"/>
      <c r="N442" s="41"/>
      <c r="O442" s="41"/>
      <c r="P442" s="41"/>
      <c r="Q442" s="41"/>
      <c r="R442" s="41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  <c r="BO442" s="41"/>
      <c r="BP442" s="41"/>
      <c r="BQ442" s="41"/>
      <c r="BR442" s="41"/>
      <c r="BS442" s="41"/>
      <c r="BT442" s="41"/>
      <c r="BU442" s="41"/>
      <c r="BV442" s="41"/>
      <c r="BW442" s="41"/>
      <c r="BX442" s="41"/>
      <c r="BY442" s="41"/>
      <c r="BZ442" s="41"/>
      <c r="CA442" s="41"/>
      <c r="CB442" s="41"/>
      <c r="CC442" s="41"/>
      <c r="CD442" s="41"/>
      <c r="CE442" s="41"/>
      <c r="CF442" s="41"/>
      <c r="CG442" s="41"/>
      <c r="CH442" s="41"/>
      <c r="CI442" s="41"/>
      <c r="CJ442" s="41"/>
      <c r="CK442" s="41"/>
    </row>
    <row r="443" spans="1:89" s="51" customFormat="1" ht="33" customHeight="1">
      <c r="A443" s="74"/>
      <c r="B443" s="74"/>
      <c r="C443" s="74"/>
      <c r="D443" s="74"/>
      <c r="E443" s="74"/>
      <c r="F443" s="74"/>
      <c r="G443" s="75"/>
      <c r="H443" s="76"/>
      <c r="I443" s="52"/>
      <c r="J443" s="52"/>
      <c r="K443" s="52"/>
      <c r="L443" s="41"/>
      <c r="M443" s="41"/>
      <c r="N443" s="41"/>
      <c r="O443" s="41"/>
      <c r="P443" s="41"/>
      <c r="Q443" s="41"/>
      <c r="R443" s="41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  <c r="BL443" s="41"/>
      <c r="BM443" s="41"/>
      <c r="BN443" s="41"/>
      <c r="BO443" s="41"/>
      <c r="BP443" s="41"/>
      <c r="BQ443" s="41"/>
      <c r="BR443" s="41"/>
      <c r="BS443" s="41"/>
      <c r="BT443" s="41"/>
      <c r="BU443" s="41"/>
      <c r="BV443" s="41"/>
      <c r="BW443" s="41"/>
      <c r="BX443" s="41"/>
      <c r="BY443" s="41"/>
      <c r="BZ443" s="41"/>
      <c r="CA443" s="41"/>
      <c r="CB443" s="41"/>
      <c r="CC443" s="41"/>
      <c r="CD443" s="41"/>
      <c r="CE443" s="41"/>
      <c r="CF443" s="41"/>
      <c r="CG443" s="41"/>
      <c r="CH443" s="41"/>
      <c r="CI443" s="41"/>
      <c r="CJ443" s="41"/>
      <c r="CK443" s="41"/>
    </row>
    <row r="444" spans="1:89" s="51" customFormat="1" ht="33" customHeight="1">
      <c r="A444" s="74"/>
      <c r="B444" s="74"/>
      <c r="C444" s="74"/>
      <c r="D444" s="74"/>
      <c r="E444" s="74"/>
      <c r="F444" s="74"/>
      <c r="G444" s="75"/>
      <c r="H444" s="76"/>
      <c r="I444" s="52"/>
      <c r="J444" s="52"/>
      <c r="K444" s="52"/>
      <c r="L444" s="41"/>
      <c r="M444" s="41"/>
      <c r="N444" s="41"/>
      <c r="O444" s="41"/>
      <c r="P444" s="41"/>
      <c r="Q444" s="41"/>
      <c r="R444" s="41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  <c r="BK444" s="41"/>
      <c r="BL444" s="41"/>
      <c r="BM444" s="41"/>
      <c r="BN444" s="41"/>
      <c r="BO444" s="41"/>
      <c r="BP444" s="41"/>
      <c r="BQ444" s="41"/>
      <c r="BR444" s="41"/>
      <c r="BS444" s="41"/>
      <c r="BT444" s="41"/>
      <c r="BU444" s="41"/>
      <c r="BV444" s="41"/>
      <c r="BW444" s="41"/>
      <c r="BX444" s="41"/>
      <c r="BY444" s="41"/>
      <c r="BZ444" s="41"/>
      <c r="CA444" s="41"/>
      <c r="CB444" s="41"/>
      <c r="CC444" s="41"/>
      <c r="CD444" s="41"/>
      <c r="CE444" s="41"/>
      <c r="CF444" s="41"/>
      <c r="CG444" s="41"/>
      <c r="CH444" s="41"/>
      <c r="CI444" s="41"/>
      <c r="CJ444" s="41"/>
      <c r="CK444" s="41"/>
    </row>
    <row r="445" spans="1:89" s="51" customFormat="1" ht="33" customHeight="1">
      <c r="A445" s="74"/>
      <c r="B445" s="74"/>
      <c r="C445" s="74"/>
      <c r="D445" s="74"/>
      <c r="E445" s="74"/>
      <c r="F445" s="74"/>
      <c r="G445" s="75"/>
      <c r="H445" s="76"/>
      <c r="I445" s="52"/>
      <c r="J445" s="52"/>
      <c r="K445" s="52"/>
      <c r="L445" s="41"/>
      <c r="M445" s="41"/>
      <c r="N445" s="41"/>
      <c r="O445" s="41"/>
      <c r="P445" s="41"/>
      <c r="Q445" s="41"/>
      <c r="R445" s="41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  <c r="BV445" s="41"/>
      <c r="BW445" s="41"/>
      <c r="BX445" s="41"/>
      <c r="BY445" s="41"/>
      <c r="BZ445" s="41"/>
      <c r="CA445" s="41"/>
      <c r="CB445" s="41"/>
      <c r="CC445" s="41"/>
      <c r="CD445" s="41"/>
      <c r="CE445" s="41"/>
      <c r="CF445" s="41"/>
      <c r="CG445" s="41"/>
      <c r="CH445" s="41"/>
      <c r="CI445" s="41"/>
      <c r="CJ445" s="41"/>
      <c r="CK445" s="41"/>
    </row>
    <row r="446" spans="1:89" s="51" customFormat="1" ht="33" customHeight="1">
      <c r="A446" s="74"/>
      <c r="B446" s="74"/>
      <c r="C446" s="74"/>
      <c r="D446" s="74"/>
      <c r="E446" s="74"/>
      <c r="F446" s="74"/>
      <c r="G446" s="75"/>
      <c r="H446" s="76"/>
      <c r="I446" s="52"/>
      <c r="J446" s="52"/>
      <c r="K446" s="52"/>
      <c r="L446" s="41"/>
      <c r="M446" s="41"/>
      <c r="N446" s="41"/>
      <c r="O446" s="41"/>
      <c r="P446" s="41"/>
      <c r="Q446" s="41"/>
      <c r="R446" s="41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1"/>
      <c r="CA446" s="41"/>
      <c r="CB446" s="41"/>
      <c r="CC446" s="41"/>
      <c r="CD446" s="41"/>
      <c r="CE446" s="41"/>
      <c r="CF446" s="41"/>
      <c r="CG446" s="41"/>
      <c r="CH446" s="41"/>
      <c r="CI446" s="41"/>
      <c r="CJ446" s="41"/>
      <c r="CK446" s="41"/>
    </row>
    <row r="447" spans="1:89" s="51" customFormat="1" ht="33" customHeight="1">
      <c r="A447" s="74"/>
      <c r="B447" s="74"/>
      <c r="C447" s="74"/>
      <c r="D447" s="74"/>
      <c r="E447" s="74"/>
      <c r="F447" s="74"/>
      <c r="G447" s="75"/>
      <c r="H447" s="76"/>
      <c r="I447" s="52"/>
      <c r="J447" s="52"/>
      <c r="K447" s="52"/>
      <c r="L447" s="41"/>
      <c r="M447" s="41"/>
      <c r="N447" s="41"/>
      <c r="O447" s="41"/>
      <c r="P447" s="41"/>
      <c r="Q447" s="41"/>
      <c r="R447" s="41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  <c r="BL447" s="41"/>
      <c r="BM447" s="41"/>
      <c r="BN447" s="41"/>
      <c r="BO447" s="41"/>
      <c r="BP447" s="41"/>
      <c r="BQ447" s="41"/>
      <c r="BR447" s="41"/>
      <c r="BS447" s="41"/>
      <c r="BT447" s="41"/>
      <c r="BU447" s="41"/>
      <c r="BV447" s="41"/>
      <c r="BW447" s="41"/>
      <c r="BX447" s="41"/>
      <c r="BY447" s="41"/>
      <c r="BZ447" s="41"/>
      <c r="CA447" s="41"/>
      <c r="CB447" s="41"/>
      <c r="CC447" s="41"/>
      <c r="CD447" s="41"/>
      <c r="CE447" s="41"/>
      <c r="CF447" s="41"/>
      <c r="CG447" s="41"/>
      <c r="CH447" s="41"/>
      <c r="CI447" s="41"/>
      <c r="CJ447" s="41"/>
      <c r="CK447" s="41"/>
    </row>
    <row r="448" spans="1:89" s="51" customFormat="1" ht="33" customHeight="1">
      <c r="A448" s="74"/>
      <c r="B448" s="74"/>
      <c r="C448" s="74"/>
      <c r="D448" s="74"/>
      <c r="E448" s="74"/>
      <c r="F448" s="74"/>
      <c r="G448" s="75"/>
      <c r="H448" s="76"/>
      <c r="I448" s="52"/>
      <c r="J448" s="52"/>
      <c r="K448" s="52"/>
      <c r="L448" s="41"/>
      <c r="M448" s="41"/>
      <c r="N448" s="41"/>
      <c r="O448" s="41"/>
      <c r="P448" s="41"/>
      <c r="Q448" s="41"/>
      <c r="R448" s="41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  <c r="BK448" s="41"/>
      <c r="BL448" s="41"/>
      <c r="BM448" s="41"/>
      <c r="BN448" s="41"/>
      <c r="BO448" s="41"/>
      <c r="BP448" s="41"/>
      <c r="BQ448" s="41"/>
      <c r="BR448" s="41"/>
      <c r="BS448" s="41"/>
      <c r="BT448" s="41"/>
      <c r="BU448" s="41"/>
      <c r="BV448" s="41"/>
      <c r="BW448" s="41"/>
      <c r="BX448" s="41"/>
      <c r="BY448" s="41"/>
      <c r="BZ448" s="41"/>
      <c r="CA448" s="41"/>
      <c r="CB448" s="41"/>
      <c r="CC448" s="41"/>
      <c r="CD448" s="41"/>
      <c r="CE448" s="41"/>
      <c r="CF448" s="41"/>
      <c r="CG448" s="41"/>
      <c r="CH448" s="41"/>
      <c r="CI448" s="41"/>
      <c r="CJ448" s="41"/>
      <c r="CK448" s="41"/>
    </row>
    <row r="449" spans="1:89" s="51" customFormat="1" ht="33" customHeight="1">
      <c r="A449" s="74"/>
      <c r="B449" s="74"/>
      <c r="C449" s="74"/>
      <c r="D449" s="74"/>
      <c r="E449" s="74"/>
      <c r="F449" s="74"/>
      <c r="G449" s="75"/>
      <c r="H449" s="76"/>
      <c r="I449" s="52"/>
      <c r="J449" s="52"/>
      <c r="K449" s="52"/>
      <c r="L449" s="41"/>
      <c r="M449" s="41"/>
      <c r="N449" s="41"/>
      <c r="O449" s="41"/>
      <c r="P449" s="41"/>
      <c r="Q449" s="41"/>
      <c r="R449" s="41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  <c r="BL449" s="41"/>
      <c r="BM449" s="41"/>
      <c r="BN449" s="41"/>
      <c r="BO449" s="41"/>
      <c r="BP449" s="41"/>
      <c r="BQ449" s="41"/>
      <c r="BR449" s="41"/>
      <c r="BS449" s="41"/>
      <c r="BT449" s="41"/>
      <c r="BU449" s="41"/>
      <c r="BV449" s="41"/>
      <c r="BW449" s="41"/>
      <c r="BX449" s="41"/>
      <c r="BY449" s="41"/>
      <c r="BZ449" s="41"/>
      <c r="CA449" s="41"/>
      <c r="CB449" s="41"/>
      <c r="CC449" s="41"/>
      <c r="CD449" s="41"/>
      <c r="CE449" s="41"/>
      <c r="CF449" s="41"/>
      <c r="CG449" s="41"/>
      <c r="CH449" s="41"/>
      <c r="CI449" s="41"/>
      <c r="CJ449" s="41"/>
      <c r="CK449" s="41"/>
    </row>
    <row r="450" spans="1:89" s="51" customFormat="1" ht="33" customHeight="1">
      <c r="A450" s="74"/>
      <c r="B450" s="74"/>
      <c r="C450" s="74"/>
      <c r="D450" s="74"/>
      <c r="E450" s="74"/>
      <c r="F450" s="74"/>
      <c r="G450" s="75"/>
      <c r="H450" s="76"/>
      <c r="I450" s="52"/>
      <c r="J450" s="52"/>
      <c r="K450" s="52"/>
      <c r="L450" s="41"/>
      <c r="M450" s="41"/>
      <c r="N450" s="41"/>
      <c r="O450" s="41"/>
      <c r="P450" s="41"/>
      <c r="Q450" s="41"/>
      <c r="R450" s="41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  <c r="BV450" s="41"/>
      <c r="BW450" s="41"/>
      <c r="BX450" s="41"/>
      <c r="BY450" s="41"/>
      <c r="BZ450" s="41"/>
      <c r="CA450" s="41"/>
      <c r="CB450" s="41"/>
      <c r="CC450" s="41"/>
      <c r="CD450" s="41"/>
      <c r="CE450" s="41"/>
      <c r="CF450" s="41"/>
      <c r="CG450" s="41"/>
      <c r="CH450" s="41"/>
      <c r="CI450" s="41"/>
      <c r="CJ450" s="41"/>
      <c r="CK450" s="41"/>
    </row>
    <row r="451" spans="1:89" s="51" customFormat="1" ht="33" customHeight="1">
      <c r="A451" s="74"/>
      <c r="B451" s="74"/>
      <c r="C451" s="74"/>
      <c r="D451" s="74"/>
      <c r="E451" s="74"/>
      <c r="F451" s="74"/>
      <c r="G451" s="75"/>
      <c r="H451" s="76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  <c r="BE451" s="53"/>
      <c r="BF451" s="53"/>
      <c r="BG451" s="53"/>
      <c r="BH451" s="53"/>
      <c r="BI451" s="53"/>
      <c r="BJ451" s="53"/>
      <c r="BK451" s="53"/>
      <c r="BL451" s="53"/>
      <c r="BM451" s="53"/>
      <c r="BN451" s="53"/>
      <c r="BO451" s="53"/>
      <c r="BP451" s="53"/>
      <c r="BQ451" s="53"/>
      <c r="BR451" s="53"/>
      <c r="BS451" s="53"/>
      <c r="BT451" s="53"/>
      <c r="BU451" s="53"/>
      <c r="BV451" s="53"/>
      <c r="BW451" s="53"/>
      <c r="BX451" s="53"/>
      <c r="BY451" s="53"/>
      <c r="BZ451" s="53"/>
      <c r="CA451" s="53"/>
      <c r="CB451" s="53"/>
      <c r="CC451" s="53"/>
      <c r="CD451" s="53"/>
      <c r="CE451" s="53"/>
      <c r="CF451" s="53"/>
      <c r="CG451" s="53"/>
      <c r="CH451" s="53"/>
      <c r="CI451" s="53"/>
      <c r="CJ451" s="53"/>
      <c r="CK451" s="53"/>
    </row>
    <row r="452" spans="1:89" s="51" customFormat="1" ht="33" customHeight="1">
      <c r="A452" s="74"/>
      <c r="B452" s="74"/>
      <c r="C452" s="74"/>
      <c r="D452" s="74"/>
      <c r="E452" s="74"/>
      <c r="F452" s="74"/>
      <c r="G452" s="75"/>
      <c r="H452" s="76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  <c r="BE452" s="53"/>
      <c r="BF452" s="53"/>
      <c r="BG452" s="53"/>
      <c r="BH452" s="53"/>
      <c r="BI452" s="53"/>
      <c r="BJ452" s="53"/>
      <c r="BK452" s="53"/>
      <c r="BL452" s="53"/>
      <c r="BM452" s="53"/>
      <c r="BN452" s="53"/>
      <c r="BO452" s="53"/>
      <c r="BP452" s="53"/>
      <c r="BQ452" s="53"/>
      <c r="BR452" s="53"/>
      <c r="BS452" s="53"/>
      <c r="BT452" s="53"/>
      <c r="BU452" s="53"/>
      <c r="BV452" s="53"/>
      <c r="BW452" s="53"/>
      <c r="BX452" s="53"/>
      <c r="BY452" s="53"/>
      <c r="BZ452" s="53"/>
      <c r="CA452" s="53"/>
      <c r="CB452" s="53"/>
      <c r="CC452" s="53"/>
      <c r="CD452" s="53"/>
      <c r="CE452" s="53"/>
      <c r="CF452" s="53"/>
      <c r="CG452" s="53"/>
      <c r="CH452" s="53"/>
      <c r="CI452" s="53"/>
      <c r="CJ452" s="53"/>
      <c r="CK452" s="53"/>
    </row>
    <row r="453" spans="1:89" s="51" customFormat="1" ht="33" customHeight="1">
      <c r="A453" s="74"/>
      <c r="B453" s="74"/>
      <c r="C453" s="74"/>
      <c r="D453" s="74"/>
      <c r="E453" s="74"/>
      <c r="F453" s="74"/>
      <c r="G453" s="75"/>
      <c r="H453" s="76"/>
      <c r="I453" s="52"/>
      <c r="J453" s="52"/>
      <c r="K453" s="52"/>
      <c r="L453" s="41"/>
      <c r="M453" s="41"/>
      <c r="N453" s="41"/>
      <c r="O453" s="41"/>
      <c r="P453" s="41"/>
      <c r="Q453" s="41"/>
      <c r="R453" s="41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  <c r="BV453" s="41"/>
      <c r="BW453" s="41"/>
      <c r="BX453" s="41"/>
      <c r="BY453" s="41"/>
      <c r="BZ453" s="41"/>
      <c r="CA453" s="41"/>
      <c r="CB453" s="41"/>
      <c r="CC453" s="41"/>
      <c r="CD453" s="41"/>
      <c r="CE453" s="41"/>
      <c r="CF453" s="41"/>
      <c r="CG453" s="41"/>
      <c r="CH453" s="41"/>
      <c r="CI453" s="41"/>
      <c r="CJ453" s="41"/>
      <c r="CK453" s="41"/>
    </row>
    <row r="454" spans="1:89" s="51" customFormat="1" ht="33" customHeight="1">
      <c r="A454" s="74"/>
      <c r="B454" s="74"/>
      <c r="C454" s="74"/>
      <c r="D454" s="74"/>
      <c r="E454" s="74"/>
      <c r="F454" s="74"/>
      <c r="G454" s="75"/>
      <c r="H454" s="76"/>
      <c r="I454" s="52"/>
      <c r="J454" s="52"/>
      <c r="K454" s="52"/>
      <c r="L454" s="41"/>
      <c r="M454" s="41"/>
      <c r="N454" s="41"/>
      <c r="O454" s="41"/>
      <c r="P454" s="41"/>
      <c r="Q454" s="41"/>
      <c r="R454" s="41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  <c r="BV454" s="41"/>
      <c r="BW454" s="41"/>
      <c r="BX454" s="41"/>
      <c r="BY454" s="41"/>
      <c r="BZ454" s="41"/>
      <c r="CA454" s="41"/>
      <c r="CB454" s="41"/>
      <c r="CC454" s="41"/>
      <c r="CD454" s="41"/>
      <c r="CE454" s="41"/>
      <c r="CF454" s="41"/>
      <c r="CG454" s="41"/>
      <c r="CH454" s="41"/>
      <c r="CI454" s="41"/>
      <c r="CJ454" s="41"/>
      <c r="CK454" s="41"/>
    </row>
    <row r="455" spans="1:89" s="51" customFormat="1" ht="33" customHeight="1">
      <c r="A455" s="74"/>
      <c r="B455" s="74"/>
      <c r="C455" s="74"/>
      <c r="D455" s="74"/>
      <c r="E455" s="74"/>
      <c r="F455" s="74"/>
      <c r="G455" s="75"/>
      <c r="H455" s="76"/>
      <c r="I455" s="52"/>
      <c r="J455" s="52"/>
      <c r="K455" s="52"/>
      <c r="L455" s="41"/>
      <c r="M455" s="41"/>
      <c r="N455" s="41"/>
      <c r="O455" s="41"/>
      <c r="P455" s="41"/>
      <c r="Q455" s="41"/>
      <c r="R455" s="41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  <c r="BV455" s="41"/>
      <c r="BW455" s="41"/>
      <c r="BX455" s="41"/>
      <c r="BY455" s="41"/>
      <c r="BZ455" s="41"/>
      <c r="CA455" s="41"/>
      <c r="CB455" s="41"/>
      <c r="CC455" s="41"/>
      <c r="CD455" s="41"/>
      <c r="CE455" s="41"/>
      <c r="CF455" s="41"/>
      <c r="CG455" s="41"/>
      <c r="CH455" s="41"/>
      <c r="CI455" s="41"/>
      <c r="CJ455" s="41"/>
      <c r="CK455" s="41"/>
    </row>
    <row r="456" spans="1:89" s="51" customFormat="1" ht="33" customHeight="1">
      <c r="A456" s="74"/>
      <c r="B456" s="74"/>
      <c r="C456" s="74"/>
      <c r="D456" s="74"/>
      <c r="E456" s="74"/>
      <c r="F456" s="74"/>
      <c r="G456" s="75"/>
      <c r="H456" s="76"/>
      <c r="I456" s="52"/>
      <c r="J456" s="52"/>
      <c r="K456" s="52"/>
      <c r="L456" s="41"/>
      <c r="M456" s="41"/>
      <c r="N456" s="41"/>
      <c r="O456" s="41"/>
      <c r="P456" s="41"/>
      <c r="Q456" s="41"/>
      <c r="R456" s="41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  <c r="BV456" s="41"/>
      <c r="BW456" s="41"/>
      <c r="BX456" s="41"/>
      <c r="BY456" s="41"/>
      <c r="BZ456" s="41"/>
      <c r="CA456" s="41"/>
      <c r="CB456" s="41"/>
      <c r="CC456" s="41"/>
      <c r="CD456" s="41"/>
      <c r="CE456" s="41"/>
      <c r="CF456" s="41"/>
      <c r="CG456" s="41"/>
      <c r="CH456" s="41"/>
      <c r="CI456" s="41"/>
      <c r="CJ456" s="41"/>
      <c r="CK456" s="41"/>
    </row>
    <row r="457" spans="1:89" s="51" customFormat="1" ht="33" customHeight="1">
      <c r="A457" s="74"/>
      <c r="B457" s="74"/>
      <c r="C457" s="74"/>
      <c r="D457" s="74"/>
      <c r="E457" s="74"/>
      <c r="F457" s="74"/>
      <c r="G457" s="75"/>
      <c r="H457" s="76"/>
      <c r="I457" s="52"/>
      <c r="J457" s="52"/>
      <c r="K457" s="52"/>
      <c r="L457" s="41"/>
      <c r="M457" s="41"/>
      <c r="N457" s="41"/>
      <c r="O457" s="41"/>
      <c r="P457" s="41"/>
      <c r="Q457" s="41"/>
      <c r="R457" s="41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  <c r="BV457" s="41"/>
      <c r="BW457" s="41"/>
      <c r="BX457" s="41"/>
      <c r="BY457" s="41"/>
      <c r="BZ457" s="41"/>
      <c r="CA457" s="41"/>
      <c r="CB457" s="41"/>
      <c r="CC457" s="41"/>
      <c r="CD457" s="41"/>
      <c r="CE457" s="41"/>
      <c r="CF457" s="41"/>
      <c r="CG457" s="41"/>
      <c r="CH457" s="41"/>
      <c r="CI457" s="41"/>
      <c r="CJ457" s="41"/>
      <c r="CK457" s="41"/>
    </row>
    <row r="458" spans="1:89" s="51" customFormat="1" ht="33" customHeight="1">
      <c r="A458" s="74"/>
      <c r="B458" s="74"/>
      <c r="C458" s="74"/>
      <c r="D458" s="74"/>
      <c r="E458" s="74"/>
      <c r="F458" s="74"/>
      <c r="G458" s="75"/>
      <c r="H458" s="76"/>
      <c r="I458" s="52"/>
      <c r="J458" s="52"/>
      <c r="K458" s="52"/>
      <c r="L458" s="41"/>
      <c r="M458" s="41"/>
      <c r="N458" s="41"/>
      <c r="O458" s="41"/>
      <c r="P458" s="41"/>
      <c r="Q458" s="41"/>
      <c r="R458" s="41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  <c r="BV458" s="41"/>
      <c r="BW458" s="41"/>
      <c r="BX458" s="41"/>
      <c r="BY458" s="41"/>
      <c r="BZ458" s="41"/>
      <c r="CA458" s="41"/>
      <c r="CB458" s="41"/>
      <c r="CC458" s="41"/>
      <c r="CD458" s="41"/>
      <c r="CE458" s="41"/>
      <c r="CF458" s="41"/>
      <c r="CG458" s="41"/>
      <c r="CH458" s="41"/>
      <c r="CI458" s="41"/>
      <c r="CJ458" s="41"/>
      <c r="CK458" s="41"/>
    </row>
    <row r="459" spans="1:89" s="51" customFormat="1" ht="33" customHeight="1">
      <c r="A459" s="74"/>
      <c r="B459" s="74"/>
      <c r="C459" s="74"/>
      <c r="D459" s="74"/>
      <c r="E459" s="74"/>
      <c r="F459" s="74"/>
      <c r="G459" s="75"/>
      <c r="H459" s="76"/>
      <c r="I459" s="52"/>
      <c r="J459" s="52"/>
      <c r="K459" s="52"/>
      <c r="L459" s="41"/>
      <c r="M459" s="41"/>
      <c r="N459" s="41"/>
      <c r="O459" s="41"/>
      <c r="P459" s="41"/>
      <c r="Q459" s="41"/>
      <c r="R459" s="41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  <c r="BV459" s="41"/>
      <c r="BW459" s="41"/>
      <c r="BX459" s="41"/>
      <c r="BY459" s="41"/>
      <c r="BZ459" s="41"/>
      <c r="CA459" s="41"/>
      <c r="CB459" s="41"/>
      <c r="CC459" s="41"/>
      <c r="CD459" s="41"/>
      <c r="CE459" s="41"/>
      <c r="CF459" s="41"/>
      <c r="CG459" s="41"/>
      <c r="CH459" s="41"/>
      <c r="CI459" s="41"/>
      <c r="CJ459" s="41"/>
      <c r="CK459" s="41"/>
    </row>
    <row r="460" spans="1:89" s="51" customFormat="1" ht="33" customHeight="1">
      <c r="A460" s="74"/>
      <c r="B460" s="74"/>
      <c r="C460" s="74"/>
      <c r="D460" s="74"/>
      <c r="E460" s="74"/>
      <c r="F460" s="74"/>
      <c r="G460" s="75"/>
      <c r="H460" s="76"/>
      <c r="I460" s="52"/>
      <c r="J460" s="52"/>
      <c r="K460" s="52"/>
      <c r="L460" s="41"/>
      <c r="M460" s="41"/>
      <c r="N460" s="41"/>
      <c r="O460" s="41"/>
      <c r="P460" s="41"/>
      <c r="Q460" s="41"/>
      <c r="R460" s="41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  <c r="BV460" s="41"/>
      <c r="BW460" s="41"/>
      <c r="BX460" s="41"/>
      <c r="BY460" s="41"/>
      <c r="BZ460" s="41"/>
      <c r="CA460" s="41"/>
      <c r="CB460" s="41"/>
      <c r="CC460" s="41"/>
      <c r="CD460" s="41"/>
      <c r="CE460" s="41"/>
      <c r="CF460" s="41"/>
      <c r="CG460" s="41"/>
      <c r="CH460" s="41"/>
      <c r="CI460" s="41"/>
      <c r="CJ460" s="41"/>
      <c r="CK460" s="41"/>
    </row>
    <row r="461" spans="1:89" s="51" customFormat="1" ht="33" customHeight="1">
      <c r="A461" s="74"/>
      <c r="B461" s="74"/>
      <c r="C461" s="74"/>
      <c r="D461" s="74"/>
      <c r="E461" s="74"/>
      <c r="F461" s="74"/>
      <c r="G461" s="75"/>
      <c r="H461" s="76"/>
      <c r="I461" s="52"/>
      <c r="J461" s="52"/>
      <c r="K461" s="52"/>
      <c r="L461" s="41"/>
      <c r="M461" s="41"/>
      <c r="N461" s="41"/>
      <c r="O461" s="41"/>
      <c r="P461" s="41"/>
      <c r="Q461" s="41"/>
      <c r="R461" s="41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  <c r="BV461" s="41"/>
      <c r="BW461" s="41"/>
      <c r="BX461" s="41"/>
      <c r="BY461" s="41"/>
      <c r="BZ461" s="41"/>
      <c r="CA461" s="41"/>
      <c r="CB461" s="41"/>
      <c r="CC461" s="41"/>
      <c r="CD461" s="41"/>
      <c r="CE461" s="41"/>
      <c r="CF461" s="41"/>
      <c r="CG461" s="41"/>
      <c r="CH461" s="41"/>
      <c r="CI461" s="41"/>
      <c r="CJ461" s="41"/>
      <c r="CK461" s="41"/>
    </row>
    <row r="462" spans="1:89" s="51" customFormat="1" ht="33" customHeight="1">
      <c r="A462" s="74"/>
      <c r="B462" s="74"/>
      <c r="C462" s="74"/>
      <c r="D462" s="74"/>
      <c r="E462" s="74"/>
      <c r="F462" s="74"/>
      <c r="G462" s="75"/>
      <c r="H462" s="76"/>
      <c r="I462" s="52"/>
      <c r="J462" s="52"/>
      <c r="K462" s="52"/>
      <c r="L462" s="41"/>
      <c r="M462" s="41"/>
      <c r="N462" s="41"/>
      <c r="O462" s="41"/>
      <c r="P462" s="41"/>
      <c r="Q462" s="41"/>
      <c r="R462" s="41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  <c r="BV462" s="41"/>
      <c r="BW462" s="41"/>
      <c r="BX462" s="41"/>
      <c r="BY462" s="41"/>
      <c r="BZ462" s="41"/>
      <c r="CA462" s="41"/>
      <c r="CB462" s="41"/>
      <c r="CC462" s="41"/>
      <c r="CD462" s="41"/>
      <c r="CE462" s="41"/>
      <c r="CF462" s="41"/>
      <c r="CG462" s="41"/>
      <c r="CH462" s="41"/>
      <c r="CI462" s="41"/>
      <c r="CJ462" s="41"/>
      <c r="CK462" s="41"/>
    </row>
    <row r="463" spans="1:89" s="51" customFormat="1" ht="33" customHeight="1">
      <c r="A463" s="74"/>
      <c r="B463" s="74"/>
      <c r="C463" s="74"/>
      <c r="D463" s="74"/>
      <c r="E463" s="74"/>
      <c r="F463" s="74"/>
      <c r="G463" s="75"/>
      <c r="H463" s="76"/>
      <c r="I463" s="52"/>
      <c r="J463" s="52"/>
      <c r="K463" s="52"/>
      <c r="L463" s="41"/>
      <c r="M463" s="41"/>
      <c r="N463" s="41"/>
      <c r="O463" s="41"/>
      <c r="P463" s="41"/>
      <c r="Q463" s="41"/>
      <c r="R463" s="41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  <c r="BV463" s="41"/>
      <c r="BW463" s="41"/>
      <c r="BX463" s="41"/>
      <c r="BY463" s="41"/>
      <c r="BZ463" s="41"/>
      <c r="CA463" s="41"/>
      <c r="CB463" s="41"/>
      <c r="CC463" s="41"/>
      <c r="CD463" s="41"/>
      <c r="CE463" s="41"/>
      <c r="CF463" s="41"/>
      <c r="CG463" s="41"/>
      <c r="CH463" s="41"/>
      <c r="CI463" s="41"/>
      <c r="CJ463" s="41"/>
      <c r="CK463" s="41"/>
    </row>
    <row r="464" spans="1:89" s="51" customFormat="1" ht="33" customHeight="1">
      <c r="A464" s="74"/>
      <c r="B464" s="74"/>
      <c r="C464" s="74"/>
      <c r="D464" s="74"/>
      <c r="E464" s="74"/>
      <c r="F464" s="74"/>
      <c r="G464" s="75"/>
      <c r="H464" s="76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  <c r="BE464" s="53"/>
      <c r="BF464" s="53"/>
      <c r="BG464" s="53"/>
      <c r="BH464" s="53"/>
      <c r="BI464" s="53"/>
      <c r="BJ464" s="53"/>
      <c r="BK464" s="53"/>
      <c r="BL464" s="53"/>
      <c r="BM464" s="53"/>
      <c r="BN464" s="53"/>
      <c r="BO464" s="53"/>
      <c r="BP464" s="53"/>
      <c r="BQ464" s="53"/>
      <c r="BR464" s="53"/>
      <c r="BS464" s="53"/>
      <c r="BT464" s="53"/>
      <c r="BU464" s="53"/>
      <c r="BV464" s="53"/>
      <c r="BW464" s="53"/>
      <c r="BX464" s="53"/>
      <c r="BY464" s="53"/>
      <c r="BZ464" s="53"/>
      <c r="CA464" s="53"/>
      <c r="CB464" s="53"/>
      <c r="CC464" s="53"/>
      <c r="CD464" s="53"/>
      <c r="CE464" s="53"/>
      <c r="CF464" s="53"/>
      <c r="CG464" s="53"/>
      <c r="CH464" s="53"/>
      <c r="CI464" s="53"/>
      <c r="CJ464" s="53"/>
      <c r="CK464" s="53"/>
    </row>
    <row r="465" spans="1:89" s="51" customFormat="1" ht="33" customHeight="1">
      <c r="A465" s="74"/>
      <c r="B465" s="74"/>
      <c r="C465" s="74"/>
      <c r="D465" s="74"/>
      <c r="E465" s="74"/>
      <c r="F465" s="74"/>
      <c r="G465" s="75"/>
      <c r="H465" s="76"/>
      <c r="I465" s="52"/>
      <c r="J465" s="52"/>
      <c r="K465" s="52"/>
      <c r="L465" s="41"/>
      <c r="M465" s="41"/>
      <c r="N465" s="41"/>
      <c r="O465" s="41"/>
      <c r="P465" s="41"/>
      <c r="Q465" s="41"/>
      <c r="R465" s="41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  <c r="BV465" s="41"/>
      <c r="BW465" s="41"/>
      <c r="BX465" s="41"/>
      <c r="BY465" s="41"/>
      <c r="BZ465" s="41"/>
      <c r="CA465" s="41"/>
      <c r="CB465" s="41"/>
      <c r="CC465" s="41"/>
      <c r="CD465" s="41"/>
      <c r="CE465" s="41"/>
      <c r="CF465" s="41"/>
      <c r="CG465" s="41"/>
      <c r="CH465" s="41"/>
      <c r="CI465" s="41"/>
      <c r="CJ465" s="41"/>
      <c r="CK465" s="41"/>
    </row>
    <row r="466" spans="1:89" s="51" customFormat="1" ht="33" customHeight="1">
      <c r="A466" s="74"/>
      <c r="B466" s="74"/>
      <c r="C466" s="74"/>
      <c r="D466" s="74"/>
      <c r="E466" s="74"/>
      <c r="F466" s="74"/>
      <c r="G466" s="75"/>
      <c r="H466" s="76"/>
      <c r="I466" s="52"/>
      <c r="J466" s="52"/>
      <c r="K466" s="52"/>
      <c r="L466" s="41"/>
      <c r="M466" s="41"/>
      <c r="N466" s="41"/>
      <c r="O466" s="41"/>
      <c r="P466" s="41"/>
      <c r="Q466" s="41"/>
      <c r="R466" s="41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  <c r="CD466" s="41"/>
      <c r="CE466" s="41"/>
      <c r="CF466" s="41"/>
      <c r="CG466" s="41"/>
      <c r="CH466" s="41"/>
      <c r="CI466" s="41"/>
      <c r="CJ466" s="41"/>
      <c r="CK466" s="41"/>
    </row>
    <row r="467" spans="1:89" s="51" customFormat="1" ht="33" customHeight="1">
      <c r="A467" s="74"/>
      <c r="B467" s="74"/>
      <c r="C467" s="74"/>
      <c r="D467" s="74"/>
      <c r="E467" s="74"/>
      <c r="F467" s="74"/>
      <c r="G467" s="75"/>
      <c r="H467" s="76"/>
      <c r="I467" s="52"/>
      <c r="J467" s="52"/>
      <c r="K467" s="52"/>
      <c r="L467" s="41"/>
      <c r="M467" s="41"/>
      <c r="N467" s="41"/>
      <c r="O467" s="41"/>
      <c r="P467" s="41"/>
      <c r="Q467" s="41"/>
      <c r="R467" s="41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  <c r="BV467" s="41"/>
      <c r="BW467" s="41"/>
      <c r="BX467" s="41"/>
      <c r="BY467" s="41"/>
      <c r="BZ467" s="41"/>
      <c r="CA467" s="41"/>
      <c r="CB467" s="41"/>
      <c r="CC467" s="41"/>
      <c r="CD467" s="41"/>
      <c r="CE467" s="41"/>
      <c r="CF467" s="41"/>
      <c r="CG467" s="41"/>
      <c r="CH467" s="41"/>
      <c r="CI467" s="41"/>
      <c r="CJ467" s="41"/>
      <c r="CK467" s="41"/>
    </row>
    <row r="468" spans="1:89" s="51" customFormat="1" ht="33" customHeight="1">
      <c r="A468" s="74"/>
      <c r="B468" s="74"/>
      <c r="C468" s="74"/>
      <c r="D468" s="74"/>
      <c r="E468" s="74"/>
      <c r="F468" s="74"/>
      <c r="G468" s="75"/>
      <c r="H468" s="76"/>
      <c r="I468" s="52"/>
      <c r="J468" s="52"/>
      <c r="K468" s="52"/>
      <c r="L468" s="41"/>
      <c r="M468" s="41"/>
      <c r="N468" s="41"/>
      <c r="O468" s="41"/>
      <c r="P468" s="41"/>
      <c r="Q468" s="41"/>
      <c r="R468" s="41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1"/>
      <c r="CA468" s="41"/>
      <c r="CB468" s="41"/>
      <c r="CC468" s="41"/>
      <c r="CD468" s="41"/>
      <c r="CE468" s="41"/>
      <c r="CF468" s="41"/>
      <c r="CG468" s="41"/>
      <c r="CH468" s="41"/>
      <c r="CI468" s="41"/>
      <c r="CJ468" s="41"/>
      <c r="CK468" s="41"/>
    </row>
    <row r="469" spans="1:89" s="51" customFormat="1" ht="33" customHeight="1">
      <c r="A469" s="74"/>
      <c r="B469" s="74"/>
      <c r="C469" s="74"/>
      <c r="D469" s="74"/>
      <c r="E469" s="74"/>
      <c r="F469" s="74"/>
      <c r="G469" s="75"/>
      <c r="H469" s="76"/>
      <c r="I469" s="52"/>
      <c r="J469" s="52"/>
      <c r="K469" s="52"/>
      <c r="L469" s="41"/>
      <c r="M469" s="41"/>
      <c r="N469" s="41"/>
      <c r="O469" s="41"/>
      <c r="P469" s="41"/>
      <c r="Q469" s="41"/>
      <c r="R469" s="41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  <c r="BV469" s="41"/>
      <c r="BW469" s="41"/>
      <c r="BX469" s="41"/>
      <c r="BY469" s="41"/>
      <c r="BZ469" s="41"/>
      <c r="CA469" s="41"/>
      <c r="CB469" s="41"/>
      <c r="CC469" s="41"/>
      <c r="CD469" s="41"/>
      <c r="CE469" s="41"/>
      <c r="CF469" s="41"/>
      <c r="CG469" s="41"/>
      <c r="CH469" s="41"/>
      <c r="CI469" s="41"/>
      <c r="CJ469" s="41"/>
      <c r="CK469" s="41"/>
    </row>
    <row r="470" spans="1:89" s="51" customFormat="1" ht="33" customHeight="1">
      <c r="A470" s="74"/>
      <c r="B470" s="74"/>
      <c r="C470" s="74"/>
      <c r="D470" s="74"/>
      <c r="E470" s="74"/>
      <c r="F470" s="74"/>
      <c r="G470" s="75"/>
      <c r="H470" s="76"/>
      <c r="I470" s="52"/>
      <c r="J470" s="52"/>
      <c r="K470" s="52"/>
      <c r="L470" s="41"/>
      <c r="M470" s="41"/>
      <c r="N470" s="41"/>
      <c r="O470" s="41"/>
      <c r="P470" s="41"/>
      <c r="Q470" s="41"/>
      <c r="R470" s="41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  <c r="CD470" s="41"/>
      <c r="CE470" s="41"/>
      <c r="CF470" s="41"/>
      <c r="CG470" s="41"/>
      <c r="CH470" s="41"/>
      <c r="CI470" s="41"/>
      <c r="CJ470" s="41"/>
      <c r="CK470" s="41"/>
    </row>
    <row r="471" spans="1:89" s="51" customFormat="1" ht="33" customHeight="1">
      <c r="A471" s="74"/>
      <c r="B471" s="74"/>
      <c r="C471" s="74"/>
      <c r="D471" s="74"/>
      <c r="E471" s="74"/>
      <c r="F471" s="74"/>
      <c r="G471" s="75"/>
      <c r="H471" s="76"/>
      <c r="I471" s="52"/>
      <c r="J471" s="52"/>
      <c r="K471" s="52"/>
      <c r="L471" s="41"/>
      <c r="M471" s="41"/>
      <c r="N471" s="41"/>
      <c r="O471" s="41"/>
      <c r="P471" s="41"/>
      <c r="Q471" s="41"/>
      <c r="R471" s="41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  <c r="CD471" s="41"/>
      <c r="CE471" s="41"/>
      <c r="CF471" s="41"/>
      <c r="CG471" s="41"/>
      <c r="CH471" s="41"/>
      <c r="CI471" s="41"/>
      <c r="CJ471" s="41"/>
      <c r="CK471" s="41"/>
    </row>
    <row r="472" spans="1:89" s="51" customFormat="1" ht="33" customHeight="1">
      <c r="A472" s="74"/>
      <c r="B472" s="74"/>
      <c r="C472" s="74"/>
      <c r="D472" s="74"/>
      <c r="E472" s="74"/>
      <c r="F472" s="74"/>
      <c r="G472" s="75"/>
      <c r="H472" s="76"/>
      <c r="I472" s="52"/>
      <c r="J472" s="52"/>
      <c r="K472" s="52"/>
      <c r="L472" s="41"/>
      <c r="M472" s="41"/>
      <c r="N472" s="41"/>
      <c r="O472" s="41"/>
      <c r="P472" s="41"/>
      <c r="Q472" s="41"/>
      <c r="R472" s="41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  <c r="BV472" s="41"/>
      <c r="BW472" s="41"/>
      <c r="BX472" s="41"/>
      <c r="BY472" s="41"/>
      <c r="BZ472" s="41"/>
      <c r="CA472" s="41"/>
      <c r="CB472" s="41"/>
      <c r="CC472" s="41"/>
      <c r="CD472" s="41"/>
      <c r="CE472" s="41"/>
      <c r="CF472" s="41"/>
      <c r="CG472" s="41"/>
      <c r="CH472" s="41"/>
      <c r="CI472" s="41"/>
      <c r="CJ472" s="41"/>
      <c r="CK472" s="41"/>
    </row>
    <row r="473" spans="1:89" s="51" customFormat="1" ht="33" customHeight="1">
      <c r="A473" s="74"/>
      <c r="B473" s="74"/>
      <c r="C473" s="74"/>
      <c r="D473" s="74"/>
      <c r="E473" s="74"/>
      <c r="F473" s="74"/>
      <c r="G473" s="75"/>
      <c r="H473" s="76"/>
      <c r="I473" s="52"/>
      <c r="J473" s="52"/>
      <c r="K473" s="52"/>
      <c r="L473" s="41"/>
      <c r="M473" s="41"/>
      <c r="N473" s="41"/>
      <c r="O473" s="41"/>
      <c r="P473" s="41"/>
      <c r="Q473" s="41"/>
      <c r="R473" s="41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  <c r="BV473" s="41"/>
      <c r="BW473" s="41"/>
      <c r="BX473" s="41"/>
      <c r="BY473" s="41"/>
      <c r="BZ473" s="41"/>
      <c r="CA473" s="41"/>
      <c r="CB473" s="41"/>
      <c r="CC473" s="41"/>
      <c r="CD473" s="41"/>
      <c r="CE473" s="41"/>
      <c r="CF473" s="41"/>
      <c r="CG473" s="41"/>
      <c r="CH473" s="41"/>
      <c r="CI473" s="41"/>
      <c r="CJ473" s="41"/>
      <c r="CK473" s="41"/>
    </row>
    <row r="474" spans="1:89" s="51" customFormat="1" ht="33" customHeight="1">
      <c r="A474" s="74"/>
      <c r="B474" s="74"/>
      <c r="C474" s="74"/>
      <c r="D474" s="74"/>
      <c r="E474" s="74"/>
      <c r="F474" s="74"/>
      <c r="G474" s="75"/>
      <c r="H474" s="76"/>
      <c r="I474" s="52"/>
      <c r="J474" s="52"/>
      <c r="K474" s="52"/>
      <c r="L474" s="41"/>
      <c r="M474" s="41"/>
      <c r="N474" s="41"/>
      <c r="O474" s="41"/>
      <c r="P474" s="41"/>
      <c r="Q474" s="41"/>
      <c r="R474" s="41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  <c r="BV474" s="41"/>
      <c r="BW474" s="41"/>
      <c r="BX474" s="41"/>
      <c r="BY474" s="41"/>
      <c r="BZ474" s="41"/>
      <c r="CA474" s="41"/>
      <c r="CB474" s="41"/>
      <c r="CC474" s="41"/>
      <c r="CD474" s="41"/>
      <c r="CE474" s="41"/>
      <c r="CF474" s="41"/>
      <c r="CG474" s="41"/>
      <c r="CH474" s="41"/>
      <c r="CI474" s="41"/>
      <c r="CJ474" s="41"/>
      <c r="CK474" s="41"/>
    </row>
    <row r="475" spans="1:89" s="51" customFormat="1" ht="33" customHeight="1">
      <c r="A475" s="74"/>
      <c r="B475" s="74"/>
      <c r="C475" s="74"/>
      <c r="D475" s="74"/>
      <c r="E475" s="74"/>
      <c r="F475" s="74"/>
      <c r="G475" s="75"/>
      <c r="H475" s="76"/>
      <c r="I475" s="52"/>
      <c r="J475" s="52"/>
      <c r="K475" s="52"/>
      <c r="L475" s="41"/>
      <c r="M475" s="41"/>
      <c r="N475" s="41"/>
      <c r="O475" s="41"/>
      <c r="P475" s="41"/>
      <c r="Q475" s="41"/>
      <c r="R475" s="41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  <c r="CD475" s="41"/>
      <c r="CE475" s="41"/>
      <c r="CF475" s="41"/>
      <c r="CG475" s="41"/>
      <c r="CH475" s="41"/>
      <c r="CI475" s="41"/>
      <c r="CJ475" s="41"/>
      <c r="CK475" s="41"/>
    </row>
    <row r="476" spans="1:89" s="51" customFormat="1" ht="33" customHeight="1">
      <c r="A476" s="74"/>
      <c r="B476" s="74"/>
      <c r="C476" s="74"/>
      <c r="D476" s="74"/>
      <c r="E476" s="74"/>
      <c r="F476" s="74"/>
      <c r="G476" s="75"/>
      <c r="H476" s="76"/>
      <c r="I476" s="52"/>
      <c r="J476" s="52"/>
      <c r="K476" s="52"/>
      <c r="L476" s="41"/>
      <c r="M476" s="41"/>
      <c r="N476" s="41"/>
      <c r="O476" s="41"/>
      <c r="P476" s="41"/>
      <c r="Q476" s="41"/>
      <c r="R476" s="41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  <c r="CD476" s="41"/>
      <c r="CE476" s="41"/>
      <c r="CF476" s="41"/>
      <c r="CG476" s="41"/>
      <c r="CH476" s="41"/>
      <c r="CI476" s="41"/>
      <c r="CJ476" s="41"/>
      <c r="CK476" s="41"/>
    </row>
    <row r="477" spans="1:89" s="51" customFormat="1" ht="33" customHeight="1">
      <c r="A477" s="74"/>
      <c r="B477" s="74"/>
      <c r="C477" s="74"/>
      <c r="D477" s="74"/>
      <c r="E477" s="74"/>
      <c r="F477" s="74"/>
      <c r="G477" s="75"/>
      <c r="H477" s="76"/>
      <c r="I477" s="52"/>
      <c r="J477" s="52"/>
      <c r="K477" s="52"/>
      <c r="L477" s="41"/>
      <c r="M477" s="41"/>
      <c r="N477" s="41"/>
      <c r="O477" s="41"/>
      <c r="P477" s="41"/>
      <c r="Q477" s="41"/>
      <c r="R477" s="41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  <c r="BV477" s="41"/>
      <c r="BW477" s="41"/>
      <c r="BX477" s="41"/>
      <c r="BY477" s="41"/>
      <c r="BZ477" s="41"/>
      <c r="CA477" s="41"/>
      <c r="CB477" s="41"/>
      <c r="CC477" s="41"/>
      <c r="CD477" s="41"/>
      <c r="CE477" s="41"/>
      <c r="CF477" s="41"/>
      <c r="CG477" s="41"/>
      <c r="CH477" s="41"/>
      <c r="CI477" s="41"/>
      <c r="CJ477" s="41"/>
      <c r="CK477" s="41"/>
    </row>
    <row r="478" spans="1:89" s="51" customFormat="1" ht="33" customHeight="1">
      <c r="A478" s="74"/>
      <c r="B478" s="74"/>
      <c r="C478" s="74"/>
      <c r="D478" s="74"/>
      <c r="E478" s="74"/>
      <c r="F478" s="74"/>
      <c r="G478" s="75"/>
      <c r="H478" s="76"/>
      <c r="I478" s="52"/>
      <c r="J478" s="52"/>
      <c r="K478" s="52"/>
      <c r="L478" s="41"/>
      <c r="M478" s="41"/>
      <c r="N478" s="41"/>
      <c r="O478" s="41"/>
      <c r="P478" s="41"/>
      <c r="Q478" s="41"/>
      <c r="R478" s="41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  <c r="BV478" s="41"/>
      <c r="BW478" s="41"/>
      <c r="BX478" s="41"/>
      <c r="BY478" s="41"/>
      <c r="BZ478" s="41"/>
      <c r="CA478" s="41"/>
      <c r="CB478" s="41"/>
      <c r="CC478" s="41"/>
      <c r="CD478" s="41"/>
      <c r="CE478" s="41"/>
      <c r="CF478" s="41"/>
      <c r="CG478" s="41"/>
      <c r="CH478" s="41"/>
      <c r="CI478" s="41"/>
      <c r="CJ478" s="41"/>
      <c r="CK478" s="41"/>
    </row>
    <row r="479" spans="1:89" s="51" customFormat="1" ht="33" customHeight="1">
      <c r="A479" s="74"/>
      <c r="B479" s="74"/>
      <c r="C479" s="74"/>
      <c r="D479" s="74"/>
      <c r="E479" s="74"/>
      <c r="F479" s="74"/>
      <c r="G479" s="75"/>
      <c r="H479" s="76"/>
      <c r="I479" s="52"/>
      <c r="J479" s="52"/>
      <c r="K479" s="52"/>
      <c r="L479" s="41"/>
      <c r="M479" s="41"/>
      <c r="N479" s="41"/>
      <c r="O479" s="41"/>
      <c r="P479" s="41"/>
      <c r="Q479" s="41"/>
      <c r="R479" s="41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  <c r="BV479" s="41"/>
      <c r="BW479" s="41"/>
      <c r="BX479" s="41"/>
      <c r="BY479" s="41"/>
      <c r="BZ479" s="41"/>
      <c r="CA479" s="41"/>
      <c r="CB479" s="41"/>
      <c r="CC479" s="41"/>
      <c r="CD479" s="41"/>
      <c r="CE479" s="41"/>
      <c r="CF479" s="41"/>
      <c r="CG479" s="41"/>
      <c r="CH479" s="41"/>
      <c r="CI479" s="41"/>
      <c r="CJ479" s="41"/>
      <c r="CK479" s="41"/>
    </row>
    <row r="480" spans="1:89" s="51" customFormat="1" ht="33" customHeight="1">
      <c r="A480" s="74"/>
      <c r="B480" s="74"/>
      <c r="C480" s="74"/>
      <c r="D480" s="74"/>
      <c r="E480" s="74"/>
      <c r="F480" s="74"/>
      <c r="G480" s="75"/>
      <c r="H480" s="76"/>
      <c r="I480" s="52"/>
      <c r="J480" s="52"/>
      <c r="K480" s="52"/>
      <c r="L480" s="41"/>
      <c r="M480" s="41"/>
      <c r="N480" s="41"/>
      <c r="O480" s="41"/>
      <c r="P480" s="41"/>
      <c r="Q480" s="41"/>
      <c r="R480" s="41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  <c r="BV480" s="41"/>
      <c r="BW480" s="41"/>
      <c r="BX480" s="41"/>
      <c r="BY480" s="41"/>
      <c r="BZ480" s="41"/>
      <c r="CA480" s="41"/>
      <c r="CB480" s="41"/>
      <c r="CC480" s="41"/>
      <c r="CD480" s="41"/>
      <c r="CE480" s="41"/>
      <c r="CF480" s="41"/>
      <c r="CG480" s="41"/>
      <c r="CH480" s="41"/>
      <c r="CI480" s="41"/>
      <c r="CJ480" s="41"/>
      <c r="CK480" s="41"/>
    </row>
    <row r="481" spans="1:89" s="51" customFormat="1" ht="33" customHeight="1">
      <c r="A481" s="74"/>
      <c r="B481" s="74"/>
      <c r="C481" s="74"/>
      <c r="D481" s="74"/>
      <c r="E481" s="74"/>
      <c r="F481" s="74"/>
      <c r="G481" s="75"/>
      <c r="H481" s="76"/>
      <c r="I481" s="52"/>
      <c r="J481" s="52"/>
      <c r="K481" s="52"/>
      <c r="L481" s="41"/>
      <c r="M481" s="41"/>
      <c r="N481" s="41"/>
      <c r="O481" s="41"/>
      <c r="P481" s="41"/>
      <c r="Q481" s="41"/>
      <c r="R481" s="41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  <c r="BL481" s="41"/>
      <c r="BM481" s="41"/>
      <c r="BN481" s="41"/>
      <c r="BO481" s="41"/>
      <c r="BP481" s="41"/>
      <c r="BQ481" s="41"/>
      <c r="BR481" s="41"/>
      <c r="BS481" s="41"/>
      <c r="BT481" s="41"/>
      <c r="BU481" s="41"/>
      <c r="BV481" s="41"/>
      <c r="BW481" s="41"/>
      <c r="BX481" s="41"/>
      <c r="BY481" s="41"/>
      <c r="BZ481" s="41"/>
      <c r="CA481" s="41"/>
      <c r="CB481" s="41"/>
      <c r="CC481" s="41"/>
      <c r="CD481" s="41"/>
      <c r="CE481" s="41"/>
      <c r="CF481" s="41"/>
      <c r="CG481" s="41"/>
      <c r="CH481" s="41"/>
      <c r="CI481" s="41"/>
      <c r="CJ481" s="41"/>
      <c r="CK481" s="41"/>
    </row>
    <row r="482" spans="1:89" s="51" customFormat="1" ht="33" customHeight="1">
      <c r="A482" s="74"/>
      <c r="B482" s="74"/>
      <c r="C482" s="74"/>
      <c r="D482" s="74"/>
      <c r="E482" s="74"/>
      <c r="F482" s="74"/>
      <c r="G482" s="75"/>
      <c r="H482" s="76"/>
      <c r="I482" s="52"/>
      <c r="J482" s="52"/>
      <c r="K482" s="52"/>
      <c r="L482" s="41"/>
      <c r="M482" s="41"/>
      <c r="N482" s="41"/>
      <c r="O482" s="41"/>
      <c r="P482" s="41"/>
      <c r="Q482" s="41"/>
      <c r="R482" s="41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1"/>
      <c r="BX482" s="41"/>
      <c r="BY482" s="41"/>
      <c r="BZ482" s="41"/>
      <c r="CA482" s="41"/>
      <c r="CB482" s="41"/>
      <c r="CC482" s="41"/>
      <c r="CD482" s="41"/>
      <c r="CE482" s="41"/>
      <c r="CF482" s="41"/>
      <c r="CG482" s="41"/>
      <c r="CH482" s="41"/>
      <c r="CI482" s="41"/>
      <c r="CJ482" s="41"/>
      <c r="CK482" s="41"/>
    </row>
    <row r="483" spans="1:89" s="51" customFormat="1" ht="33" customHeight="1">
      <c r="A483" s="74"/>
      <c r="B483" s="74"/>
      <c r="C483" s="74"/>
      <c r="D483" s="74"/>
      <c r="E483" s="74"/>
      <c r="F483" s="74"/>
      <c r="G483" s="75"/>
      <c r="H483" s="76"/>
      <c r="I483" s="52"/>
      <c r="J483" s="52"/>
      <c r="K483" s="52"/>
      <c r="L483" s="41"/>
      <c r="M483" s="41"/>
      <c r="N483" s="41"/>
      <c r="O483" s="41"/>
      <c r="P483" s="41"/>
      <c r="Q483" s="41"/>
      <c r="R483" s="41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  <c r="BL483" s="41"/>
      <c r="BM483" s="41"/>
      <c r="BN483" s="41"/>
      <c r="BO483" s="41"/>
      <c r="BP483" s="41"/>
      <c r="BQ483" s="41"/>
      <c r="BR483" s="41"/>
      <c r="BS483" s="41"/>
      <c r="BT483" s="41"/>
      <c r="BU483" s="41"/>
      <c r="BV483" s="41"/>
      <c r="BW483" s="41"/>
      <c r="BX483" s="41"/>
      <c r="BY483" s="41"/>
      <c r="BZ483" s="41"/>
      <c r="CA483" s="41"/>
      <c r="CB483" s="41"/>
      <c r="CC483" s="41"/>
      <c r="CD483" s="41"/>
      <c r="CE483" s="41"/>
      <c r="CF483" s="41"/>
      <c r="CG483" s="41"/>
      <c r="CH483" s="41"/>
      <c r="CI483" s="41"/>
      <c r="CJ483" s="41"/>
      <c r="CK483" s="41"/>
    </row>
    <row r="484" spans="1:89" s="51" customFormat="1" ht="33" customHeight="1">
      <c r="A484" s="74"/>
      <c r="B484" s="74"/>
      <c r="C484" s="74"/>
      <c r="D484" s="74"/>
      <c r="E484" s="74"/>
      <c r="F484" s="74"/>
      <c r="G484" s="75"/>
      <c r="H484" s="76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  <c r="BE484" s="53"/>
      <c r="BF484" s="53"/>
      <c r="BG484" s="53"/>
      <c r="BH484" s="53"/>
      <c r="BI484" s="53"/>
      <c r="BJ484" s="53"/>
      <c r="BK484" s="53"/>
      <c r="BL484" s="53"/>
      <c r="BM484" s="53"/>
      <c r="BN484" s="53"/>
      <c r="BO484" s="53"/>
      <c r="BP484" s="53"/>
      <c r="BQ484" s="53"/>
      <c r="BR484" s="53"/>
      <c r="BS484" s="53"/>
      <c r="BT484" s="53"/>
      <c r="BU484" s="53"/>
      <c r="BV484" s="53"/>
      <c r="BW484" s="53"/>
      <c r="BX484" s="53"/>
      <c r="BY484" s="53"/>
      <c r="BZ484" s="53"/>
      <c r="CA484" s="53"/>
      <c r="CB484" s="53"/>
      <c r="CC484" s="53"/>
      <c r="CD484" s="53"/>
      <c r="CE484" s="53"/>
      <c r="CF484" s="53"/>
      <c r="CG484" s="53"/>
      <c r="CH484" s="53"/>
      <c r="CI484" s="53"/>
      <c r="CJ484" s="53"/>
      <c r="CK484" s="53"/>
    </row>
    <row r="485" spans="1:89" s="51" customFormat="1" ht="33" customHeight="1">
      <c r="A485" s="74"/>
      <c r="B485" s="74"/>
      <c r="C485" s="74"/>
      <c r="D485" s="74"/>
      <c r="E485" s="74"/>
      <c r="F485" s="74"/>
      <c r="G485" s="75"/>
      <c r="H485" s="76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53"/>
      <c r="BG485" s="53"/>
      <c r="BH485" s="53"/>
      <c r="BI485" s="53"/>
      <c r="BJ485" s="53"/>
      <c r="BK485" s="53"/>
      <c r="BL485" s="53"/>
      <c r="BM485" s="53"/>
      <c r="BN485" s="53"/>
      <c r="BO485" s="53"/>
      <c r="BP485" s="53"/>
      <c r="BQ485" s="53"/>
      <c r="BR485" s="53"/>
      <c r="BS485" s="53"/>
      <c r="BT485" s="53"/>
      <c r="BU485" s="53"/>
      <c r="BV485" s="53"/>
      <c r="BW485" s="53"/>
      <c r="BX485" s="53"/>
      <c r="BY485" s="53"/>
      <c r="BZ485" s="53"/>
      <c r="CA485" s="53"/>
      <c r="CB485" s="53"/>
      <c r="CC485" s="53"/>
      <c r="CD485" s="53"/>
      <c r="CE485" s="53"/>
      <c r="CF485" s="53"/>
      <c r="CG485" s="53"/>
      <c r="CH485" s="53"/>
      <c r="CI485" s="53"/>
      <c r="CJ485" s="53"/>
      <c r="CK485" s="53"/>
    </row>
    <row r="486" spans="1:89" s="51" customFormat="1" ht="33" customHeight="1">
      <c r="A486" s="74"/>
      <c r="B486" s="74"/>
      <c r="C486" s="74"/>
      <c r="D486" s="74"/>
      <c r="E486" s="74"/>
      <c r="F486" s="74"/>
      <c r="G486" s="75"/>
      <c r="H486" s="76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  <c r="BE486" s="53"/>
      <c r="BF486" s="53"/>
      <c r="BG486" s="53"/>
      <c r="BH486" s="53"/>
      <c r="BI486" s="53"/>
      <c r="BJ486" s="53"/>
      <c r="BK486" s="53"/>
      <c r="BL486" s="53"/>
      <c r="BM486" s="53"/>
      <c r="BN486" s="53"/>
      <c r="BO486" s="53"/>
      <c r="BP486" s="53"/>
      <c r="BQ486" s="53"/>
      <c r="BR486" s="53"/>
      <c r="BS486" s="53"/>
      <c r="BT486" s="53"/>
      <c r="BU486" s="53"/>
      <c r="BV486" s="53"/>
      <c r="BW486" s="53"/>
      <c r="BX486" s="53"/>
      <c r="BY486" s="53"/>
      <c r="BZ486" s="53"/>
      <c r="CA486" s="53"/>
      <c r="CB486" s="53"/>
      <c r="CC486" s="53"/>
      <c r="CD486" s="53"/>
      <c r="CE486" s="53"/>
      <c r="CF486" s="53"/>
      <c r="CG486" s="53"/>
      <c r="CH486" s="53"/>
      <c r="CI486" s="53"/>
      <c r="CJ486" s="53"/>
      <c r="CK486" s="53"/>
    </row>
    <row r="487" spans="1:89" s="51" customFormat="1" ht="33" customHeight="1">
      <c r="A487" s="74"/>
      <c r="B487" s="74"/>
      <c r="C487" s="74"/>
      <c r="D487" s="74"/>
      <c r="E487" s="74"/>
      <c r="F487" s="74"/>
      <c r="G487" s="75"/>
      <c r="H487" s="76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  <c r="BE487" s="53"/>
      <c r="BF487" s="53"/>
      <c r="BG487" s="53"/>
      <c r="BH487" s="53"/>
      <c r="BI487" s="53"/>
      <c r="BJ487" s="53"/>
      <c r="BK487" s="53"/>
      <c r="BL487" s="53"/>
      <c r="BM487" s="53"/>
      <c r="BN487" s="53"/>
      <c r="BO487" s="53"/>
      <c r="BP487" s="53"/>
      <c r="BQ487" s="53"/>
      <c r="BR487" s="53"/>
      <c r="BS487" s="53"/>
      <c r="BT487" s="53"/>
      <c r="BU487" s="53"/>
      <c r="BV487" s="53"/>
      <c r="BW487" s="53"/>
      <c r="BX487" s="53"/>
      <c r="BY487" s="53"/>
      <c r="BZ487" s="53"/>
      <c r="CA487" s="53"/>
      <c r="CB487" s="53"/>
      <c r="CC487" s="53"/>
      <c r="CD487" s="53"/>
      <c r="CE487" s="53"/>
      <c r="CF487" s="53"/>
      <c r="CG487" s="53"/>
      <c r="CH487" s="53"/>
      <c r="CI487" s="53"/>
      <c r="CJ487" s="53"/>
      <c r="CK487" s="53"/>
    </row>
    <row r="488" spans="1:89" s="51" customFormat="1" ht="33" customHeight="1">
      <c r="A488" s="74"/>
      <c r="B488" s="74"/>
      <c r="C488" s="74"/>
      <c r="D488" s="74"/>
      <c r="E488" s="74"/>
      <c r="F488" s="74"/>
      <c r="G488" s="75"/>
      <c r="H488" s="76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  <c r="BE488" s="53"/>
      <c r="BF488" s="53"/>
      <c r="BG488" s="53"/>
      <c r="BH488" s="53"/>
      <c r="BI488" s="53"/>
      <c r="BJ488" s="53"/>
      <c r="BK488" s="53"/>
      <c r="BL488" s="53"/>
      <c r="BM488" s="53"/>
      <c r="BN488" s="53"/>
      <c r="BO488" s="53"/>
      <c r="BP488" s="53"/>
      <c r="BQ488" s="53"/>
      <c r="BR488" s="53"/>
      <c r="BS488" s="53"/>
      <c r="BT488" s="53"/>
      <c r="BU488" s="53"/>
      <c r="BV488" s="53"/>
      <c r="BW488" s="53"/>
      <c r="BX488" s="53"/>
      <c r="BY488" s="53"/>
      <c r="BZ488" s="53"/>
      <c r="CA488" s="53"/>
      <c r="CB488" s="53"/>
      <c r="CC488" s="53"/>
      <c r="CD488" s="53"/>
      <c r="CE488" s="53"/>
      <c r="CF488" s="53"/>
      <c r="CG488" s="53"/>
      <c r="CH488" s="53"/>
      <c r="CI488" s="53"/>
      <c r="CJ488" s="53"/>
      <c r="CK488" s="53"/>
    </row>
    <row r="489" spans="1:89" s="51" customFormat="1" ht="33" customHeight="1">
      <c r="A489" s="74"/>
      <c r="B489" s="74"/>
      <c r="C489" s="74"/>
      <c r="D489" s="74"/>
      <c r="E489" s="74"/>
      <c r="F489" s="74"/>
      <c r="G489" s="75"/>
      <c r="H489" s="76"/>
      <c r="I489" s="52"/>
      <c r="J489" s="52"/>
      <c r="K489" s="52"/>
      <c r="L489" s="41"/>
      <c r="M489" s="41"/>
      <c r="N489" s="41"/>
      <c r="O489" s="41"/>
      <c r="P489" s="41"/>
      <c r="Q489" s="41"/>
      <c r="R489" s="41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  <c r="BL489" s="41"/>
      <c r="BM489" s="41"/>
      <c r="BN489" s="41"/>
      <c r="BO489" s="41"/>
      <c r="BP489" s="41"/>
      <c r="BQ489" s="41"/>
      <c r="BR489" s="41"/>
      <c r="BS489" s="41"/>
      <c r="BT489" s="41"/>
      <c r="BU489" s="41"/>
      <c r="BV489" s="41"/>
      <c r="BW489" s="41"/>
      <c r="BX489" s="41"/>
      <c r="BY489" s="41"/>
      <c r="BZ489" s="41"/>
      <c r="CA489" s="41"/>
      <c r="CB489" s="41"/>
      <c r="CC489" s="41"/>
      <c r="CD489" s="41"/>
      <c r="CE489" s="41"/>
      <c r="CF489" s="41"/>
      <c r="CG489" s="41"/>
      <c r="CH489" s="41"/>
      <c r="CI489" s="41"/>
      <c r="CJ489" s="41"/>
      <c r="CK489" s="41"/>
    </row>
    <row r="490" spans="1:89" s="51" customFormat="1" ht="33" customHeight="1">
      <c r="A490" s="74"/>
      <c r="B490" s="74"/>
      <c r="C490" s="74"/>
      <c r="D490" s="74"/>
      <c r="E490" s="74"/>
      <c r="F490" s="74"/>
      <c r="G490" s="75"/>
      <c r="H490" s="76"/>
      <c r="I490" s="52"/>
      <c r="J490" s="52"/>
      <c r="K490" s="52"/>
      <c r="L490" s="41"/>
      <c r="M490" s="41"/>
      <c r="N490" s="41"/>
      <c r="O490" s="41"/>
      <c r="P490" s="41"/>
      <c r="Q490" s="41"/>
      <c r="R490" s="41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  <c r="BV490" s="41"/>
      <c r="BW490" s="41"/>
      <c r="BX490" s="41"/>
      <c r="BY490" s="41"/>
      <c r="BZ490" s="41"/>
      <c r="CA490" s="41"/>
      <c r="CB490" s="41"/>
      <c r="CC490" s="41"/>
      <c r="CD490" s="41"/>
      <c r="CE490" s="41"/>
      <c r="CF490" s="41"/>
      <c r="CG490" s="41"/>
      <c r="CH490" s="41"/>
      <c r="CI490" s="41"/>
      <c r="CJ490" s="41"/>
      <c r="CK490" s="41"/>
    </row>
    <row r="491" spans="1:89" s="51" customFormat="1" ht="33" customHeight="1">
      <c r="A491" s="74"/>
      <c r="B491" s="74"/>
      <c r="C491" s="74"/>
      <c r="D491" s="74"/>
      <c r="E491" s="74"/>
      <c r="F491" s="74"/>
      <c r="G491" s="75"/>
      <c r="H491" s="76"/>
      <c r="I491" s="52"/>
      <c r="J491" s="52"/>
      <c r="K491" s="52"/>
      <c r="L491" s="41"/>
      <c r="M491" s="41"/>
      <c r="N491" s="41"/>
      <c r="O491" s="41"/>
      <c r="P491" s="41"/>
      <c r="Q491" s="41"/>
      <c r="R491" s="41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  <c r="BV491" s="41"/>
      <c r="BW491" s="41"/>
      <c r="BX491" s="41"/>
      <c r="BY491" s="41"/>
      <c r="BZ491" s="41"/>
      <c r="CA491" s="41"/>
      <c r="CB491" s="41"/>
      <c r="CC491" s="41"/>
      <c r="CD491" s="41"/>
      <c r="CE491" s="41"/>
      <c r="CF491" s="41"/>
      <c r="CG491" s="41"/>
      <c r="CH491" s="41"/>
      <c r="CI491" s="41"/>
      <c r="CJ491" s="41"/>
      <c r="CK491" s="41"/>
    </row>
    <row r="492" spans="1:89" s="51" customFormat="1" ht="33" customHeight="1">
      <c r="A492" s="74"/>
      <c r="B492" s="74"/>
      <c r="C492" s="74"/>
      <c r="D492" s="74"/>
      <c r="E492" s="74"/>
      <c r="F492" s="74"/>
      <c r="G492" s="75"/>
      <c r="H492" s="76"/>
      <c r="I492" s="52"/>
      <c r="J492" s="52"/>
      <c r="K492" s="52"/>
      <c r="L492" s="41"/>
      <c r="M492" s="41"/>
      <c r="N492" s="41"/>
      <c r="O492" s="41"/>
      <c r="P492" s="41"/>
      <c r="Q492" s="41"/>
      <c r="R492" s="41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  <c r="BL492" s="41"/>
      <c r="BM492" s="41"/>
      <c r="BN492" s="41"/>
      <c r="BO492" s="41"/>
      <c r="BP492" s="41"/>
      <c r="BQ492" s="41"/>
      <c r="BR492" s="41"/>
      <c r="BS492" s="41"/>
      <c r="BT492" s="41"/>
      <c r="BU492" s="41"/>
      <c r="BV492" s="41"/>
      <c r="BW492" s="41"/>
      <c r="BX492" s="41"/>
      <c r="BY492" s="41"/>
      <c r="BZ492" s="41"/>
      <c r="CA492" s="41"/>
      <c r="CB492" s="41"/>
      <c r="CC492" s="41"/>
      <c r="CD492" s="41"/>
      <c r="CE492" s="41"/>
      <c r="CF492" s="41"/>
      <c r="CG492" s="41"/>
      <c r="CH492" s="41"/>
      <c r="CI492" s="41"/>
      <c r="CJ492" s="41"/>
      <c r="CK492" s="41"/>
    </row>
    <row r="493" spans="1:89" s="51" customFormat="1" ht="33" customHeight="1">
      <c r="A493" s="74"/>
      <c r="B493" s="74"/>
      <c r="C493" s="74"/>
      <c r="D493" s="74"/>
      <c r="E493" s="74"/>
      <c r="F493" s="74"/>
      <c r="G493" s="75"/>
      <c r="H493" s="76"/>
      <c r="I493" s="52"/>
      <c r="J493" s="52"/>
      <c r="K493" s="52"/>
      <c r="L493" s="41"/>
      <c r="M493" s="41"/>
      <c r="N493" s="41"/>
      <c r="O493" s="41"/>
      <c r="P493" s="41"/>
      <c r="Q493" s="41"/>
      <c r="R493" s="41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  <c r="BL493" s="41"/>
      <c r="BM493" s="41"/>
      <c r="BN493" s="41"/>
      <c r="BO493" s="41"/>
      <c r="BP493" s="41"/>
      <c r="BQ493" s="41"/>
      <c r="BR493" s="41"/>
      <c r="BS493" s="41"/>
      <c r="BT493" s="41"/>
      <c r="BU493" s="41"/>
      <c r="BV493" s="41"/>
      <c r="BW493" s="41"/>
      <c r="BX493" s="41"/>
      <c r="BY493" s="41"/>
      <c r="BZ493" s="41"/>
      <c r="CA493" s="41"/>
      <c r="CB493" s="41"/>
      <c r="CC493" s="41"/>
      <c r="CD493" s="41"/>
      <c r="CE493" s="41"/>
      <c r="CF493" s="41"/>
      <c r="CG493" s="41"/>
      <c r="CH493" s="41"/>
      <c r="CI493" s="41"/>
      <c r="CJ493" s="41"/>
      <c r="CK493" s="41"/>
    </row>
    <row r="494" spans="1:89" s="51" customFormat="1" ht="33" customHeight="1">
      <c r="A494" s="74"/>
      <c r="B494" s="74"/>
      <c r="C494" s="74"/>
      <c r="D494" s="74"/>
      <c r="E494" s="74"/>
      <c r="F494" s="74"/>
      <c r="G494" s="75"/>
      <c r="H494" s="76"/>
      <c r="I494" s="52"/>
      <c r="J494" s="52"/>
      <c r="K494" s="52"/>
      <c r="L494" s="41"/>
      <c r="M494" s="41"/>
      <c r="N494" s="41"/>
      <c r="O494" s="41"/>
      <c r="P494" s="41"/>
      <c r="Q494" s="41"/>
      <c r="R494" s="41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  <c r="BL494" s="41"/>
      <c r="BM494" s="41"/>
      <c r="BN494" s="41"/>
      <c r="BO494" s="41"/>
      <c r="BP494" s="41"/>
      <c r="BQ494" s="41"/>
      <c r="BR494" s="41"/>
      <c r="BS494" s="41"/>
      <c r="BT494" s="41"/>
      <c r="BU494" s="41"/>
      <c r="BV494" s="41"/>
      <c r="BW494" s="41"/>
      <c r="BX494" s="41"/>
      <c r="BY494" s="41"/>
      <c r="BZ494" s="41"/>
      <c r="CA494" s="41"/>
      <c r="CB494" s="41"/>
      <c r="CC494" s="41"/>
      <c r="CD494" s="41"/>
      <c r="CE494" s="41"/>
      <c r="CF494" s="41"/>
      <c r="CG494" s="41"/>
      <c r="CH494" s="41"/>
      <c r="CI494" s="41"/>
      <c r="CJ494" s="41"/>
      <c r="CK494" s="41"/>
    </row>
    <row r="495" spans="1:89" s="51" customFormat="1" ht="33" customHeight="1">
      <c r="A495" s="74"/>
      <c r="B495" s="74"/>
      <c r="C495" s="74"/>
      <c r="D495" s="74"/>
      <c r="E495" s="74"/>
      <c r="F495" s="74"/>
      <c r="G495" s="75"/>
      <c r="H495" s="76"/>
      <c r="I495" s="52"/>
      <c r="J495" s="52"/>
      <c r="K495" s="52"/>
      <c r="L495" s="41"/>
      <c r="M495" s="41"/>
      <c r="N495" s="41"/>
      <c r="O495" s="41"/>
      <c r="P495" s="41"/>
      <c r="Q495" s="41"/>
      <c r="R495" s="41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  <c r="BV495" s="41"/>
      <c r="BW495" s="41"/>
      <c r="BX495" s="41"/>
      <c r="BY495" s="41"/>
      <c r="BZ495" s="41"/>
      <c r="CA495" s="41"/>
      <c r="CB495" s="41"/>
      <c r="CC495" s="41"/>
      <c r="CD495" s="41"/>
      <c r="CE495" s="41"/>
      <c r="CF495" s="41"/>
      <c r="CG495" s="41"/>
      <c r="CH495" s="41"/>
      <c r="CI495" s="41"/>
      <c r="CJ495" s="41"/>
      <c r="CK495" s="41"/>
    </row>
    <row r="496" spans="1:89" s="51" customFormat="1" ht="33" customHeight="1">
      <c r="A496" s="74"/>
      <c r="B496" s="74"/>
      <c r="C496" s="74"/>
      <c r="D496" s="74"/>
      <c r="E496" s="74"/>
      <c r="F496" s="74"/>
      <c r="G496" s="75"/>
      <c r="H496" s="76"/>
      <c r="I496" s="52"/>
      <c r="J496" s="52"/>
      <c r="K496" s="52"/>
      <c r="L496" s="41"/>
      <c r="M496" s="41"/>
      <c r="N496" s="41"/>
      <c r="O496" s="41"/>
      <c r="P496" s="41"/>
      <c r="Q496" s="41"/>
      <c r="R496" s="41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  <c r="BL496" s="41"/>
      <c r="BM496" s="41"/>
      <c r="BN496" s="41"/>
      <c r="BO496" s="41"/>
      <c r="BP496" s="41"/>
      <c r="BQ496" s="41"/>
      <c r="BR496" s="41"/>
      <c r="BS496" s="41"/>
      <c r="BT496" s="41"/>
      <c r="BU496" s="41"/>
      <c r="BV496" s="41"/>
      <c r="BW496" s="41"/>
      <c r="BX496" s="41"/>
      <c r="BY496" s="41"/>
      <c r="BZ496" s="41"/>
      <c r="CA496" s="41"/>
      <c r="CB496" s="41"/>
      <c r="CC496" s="41"/>
      <c r="CD496" s="41"/>
      <c r="CE496" s="41"/>
      <c r="CF496" s="41"/>
      <c r="CG496" s="41"/>
      <c r="CH496" s="41"/>
      <c r="CI496" s="41"/>
      <c r="CJ496" s="41"/>
      <c r="CK496" s="41"/>
    </row>
    <row r="497" spans="1:89" s="51" customFormat="1" ht="33" customHeight="1">
      <c r="A497" s="74"/>
      <c r="B497" s="74"/>
      <c r="C497" s="74"/>
      <c r="D497" s="74"/>
      <c r="E497" s="74"/>
      <c r="F497" s="74"/>
      <c r="G497" s="75"/>
      <c r="H497" s="76"/>
      <c r="I497" s="52"/>
      <c r="J497" s="52"/>
      <c r="K497" s="52"/>
      <c r="L497" s="41"/>
      <c r="M497" s="41"/>
      <c r="N497" s="41"/>
      <c r="O497" s="41"/>
      <c r="P497" s="41"/>
      <c r="Q497" s="41"/>
      <c r="R497" s="41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  <c r="BL497" s="41"/>
      <c r="BM497" s="41"/>
      <c r="BN497" s="41"/>
      <c r="BO497" s="41"/>
      <c r="BP497" s="41"/>
      <c r="BQ497" s="41"/>
      <c r="BR497" s="41"/>
      <c r="BS497" s="41"/>
      <c r="BT497" s="41"/>
      <c r="BU497" s="41"/>
      <c r="BV497" s="41"/>
      <c r="BW497" s="41"/>
      <c r="BX497" s="41"/>
      <c r="BY497" s="41"/>
      <c r="BZ497" s="41"/>
      <c r="CA497" s="41"/>
      <c r="CB497" s="41"/>
      <c r="CC497" s="41"/>
      <c r="CD497" s="41"/>
      <c r="CE497" s="41"/>
      <c r="CF497" s="41"/>
      <c r="CG497" s="41"/>
      <c r="CH497" s="41"/>
      <c r="CI497" s="41"/>
      <c r="CJ497" s="41"/>
      <c r="CK497" s="41"/>
    </row>
    <row r="498" spans="1:89" s="51" customFormat="1" ht="33" customHeight="1">
      <c r="A498" s="74"/>
      <c r="B498" s="74"/>
      <c r="C498" s="74"/>
      <c r="D498" s="74"/>
      <c r="E498" s="74"/>
      <c r="F498" s="74"/>
      <c r="G498" s="75"/>
      <c r="H498" s="76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53"/>
      <c r="BG498" s="53"/>
      <c r="BH498" s="53"/>
      <c r="BI498" s="53"/>
      <c r="BJ498" s="53"/>
      <c r="BK498" s="53"/>
      <c r="BL498" s="53"/>
      <c r="BM498" s="53"/>
      <c r="BN498" s="53"/>
      <c r="BO498" s="53"/>
      <c r="BP498" s="53"/>
      <c r="BQ498" s="53"/>
      <c r="BR498" s="53"/>
      <c r="BS498" s="53"/>
      <c r="BT498" s="53"/>
      <c r="BU498" s="53"/>
      <c r="BV498" s="53"/>
      <c r="BW498" s="53"/>
      <c r="BX498" s="53"/>
      <c r="BY498" s="53"/>
      <c r="BZ498" s="53"/>
      <c r="CA498" s="53"/>
      <c r="CB498" s="53"/>
      <c r="CC498" s="53"/>
      <c r="CD498" s="53"/>
      <c r="CE498" s="53"/>
      <c r="CF498" s="53"/>
      <c r="CG498" s="53"/>
      <c r="CH498" s="53"/>
      <c r="CI498" s="53"/>
      <c r="CJ498" s="53"/>
      <c r="CK498" s="53"/>
    </row>
    <row r="499" spans="1:89" s="51" customFormat="1" ht="33" customHeight="1">
      <c r="A499" s="74"/>
      <c r="B499" s="74"/>
      <c r="C499" s="74"/>
      <c r="D499" s="74"/>
      <c r="E499" s="74"/>
      <c r="F499" s="74"/>
      <c r="G499" s="75"/>
      <c r="H499" s="76"/>
      <c r="I499" s="52"/>
      <c r="J499" s="52"/>
      <c r="K499" s="52"/>
      <c r="L499" s="41"/>
      <c r="M499" s="41"/>
      <c r="N499" s="41"/>
      <c r="O499" s="41"/>
      <c r="P499" s="41"/>
      <c r="Q499" s="41"/>
      <c r="R499" s="41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  <c r="BL499" s="41"/>
      <c r="BM499" s="41"/>
      <c r="BN499" s="41"/>
      <c r="BO499" s="41"/>
      <c r="BP499" s="41"/>
      <c r="BQ499" s="41"/>
      <c r="BR499" s="41"/>
      <c r="BS499" s="41"/>
      <c r="BT499" s="41"/>
      <c r="BU499" s="41"/>
      <c r="BV499" s="41"/>
      <c r="BW499" s="41"/>
      <c r="BX499" s="41"/>
      <c r="BY499" s="41"/>
      <c r="BZ499" s="41"/>
      <c r="CA499" s="41"/>
      <c r="CB499" s="41"/>
      <c r="CC499" s="41"/>
      <c r="CD499" s="41"/>
      <c r="CE499" s="41"/>
      <c r="CF499" s="41"/>
      <c r="CG499" s="41"/>
      <c r="CH499" s="41"/>
      <c r="CI499" s="41"/>
      <c r="CJ499" s="41"/>
      <c r="CK499" s="41"/>
    </row>
    <row r="500" spans="1:89" s="51" customFormat="1" ht="33" customHeight="1">
      <c r="A500" s="74"/>
      <c r="B500" s="74"/>
      <c r="C500" s="74"/>
      <c r="D500" s="74"/>
      <c r="E500" s="74"/>
      <c r="F500" s="74"/>
      <c r="G500" s="75"/>
      <c r="H500" s="76"/>
      <c r="I500" s="52"/>
      <c r="J500" s="52"/>
      <c r="K500" s="52"/>
      <c r="L500" s="41"/>
      <c r="M500" s="41"/>
      <c r="N500" s="41"/>
      <c r="O500" s="41"/>
      <c r="P500" s="41"/>
      <c r="Q500" s="41"/>
      <c r="R500" s="41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  <c r="BV500" s="41"/>
      <c r="BW500" s="41"/>
      <c r="BX500" s="41"/>
      <c r="BY500" s="41"/>
      <c r="BZ500" s="41"/>
      <c r="CA500" s="41"/>
      <c r="CB500" s="41"/>
      <c r="CC500" s="41"/>
      <c r="CD500" s="41"/>
      <c r="CE500" s="41"/>
      <c r="CF500" s="41"/>
      <c r="CG500" s="41"/>
      <c r="CH500" s="41"/>
      <c r="CI500" s="41"/>
      <c r="CJ500" s="41"/>
      <c r="CK500" s="41"/>
    </row>
    <row r="501" spans="1:89" s="51" customFormat="1" ht="33" customHeight="1">
      <c r="A501" s="74"/>
      <c r="B501" s="74"/>
      <c r="C501" s="74"/>
      <c r="D501" s="74"/>
      <c r="E501" s="74"/>
      <c r="F501" s="74"/>
      <c r="G501" s="75"/>
      <c r="H501" s="76"/>
      <c r="I501" s="52"/>
      <c r="J501" s="52"/>
      <c r="K501" s="52"/>
      <c r="L501" s="41"/>
      <c r="M501" s="41"/>
      <c r="N501" s="41"/>
      <c r="O501" s="41"/>
      <c r="P501" s="41"/>
      <c r="Q501" s="41"/>
      <c r="R501" s="41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  <c r="BK501" s="41"/>
      <c r="BL501" s="41"/>
      <c r="BM501" s="41"/>
      <c r="BN501" s="41"/>
      <c r="BO501" s="41"/>
      <c r="BP501" s="41"/>
      <c r="BQ501" s="41"/>
      <c r="BR501" s="41"/>
      <c r="BS501" s="41"/>
      <c r="BT501" s="41"/>
      <c r="BU501" s="41"/>
      <c r="BV501" s="41"/>
      <c r="BW501" s="41"/>
      <c r="BX501" s="41"/>
      <c r="BY501" s="41"/>
      <c r="BZ501" s="41"/>
      <c r="CA501" s="41"/>
      <c r="CB501" s="41"/>
      <c r="CC501" s="41"/>
      <c r="CD501" s="41"/>
      <c r="CE501" s="41"/>
      <c r="CF501" s="41"/>
      <c r="CG501" s="41"/>
      <c r="CH501" s="41"/>
      <c r="CI501" s="41"/>
      <c r="CJ501" s="41"/>
      <c r="CK501" s="41"/>
    </row>
    <row r="502" spans="1:89" s="51" customFormat="1" ht="33" customHeight="1">
      <c r="A502" s="74"/>
      <c r="B502" s="74"/>
      <c r="C502" s="74"/>
      <c r="D502" s="74"/>
      <c r="E502" s="74"/>
      <c r="F502" s="74"/>
      <c r="G502" s="75"/>
      <c r="H502" s="76"/>
      <c r="I502" s="52"/>
      <c r="J502" s="52"/>
      <c r="K502" s="52"/>
      <c r="L502" s="41"/>
      <c r="M502" s="41"/>
      <c r="N502" s="41"/>
      <c r="O502" s="41"/>
      <c r="P502" s="41"/>
      <c r="Q502" s="41"/>
      <c r="R502" s="41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  <c r="BL502" s="41"/>
      <c r="BM502" s="41"/>
      <c r="BN502" s="41"/>
      <c r="BO502" s="41"/>
      <c r="BP502" s="41"/>
      <c r="BQ502" s="41"/>
      <c r="BR502" s="41"/>
      <c r="BS502" s="41"/>
      <c r="BT502" s="41"/>
      <c r="BU502" s="41"/>
      <c r="BV502" s="41"/>
      <c r="BW502" s="41"/>
      <c r="BX502" s="41"/>
      <c r="BY502" s="41"/>
      <c r="BZ502" s="41"/>
      <c r="CA502" s="41"/>
      <c r="CB502" s="41"/>
      <c r="CC502" s="41"/>
      <c r="CD502" s="41"/>
      <c r="CE502" s="41"/>
      <c r="CF502" s="41"/>
      <c r="CG502" s="41"/>
      <c r="CH502" s="41"/>
      <c r="CI502" s="41"/>
      <c r="CJ502" s="41"/>
      <c r="CK502" s="41"/>
    </row>
    <row r="503" spans="1:89" s="51" customFormat="1" ht="33" customHeight="1">
      <c r="A503" s="74"/>
      <c r="B503" s="74"/>
      <c r="C503" s="74"/>
      <c r="D503" s="74"/>
      <c r="E503" s="74"/>
      <c r="F503" s="74"/>
      <c r="G503" s="75"/>
      <c r="H503" s="76"/>
      <c r="I503" s="52"/>
      <c r="J503" s="52"/>
      <c r="K503" s="52"/>
      <c r="L503" s="41"/>
      <c r="M503" s="41"/>
      <c r="N503" s="41"/>
      <c r="O503" s="41"/>
      <c r="P503" s="41"/>
      <c r="Q503" s="41"/>
      <c r="R503" s="41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  <c r="BV503" s="41"/>
      <c r="BW503" s="41"/>
      <c r="BX503" s="41"/>
      <c r="BY503" s="41"/>
      <c r="BZ503" s="41"/>
      <c r="CA503" s="41"/>
      <c r="CB503" s="41"/>
      <c r="CC503" s="41"/>
      <c r="CD503" s="41"/>
      <c r="CE503" s="41"/>
      <c r="CF503" s="41"/>
      <c r="CG503" s="41"/>
      <c r="CH503" s="41"/>
      <c r="CI503" s="41"/>
      <c r="CJ503" s="41"/>
      <c r="CK503" s="41"/>
    </row>
    <row r="504" spans="1:89" s="51" customFormat="1" ht="33" customHeight="1">
      <c r="A504" s="74"/>
      <c r="B504" s="74"/>
      <c r="C504" s="74"/>
      <c r="D504" s="74"/>
      <c r="E504" s="74"/>
      <c r="F504" s="74"/>
      <c r="G504" s="75"/>
      <c r="H504" s="76"/>
      <c r="I504" s="52"/>
      <c r="J504" s="52"/>
      <c r="K504" s="52"/>
      <c r="L504" s="41"/>
      <c r="M504" s="41"/>
      <c r="N504" s="41"/>
      <c r="O504" s="41"/>
      <c r="P504" s="41"/>
      <c r="Q504" s="41"/>
      <c r="R504" s="41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  <c r="BV504" s="41"/>
      <c r="BW504" s="41"/>
      <c r="BX504" s="41"/>
      <c r="BY504" s="41"/>
      <c r="BZ504" s="41"/>
      <c r="CA504" s="41"/>
      <c r="CB504" s="41"/>
      <c r="CC504" s="41"/>
      <c r="CD504" s="41"/>
      <c r="CE504" s="41"/>
      <c r="CF504" s="41"/>
      <c r="CG504" s="41"/>
      <c r="CH504" s="41"/>
      <c r="CI504" s="41"/>
      <c r="CJ504" s="41"/>
      <c r="CK504" s="41"/>
    </row>
    <row r="505" spans="1:89" s="51" customFormat="1" ht="33" customHeight="1">
      <c r="A505" s="74"/>
      <c r="B505" s="74"/>
      <c r="C505" s="74"/>
      <c r="D505" s="74"/>
      <c r="E505" s="74"/>
      <c r="F505" s="74"/>
      <c r="G505" s="75"/>
      <c r="H505" s="76"/>
      <c r="I505" s="52"/>
      <c r="J505" s="52"/>
      <c r="K505" s="52"/>
      <c r="L505" s="41"/>
      <c r="M505" s="41"/>
      <c r="N505" s="41"/>
      <c r="O505" s="41"/>
      <c r="P505" s="41"/>
      <c r="Q505" s="41"/>
      <c r="R505" s="41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  <c r="BV505" s="41"/>
      <c r="BW505" s="41"/>
      <c r="BX505" s="41"/>
      <c r="BY505" s="41"/>
      <c r="BZ505" s="41"/>
      <c r="CA505" s="41"/>
      <c r="CB505" s="41"/>
      <c r="CC505" s="41"/>
      <c r="CD505" s="41"/>
      <c r="CE505" s="41"/>
      <c r="CF505" s="41"/>
      <c r="CG505" s="41"/>
      <c r="CH505" s="41"/>
      <c r="CI505" s="41"/>
      <c r="CJ505" s="41"/>
      <c r="CK505" s="41"/>
    </row>
    <row r="506" spans="1:89" s="51" customFormat="1" ht="33" customHeight="1">
      <c r="A506" s="74"/>
      <c r="B506" s="74"/>
      <c r="C506" s="74"/>
      <c r="D506" s="74"/>
      <c r="E506" s="74"/>
      <c r="F506" s="74"/>
      <c r="G506" s="75"/>
      <c r="H506" s="76"/>
      <c r="I506" s="52"/>
      <c r="J506" s="52"/>
      <c r="K506" s="52"/>
      <c r="L506" s="41"/>
      <c r="M506" s="41"/>
      <c r="N506" s="41"/>
      <c r="O506" s="41"/>
      <c r="P506" s="41"/>
      <c r="Q506" s="41"/>
      <c r="R506" s="41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  <c r="BV506" s="41"/>
      <c r="BW506" s="41"/>
      <c r="BX506" s="41"/>
      <c r="BY506" s="41"/>
      <c r="BZ506" s="41"/>
      <c r="CA506" s="41"/>
      <c r="CB506" s="41"/>
      <c r="CC506" s="41"/>
      <c r="CD506" s="41"/>
      <c r="CE506" s="41"/>
      <c r="CF506" s="41"/>
      <c r="CG506" s="41"/>
      <c r="CH506" s="41"/>
      <c r="CI506" s="41"/>
      <c r="CJ506" s="41"/>
      <c r="CK506" s="41"/>
    </row>
    <row r="507" spans="1:89" s="51" customFormat="1" ht="33" customHeight="1">
      <c r="A507" s="74"/>
      <c r="B507" s="74"/>
      <c r="C507" s="74"/>
      <c r="D507" s="74"/>
      <c r="E507" s="74"/>
      <c r="F507" s="74"/>
      <c r="G507" s="75"/>
      <c r="H507" s="76"/>
      <c r="I507" s="52"/>
      <c r="J507" s="52"/>
      <c r="K507" s="52"/>
      <c r="L507" s="41"/>
      <c r="M507" s="41"/>
      <c r="N507" s="41"/>
      <c r="O507" s="41"/>
      <c r="P507" s="41"/>
      <c r="Q507" s="41"/>
      <c r="R507" s="41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  <c r="BK507" s="41"/>
      <c r="BL507" s="41"/>
      <c r="BM507" s="41"/>
      <c r="BN507" s="41"/>
      <c r="BO507" s="41"/>
      <c r="BP507" s="41"/>
      <c r="BQ507" s="41"/>
      <c r="BR507" s="41"/>
      <c r="BS507" s="41"/>
      <c r="BT507" s="41"/>
      <c r="BU507" s="41"/>
      <c r="BV507" s="41"/>
      <c r="BW507" s="41"/>
      <c r="BX507" s="41"/>
      <c r="BY507" s="41"/>
      <c r="BZ507" s="41"/>
      <c r="CA507" s="41"/>
      <c r="CB507" s="41"/>
      <c r="CC507" s="41"/>
      <c r="CD507" s="41"/>
      <c r="CE507" s="41"/>
      <c r="CF507" s="41"/>
      <c r="CG507" s="41"/>
      <c r="CH507" s="41"/>
      <c r="CI507" s="41"/>
      <c r="CJ507" s="41"/>
      <c r="CK507" s="41"/>
    </row>
    <row r="508" spans="1:89" s="51" customFormat="1" ht="33" customHeight="1">
      <c r="A508" s="74"/>
      <c r="B508" s="74"/>
      <c r="C508" s="74"/>
      <c r="D508" s="74"/>
      <c r="E508" s="74"/>
      <c r="F508" s="74"/>
      <c r="G508" s="75"/>
      <c r="H508" s="76"/>
      <c r="I508" s="52"/>
      <c r="J508" s="52"/>
      <c r="K508" s="52"/>
      <c r="L508" s="41"/>
      <c r="M508" s="41"/>
      <c r="N508" s="41"/>
      <c r="O508" s="41"/>
      <c r="P508" s="41"/>
      <c r="Q508" s="41"/>
      <c r="R508" s="41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/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  <c r="BZ508" s="41"/>
      <c r="CA508" s="41"/>
      <c r="CB508" s="41"/>
      <c r="CC508" s="41"/>
      <c r="CD508" s="41"/>
      <c r="CE508" s="41"/>
      <c r="CF508" s="41"/>
      <c r="CG508" s="41"/>
      <c r="CH508" s="41"/>
      <c r="CI508" s="41"/>
      <c r="CJ508" s="41"/>
      <c r="CK508" s="41"/>
    </row>
    <row r="509" spans="1:89" s="51" customFormat="1" ht="33" customHeight="1">
      <c r="A509" s="74"/>
      <c r="B509" s="74"/>
      <c r="C509" s="74"/>
      <c r="D509" s="74"/>
      <c r="E509" s="74"/>
      <c r="F509" s="74"/>
      <c r="G509" s="75"/>
      <c r="H509" s="76"/>
      <c r="I509" s="52"/>
      <c r="J509" s="52"/>
      <c r="K509" s="52"/>
      <c r="L509" s="41"/>
      <c r="M509" s="41"/>
      <c r="N509" s="41"/>
      <c r="O509" s="41"/>
      <c r="P509" s="41"/>
      <c r="Q509" s="41"/>
      <c r="R509" s="41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  <c r="BL509" s="41"/>
      <c r="BM509" s="41"/>
      <c r="BN509" s="41"/>
      <c r="BO509" s="41"/>
      <c r="BP509" s="41"/>
      <c r="BQ509" s="41"/>
      <c r="BR509" s="41"/>
      <c r="BS509" s="41"/>
      <c r="BT509" s="41"/>
      <c r="BU509" s="41"/>
      <c r="BV509" s="41"/>
      <c r="BW509" s="41"/>
      <c r="BX509" s="41"/>
      <c r="BY509" s="41"/>
      <c r="BZ509" s="41"/>
      <c r="CA509" s="41"/>
      <c r="CB509" s="41"/>
      <c r="CC509" s="41"/>
      <c r="CD509" s="41"/>
      <c r="CE509" s="41"/>
      <c r="CF509" s="41"/>
      <c r="CG509" s="41"/>
      <c r="CH509" s="41"/>
      <c r="CI509" s="41"/>
      <c r="CJ509" s="41"/>
      <c r="CK509" s="41"/>
    </row>
    <row r="510" spans="1:89" s="51" customFormat="1" ht="33" customHeight="1">
      <c r="A510" s="74"/>
      <c r="B510" s="74"/>
      <c r="C510" s="74"/>
      <c r="D510" s="74"/>
      <c r="E510" s="74"/>
      <c r="F510" s="74"/>
      <c r="G510" s="75"/>
      <c r="H510" s="76"/>
      <c r="I510" s="52"/>
      <c r="J510" s="52"/>
      <c r="K510" s="52"/>
      <c r="L510" s="41"/>
      <c r="M510" s="41"/>
      <c r="N510" s="41"/>
      <c r="O510" s="41"/>
      <c r="P510" s="41"/>
      <c r="Q510" s="41"/>
      <c r="R510" s="41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  <c r="BK510" s="41"/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1"/>
      <c r="CA510" s="41"/>
      <c r="CB510" s="41"/>
      <c r="CC510" s="41"/>
      <c r="CD510" s="41"/>
      <c r="CE510" s="41"/>
      <c r="CF510" s="41"/>
      <c r="CG510" s="41"/>
      <c r="CH510" s="41"/>
      <c r="CI510" s="41"/>
      <c r="CJ510" s="41"/>
      <c r="CK510" s="41"/>
    </row>
    <row r="511" spans="1:89" s="51" customFormat="1" ht="33" customHeight="1">
      <c r="A511" s="74"/>
      <c r="B511" s="74"/>
      <c r="C511" s="74"/>
      <c r="D511" s="74"/>
      <c r="E511" s="74"/>
      <c r="F511" s="74"/>
      <c r="G511" s="75"/>
      <c r="H511" s="76"/>
      <c r="I511" s="52"/>
      <c r="J511" s="52"/>
      <c r="K511" s="52"/>
      <c r="L511" s="41"/>
      <c r="M511" s="41"/>
      <c r="N511" s="41"/>
      <c r="O511" s="41"/>
      <c r="P511" s="41"/>
      <c r="Q511" s="41"/>
      <c r="R511" s="41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  <c r="BK511" s="41"/>
      <c r="BL511" s="41"/>
      <c r="BM511" s="41"/>
      <c r="BN511" s="41"/>
      <c r="BO511" s="41"/>
      <c r="BP511" s="41"/>
      <c r="BQ511" s="41"/>
      <c r="BR511" s="41"/>
      <c r="BS511" s="41"/>
      <c r="BT511" s="41"/>
      <c r="BU511" s="41"/>
      <c r="BV511" s="41"/>
      <c r="BW511" s="41"/>
      <c r="BX511" s="41"/>
      <c r="BY511" s="41"/>
      <c r="BZ511" s="41"/>
      <c r="CA511" s="41"/>
      <c r="CB511" s="41"/>
      <c r="CC511" s="41"/>
      <c r="CD511" s="41"/>
      <c r="CE511" s="41"/>
      <c r="CF511" s="41"/>
      <c r="CG511" s="41"/>
      <c r="CH511" s="41"/>
      <c r="CI511" s="41"/>
      <c r="CJ511" s="41"/>
      <c r="CK511" s="41"/>
    </row>
    <row r="512" spans="1:89" s="51" customFormat="1" ht="33" customHeight="1">
      <c r="A512" s="74"/>
      <c r="B512" s="74"/>
      <c r="C512" s="74"/>
      <c r="D512" s="74"/>
      <c r="E512" s="74"/>
      <c r="F512" s="74"/>
      <c r="G512" s="75"/>
      <c r="H512" s="76"/>
      <c r="I512" s="52"/>
      <c r="J512" s="52"/>
      <c r="K512" s="52"/>
      <c r="L512" s="41"/>
      <c r="M512" s="41"/>
      <c r="N512" s="41"/>
      <c r="O512" s="41"/>
      <c r="P512" s="41"/>
      <c r="Q512" s="41"/>
      <c r="R512" s="41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  <c r="BL512" s="41"/>
      <c r="BM512" s="41"/>
      <c r="BN512" s="41"/>
      <c r="BO512" s="41"/>
      <c r="BP512" s="41"/>
      <c r="BQ512" s="41"/>
      <c r="BR512" s="41"/>
      <c r="BS512" s="41"/>
      <c r="BT512" s="41"/>
      <c r="BU512" s="41"/>
      <c r="BV512" s="41"/>
      <c r="BW512" s="41"/>
      <c r="BX512" s="41"/>
      <c r="BY512" s="41"/>
      <c r="BZ512" s="41"/>
      <c r="CA512" s="41"/>
      <c r="CB512" s="41"/>
      <c r="CC512" s="41"/>
      <c r="CD512" s="41"/>
      <c r="CE512" s="41"/>
      <c r="CF512" s="41"/>
      <c r="CG512" s="41"/>
      <c r="CH512" s="41"/>
      <c r="CI512" s="41"/>
      <c r="CJ512" s="41"/>
      <c r="CK512" s="41"/>
    </row>
    <row r="513" spans="1:89" s="51" customFormat="1" ht="33" customHeight="1">
      <c r="A513" s="74"/>
      <c r="B513" s="74"/>
      <c r="C513" s="74"/>
      <c r="D513" s="74"/>
      <c r="E513" s="74"/>
      <c r="F513" s="74"/>
      <c r="G513" s="75"/>
      <c r="H513" s="76"/>
      <c r="I513" s="52"/>
      <c r="J513" s="52"/>
      <c r="K513" s="52"/>
      <c r="L513" s="41"/>
      <c r="M513" s="41"/>
      <c r="N513" s="41"/>
      <c r="O513" s="41"/>
      <c r="P513" s="41"/>
      <c r="Q513" s="41"/>
      <c r="R513" s="41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  <c r="BK513" s="41"/>
      <c r="BL513" s="41"/>
      <c r="BM513" s="41"/>
      <c r="BN513" s="41"/>
      <c r="BO513" s="41"/>
      <c r="BP513" s="41"/>
      <c r="BQ513" s="41"/>
      <c r="BR513" s="41"/>
      <c r="BS513" s="41"/>
      <c r="BT513" s="41"/>
      <c r="BU513" s="41"/>
      <c r="BV513" s="41"/>
      <c r="BW513" s="41"/>
      <c r="BX513" s="41"/>
      <c r="BY513" s="41"/>
      <c r="BZ513" s="41"/>
      <c r="CA513" s="41"/>
      <c r="CB513" s="41"/>
      <c r="CC513" s="41"/>
      <c r="CD513" s="41"/>
      <c r="CE513" s="41"/>
      <c r="CF513" s="41"/>
      <c r="CG513" s="41"/>
      <c r="CH513" s="41"/>
      <c r="CI513" s="41"/>
      <c r="CJ513" s="41"/>
      <c r="CK513" s="41"/>
    </row>
    <row r="514" spans="1:89" s="51" customFormat="1" ht="33" customHeight="1">
      <c r="A514" s="74"/>
      <c r="B514" s="74"/>
      <c r="C514" s="74"/>
      <c r="D514" s="74"/>
      <c r="E514" s="74"/>
      <c r="F514" s="74"/>
      <c r="G514" s="75"/>
      <c r="H514" s="76"/>
      <c r="I514" s="52"/>
      <c r="J514" s="52"/>
      <c r="K514" s="52"/>
      <c r="L514" s="41"/>
      <c r="M514" s="41"/>
      <c r="N514" s="41"/>
      <c r="O514" s="41"/>
      <c r="P514" s="41"/>
      <c r="Q514" s="41"/>
      <c r="R514" s="41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  <c r="BV514" s="41"/>
      <c r="BW514" s="41"/>
      <c r="BX514" s="41"/>
      <c r="BY514" s="41"/>
      <c r="BZ514" s="41"/>
      <c r="CA514" s="41"/>
      <c r="CB514" s="41"/>
      <c r="CC514" s="41"/>
      <c r="CD514" s="41"/>
      <c r="CE514" s="41"/>
      <c r="CF514" s="41"/>
      <c r="CG514" s="41"/>
      <c r="CH514" s="41"/>
      <c r="CI514" s="41"/>
      <c r="CJ514" s="41"/>
      <c r="CK514" s="41"/>
    </row>
    <row r="515" spans="1:89" s="51" customFormat="1" ht="33" customHeight="1">
      <c r="A515" s="74"/>
      <c r="B515" s="74"/>
      <c r="C515" s="74"/>
      <c r="D515" s="74"/>
      <c r="E515" s="74"/>
      <c r="F515" s="74"/>
      <c r="G515" s="75"/>
      <c r="H515" s="76"/>
      <c r="I515" s="52"/>
      <c r="J515" s="52"/>
      <c r="K515" s="52"/>
      <c r="L515" s="41"/>
      <c r="M515" s="41"/>
      <c r="N515" s="41"/>
      <c r="O515" s="41"/>
      <c r="P515" s="41"/>
      <c r="Q515" s="41"/>
      <c r="R515" s="41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  <c r="BV515" s="41"/>
      <c r="BW515" s="41"/>
      <c r="BX515" s="41"/>
      <c r="BY515" s="41"/>
      <c r="BZ515" s="41"/>
      <c r="CA515" s="41"/>
      <c r="CB515" s="41"/>
      <c r="CC515" s="41"/>
      <c r="CD515" s="41"/>
      <c r="CE515" s="41"/>
      <c r="CF515" s="41"/>
      <c r="CG515" s="41"/>
      <c r="CH515" s="41"/>
      <c r="CI515" s="41"/>
      <c r="CJ515" s="41"/>
      <c r="CK515" s="41"/>
    </row>
    <row r="516" spans="1:89" s="51" customFormat="1" ht="33" customHeight="1">
      <c r="A516" s="74"/>
      <c r="B516" s="74"/>
      <c r="C516" s="74"/>
      <c r="D516" s="74"/>
      <c r="E516" s="74"/>
      <c r="F516" s="74"/>
      <c r="G516" s="75"/>
      <c r="H516" s="76"/>
      <c r="I516" s="52"/>
      <c r="J516" s="52"/>
      <c r="K516" s="52"/>
      <c r="L516" s="41"/>
      <c r="M516" s="41"/>
      <c r="N516" s="41"/>
      <c r="O516" s="41"/>
      <c r="P516" s="41"/>
      <c r="Q516" s="41"/>
      <c r="R516" s="41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  <c r="BK516" s="41"/>
      <c r="BL516" s="41"/>
      <c r="BM516" s="41"/>
      <c r="BN516" s="41"/>
      <c r="BO516" s="41"/>
      <c r="BP516" s="41"/>
      <c r="BQ516" s="41"/>
      <c r="BR516" s="41"/>
      <c r="BS516" s="41"/>
      <c r="BT516" s="41"/>
      <c r="BU516" s="41"/>
      <c r="BV516" s="41"/>
      <c r="BW516" s="41"/>
      <c r="BX516" s="41"/>
      <c r="BY516" s="41"/>
      <c r="BZ516" s="41"/>
      <c r="CA516" s="41"/>
      <c r="CB516" s="41"/>
      <c r="CC516" s="41"/>
      <c r="CD516" s="41"/>
      <c r="CE516" s="41"/>
      <c r="CF516" s="41"/>
      <c r="CG516" s="41"/>
      <c r="CH516" s="41"/>
      <c r="CI516" s="41"/>
      <c r="CJ516" s="41"/>
      <c r="CK516" s="41"/>
    </row>
    <row r="517" spans="1:89" s="51" customFormat="1" ht="33" customHeight="1">
      <c r="A517" s="74"/>
      <c r="B517" s="74"/>
      <c r="C517" s="74"/>
      <c r="D517" s="74"/>
      <c r="E517" s="74"/>
      <c r="F517" s="74"/>
      <c r="G517" s="75"/>
      <c r="H517" s="76"/>
      <c r="I517" s="52"/>
      <c r="J517" s="52"/>
      <c r="K517" s="52"/>
      <c r="L517" s="41"/>
      <c r="M517" s="41"/>
      <c r="N517" s="41"/>
      <c r="O517" s="41"/>
      <c r="P517" s="41"/>
      <c r="Q517" s="41"/>
      <c r="R517" s="41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  <c r="BL517" s="41"/>
      <c r="BM517" s="41"/>
      <c r="BN517" s="41"/>
      <c r="BO517" s="41"/>
      <c r="BP517" s="41"/>
      <c r="BQ517" s="41"/>
      <c r="BR517" s="41"/>
      <c r="BS517" s="41"/>
      <c r="BT517" s="41"/>
      <c r="BU517" s="41"/>
      <c r="BV517" s="41"/>
      <c r="BW517" s="41"/>
      <c r="BX517" s="41"/>
      <c r="BY517" s="41"/>
      <c r="BZ517" s="41"/>
      <c r="CA517" s="41"/>
      <c r="CB517" s="41"/>
      <c r="CC517" s="41"/>
      <c r="CD517" s="41"/>
      <c r="CE517" s="41"/>
      <c r="CF517" s="41"/>
      <c r="CG517" s="41"/>
      <c r="CH517" s="41"/>
      <c r="CI517" s="41"/>
      <c r="CJ517" s="41"/>
      <c r="CK517" s="41"/>
    </row>
    <row r="518" spans="1:89" s="51" customFormat="1" ht="33" customHeight="1">
      <c r="A518" s="74"/>
      <c r="B518" s="74"/>
      <c r="C518" s="74"/>
      <c r="D518" s="74"/>
      <c r="E518" s="74"/>
      <c r="F518" s="74"/>
      <c r="G518" s="75"/>
      <c r="H518" s="76"/>
      <c r="I518" s="52"/>
      <c r="J518" s="52"/>
      <c r="K518" s="52"/>
      <c r="L518" s="41"/>
      <c r="M518" s="41"/>
      <c r="N518" s="41"/>
      <c r="O518" s="41"/>
      <c r="P518" s="41"/>
      <c r="Q518" s="41"/>
      <c r="R518" s="41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  <c r="BL518" s="41"/>
      <c r="BM518" s="41"/>
      <c r="BN518" s="41"/>
      <c r="BO518" s="41"/>
      <c r="BP518" s="41"/>
      <c r="BQ518" s="41"/>
      <c r="BR518" s="41"/>
      <c r="BS518" s="41"/>
      <c r="BT518" s="41"/>
      <c r="BU518" s="41"/>
      <c r="BV518" s="41"/>
      <c r="BW518" s="41"/>
      <c r="BX518" s="41"/>
      <c r="BY518" s="41"/>
      <c r="BZ518" s="41"/>
      <c r="CA518" s="41"/>
      <c r="CB518" s="41"/>
      <c r="CC518" s="41"/>
      <c r="CD518" s="41"/>
      <c r="CE518" s="41"/>
      <c r="CF518" s="41"/>
      <c r="CG518" s="41"/>
      <c r="CH518" s="41"/>
      <c r="CI518" s="41"/>
      <c r="CJ518" s="41"/>
      <c r="CK518" s="41"/>
    </row>
    <row r="519" spans="1:89" s="51" customFormat="1" ht="33" customHeight="1">
      <c r="A519" s="74"/>
      <c r="B519" s="74"/>
      <c r="C519" s="74"/>
      <c r="D519" s="74"/>
      <c r="E519" s="74"/>
      <c r="F519" s="74"/>
      <c r="G519" s="75"/>
      <c r="H519" s="76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  <c r="BE519" s="53"/>
      <c r="BF519" s="53"/>
      <c r="BG519" s="53"/>
      <c r="BH519" s="53"/>
      <c r="BI519" s="53"/>
      <c r="BJ519" s="53"/>
      <c r="BK519" s="53"/>
      <c r="BL519" s="53"/>
      <c r="BM519" s="53"/>
      <c r="BN519" s="53"/>
      <c r="BO519" s="53"/>
      <c r="BP519" s="53"/>
      <c r="BQ519" s="53"/>
      <c r="BR519" s="53"/>
      <c r="BS519" s="53"/>
      <c r="BT519" s="53"/>
      <c r="BU519" s="53"/>
      <c r="BV519" s="53"/>
      <c r="BW519" s="53"/>
      <c r="BX519" s="53"/>
      <c r="BY519" s="53"/>
      <c r="BZ519" s="53"/>
      <c r="CA519" s="53"/>
      <c r="CB519" s="53"/>
      <c r="CC519" s="53"/>
      <c r="CD519" s="53"/>
      <c r="CE519" s="53"/>
      <c r="CF519" s="53"/>
      <c r="CG519" s="53"/>
      <c r="CH519" s="53"/>
      <c r="CI519" s="53"/>
      <c r="CJ519" s="53"/>
      <c r="CK519" s="53"/>
    </row>
    <row r="520" spans="1:89" s="51" customFormat="1" ht="33" customHeight="1">
      <c r="A520" s="74"/>
      <c r="B520" s="74"/>
      <c r="C520" s="74"/>
      <c r="D520" s="74"/>
      <c r="E520" s="74"/>
      <c r="F520" s="74"/>
      <c r="G520" s="75"/>
      <c r="H520" s="76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  <c r="BE520" s="53"/>
      <c r="BF520" s="53"/>
      <c r="BG520" s="53"/>
      <c r="BH520" s="53"/>
      <c r="BI520" s="53"/>
      <c r="BJ520" s="53"/>
      <c r="BK520" s="53"/>
      <c r="BL520" s="53"/>
      <c r="BM520" s="53"/>
      <c r="BN520" s="53"/>
      <c r="BO520" s="53"/>
      <c r="BP520" s="53"/>
      <c r="BQ520" s="53"/>
      <c r="BR520" s="53"/>
      <c r="BS520" s="53"/>
      <c r="BT520" s="53"/>
      <c r="BU520" s="53"/>
      <c r="BV520" s="53"/>
      <c r="BW520" s="53"/>
      <c r="BX520" s="53"/>
      <c r="BY520" s="53"/>
      <c r="BZ520" s="53"/>
      <c r="CA520" s="53"/>
      <c r="CB520" s="53"/>
      <c r="CC520" s="53"/>
      <c r="CD520" s="53"/>
      <c r="CE520" s="53"/>
      <c r="CF520" s="53"/>
      <c r="CG520" s="53"/>
      <c r="CH520" s="53"/>
      <c r="CI520" s="53"/>
      <c r="CJ520" s="53"/>
      <c r="CK520" s="53"/>
    </row>
    <row r="521" spans="1:89" s="51" customFormat="1" ht="33" customHeight="1">
      <c r="A521" s="74"/>
      <c r="B521" s="74"/>
      <c r="C521" s="74"/>
      <c r="D521" s="74"/>
      <c r="E521" s="74"/>
      <c r="F521" s="74"/>
      <c r="G521" s="75"/>
      <c r="H521" s="76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  <c r="BE521" s="53"/>
      <c r="BF521" s="53"/>
      <c r="BG521" s="53"/>
      <c r="BH521" s="53"/>
      <c r="BI521" s="53"/>
      <c r="BJ521" s="53"/>
      <c r="BK521" s="53"/>
      <c r="BL521" s="53"/>
      <c r="BM521" s="53"/>
      <c r="BN521" s="53"/>
      <c r="BO521" s="53"/>
      <c r="BP521" s="53"/>
      <c r="BQ521" s="53"/>
      <c r="BR521" s="53"/>
      <c r="BS521" s="53"/>
      <c r="BT521" s="53"/>
      <c r="BU521" s="53"/>
      <c r="BV521" s="53"/>
      <c r="BW521" s="53"/>
      <c r="BX521" s="53"/>
      <c r="BY521" s="53"/>
      <c r="BZ521" s="53"/>
      <c r="CA521" s="53"/>
      <c r="CB521" s="53"/>
      <c r="CC521" s="53"/>
      <c r="CD521" s="53"/>
      <c r="CE521" s="53"/>
      <c r="CF521" s="53"/>
      <c r="CG521" s="53"/>
      <c r="CH521" s="53"/>
      <c r="CI521" s="53"/>
      <c r="CJ521" s="53"/>
      <c r="CK521" s="53"/>
    </row>
    <row r="522" spans="1:89" s="51" customFormat="1" ht="33" customHeight="1">
      <c r="A522" s="74"/>
      <c r="B522" s="74"/>
      <c r="C522" s="74"/>
      <c r="D522" s="74"/>
      <c r="E522" s="74"/>
      <c r="F522" s="74"/>
      <c r="G522" s="75"/>
      <c r="H522" s="76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  <c r="BE522" s="53"/>
      <c r="BF522" s="53"/>
      <c r="BG522" s="53"/>
      <c r="BH522" s="53"/>
      <c r="BI522" s="53"/>
      <c r="BJ522" s="53"/>
      <c r="BK522" s="53"/>
      <c r="BL522" s="53"/>
      <c r="BM522" s="53"/>
      <c r="BN522" s="53"/>
      <c r="BO522" s="53"/>
      <c r="BP522" s="53"/>
      <c r="BQ522" s="53"/>
      <c r="BR522" s="53"/>
      <c r="BS522" s="53"/>
      <c r="BT522" s="53"/>
      <c r="BU522" s="53"/>
      <c r="BV522" s="53"/>
      <c r="BW522" s="53"/>
      <c r="BX522" s="53"/>
      <c r="BY522" s="53"/>
      <c r="BZ522" s="53"/>
      <c r="CA522" s="53"/>
      <c r="CB522" s="53"/>
      <c r="CC522" s="53"/>
      <c r="CD522" s="53"/>
      <c r="CE522" s="53"/>
      <c r="CF522" s="53"/>
      <c r="CG522" s="53"/>
      <c r="CH522" s="53"/>
      <c r="CI522" s="53"/>
      <c r="CJ522" s="53"/>
      <c r="CK522" s="53"/>
    </row>
    <row r="523" spans="1:89" s="51" customFormat="1" ht="33" customHeight="1">
      <c r="A523" s="74"/>
      <c r="B523" s="74"/>
      <c r="C523" s="74"/>
      <c r="D523" s="74"/>
      <c r="E523" s="74"/>
      <c r="F523" s="74"/>
      <c r="G523" s="75"/>
      <c r="H523" s="76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  <c r="BE523" s="53"/>
      <c r="BF523" s="53"/>
      <c r="BG523" s="53"/>
      <c r="BH523" s="53"/>
      <c r="BI523" s="53"/>
      <c r="BJ523" s="53"/>
      <c r="BK523" s="53"/>
      <c r="BL523" s="53"/>
      <c r="BM523" s="53"/>
      <c r="BN523" s="53"/>
      <c r="BO523" s="53"/>
      <c r="BP523" s="53"/>
      <c r="BQ523" s="53"/>
      <c r="BR523" s="53"/>
      <c r="BS523" s="53"/>
      <c r="BT523" s="53"/>
      <c r="BU523" s="53"/>
      <c r="BV523" s="53"/>
      <c r="BW523" s="53"/>
      <c r="BX523" s="53"/>
      <c r="BY523" s="53"/>
      <c r="BZ523" s="53"/>
      <c r="CA523" s="53"/>
      <c r="CB523" s="53"/>
      <c r="CC523" s="53"/>
      <c r="CD523" s="53"/>
      <c r="CE523" s="53"/>
      <c r="CF523" s="53"/>
      <c r="CG523" s="53"/>
      <c r="CH523" s="53"/>
      <c r="CI523" s="53"/>
      <c r="CJ523" s="53"/>
      <c r="CK523" s="53"/>
    </row>
    <row r="524" spans="1:89" s="51" customFormat="1" ht="33" customHeight="1">
      <c r="A524" s="74"/>
      <c r="B524" s="74"/>
      <c r="C524" s="74"/>
      <c r="D524" s="74"/>
      <c r="E524" s="74"/>
      <c r="F524" s="74"/>
      <c r="G524" s="75"/>
      <c r="H524" s="76"/>
      <c r="I524" s="52"/>
      <c r="J524" s="52"/>
      <c r="K524" s="52"/>
      <c r="L524" s="41"/>
      <c r="M524" s="41"/>
      <c r="N524" s="41"/>
      <c r="O524" s="41"/>
      <c r="P524" s="41"/>
      <c r="Q524" s="41"/>
      <c r="R524" s="41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  <c r="BL524" s="41"/>
      <c r="BM524" s="41"/>
      <c r="BN524" s="41"/>
      <c r="BO524" s="41"/>
      <c r="BP524" s="41"/>
      <c r="BQ524" s="41"/>
      <c r="BR524" s="41"/>
      <c r="BS524" s="41"/>
      <c r="BT524" s="41"/>
      <c r="BU524" s="41"/>
      <c r="BV524" s="41"/>
      <c r="BW524" s="41"/>
      <c r="BX524" s="41"/>
      <c r="BY524" s="41"/>
      <c r="BZ524" s="41"/>
      <c r="CA524" s="41"/>
      <c r="CB524" s="41"/>
      <c r="CC524" s="41"/>
      <c r="CD524" s="41"/>
      <c r="CE524" s="41"/>
      <c r="CF524" s="41"/>
      <c r="CG524" s="41"/>
      <c r="CH524" s="41"/>
      <c r="CI524" s="41"/>
      <c r="CJ524" s="41"/>
      <c r="CK524" s="41"/>
    </row>
    <row r="525" spans="1:89" s="51" customFormat="1" ht="33" customHeight="1">
      <c r="A525" s="74"/>
      <c r="B525" s="74"/>
      <c r="C525" s="74"/>
      <c r="D525" s="74"/>
      <c r="E525" s="74"/>
      <c r="F525" s="74"/>
      <c r="G525" s="75"/>
      <c r="H525" s="76"/>
      <c r="I525" s="52"/>
      <c r="J525" s="52"/>
      <c r="K525" s="52"/>
      <c r="L525" s="41"/>
      <c r="M525" s="41"/>
      <c r="N525" s="41"/>
      <c r="O525" s="41"/>
      <c r="P525" s="41"/>
      <c r="Q525" s="41"/>
      <c r="R525" s="41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41"/>
      <c r="BO525" s="41"/>
      <c r="BP525" s="41"/>
      <c r="BQ525" s="41"/>
      <c r="BR525" s="41"/>
      <c r="BS525" s="41"/>
      <c r="BT525" s="41"/>
      <c r="BU525" s="41"/>
      <c r="BV525" s="41"/>
      <c r="BW525" s="41"/>
      <c r="BX525" s="41"/>
      <c r="BY525" s="41"/>
      <c r="BZ525" s="41"/>
      <c r="CA525" s="41"/>
      <c r="CB525" s="41"/>
      <c r="CC525" s="41"/>
      <c r="CD525" s="41"/>
      <c r="CE525" s="41"/>
      <c r="CF525" s="41"/>
      <c r="CG525" s="41"/>
      <c r="CH525" s="41"/>
      <c r="CI525" s="41"/>
      <c r="CJ525" s="41"/>
      <c r="CK525" s="41"/>
    </row>
    <row r="526" spans="1:89" s="51" customFormat="1" ht="33" customHeight="1">
      <c r="A526" s="74"/>
      <c r="B526" s="74"/>
      <c r="C526" s="74"/>
      <c r="D526" s="74"/>
      <c r="E526" s="74"/>
      <c r="F526" s="74"/>
      <c r="G526" s="75"/>
      <c r="H526" s="76"/>
      <c r="I526" s="52"/>
      <c r="J526" s="52"/>
      <c r="K526" s="52"/>
      <c r="L526" s="41"/>
      <c r="M526" s="41"/>
      <c r="N526" s="41"/>
      <c r="O526" s="41"/>
      <c r="P526" s="41"/>
      <c r="Q526" s="41"/>
      <c r="R526" s="41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  <c r="BL526" s="41"/>
      <c r="BM526" s="41"/>
      <c r="BN526" s="41"/>
      <c r="BO526" s="41"/>
      <c r="BP526" s="41"/>
      <c r="BQ526" s="41"/>
      <c r="BR526" s="41"/>
      <c r="BS526" s="41"/>
      <c r="BT526" s="41"/>
      <c r="BU526" s="41"/>
      <c r="BV526" s="41"/>
      <c r="BW526" s="41"/>
      <c r="BX526" s="41"/>
      <c r="BY526" s="41"/>
      <c r="BZ526" s="41"/>
      <c r="CA526" s="41"/>
      <c r="CB526" s="41"/>
      <c r="CC526" s="41"/>
      <c r="CD526" s="41"/>
      <c r="CE526" s="41"/>
      <c r="CF526" s="41"/>
      <c r="CG526" s="41"/>
      <c r="CH526" s="41"/>
      <c r="CI526" s="41"/>
      <c r="CJ526" s="41"/>
      <c r="CK526" s="41"/>
    </row>
    <row r="527" spans="1:89" s="51" customFormat="1" ht="33" customHeight="1">
      <c r="A527" s="74"/>
      <c r="B527" s="74"/>
      <c r="C527" s="74"/>
      <c r="D527" s="74"/>
      <c r="E527" s="74"/>
      <c r="F527" s="74"/>
      <c r="G527" s="75"/>
      <c r="H527" s="76"/>
      <c r="I527" s="52"/>
      <c r="J527" s="52"/>
      <c r="K527" s="52"/>
      <c r="L527" s="41"/>
      <c r="M527" s="41"/>
      <c r="N527" s="41"/>
      <c r="O527" s="41"/>
      <c r="P527" s="41"/>
      <c r="Q527" s="41"/>
      <c r="R527" s="41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41"/>
      <c r="BO527" s="41"/>
      <c r="BP527" s="41"/>
      <c r="BQ527" s="41"/>
      <c r="BR527" s="41"/>
      <c r="BS527" s="41"/>
      <c r="BT527" s="41"/>
      <c r="BU527" s="41"/>
      <c r="BV527" s="41"/>
      <c r="BW527" s="41"/>
      <c r="BX527" s="41"/>
      <c r="BY527" s="41"/>
      <c r="BZ527" s="41"/>
      <c r="CA527" s="41"/>
      <c r="CB527" s="41"/>
      <c r="CC527" s="41"/>
      <c r="CD527" s="41"/>
      <c r="CE527" s="41"/>
      <c r="CF527" s="41"/>
      <c r="CG527" s="41"/>
      <c r="CH527" s="41"/>
      <c r="CI527" s="41"/>
      <c r="CJ527" s="41"/>
      <c r="CK527" s="41"/>
    </row>
    <row r="528" spans="1:89" s="51" customFormat="1" ht="33" customHeight="1">
      <c r="A528" s="74"/>
      <c r="B528" s="74"/>
      <c r="C528" s="74"/>
      <c r="D528" s="74"/>
      <c r="E528" s="74"/>
      <c r="F528" s="74"/>
      <c r="G528" s="75"/>
      <c r="H528" s="76"/>
      <c r="I528" s="52"/>
      <c r="J528" s="52"/>
      <c r="K528" s="52"/>
      <c r="L528" s="41"/>
      <c r="M528" s="41"/>
      <c r="N528" s="41"/>
      <c r="O528" s="41"/>
      <c r="P528" s="41"/>
      <c r="Q528" s="41"/>
      <c r="R528" s="41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  <c r="BL528" s="41"/>
      <c r="BM528" s="41"/>
      <c r="BN528" s="41"/>
      <c r="BO528" s="41"/>
      <c r="BP528" s="41"/>
      <c r="BQ528" s="41"/>
      <c r="BR528" s="41"/>
      <c r="BS528" s="41"/>
      <c r="BT528" s="41"/>
      <c r="BU528" s="41"/>
      <c r="BV528" s="41"/>
      <c r="BW528" s="41"/>
      <c r="BX528" s="41"/>
      <c r="BY528" s="41"/>
      <c r="BZ528" s="41"/>
      <c r="CA528" s="41"/>
      <c r="CB528" s="41"/>
      <c r="CC528" s="41"/>
      <c r="CD528" s="41"/>
      <c r="CE528" s="41"/>
      <c r="CF528" s="41"/>
      <c r="CG528" s="41"/>
      <c r="CH528" s="41"/>
      <c r="CI528" s="41"/>
      <c r="CJ528" s="41"/>
      <c r="CK528" s="41"/>
    </row>
    <row r="529" spans="1:89" s="51" customFormat="1" ht="33" customHeight="1">
      <c r="A529" s="74"/>
      <c r="B529" s="74"/>
      <c r="C529" s="74"/>
      <c r="D529" s="74"/>
      <c r="E529" s="74"/>
      <c r="F529" s="74"/>
      <c r="G529" s="75"/>
      <c r="H529" s="76"/>
      <c r="I529" s="52"/>
      <c r="J529" s="52"/>
      <c r="K529" s="52"/>
      <c r="L529" s="41"/>
      <c r="M529" s="41"/>
      <c r="N529" s="41"/>
      <c r="O529" s="41"/>
      <c r="P529" s="41"/>
      <c r="Q529" s="41"/>
      <c r="R529" s="41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  <c r="BK529" s="41"/>
      <c r="BL529" s="41"/>
      <c r="BM529" s="41"/>
      <c r="BN529" s="41"/>
      <c r="BO529" s="41"/>
      <c r="BP529" s="41"/>
      <c r="BQ529" s="41"/>
      <c r="BR529" s="41"/>
      <c r="BS529" s="41"/>
      <c r="BT529" s="41"/>
      <c r="BU529" s="41"/>
      <c r="BV529" s="41"/>
      <c r="BW529" s="41"/>
      <c r="BX529" s="41"/>
      <c r="BY529" s="41"/>
      <c r="BZ529" s="41"/>
      <c r="CA529" s="41"/>
      <c r="CB529" s="41"/>
      <c r="CC529" s="41"/>
      <c r="CD529" s="41"/>
      <c r="CE529" s="41"/>
      <c r="CF529" s="41"/>
      <c r="CG529" s="41"/>
      <c r="CH529" s="41"/>
      <c r="CI529" s="41"/>
      <c r="CJ529" s="41"/>
      <c r="CK529" s="41"/>
    </row>
    <row r="530" spans="1:89" s="51" customFormat="1" ht="33" customHeight="1">
      <c r="A530" s="74"/>
      <c r="B530" s="74"/>
      <c r="C530" s="74"/>
      <c r="D530" s="74"/>
      <c r="E530" s="74"/>
      <c r="F530" s="74"/>
      <c r="G530" s="75"/>
      <c r="H530" s="76"/>
      <c r="I530" s="52"/>
      <c r="J530" s="52"/>
      <c r="K530" s="52"/>
      <c r="L530" s="41"/>
      <c r="M530" s="41"/>
      <c r="N530" s="41"/>
      <c r="O530" s="41"/>
      <c r="P530" s="41"/>
      <c r="Q530" s="41"/>
      <c r="R530" s="41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  <c r="BK530" s="41"/>
      <c r="BL530" s="41"/>
      <c r="BM530" s="41"/>
      <c r="BN530" s="41"/>
      <c r="BO530" s="41"/>
      <c r="BP530" s="41"/>
      <c r="BQ530" s="41"/>
      <c r="BR530" s="41"/>
      <c r="BS530" s="41"/>
      <c r="BT530" s="41"/>
      <c r="BU530" s="41"/>
      <c r="BV530" s="41"/>
      <c r="BW530" s="41"/>
      <c r="BX530" s="41"/>
      <c r="BY530" s="41"/>
      <c r="BZ530" s="41"/>
      <c r="CA530" s="41"/>
      <c r="CB530" s="41"/>
      <c r="CC530" s="41"/>
      <c r="CD530" s="41"/>
      <c r="CE530" s="41"/>
      <c r="CF530" s="41"/>
      <c r="CG530" s="41"/>
      <c r="CH530" s="41"/>
      <c r="CI530" s="41"/>
      <c r="CJ530" s="41"/>
      <c r="CK530" s="41"/>
    </row>
    <row r="531" spans="1:89" s="51" customFormat="1" ht="33" customHeight="1">
      <c r="A531" s="74"/>
      <c r="B531" s="74"/>
      <c r="C531" s="74"/>
      <c r="D531" s="74"/>
      <c r="E531" s="74"/>
      <c r="F531" s="74"/>
      <c r="G531" s="75"/>
      <c r="H531" s="76"/>
      <c r="I531" s="52"/>
      <c r="J531" s="52"/>
      <c r="K531" s="52"/>
      <c r="L531" s="41"/>
      <c r="M531" s="41"/>
      <c r="N531" s="41"/>
      <c r="O531" s="41"/>
      <c r="P531" s="41"/>
      <c r="Q531" s="41"/>
      <c r="R531" s="41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  <c r="BK531" s="41"/>
      <c r="BL531" s="41"/>
      <c r="BM531" s="41"/>
      <c r="BN531" s="41"/>
      <c r="BO531" s="41"/>
      <c r="BP531" s="41"/>
      <c r="BQ531" s="41"/>
      <c r="BR531" s="41"/>
      <c r="BS531" s="41"/>
      <c r="BT531" s="41"/>
      <c r="BU531" s="41"/>
      <c r="BV531" s="41"/>
      <c r="BW531" s="41"/>
      <c r="BX531" s="41"/>
      <c r="BY531" s="41"/>
      <c r="BZ531" s="41"/>
      <c r="CA531" s="41"/>
      <c r="CB531" s="41"/>
      <c r="CC531" s="41"/>
      <c r="CD531" s="41"/>
      <c r="CE531" s="41"/>
      <c r="CF531" s="41"/>
      <c r="CG531" s="41"/>
      <c r="CH531" s="41"/>
      <c r="CI531" s="41"/>
      <c r="CJ531" s="41"/>
      <c r="CK531" s="41"/>
    </row>
    <row r="532" spans="1:89" s="51" customFormat="1" ht="33" customHeight="1">
      <c r="A532" s="74"/>
      <c r="B532" s="74"/>
      <c r="C532" s="74"/>
      <c r="D532" s="74"/>
      <c r="E532" s="74"/>
      <c r="F532" s="74"/>
      <c r="G532" s="75"/>
      <c r="H532" s="76"/>
      <c r="I532" s="52"/>
      <c r="J532" s="52"/>
      <c r="K532" s="52"/>
      <c r="L532" s="41"/>
      <c r="M532" s="41"/>
      <c r="N532" s="41"/>
      <c r="O532" s="41"/>
      <c r="P532" s="41"/>
      <c r="Q532" s="41"/>
      <c r="R532" s="41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1"/>
      <c r="BX532" s="41"/>
      <c r="BY532" s="41"/>
      <c r="BZ532" s="41"/>
      <c r="CA532" s="41"/>
      <c r="CB532" s="41"/>
      <c r="CC532" s="41"/>
      <c r="CD532" s="41"/>
      <c r="CE532" s="41"/>
      <c r="CF532" s="41"/>
      <c r="CG532" s="41"/>
      <c r="CH532" s="41"/>
      <c r="CI532" s="41"/>
      <c r="CJ532" s="41"/>
      <c r="CK532" s="41"/>
    </row>
    <row r="533" spans="1:89" s="51" customFormat="1" ht="33" customHeight="1">
      <c r="A533" s="74"/>
      <c r="B533" s="74"/>
      <c r="C533" s="74"/>
      <c r="D533" s="74"/>
      <c r="E533" s="74"/>
      <c r="F533" s="74"/>
      <c r="G533" s="75"/>
      <c r="H533" s="76"/>
      <c r="I533" s="52"/>
      <c r="J533" s="52"/>
      <c r="K533" s="52"/>
      <c r="L533" s="41"/>
      <c r="M533" s="41"/>
      <c r="N533" s="41"/>
      <c r="O533" s="41"/>
      <c r="P533" s="41"/>
      <c r="Q533" s="41"/>
      <c r="R533" s="41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  <c r="BK533" s="41"/>
      <c r="BL533" s="41"/>
      <c r="BM533" s="41"/>
      <c r="BN533" s="41"/>
      <c r="BO533" s="41"/>
      <c r="BP533" s="41"/>
      <c r="BQ533" s="41"/>
      <c r="BR533" s="41"/>
      <c r="BS533" s="41"/>
      <c r="BT533" s="41"/>
      <c r="BU533" s="41"/>
      <c r="BV533" s="41"/>
      <c r="BW533" s="41"/>
      <c r="BX533" s="41"/>
      <c r="BY533" s="41"/>
      <c r="BZ533" s="41"/>
      <c r="CA533" s="41"/>
      <c r="CB533" s="41"/>
      <c r="CC533" s="41"/>
      <c r="CD533" s="41"/>
      <c r="CE533" s="41"/>
      <c r="CF533" s="41"/>
      <c r="CG533" s="41"/>
      <c r="CH533" s="41"/>
      <c r="CI533" s="41"/>
      <c r="CJ533" s="41"/>
      <c r="CK533" s="41"/>
    </row>
    <row r="534" spans="1:89" s="51" customFormat="1" ht="33" customHeight="1">
      <c r="A534" s="74"/>
      <c r="B534" s="74"/>
      <c r="C534" s="74"/>
      <c r="D534" s="74"/>
      <c r="E534" s="74"/>
      <c r="F534" s="74"/>
      <c r="G534" s="75"/>
      <c r="H534" s="76"/>
      <c r="I534" s="52"/>
      <c r="J534" s="52"/>
      <c r="K534" s="52"/>
      <c r="L534" s="41"/>
      <c r="M534" s="41"/>
      <c r="N534" s="41"/>
      <c r="O534" s="41"/>
      <c r="P534" s="41"/>
      <c r="Q534" s="41"/>
      <c r="R534" s="41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  <c r="BK534" s="41"/>
      <c r="BL534" s="41"/>
      <c r="BM534" s="41"/>
      <c r="BN534" s="41"/>
      <c r="BO534" s="41"/>
      <c r="BP534" s="41"/>
      <c r="BQ534" s="41"/>
      <c r="BR534" s="41"/>
      <c r="BS534" s="41"/>
      <c r="BT534" s="41"/>
      <c r="BU534" s="41"/>
      <c r="BV534" s="41"/>
      <c r="BW534" s="41"/>
      <c r="BX534" s="41"/>
      <c r="BY534" s="41"/>
      <c r="BZ534" s="41"/>
      <c r="CA534" s="41"/>
      <c r="CB534" s="41"/>
      <c r="CC534" s="41"/>
      <c r="CD534" s="41"/>
      <c r="CE534" s="41"/>
      <c r="CF534" s="41"/>
      <c r="CG534" s="41"/>
      <c r="CH534" s="41"/>
      <c r="CI534" s="41"/>
      <c r="CJ534" s="41"/>
      <c r="CK534" s="41"/>
    </row>
    <row r="535" spans="1:89" s="51" customFormat="1" ht="33" customHeight="1">
      <c r="A535" s="74"/>
      <c r="B535" s="74"/>
      <c r="C535" s="74"/>
      <c r="D535" s="74"/>
      <c r="E535" s="74"/>
      <c r="F535" s="74"/>
      <c r="G535" s="75"/>
      <c r="H535" s="76"/>
      <c r="I535" s="52"/>
      <c r="J535" s="52"/>
      <c r="K535" s="52"/>
      <c r="L535" s="41"/>
      <c r="M535" s="41"/>
      <c r="N535" s="41"/>
      <c r="O535" s="41"/>
      <c r="P535" s="41"/>
      <c r="Q535" s="41"/>
      <c r="R535" s="41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  <c r="BL535" s="41"/>
      <c r="BM535" s="41"/>
      <c r="BN535" s="41"/>
      <c r="BO535" s="41"/>
      <c r="BP535" s="41"/>
      <c r="BQ535" s="41"/>
      <c r="BR535" s="41"/>
      <c r="BS535" s="41"/>
      <c r="BT535" s="41"/>
      <c r="BU535" s="41"/>
      <c r="BV535" s="41"/>
      <c r="BW535" s="41"/>
      <c r="BX535" s="41"/>
      <c r="BY535" s="41"/>
      <c r="BZ535" s="41"/>
      <c r="CA535" s="41"/>
      <c r="CB535" s="41"/>
      <c r="CC535" s="41"/>
      <c r="CD535" s="41"/>
      <c r="CE535" s="41"/>
      <c r="CF535" s="41"/>
      <c r="CG535" s="41"/>
      <c r="CH535" s="41"/>
      <c r="CI535" s="41"/>
      <c r="CJ535" s="41"/>
      <c r="CK535" s="41"/>
    </row>
    <row r="536" spans="1:89" s="51" customFormat="1" ht="33" customHeight="1">
      <c r="A536" s="74"/>
      <c r="B536" s="74"/>
      <c r="C536" s="74"/>
      <c r="D536" s="74"/>
      <c r="E536" s="74"/>
      <c r="F536" s="74"/>
      <c r="G536" s="75"/>
      <c r="H536" s="76"/>
      <c r="I536" s="52"/>
      <c r="J536" s="52"/>
      <c r="K536" s="52"/>
      <c r="L536" s="41"/>
      <c r="M536" s="41"/>
      <c r="N536" s="41"/>
      <c r="O536" s="41"/>
      <c r="P536" s="41"/>
      <c r="Q536" s="41"/>
      <c r="R536" s="41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  <c r="BL536" s="41"/>
      <c r="BM536" s="41"/>
      <c r="BN536" s="41"/>
      <c r="BO536" s="41"/>
      <c r="BP536" s="41"/>
      <c r="BQ536" s="41"/>
      <c r="BR536" s="41"/>
      <c r="BS536" s="41"/>
      <c r="BT536" s="41"/>
      <c r="BU536" s="41"/>
      <c r="BV536" s="41"/>
      <c r="BW536" s="41"/>
      <c r="BX536" s="41"/>
      <c r="BY536" s="41"/>
      <c r="BZ536" s="41"/>
      <c r="CA536" s="41"/>
      <c r="CB536" s="41"/>
      <c r="CC536" s="41"/>
      <c r="CD536" s="41"/>
      <c r="CE536" s="41"/>
      <c r="CF536" s="41"/>
      <c r="CG536" s="41"/>
      <c r="CH536" s="41"/>
      <c r="CI536" s="41"/>
      <c r="CJ536" s="41"/>
      <c r="CK536" s="41"/>
    </row>
    <row r="537" spans="1:89" s="51" customFormat="1" ht="33" customHeight="1">
      <c r="A537" s="74"/>
      <c r="B537" s="74"/>
      <c r="C537" s="74"/>
      <c r="D537" s="74"/>
      <c r="E537" s="74"/>
      <c r="F537" s="74"/>
      <c r="G537" s="75"/>
      <c r="H537" s="76"/>
      <c r="I537" s="52"/>
      <c r="J537" s="52"/>
      <c r="K537" s="52"/>
      <c r="L537" s="41"/>
      <c r="M537" s="41"/>
      <c r="N537" s="41"/>
      <c r="O537" s="41"/>
      <c r="P537" s="41"/>
      <c r="Q537" s="41"/>
      <c r="R537" s="41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41"/>
      <c r="BO537" s="41"/>
      <c r="BP537" s="41"/>
      <c r="BQ537" s="41"/>
      <c r="BR537" s="41"/>
      <c r="BS537" s="41"/>
      <c r="BT537" s="41"/>
      <c r="BU537" s="41"/>
      <c r="BV537" s="41"/>
      <c r="BW537" s="41"/>
      <c r="BX537" s="41"/>
      <c r="BY537" s="41"/>
      <c r="BZ537" s="41"/>
      <c r="CA537" s="41"/>
      <c r="CB537" s="41"/>
      <c r="CC537" s="41"/>
      <c r="CD537" s="41"/>
      <c r="CE537" s="41"/>
      <c r="CF537" s="41"/>
      <c r="CG537" s="41"/>
      <c r="CH537" s="41"/>
      <c r="CI537" s="41"/>
      <c r="CJ537" s="41"/>
      <c r="CK537" s="41"/>
    </row>
    <row r="538" spans="1:89" s="51" customFormat="1" ht="33" customHeight="1">
      <c r="A538" s="74"/>
      <c r="B538" s="74"/>
      <c r="C538" s="74"/>
      <c r="D538" s="74"/>
      <c r="E538" s="74"/>
      <c r="F538" s="74"/>
      <c r="G538" s="75"/>
      <c r="H538" s="76"/>
      <c r="I538" s="52"/>
      <c r="J538" s="52"/>
      <c r="K538" s="52"/>
      <c r="L538" s="41"/>
      <c r="M538" s="41"/>
      <c r="N538" s="41"/>
      <c r="O538" s="41"/>
      <c r="P538" s="41"/>
      <c r="Q538" s="41"/>
      <c r="R538" s="41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/>
      <c r="BO538" s="41"/>
      <c r="BP538" s="41"/>
      <c r="BQ538" s="41"/>
      <c r="BR538" s="41"/>
      <c r="BS538" s="41"/>
      <c r="BT538" s="41"/>
      <c r="BU538" s="41"/>
      <c r="BV538" s="41"/>
      <c r="BW538" s="41"/>
      <c r="BX538" s="41"/>
      <c r="BY538" s="41"/>
      <c r="BZ538" s="41"/>
      <c r="CA538" s="41"/>
      <c r="CB538" s="41"/>
      <c r="CC538" s="41"/>
      <c r="CD538" s="41"/>
      <c r="CE538" s="41"/>
      <c r="CF538" s="41"/>
      <c r="CG538" s="41"/>
      <c r="CH538" s="41"/>
      <c r="CI538" s="41"/>
      <c r="CJ538" s="41"/>
      <c r="CK538" s="41"/>
    </row>
    <row r="539" spans="1:89" s="51" customFormat="1" ht="33" customHeight="1">
      <c r="A539" s="74"/>
      <c r="B539" s="74"/>
      <c r="C539" s="74"/>
      <c r="D539" s="74"/>
      <c r="E539" s="74"/>
      <c r="F539" s="74"/>
      <c r="G539" s="75"/>
      <c r="H539" s="76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53"/>
      <c r="BG539" s="53"/>
      <c r="BH539" s="53"/>
      <c r="BI539" s="53"/>
      <c r="BJ539" s="53"/>
      <c r="BK539" s="53"/>
      <c r="BL539" s="53"/>
      <c r="BM539" s="53"/>
      <c r="BN539" s="53"/>
      <c r="BO539" s="53"/>
      <c r="BP539" s="53"/>
      <c r="BQ539" s="53"/>
      <c r="BR539" s="53"/>
      <c r="BS539" s="53"/>
      <c r="BT539" s="53"/>
      <c r="BU539" s="53"/>
      <c r="BV539" s="53"/>
      <c r="BW539" s="53"/>
      <c r="BX539" s="53"/>
      <c r="BY539" s="53"/>
      <c r="BZ539" s="53"/>
      <c r="CA539" s="53"/>
      <c r="CB539" s="53"/>
      <c r="CC539" s="53"/>
      <c r="CD539" s="53"/>
      <c r="CE539" s="53"/>
      <c r="CF539" s="53"/>
      <c r="CG539" s="53"/>
      <c r="CH539" s="53"/>
      <c r="CI539" s="53"/>
      <c r="CJ539" s="53"/>
      <c r="CK539" s="53"/>
    </row>
    <row r="540" spans="1:89" s="51" customFormat="1" ht="33" customHeight="1">
      <c r="A540" s="74"/>
      <c r="B540" s="74"/>
      <c r="C540" s="74"/>
      <c r="D540" s="74"/>
      <c r="E540" s="74"/>
      <c r="F540" s="74"/>
      <c r="G540" s="75"/>
      <c r="H540" s="76"/>
      <c r="I540" s="52"/>
      <c r="J540" s="52"/>
      <c r="K540" s="52"/>
      <c r="L540" s="41"/>
      <c r="M540" s="41"/>
      <c r="N540" s="41"/>
      <c r="O540" s="41"/>
      <c r="P540" s="41"/>
      <c r="Q540" s="41"/>
      <c r="R540" s="41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  <c r="BK540" s="41"/>
      <c r="BL540" s="41"/>
      <c r="BM540" s="41"/>
      <c r="BN540" s="41"/>
      <c r="BO540" s="41"/>
      <c r="BP540" s="41"/>
      <c r="BQ540" s="41"/>
      <c r="BR540" s="41"/>
      <c r="BS540" s="41"/>
      <c r="BT540" s="41"/>
      <c r="BU540" s="41"/>
      <c r="BV540" s="41"/>
      <c r="BW540" s="41"/>
      <c r="BX540" s="41"/>
      <c r="BY540" s="41"/>
      <c r="BZ540" s="41"/>
      <c r="CA540" s="41"/>
      <c r="CB540" s="41"/>
      <c r="CC540" s="41"/>
      <c r="CD540" s="41"/>
      <c r="CE540" s="41"/>
      <c r="CF540" s="41"/>
      <c r="CG540" s="41"/>
      <c r="CH540" s="41"/>
      <c r="CI540" s="41"/>
      <c r="CJ540" s="41"/>
      <c r="CK540" s="41"/>
    </row>
    <row r="541" spans="1:89" s="51" customFormat="1" ht="33" customHeight="1">
      <c r="A541" s="74"/>
      <c r="B541" s="74"/>
      <c r="C541" s="74"/>
      <c r="D541" s="74"/>
      <c r="E541" s="74"/>
      <c r="F541" s="74"/>
      <c r="G541" s="75"/>
      <c r="H541" s="76"/>
      <c r="I541" s="52"/>
      <c r="J541" s="52"/>
      <c r="K541" s="52"/>
      <c r="L541" s="41"/>
      <c r="M541" s="41"/>
      <c r="N541" s="41"/>
      <c r="O541" s="41"/>
      <c r="P541" s="41"/>
      <c r="Q541" s="41"/>
      <c r="R541" s="41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  <c r="BV541" s="41"/>
      <c r="BW541" s="41"/>
      <c r="BX541" s="41"/>
      <c r="BY541" s="41"/>
      <c r="BZ541" s="41"/>
      <c r="CA541" s="41"/>
      <c r="CB541" s="41"/>
      <c r="CC541" s="41"/>
      <c r="CD541" s="41"/>
      <c r="CE541" s="41"/>
      <c r="CF541" s="41"/>
      <c r="CG541" s="41"/>
      <c r="CH541" s="41"/>
      <c r="CI541" s="41"/>
      <c r="CJ541" s="41"/>
      <c r="CK541" s="41"/>
    </row>
    <row r="542" spans="1:89" s="51" customFormat="1" ht="33" customHeight="1">
      <c r="A542" s="74"/>
      <c r="B542" s="74"/>
      <c r="C542" s="74"/>
      <c r="D542" s="74"/>
      <c r="E542" s="74"/>
      <c r="F542" s="74"/>
      <c r="G542" s="75"/>
      <c r="H542" s="76"/>
      <c r="I542" s="52"/>
      <c r="J542" s="52"/>
      <c r="K542" s="52"/>
      <c r="L542" s="41"/>
      <c r="M542" s="41"/>
      <c r="N542" s="41"/>
      <c r="O542" s="41"/>
      <c r="P542" s="41"/>
      <c r="Q542" s="41"/>
      <c r="R542" s="41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  <c r="BK542" s="41"/>
      <c r="BL542" s="41"/>
      <c r="BM542" s="41"/>
      <c r="BN542" s="41"/>
      <c r="BO542" s="41"/>
      <c r="BP542" s="41"/>
      <c r="BQ542" s="41"/>
      <c r="BR542" s="41"/>
      <c r="BS542" s="41"/>
      <c r="BT542" s="41"/>
      <c r="BU542" s="41"/>
      <c r="BV542" s="41"/>
      <c r="BW542" s="41"/>
      <c r="BX542" s="41"/>
      <c r="BY542" s="41"/>
      <c r="BZ542" s="41"/>
      <c r="CA542" s="41"/>
      <c r="CB542" s="41"/>
      <c r="CC542" s="41"/>
      <c r="CD542" s="41"/>
      <c r="CE542" s="41"/>
      <c r="CF542" s="41"/>
      <c r="CG542" s="41"/>
      <c r="CH542" s="41"/>
      <c r="CI542" s="41"/>
      <c r="CJ542" s="41"/>
      <c r="CK542" s="41"/>
    </row>
    <row r="543" spans="1:89" s="51" customFormat="1" ht="33" customHeight="1">
      <c r="A543" s="74"/>
      <c r="B543" s="74"/>
      <c r="C543" s="74"/>
      <c r="D543" s="74"/>
      <c r="E543" s="74"/>
      <c r="F543" s="74"/>
      <c r="G543" s="75"/>
      <c r="H543" s="76"/>
      <c r="I543" s="52"/>
      <c r="J543" s="52"/>
      <c r="K543" s="52"/>
      <c r="L543" s="41"/>
      <c r="M543" s="41"/>
      <c r="N543" s="41"/>
      <c r="O543" s="41"/>
      <c r="P543" s="41"/>
      <c r="Q543" s="41"/>
      <c r="R543" s="41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  <c r="BO543" s="41"/>
      <c r="BP543" s="41"/>
      <c r="BQ543" s="41"/>
      <c r="BR543" s="41"/>
      <c r="BS543" s="41"/>
      <c r="BT543" s="41"/>
      <c r="BU543" s="41"/>
      <c r="BV543" s="41"/>
      <c r="BW543" s="41"/>
      <c r="BX543" s="41"/>
      <c r="BY543" s="41"/>
      <c r="BZ543" s="41"/>
      <c r="CA543" s="41"/>
      <c r="CB543" s="41"/>
      <c r="CC543" s="41"/>
      <c r="CD543" s="41"/>
      <c r="CE543" s="41"/>
      <c r="CF543" s="41"/>
      <c r="CG543" s="41"/>
      <c r="CH543" s="41"/>
      <c r="CI543" s="41"/>
      <c r="CJ543" s="41"/>
      <c r="CK543" s="41"/>
    </row>
    <row r="544" spans="1:89" s="51" customFormat="1" ht="33" customHeight="1">
      <c r="A544" s="74"/>
      <c r="B544" s="74"/>
      <c r="C544" s="74"/>
      <c r="D544" s="74"/>
      <c r="E544" s="74"/>
      <c r="F544" s="74"/>
      <c r="G544" s="75"/>
      <c r="H544" s="76"/>
      <c r="I544" s="52"/>
      <c r="J544" s="52"/>
      <c r="K544" s="52"/>
      <c r="L544" s="41"/>
      <c r="M544" s="41"/>
      <c r="N544" s="41"/>
      <c r="O544" s="41"/>
      <c r="P544" s="41"/>
      <c r="Q544" s="41"/>
      <c r="R544" s="41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  <c r="BL544" s="41"/>
      <c r="BM544" s="41"/>
      <c r="BN544" s="41"/>
      <c r="BO544" s="41"/>
      <c r="BP544" s="41"/>
      <c r="BQ544" s="41"/>
      <c r="BR544" s="41"/>
      <c r="BS544" s="41"/>
      <c r="BT544" s="41"/>
      <c r="BU544" s="41"/>
      <c r="BV544" s="41"/>
      <c r="BW544" s="41"/>
      <c r="BX544" s="41"/>
      <c r="BY544" s="41"/>
      <c r="BZ544" s="41"/>
      <c r="CA544" s="41"/>
      <c r="CB544" s="41"/>
      <c r="CC544" s="41"/>
      <c r="CD544" s="41"/>
      <c r="CE544" s="41"/>
      <c r="CF544" s="41"/>
      <c r="CG544" s="41"/>
      <c r="CH544" s="41"/>
      <c r="CI544" s="41"/>
      <c r="CJ544" s="41"/>
      <c r="CK544" s="41"/>
    </row>
    <row r="545" spans="1:89" s="51" customFormat="1" ht="33" customHeight="1">
      <c r="A545" s="74"/>
      <c r="B545" s="74"/>
      <c r="C545" s="74"/>
      <c r="D545" s="74"/>
      <c r="E545" s="74"/>
      <c r="F545" s="74"/>
      <c r="G545" s="75"/>
      <c r="H545" s="76"/>
      <c r="I545" s="52"/>
      <c r="J545" s="52"/>
      <c r="K545" s="52"/>
      <c r="L545" s="41"/>
      <c r="M545" s="41"/>
      <c r="N545" s="41"/>
      <c r="O545" s="41"/>
      <c r="P545" s="41"/>
      <c r="Q545" s="41"/>
      <c r="R545" s="41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  <c r="BL545" s="41"/>
      <c r="BM545" s="41"/>
      <c r="BN545" s="41"/>
      <c r="BO545" s="41"/>
      <c r="BP545" s="41"/>
      <c r="BQ545" s="41"/>
      <c r="BR545" s="41"/>
      <c r="BS545" s="41"/>
      <c r="BT545" s="41"/>
      <c r="BU545" s="41"/>
      <c r="BV545" s="41"/>
      <c r="BW545" s="41"/>
      <c r="BX545" s="41"/>
      <c r="BY545" s="41"/>
      <c r="BZ545" s="41"/>
      <c r="CA545" s="41"/>
      <c r="CB545" s="41"/>
      <c r="CC545" s="41"/>
      <c r="CD545" s="41"/>
      <c r="CE545" s="41"/>
      <c r="CF545" s="41"/>
      <c r="CG545" s="41"/>
      <c r="CH545" s="41"/>
      <c r="CI545" s="41"/>
      <c r="CJ545" s="41"/>
      <c r="CK545" s="41"/>
    </row>
    <row r="546" spans="1:89" s="51" customFormat="1" ht="33" customHeight="1">
      <c r="A546" s="74"/>
      <c r="B546" s="74"/>
      <c r="C546" s="74"/>
      <c r="D546" s="74"/>
      <c r="E546" s="74"/>
      <c r="F546" s="74"/>
      <c r="G546" s="75"/>
      <c r="H546" s="76"/>
      <c r="I546" s="52"/>
      <c r="J546" s="52"/>
      <c r="K546" s="52"/>
      <c r="L546" s="41"/>
      <c r="M546" s="41"/>
      <c r="N546" s="41"/>
      <c r="O546" s="41"/>
      <c r="P546" s="41"/>
      <c r="Q546" s="41"/>
      <c r="R546" s="41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  <c r="BL546" s="41"/>
      <c r="BM546" s="41"/>
      <c r="BN546" s="41"/>
      <c r="BO546" s="41"/>
      <c r="BP546" s="41"/>
      <c r="BQ546" s="41"/>
      <c r="BR546" s="41"/>
      <c r="BS546" s="41"/>
      <c r="BT546" s="41"/>
      <c r="BU546" s="41"/>
      <c r="BV546" s="41"/>
      <c r="BW546" s="41"/>
      <c r="BX546" s="41"/>
      <c r="BY546" s="41"/>
      <c r="BZ546" s="41"/>
      <c r="CA546" s="41"/>
      <c r="CB546" s="41"/>
      <c r="CC546" s="41"/>
      <c r="CD546" s="41"/>
      <c r="CE546" s="41"/>
      <c r="CF546" s="41"/>
      <c r="CG546" s="41"/>
      <c r="CH546" s="41"/>
      <c r="CI546" s="41"/>
      <c r="CJ546" s="41"/>
      <c r="CK546" s="41"/>
    </row>
    <row r="547" spans="1:89" s="51" customFormat="1" ht="33" customHeight="1">
      <c r="A547" s="74"/>
      <c r="B547" s="74"/>
      <c r="C547" s="74"/>
      <c r="D547" s="74"/>
      <c r="E547" s="74"/>
      <c r="F547" s="74"/>
      <c r="G547" s="75"/>
      <c r="H547" s="76"/>
      <c r="I547" s="52"/>
      <c r="J547" s="52"/>
      <c r="K547" s="52"/>
      <c r="L547" s="41"/>
      <c r="M547" s="41"/>
      <c r="N547" s="41"/>
      <c r="O547" s="41"/>
      <c r="P547" s="41"/>
      <c r="Q547" s="41"/>
      <c r="R547" s="41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41"/>
      <c r="BO547" s="41"/>
      <c r="BP547" s="41"/>
      <c r="BQ547" s="41"/>
      <c r="BR547" s="41"/>
      <c r="BS547" s="41"/>
      <c r="BT547" s="41"/>
      <c r="BU547" s="41"/>
      <c r="BV547" s="41"/>
      <c r="BW547" s="41"/>
      <c r="BX547" s="41"/>
      <c r="BY547" s="41"/>
      <c r="BZ547" s="41"/>
      <c r="CA547" s="41"/>
      <c r="CB547" s="41"/>
      <c r="CC547" s="41"/>
      <c r="CD547" s="41"/>
      <c r="CE547" s="41"/>
      <c r="CF547" s="41"/>
      <c r="CG547" s="41"/>
      <c r="CH547" s="41"/>
      <c r="CI547" s="41"/>
      <c r="CJ547" s="41"/>
      <c r="CK547" s="41"/>
    </row>
    <row r="548" spans="1:89" s="51" customFormat="1" ht="33" customHeight="1">
      <c r="A548" s="74"/>
      <c r="B548" s="74"/>
      <c r="C548" s="74"/>
      <c r="D548" s="74"/>
      <c r="E548" s="74"/>
      <c r="F548" s="74"/>
      <c r="G548" s="75"/>
      <c r="H548" s="76"/>
      <c r="I548" s="52"/>
      <c r="J548" s="52"/>
      <c r="K548" s="52"/>
      <c r="L548" s="41"/>
      <c r="M548" s="41"/>
      <c r="N548" s="41"/>
      <c r="O548" s="41"/>
      <c r="P548" s="41"/>
      <c r="Q548" s="41"/>
      <c r="R548" s="41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/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  <c r="BZ548" s="41"/>
      <c r="CA548" s="41"/>
      <c r="CB548" s="41"/>
      <c r="CC548" s="41"/>
      <c r="CD548" s="41"/>
      <c r="CE548" s="41"/>
      <c r="CF548" s="41"/>
      <c r="CG548" s="41"/>
      <c r="CH548" s="41"/>
      <c r="CI548" s="41"/>
      <c r="CJ548" s="41"/>
      <c r="CK548" s="41"/>
    </row>
    <row r="549" spans="1:89" s="51" customFormat="1" ht="33" customHeight="1">
      <c r="A549" s="74"/>
      <c r="B549" s="74"/>
      <c r="C549" s="74"/>
      <c r="D549" s="74"/>
      <c r="E549" s="74"/>
      <c r="F549" s="74"/>
      <c r="G549" s="75"/>
      <c r="H549" s="76"/>
      <c r="I549" s="52"/>
      <c r="J549" s="52"/>
      <c r="K549" s="52"/>
      <c r="L549" s="41"/>
      <c r="M549" s="41"/>
      <c r="N549" s="41"/>
      <c r="O549" s="41"/>
      <c r="P549" s="41"/>
      <c r="Q549" s="41"/>
      <c r="R549" s="41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/>
      <c r="BO549" s="41"/>
      <c r="BP549" s="41"/>
      <c r="BQ549" s="41"/>
      <c r="BR549" s="41"/>
      <c r="BS549" s="41"/>
      <c r="BT549" s="41"/>
      <c r="BU549" s="41"/>
      <c r="BV549" s="41"/>
      <c r="BW549" s="41"/>
      <c r="BX549" s="41"/>
      <c r="BY549" s="41"/>
      <c r="BZ549" s="41"/>
      <c r="CA549" s="41"/>
      <c r="CB549" s="41"/>
      <c r="CC549" s="41"/>
      <c r="CD549" s="41"/>
      <c r="CE549" s="41"/>
      <c r="CF549" s="41"/>
      <c r="CG549" s="41"/>
      <c r="CH549" s="41"/>
      <c r="CI549" s="41"/>
      <c r="CJ549" s="41"/>
      <c r="CK549" s="41"/>
    </row>
    <row r="550" spans="1:89" s="51" customFormat="1" ht="33" customHeight="1">
      <c r="A550" s="74"/>
      <c r="B550" s="74"/>
      <c r="C550" s="74"/>
      <c r="D550" s="74"/>
      <c r="E550" s="74"/>
      <c r="F550" s="74"/>
      <c r="G550" s="75"/>
      <c r="H550" s="76"/>
      <c r="I550" s="52"/>
      <c r="J550" s="52"/>
      <c r="K550" s="52"/>
      <c r="L550" s="41"/>
      <c r="M550" s="41"/>
      <c r="N550" s="41"/>
      <c r="O550" s="41"/>
      <c r="P550" s="41"/>
      <c r="Q550" s="41"/>
      <c r="R550" s="41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  <c r="BL550" s="41"/>
      <c r="BM550" s="41"/>
      <c r="BN550" s="41"/>
      <c r="BO550" s="41"/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1"/>
      <c r="CA550" s="41"/>
      <c r="CB550" s="41"/>
      <c r="CC550" s="41"/>
      <c r="CD550" s="41"/>
      <c r="CE550" s="41"/>
      <c r="CF550" s="41"/>
      <c r="CG550" s="41"/>
      <c r="CH550" s="41"/>
      <c r="CI550" s="41"/>
      <c r="CJ550" s="41"/>
      <c r="CK550" s="41"/>
    </row>
    <row r="551" spans="1:89" s="51" customFormat="1" ht="33" customHeight="1">
      <c r="A551" s="74"/>
      <c r="B551" s="74"/>
      <c r="C551" s="74"/>
      <c r="D551" s="74"/>
      <c r="E551" s="74"/>
      <c r="F551" s="74"/>
      <c r="G551" s="75"/>
      <c r="H551" s="76"/>
      <c r="I551" s="52"/>
      <c r="J551" s="52"/>
      <c r="K551" s="52"/>
      <c r="L551" s="41"/>
      <c r="M551" s="41"/>
      <c r="N551" s="41"/>
      <c r="O551" s="41"/>
      <c r="P551" s="41"/>
      <c r="Q551" s="41"/>
      <c r="R551" s="41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  <c r="BL551" s="41"/>
      <c r="BM551" s="41"/>
      <c r="BN551" s="41"/>
      <c r="BO551" s="41"/>
      <c r="BP551" s="41"/>
      <c r="BQ551" s="41"/>
      <c r="BR551" s="41"/>
      <c r="BS551" s="41"/>
      <c r="BT551" s="41"/>
      <c r="BU551" s="41"/>
      <c r="BV551" s="41"/>
      <c r="BW551" s="41"/>
      <c r="BX551" s="41"/>
      <c r="BY551" s="41"/>
      <c r="BZ551" s="41"/>
      <c r="CA551" s="41"/>
      <c r="CB551" s="41"/>
      <c r="CC551" s="41"/>
      <c r="CD551" s="41"/>
      <c r="CE551" s="41"/>
      <c r="CF551" s="41"/>
      <c r="CG551" s="41"/>
      <c r="CH551" s="41"/>
      <c r="CI551" s="41"/>
      <c r="CJ551" s="41"/>
      <c r="CK551" s="41"/>
    </row>
    <row r="552" spans="1:89" s="51" customFormat="1" ht="33" customHeight="1">
      <c r="A552" s="74"/>
      <c r="B552" s="74"/>
      <c r="C552" s="74"/>
      <c r="D552" s="74"/>
      <c r="E552" s="74"/>
      <c r="F552" s="74"/>
      <c r="G552" s="75"/>
      <c r="H552" s="76"/>
      <c r="I552" s="52"/>
      <c r="J552" s="52"/>
      <c r="K552" s="52"/>
      <c r="L552" s="41"/>
      <c r="M552" s="41"/>
      <c r="N552" s="41"/>
      <c r="O552" s="41"/>
      <c r="P552" s="41"/>
      <c r="Q552" s="41"/>
      <c r="R552" s="41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/>
      <c r="BO552" s="41"/>
      <c r="BP552" s="41"/>
      <c r="BQ552" s="41"/>
      <c r="BR552" s="41"/>
      <c r="BS552" s="41"/>
      <c r="BT552" s="41"/>
      <c r="BU552" s="41"/>
      <c r="BV552" s="41"/>
      <c r="BW552" s="41"/>
      <c r="BX552" s="41"/>
      <c r="BY552" s="41"/>
      <c r="BZ552" s="41"/>
      <c r="CA552" s="41"/>
      <c r="CB552" s="41"/>
      <c r="CC552" s="41"/>
      <c r="CD552" s="41"/>
      <c r="CE552" s="41"/>
      <c r="CF552" s="41"/>
      <c r="CG552" s="41"/>
      <c r="CH552" s="41"/>
      <c r="CI552" s="41"/>
      <c r="CJ552" s="41"/>
      <c r="CK552" s="41"/>
    </row>
    <row r="553" spans="1:89" s="51" customFormat="1" ht="33" customHeight="1">
      <c r="A553" s="74"/>
      <c r="B553" s="74"/>
      <c r="C553" s="74"/>
      <c r="D553" s="74"/>
      <c r="E553" s="74"/>
      <c r="F553" s="74"/>
      <c r="G553" s="75"/>
      <c r="H553" s="76"/>
      <c r="I553" s="52"/>
      <c r="J553" s="52"/>
      <c r="K553" s="52"/>
      <c r="L553" s="41"/>
      <c r="M553" s="41"/>
      <c r="N553" s="41"/>
      <c r="O553" s="41"/>
      <c r="P553" s="41"/>
      <c r="Q553" s="41"/>
      <c r="R553" s="41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  <c r="BL553" s="41"/>
      <c r="BM553" s="41"/>
      <c r="BN553" s="41"/>
      <c r="BO553" s="41"/>
      <c r="BP553" s="41"/>
      <c r="BQ553" s="41"/>
      <c r="BR553" s="41"/>
      <c r="BS553" s="41"/>
      <c r="BT553" s="41"/>
      <c r="BU553" s="41"/>
      <c r="BV553" s="41"/>
      <c r="BW553" s="41"/>
      <c r="BX553" s="41"/>
      <c r="BY553" s="41"/>
      <c r="BZ553" s="41"/>
      <c r="CA553" s="41"/>
      <c r="CB553" s="41"/>
      <c r="CC553" s="41"/>
      <c r="CD553" s="41"/>
      <c r="CE553" s="41"/>
      <c r="CF553" s="41"/>
      <c r="CG553" s="41"/>
      <c r="CH553" s="41"/>
      <c r="CI553" s="41"/>
      <c r="CJ553" s="41"/>
      <c r="CK553" s="41"/>
    </row>
    <row r="554" spans="1:89" s="51" customFormat="1" ht="33" customHeight="1">
      <c r="A554" s="74"/>
      <c r="B554" s="74"/>
      <c r="C554" s="74"/>
      <c r="D554" s="74"/>
      <c r="E554" s="74"/>
      <c r="F554" s="74"/>
      <c r="G554" s="75"/>
      <c r="H554" s="76"/>
      <c r="I554" s="52"/>
      <c r="J554" s="52"/>
      <c r="K554" s="52"/>
      <c r="L554" s="41"/>
      <c r="M554" s="41"/>
      <c r="N554" s="41"/>
      <c r="O554" s="41"/>
      <c r="P554" s="41"/>
      <c r="Q554" s="41"/>
      <c r="R554" s="41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  <c r="BK554" s="41"/>
      <c r="BL554" s="41"/>
      <c r="BM554" s="41"/>
      <c r="BN554" s="41"/>
      <c r="BO554" s="41"/>
      <c r="BP554" s="41"/>
      <c r="BQ554" s="41"/>
      <c r="BR554" s="41"/>
      <c r="BS554" s="41"/>
      <c r="BT554" s="41"/>
      <c r="BU554" s="41"/>
      <c r="BV554" s="41"/>
      <c r="BW554" s="41"/>
      <c r="BX554" s="41"/>
      <c r="BY554" s="41"/>
      <c r="BZ554" s="41"/>
      <c r="CA554" s="41"/>
      <c r="CB554" s="41"/>
      <c r="CC554" s="41"/>
      <c r="CD554" s="41"/>
      <c r="CE554" s="41"/>
      <c r="CF554" s="41"/>
      <c r="CG554" s="41"/>
      <c r="CH554" s="41"/>
      <c r="CI554" s="41"/>
      <c r="CJ554" s="41"/>
      <c r="CK554" s="41"/>
    </row>
    <row r="555" spans="1:89" s="51" customFormat="1" ht="33" customHeight="1">
      <c r="A555" s="74"/>
      <c r="B555" s="74"/>
      <c r="C555" s="74"/>
      <c r="D555" s="74"/>
      <c r="E555" s="74"/>
      <c r="F555" s="74"/>
      <c r="G555" s="75"/>
      <c r="H555" s="76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  <c r="BE555" s="53"/>
      <c r="BF555" s="53"/>
      <c r="BG555" s="53"/>
      <c r="BH555" s="53"/>
      <c r="BI555" s="53"/>
      <c r="BJ555" s="53"/>
      <c r="BK555" s="53"/>
      <c r="BL555" s="53"/>
      <c r="BM555" s="53"/>
      <c r="BN555" s="53"/>
      <c r="BO555" s="53"/>
      <c r="BP555" s="53"/>
      <c r="BQ555" s="53"/>
      <c r="BR555" s="53"/>
      <c r="BS555" s="53"/>
      <c r="BT555" s="53"/>
      <c r="BU555" s="53"/>
      <c r="BV555" s="53"/>
      <c r="BW555" s="53"/>
      <c r="BX555" s="53"/>
      <c r="BY555" s="53"/>
      <c r="BZ555" s="53"/>
      <c r="CA555" s="53"/>
      <c r="CB555" s="53"/>
      <c r="CC555" s="53"/>
      <c r="CD555" s="53"/>
      <c r="CE555" s="53"/>
      <c r="CF555" s="53"/>
      <c r="CG555" s="53"/>
      <c r="CH555" s="53"/>
      <c r="CI555" s="53"/>
      <c r="CJ555" s="53"/>
      <c r="CK555" s="53"/>
    </row>
    <row r="556" spans="1:89" s="51" customFormat="1" ht="33" customHeight="1">
      <c r="A556" s="74"/>
      <c r="B556" s="74"/>
      <c r="C556" s="74"/>
      <c r="D556" s="74"/>
      <c r="E556" s="74"/>
      <c r="F556" s="74"/>
      <c r="G556" s="75"/>
      <c r="H556" s="76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  <c r="BE556" s="53"/>
      <c r="BF556" s="53"/>
      <c r="BG556" s="53"/>
      <c r="BH556" s="53"/>
      <c r="BI556" s="53"/>
      <c r="BJ556" s="53"/>
      <c r="BK556" s="53"/>
      <c r="BL556" s="53"/>
      <c r="BM556" s="53"/>
      <c r="BN556" s="53"/>
      <c r="BO556" s="53"/>
      <c r="BP556" s="53"/>
      <c r="BQ556" s="53"/>
      <c r="BR556" s="53"/>
      <c r="BS556" s="53"/>
      <c r="BT556" s="53"/>
      <c r="BU556" s="53"/>
      <c r="BV556" s="53"/>
      <c r="BW556" s="53"/>
      <c r="BX556" s="53"/>
      <c r="BY556" s="53"/>
      <c r="BZ556" s="53"/>
      <c r="CA556" s="53"/>
      <c r="CB556" s="53"/>
      <c r="CC556" s="53"/>
      <c r="CD556" s="53"/>
      <c r="CE556" s="53"/>
      <c r="CF556" s="53"/>
      <c r="CG556" s="53"/>
      <c r="CH556" s="53"/>
      <c r="CI556" s="53"/>
      <c r="CJ556" s="53"/>
      <c r="CK556" s="53"/>
    </row>
    <row r="557" spans="1:89" s="51" customFormat="1" ht="33" customHeight="1">
      <c r="A557" s="74"/>
      <c r="B557" s="74"/>
      <c r="C557" s="74"/>
      <c r="D557" s="74"/>
      <c r="E557" s="74"/>
      <c r="F557" s="74"/>
      <c r="G557" s="75"/>
      <c r="H557" s="76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  <c r="BE557" s="53"/>
      <c r="BF557" s="53"/>
      <c r="BG557" s="53"/>
      <c r="BH557" s="53"/>
      <c r="BI557" s="53"/>
      <c r="BJ557" s="53"/>
      <c r="BK557" s="53"/>
      <c r="BL557" s="53"/>
      <c r="BM557" s="53"/>
      <c r="BN557" s="53"/>
      <c r="BO557" s="53"/>
      <c r="BP557" s="53"/>
      <c r="BQ557" s="53"/>
      <c r="BR557" s="53"/>
      <c r="BS557" s="53"/>
      <c r="BT557" s="53"/>
      <c r="BU557" s="53"/>
      <c r="BV557" s="53"/>
      <c r="BW557" s="53"/>
      <c r="BX557" s="53"/>
      <c r="BY557" s="53"/>
      <c r="BZ557" s="53"/>
      <c r="CA557" s="53"/>
      <c r="CB557" s="53"/>
      <c r="CC557" s="53"/>
      <c r="CD557" s="53"/>
      <c r="CE557" s="53"/>
      <c r="CF557" s="53"/>
      <c r="CG557" s="53"/>
      <c r="CH557" s="53"/>
      <c r="CI557" s="53"/>
      <c r="CJ557" s="53"/>
      <c r="CK557" s="53"/>
    </row>
    <row r="558" spans="1:89" s="51" customFormat="1" ht="33" customHeight="1">
      <c r="A558" s="74"/>
      <c r="B558" s="74"/>
      <c r="C558" s="74"/>
      <c r="D558" s="74"/>
      <c r="E558" s="74"/>
      <c r="F558" s="74"/>
      <c r="G558" s="75"/>
      <c r="H558" s="76"/>
      <c r="I558" s="52"/>
      <c r="J558" s="52"/>
      <c r="K558" s="52"/>
      <c r="L558" s="41"/>
      <c r="M558" s="41"/>
      <c r="N558" s="41"/>
      <c r="O558" s="41"/>
      <c r="P558" s="41"/>
      <c r="Q558" s="41"/>
      <c r="R558" s="41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  <c r="BK558" s="41"/>
      <c r="BL558" s="41"/>
      <c r="BM558" s="41"/>
      <c r="BN558" s="41"/>
      <c r="BO558" s="41"/>
      <c r="BP558" s="41"/>
      <c r="BQ558" s="41"/>
      <c r="BR558" s="41"/>
      <c r="BS558" s="41"/>
      <c r="BT558" s="41"/>
      <c r="BU558" s="41"/>
      <c r="BV558" s="41"/>
      <c r="BW558" s="41"/>
      <c r="BX558" s="41"/>
      <c r="BY558" s="41"/>
      <c r="BZ558" s="41"/>
      <c r="CA558" s="41"/>
      <c r="CB558" s="41"/>
      <c r="CC558" s="41"/>
      <c r="CD558" s="41"/>
      <c r="CE558" s="41"/>
      <c r="CF558" s="41"/>
      <c r="CG558" s="41"/>
      <c r="CH558" s="41"/>
      <c r="CI558" s="41"/>
      <c r="CJ558" s="41"/>
      <c r="CK558" s="41"/>
    </row>
    <row r="559" spans="1:89" s="51" customFormat="1" ht="33" customHeight="1">
      <c r="A559" s="74"/>
      <c r="B559" s="74"/>
      <c r="C559" s="74"/>
      <c r="D559" s="74"/>
      <c r="E559" s="74"/>
      <c r="F559" s="74"/>
      <c r="G559" s="75"/>
      <c r="H559" s="76"/>
      <c r="I559" s="52"/>
      <c r="J559" s="52"/>
      <c r="K559" s="52"/>
      <c r="L559" s="41"/>
      <c r="M559" s="41"/>
      <c r="N559" s="41"/>
      <c r="O559" s="41"/>
      <c r="P559" s="41"/>
      <c r="Q559" s="41"/>
      <c r="R559" s="41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  <c r="BK559" s="41"/>
      <c r="BL559" s="41"/>
      <c r="BM559" s="41"/>
      <c r="BN559" s="41"/>
      <c r="BO559" s="41"/>
      <c r="BP559" s="41"/>
      <c r="BQ559" s="41"/>
      <c r="BR559" s="41"/>
      <c r="BS559" s="41"/>
      <c r="BT559" s="41"/>
      <c r="BU559" s="41"/>
      <c r="BV559" s="41"/>
      <c r="BW559" s="41"/>
      <c r="BX559" s="41"/>
      <c r="BY559" s="41"/>
      <c r="BZ559" s="41"/>
      <c r="CA559" s="41"/>
      <c r="CB559" s="41"/>
      <c r="CC559" s="41"/>
      <c r="CD559" s="41"/>
      <c r="CE559" s="41"/>
      <c r="CF559" s="41"/>
      <c r="CG559" s="41"/>
      <c r="CH559" s="41"/>
      <c r="CI559" s="41"/>
      <c r="CJ559" s="41"/>
      <c r="CK559" s="41"/>
    </row>
    <row r="560" spans="1:89" s="51" customFormat="1" ht="33" customHeight="1">
      <c r="A560" s="74"/>
      <c r="B560" s="74"/>
      <c r="C560" s="74"/>
      <c r="D560" s="74"/>
      <c r="E560" s="74"/>
      <c r="F560" s="74"/>
      <c r="G560" s="75"/>
      <c r="H560" s="76"/>
      <c r="I560" s="52"/>
      <c r="J560" s="52"/>
      <c r="K560" s="52"/>
      <c r="L560" s="41"/>
      <c r="M560" s="41"/>
      <c r="N560" s="41"/>
      <c r="O560" s="41"/>
      <c r="P560" s="41"/>
      <c r="Q560" s="41"/>
      <c r="R560" s="41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/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1"/>
      <c r="CA560" s="41"/>
      <c r="CB560" s="41"/>
      <c r="CC560" s="41"/>
      <c r="CD560" s="41"/>
      <c r="CE560" s="41"/>
      <c r="CF560" s="41"/>
      <c r="CG560" s="41"/>
      <c r="CH560" s="41"/>
      <c r="CI560" s="41"/>
      <c r="CJ560" s="41"/>
      <c r="CK560" s="41"/>
    </row>
    <row r="561" spans="1:89" s="51" customFormat="1" ht="33" customHeight="1">
      <c r="A561" s="74"/>
      <c r="B561" s="74"/>
      <c r="C561" s="74"/>
      <c r="D561" s="74"/>
      <c r="E561" s="74"/>
      <c r="F561" s="74"/>
      <c r="G561" s="75"/>
      <c r="H561" s="76"/>
      <c r="I561" s="52"/>
      <c r="J561" s="52"/>
      <c r="K561" s="52"/>
      <c r="L561" s="41"/>
      <c r="M561" s="41"/>
      <c r="N561" s="41"/>
      <c r="O561" s="41"/>
      <c r="P561" s="41"/>
      <c r="Q561" s="41"/>
      <c r="R561" s="41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  <c r="BL561" s="41"/>
      <c r="BM561" s="41"/>
      <c r="BN561" s="41"/>
      <c r="BO561" s="41"/>
      <c r="BP561" s="41"/>
      <c r="BQ561" s="41"/>
      <c r="BR561" s="41"/>
      <c r="BS561" s="41"/>
      <c r="BT561" s="41"/>
      <c r="BU561" s="41"/>
      <c r="BV561" s="41"/>
      <c r="BW561" s="41"/>
      <c r="BX561" s="41"/>
      <c r="BY561" s="41"/>
      <c r="BZ561" s="41"/>
      <c r="CA561" s="41"/>
      <c r="CB561" s="41"/>
      <c r="CC561" s="41"/>
      <c r="CD561" s="41"/>
      <c r="CE561" s="41"/>
      <c r="CF561" s="41"/>
      <c r="CG561" s="41"/>
      <c r="CH561" s="41"/>
      <c r="CI561" s="41"/>
      <c r="CJ561" s="41"/>
      <c r="CK561" s="41"/>
    </row>
    <row r="562" spans="1:89" s="51" customFormat="1" ht="33" customHeight="1">
      <c r="A562" s="74"/>
      <c r="B562" s="74"/>
      <c r="C562" s="74"/>
      <c r="D562" s="74"/>
      <c r="E562" s="74"/>
      <c r="F562" s="74"/>
      <c r="G562" s="75"/>
      <c r="H562" s="76"/>
      <c r="I562" s="52"/>
      <c r="J562" s="52"/>
      <c r="K562" s="52"/>
      <c r="L562" s="41"/>
      <c r="M562" s="41"/>
      <c r="N562" s="41"/>
      <c r="O562" s="41"/>
      <c r="P562" s="41"/>
      <c r="Q562" s="41"/>
      <c r="R562" s="41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  <c r="BL562" s="41"/>
      <c r="BM562" s="41"/>
      <c r="BN562" s="41"/>
      <c r="BO562" s="41"/>
      <c r="BP562" s="41"/>
      <c r="BQ562" s="41"/>
      <c r="BR562" s="41"/>
      <c r="BS562" s="41"/>
      <c r="BT562" s="41"/>
      <c r="BU562" s="41"/>
      <c r="BV562" s="41"/>
      <c r="BW562" s="41"/>
      <c r="BX562" s="41"/>
      <c r="BY562" s="41"/>
      <c r="BZ562" s="41"/>
      <c r="CA562" s="41"/>
      <c r="CB562" s="41"/>
      <c r="CC562" s="41"/>
      <c r="CD562" s="41"/>
      <c r="CE562" s="41"/>
      <c r="CF562" s="41"/>
      <c r="CG562" s="41"/>
      <c r="CH562" s="41"/>
      <c r="CI562" s="41"/>
      <c r="CJ562" s="41"/>
      <c r="CK562" s="41"/>
    </row>
    <row r="563" spans="1:89" s="51" customFormat="1" ht="33" customHeight="1">
      <c r="A563" s="74"/>
      <c r="B563" s="74"/>
      <c r="C563" s="74"/>
      <c r="D563" s="74"/>
      <c r="E563" s="74"/>
      <c r="F563" s="74"/>
      <c r="G563" s="75"/>
      <c r="H563" s="76"/>
      <c r="I563" s="52"/>
      <c r="J563" s="52"/>
      <c r="K563" s="52"/>
      <c r="L563" s="41"/>
      <c r="M563" s="41"/>
      <c r="N563" s="41"/>
      <c r="O563" s="41"/>
      <c r="P563" s="41"/>
      <c r="Q563" s="41"/>
      <c r="R563" s="41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/>
      <c r="BO563" s="41"/>
      <c r="BP563" s="41"/>
      <c r="BQ563" s="41"/>
      <c r="BR563" s="41"/>
      <c r="BS563" s="41"/>
      <c r="BT563" s="41"/>
      <c r="BU563" s="41"/>
      <c r="BV563" s="41"/>
      <c r="BW563" s="41"/>
      <c r="BX563" s="41"/>
      <c r="BY563" s="41"/>
      <c r="BZ563" s="41"/>
      <c r="CA563" s="41"/>
      <c r="CB563" s="41"/>
      <c r="CC563" s="41"/>
      <c r="CD563" s="41"/>
      <c r="CE563" s="41"/>
      <c r="CF563" s="41"/>
      <c r="CG563" s="41"/>
      <c r="CH563" s="41"/>
      <c r="CI563" s="41"/>
      <c r="CJ563" s="41"/>
      <c r="CK563" s="41"/>
    </row>
    <row r="564" spans="1:89" s="51" customFormat="1" ht="33" customHeight="1">
      <c r="A564" s="74"/>
      <c r="B564" s="74"/>
      <c r="C564" s="74"/>
      <c r="D564" s="74"/>
      <c r="E564" s="74"/>
      <c r="F564" s="74"/>
      <c r="G564" s="75"/>
      <c r="H564" s="76"/>
      <c r="I564" s="52"/>
      <c r="J564" s="52"/>
      <c r="K564" s="52"/>
      <c r="L564" s="41"/>
      <c r="M564" s="41"/>
      <c r="N564" s="41"/>
      <c r="O564" s="41"/>
      <c r="P564" s="41"/>
      <c r="Q564" s="41"/>
      <c r="R564" s="41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  <c r="BK564" s="41"/>
      <c r="BL564" s="41"/>
      <c r="BM564" s="41"/>
      <c r="BN564" s="41"/>
      <c r="BO564" s="41"/>
      <c r="BP564" s="41"/>
      <c r="BQ564" s="41"/>
      <c r="BR564" s="41"/>
      <c r="BS564" s="41"/>
      <c r="BT564" s="41"/>
      <c r="BU564" s="41"/>
      <c r="BV564" s="41"/>
      <c r="BW564" s="41"/>
      <c r="BX564" s="41"/>
      <c r="BY564" s="41"/>
      <c r="BZ564" s="41"/>
      <c r="CA564" s="41"/>
      <c r="CB564" s="41"/>
      <c r="CC564" s="41"/>
      <c r="CD564" s="41"/>
      <c r="CE564" s="41"/>
      <c r="CF564" s="41"/>
      <c r="CG564" s="41"/>
      <c r="CH564" s="41"/>
      <c r="CI564" s="41"/>
      <c r="CJ564" s="41"/>
      <c r="CK564" s="41"/>
    </row>
    <row r="565" spans="1:89" s="51" customFormat="1" ht="33" customHeight="1">
      <c r="A565" s="74"/>
      <c r="B565" s="74"/>
      <c r="C565" s="74"/>
      <c r="D565" s="74"/>
      <c r="E565" s="74"/>
      <c r="F565" s="74"/>
      <c r="G565" s="75"/>
      <c r="H565" s="76"/>
      <c r="I565" s="52"/>
      <c r="J565" s="52"/>
      <c r="K565" s="52"/>
      <c r="L565" s="41"/>
      <c r="M565" s="41"/>
      <c r="N565" s="41"/>
      <c r="O565" s="41"/>
      <c r="P565" s="41"/>
      <c r="Q565" s="41"/>
      <c r="R565" s="41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41"/>
      <c r="BO565" s="41"/>
      <c r="BP565" s="41"/>
      <c r="BQ565" s="41"/>
      <c r="BR565" s="41"/>
      <c r="BS565" s="41"/>
      <c r="BT565" s="41"/>
      <c r="BU565" s="41"/>
      <c r="BV565" s="41"/>
      <c r="BW565" s="41"/>
      <c r="BX565" s="41"/>
      <c r="BY565" s="41"/>
      <c r="BZ565" s="41"/>
      <c r="CA565" s="41"/>
      <c r="CB565" s="41"/>
      <c r="CC565" s="41"/>
      <c r="CD565" s="41"/>
      <c r="CE565" s="41"/>
      <c r="CF565" s="41"/>
      <c r="CG565" s="41"/>
      <c r="CH565" s="41"/>
      <c r="CI565" s="41"/>
      <c r="CJ565" s="41"/>
      <c r="CK565" s="41"/>
    </row>
    <row r="566" spans="1:89" s="51" customFormat="1" ht="33" customHeight="1">
      <c r="A566" s="74"/>
      <c r="B566" s="74"/>
      <c r="C566" s="74"/>
      <c r="D566" s="74"/>
      <c r="E566" s="74"/>
      <c r="F566" s="74"/>
      <c r="G566" s="75"/>
      <c r="H566" s="76"/>
      <c r="I566" s="52"/>
      <c r="J566" s="52"/>
      <c r="K566" s="52"/>
      <c r="L566" s="41"/>
      <c r="M566" s="41"/>
      <c r="N566" s="41"/>
      <c r="O566" s="41"/>
      <c r="P566" s="41"/>
      <c r="Q566" s="41"/>
      <c r="R566" s="41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  <c r="BL566" s="41"/>
      <c r="BM566" s="41"/>
      <c r="BN566" s="41"/>
      <c r="BO566" s="41"/>
      <c r="BP566" s="41"/>
      <c r="BQ566" s="41"/>
      <c r="BR566" s="41"/>
      <c r="BS566" s="41"/>
      <c r="BT566" s="41"/>
      <c r="BU566" s="41"/>
      <c r="BV566" s="41"/>
      <c r="BW566" s="41"/>
      <c r="BX566" s="41"/>
      <c r="BY566" s="41"/>
      <c r="BZ566" s="41"/>
      <c r="CA566" s="41"/>
      <c r="CB566" s="41"/>
      <c r="CC566" s="41"/>
      <c r="CD566" s="41"/>
      <c r="CE566" s="41"/>
      <c r="CF566" s="41"/>
      <c r="CG566" s="41"/>
      <c r="CH566" s="41"/>
      <c r="CI566" s="41"/>
      <c r="CJ566" s="41"/>
      <c r="CK566" s="41"/>
    </row>
    <row r="567" spans="1:89" s="51" customFormat="1" ht="33" customHeight="1">
      <c r="A567" s="74"/>
      <c r="B567" s="74"/>
      <c r="C567" s="74"/>
      <c r="D567" s="74"/>
      <c r="E567" s="74"/>
      <c r="F567" s="74"/>
      <c r="G567" s="75"/>
      <c r="H567" s="76"/>
      <c r="I567" s="52"/>
      <c r="J567" s="52"/>
      <c r="K567" s="52"/>
      <c r="L567" s="41"/>
      <c r="M567" s="41"/>
      <c r="N567" s="41"/>
      <c r="O567" s="41"/>
      <c r="P567" s="41"/>
      <c r="Q567" s="41"/>
      <c r="R567" s="41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  <c r="BO567" s="41"/>
      <c r="BP567" s="41"/>
      <c r="BQ567" s="41"/>
      <c r="BR567" s="41"/>
      <c r="BS567" s="41"/>
      <c r="BT567" s="41"/>
      <c r="BU567" s="41"/>
      <c r="BV567" s="41"/>
      <c r="BW567" s="41"/>
      <c r="BX567" s="41"/>
      <c r="BY567" s="41"/>
      <c r="BZ567" s="41"/>
      <c r="CA567" s="41"/>
      <c r="CB567" s="41"/>
      <c r="CC567" s="41"/>
      <c r="CD567" s="41"/>
      <c r="CE567" s="41"/>
      <c r="CF567" s="41"/>
      <c r="CG567" s="41"/>
      <c r="CH567" s="41"/>
      <c r="CI567" s="41"/>
      <c r="CJ567" s="41"/>
      <c r="CK567" s="41"/>
    </row>
    <row r="568" spans="1:89" s="51" customFormat="1" ht="33" customHeight="1">
      <c r="A568" s="74"/>
      <c r="B568" s="74"/>
      <c r="C568" s="74"/>
      <c r="D568" s="74"/>
      <c r="E568" s="74"/>
      <c r="F568" s="74"/>
      <c r="G568" s="75"/>
      <c r="H568" s="76"/>
      <c r="I568" s="52"/>
      <c r="J568" s="52"/>
      <c r="K568" s="52"/>
      <c r="L568" s="41"/>
      <c r="M568" s="41"/>
      <c r="N568" s="41"/>
      <c r="O568" s="41"/>
      <c r="P568" s="41"/>
      <c r="Q568" s="41"/>
      <c r="R568" s="41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  <c r="BK568" s="41"/>
      <c r="BL568" s="41"/>
      <c r="BM568" s="41"/>
      <c r="BN568" s="41"/>
      <c r="BO568" s="41"/>
      <c r="BP568" s="41"/>
      <c r="BQ568" s="41"/>
      <c r="BR568" s="41"/>
      <c r="BS568" s="41"/>
      <c r="BT568" s="41"/>
      <c r="BU568" s="41"/>
      <c r="BV568" s="41"/>
      <c r="BW568" s="41"/>
      <c r="BX568" s="41"/>
      <c r="BY568" s="41"/>
      <c r="BZ568" s="41"/>
      <c r="CA568" s="41"/>
      <c r="CB568" s="41"/>
      <c r="CC568" s="41"/>
      <c r="CD568" s="41"/>
      <c r="CE568" s="41"/>
      <c r="CF568" s="41"/>
      <c r="CG568" s="41"/>
      <c r="CH568" s="41"/>
      <c r="CI568" s="41"/>
      <c r="CJ568" s="41"/>
      <c r="CK568" s="41"/>
    </row>
    <row r="569" spans="1:89" s="51" customFormat="1" ht="33" customHeight="1">
      <c r="A569" s="74"/>
      <c r="B569" s="74"/>
      <c r="C569" s="74"/>
      <c r="D569" s="74"/>
      <c r="E569" s="74"/>
      <c r="F569" s="74"/>
      <c r="G569" s="75"/>
      <c r="H569" s="76"/>
      <c r="I569" s="52"/>
      <c r="J569" s="52"/>
      <c r="K569" s="52"/>
      <c r="L569" s="41"/>
      <c r="M569" s="41"/>
      <c r="N569" s="41"/>
      <c r="O569" s="41"/>
      <c r="P569" s="41"/>
      <c r="Q569" s="41"/>
      <c r="R569" s="41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  <c r="BL569" s="41"/>
      <c r="BM569" s="41"/>
      <c r="BN569" s="41"/>
      <c r="BO569" s="41"/>
      <c r="BP569" s="41"/>
      <c r="BQ569" s="41"/>
      <c r="BR569" s="41"/>
      <c r="BS569" s="41"/>
      <c r="BT569" s="41"/>
      <c r="BU569" s="41"/>
      <c r="BV569" s="41"/>
      <c r="BW569" s="41"/>
      <c r="BX569" s="41"/>
      <c r="BY569" s="41"/>
      <c r="BZ569" s="41"/>
      <c r="CA569" s="41"/>
      <c r="CB569" s="41"/>
      <c r="CC569" s="41"/>
      <c r="CD569" s="41"/>
      <c r="CE569" s="41"/>
      <c r="CF569" s="41"/>
      <c r="CG569" s="41"/>
      <c r="CH569" s="41"/>
      <c r="CI569" s="41"/>
      <c r="CJ569" s="41"/>
      <c r="CK569" s="41"/>
    </row>
    <row r="570" spans="1:89" s="51" customFormat="1" ht="33" customHeight="1">
      <c r="A570" s="74"/>
      <c r="B570" s="74"/>
      <c r="C570" s="74"/>
      <c r="D570" s="74"/>
      <c r="E570" s="74"/>
      <c r="F570" s="74"/>
      <c r="G570" s="75"/>
      <c r="H570" s="76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53"/>
      <c r="BG570" s="53"/>
      <c r="BH570" s="53"/>
      <c r="BI570" s="53"/>
      <c r="BJ570" s="53"/>
      <c r="BK570" s="53"/>
      <c r="BL570" s="53"/>
      <c r="BM570" s="53"/>
      <c r="BN570" s="53"/>
      <c r="BO570" s="53"/>
      <c r="BP570" s="53"/>
      <c r="BQ570" s="53"/>
      <c r="BR570" s="53"/>
      <c r="BS570" s="53"/>
      <c r="BT570" s="53"/>
      <c r="BU570" s="53"/>
      <c r="BV570" s="53"/>
      <c r="BW570" s="53"/>
      <c r="BX570" s="53"/>
      <c r="BY570" s="53"/>
      <c r="BZ570" s="53"/>
      <c r="CA570" s="53"/>
      <c r="CB570" s="53"/>
      <c r="CC570" s="53"/>
      <c r="CD570" s="53"/>
      <c r="CE570" s="53"/>
      <c r="CF570" s="53"/>
      <c r="CG570" s="53"/>
      <c r="CH570" s="53"/>
      <c r="CI570" s="53"/>
      <c r="CJ570" s="53"/>
      <c r="CK570" s="53"/>
    </row>
    <row r="571" spans="1:89" s="51" customFormat="1" ht="33" customHeight="1">
      <c r="A571" s="74"/>
      <c r="B571" s="74"/>
      <c r="C571" s="74"/>
      <c r="D571" s="74"/>
      <c r="E571" s="74"/>
      <c r="F571" s="74"/>
      <c r="G571" s="75"/>
      <c r="H571" s="76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  <c r="BE571" s="53"/>
      <c r="BF571" s="53"/>
      <c r="BG571" s="53"/>
      <c r="BH571" s="53"/>
      <c r="BI571" s="53"/>
      <c r="BJ571" s="53"/>
      <c r="BK571" s="53"/>
      <c r="BL571" s="53"/>
      <c r="BM571" s="53"/>
      <c r="BN571" s="53"/>
      <c r="BO571" s="53"/>
      <c r="BP571" s="53"/>
      <c r="BQ571" s="53"/>
      <c r="BR571" s="53"/>
      <c r="BS571" s="53"/>
      <c r="BT571" s="53"/>
      <c r="BU571" s="53"/>
      <c r="BV571" s="53"/>
      <c r="BW571" s="53"/>
      <c r="BX571" s="53"/>
      <c r="BY571" s="53"/>
      <c r="BZ571" s="53"/>
      <c r="CA571" s="53"/>
      <c r="CB571" s="53"/>
      <c r="CC571" s="53"/>
      <c r="CD571" s="53"/>
      <c r="CE571" s="53"/>
      <c r="CF571" s="53"/>
      <c r="CG571" s="53"/>
      <c r="CH571" s="53"/>
      <c r="CI571" s="53"/>
      <c r="CJ571" s="53"/>
      <c r="CK571" s="53"/>
    </row>
    <row r="572" spans="1:89" s="51" customFormat="1" ht="33" customHeight="1">
      <c r="A572" s="74"/>
      <c r="B572" s="74"/>
      <c r="C572" s="74"/>
      <c r="D572" s="74"/>
      <c r="E572" s="74"/>
      <c r="F572" s="74"/>
      <c r="G572" s="75"/>
      <c r="H572" s="76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  <c r="BE572" s="53"/>
      <c r="BF572" s="53"/>
      <c r="BG572" s="53"/>
      <c r="BH572" s="53"/>
      <c r="BI572" s="53"/>
      <c r="BJ572" s="53"/>
      <c r="BK572" s="53"/>
      <c r="BL572" s="53"/>
      <c r="BM572" s="53"/>
      <c r="BN572" s="53"/>
      <c r="BO572" s="53"/>
      <c r="BP572" s="53"/>
      <c r="BQ572" s="53"/>
      <c r="BR572" s="53"/>
      <c r="BS572" s="53"/>
      <c r="BT572" s="53"/>
      <c r="BU572" s="53"/>
      <c r="BV572" s="53"/>
      <c r="BW572" s="53"/>
      <c r="BX572" s="53"/>
      <c r="BY572" s="53"/>
      <c r="BZ572" s="53"/>
      <c r="CA572" s="53"/>
      <c r="CB572" s="53"/>
      <c r="CC572" s="53"/>
      <c r="CD572" s="53"/>
      <c r="CE572" s="53"/>
      <c r="CF572" s="53"/>
      <c r="CG572" s="53"/>
      <c r="CH572" s="53"/>
      <c r="CI572" s="53"/>
      <c r="CJ572" s="53"/>
      <c r="CK572" s="53"/>
    </row>
    <row r="573" spans="1:89" s="51" customFormat="1" ht="33" customHeight="1">
      <c r="A573" s="74"/>
      <c r="B573" s="74"/>
      <c r="C573" s="74"/>
      <c r="D573" s="74"/>
      <c r="E573" s="74"/>
      <c r="F573" s="74"/>
      <c r="G573" s="75"/>
      <c r="H573" s="76"/>
      <c r="I573" s="52"/>
      <c r="J573" s="52"/>
      <c r="K573" s="52"/>
      <c r="L573" s="41"/>
      <c r="M573" s="41"/>
      <c r="N573" s="41"/>
      <c r="O573" s="41"/>
      <c r="P573" s="41"/>
      <c r="Q573" s="41"/>
      <c r="R573" s="41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/>
      <c r="BM573" s="41"/>
      <c r="BN573" s="41"/>
      <c r="BO573" s="41"/>
      <c r="BP573" s="41"/>
      <c r="BQ573" s="41"/>
      <c r="BR573" s="41"/>
      <c r="BS573" s="41"/>
      <c r="BT573" s="41"/>
      <c r="BU573" s="41"/>
      <c r="BV573" s="41"/>
      <c r="BW573" s="41"/>
      <c r="BX573" s="41"/>
      <c r="BY573" s="41"/>
      <c r="BZ573" s="41"/>
      <c r="CA573" s="41"/>
      <c r="CB573" s="41"/>
      <c r="CC573" s="41"/>
      <c r="CD573" s="41"/>
      <c r="CE573" s="41"/>
      <c r="CF573" s="41"/>
      <c r="CG573" s="41"/>
      <c r="CH573" s="41"/>
      <c r="CI573" s="41"/>
      <c r="CJ573" s="41"/>
      <c r="CK573" s="41"/>
    </row>
    <row r="574" spans="1:89" s="51" customFormat="1" ht="33" customHeight="1">
      <c r="A574" s="74"/>
      <c r="B574" s="74"/>
      <c r="C574" s="74"/>
      <c r="D574" s="74"/>
      <c r="E574" s="74"/>
      <c r="F574" s="74"/>
      <c r="G574" s="75"/>
      <c r="H574" s="76"/>
      <c r="I574" s="52"/>
      <c r="J574" s="52"/>
      <c r="K574" s="52"/>
      <c r="L574" s="41"/>
      <c r="M574" s="41"/>
      <c r="N574" s="41"/>
      <c r="O574" s="41"/>
      <c r="P574" s="41"/>
      <c r="Q574" s="41"/>
      <c r="R574" s="41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  <c r="BK574" s="41"/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  <c r="CD574" s="41"/>
      <c r="CE574" s="41"/>
      <c r="CF574" s="41"/>
      <c r="CG574" s="41"/>
      <c r="CH574" s="41"/>
      <c r="CI574" s="41"/>
      <c r="CJ574" s="41"/>
      <c r="CK574" s="41"/>
    </row>
    <row r="575" spans="1:89" s="51" customFormat="1" ht="33" customHeight="1">
      <c r="A575" s="74"/>
      <c r="B575" s="74"/>
      <c r="C575" s="74"/>
      <c r="D575" s="74"/>
      <c r="E575" s="74"/>
      <c r="F575" s="74"/>
      <c r="G575" s="75"/>
      <c r="H575" s="76"/>
      <c r="I575" s="52"/>
      <c r="J575" s="52"/>
      <c r="K575" s="52"/>
      <c r="L575" s="41"/>
      <c r="M575" s="41"/>
      <c r="N575" s="41"/>
      <c r="O575" s="41"/>
      <c r="P575" s="41"/>
      <c r="Q575" s="41"/>
      <c r="R575" s="41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41"/>
      <c r="CF575" s="41"/>
      <c r="CG575" s="41"/>
      <c r="CH575" s="41"/>
      <c r="CI575" s="41"/>
      <c r="CJ575" s="41"/>
      <c r="CK575" s="41"/>
    </row>
    <row r="576" spans="1:89" s="51" customFormat="1" ht="33" customHeight="1">
      <c r="A576" s="74"/>
      <c r="B576" s="74"/>
      <c r="C576" s="74"/>
      <c r="D576" s="74"/>
      <c r="E576" s="74"/>
      <c r="F576" s="74"/>
      <c r="G576" s="75"/>
      <c r="H576" s="76"/>
      <c r="I576" s="52"/>
      <c r="J576" s="52"/>
      <c r="K576" s="52"/>
      <c r="L576" s="41"/>
      <c r="M576" s="41"/>
      <c r="N576" s="41"/>
      <c r="O576" s="41"/>
      <c r="P576" s="41"/>
      <c r="Q576" s="41"/>
      <c r="R576" s="41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  <c r="CG576" s="41"/>
      <c r="CH576" s="41"/>
      <c r="CI576" s="41"/>
      <c r="CJ576" s="41"/>
      <c r="CK576" s="41"/>
    </row>
    <row r="577" spans="1:89" s="51" customFormat="1" ht="33" customHeight="1">
      <c r="A577" s="74"/>
      <c r="B577" s="74"/>
      <c r="C577" s="74"/>
      <c r="D577" s="74"/>
      <c r="E577" s="74"/>
      <c r="F577" s="74"/>
      <c r="G577" s="75"/>
      <c r="H577" s="76"/>
      <c r="I577" s="52"/>
      <c r="J577" s="52"/>
      <c r="K577" s="52"/>
      <c r="L577" s="41"/>
      <c r="M577" s="41"/>
      <c r="N577" s="41"/>
      <c r="O577" s="41"/>
      <c r="P577" s="41"/>
      <c r="Q577" s="41"/>
      <c r="R577" s="41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41"/>
      <c r="BO577" s="41"/>
      <c r="BP577" s="41"/>
      <c r="BQ577" s="41"/>
      <c r="BR577" s="41"/>
      <c r="BS577" s="41"/>
      <c r="BT577" s="41"/>
      <c r="BU577" s="41"/>
      <c r="BV577" s="41"/>
      <c r="BW577" s="41"/>
      <c r="BX577" s="41"/>
      <c r="BY577" s="41"/>
      <c r="BZ577" s="41"/>
      <c r="CA577" s="41"/>
      <c r="CB577" s="41"/>
      <c r="CC577" s="41"/>
      <c r="CD577" s="41"/>
      <c r="CE577" s="41"/>
      <c r="CF577" s="41"/>
      <c r="CG577" s="41"/>
      <c r="CH577" s="41"/>
      <c r="CI577" s="41"/>
      <c r="CJ577" s="41"/>
      <c r="CK577" s="41"/>
    </row>
    <row r="578" spans="1:89" s="51" customFormat="1" ht="33" customHeight="1">
      <c r="A578" s="74"/>
      <c r="B578" s="74"/>
      <c r="C578" s="74"/>
      <c r="D578" s="74"/>
      <c r="E578" s="74"/>
      <c r="F578" s="74"/>
      <c r="G578" s="75"/>
      <c r="H578" s="76"/>
      <c r="I578" s="52"/>
      <c r="J578" s="52"/>
      <c r="K578" s="52"/>
      <c r="L578" s="41"/>
      <c r="M578" s="41"/>
      <c r="N578" s="41"/>
      <c r="O578" s="41"/>
      <c r="P578" s="41"/>
      <c r="Q578" s="41"/>
      <c r="R578" s="41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/>
      <c r="BM578" s="41"/>
      <c r="BN578" s="41"/>
      <c r="BO578" s="41"/>
      <c r="BP578" s="41"/>
      <c r="BQ578" s="41"/>
      <c r="BR578" s="41"/>
      <c r="BS578" s="41"/>
      <c r="BT578" s="41"/>
      <c r="BU578" s="41"/>
      <c r="BV578" s="41"/>
      <c r="BW578" s="41"/>
      <c r="BX578" s="41"/>
      <c r="BY578" s="41"/>
      <c r="BZ578" s="41"/>
      <c r="CA578" s="41"/>
      <c r="CB578" s="41"/>
      <c r="CC578" s="41"/>
      <c r="CD578" s="41"/>
      <c r="CE578" s="41"/>
      <c r="CF578" s="41"/>
      <c r="CG578" s="41"/>
      <c r="CH578" s="41"/>
      <c r="CI578" s="41"/>
      <c r="CJ578" s="41"/>
      <c r="CK578" s="41"/>
    </row>
    <row r="579" spans="1:89" s="51" customFormat="1" ht="33" customHeight="1">
      <c r="A579" s="74"/>
      <c r="B579" s="74"/>
      <c r="C579" s="74"/>
      <c r="D579" s="74"/>
      <c r="E579" s="74"/>
      <c r="F579" s="74"/>
      <c r="G579" s="75"/>
      <c r="H579" s="76"/>
      <c r="I579" s="52"/>
      <c r="J579" s="52"/>
      <c r="K579" s="52"/>
      <c r="L579" s="41"/>
      <c r="M579" s="41"/>
      <c r="N579" s="41"/>
      <c r="O579" s="41"/>
      <c r="P579" s="41"/>
      <c r="Q579" s="41"/>
      <c r="R579" s="41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  <c r="BK579" s="41"/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  <c r="CD579" s="41"/>
      <c r="CE579" s="41"/>
      <c r="CF579" s="41"/>
      <c r="CG579" s="41"/>
      <c r="CH579" s="41"/>
      <c r="CI579" s="41"/>
      <c r="CJ579" s="41"/>
      <c r="CK579" s="41"/>
    </row>
    <row r="580" spans="1:89" s="51" customFormat="1" ht="33" customHeight="1">
      <c r="A580" s="74"/>
      <c r="B580" s="74"/>
      <c r="C580" s="74"/>
      <c r="D580" s="74"/>
      <c r="E580" s="74"/>
      <c r="F580" s="74"/>
      <c r="G580" s="75"/>
      <c r="H580" s="76"/>
      <c r="I580" s="52"/>
      <c r="J580" s="52"/>
      <c r="K580" s="52"/>
      <c r="L580" s="41"/>
      <c r="M580" s="41"/>
      <c r="N580" s="41"/>
      <c r="O580" s="41"/>
      <c r="P580" s="41"/>
      <c r="Q580" s="41"/>
      <c r="R580" s="41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41"/>
      <c r="CF580" s="41"/>
      <c r="CG580" s="41"/>
      <c r="CH580" s="41"/>
      <c r="CI580" s="41"/>
      <c r="CJ580" s="41"/>
      <c r="CK580" s="41"/>
    </row>
    <row r="581" spans="1:89" s="51" customFormat="1" ht="33" customHeight="1">
      <c r="A581" s="74"/>
      <c r="B581" s="74"/>
      <c r="C581" s="74"/>
      <c r="D581" s="74"/>
      <c r="E581" s="74"/>
      <c r="F581" s="74"/>
      <c r="G581" s="75"/>
      <c r="H581" s="76"/>
      <c r="I581" s="52"/>
      <c r="J581" s="52"/>
      <c r="K581" s="52"/>
      <c r="L581" s="41"/>
      <c r="M581" s="41"/>
      <c r="N581" s="41"/>
      <c r="O581" s="41"/>
      <c r="P581" s="41"/>
      <c r="Q581" s="41"/>
      <c r="R581" s="41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  <c r="CG581" s="41"/>
      <c r="CH581" s="41"/>
      <c r="CI581" s="41"/>
      <c r="CJ581" s="41"/>
      <c r="CK581" s="41"/>
    </row>
    <row r="582" spans="1:89" s="51" customFormat="1" ht="33" customHeight="1">
      <c r="A582" s="74"/>
      <c r="B582" s="74"/>
      <c r="C582" s="74"/>
      <c r="D582" s="74"/>
      <c r="E582" s="74"/>
      <c r="F582" s="74"/>
      <c r="G582" s="75"/>
      <c r="H582" s="76"/>
      <c r="I582" s="52"/>
      <c r="J582" s="52"/>
      <c r="K582" s="52"/>
      <c r="L582" s="41"/>
      <c r="M582" s="41"/>
      <c r="N582" s="41"/>
      <c r="O582" s="41"/>
      <c r="P582" s="41"/>
      <c r="Q582" s="41"/>
      <c r="R582" s="41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1"/>
      <c r="BX582" s="41"/>
      <c r="BY582" s="41"/>
      <c r="BZ582" s="41"/>
      <c r="CA582" s="41"/>
      <c r="CB582" s="41"/>
      <c r="CC582" s="41"/>
      <c r="CD582" s="41"/>
      <c r="CE582" s="41"/>
      <c r="CF582" s="41"/>
      <c r="CG582" s="41"/>
      <c r="CH582" s="41"/>
      <c r="CI582" s="41"/>
      <c r="CJ582" s="41"/>
      <c r="CK582" s="41"/>
    </row>
    <row r="583" spans="1:89" s="51" customFormat="1" ht="33" customHeight="1">
      <c r="A583" s="74"/>
      <c r="B583" s="74"/>
      <c r="C583" s="74"/>
      <c r="D583" s="74"/>
      <c r="E583" s="74"/>
      <c r="F583" s="74"/>
      <c r="G583" s="75"/>
      <c r="H583" s="76"/>
      <c r="I583" s="52"/>
      <c r="J583" s="52"/>
      <c r="K583" s="52"/>
      <c r="L583" s="41"/>
      <c r="M583" s="41"/>
      <c r="N583" s="41"/>
      <c r="O583" s="41"/>
      <c r="P583" s="41"/>
      <c r="Q583" s="41"/>
      <c r="R583" s="41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  <c r="BL583" s="41"/>
      <c r="BM583" s="41"/>
      <c r="BN583" s="41"/>
      <c r="BO583" s="41"/>
      <c r="BP583" s="41"/>
      <c r="BQ583" s="41"/>
      <c r="BR583" s="41"/>
      <c r="BS583" s="41"/>
      <c r="BT583" s="41"/>
      <c r="BU583" s="41"/>
      <c r="BV583" s="41"/>
      <c r="BW583" s="41"/>
      <c r="BX583" s="41"/>
      <c r="BY583" s="41"/>
      <c r="BZ583" s="41"/>
      <c r="CA583" s="41"/>
      <c r="CB583" s="41"/>
      <c r="CC583" s="41"/>
      <c r="CD583" s="41"/>
      <c r="CE583" s="41"/>
      <c r="CF583" s="41"/>
      <c r="CG583" s="41"/>
      <c r="CH583" s="41"/>
      <c r="CI583" s="41"/>
      <c r="CJ583" s="41"/>
      <c r="CK583" s="41"/>
    </row>
    <row r="584" spans="1:89" s="51" customFormat="1" ht="33" customHeight="1">
      <c r="A584" s="74"/>
      <c r="B584" s="74"/>
      <c r="C584" s="74"/>
      <c r="D584" s="74"/>
      <c r="E584" s="74"/>
      <c r="F584" s="74"/>
      <c r="G584" s="75"/>
      <c r="H584" s="76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  <c r="BE584" s="53"/>
      <c r="BF584" s="53"/>
      <c r="BG584" s="53"/>
      <c r="BH584" s="53"/>
      <c r="BI584" s="53"/>
      <c r="BJ584" s="53"/>
      <c r="BK584" s="53"/>
      <c r="BL584" s="53"/>
      <c r="BM584" s="53"/>
      <c r="BN584" s="53"/>
      <c r="BO584" s="53"/>
      <c r="BP584" s="53"/>
      <c r="BQ584" s="53"/>
      <c r="BR584" s="53"/>
      <c r="BS584" s="53"/>
      <c r="BT584" s="53"/>
      <c r="BU584" s="53"/>
      <c r="BV584" s="53"/>
      <c r="BW584" s="53"/>
      <c r="BX584" s="53"/>
      <c r="BY584" s="53"/>
      <c r="BZ584" s="53"/>
      <c r="CA584" s="53"/>
      <c r="CB584" s="53"/>
      <c r="CC584" s="53"/>
      <c r="CD584" s="53"/>
      <c r="CE584" s="53"/>
      <c r="CF584" s="53"/>
      <c r="CG584" s="53"/>
      <c r="CH584" s="53"/>
      <c r="CI584" s="53"/>
      <c r="CJ584" s="53"/>
      <c r="CK584" s="53"/>
    </row>
    <row r="585" spans="1:89" s="51" customFormat="1" ht="33" customHeight="1">
      <c r="A585" s="74"/>
      <c r="B585" s="74"/>
      <c r="C585" s="74"/>
      <c r="D585" s="74"/>
      <c r="E585" s="74"/>
      <c r="F585" s="74"/>
      <c r="G585" s="75"/>
      <c r="H585" s="76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  <c r="BE585" s="53"/>
      <c r="BF585" s="53"/>
      <c r="BG585" s="53"/>
      <c r="BH585" s="53"/>
      <c r="BI585" s="53"/>
      <c r="BJ585" s="53"/>
      <c r="BK585" s="53"/>
      <c r="BL585" s="53"/>
      <c r="BM585" s="53"/>
      <c r="BN585" s="53"/>
      <c r="BO585" s="53"/>
      <c r="BP585" s="53"/>
      <c r="BQ585" s="53"/>
      <c r="BR585" s="53"/>
      <c r="BS585" s="53"/>
      <c r="BT585" s="53"/>
      <c r="BU585" s="53"/>
      <c r="BV585" s="53"/>
      <c r="BW585" s="53"/>
      <c r="BX585" s="53"/>
      <c r="BY585" s="53"/>
      <c r="BZ585" s="53"/>
      <c r="CA585" s="53"/>
      <c r="CB585" s="53"/>
      <c r="CC585" s="53"/>
      <c r="CD585" s="53"/>
      <c r="CE585" s="53"/>
      <c r="CF585" s="53"/>
      <c r="CG585" s="53"/>
      <c r="CH585" s="53"/>
      <c r="CI585" s="53"/>
      <c r="CJ585" s="53"/>
      <c r="CK585" s="53"/>
    </row>
    <row r="586" spans="1:89" s="51" customFormat="1" ht="33" customHeight="1">
      <c r="A586" s="74"/>
      <c r="B586" s="74"/>
      <c r="C586" s="74"/>
      <c r="D586" s="74"/>
      <c r="E586" s="74"/>
      <c r="F586" s="74"/>
      <c r="G586" s="75"/>
      <c r="H586" s="76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  <c r="BE586" s="53"/>
      <c r="BF586" s="53"/>
      <c r="BG586" s="53"/>
      <c r="BH586" s="53"/>
      <c r="BI586" s="53"/>
      <c r="BJ586" s="53"/>
      <c r="BK586" s="53"/>
      <c r="BL586" s="53"/>
      <c r="BM586" s="53"/>
      <c r="BN586" s="53"/>
      <c r="BO586" s="53"/>
      <c r="BP586" s="53"/>
      <c r="BQ586" s="53"/>
      <c r="BR586" s="53"/>
      <c r="BS586" s="53"/>
      <c r="BT586" s="53"/>
      <c r="BU586" s="53"/>
      <c r="BV586" s="53"/>
      <c r="BW586" s="53"/>
      <c r="BX586" s="53"/>
      <c r="BY586" s="53"/>
      <c r="BZ586" s="53"/>
      <c r="CA586" s="53"/>
      <c r="CB586" s="53"/>
      <c r="CC586" s="53"/>
      <c r="CD586" s="53"/>
      <c r="CE586" s="53"/>
      <c r="CF586" s="53"/>
      <c r="CG586" s="53"/>
      <c r="CH586" s="53"/>
      <c r="CI586" s="53"/>
      <c r="CJ586" s="53"/>
      <c r="CK586" s="53"/>
    </row>
    <row r="587" spans="1:89" s="51" customFormat="1" ht="33" customHeight="1">
      <c r="A587" s="74"/>
      <c r="B587" s="74"/>
      <c r="C587" s="74"/>
      <c r="D587" s="74"/>
      <c r="E587" s="74"/>
      <c r="F587" s="74"/>
      <c r="G587" s="75"/>
      <c r="H587" s="76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3"/>
      <c r="BF587" s="53"/>
      <c r="BG587" s="53"/>
      <c r="BH587" s="53"/>
      <c r="BI587" s="53"/>
      <c r="BJ587" s="53"/>
      <c r="BK587" s="53"/>
      <c r="BL587" s="53"/>
      <c r="BM587" s="53"/>
      <c r="BN587" s="53"/>
      <c r="BO587" s="53"/>
      <c r="BP587" s="53"/>
      <c r="BQ587" s="53"/>
      <c r="BR587" s="53"/>
      <c r="BS587" s="53"/>
      <c r="BT587" s="53"/>
      <c r="BU587" s="53"/>
      <c r="BV587" s="53"/>
      <c r="BW587" s="53"/>
      <c r="BX587" s="53"/>
      <c r="BY587" s="53"/>
      <c r="BZ587" s="53"/>
      <c r="CA587" s="53"/>
      <c r="CB587" s="53"/>
      <c r="CC587" s="53"/>
      <c r="CD587" s="53"/>
      <c r="CE587" s="53"/>
      <c r="CF587" s="53"/>
      <c r="CG587" s="53"/>
      <c r="CH587" s="53"/>
      <c r="CI587" s="53"/>
      <c r="CJ587" s="53"/>
      <c r="CK587" s="53"/>
    </row>
    <row r="588" spans="1:89" s="51" customFormat="1" ht="33" customHeight="1">
      <c r="A588" s="74"/>
      <c r="B588" s="74"/>
      <c r="C588" s="74"/>
      <c r="D588" s="74"/>
      <c r="E588" s="74"/>
      <c r="F588" s="74"/>
      <c r="G588" s="75"/>
      <c r="H588" s="76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  <c r="BE588" s="53"/>
      <c r="BF588" s="53"/>
      <c r="BG588" s="53"/>
      <c r="BH588" s="53"/>
      <c r="BI588" s="53"/>
      <c r="BJ588" s="53"/>
      <c r="BK588" s="53"/>
      <c r="BL588" s="53"/>
      <c r="BM588" s="53"/>
      <c r="BN588" s="53"/>
      <c r="BO588" s="53"/>
      <c r="BP588" s="53"/>
      <c r="BQ588" s="53"/>
      <c r="BR588" s="53"/>
      <c r="BS588" s="53"/>
      <c r="BT588" s="53"/>
      <c r="BU588" s="53"/>
      <c r="BV588" s="53"/>
      <c r="BW588" s="53"/>
      <c r="BX588" s="53"/>
      <c r="BY588" s="53"/>
      <c r="BZ588" s="53"/>
      <c r="CA588" s="53"/>
      <c r="CB588" s="53"/>
      <c r="CC588" s="53"/>
      <c r="CD588" s="53"/>
      <c r="CE588" s="53"/>
      <c r="CF588" s="53"/>
      <c r="CG588" s="53"/>
      <c r="CH588" s="53"/>
      <c r="CI588" s="53"/>
      <c r="CJ588" s="53"/>
      <c r="CK588" s="53"/>
    </row>
    <row r="589" spans="1:89" s="51" customFormat="1" ht="33" customHeight="1">
      <c r="A589" s="74"/>
      <c r="B589" s="74"/>
      <c r="C589" s="74"/>
      <c r="D589" s="74"/>
      <c r="E589" s="74"/>
      <c r="F589" s="74"/>
      <c r="G589" s="75"/>
      <c r="H589" s="76"/>
      <c r="I589" s="52"/>
      <c r="J589" s="52"/>
      <c r="K589" s="52"/>
      <c r="L589" s="41"/>
      <c r="M589" s="41"/>
      <c r="N589" s="41"/>
      <c r="O589" s="41"/>
      <c r="P589" s="41"/>
      <c r="Q589" s="41"/>
      <c r="R589" s="41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  <c r="BV589" s="41"/>
      <c r="BW589" s="41"/>
      <c r="BX589" s="41"/>
      <c r="BY589" s="41"/>
      <c r="BZ589" s="41"/>
      <c r="CA589" s="41"/>
      <c r="CB589" s="41"/>
      <c r="CC589" s="41"/>
      <c r="CD589" s="41"/>
      <c r="CE589" s="41"/>
      <c r="CF589" s="41"/>
      <c r="CG589" s="41"/>
      <c r="CH589" s="41"/>
      <c r="CI589" s="41"/>
      <c r="CJ589" s="41"/>
      <c r="CK589" s="41"/>
    </row>
    <row r="590" spans="1:89" s="51" customFormat="1" ht="33" customHeight="1">
      <c r="A590" s="74"/>
      <c r="B590" s="74"/>
      <c r="C590" s="74"/>
      <c r="D590" s="74"/>
      <c r="E590" s="74"/>
      <c r="F590" s="74"/>
      <c r="G590" s="75"/>
      <c r="H590" s="76"/>
      <c r="I590" s="52"/>
      <c r="J590" s="52"/>
      <c r="K590" s="52"/>
      <c r="L590" s="41"/>
      <c r="M590" s="41"/>
      <c r="N590" s="41"/>
      <c r="O590" s="41"/>
      <c r="P590" s="41"/>
      <c r="Q590" s="41"/>
      <c r="R590" s="41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1"/>
      <c r="CA590" s="41"/>
      <c r="CB590" s="41"/>
      <c r="CC590" s="41"/>
      <c r="CD590" s="41"/>
      <c r="CE590" s="41"/>
      <c r="CF590" s="41"/>
      <c r="CG590" s="41"/>
      <c r="CH590" s="41"/>
      <c r="CI590" s="41"/>
      <c r="CJ590" s="41"/>
      <c r="CK590" s="41"/>
    </row>
    <row r="591" spans="1:89" s="51" customFormat="1" ht="33" customHeight="1">
      <c r="A591" s="74"/>
      <c r="B591" s="74"/>
      <c r="C591" s="74"/>
      <c r="D591" s="74"/>
      <c r="E591" s="74"/>
      <c r="F591" s="74"/>
      <c r="G591" s="75"/>
      <c r="H591" s="76"/>
      <c r="I591" s="52"/>
      <c r="J591" s="52"/>
      <c r="K591" s="52"/>
      <c r="L591" s="41"/>
      <c r="M591" s="41"/>
      <c r="N591" s="41"/>
      <c r="O591" s="41"/>
      <c r="P591" s="41"/>
      <c r="Q591" s="41"/>
      <c r="R591" s="41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  <c r="BV591" s="41"/>
      <c r="BW591" s="41"/>
      <c r="BX591" s="41"/>
      <c r="BY591" s="41"/>
      <c r="BZ591" s="41"/>
      <c r="CA591" s="41"/>
      <c r="CB591" s="41"/>
      <c r="CC591" s="41"/>
      <c r="CD591" s="41"/>
      <c r="CE591" s="41"/>
      <c r="CF591" s="41"/>
      <c r="CG591" s="41"/>
      <c r="CH591" s="41"/>
      <c r="CI591" s="41"/>
      <c r="CJ591" s="41"/>
      <c r="CK591" s="41"/>
    </row>
    <row r="592" spans="1:89" s="51" customFormat="1" ht="33" customHeight="1">
      <c r="A592" s="74"/>
      <c r="B592" s="74"/>
      <c r="C592" s="74"/>
      <c r="D592" s="74"/>
      <c r="E592" s="74"/>
      <c r="F592" s="74"/>
      <c r="G592" s="75"/>
      <c r="H592" s="76"/>
      <c r="I592" s="52"/>
      <c r="J592" s="52"/>
      <c r="K592" s="52"/>
      <c r="L592" s="41"/>
      <c r="M592" s="41"/>
      <c r="N592" s="41"/>
      <c r="O592" s="41"/>
      <c r="P592" s="41"/>
      <c r="Q592" s="41"/>
      <c r="R592" s="41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  <c r="BV592" s="41"/>
      <c r="BW592" s="41"/>
      <c r="BX592" s="41"/>
      <c r="BY592" s="41"/>
      <c r="BZ592" s="41"/>
      <c r="CA592" s="41"/>
      <c r="CB592" s="41"/>
      <c r="CC592" s="41"/>
      <c r="CD592" s="41"/>
      <c r="CE592" s="41"/>
      <c r="CF592" s="41"/>
      <c r="CG592" s="41"/>
      <c r="CH592" s="41"/>
      <c r="CI592" s="41"/>
      <c r="CJ592" s="41"/>
      <c r="CK592" s="41"/>
    </row>
    <row r="593" spans="1:89" s="51" customFormat="1" ht="33" customHeight="1">
      <c r="A593" s="74"/>
      <c r="B593" s="74"/>
      <c r="C593" s="74"/>
      <c r="D593" s="74"/>
      <c r="E593" s="74"/>
      <c r="F593" s="74"/>
      <c r="G593" s="75"/>
      <c r="H593" s="76"/>
      <c r="I593" s="52"/>
      <c r="J593" s="52"/>
      <c r="K593" s="52"/>
      <c r="L593" s="41"/>
      <c r="M593" s="41"/>
      <c r="N593" s="41"/>
      <c r="O593" s="41"/>
      <c r="P593" s="41"/>
      <c r="Q593" s="41"/>
      <c r="R593" s="41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  <c r="BV593" s="41"/>
      <c r="BW593" s="41"/>
      <c r="BX593" s="41"/>
      <c r="BY593" s="41"/>
      <c r="BZ593" s="41"/>
      <c r="CA593" s="41"/>
      <c r="CB593" s="41"/>
      <c r="CC593" s="41"/>
      <c r="CD593" s="41"/>
      <c r="CE593" s="41"/>
      <c r="CF593" s="41"/>
      <c r="CG593" s="41"/>
      <c r="CH593" s="41"/>
      <c r="CI593" s="41"/>
      <c r="CJ593" s="41"/>
      <c r="CK593" s="41"/>
    </row>
    <row r="594" spans="1:89" s="51" customFormat="1" ht="33" customHeight="1">
      <c r="A594" s="74"/>
      <c r="B594" s="74"/>
      <c r="C594" s="74"/>
      <c r="D594" s="74"/>
      <c r="E594" s="74"/>
      <c r="F594" s="74"/>
      <c r="G594" s="75"/>
      <c r="H594" s="76"/>
      <c r="I594" s="52"/>
      <c r="J594" s="52"/>
      <c r="K594" s="52"/>
      <c r="L594" s="41"/>
      <c r="M594" s="41"/>
      <c r="N594" s="41"/>
      <c r="O594" s="41"/>
      <c r="P594" s="41"/>
      <c r="Q594" s="41"/>
      <c r="R594" s="41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  <c r="BV594" s="41"/>
      <c r="BW594" s="41"/>
      <c r="BX594" s="41"/>
      <c r="BY594" s="41"/>
      <c r="BZ594" s="41"/>
      <c r="CA594" s="41"/>
      <c r="CB594" s="41"/>
      <c r="CC594" s="41"/>
      <c r="CD594" s="41"/>
      <c r="CE594" s="41"/>
      <c r="CF594" s="41"/>
      <c r="CG594" s="41"/>
      <c r="CH594" s="41"/>
      <c r="CI594" s="41"/>
      <c r="CJ594" s="41"/>
      <c r="CK594" s="41"/>
    </row>
    <row r="595" spans="1:89" s="51" customFormat="1" ht="33" customHeight="1">
      <c r="A595" s="74"/>
      <c r="B595" s="74"/>
      <c r="C595" s="74"/>
      <c r="D595" s="74"/>
      <c r="E595" s="74"/>
      <c r="F595" s="74"/>
      <c r="G595" s="75"/>
      <c r="H595" s="76"/>
      <c r="I595" s="52"/>
      <c r="J595" s="52"/>
      <c r="K595" s="52"/>
      <c r="L595" s="41"/>
      <c r="M595" s="41"/>
      <c r="N595" s="41"/>
      <c r="O595" s="41"/>
      <c r="P595" s="41"/>
      <c r="Q595" s="41"/>
      <c r="R595" s="41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  <c r="BV595" s="41"/>
      <c r="BW595" s="41"/>
      <c r="BX595" s="41"/>
      <c r="BY595" s="41"/>
      <c r="BZ595" s="41"/>
      <c r="CA595" s="41"/>
      <c r="CB595" s="41"/>
      <c r="CC595" s="41"/>
      <c r="CD595" s="41"/>
      <c r="CE595" s="41"/>
      <c r="CF595" s="41"/>
      <c r="CG595" s="41"/>
      <c r="CH595" s="41"/>
      <c r="CI595" s="41"/>
      <c r="CJ595" s="41"/>
      <c r="CK595" s="41"/>
    </row>
    <row r="596" spans="1:89" s="51" customFormat="1" ht="33" customHeight="1">
      <c r="A596" s="74"/>
      <c r="B596" s="74"/>
      <c r="C596" s="74"/>
      <c r="D596" s="74"/>
      <c r="E596" s="74"/>
      <c r="F596" s="74"/>
      <c r="G596" s="75"/>
      <c r="H596" s="76"/>
      <c r="I596" s="52"/>
      <c r="J596" s="52"/>
      <c r="K596" s="52"/>
      <c r="L596" s="41"/>
      <c r="M596" s="41"/>
      <c r="N596" s="41"/>
      <c r="O596" s="41"/>
      <c r="P596" s="41"/>
      <c r="Q596" s="41"/>
      <c r="R596" s="41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  <c r="BV596" s="41"/>
      <c r="BW596" s="41"/>
      <c r="BX596" s="41"/>
      <c r="BY596" s="41"/>
      <c r="BZ596" s="41"/>
      <c r="CA596" s="41"/>
      <c r="CB596" s="41"/>
      <c r="CC596" s="41"/>
      <c r="CD596" s="41"/>
      <c r="CE596" s="41"/>
      <c r="CF596" s="41"/>
      <c r="CG596" s="41"/>
      <c r="CH596" s="41"/>
      <c r="CI596" s="41"/>
      <c r="CJ596" s="41"/>
      <c r="CK596" s="41"/>
    </row>
    <row r="597" spans="1:89" s="51" customFormat="1" ht="33" customHeight="1">
      <c r="A597" s="74"/>
      <c r="B597" s="74"/>
      <c r="C597" s="74"/>
      <c r="D597" s="74"/>
      <c r="E597" s="74"/>
      <c r="F597" s="74"/>
      <c r="G597" s="75"/>
      <c r="H597" s="76"/>
      <c r="I597" s="52"/>
      <c r="J597" s="52"/>
      <c r="K597" s="52"/>
      <c r="L597" s="41"/>
      <c r="M597" s="41"/>
      <c r="N597" s="41"/>
      <c r="O597" s="41"/>
      <c r="P597" s="41"/>
      <c r="Q597" s="41"/>
      <c r="R597" s="41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  <c r="BV597" s="41"/>
      <c r="BW597" s="41"/>
      <c r="BX597" s="41"/>
      <c r="BY597" s="41"/>
      <c r="BZ597" s="41"/>
      <c r="CA597" s="41"/>
      <c r="CB597" s="41"/>
      <c r="CC597" s="41"/>
      <c r="CD597" s="41"/>
      <c r="CE597" s="41"/>
      <c r="CF597" s="41"/>
      <c r="CG597" s="41"/>
      <c r="CH597" s="41"/>
      <c r="CI597" s="41"/>
      <c r="CJ597" s="41"/>
      <c r="CK597" s="41"/>
    </row>
    <row r="598" spans="1:89" s="25" customFormat="1" ht="33" customHeight="1">
      <c r="A598" s="74"/>
      <c r="B598" s="74"/>
      <c r="C598" s="74"/>
      <c r="D598" s="74"/>
      <c r="E598" s="74"/>
      <c r="F598" s="74"/>
      <c r="G598" s="75"/>
      <c r="H598" s="76"/>
      <c r="I598" s="52"/>
      <c r="J598" s="52"/>
      <c r="K598" s="52"/>
      <c r="L598" s="41"/>
      <c r="M598" s="41"/>
      <c r="N598" s="41"/>
      <c r="O598" s="41"/>
      <c r="P598" s="41"/>
      <c r="Q598" s="41"/>
      <c r="R598" s="41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/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1"/>
      <c r="CA598" s="41"/>
      <c r="CB598" s="41"/>
      <c r="CC598" s="41"/>
      <c r="CD598" s="41"/>
      <c r="CE598" s="41"/>
      <c r="CF598" s="41"/>
      <c r="CG598" s="41"/>
      <c r="CH598" s="41"/>
      <c r="CI598" s="41"/>
      <c r="CJ598" s="41"/>
      <c r="CK598" s="41"/>
    </row>
    <row r="599" spans="1:89" s="25" customFormat="1" ht="33" customHeight="1">
      <c r="A599" s="74"/>
      <c r="B599" s="74"/>
      <c r="C599" s="74"/>
      <c r="D599" s="74"/>
      <c r="E599" s="74"/>
      <c r="F599" s="74"/>
      <c r="G599" s="75"/>
      <c r="H599" s="76"/>
      <c r="I599" s="52"/>
      <c r="J599" s="52"/>
      <c r="K599" s="52"/>
      <c r="L599" s="41"/>
      <c r="M599" s="41"/>
      <c r="N599" s="41"/>
      <c r="O599" s="41"/>
      <c r="P599" s="41"/>
      <c r="Q599" s="41"/>
      <c r="R599" s="41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  <c r="BK599" s="41"/>
      <c r="BL599" s="41"/>
      <c r="BM599" s="41"/>
      <c r="BN599" s="41"/>
      <c r="BO599" s="41"/>
      <c r="BP599" s="41"/>
      <c r="BQ599" s="41"/>
      <c r="BR599" s="41"/>
      <c r="BS599" s="41"/>
      <c r="BT599" s="41"/>
      <c r="BU599" s="41"/>
      <c r="BV599" s="41"/>
      <c r="BW599" s="41"/>
      <c r="BX599" s="41"/>
      <c r="BY599" s="41"/>
      <c r="BZ599" s="41"/>
      <c r="CA599" s="41"/>
      <c r="CB599" s="41"/>
      <c r="CC599" s="41"/>
      <c r="CD599" s="41"/>
      <c r="CE599" s="41"/>
      <c r="CF599" s="41"/>
      <c r="CG599" s="41"/>
      <c r="CH599" s="41"/>
      <c r="CI599" s="41"/>
      <c r="CJ599" s="41"/>
      <c r="CK599" s="41"/>
    </row>
    <row r="600" spans="1:89" s="25" customFormat="1" ht="33" customHeight="1">
      <c r="A600" s="74"/>
      <c r="B600" s="74"/>
      <c r="C600" s="74"/>
      <c r="D600" s="74"/>
      <c r="E600" s="74"/>
      <c r="F600" s="74"/>
      <c r="G600" s="75"/>
      <c r="H600" s="76"/>
      <c r="I600" s="52"/>
      <c r="J600" s="52"/>
      <c r="K600" s="52"/>
      <c r="L600" s="41"/>
      <c r="M600" s="41"/>
      <c r="N600" s="41"/>
      <c r="O600" s="41"/>
      <c r="P600" s="41"/>
      <c r="Q600" s="41"/>
      <c r="R600" s="41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  <c r="BL600" s="41"/>
      <c r="BM600" s="41"/>
      <c r="BN600" s="41"/>
      <c r="BO600" s="41"/>
      <c r="BP600" s="41"/>
      <c r="BQ600" s="41"/>
      <c r="BR600" s="41"/>
      <c r="BS600" s="41"/>
      <c r="BT600" s="41"/>
      <c r="BU600" s="41"/>
      <c r="BV600" s="41"/>
      <c r="BW600" s="41"/>
      <c r="BX600" s="41"/>
      <c r="BY600" s="41"/>
      <c r="BZ600" s="41"/>
      <c r="CA600" s="41"/>
      <c r="CB600" s="41"/>
      <c r="CC600" s="41"/>
      <c r="CD600" s="41"/>
      <c r="CE600" s="41"/>
      <c r="CF600" s="41"/>
      <c r="CG600" s="41"/>
      <c r="CH600" s="41"/>
      <c r="CI600" s="41"/>
      <c r="CJ600" s="41"/>
      <c r="CK600" s="41"/>
    </row>
    <row r="601" spans="1:89" s="25" customFormat="1" ht="33" customHeight="1">
      <c r="A601" s="74"/>
      <c r="B601" s="74"/>
      <c r="C601" s="74"/>
      <c r="D601" s="74"/>
      <c r="E601" s="74"/>
      <c r="F601" s="74"/>
      <c r="G601" s="75"/>
      <c r="H601" s="76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  <c r="BE601" s="53"/>
      <c r="BF601" s="53"/>
      <c r="BG601" s="53"/>
      <c r="BH601" s="53"/>
      <c r="BI601" s="53"/>
      <c r="BJ601" s="53"/>
      <c r="BK601" s="53"/>
      <c r="BL601" s="53"/>
      <c r="BM601" s="53"/>
      <c r="BN601" s="53"/>
      <c r="BO601" s="53"/>
      <c r="BP601" s="53"/>
      <c r="BQ601" s="53"/>
      <c r="BR601" s="53"/>
      <c r="BS601" s="53"/>
      <c r="BT601" s="53"/>
      <c r="BU601" s="53"/>
      <c r="BV601" s="53"/>
      <c r="BW601" s="53"/>
      <c r="BX601" s="53"/>
      <c r="BY601" s="53"/>
      <c r="BZ601" s="53"/>
      <c r="CA601" s="53"/>
      <c r="CB601" s="53"/>
      <c r="CC601" s="53"/>
      <c r="CD601" s="53"/>
      <c r="CE601" s="53"/>
      <c r="CF601" s="53"/>
      <c r="CG601" s="53"/>
      <c r="CH601" s="53"/>
      <c r="CI601" s="53"/>
      <c r="CJ601" s="53"/>
      <c r="CK601" s="53"/>
    </row>
    <row r="602" spans="1:89" s="25" customFormat="1" ht="33" customHeight="1">
      <c r="A602" s="74"/>
      <c r="B602" s="74"/>
      <c r="C602" s="74"/>
      <c r="D602" s="74"/>
      <c r="E602" s="74"/>
      <c r="F602" s="74"/>
      <c r="G602" s="75"/>
      <c r="H602" s="76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  <c r="BE602" s="53"/>
      <c r="BF602" s="53"/>
      <c r="BG602" s="53"/>
      <c r="BH602" s="53"/>
      <c r="BI602" s="53"/>
      <c r="BJ602" s="53"/>
      <c r="BK602" s="53"/>
      <c r="BL602" s="53"/>
      <c r="BM602" s="53"/>
      <c r="BN602" s="53"/>
      <c r="BO602" s="53"/>
      <c r="BP602" s="53"/>
      <c r="BQ602" s="53"/>
      <c r="BR602" s="53"/>
      <c r="BS602" s="53"/>
      <c r="BT602" s="53"/>
      <c r="BU602" s="53"/>
      <c r="BV602" s="53"/>
      <c r="BW602" s="53"/>
      <c r="BX602" s="53"/>
      <c r="BY602" s="53"/>
      <c r="BZ602" s="53"/>
      <c r="CA602" s="53"/>
      <c r="CB602" s="53"/>
      <c r="CC602" s="53"/>
      <c r="CD602" s="53"/>
      <c r="CE602" s="53"/>
      <c r="CF602" s="53"/>
      <c r="CG602" s="53"/>
      <c r="CH602" s="53"/>
      <c r="CI602" s="53"/>
      <c r="CJ602" s="53"/>
      <c r="CK602" s="53"/>
    </row>
    <row r="603" spans="1:89" s="25" customFormat="1" ht="33" customHeight="1">
      <c r="A603" s="74"/>
      <c r="B603" s="74"/>
      <c r="C603" s="74"/>
      <c r="D603" s="74"/>
      <c r="E603" s="74"/>
      <c r="F603" s="74"/>
      <c r="G603" s="75"/>
      <c r="H603" s="76"/>
      <c r="I603" s="52"/>
      <c r="J603" s="52"/>
      <c r="K603" s="52"/>
      <c r="L603" s="41"/>
      <c r="M603" s="41"/>
      <c r="N603" s="41"/>
      <c r="O603" s="41"/>
      <c r="P603" s="41"/>
      <c r="Q603" s="41"/>
      <c r="R603" s="41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  <c r="BO603" s="41"/>
      <c r="BP603" s="41"/>
      <c r="BQ603" s="41"/>
      <c r="BR603" s="41"/>
      <c r="BS603" s="41"/>
      <c r="BT603" s="41"/>
      <c r="BU603" s="41"/>
      <c r="BV603" s="41"/>
      <c r="BW603" s="41"/>
      <c r="BX603" s="41"/>
      <c r="BY603" s="41"/>
      <c r="BZ603" s="41"/>
      <c r="CA603" s="41"/>
      <c r="CB603" s="41"/>
      <c r="CC603" s="41"/>
      <c r="CD603" s="41"/>
      <c r="CE603" s="41"/>
      <c r="CF603" s="41"/>
      <c r="CG603" s="41"/>
      <c r="CH603" s="41"/>
      <c r="CI603" s="41"/>
      <c r="CJ603" s="41"/>
      <c r="CK603" s="41"/>
    </row>
    <row r="604" spans="1:89" s="25" customFormat="1" ht="33" customHeight="1">
      <c r="A604" s="74"/>
      <c r="B604" s="74"/>
      <c r="C604" s="74"/>
      <c r="D604" s="74"/>
      <c r="E604" s="74"/>
      <c r="F604" s="74"/>
      <c r="G604" s="75"/>
      <c r="H604" s="76"/>
      <c r="I604" s="52"/>
      <c r="J604" s="52"/>
      <c r="K604" s="52"/>
      <c r="L604" s="41"/>
      <c r="M604" s="41"/>
      <c r="N604" s="41"/>
      <c r="O604" s="41"/>
      <c r="P604" s="41"/>
      <c r="Q604" s="41"/>
      <c r="R604" s="41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  <c r="BL604" s="41"/>
      <c r="BM604" s="41"/>
      <c r="BN604" s="41"/>
      <c r="BO604" s="41"/>
      <c r="BP604" s="41"/>
      <c r="BQ604" s="41"/>
      <c r="BR604" s="41"/>
      <c r="BS604" s="41"/>
      <c r="BT604" s="41"/>
      <c r="BU604" s="41"/>
      <c r="BV604" s="41"/>
      <c r="BW604" s="41"/>
      <c r="BX604" s="41"/>
      <c r="BY604" s="41"/>
      <c r="BZ604" s="41"/>
      <c r="CA604" s="41"/>
      <c r="CB604" s="41"/>
      <c r="CC604" s="41"/>
      <c r="CD604" s="41"/>
      <c r="CE604" s="41"/>
      <c r="CF604" s="41"/>
      <c r="CG604" s="41"/>
      <c r="CH604" s="41"/>
      <c r="CI604" s="41"/>
      <c r="CJ604" s="41"/>
      <c r="CK604" s="41"/>
    </row>
    <row r="605" spans="1:89" s="25" customFormat="1" ht="33" customHeight="1">
      <c r="A605" s="74"/>
      <c r="B605" s="74"/>
      <c r="C605" s="74"/>
      <c r="D605" s="74"/>
      <c r="E605" s="74"/>
      <c r="F605" s="74"/>
      <c r="G605" s="75"/>
      <c r="H605" s="76"/>
      <c r="I605" s="52"/>
      <c r="J605" s="52"/>
      <c r="K605" s="52"/>
      <c r="L605" s="41"/>
      <c r="M605" s="41"/>
      <c r="N605" s="41"/>
      <c r="O605" s="41"/>
      <c r="P605" s="41"/>
      <c r="Q605" s="41"/>
      <c r="R605" s="41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  <c r="BK605" s="41"/>
      <c r="BL605" s="41"/>
      <c r="BM605" s="41"/>
      <c r="BN605" s="41"/>
      <c r="BO605" s="41"/>
      <c r="BP605" s="41"/>
      <c r="BQ605" s="41"/>
      <c r="BR605" s="41"/>
      <c r="BS605" s="41"/>
      <c r="BT605" s="41"/>
      <c r="BU605" s="41"/>
      <c r="BV605" s="41"/>
      <c r="BW605" s="41"/>
      <c r="BX605" s="41"/>
      <c r="BY605" s="41"/>
      <c r="BZ605" s="41"/>
      <c r="CA605" s="41"/>
      <c r="CB605" s="41"/>
      <c r="CC605" s="41"/>
      <c r="CD605" s="41"/>
      <c r="CE605" s="41"/>
      <c r="CF605" s="41"/>
      <c r="CG605" s="41"/>
      <c r="CH605" s="41"/>
      <c r="CI605" s="41"/>
      <c r="CJ605" s="41"/>
      <c r="CK605" s="41"/>
    </row>
    <row r="606" spans="1:89" s="25" customFormat="1" ht="33" customHeight="1">
      <c r="A606" s="74"/>
      <c r="B606" s="74"/>
      <c r="C606" s="74"/>
      <c r="D606" s="74"/>
      <c r="E606" s="74"/>
      <c r="F606" s="74"/>
      <c r="G606" s="75"/>
      <c r="H606" s="76"/>
      <c r="I606" s="52"/>
      <c r="J606" s="52"/>
      <c r="K606" s="52"/>
      <c r="L606" s="41"/>
      <c r="M606" s="41"/>
      <c r="N606" s="41"/>
      <c r="O606" s="41"/>
      <c r="P606" s="41"/>
      <c r="Q606" s="41"/>
      <c r="R606" s="41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1"/>
      <c r="BM606" s="41"/>
      <c r="BN606" s="41"/>
      <c r="BO606" s="41"/>
      <c r="BP606" s="41"/>
      <c r="BQ606" s="41"/>
      <c r="BR606" s="41"/>
      <c r="BS606" s="41"/>
      <c r="BT606" s="41"/>
      <c r="BU606" s="41"/>
      <c r="BV606" s="41"/>
      <c r="BW606" s="41"/>
      <c r="BX606" s="41"/>
      <c r="BY606" s="41"/>
      <c r="BZ606" s="41"/>
      <c r="CA606" s="41"/>
      <c r="CB606" s="41"/>
      <c r="CC606" s="41"/>
      <c r="CD606" s="41"/>
      <c r="CE606" s="41"/>
      <c r="CF606" s="41"/>
      <c r="CG606" s="41"/>
      <c r="CH606" s="41"/>
      <c r="CI606" s="41"/>
      <c r="CJ606" s="41"/>
      <c r="CK606" s="41"/>
    </row>
    <row r="607" spans="1:89" s="25" customFormat="1" ht="33" customHeight="1">
      <c r="A607" s="74"/>
      <c r="B607" s="74"/>
      <c r="C607" s="74"/>
      <c r="D607" s="74"/>
      <c r="E607" s="74"/>
      <c r="F607" s="74"/>
      <c r="G607" s="75"/>
      <c r="H607" s="76"/>
      <c r="I607" s="52"/>
      <c r="J607" s="52"/>
      <c r="K607" s="52"/>
      <c r="L607" s="41"/>
      <c r="M607" s="41"/>
      <c r="N607" s="41"/>
      <c r="O607" s="41"/>
      <c r="P607" s="41"/>
      <c r="Q607" s="41"/>
      <c r="R607" s="41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  <c r="BK607" s="41"/>
      <c r="BL607" s="41"/>
      <c r="BM607" s="41"/>
      <c r="BN607" s="41"/>
      <c r="BO607" s="41"/>
      <c r="BP607" s="41"/>
      <c r="BQ607" s="41"/>
      <c r="BR607" s="41"/>
      <c r="BS607" s="41"/>
      <c r="BT607" s="41"/>
      <c r="BU607" s="41"/>
      <c r="BV607" s="41"/>
      <c r="BW607" s="41"/>
      <c r="BX607" s="41"/>
      <c r="BY607" s="41"/>
      <c r="BZ607" s="41"/>
      <c r="CA607" s="41"/>
      <c r="CB607" s="41"/>
      <c r="CC607" s="41"/>
      <c r="CD607" s="41"/>
      <c r="CE607" s="41"/>
      <c r="CF607" s="41"/>
      <c r="CG607" s="41"/>
      <c r="CH607" s="41"/>
      <c r="CI607" s="41"/>
      <c r="CJ607" s="41"/>
      <c r="CK607" s="41"/>
    </row>
    <row r="608" spans="1:89" s="25" customFormat="1" ht="33" customHeight="1">
      <c r="A608" s="74"/>
      <c r="B608" s="74"/>
      <c r="C608" s="74"/>
      <c r="D608" s="74"/>
      <c r="E608" s="74"/>
      <c r="F608" s="74"/>
      <c r="G608" s="75"/>
      <c r="H608" s="76"/>
      <c r="I608" s="52"/>
      <c r="J608" s="52"/>
      <c r="K608" s="52"/>
      <c r="L608" s="41"/>
      <c r="M608" s="41"/>
      <c r="N608" s="41"/>
      <c r="O608" s="41"/>
      <c r="P608" s="41"/>
      <c r="Q608" s="41"/>
      <c r="R608" s="41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  <c r="BK608" s="41"/>
      <c r="BL608" s="41"/>
      <c r="BM608" s="41"/>
      <c r="BN608" s="41"/>
      <c r="BO608" s="41"/>
      <c r="BP608" s="41"/>
      <c r="BQ608" s="41"/>
      <c r="BR608" s="41"/>
      <c r="BS608" s="41"/>
      <c r="BT608" s="41"/>
      <c r="BU608" s="41"/>
      <c r="BV608" s="41"/>
      <c r="BW608" s="41"/>
      <c r="BX608" s="41"/>
      <c r="BY608" s="41"/>
      <c r="BZ608" s="41"/>
      <c r="CA608" s="41"/>
      <c r="CB608" s="41"/>
      <c r="CC608" s="41"/>
      <c r="CD608" s="41"/>
      <c r="CE608" s="41"/>
      <c r="CF608" s="41"/>
      <c r="CG608" s="41"/>
      <c r="CH608" s="41"/>
      <c r="CI608" s="41"/>
      <c r="CJ608" s="41"/>
      <c r="CK608" s="41"/>
    </row>
    <row r="609" spans="1:89" s="25" customFormat="1" ht="33" customHeight="1">
      <c r="A609" s="74"/>
      <c r="B609" s="74"/>
      <c r="C609" s="74"/>
      <c r="D609" s="74"/>
      <c r="E609" s="74"/>
      <c r="F609" s="74"/>
      <c r="G609" s="75"/>
      <c r="H609" s="76"/>
      <c r="I609" s="52"/>
      <c r="J609" s="52"/>
      <c r="K609" s="52"/>
      <c r="L609" s="41"/>
      <c r="M609" s="41"/>
      <c r="N609" s="41"/>
      <c r="O609" s="41"/>
      <c r="P609" s="41"/>
      <c r="Q609" s="41"/>
      <c r="R609" s="41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  <c r="BL609" s="41"/>
      <c r="BM609" s="41"/>
      <c r="BN609" s="41"/>
      <c r="BO609" s="41"/>
      <c r="BP609" s="41"/>
      <c r="BQ609" s="41"/>
      <c r="BR609" s="41"/>
      <c r="BS609" s="41"/>
      <c r="BT609" s="41"/>
      <c r="BU609" s="41"/>
      <c r="BV609" s="41"/>
      <c r="BW609" s="41"/>
      <c r="BX609" s="41"/>
      <c r="BY609" s="41"/>
      <c r="BZ609" s="41"/>
      <c r="CA609" s="41"/>
      <c r="CB609" s="41"/>
      <c r="CC609" s="41"/>
      <c r="CD609" s="41"/>
      <c r="CE609" s="41"/>
      <c r="CF609" s="41"/>
      <c r="CG609" s="41"/>
      <c r="CH609" s="41"/>
      <c r="CI609" s="41"/>
      <c r="CJ609" s="41"/>
      <c r="CK609" s="41"/>
    </row>
    <row r="610" spans="1:89" s="25" customFormat="1" ht="33" customHeight="1">
      <c r="A610" s="74"/>
      <c r="B610" s="74"/>
      <c r="C610" s="74"/>
      <c r="D610" s="74"/>
      <c r="E610" s="74"/>
      <c r="F610" s="74"/>
      <c r="G610" s="75"/>
      <c r="H610" s="76"/>
      <c r="I610" s="52"/>
      <c r="J610" s="52"/>
      <c r="K610" s="52"/>
      <c r="L610" s="41"/>
      <c r="M610" s="41"/>
      <c r="N610" s="41"/>
      <c r="O610" s="41"/>
      <c r="P610" s="41"/>
      <c r="Q610" s="41"/>
      <c r="R610" s="41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  <c r="BK610" s="41"/>
      <c r="BL610" s="41"/>
      <c r="BM610" s="41"/>
      <c r="BN610" s="41"/>
      <c r="BO610" s="41"/>
      <c r="BP610" s="41"/>
      <c r="BQ610" s="41"/>
      <c r="BR610" s="41"/>
      <c r="BS610" s="41"/>
      <c r="BT610" s="41"/>
      <c r="BU610" s="41"/>
      <c r="BV610" s="41"/>
      <c r="BW610" s="41"/>
      <c r="BX610" s="41"/>
      <c r="BY610" s="41"/>
      <c r="BZ610" s="41"/>
      <c r="CA610" s="41"/>
      <c r="CB610" s="41"/>
      <c r="CC610" s="41"/>
      <c r="CD610" s="41"/>
      <c r="CE610" s="41"/>
      <c r="CF610" s="41"/>
      <c r="CG610" s="41"/>
      <c r="CH610" s="41"/>
      <c r="CI610" s="41"/>
      <c r="CJ610" s="41"/>
      <c r="CK610" s="41"/>
    </row>
    <row r="611" spans="1:89" s="25" customFormat="1" ht="33" customHeight="1">
      <c r="A611" s="74"/>
      <c r="B611" s="74"/>
      <c r="C611" s="74"/>
      <c r="D611" s="74"/>
      <c r="E611" s="74"/>
      <c r="F611" s="74"/>
      <c r="G611" s="75"/>
      <c r="H611" s="76"/>
      <c r="I611" s="52"/>
      <c r="J611" s="52"/>
      <c r="K611" s="52"/>
      <c r="L611" s="41"/>
      <c r="M611" s="41"/>
      <c r="N611" s="41"/>
      <c r="O611" s="41"/>
      <c r="P611" s="41"/>
      <c r="Q611" s="41"/>
      <c r="R611" s="41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  <c r="BK611" s="41"/>
      <c r="BL611" s="41"/>
      <c r="BM611" s="41"/>
      <c r="BN611" s="41"/>
      <c r="BO611" s="41"/>
      <c r="BP611" s="41"/>
      <c r="BQ611" s="41"/>
      <c r="BR611" s="41"/>
      <c r="BS611" s="41"/>
      <c r="BT611" s="41"/>
      <c r="BU611" s="41"/>
      <c r="BV611" s="41"/>
      <c r="BW611" s="41"/>
      <c r="BX611" s="41"/>
      <c r="BY611" s="41"/>
      <c r="BZ611" s="41"/>
      <c r="CA611" s="41"/>
      <c r="CB611" s="41"/>
      <c r="CC611" s="41"/>
      <c r="CD611" s="41"/>
      <c r="CE611" s="41"/>
      <c r="CF611" s="41"/>
      <c r="CG611" s="41"/>
      <c r="CH611" s="41"/>
      <c r="CI611" s="41"/>
      <c r="CJ611" s="41"/>
      <c r="CK611" s="41"/>
    </row>
    <row r="612" spans="1:89" s="25" customFormat="1" ht="33" customHeight="1">
      <c r="A612" s="74"/>
      <c r="B612" s="74"/>
      <c r="C612" s="74"/>
      <c r="D612" s="74"/>
      <c r="E612" s="74"/>
      <c r="F612" s="74"/>
      <c r="G612" s="75"/>
      <c r="H612" s="76"/>
      <c r="I612" s="52"/>
      <c r="J612" s="52"/>
      <c r="K612" s="52"/>
      <c r="L612" s="41"/>
      <c r="M612" s="41"/>
      <c r="N612" s="41"/>
      <c r="O612" s="41"/>
      <c r="P612" s="41"/>
      <c r="Q612" s="41"/>
      <c r="R612" s="41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  <c r="BK612" s="41"/>
      <c r="BL612" s="41"/>
      <c r="BM612" s="41"/>
      <c r="BN612" s="41"/>
      <c r="BO612" s="41"/>
      <c r="BP612" s="41"/>
      <c r="BQ612" s="41"/>
      <c r="BR612" s="41"/>
      <c r="BS612" s="41"/>
      <c r="BT612" s="41"/>
      <c r="BU612" s="41"/>
      <c r="BV612" s="41"/>
      <c r="BW612" s="41"/>
      <c r="BX612" s="41"/>
      <c r="BY612" s="41"/>
      <c r="BZ612" s="41"/>
      <c r="CA612" s="41"/>
      <c r="CB612" s="41"/>
      <c r="CC612" s="41"/>
      <c r="CD612" s="41"/>
      <c r="CE612" s="41"/>
      <c r="CF612" s="41"/>
      <c r="CG612" s="41"/>
      <c r="CH612" s="41"/>
      <c r="CI612" s="41"/>
      <c r="CJ612" s="41"/>
      <c r="CK612" s="41"/>
    </row>
    <row r="613" spans="1:89" s="25" customFormat="1" ht="33" customHeight="1">
      <c r="A613" s="74"/>
      <c r="B613" s="74"/>
      <c r="C613" s="74"/>
      <c r="D613" s="74"/>
      <c r="E613" s="74"/>
      <c r="F613" s="74"/>
      <c r="G613" s="75"/>
      <c r="H613" s="76"/>
      <c r="I613" s="52"/>
      <c r="J613" s="52"/>
      <c r="K613" s="52"/>
      <c r="L613" s="41"/>
      <c r="M613" s="41"/>
      <c r="N613" s="41"/>
      <c r="O613" s="41"/>
      <c r="P613" s="41"/>
      <c r="Q613" s="41"/>
      <c r="R613" s="41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  <c r="BK613" s="41"/>
      <c r="BL613" s="41"/>
      <c r="BM613" s="41"/>
      <c r="BN613" s="41"/>
      <c r="BO613" s="41"/>
      <c r="BP613" s="41"/>
      <c r="BQ613" s="41"/>
      <c r="BR613" s="41"/>
      <c r="BS613" s="41"/>
      <c r="BT613" s="41"/>
      <c r="BU613" s="41"/>
      <c r="BV613" s="41"/>
      <c r="BW613" s="41"/>
      <c r="BX613" s="41"/>
      <c r="BY613" s="41"/>
      <c r="BZ613" s="41"/>
      <c r="CA613" s="41"/>
      <c r="CB613" s="41"/>
      <c r="CC613" s="41"/>
      <c r="CD613" s="41"/>
      <c r="CE613" s="41"/>
      <c r="CF613" s="41"/>
      <c r="CG613" s="41"/>
      <c r="CH613" s="41"/>
      <c r="CI613" s="41"/>
      <c r="CJ613" s="41"/>
      <c r="CK613" s="41"/>
    </row>
    <row r="614" spans="1:89" s="25" customFormat="1" ht="33" customHeight="1">
      <c r="A614" s="74"/>
      <c r="B614" s="74"/>
      <c r="C614" s="74"/>
      <c r="D614" s="74"/>
      <c r="E614" s="74"/>
      <c r="F614" s="74"/>
      <c r="G614" s="75"/>
      <c r="H614" s="76"/>
      <c r="I614" s="52"/>
      <c r="J614" s="52"/>
      <c r="K614" s="52"/>
      <c r="L614" s="41"/>
      <c r="M614" s="41"/>
      <c r="N614" s="41"/>
      <c r="O614" s="41"/>
      <c r="P614" s="41"/>
      <c r="Q614" s="41"/>
      <c r="R614" s="41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  <c r="BK614" s="41"/>
      <c r="BL614" s="41"/>
      <c r="BM614" s="41"/>
      <c r="BN614" s="41"/>
      <c r="BO614" s="41"/>
      <c r="BP614" s="41"/>
      <c r="BQ614" s="41"/>
      <c r="BR614" s="41"/>
      <c r="BS614" s="41"/>
      <c r="BT614" s="41"/>
      <c r="BU614" s="41"/>
      <c r="BV614" s="41"/>
      <c r="BW614" s="41"/>
      <c r="BX614" s="41"/>
      <c r="BY614" s="41"/>
      <c r="BZ614" s="41"/>
      <c r="CA614" s="41"/>
      <c r="CB614" s="41"/>
      <c r="CC614" s="41"/>
      <c r="CD614" s="41"/>
      <c r="CE614" s="41"/>
      <c r="CF614" s="41"/>
      <c r="CG614" s="41"/>
      <c r="CH614" s="41"/>
      <c r="CI614" s="41"/>
      <c r="CJ614" s="41"/>
      <c r="CK614" s="41"/>
    </row>
    <row r="615" spans="1:89" s="25" customFormat="1" ht="33" customHeight="1">
      <c r="A615" s="74"/>
      <c r="B615" s="74"/>
      <c r="C615" s="74"/>
      <c r="D615" s="74"/>
      <c r="E615" s="74"/>
      <c r="F615" s="74"/>
      <c r="G615" s="75"/>
      <c r="H615" s="76"/>
      <c r="I615" s="52"/>
      <c r="J615" s="52"/>
      <c r="K615" s="52"/>
      <c r="L615" s="41"/>
      <c r="M615" s="41"/>
      <c r="N615" s="41"/>
      <c r="O615" s="41"/>
      <c r="P615" s="41"/>
      <c r="Q615" s="41"/>
      <c r="R615" s="41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  <c r="BK615" s="41"/>
      <c r="BL615" s="41"/>
      <c r="BM615" s="41"/>
      <c r="BN615" s="41"/>
      <c r="BO615" s="41"/>
      <c r="BP615" s="41"/>
      <c r="BQ615" s="41"/>
      <c r="BR615" s="41"/>
      <c r="BS615" s="41"/>
      <c r="BT615" s="41"/>
      <c r="BU615" s="41"/>
      <c r="BV615" s="41"/>
      <c r="BW615" s="41"/>
      <c r="BX615" s="41"/>
      <c r="BY615" s="41"/>
      <c r="BZ615" s="41"/>
      <c r="CA615" s="41"/>
      <c r="CB615" s="41"/>
      <c r="CC615" s="41"/>
      <c r="CD615" s="41"/>
      <c r="CE615" s="41"/>
      <c r="CF615" s="41"/>
      <c r="CG615" s="41"/>
      <c r="CH615" s="41"/>
      <c r="CI615" s="41"/>
      <c r="CJ615" s="41"/>
      <c r="CK615" s="41"/>
    </row>
    <row r="616" spans="1:89" s="25" customFormat="1" ht="33" customHeight="1">
      <c r="A616" s="74"/>
      <c r="B616" s="74"/>
      <c r="C616" s="74"/>
      <c r="D616" s="74"/>
      <c r="E616" s="74"/>
      <c r="F616" s="74"/>
      <c r="G616" s="75"/>
      <c r="H616" s="76"/>
      <c r="I616" s="52"/>
      <c r="J616" s="52"/>
      <c r="K616" s="52"/>
      <c r="L616" s="41"/>
      <c r="M616" s="41"/>
      <c r="N616" s="41"/>
      <c r="O616" s="41"/>
      <c r="P616" s="41"/>
      <c r="Q616" s="41"/>
      <c r="R616" s="41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1"/>
      <c r="BM616" s="41"/>
      <c r="BN616" s="41"/>
      <c r="BO616" s="41"/>
      <c r="BP616" s="41"/>
      <c r="BQ616" s="41"/>
      <c r="BR616" s="41"/>
      <c r="BS616" s="41"/>
      <c r="BT616" s="41"/>
      <c r="BU616" s="41"/>
      <c r="BV616" s="41"/>
      <c r="BW616" s="41"/>
      <c r="BX616" s="41"/>
      <c r="BY616" s="41"/>
      <c r="BZ616" s="41"/>
      <c r="CA616" s="41"/>
      <c r="CB616" s="41"/>
      <c r="CC616" s="41"/>
      <c r="CD616" s="41"/>
      <c r="CE616" s="41"/>
      <c r="CF616" s="41"/>
      <c r="CG616" s="41"/>
      <c r="CH616" s="41"/>
      <c r="CI616" s="41"/>
      <c r="CJ616" s="41"/>
      <c r="CK616" s="41"/>
    </row>
    <row r="617" spans="1:89" s="25" customFormat="1" ht="33" customHeight="1">
      <c r="A617" s="74"/>
      <c r="B617" s="74"/>
      <c r="C617" s="74"/>
      <c r="D617" s="74"/>
      <c r="E617" s="74"/>
      <c r="F617" s="74"/>
      <c r="G617" s="75"/>
      <c r="H617" s="76"/>
      <c r="I617" s="52"/>
      <c r="J617" s="52"/>
      <c r="K617" s="52"/>
      <c r="L617" s="41"/>
      <c r="M617" s="41"/>
      <c r="N617" s="41"/>
      <c r="O617" s="41"/>
      <c r="P617" s="41"/>
      <c r="Q617" s="41"/>
      <c r="R617" s="41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  <c r="BK617" s="41"/>
      <c r="BL617" s="41"/>
      <c r="BM617" s="41"/>
      <c r="BN617" s="41"/>
      <c r="BO617" s="41"/>
      <c r="BP617" s="41"/>
      <c r="BQ617" s="41"/>
      <c r="BR617" s="41"/>
      <c r="BS617" s="41"/>
      <c r="BT617" s="41"/>
      <c r="BU617" s="41"/>
      <c r="BV617" s="41"/>
      <c r="BW617" s="41"/>
      <c r="BX617" s="41"/>
      <c r="BY617" s="41"/>
      <c r="BZ617" s="41"/>
      <c r="CA617" s="41"/>
      <c r="CB617" s="41"/>
      <c r="CC617" s="41"/>
      <c r="CD617" s="41"/>
      <c r="CE617" s="41"/>
      <c r="CF617" s="41"/>
      <c r="CG617" s="41"/>
      <c r="CH617" s="41"/>
      <c r="CI617" s="41"/>
      <c r="CJ617" s="41"/>
      <c r="CK617" s="41"/>
    </row>
    <row r="618" spans="1:89" s="25" customFormat="1" ht="33" customHeight="1">
      <c r="A618" s="74"/>
      <c r="B618" s="74"/>
      <c r="C618" s="74"/>
      <c r="D618" s="74"/>
      <c r="E618" s="74"/>
      <c r="F618" s="74"/>
      <c r="G618" s="75"/>
      <c r="H618" s="76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  <c r="BE618" s="53"/>
      <c r="BF618" s="53"/>
      <c r="BG618" s="53"/>
      <c r="BH618" s="53"/>
      <c r="BI618" s="53"/>
      <c r="BJ618" s="53"/>
      <c r="BK618" s="53"/>
      <c r="BL618" s="53"/>
      <c r="BM618" s="53"/>
      <c r="BN618" s="53"/>
      <c r="BO618" s="53"/>
      <c r="BP618" s="53"/>
      <c r="BQ618" s="53"/>
      <c r="BR618" s="53"/>
      <c r="BS618" s="53"/>
      <c r="BT618" s="53"/>
      <c r="BU618" s="53"/>
      <c r="BV618" s="53"/>
      <c r="BW618" s="53"/>
      <c r="BX618" s="53"/>
      <c r="BY618" s="53"/>
      <c r="BZ618" s="53"/>
      <c r="CA618" s="53"/>
      <c r="CB618" s="53"/>
      <c r="CC618" s="53"/>
      <c r="CD618" s="53"/>
      <c r="CE618" s="53"/>
      <c r="CF618" s="53"/>
      <c r="CG618" s="53"/>
      <c r="CH618" s="53"/>
      <c r="CI618" s="53"/>
      <c r="CJ618" s="53"/>
      <c r="CK618" s="53"/>
    </row>
    <row r="619" spans="1:89" s="25" customFormat="1" ht="33" customHeight="1">
      <c r="A619" s="74"/>
      <c r="B619" s="74"/>
      <c r="C619" s="74"/>
      <c r="D619" s="74"/>
      <c r="E619" s="74"/>
      <c r="F619" s="74"/>
      <c r="G619" s="75"/>
      <c r="H619" s="76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  <c r="BE619" s="53"/>
      <c r="BF619" s="53"/>
      <c r="BG619" s="53"/>
      <c r="BH619" s="53"/>
      <c r="BI619" s="53"/>
      <c r="BJ619" s="53"/>
      <c r="BK619" s="53"/>
      <c r="BL619" s="53"/>
      <c r="BM619" s="53"/>
      <c r="BN619" s="53"/>
      <c r="BO619" s="53"/>
      <c r="BP619" s="53"/>
      <c r="BQ619" s="53"/>
      <c r="BR619" s="53"/>
      <c r="BS619" s="53"/>
      <c r="BT619" s="53"/>
      <c r="BU619" s="53"/>
      <c r="BV619" s="53"/>
      <c r="BW619" s="53"/>
      <c r="BX619" s="53"/>
      <c r="BY619" s="53"/>
      <c r="BZ619" s="53"/>
      <c r="CA619" s="53"/>
      <c r="CB619" s="53"/>
      <c r="CC619" s="53"/>
      <c r="CD619" s="53"/>
      <c r="CE619" s="53"/>
      <c r="CF619" s="53"/>
      <c r="CG619" s="53"/>
      <c r="CH619" s="53"/>
      <c r="CI619" s="53"/>
      <c r="CJ619" s="53"/>
      <c r="CK619" s="53"/>
    </row>
    <row r="620" spans="1:89" s="25" customFormat="1" ht="33" customHeight="1">
      <c r="A620" s="74"/>
      <c r="B620" s="74"/>
      <c r="C620" s="74"/>
      <c r="D620" s="74"/>
      <c r="E620" s="74"/>
      <c r="F620" s="74"/>
      <c r="G620" s="75"/>
      <c r="H620" s="76"/>
      <c r="I620" s="52"/>
      <c r="J620" s="52"/>
      <c r="K620" s="52"/>
      <c r="L620" s="41"/>
      <c r="M620" s="41"/>
      <c r="N620" s="41"/>
      <c r="O620" s="41"/>
      <c r="P620" s="41"/>
      <c r="Q620" s="41"/>
      <c r="R620" s="41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  <c r="BK620" s="41"/>
      <c r="BL620" s="41"/>
      <c r="BM620" s="41"/>
      <c r="BN620" s="41"/>
      <c r="BO620" s="41"/>
      <c r="BP620" s="41"/>
      <c r="BQ620" s="41"/>
      <c r="BR620" s="41"/>
      <c r="BS620" s="41"/>
      <c r="BT620" s="41"/>
      <c r="BU620" s="41"/>
      <c r="BV620" s="41"/>
      <c r="BW620" s="41"/>
      <c r="BX620" s="41"/>
      <c r="BY620" s="41"/>
      <c r="BZ620" s="41"/>
      <c r="CA620" s="41"/>
      <c r="CB620" s="41"/>
      <c r="CC620" s="41"/>
      <c r="CD620" s="41"/>
      <c r="CE620" s="41"/>
      <c r="CF620" s="41"/>
      <c r="CG620" s="41"/>
      <c r="CH620" s="41"/>
      <c r="CI620" s="41"/>
      <c r="CJ620" s="41"/>
      <c r="CK620" s="41"/>
    </row>
    <row r="621" spans="1:89" s="25" customFormat="1" ht="33" customHeight="1">
      <c r="A621" s="74"/>
      <c r="B621" s="74"/>
      <c r="C621" s="74"/>
      <c r="D621" s="74"/>
      <c r="E621" s="74"/>
      <c r="F621" s="74"/>
      <c r="G621" s="75"/>
      <c r="H621" s="76"/>
      <c r="I621" s="52"/>
      <c r="J621" s="52"/>
      <c r="K621" s="52"/>
      <c r="L621" s="41"/>
      <c r="M621" s="41"/>
      <c r="N621" s="41"/>
      <c r="O621" s="41"/>
      <c r="P621" s="41"/>
      <c r="Q621" s="41"/>
      <c r="R621" s="41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  <c r="BK621" s="41"/>
      <c r="BL621" s="41"/>
      <c r="BM621" s="41"/>
      <c r="BN621" s="41"/>
      <c r="BO621" s="41"/>
      <c r="BP621" s="41"/>
      <c r="BQ621" s="41"/>
      <c r="BR621" s="41"/>
      <c r="BS621" s="41"/>
      <c r="BT621" s="41"/>
      <c r="BU621" s="41"/>
      <c r="BV621" s="41"/>
      <c r="BW621" s="41"/>
      <c r="BX621" s="41"/>
      <c r="BY621" s="41"/>
      <c r="BZ621" s="41"/>
      <c r="CA621" s="41"/>
      <c r="CB621" s="41"/>
      <c r="CC621" s="41"/>
      <c r="CD621" s="41"/>
      <c r="CE621" s="41"/>
      <c r="CF621" s="41"/>
      <c r="CG621" s="41"/>
      <c r="CH621" s="41"/>
      <c r="CI621" s="41"/>
      <c r="CJ621" s="41"/>
      <c r="CK621" s="41"/>
    </row>
    <row r="622" spans="1:89" s="25" customFormat="1" ht="33" customHeight="1">
      <c r="A622" s="74"/>
      <c r="B622" s="74"/>
      <c r="C622" s="74"/>
      <c r="D622" s="74"/>
      <c r="E622" s="74"/>
      <c r="F622" s="74"/>
      <c r="G622" s="75"/>
      <c r="H622" s="76"/>
      <c r="I622" s="52"/>
      <c r="J622" s="52"/>
      <c r="K622" s="52"/>
      <c r="L622" s="41"/>
      <c r="M622" s="41"/>
      <c r="N622" s="41"/>
      <c r="O622" s="41"/>
      <c r="P622" s="41"/>
      <c r="Q622" s="41"/>
      <c r="R622" s="41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  <c r="BK622" s="41"/>
      <c r="BL622" s="41"/>
      <c r="BM622" s="41"/>
      <c r="BN622" s="41"/>
      <c r="BO622" s="41"/>
      <c r="BP622" s="41"/>
      <c r="BQ622" s="41"/>
      <c r="BR622" s="41"/>
      <c r="BS622" s="41"/>
      <c r="BT622" s="41"/>
      <c r="BU622" s="41"/>
      <c r="BV622" s="41"/>
      <c r="BW622" s="41"/>
      <c r="BX622" s="41"/>
      <c r="BY622" s="41"/>
      <c r="BZ622" s="41"/>
      <c r="CA622" s="41"/>
      <c r="CB622" s="41"/>
      <c r="CC622" s="41"/>
      <c r="CD622" s="41"/>
      <c r="CE622" s="41"/>
      <c r="CF622" s="41"/>
      <c r="CG622" s="41"/>
      <c r="CH622" s="41"/>
      <c r="CI622" s="41"/>
      <c r="CJ622" s="41"/>
      <c r="CK622" s="41"/>
    </row>
    <row r="623" spans="1:89" s="25" customFormat="1" ht="33" customHeight="1">
      <c r="A623" s="74"/>
      <c r="B623" s="74"/>
      <c r="C623" s="74"/>
      <c r="D623" s="74"/>
      <c r="E623" s="74"/>
      <c r="F623" s="74"/>
      <c r="G623" s="75"/>
      <c r="H623" s="76"/>
      <c r="I623" s="52"/>
      <c r="J623" s="52"/>
      <c r="K623" s="52"/>
      <c r="L623" s="41"/>
      <c r="M623" s="41"/>
      <c r="N623" s="41"/>
      <c r="O623" s="41"/>
      <c r="P623" s="41"/>
      <c r="Q623" s="41"/>
      <c r="R623" s="41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  <c r="BK623" s="41"/>
      <c r="BL623" s="41"/>
      <c r="BM623" s="41"/>
      <c r="BN623" s="41"/>
      <c r="BO623" s="41"/>
      <c r="BP623" s="41"/>
      <c r="BQ623" s="41"/>
      <c r="BR623" s="41"/>
      <c r="BS623" s="41"/>
      <c r="BT623" s="41"/>
      <c r="BU623" s="41"/>
      <c r="BV623" s="41"/>
      <c r="BW623" s="41"/>
      <c r="BX623" s="41"/>
      <c r="BY623" s="41"/>
      <c r="BZ623" s="41"/>
      <c r="CA623" s="41"/>
      <c r="CB623" s="41"/>
      <c r="CC623" s="41"/>
      <c r="CD623" s="41"/>
      <c r="CE623" s="41"/>
      <c r="CF623" s="41"/>
      <c r="CG623" s="41"/>
      <c r="CH623" s="41"/>
      <c r="CI623" s="41"/>
      <c r="CJ623" s="41"/>
      <c r="CK623" s="41"/>
    </row>
    <row r="624" spans="1:89" s="25" customFormat="1" ht="33" customHeight="1">
      <c r="A624" s="74"/>
      <c r="B624" s="74"/>
      <c r="C624" s="74"/>
      <c r="D624" s="74"/>
      <c r="E624" s="74"/>
      <c r="F624" s="74"/>
      <c r="G624" s="75"/>
      <c r="H624" s="76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  <c r="BK624" s="41"/>
      <c r="BL624" s="41"/>
      <c r="BM624" s="41"/>
      <c r="BN624" s="41"/>
      <c r="BO624" s="41"/>
      <c r="BP624" s="41"/>
      <c r="BQ624" s="41"/>
      <c r="BR624" s="41"/>
      <c r="BS624" s="41"/>
      <c r="BT624" s="41"/>
      <c r="BU624" s="41"/>
      <c r="BV624" s="41"/>
      <c r="BW624" s="41"/>
      <c r="BX624" s="41"/>
      <c r="BY624" s="41"/>
      <c r="BZ624" s="41"/>
      <c r="CA624" s="41"/>
      <c r="CB624" s="41"/>
      <c r="CC624" s="41"/>
      <c r="CD624" s="41"/>
      <c r="CE624" s="41"/>
      <c r="CF624" s="41"/>
      <c r="CG624" s="41"/>
      <c r="CH624" s="41"/>
      <c r="CI624" s="41"/>
      <c r="CJ624" s="41"/>
      <c r="CK624" s="41"/>
    </row>
    <row r="625" spans="1:89" s="25" customFormat="1" ht="33" customHeight="1">
      <c r="A625" s="74"/>
      <c r="B625" s="74"/>
      <c r="C625" s="74"/>
      <c r="D625" s="74"/>
      <c r="E625" s="74"/>
      <c r="F625" s="74"/>
      <c r="G625" s="75"/>
      <c r="H625" s="76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  <c r="BE625" s="53"/>
      <c r="BF625" s="53"/>
      <c r="BG625" s="53"/>
      <c r="BH625" s="53"/>
      <c r="BI625" s="53"/>
      <c r="BJ625" s="53"/>
      <c r="BK625" s="53"/>
      <c r="BL625" s="53"/>
      <c r="BM625" s="53"/>
      <c r="BN625" s="53"/>
      <c r="BO625" s="53"/>
      <c r="BP625" s="53"/>
      <c r="BQ625" s="53"/>
      <c r="BR625" s="53"/>
      <c r="BS625" s="53"/>
      <c r="BT625" s="53"/>
      <c r="BU625" s="53"/>
      <c r="BV625" s="53"/>
      <c r="BW625" s="53"/>
      <c r="BX625" s="53"/>
      <c r="BY625" s="53"/>
      <c r="BZ625" s="53"/>
      <c r="CA625" s="53"/>
      <c r="CB625" s="53"/>
      <c r="CC625" s="53"/>
      <c r="CD625" s="53"/>
      <c r="CE625" s="53"/>
      <c r="CF625" s="53"/>
      <c r="CG625" s="53"/>
      <c r="CH625" s="53"/>
      <c r="CI625" s="53"/>
      <c r="CJ625" s="53"/>
      <c r="CK625" s="53"/>
    </row>
    <row r="626" spans="1:89" s="25" customFormat="1" ht="33" customHeight="1">
      <c r="A626" s="74"/>
      <c r="B626" s="74"/>
      <c r="C626" s="74"/>
      <c r="D626" s="74"/>
      <c r="E626" s="74"/>
      <c r="F626" s="74"/>
      <c r="G626" s="75"/>
      <c r="H626" s="76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53"/>
      <c r="BG626" s="53"/>
      <c r="BH626" s="53"/>
      <c r="BI626" s="53"/>
      <c r="BJ626" s="53"/>
      <c r="BK626" s="53"/>
      <c r="BL626" s="53"/>
      <c r="BM626" s="53"/>
      <c r="BN626" s="53"/>
      <c r="BO626" s="53"/>
      <c r="BP626" s="53"/>
      <c r="BQ626" s="53"/>
      <c r="BR626" s="53"/>
      <c r="BS626" s="53"/>
      <c r="BT626" s="53"/>
      <c r="BU626" s="53"/>
      <c r="BV626" s="53"/>
      <c r="BW626" s="53"/>
      <c r="BX626" s="53"/>
      <c r="BY626" s="53"/>
      <c r="BZ626" s="53"/>
      <c r="CA626" s="53"/>
      <c r="CB626" s="53"/>
      <c r="CC626" s="53"/>
      <c r="CD626" s="53"/>
      <c r="CE626" s="53"/>
      <c r="CF626" s="53"/>
      <c r="CG626" s="53"/>
      <c r="CH626" s="53"/>
      <c r="CI626" s="53"/>
      <c r="CJ626" s="53"/>
      <c r="CK626" s="53"/>
    </row>
    <row r="627" spans="1:89" s="25" customFormat="1" ht="33" customHeight="1">
      <c r="A627" s="74"/>
      <c r="B627" s="74"/>
      <c r="C627" s="74"/>
      <c r="D627" s="74"/>
      <c r="E627" s="74"/>
      <c r="F627" s="74"/>
      <c r="G627" s="75"/>
      <c r="H627" s="76"/>
      <c r="I627" s="52"/>
      <c r="J627" s="52"/>
      <c r="K627" s="52"/>
      <c r="L627" s="41"/>
      <c r="M627" s="41"/>
      <c r="N627" s="41"/>
      <c r="O627" s="41"/>
      <c r="P627" s="41"/>
      <c r="Q627" s="41"/>
      <c r="R627" s="41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  <c r="BK627" s="41"/>
      <c r="BL627" s="41"/>
      <c r="BM627" s="41"/>
      <c r="BN627" s="41"/>
      <c r="BO627" s="41"/>
      <c r="BP627" s="41"/>
      <c r="BQ627" s="41"/>
      <c r="BR627" s="41"/>
      <c r="BS627" s="41"/>
      <c r="BT627" s="41"/>
      <c r="BU627" s="41"/>
      <c r="BV627" s="41"/>
      <c r="BW627" s="41"/>
      <c r="BX627" s="41"/>
      <c r="BY627" s="41"/>
      <c r="BZ627" s="41"/>
      <c r="CA627" s="41"/>
      <c r="CB627" s="41"/>
      <c r="CC627" s="41"/>
      <c r="CD627" s="41"/>
      <c r="CE627" s="41"/>
      <c r="CF627" s="41"/>
      <c r="CG627" s="41"/>
      <c r="CH627" s="41"/>
      <c r="CI627" s="41"/>
      <c r="CJ627" s="41"/>
      <c r="CK627" s="41"/>
    </row>
    <row r="628" spans="1:89" s="25" customFormat="1" ht="33" customHeight="1">
      <c r="A628" s="74"/>
      <c r="B628" s="74"/>
      <c r="C628" s="74"/>
      <c r="D628" s="74"/>
      <c r="E628" s="74"/>
      <c r="F628" s="74"/>
      <c r="G628" s="75"/>
      <c r="H628" s="76"/>
      <c r="I628" s="52"/>
      <c r="J628" s="52"/>
      <c r="K628" s="52"/>
      <c r="L628" s="41"/>
      <c r="M628" s="41"/>
      <c r="N628" s="41"/>
      <c r="O628" s="41"/>
      <c r="P628" s="41"/>
      <c r="Q628" s="41"/>
      <c r="R628" s="41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/>
      <c r="BP628" s="41"/>
      <c r="BQ628" s="41"/>
      <c r="BR628" s="41"/>
      <c r="BS628" s="41"/>
      <c r="BT628" s="41"/>
      <c r="BU628" s="41"/>
      <c r="BV628" s="41"/>
      <c r="BW628" s="41"/>
      <c r="BX628" s="41"/>
      <c r="BY628" s="41"/>
      <c r="BZ628" s="41"/>
      <c r="CA628" s="41"/>
      <c r="CB628" s="41"/>
      <c r="CC628" s="41"/>
      <c r="CD628" s="41"/>
      <c r="CE628" s="41"/>
      <c r="CF628" s="41"/>
      <c r="CG628" s="41"/>
      <c r="CH628" s="41"/>
      <c r="CI628" s="41"/>
      <c r="CJ628" s="41"/>
      <c r="CK628" s="41"/>
    </row>
    <row r="629" spans="1:89" s="25" customFormat="1" ht="33" customHeight="1">
      <c r="A629" s="74"/>
      <c r="B629" s="74"/>
      <c r="C629" s="74"/>
      <c r="D629" s="74"/>
      <c r="E629" s="74"/>
      <c r="F629" s="74"/>
      <c r="G629" s="75"/>
      <c r="H629" s="76"/>
      <c r="I629" s="52"/>
      <c r="J629" s="52"/>
      <c r="K629" s="52"/>
      <c r="L629" s="41"/>
      <c r="M629" s="41"/>
      <c r="N629" s="41"/>
      <c r="O629" s="41"/>
      <c r="P629" s="41"/>
      <c r="Q629" s="41"/>
      <c r="R629" s="41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  <c r="BK629" s="41"/>
      <c r="BL629" s="41"/>
      <c r="BM629" s="41"/>
      <c r="BN629" s="41"/>
      <c r="BO629" s="41"/>
      <c r="BP629" s="41"/>
      <c r="BQ629" s="41"/>
      <c r="BR629" s="41"/>
      <c r="BS629" s="41"/>
      <c r="BT629" s="41"/>
      <c r="BU629" s="41"/>
      <c r="BV629" s="41"/>
      <c r="BW629" s="41"/>
      <c r="BX629" s="41"/>
      <c r="BY629" s="41"/>
      <c r="BZ629" s="41"/>
      <c r="CA629" s="41"/>
      <c r="CB629" s="41"/>
      <c r="CC629" s="41"/>
      <c r="CD629" s="41"/>
      <c r="CE629" s="41"/>
      <c r="CF629" s="41"/>
      <c r="CG629" s="41"/>
      <c r="CH629" s="41"/>
      <c r="CI629" s="41"/>
      <c r="CJ629" s="41"/>
      <c r="CK629" s="41"/>
    </row>
    <row r="630" spans="1:89" s="25" customFormat="1" ht="33" customHeight="1">
      <c r="A630" s="74"/>
      <c r="B630" s="74"/>
      <c r="C630" s="74"/>
      <c r="D630" s="74"/>
      <c r="E630" s="74"/>
      <c r="F630" s="74"/>
      <c r="G630" s="75"/>
      <c r="H630" s="76"/>
      <c r="I630" s="52"/>
      <c r="J630" s="52"/>
      <c r="K630" s="52"/>
      <c r="L630" s="41"/>
      <c r="M630" s="41"/>
      <c r="N630" s="41"/>
      <c r="O630" s="41"/>
      <c r="P630" s="41"/>
      <c r="Q630" s="41"/>
      <c r="R630" s="41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  <c r="BK630" s="41"/>
      <c r="BL630" s="41"/>
      <c r="BM630" s="41"/>
      <c r="BN630" s="41"/>
      <c r="BO630" s="41"/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  <c r="BZ630" s="41"/>
      <c r="CA630" s="41"/>
      <c r="CB630" s="41"/>
      <c r="CC630" s="41"/>
      <c r="CD630" s="41"/>
      <c r="CE630" s="41"/>
      <c r="CF630" s="41"/>
      <c r="CG630" s="41"/>
      <c r="CH630" s="41"/>
      <c r="CI630" s="41"/>
      <c r="CJ630" s="41"/>
      <c r="CK630" s="41"/>
    </row>
    <row r="631" spans="1:89" s="25" customFormat="1" ht="33" customHeight="1">
      <c r="A631" s="74"/>
      <c r="B631" s="74"/>
      <c r="C631" s="74"/>
      <c r="D631" s="74"/>
      <c r="E631" s="74"/>
      <c r="F631" s="74"/>
      <c r="G631" s="75"/>
      <c r="H631" s="76"/>
      <c r="I631" s="52"/>
      <c r="J631" s="52"/>
      <c r="K631" s="52"/>
      <c r="L631" s="41"/>
      <c r="M631" s="41"/>
      <c r="N631" s="41"/>
      <c r="O631" s="41"/>
      <c r="P631" s="41"/>
      <c r="Q631" s="41"/>
      <c r="R631" s="41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  <c r="BL631" s="41"/>
      <c r="BM631" s="41"/>
      <c r="BN631" s="41"/>
      <c r="BO631" s="41"/>
      <c r="BP631" s="41"/>
      <c r="BQ631" s="41"/>
      <c r="BR631" s="41"/>
      <c r="BS631" s="41"/>
      <c r="BT631" s="41"/>
      <c r="BU631" s="41"/>
      <c r="BV631" s="41"/>
      <c r="BW631" s="41"/>
      <c r="BX631" s="41"/>
      <c r="BY631" s="41"/>
      <c r="BZ631" s="41"/>
      <c r="CA631" s="41"/>
      <c r="CB631" s="41"/>
      <c r="CC631" s="41"/>
      <c r="CD631" s="41"/>
      <c r="CE631" s="41"/>
      <c r="CF631" s="41"/>
      <c r="CG631" s="41"/>
      <c r="CH631" s="41"/>
      <c r="CI631" s="41"/>
      <c r="CJ631" s="41"/>
      <c r="CK631" s="41"/>
    </row>
    <row r="632" spans="1:89" s="25" customFormat="1" ht="33" customHeight="1">
      <c r="A632" s="74"/>
      <c r="B632" s="74"/>
      <c r="C632" s="74"/>
      <c r="D632" s="74"/>
      <c r="E632" s="74"/>
      <c r="F632" s="74"/>
      <c r="G632" s="75"/>
      <c r="H632" s="76"/>
      <c r="I632" s="52"/>
      <c r="J632" s="52"/>
      <c r="K632" s="52"/>
      <c r="L632" s="41"/>
      <c r="M632" s="41"/>
      <c r="N632" s="41"/>
      <c r="O632" s="41"/>
      <c r="P632" s="41"/>
      <c r="Q632" s="41"/>
      <c r="R632" s="41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  <c r="BP632" s="41"/>
      <c r="BQ632" s="41"/>
      <c r="BR632" s="41"/>
      <c r="BS632" s="41"/>
      <c r="BT632" s="41"/>
      <c r="BU632" s="41"/>
      <c r="BV632" s="41"/>
      <c r="BW632" s="41"/>
      <c r="BX632" s="41"/>
      <c r="BY632" s="41"/>
      <c r="BZ632" s="41"/>
      <c r="CA632" s="41"/>
      <c r="CB632" s="41"/>
      <c r="CC632" s="41"/>
      <c r="CD632" s="41"/>
      <c r="CE632" s="41"/>
      <c r="CF632" s="41"/>
      <c r="CG632" s="41"/>
      <c r="CH632" s="41"/>
      <c r="CI632" s="41"/>
      <c r="CJ632" s="41"/>
      <c r="CK632" s="41"/>
    </row>
    <row r="633" spans="1:89" s="25" customFormat="1" ht="33" customHeight="1">
      <c r="A633" s="74"/>
      <c r="B633" s="74"/>
      <c r="C633" s="74"/>
      <c r="D633" s="74"/>
      <c r="E633" s="74"/>
      <c r="F633" s="74"/>
      <c r="G633" s="75"/>
      <c r="H633" s="76"/>
      <c r="I633" s="52"/>
      <c r="J633" s="52"/>
      <c r="K633" s="52"/>
      <c r="L633" s="41"/>
      <c r="M633" s="41"/>
      <c r="N633" s="41"/>
      <c r="O633" s="41"/>
      <c r="P633" s="41"/>
      <c r="Q633" s="41"/>
      <c r="R633" s="41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  <c r="BL633" s="41"/>
      <c r="BM633" s="41"/>
      <c r="BN633" s="41"/>
      <c r="BO633" s="41"/>
      <c r="BP633" s="41"/>
      <c r="BQ633" s="41"/>
      <c r="BR633" s="41"/>
      <c r="BS633" s="41"/>
      <c r="BT633" s="41"/>
      <c r="BU633" s="41"/>
      <c r="BV633" s="41"/>
      <c r="BW633" s="41"/>
      <c r="BX633" s="41"/>
      <c r="BY633" s="41"/>
      <c r="BZ633" s="41"/>
      <c r="CA633" s="41"/>
      <c r="CB633" s="41"/>
      <c r="CC633" s="41"/>
      <c r="CD633" s="41"/>
      <c r="CE633" s="41"/>
      <c r="CF633" s="41"/>
      <c r="CG633" s="41"/>
      <c r="CH633" s="41"/>
      <c r="CI633" s="41"/>
      <c r="CJ633" s="41"/>
      <c r="CK633" s="41"/>
    </row>
    <row r="634" spans="1:89" s="25" customFormat="1" ht="33" customHeight="1">
      <c r="A634" s="74"/>
      <c r="B634" s="74"/>
      <c r="C634" s="74"/>
      <c r="D634" s="74"/>
      <c r="E634" s="74"/>
      <c r="F634" s="74"/>
      <c r="G634" s="75"/>
      <c r="H634" s="76"/>
      <c r="I634" s="52"/>
      <c r="J634" s="52"/>
      <c r="K634" s="52"/>
      <c r="L634" s="41"/>
      <c r="M634" s="41"/>
      <c r="N634" s="41"/>
      <c r="O634" s="41"/>
      <c r="P634" s="41"/>
      <c r="Q634" s="41"/>
      <c r="R634" s="41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  <c r="BK634" s="41"/>
      <c r="BL634" s="41"/>
      <c r="BM634" s="41"/>
      <c r="BN634" s="41"/>
      <c r="BO634" s="41"/>
      <c r="BP634" s="41"/>
      <c r="BQ634" s="41"/>
      <c r="BR634" s="41"/>
      <c r="BS634" s="41"/>
      <c r="BT634" s="41"/>
      <c r="BU634" s="41"/>
      <c r="BV634" s="41"/>
      <c r="BW634" s="41"/>
      <c r="BX634" s="41"/>
      <c r="BY634" s="41"/>
      <c r="BZ634" s="41"/>
      <c r="CA634" s="41"/>
      <c r="CB634" s="41"/>
      <c r="CC634" s="41"/>
      <c r="CD634" s="41"/>
      <c r="CE634" s="41"/>
      <c r="CF634" s="41"/>
      <c r="CG634" s="41"/>
      <c r="CH634" s="41"/>
      <c r="CI634" s="41"/>
      <c r="CJ634" s="41"/>
      <c r="CK634" s="41"/>
    </row>
    <row r="635" spans="1:89" s="25" customFormat="1" ht="33" customHeight="1">
      <c r="A635" s="74"/>
      <c r="B635" s="74"/>
      <c r="C635" s="74"/>
      <c r="D635" s="74"/>
      <c r="E635" s="74"/>
      <c r="F635" s="74"/>
      <c r="G635" s="75"/>
      <c r="H635" s="76"/>
      <c r="I635" s="52"/>
      <c r="J635" s="52"/>
      <c r="K635" s="52"/>
      <c r="L635" s="41"/>
      <c r="M635" s="41"/>
      <c r="N635" s="41"/>
      <c r="O635" s="41"/>
      <c r="P635" s="41"/>
      <c r="Q635" s="41"/>
      <c r="R635" s="41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  <c r="BK635" s="41"/>
      <c r="BL635" s="41"/>
      <c r="BM635" s="41"/>
      <c r="BN635" s="41"/>
      <c r="BO635" s="41"/>
      <c r="BP635" s="41"/>
      <c r="BQ635" s="41"/>
      <c r="BR635" s="41"/>
      <c r="BS635" s="41"/>
      <c r="BT635" s="41"/>
      <c r="BU635" s="41"/>
      <c r="BV635" s="41"/>
      <c r="BW635" s="41"/>
      <c r="BX635" s="41"/>
      <c r="BY635" s="41"/>
      <c r="BZ635" s="41"/>
      <c r="CA635" s="41"/>
      <c r="CB635" s="41"/>
      <c r="CC635" s="41"/>
      <c r="CD635" s="41"/>
      <c r="CE635" s="41"/>
      <c r="CF635" s="41"/>
      <c r="CG635" s="41"/>
      <c r="CH635" s="41"/>
      <c r="CI635" s="41"/>
      <c r="CJ635" s="41"/>
      <c r="CK635" s="41"/>
    </row>
    <row r="636" spans="1:89" s="25" customFormat="1" ht="33" customHeight="1">
      <c r="A636" s="74"/>
      <c r="B636" s="74"/>
      <c r="C636" s="74"/>
      <c r="D636" s="74"/>
      <c r="E636" s="74"/>
      <c r="F636" s="74"/>
      <c r="G636" s="75"/>
      <c r="H636" s="76"/>
      <c r="I636" s="52"/>
      <c r="J636" s="52"/>
      <c r="K636" s="52"/>
      <c r="L636" s="41"/>
      <c r="M636" s="41"/>
      <c r="N636" s="41"/>
      <c r="O636" s="41"/>
      <c r="P636" s="41"/>
      <c r="Q636" s="41"/>
      <c r="R636" s="41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/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1"/>
      <c r="CA636" s="41"/>
      <c r="CB636" s="41"/>
      <c r="CC636" s="41"/>
      <c r="CD636" s="41"/>
      <c r="CE636" s="41"/>
      <c r="CF636" s="41"/>
      <c r="CG636" s="41"/>
      <c r="CH636" s="41"/>
      <c r="CI636" s="41"/>
      <c r="CJ636" s="41"/>
      <c r="CK636" s="41"/>
    </row>
    <row r="637" spans="1:89" s="25" customFormat="1" ht="33" customHeight="1">
      <c r="A637" s="74"/>
      <c r="B637" s="74"/>
      <c r="C637" s="74"/>
      <c r="D637" s="74"/>
      <c r="E637" s="74"/>
      <c r="F637" s="74"/>
      <c r="G637" s="75"/>
      <c r="H637" s="76"/>
      <c r="I637" s="52"/>
      <c r="J637" s="52"/>
      <c r="K637" s="52"/>
      <c r="L637" s="41"/>
      <c r="M637" s="41"/>
      <c r="N637" s="41"/>
      <c r="O637" s="41"/>
      <c r="P637" s="41"/>
      <c r="Q637" s="41"/>
      <c r="R637" s="41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  <c r="BK637" s="41"/>
      <c r="BL637" s="41"/>
      <c r="BM637" s="41"/>
      <c r="BN637" s="41"/>
      <c r="BO637" s="41"/>
      <c r="BP637" s="41"/>
      <c r="BQ637" s="41"/>
      <c r="BR637" s="41"/>
      <c r="BS637" s="41"/>
      <c r="BT637" s="41"/>
      <c r="BU637" s="41"/>
      <c r="BV637" s="41"/>
      <c r="BW637" s="41"/>
      <c r="BX637" s="41"/>
      <c r="BY637" s="41"/>
      <c r="BZ637" s="41"/>
      <c r="CA637" s="41"/>
      <c r="CB637" s="41"/>
      <c r="CC637" s="41"/>
      <c r="CD637" s="41"/>
      <c r="CE637" s="41"/>
      <c r="CF637" s="41"/>
      <c r="CG637" s="41"/>
      <c r="CH637" s="41"/>
      <c r="CI637" s="41"/>
      <c r="CJ637" s="41"/>
      <c r="CK637" s="41"/>
    </row>
    <row r="638" spans="1:89" s="25" customFormat="1" ht="33" customHeight="1">
      <c r="A638" s="74"/>
      <c r="B638" s="74"/>
      <c r="C638" s="74"/>
      <c r="D638" s="74"/>
      <c r="E638" s="74"/>
      <c r="F638" s="74"/>
      <c r="G638" s="75"/>
      <c r="H638" s="76"/>
      <c r="I638" s="52"/>
      <c r="J638" s="52"/>
      <c r="K638" s="52"/>
      <c r="L638" s="41"/>
      <c r="M638" s="41"/>
      <c r="N638" s="41"/>
      <c r="O638" s="41"/>
      <c r="P638" s="41"/>
      <c r="Q638" s="41"/>
      <c r="R638" s="41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  <c r="BK638" s="41"/>
      <c r="BL638" s="41"/>
      <c r="BM638" s="41"/>
      <c r="BN638" s="41"/>
      <c r="BO638" s="41"/>
      <c r="BP638" s="41"/>
      <c r="BQ638" s="41"/>
      <c r="BR638" s="41"/>
      <c r="BS638" s="41"/>
      <c r="BT638" s="41"/>
      <c r="BU638" s="41"/>
      <c r="BV638" s="41"/>
      <c r="BW638" s="41"/>
      <c r="BX638" s="41"/>
      <c r="BY638" s="41"/>
      <c r="BZ638" s="41"/>
      <c r="CA638" s="41"/>
      <c r="CB638" s="41"/>
      <c r="CC638" s="41"/>
      <c r="CD638" s="41"/>
      <c r="CE638" s="41"/>
      <c r="CF638" s="41"/>
      <c r="CG638" s="41"/>
      <c r="CH638" s="41"/>
      <c r="CI638" s="41"/>
      <c r="CJ638" s="41"/>
      <c r="CK638" s="41"/>
    </row>
    <row r="639" spans="1:89" s="25" customFormat="1" ht="33" customHeight="1">
      <c r="A639" s="74"/>
      <c r="B639" s="74"/>
      <c r="C639" s="74"/>
      <c r="D639" s="74"/>
      <c r="E639" s="74"/>
      <c r="F639" s="74"/>
      <c r="G639" s="75"/>
      <c r="H639" s="76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  <c r="BE639" s="53"/>
      <c r="BF639" s="53"/>
      <c r="BG639" s="53"/>
      <c r="BH639" s="53"/>
      <c r="BI639" s="53"/>
      <c r="BJ639" s="53"/>
      <c r="BK639" s="53"/>
      <c r="BL639" s="53"/>
      <c r="BM639" s="53"/>
      <c r="BN639" s="53"/>
      <c r="BO639" s="53"/>
      <c r="BP639" s="53"/>
      <c r="BQ639" s="53"/>
      <c r="BR639" s="53"/>
      <c r="BS639" s="53"/>
      <c r="BT639" s="53"/>
      <c r="BU639" s="53"/>
      <c r="BV639" s="53"/>
      <c r="BW639" s="53"/>
      <c r="BX639" s="53"/>
      <c r="BY639" s="53"/>
      <c r="BZ639" s="53"/>
      <c r="CA639" s="53"/>
      <c r="CB639" s="53"/>
      <c r="CC639" s="53"/>
      <c r="CD639" s="53"/>
      <c r="CE639" s="53"/>
      <c r="CF639" s="53"/>
      <c r="CG639" s="53"/>
      <c r="CH639" s="53"/>
      <c r="CI639" s="53"/>
      <c r="CJ639" s="53"/>
      <c r="CK639" s="53"/>
    </row>
    <row r="640" spans="1:89" s="25" customFormat="1" ht="33" customHeight="1">
      <c r="A640" s="74"/>
      <c r="B640" s="74"/>
      <c r="C640" s="74"/>
      <c r="D640" s="74"/>
      <c r="E640" s="74"/>
      <c r="F640" s="74"/>
      <c r="G640" s="75"/>
      <c r="H640" s="76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  <c r="BE640" s="53"/>
      <c r="BF640" s="53"/>
      <c r="BG640" s="53"/>
      <c r="BH640" s="53"/>
      <c r="BI640" s="53"/>
      <c r="BJ640" s="53"/>
      <c r="BK640" s="53"/>
      <c r="BL640" s="53"/>
      <c r="BM640" s="53"/>
      <c r="BN640" s="53"/>
      <c r="BO640" s="53"/>
      <c r="BP640" s="53"/>
      <c r="BQ640" s="53"/>
      <c r="BR640" s="53"/>
      <c r="BS640" s="53"/>
      <c r="BT640" s="53"/>
      <c r="BU640" s="53"/>
      <c r="BV640" s="53"/>
      <c r="BW640" s="53"/>
      <c r="BX640" s="53"/>
      <c r="BY640" s="53"/>
      <c r="BZ640" s="53"/>
      <c r="CA640" s="53"/>
      <c r="CB640" s="53"/>
      <c r="CC640" s="53"/>
      <c r="CD640" s="53"/>
      <c r="CE640" s="53"/>
      <c r="CF640" s="53"/>
      <c r="CG640" s="53"/>
      <c r="CH640" s="53"/>
      <c r="CI640" s="53"/>
      <c r="CJ640" s="53"/>
      <c r="CK640" s="53"/>
    </row>
    <row r="641" spans="1:89" s="25" customFormat="1" ht="33" customHeight="1">
      <c r="A641" s="74"/>
      <c r="B641" s="74"/>
      <c r="C641" s="74"/>
      <c r="D641" s="74"/>
      <c r="E641" s="74"/>
      <c r="F641" s="74"/>
      <c r="G641" s="75"/>
      <c r="H641" s="76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  <c r="BE641" s="53"/>
      <c r="BF641" s="53"/>
      <c r="BG641" s="53"/>
      <c r="BH641" s="53"/>
      <c r="BI641" s="53"/>
      <c r="BJ641" s="53"/>
      <c r="BK641" s="53"/>
      <c r="BL641" s="53"/>
      <c r="BM641" s="53"/>
      <c r="BN641" s="53"/>
      <c r="BO641" s="53"/>
      <c r="BP641" s="53"/>
      <c r="BQ641" s="53"/>
      <c r="BR641" s="53"/>
      <c r="BS641" s="53"/>
      <c r="BT641" s="53"/>
      <c r="BU641" s="53"/>
      <c r="BV641" s="53"/>
      <c r="BW641" s="53"/>
      <c r="BX641" s="53"/>
      <c r="BY641" s="53"/>
      <c r="BZ641" s="53"/>
      <c r="CA641" s="53"/>
      <c r="CB641" s="53"/>
      <c r="CC641" s="53"/>
      <c r="CD641" s="53"/>
      <c r="CE641" s="53"/>
      <c r="CF641" s="53"/>
      <c r="CG641" s="53"/>
      <c r="CH641" s="53"/>
      <c r="CI641" s="53"/>
      <c r="CJ641" s="53"/>
      <c r="CK641" s="53"/>
    </row>
    <row r="642" spans="1:89" s="25" customFormat="1" ht="33" customHeight="1">
      <c r="A642" s="74"/>
      <c r="B642" s="74"/>
      <c r="C642" s="74"/>
      <c r="D642" s="74"/>
      <c r="E642" s="74"/>
      <c r="F642" s="74"/>
      <c r="G642" s="75"/>
      <c r="H642" s="76"/>
      <c r="I642" s="52"/>
      <c r="J642" s="52"/>
      <c r="K642" s="52"/>
      <c r="L642" s="41"/>
      <c r="M642" s="41"/>
      <c r="N642" s="41"/>
      <c r="O642" s="41"/>
      <c r="P642" s="41"/>
      <c r="Q642" s="41"/>
      <c r="R642" s="41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  <c r="BK642" s="41"/>
      <c r="BL642" s="41"/>
      <c r="BM642" s="41"/>
      <c r="BN642" s="41"/>
      <c r="BO642" s="41"/>
      <c r="BP642" s="41"/>
      <c r="BQ642" s="41"/>
      <c r="BR642" s="41"/>
      <c r="BS642" s="41"/>
      <c r="BT642" s="41"/>
      <c r="BU642" s="41"/>
      <c r="BV642" s="41"/>
      <c r="BW642" s="41"/>
      <c r="BX642" s="41"/>
      <c r="BY642" s="41"/>
      <c r="BZ642" s="41"/>
      <c r="CA642" s="41"/>
      <c r="CB642" s="41"/>
      <c r="CC642" s="41"/>
      <c r="CD642" s="41"/>
      <c r="CE642" s="41"/>
      <c r="CF642" s="41"/>
      <c r="CG642" s="41"/>
      <c r="CH642" s="41"/>
      <c r="CI642" s="41"/>
      <c r="CJ642" s="41"/>
      <c r="CK642" s="41"/>
    </row>
    <row r="643" spans="1:89" s="25" customFormat="1" ht="33" customHeight="1">
      <c r="A643" s="74"/>
      <c r="B643" s="74"/>
      <c r="C643" s="74"/>
      <c r="D643" s="74"/>
      <c r="E643" s="74"/>
      <c r="F643" s="74"/>
      <c r="G643" s="75"/>
      <c r="H643" s="76"/>
      <c r="I643" s="52"/>
      <c r="J643" s="52"/>
      <c r="K643" s="52"/>
      <c r="L643" s="41"/>
      <c r="M643" s="41"/>
      <c r="N643" s="41"/>
      <c r="O643" s="41"/>
      <c r="P643" s="41"/>
      <c r="Q643" s="41"/>
      <c r="R643" s="41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  <c r="BK643" s="41"/>
      <c r="BL643" s="41"/>
      <c r="BM643" s="41"/>
      <c r="BN643" s="41"/>
      <c r="BO643" s="41"/>
      <c r="BP643" s="41"/>
      <c r="BQ643" s="41"/>
      <c r="BR643" s="41"/>
      <c r="BS643" s="41"/>
      <c r="BT643" s="41"/>
      <c r="BU643" s="41"/>
      <c r="BV643" s="41"/>
      <c r="BW643" s="41"/>
      <c r="BX643" s="41"/>
      <c r="BY643" s="41"/>
      <c r="BZ643" s="41"/>
      <c r="CA643" s="41"/>
      <c r="CB643" s="41"/>
      <c r="CC643" s="41"/>
      <c r="CD643" s="41"/>
      <c r="CE643" s="41"/>
      <c r="CF643" s="41"/>
      <c r="CG643" s="41"/>
      <c r="CH643" s="41"/>
      <c r="CI643" s="41"/>
      <c r="CJ643" s="41"/>
      <c r="CK643" s="41"/>
    </row>
    <row r="644" spans="1:89" s="25" customFormat="1" ht="33" customHeight="1">
      <c r="A644" s="74"/>
      <c r="B644" s="74"/>
      <c r="C644" s="74"/>
      <c r="D644" s="74"/>
      <c r="E644" s="74"/>
      <c r="F644" s="74"/>
      <c r="G644" s="75"/>
      <c r="H644" s="76"/>
      <c r="I644" s="52"/>
      <c r="J644" s="52"/>
      <c r="K644" s="52"/>
      <c r="L644" s="41"/>
      <c r="M644" s="41"/>
      <c r="N644" s="41"/>
      <c r="O644" s="41"/>
      <c r="P644" s="41"/>
      <c r="Q644" s="41"/>
      <c r="R644" s="41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  <c r="BK644" s="41"/>
      <c r="BL644" s="41"/>
      <c r="BM644" s="41"/>
      <c r="BN644" s="41"/>
      <c r="BO644" s="41"/>
      <c r="BP644" s="41"/>
      <c r="BQ644" s="41"/>
      <c r="BR644" s="41"/>
      <c r="BS644" s="41"/>
      <c r="BT644" s="41"/>
      <c r="BU644" s="41"/>
      <c r="BV644" s="41"/>
      <c r="BW644" s="41"/>
      <c r="BX644" s="41"/>
      <c r="BY644" s="41"/>
      <c r="BZ644" s="41"/>
      <c r="CA644" s="41"/>
      <c r="CB644" s="41"/>
      <c r="CC644" s="41"/>
      <c r="CD644" s="41"/>
      <c r="CE644" s="41"/>
      <c r="CF644" s="41"/>
      <c r="CG644" s="41"/>
      <c r="CH644" s="41"/>
      <c r="CI644" s="41"/>
      <c r="CJ644" s="41"/>
      <c r="CK644" s="41"/>
    </row>
    <row r="645" spans="1:89" s="25" customFormat="1" ht="33" customHeight="1">
      <c r="A645" s="74"/>
      <c r="B645" s="74"/>
      <c r="C645" s="74"/>
      <c r="D645" s="74"/>
      <c r="E645" s="74"/>
      <c r="F645" s="74"/>
      <c r="G645" s="75"/>
      <c r="H645" s="76"/>
      <c r="I645" s="52"/>
      <c r="J645" s="52"/>
      <c r="K645" s="52"/>
      <c r="L645" s="41"/>
      <c r="M645" s="41"/>
      <c r="N645" s="41"/>
      <c r="O645" s="41"/>
      <c r="P645" s="41"/>
      <c r="Q645" s="41"/>
      <c r="R645" s="41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  <c r="BK645" s="41"/>
      <c r="BL645" s="41"/>
      <c r="BM645" s="41"/>
      <c r="BN645" s="41"/>
      <c r="BO645" s="41"/>
      <c r="BP645" s="41"/>
      <c r="BQ645" s="41"/>
      <c r="BR645" s="41"/>
      <c r="BS645" s="41"/>
      <c r="BT645" s="41"/>
      <c r="BU645" s="41"/>
      <c r="BV645" s="41"/>
      <c r="BW645" s="41"/>
      <c r="BX645" s="41"/>
      <c r="BY645" s="41"/>
      <c r="BZ645" s="41"/>
      <c r="CA645" s="41"/>
      <c r="CB645" s="41"/>
      <c r="CC645" s="41"/>
      <c r="CD645" s="41"/>
      <c r="CE645" s="41"/>
      <c r="CF645" s="41"/>
      <c r="CG645" s="41"/>
      <c r="CH645" s="41"/>
      <c r="CI645" s="41"/>
      <c r="CJ645" s="41"/>
      <c r="CK645" s="41"/>
    </row>
    <row r="646" spans="1:89" s="25" customFormat="1" ht="33" customHeight="1">
      <c r="A646" s="74"/>
      <c r="B646" s="74"/>
      <c r="C646" s="74"/>
      <c r="D646" s="74"/>
      <c r="E646" s="74"/>
      <c r="F646" s="74"/>
      <c r="G646" s="75"/>
      <c r="H646" s="76"/>
      <c r="I646" s="52"/>
      <c r="J646" s="52"/>
      <c r="K646" s="52"/>
      <c r="L646" s="41"/>
      <c r="M646" s="41"/>
      <c r="N646" s="41"/>
      <c r="O646" s="41"/>
      <c r="P646" s="41"/>
      <c r="Q646" s="41"/>
      <c r="R646" s="41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  <c r="BL646" s="41"/>
      <c r="BM646" s="41"/>
      <c r="BN646" s="41"/>
      <c r="BO646" s="41"/>
      <c r="BP646" s="41"/>
      <c r="BQ646" s="41"/>
      <c r="BR646" s="41"/>
      <c r="BS646" s="41"/>
      <c r="BT646" s="41"/>
      <c r="BU646" s="41"/>
      <c r="BV646" s="41"/>
      <c r="BW646" s="41"/>
      <c r="BX646" s="41"/>
      <c r="BY646" s="41"/>
      <c r="BZ646" s="41"/>
      <c r="CA646" s="41"/>
      <c r="CB646" s="41"/>
      <c r="CC646" s="41"/>
      <c r="CD646" s="41"/>
      <c r="CE646" s="41"/>
      <c r="CF646" s="41"/>
      <c r="CG646" s="41"/>
      <c r="CH646" s="41"/>
      <c r="CI646" s="41"/>
      <c r="CJ646" s="41"/>
      <c r="CK646" s="41"/>
    </row>
    <row r="647" spans="1:89" s="25" customFormat="1" ht="33" customHeight="1">
      <c r="A647" s="74"/>
      <c r="B647" s="74"/>
      <c r="C647" s="74"/>
      <c r="D647" s="74"/>
      <c r="E647" s="74"/>
      <c r="F647" s="74"/>
      <c r="G647" s="75"/>
      <c r="H647" s="76"/>
      <c r="I647" s="52"/>
      <c r="J647" s="52"/>
      <c r="K647" s="52"/>
      <c r="L647" s="41"/>
      <c r="M647" s="41"/>
      <c r="N647" s="41"/>
      <c r="O647" s="41"/>
      <c r="P647" s="41"/>
      <c r="Q647" s="41"/>
      <c r="R647" s="41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  <c r="BK647" s="41"/>
      <c r="BL647" s="41"/>
      <c r="BM647" s="41"/>
      <c r="BN647" s="41"/>
      <c r="BO647" s="41"/>
      <c r="BP647" s="41"/>
      <c r="BQ647" s="41"/>
      <c r="BR647" s="41"/>
      <c r="BS647" s="41"/>
      <c r="BT647" s="41"/>
      <c r="BU647" s="41"/>
      <c r="BV647" s="41"/>
      <c r="BW647" s="41"/>
      <c r="BX647" s="41"/>
      <c r="BY647" s="41"/>
      <c r="BZ647" s="41"/>
      <c r="CA647" s="41"/>
      <c r="CB647" s="41"/>
      <c r="CC647" s="41"/>
      <c r="CD647" s="41"/>
      <c r="CE647" s="41"/>
      <c r="CF647" s="41"/>
      <c r="CG647" s="41"/>
      <c r="CH647" s="41"/>
      <c r="CI647" s="41"/>
      <c r="CJ647" s="41"/>
      <c r="CK647" s="41"/>
    </row>
    <row r="648" spans="1:89" s="25" customFormat="1" ht="33" customHeight="1">
      <c r="A648" s="74"/>
      <c r="B648" s="74"/>
      <c r="C648" s="74"/>
      <c r="D648" s="74"/>
      <c r="E648" s="74"/>
      <c r="F648" s="74"/>
      <c r="G648" s="75"/>
      <c r="H648" s="76"/>
      <c r="I648" s="52"/>
      <c r="J648" s="52"/>
      <c r="K648" s="52"/>
      <c r="L648" s="41"/>
      <c r="M648" s="41"/>
      <c r="N648" s="41"/>
      <c r="O648" s="41"/>
      <c r="P648" s="41"/>
      <c r="Q648" s="41"/>
      <c r="R648" s="41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  <c r="BK648" s="41"/>
      <c r="BL648" s="41"/>
      <c r="BM648" s="41"/>
      <c r="BN648" s="41"/>
      <c r="BO648" s="41"/>
      <c r="BP648" s="41"/>
      <c r="BQ648" s="41"/>
      <c r="BR648" s="41"/>
      <c r="BS648" s="41"/>
      <c r="BT648" s="41"/>
      <c r="BU648" s="41"/>
      <c r="BV648" s="41"/>
      <c r="BW648" s="41"/>
      <c r="BX648" s="41"/>
      <c r="BY648" s="41"/>
      <c r="BZ648" s="41"/>
      <c r="CA648" s="41"/>
      <c r="CB648" s="41"/>
      <c r="CC648" s="41"/>
      <c r="CD648" s="41"/>
      <c r="CE648" s="41"/>
      <c r="CF648" s="41"/>
      <c r="CG648" s="41"/>
      <c r="CH648" s="41"/>
      <c r="CI648" s="41"/>
      <c r="CJ648" s="41"/>
      <c r="CK648" s="41"/>
    </row>
    <row r="649" spans="1:89" s="25" customFormat="1" ht="33" customHeight="1">
      <c r="A649" s="74"/>
      <c r="B649" s="74"/>
      <c r="C649" s="74"/>
      <c r="D649" s="74"/>
      <c r="E649" s="74"/>
      <c r="F649" s="74"/>
      <c r="G649" s="75"/>
      <c r="H649" s="76"/>
      <c r="I649" s="52"/>
      <c r="J649" s="52"/>
      <c r="K649" s="52"/>
      <c r="L649" s="41"/>
      <c r="M649" s="41"/>
      <c r="N649" s="41"/>
      <c r="O649" s="41"/>
      <c r="P649" s="41"/>
      <c r="Q649" s="41"/>
      <c r="R649" s="41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  <c r="BK649" s="41"/>
      <c r="BL649" s="41"/>
      <c r="BM649" s="41"/>
      <c r="BN649" s="41"/>
      <c r="BO649" s="41"/>
      <c r="BP649" s="41"/>
      <c r="BQ649" s="41"/>
      <c r="BR649" s="41"/>
      <c r="BS649" s="41"/>
      <c r="BT649" s="41"/>
      <c r="BU649" s="41"/>
      <c r="BV649" s="41"/>
      <c r="BW649" s="41"/>
      <c r="BX649" s="41"/>
      <c r="BY649" s="41"/>
      <c r="BZ649" s="41"/>
      <c r="CA649" s="41"/>
      <c r="CB649" s="41"/>
      <c r="CC649" s="41"/>
      <c r="CD649" s="41"/>
      <c r="CE649" s="41"/>
      <c r="CF649" s="41"/>
      <c r="CG649" s="41"/>
      <c r="CH649" s="41"/>
      <c r="CI649" s="41"/>
      <c r="CJ649" s="41"/>
      <c r="CK649" s="41"/>
    </row>
    <row r="650" spans="1:89" s="25" customFormat="1" ht="33" customHeight="1">
      <c r="A650" s="74"/>
      <c r="B650" s="74"/>
      <c r="C650" s="74"/>
      <c r="D650" s="74"/>
      <c r="E650" s="74"/>
      <c r="F650" s="74"/>
      <c r="G650" s="75"/>
      <c r="H650" s="76"/>
      <c r="I650" s="52"/>
      <c r="J650" s="52"/>
      <c r="K650" s="52"/>
      <c r="L650" s="41"/>
      <c r="M650" s="41"/>
      <c r="N650" s="41"/>
      <c r="O650" s="41"/>
      <c r="P650" s="41"/>
      <c r="Q650" s="41"/>
      <c r="R650" s="41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  <c r="BK650" s="41"/>
      <c r="BL650" s="41"/>
      <c r="BM650" s="41"/>
      <c r="BN650" s="41"/>
      <c r="BO650" s="41"/>
      <c r="BP650" s="41"/>
      <c r="BQ650" s="41"/>
      <c r="BR650" s="41"/>
      <c r="BS650" s="41"/>
      <c r="BT650" s="41"/>
      <c r="BU650" s="41"/>
      <c r="BV650" s="41"/>
      <c r="BW650" s="41"/>
      <c r="BX650" s="41"/>
      <c r="BY650" s="41"/>
      <c r="BZ650" s="41"/>
      <c r="CA650" s="41"/>
      <c r="CB650" s="41"/>
      <c r="CC650" s="41"/>
      <c r="CD650" s="41"/>
      <c r="CE650" s="41"/>
      <c r="CF650" s="41"/>
      <c r="CG650" s="41"/>
      <c r="CH650" s="41"/>
      <c r="CI650" s="41"/>
      <c r="CJ650" s="41"/>
      <c r="CK650" s="41"/>
    </row>
    <row r="651" spans="1:89" s="25" customFormat="1" ht="33" customHeight="1">
      <c r="A651" s="74"/>
      <c r="B651" s="74"/>
      <c r="C651" s="74"/>
      <c r="D651" s="74"/>
      <c r="E651" s="74"/>
      <c r="F651" s="74"/>
      <c r="G651" s="75"/>
      <c r="H651" s="76"/>
      <c r="I651" s="52"/>
      <c r="J651" s="52"/>
      <c r="K651" s="52"/>
      <c r="L651" s="41"/>
      <c r="M651" s="41"/>
      <c r="N651" s="41"/>
      <c r="O651" s="41"/>
      <c r="P651" s="41"/>
      <c r="Q651" s="41"/>
      <c r="R651" s="41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  <c r="BL651" s="41"/>
      <c r="BM651" s="41"/>
      <c r="BN651" s="41"/>
      <c r="BO651" s="41"/>
      <c r="BP651" s="41"/>
      <c r="BQ651" s="41"/>
      <c r="BR651" s="41"/>
      <c r="BS651" s="41"/>
      <c r="BT651" s="41"/>
      <c r="BU651" s="41"/>
      <c r="BV651" s="41"/>
      <c r="BW651" s="41"/>
      <c r="BX651" s="41"/>
      <c r="BY651" s="41"/>
      <c r="BZ651" s="41"/>
      <c r="CA651" s="41"/>
      <c r="CB651" s="41"/>
      <c r="CC651" s="41"/>
      <c r="CD651" s="41"/>
      <c r="CE651" s="41"/>
      <c r="CF651" s="41"/>
      <c r="CG651" s="41"/>
      <c r="CH651" s="41"/>
      <c r="CI651" s="41"/>
      <c r="CJ651" s="41"/>
      <c r="CK651" s="41"/>
    </row>
    <row r="652" spans="1:89" s="25" customFormat="1" ht="33" customHeight="1">
      <c r="A652" s="74"/>
      <c r="B652" s="74"/>
      <c r="C652" s="74"/>
      <c r="D652" s="74"/>
      <c r="E652" s="74"/>
      <c r="F652" s="74"/>
      <c r="G652" s="75"/>
      <c r="H652" s="76"/>
      <c r="I652" s="52"/>
      <c r="J652" s="52"/>
      <c r="K652" s="52"/>
      <c r="L652" s="41"/>
      <c r="M652" s="41"/>
      <c r="N652" s="41"/>
      <c r="O652" s="41"/>
      <c r="P652" s="41"/>
      <c r="Q652" s="41"/>
      <c r="R652" s="41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  <c r="BK652" s="41"/>
      <c r="BL652" s="41"/>
      <c r="BM652" s="41"/>
      <c r="BN652" s="41"/>
      <c r="BO652" s="41"/>
      <c r="BP652" s="41"/>
      <c r="BQ652" s="41"/>
      <c r="BR652" s="41"/>
      <c r="BS652" s="41"/>
      <c r="BT652" s="41"/>
      <c r="BU652" s="41"/>
      <c r="BV652" s="41"/>
      <c r="BW652" s="41"/>
      <c r="BX652" s="41"/>
      <c r="BY652" s="41"/>
      <c r="BZ652" s="41"/>
      <c r="CA652" s="41"/>
      <c r="CB652" s="41"/>
      <c r="CC652" s="41"/>
      <c r="CD652" s="41"/>
      <c r="CE652" s="41"/>
      <c r="CF652" s="41"/>
      <c r="CG652" s="41"/>
      <c r="CH652" s="41"/>
      <c r="CI652" s="41"/>
      <c r="CJ652" s="41"/>
      <c r="CK652" s="41"/>
    </row>
    <row r="653" spans="1:89" s="25" customFormat="1" ht="33" customHeight="1">
      <c r="A653" s="74"/>
      <c r="B653" s="74"/>
      <c r="C653" s="74"/>
      <c r="D653" s="74"/>
      <c r="E653" s="74"/>
      <c r="F653" s="74"/>
      <c r="G653" s="75"/>
      <c r="H653" s="76"/>
      <c r="I653" s="52"/>
      <c r="J653" s="52"/>
      <c r="K653" s="52"/>
      <c r="L653" s="41"/>
      <c r="M653" s="41"/>
      <c r="N653" s="41"/>
      <c r="O653" s="41"/>
      <c r="P653" s="41"/>
      <c r="Q653" s="41"/>
      <c r="R653" s="41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  <c r="BK653" s="41"/>
      <c r="BL653" s="41"/>
      <c r="BM653" s="41"/>
      <c r="BN653" s="41"/>
      <c r="BO653" s="41"/>
      <c r="BP653" s="41"/>
      <c r="BQ653" s="41"/>
      <c r="BR653" s="41"/>
      <c r="BS653" s="41"/>
      <c r="BT653" s="41"/>
      <c r="BU653" s="41"/>
      <c r="BV653" s="41"/>
      <c r="BW653" s="41"/>
      <c r="BX653" s="41"/>
      <c r="BY653" s="41"/>
      <c r="BZ653" s="41"/>
      <c r="CA653" s="41"/>
      <c r="CB653" s="41"/>
      <c r="CC653" s="41"/>
      <c r="CD653" s="41"/>
      <c r="CE653" s="41"/>
      <c r="CF653" s="41"/>
      <c r="CG653" s="41"/>
      <c r="CH653" s="41"/>
      <c r="CI653" s="41"/>
      <c r="CJ653" s="41"/>
      <c r="CK653" s="41"/>
    </row>
    <row r="654" spans="1:89" s="25" customFormat="1" ht="33" customHeight="1">
      <c r="A654" s="74"/>
      <c r="B654" s="74"/>
      <c r="C654" s="74"/>
      <c r="D654" s="74"/>
      <c r="E654" s="74"/>
      <c r="F654" s="74"/>
      <c r="G654" s="75"/>
      <c r="H654" s="76"/>
      <c r="I654" s="52"/>
      <c r="J654" s="52"/>
      <c r="K654" s="52"/>
      <c r="L654" s="41"/>
      <c r="M654" s="41"/>
      <c r="N654" s="41"/>
      <c r="O654" s="41"/>
      <c r="P654" s="41"/>
      <c r="Q654" s="41"/>
      <c r="R654" s="41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  <c r="BK654" s="41"/>
      <c r="BL654" s="41"/>
      <c r="BM654" s="41"/>
      <c r="BN654" s="41"/>
      <c r="BO654" s="41"/>
      <c r="BP654" s="41"/>
      <c r="BQ654" s="41"/>
      <c r="BR654" s="41"/>
      <c r="BS654" s="41"/>
      <c r="BT654" s="41"/>
      <c r="BU654" s="41"/>
      <c r="BV654" s="41"/>
      <c r="BW654" s="41"/>
      <c r="BX654" s="41"/>
      <c r="BY654" s="41"/>
      <c r="BZ654" s="41"/>
      <c r="CA654" s="41"/>
      <c r="CB654" s="41"/>
      <c r="CC654" s="41"/>
      <c r="CD654" s="41"/>
      <c r="CE654" s="41"/>
      <c r="CF654" s="41"/>
      <c r="CG654" s="41"/>
      <c r="CH654" s="41"/>
      <c r="CI654" s="41"/>
      <c r="CJ654" s="41"/>
      <c r="CK654" s="41"/>
    </row>
    <row r="655" spans="1:89" s="25" customFormat="1" ht="33" customHeight="1">
      <c r="A655" s="74"/>
      <c r="B655" s="74"/>
      <c r="C655" s="74"/>
      <c r="D655" s="74"/>
      <c r="E655" s="74"/>
      <c r="F655" s="74"/>
      <c r="G655" s="75"/>
      <c r="H655" s="76"/>
      <c r="I655" s="52"/>
      <c r="J655" s="52"/>
      <c r="K655" s="52"/>
      <c r="L655" s="41"/>
      <c r="M655" s="41"/>
      <c r="N655" s="41"/>
      <c r="O655" s="41"/>
      <c r="P655" s="41"/>
      <c r="Q655" s="41"/>
      <c r="R655" s="41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  <c r="BK655" s="41"/>
      <c r="BL655" s="41"/>
      <c r="BM655" s="41"/>
      <c r="BN655" s="41"/>
      <c r="BO655" s="41"/>
      <c r="BP655" s="41"/>
      <c r="BQ655" s="41"/>
      <c r="BR655" s="41"/>
      <c r="BS655" s="41"/>
      <c r="BT655" s="41"/>
      <c r="BU655" s="41"/>
      <c r="BV655" s="41"/>
      <c r="BW655" s="41"/>
      <c r="BX655" s="41"/>
      <c r="BY655" s="41"/>
      <c r="BZ655" s="41"/>
      <c r="CA655" s="41"/>
      <c r="CB655" s="41"/>
      <c r="CC655" s="41"/>
      <c r="CD655" s="41"/>
      <c r="CE655" s="41"/>
      <c r="CF655" s="41"/>
      <c r="CG655" s="41"/>
      <c r="CH655" s="41"/>
      <c r="CI655" s="41"/>
      <c r="CJ655" s="41"/>
      <c r="CK655" s="41"/>
    </row>
    <row r="656" spans="1:89" s="25" customFormat="1" ht="33" customHeight="1">
      <c r="A656" s="74"/>
      <c r="B656" s="74"/>
      <c r="C656" s="74"/>
      <c r="D656" s="74"/>
      <c r="E656" s="74"/>
      <c r="F656" s="74"/>
      <c r="G656" s="75"/>
      <c r="H656" s="76"/>
      <c r="I656" s="52"/>
      <c r="J656" s="52"/>
      <c r="K656" s="52"/>
      <c r="L656" s="41"/>
      <c r="M656" s="41"/>
      <c r="N656" s="41"/>
      <c r="O656" s="41"/>
      <c r="P656" s="41"/>
      <c r="Q656" s="41"/>
      <c r="R656" s="41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  <c r="BK656" s="41"/>
      <c r="BL656" s="41"/>
      <c r="BM656" s="41"/>
      <c r="BN656" s="41"/>
      <c r="BO656" s="41"/>
      <c r="BP656" s="41"/>
      <c r="BQ656" s="41"/>
      <c r="BR656" s="41"/>
      <c r="BS656" s="41"/>
      <c r="BT656" s="41"/>
      <c r="BU656" s="41"/>
      <c r="BV656" s="41"/>
      <c r="BW656" s="41"/>
      <c r="BX656" s="41"/>
      <c r="BY656" s="41"/>
      <c r="BZ656" s="41"/>
      <c r="CA656" s="41"/>
      <c r="CB656" s="41"/>
      <c r="CC656" s="41"/>
      <c r="CD656" s="41"/>
      <c r="CE656" s="41"/>
      <c r="CF656" s="41"/>
      <c r="CG656" s="41"/>
      <c r="CH656" s="41"/>
      <c r="CI656" s="41"/>
      <c r="CJ656" s="41"/>
      <c r="CK656" s="41"/>
    </row>
    <row r="657" spans="1:89" s="25" customFormat="1" ht="33" customHeight="1">
      <c r="A657" s="74"/>
      <c r="B657" s="74"/>
      <c r="C657" s="74"/>
      <c r="D657" s="74"/>
      <c r="E657" s="74"/>
      <c r="F657" s="74"/>
      <c r="G657" s="75"/>
      <c r="H657" s="76"/>
      <c r="I657" s="52"/>
      <c r="J657" s="52"/>
      <c r="K657" s="52"/>
      <c r="L657" s="41"/>
      <c r="M657" s="41"/>
      <c r="N657" s="41"/>
      <c r="O657" s="41"/>
      <c r="P657" s="41"/>
      <c r="Q657" s="41"/>
      <c r="R657" s="41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  <c r="BK657" s="41"/>
      <c r="BL657" s="41"/>
      <c r="BM657" s="41"/>
      <c r="BN657" s="41"/>
      <c r="BO657" s="41"/>
      <c r="BP657" s="41"/>
      <c r="BQ657" s="41"/>
      <c r="BR657" s="41"/>
      <c r="BS657" s="41"/>
      <c r="BT657" s="41"/>
      <c r="BU657" s="41"/>
      <c r="BV657" s="41"/>
      <c r="BW657" s="41"/>
      <c r="BX657" s="41"/>
      <c r="BY657" s="41"/>
      <c r="BZ657" s="41"/>
      <c r="CA657" s="41"/>
      <c r="CB657" s="41"/>
      <c r="CC657" s="41"/>
      <c r="CD657" s="41"/>
      <c r="CE657" s="41"/>
      <c r="CF657" s="41"/>
      <c r="CG657" s="41"/>
      <c r="CH657" s="41"/>
      <c r="CI657" s="41"/>
      <c r="CJ657" s="41"/>
      <c r="CK657" s="41"/>
    </row>
    <row r="658" spans="1:89" s="25" customFormat="1" ht="33" customHeight="1">
      <c r="A658" s="74"/>
      <c r="B658" s="74"/>
      <c r="C658" s="74"/>
      <c r="D658" s="74"/>
      <c r="E658" s="74"/>
      <c r="F658" s="74"/>
      <c r="G658" s="75"/>
      <c r="H658" s="76"/>
      <c r="I658" s="52"/>
      <c r="J658" s="52"/>
      <c r="K658" s="52"/>
      <c r="L658" s="41"/>
      <c r="M658" s="41"/>
      <c r="N658" s="41"/>
      <c r="O658" s="41"/>
      <c r="P658" s="41"/>
      <c r="Q658" s="41"/>
      <c r="R658" s="41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  <c r="BK658" s="41"/>
      <c r="BL658" s="41"/>
      <c r="BM658" s="41"/>
      <c r="BN658" s="41"/>
      <c r="BO658" s="41"/>
      <c r="BP658" s="41"/>
      <c r="BQ658" s="41"/>
      <c r="BR658" s="41"/>
      <c r="BS658" s="41"/>
      <c r="BT658" s="41"/>
      <c r="BU658" s="41"/>
      <c r="BV658" s="41"/>
      <c r="BW658" s="41"/>
      <c r="BX658" s="41"/>
      <c r="BY658" s="41"/>
      <c r="BZ658" s="41"/>
      <c r="CA658" s="41"/>
      <c r="CB658" s="41"/>
      <c r="CC658" s="41"/>
      <c r="CD658" s="41"/>
      <c r="CE658" s="41"/>
      <c r="CF658" s="41"/>
      <c r="CG658" s="41"/>
      <c r="CH658" s="41"/>
      <c r="CI658" s="41"/>
      <c r="CJ658" s="41"/>
      <c r="CK658" s="41"/>
    </row>
    <row r="659" spans="1:89" s="25" customFormat="1" ht="33" customHeight="1">
      <c r="A659" s="74"/>
      <c r="B659" s="74"/>
      <c r="C659" s="74"/>
      <c r="D659" s="74"/>
      <c r="E659" s="74"/>
      <c r="F659" s="74"/>
      <c r="G659" s="75"/>
      <c r="H659" s="76"/>
      <c r="I659" s="52"/>
      <c r="J659" s="52"/>
      <c r="K659" s="52"/>
      <c r="L659" s="41"/>
      <c r="M659" s="41"/>
      <c r="N659" s="41"/>
      <c r="O659" s="41"/>
      <c r="P659" s="41"/>
      <c r="Q659" s="41"/>
      <c r="R659" s="41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  <c r="BK659" s="41"/>
      <c r="BL659" s="41"/>
      <c r="BM659" s="41"/>
      <c r="BN659" s="41"/>
      <c r="BO659" s="41"/>
      <c r="BP659" s="41"/>
      <c r="BQ659" s="41"/>
      <c r="BR659" s="41"/>
      <c r="BS659" s="41"/>
      <c r="BT659" s="41"/>
      <c r="BU659" s="41"/>
      <c r="BV659" s="41"/>
      <c r="BW659" s="41"/>
      <c r="BX659" s="41"/>
      <c r="BY659" s="41"/>
      <c r="BZ659" s="41"/>
      <c r="CA659" s="41"/>
      <c r="CB659" s="41"/>
      <c r="CC659" s="41"/>
      <c r="CD659" s="41"/>
      <c r="CE659" s="41"/>
      <c r="CF659" s="41"/>
      <c r="CG659" s="41"/>
      <c r="CH659" s="41"/>
      <c r="CI659" s="41"/>
      <c r="CJ659" s="41"/>
      <c r="CK659" s="41"/>
    </row>
    <row r="660" spans="1:89" s="25" customFormat="1" ht="33" customHeight="1">
      <c r="A660" s="74"/>
      <c r="B660" s="74"/>
      <c r="C660" s="74"/>
      <c r="D660" s="74"/>
      <c r="E660" s="74"/>
      <c r="F660" s="74"/>
      <c r="G660" s="75"/>
      <c r="H660" s="76"/>
      <c r="I660" s="52"/>
      <c r="J660" s="52"/>
      <c r="K660" s="52"/>
      <c r="L660" s="41"/>
      <c r="M660" s="41"/>
      <c r="N660" s="41"/>
      <c r="O660" s="41"/>
      <c r="P660" s="41"/>
      <c r="Q660" s="41"/>
      <c r="R660" s="41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  <c r="BK660" s="41"/>
      <c r="BL660" s="41"/>
      <c r="BM660" s="41"/>
      <c r="BN660" s="41"/>
      <c r="BO660" s="41"/>
      <c r="BP660" s="41"/>
      <c r="BQ660" s="41"/>
      <c r="BR660" s="41"/>
      <c r="BS660" s="41"/>
      <c r="BT660" s="41"/>
      <c r="BU660" s="41"/>
      <c r="BV660" s="41"/>
      <c r="BW660" s="41"/>
      <c r="BX660" s="41"/>
      <c r="BY660" s="41"/>
      <c r="BZ660" s="41"/>
      <c r="CA660" s="41"/>
      <c r="CB660" s="41"/>
      <c r="CC660" s="41"/>
      <c r="CD660" s="41"/>
      <c r="CE660" s="41"/>
      <c r="CF660" s="41"/>
      <c r="CG660" s="41"/>
      <c r="CH660" s="41"/>
      <c r="CI660" s="41"/>
      <c r="CJ660" s="41"/>
      <c r="CK660" s="41"/>
    </row>
    <row r="661" spans="1:89" s="25" customFormat="1" ht="33" customHeight="1">
      <c r="A661" s="74"/>
      <c r="B661" s="74"/>
      <c r="C661" s="74"/>
      <c r="D661" s="74"/>
      <c r="E661" s="74"/>
      <c r="F661" s="74"/>
      <c r="G661" s="75"/>
      <c r="H661" s="76"/>
      <c r="I661" s="52"/>
      <c r="J661" s="52"/>
      <c r="K661" s="52"/>
      <c r="L661" s="41"/>
      <c r="M661" s="41"/>
      <c r="N661" s="41"/>
      <c r="O661" s="41"/>
      <c r="P661" s="41"/>
      <c r="Q661" s="41"/>
      <c r="R661" s="41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  <c r="BO661" s="41"/>
      <c r="BP661" s="41"/>
      <c r="BQ661" s="41"/>
      <c r="BR661" s="41"/>
      <c r="BS661" s="41"/>
      <c r="BT661" s="41"/>
      <c r="BU661" s="41"/>
      <c r="BV661" s="41"/>
      <c r="BW661" s="41"/>
      <c r="BX661" s="41"/>
      <c r="BY661" s="41"/>
      <c r="BZ661" s="41"/>
      <c r="CA661" s="41"/>
      <c r="CB661" s="41"/>
      <c r="CC661" s="41"/>
      <c r="CD661" s="41"/>
      <c r="CE661" s="41"/>
      <c r="CF661" s="41"/>
      <c r="CG661" s="41"/>
      <c r="CH661" s="41"/>
      <c r="CI661" s="41"/>
      <c r="CJ661" s="41"/>
      <c r="CK661" s="41"/>
    </row>
    <row r="662" spans="1:89" s="25" customFormat="1" ht="33" customHeight="1">
      <c r="A662" s="74"/>
      <c r="B662" s="74"/>
      <c r="C662" s="74"/>
      <c r="D662" s="74"/>
      <c r="E662" s="74"/>
      <c r="F662" s="74"/>
      <c r="G662" s="75"/>
      <c r="H662" s="76"/>
      <c r="I662" s="52"/>
      <c r="J662" s="52"/>
      <c r="K662" s="52"/>
      <c r="L662" s="41"/>
      <c r="M662" s="41"/>
      <c r="N662" s="41"/>
      <c r="O662" s="41"/>
      <c r="P662" s="41"/>
      <c r="Q662" s="41"/>
      <c r="R662" s="41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  <c r="BL662" s="41"/>
      <c r="BM662" s="41"/>
      <c r="BN662" s="41"/>
      <c r="BO662" s="41"/>
      <c r="BP662" s="41"/>
      <c r="BQ662" s="41"/>
      <c r="BR662" s="41"/>
      <c r="BS662" s="41"/>
      <c r="BT662" s="41"/>
      <c r="BU662" s="41"/>
      <c r="BV662" s="41"/>
      <c r="BW662" s="41"/>
      <c r="BX662" s="41"/>
      <c r="BY662" s="41"/>
      <c r="BZ662" s="41"/>
      <c r="CA662" s="41"/>
      <c r="CB662" s="41"/>
      <c r="CC662" s="41"/>
      <c r="CD662" s="41"/>
      <c r="CE662" s="41"/>
      <c r="CF662" s="41"/>
      <c r="CG662" s="41"/>
      <c r="CH662" s="41"/>
      <c r="CI662" s="41"/>
      <c r="CJ662" s="41"/>
      <c r="CK662" s="41"/>
    </row>
    <row r="663" spans="1:89" s="25" customFormat="1" ht="33" customHeight="1">
      <c r="A663" s="74"/>
      <c r="B663" s="74"/>
      <c r="C663" s="74"/>
      <c r="D663" s="74"/>
      <c r="E663" s="74"/>
      <c r="F663" s="74"/>
      <c r="G663" s="75"/>
      <c r="H663" s="76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  <c r="BE663" s="53"/>
      <c r="BF663" s="53"/>
      <c r="BG663" s="53"/>
      <c r="BH663" s="53"/>
      <c r="BI663" s="53"/>
      <c r="BJ663" s="53"/>
      <c r="BK663" s="53"/>
      <c r="BL663" s="53"/>
      <c r="BM663" s="53"/>
      <c r="BN663" s="53"/>
      <c r="BO663" s="53"/>
      <c r="BP663" s="53"/>
      <c r="BQ663" s="53"/>
      <c r="BR663" s="53"/>
      <c r="BS663" s="53"/>
      <c r="BT663" s="53"/>
      <c r="BU663" s="53"/>
      <c r="BV663" s="53"/>
      <c r="BW663" s="53"/>
      <c r="BX663" s="53"/>
      <c r="BY663" s="53"/>
      <c r="BZ663" s="53"/>
      <c r="CA663" s="53"/>
      <c r="CB663" s="53"/>
      <c r="CC663" s="53"/>
      <c r="CD663" s="53"/>
      <c r="CE663" s="53"/>
      <c r="CF663" s="53"/>
      <c r="CG663" s="53"/>
      <c r="CH663" s="53"/>
      <c r="CI663" s="53"/>
      <c r="CJ663" s="53"/>
      <c r="CK663" s="53"/>
    </row>
    <row r="664" spans="1:89" s="25" customFormat="1" ht="33" customHeight="1">
      <c r="A664" s="74"/>
      <c r="B664" s="74"/>
      <c r="C664" s="74"/>
      <c r="D664" s="74"/>
      <c r="E664" s="74"/>
      <c r="F664" s="74"/>
      <c r="G664" s="75"/>
      <c r="H664" s="76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  <c r="BE664" s="53"/>
      <c r="BF664" s="53"/>
      <c r="BG664" s="53"/>
      <c r="BH664" s="53"/>
      <c r="BI664" s="53"/>
      <c r="BJ664" s="53"/>
      <c r="BK664" s="53"/>
      <c r="BL664" s="53"/>
      <c r="BM664" s="53"/>
      <c r="BN664" s="53"/>
      <c r="BO664" s="53"/>
      <c r="BP664" s="53"/>
      <c r="BQ664" s="53"/>
      <c r="BR664" s="53"/>
      <c r="BS664" s="53"/>
      <c r="BT664" s="53"/>
      <c r="BU664" s="53"/>
      <c r="BV664" s="53"/>
      <c r="BW664" s="53"/>
      <c r="BX664" s="53"/>
      <c r="BY664" s="53"/>
      <c r="BZ664" s="53"/>
      <c r="CA664" s="53"/>
      <c r="CB664" s="53"/>
      <c r="CC664" s="53"/>
      <c r="CD664" s="53"/>
      <c r="CE664" s="53"/>
      <c r="CF664" s="53"/>
      <c r="CG664" s="53"/>
      <c r="CH664" s="53"/>
      <c r="CI664" s="53"/>
      <c r="CJ664" s="53"/>
      <c r="CK664" s="53"/>
    </row>
    <row r="665" spans="1:89" s="25" customFormat="1" ht="33" customHeight="1">
      <c r="A665" s="74"/>
      <c r="B665" s="74"/>
      <c r="C665" s="74"/>
      <c r="D665" s="74"/>
      <c r="E665" s="74"/>
      <c r="F665" s="74"/>
      <c r="G665" s="75"/>
      <c r="H665" s="76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3"/>
      <c r="BF665" s="53"/>
      <c r="BG665" s="53"/>
      <c r="BH665" s="53"/>
      <c r="BI665" s="53"/>
      <c r="BJ665" s="53"/>
      <c r="BK665" s="53"/>
      <c r="BL665" s="53"/>
      <c r="BM665" s="53"/>
      <c r="BN665" s="53"/>
      <c r="BO665" s="53"/>
      <c r="BP665" s="53"/>
      <c r="BQ665" s="53"/>
      <c r="BR665" s="53"/>
      <c r="BS665" s="53"/>
      <c r="BT665" s="53"/>
      <c r="BU665" s="53"/>
      <c r="BV665" s="53"/>
      <c r="BW665" s="53"/>
      <c r="BX665" s="53"/>
      <c r="BY665" s="53"/>
      <c r="BZ665" s="53"/>
      <c r="CA665" s="53"/>
      <c r="CB665" s="53"/>
      <c r="CC665" s="53"/>
      <c r="CD665" s="53"/>
      <c r="CE665" s="53"/>
      <c r="CF665" s="53"/>
      <c r="CG665" s="53"/>
      <c r="CH665" s="53"/>
      <c r="CI665" s="53"/>
      <c r="CJ665" s="53"/>
      <c r="CK665" s="53"/>
    </row>
    <row r="666" spans="1:89" s="25" customFormat="1" ht="33" customHeight="1">
      <c r="A666" s="74"/>
      <c r="B666" s="74"/>
      <c r="C666" s="74"/>
      <c r="D666" s="74"/>
      <c r="E666" s="74"/>
      <c r="F666" s="74"/>
      <c r="G666" s="75"/>
      <c r="H666" s="76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  <c r="BE666" s="53"/>
      <c r="BF666" s="53"/>
      <c r="BG666" s="53"/>
      <c r="BH666" s="53"/>
      <c r="BI666" s="53"/>
      <c r="BJ666" s="53"/>
      <c r="BK666" s="53"/>
      <c r="BL666" s="53"/>
      <c r="BM666" s="53"/>
      <c r="BN666" s="53"/>
      <c r="BO666" s="53"/>
      <c r="BP666" s="53"/>
      <c r="BQ666" s="53"/>
      <c r="BR666" s="53"/>
      <c r="BS666" s="53"/>
      <c r="BT666" s="53"/>
      <c r="BU666" s="53"/>
      <c r="BV666" s="53"/>
      <c r="BW666" s="53"/>
      <c r="BX666" s="53"/>
      <c r="BY666" s="53"/>
      <c r="BZ666" s="53"/>
      <c r="CA666" s="53"/>
      <c r="CB666" s="53"/>
      <c r="CC666" s="53"/>
      <c r="CD666" s="53"/>
      <c r="CE666" s="53"/>
      <c r="CF666" s="53"/>
      <c r="CG666" s="53"/>
      <c r="CH666" s="53"/>
      <c r="CI666" s="53"/>
      <c r="CJ666" s="53"/>
      <c r="CK666" s="53"/>
    </row>
    <row r="667" spans="1:89" s="25" customFormat="1" ht="33" customHeight="1">
      <c r="A667" s="74"/>
      <c r="B667" s="74"/>
      <c r="C667" s="74"/>
      <c r="D667" s="74"/>
      <c r="E667" s="74"/>
      <c r="F667" s="74"/>
      <c r="G667" s="75"/>
      <c r="H667" s="76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  <c r="BE667" s="53"/>
      <c r="BF667" s="53"/>
      <c r="BG667" s="53"/>
      <c r="BH667" s="53"/>
      <c r="BI667" s="53"/>
      <c r="BJ667" s="53"/>
      <c r="BK667" s="53"/>
      <c r="BL667" s="53"/>
      <c r="BM667" s="53"/>
      <c r="BN667" s="53"/>
      <c r="BO667" s="53"/>
      <c r="BP667" s="53"/>
      <c r="BQ667" s="53"/>
      <c r="BR667" s="53"/>
      <c r="BS667" s="53"/>
      <c r="BT667" s="53"/>
      <c r="BU667" s="53"/>
      <c r="BV667" s="53"/>
      <c r="BW667" s="53"/>
      <c r="BX667" s="53"/>
      <c r="BY667" s="53"/>
      <c r="BZ667" s="53"/>
      <c r="CA667" s="53"/>
      <c r="CB667" s="53"/>
      <c r="CC667" s="53"/>
      <c r="CD667" s="53"/>
      <c r="CE667" s="53"/>
      <c r="CF667" s="53"/>
      <c r="CG667" s="53"/>
      <c r="CH667" s="53"/>
      <c r="CI667" s="53"/>
      <c r="CJ667" s="53"/>
      <c r="CK667" s="53"/>
    </row>
    <row r="668" spans="1:89" s="25" customFormat="1" ht="33" customHeight="1">
      <c r="A668" s="74"/>
      <c r="B668" s="74"/>
      <c r="C668" s="74"/>
      <c r="D668" s="74"/>
      <c r="E668" s="74"/>
      <c r="F668" s="74"/>
      <c r="G668" s="75"/>
      <c r="H668" s="76"/>
      <c r="I668" s="52"/>
      <c r="J668" s="52"/>
      <c r="K668" s="52"/>
      <c r="L668" s="41"/>
      <c r="M668" s="41"/>
      <c r="N668" s="41"/>
      <c r="O668" s="41"/>
      <c r="P668" s="41"/>
      <c r="Q668" s="41"/>
      <c r="R668" s="41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/>
      <c r="BP668" s="41"/>
      <c r="BQ668" s="41"/>
      <c r="BR668" s="41"/>
      <c r="BS668" s="41"/>
      <c r="BT668" s="41"/>
      <c r="BU668" s="41"/>
      <c r="BV668" s="41"/>
      <c r="BW668" s="41"/>
      <c r="BX668" s="41"/>
      <c r="BY668" s="41"/>
      <c r="BZ668" s="41"/>
      <c r="CA668" s="41"/>
      <c r="CB668" s="41"/>
      <c r="CC668" s="41"/>
      <c r="CD668" s="41"/>
      <c r="CE668" s="41"/>
      <c r="CF668" s="41"/>
      <c r="CG668" s="41"/>
      <c r="CH668" s="41"/>
      <c r="CI668" s="41"/>
      <c r="CJ668" s="41"/>
      <c r="CK668" s="41"/>
    </row>
    <row r="669" spans="1:89" s="25" customFormat="1" ht="33" customHeight="1">
      <c r="A669" s="74"/>
      <c r="B669" s="74"/>
      <c r="C669" s="74"/>
      <c r="D669" s="74"/>
      <c r="E669" s="74"/>
      <c r="F669" s="74"/>
      <c r="G669" s="75"/>
      <c r="H669" s="76"/>
      <c r="I669" s="52"/>
      <c r="J669" s="52"/>
      <c r="K669" s="52"/>
      <c r="L669" s="41"/>
      <c r="M669" s="41"/>
      <c r="N669" s="41"/>
      <c r="O669" s="41"/>
      <c r="P669" s="41"/>
      <c r="Q669" s="41"/>
      <c r="R669" s="41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  <c r="BK669" s="41"/>
      <c r="BL669" s="41"/>
      <c r="BM669" s="41"/>
      <c r="BN669" s="41"/>
      <c r="BO669" s="41"/>
      <c r="BP669" s="41"/>
      <c r="BQ669" s="41"/>
      <c r="BR669" s="41"/>
      <c r="BS669" s="41"/>
      <c r="BT669" s="41"/>
      <c r="BU669" s="41"/>
      <c r="BV669" s="41"/>
      <c r="BW669" s="41"/>
      <c r="BX669" s="41"/>
      <c r="BY669" s="41"/>
      <c r="BZ669" s="41"/>
      <c r="CA669" s="41"/>
      <c r="CB669" s="41"/>
      <c r="CC669" s="41"/>
      <c r="CD669" s="41"/>
      <c r="CE669" s="41"/>
      <c r="CF669" s="41"/>
      <c r="CG669" s="41"/>
      <c r="CH669" s="41"/>
      <c r="CI669" s="41"/>
      <c r="CJ669" s="41"/>
      <c r="CK669" s="41"/>
    </row>
    <row r="670" spans="1:89" s="25" customFormat="1" ht="33" customHeight="1">
      <c r="A670" s="74"/>
      <c r="B670" s="74"/>
      <c r="C670" s="74"/>
      <c r="D670" s="74"/>
      <c r="E670" s="74"/>
      <c r="F670" s="74"/>
      <c r="G670" s="75"/>
      <c r="H670" s="76"/>
      <c r="I670" s="52"/>
      <c r="J670" s="52"/>
      <c r="K670" s="52"/>
      <c r="L670" s="41"/>
      <c r="M670" s="41"/>
      <c r="N670" s="41"/>
      <c r="O670" s="41"/>
      <c r="P670" s="41"/>
      <c r="Q670" s="41"/>
      <c r="R670" s="41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  <c r="BL670" s="41"/>
      <c r="BM670" s="41"/>
      <c r="BN670" s="41"/>
      <c r="BO670" s="41"/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  <c r="BZ670" s="41"/>
      <c r="CA670" s="41"/>
      <c r="CB670" s="41"/>
      <c r="CC670" s="41"/>
      <c r="CD670" s="41"/>
      <c r="CE670" s="41"/>
      <c r="CF670" s="41"/>
      <c r="CG670" s="41"/>
      <c r="CH670" s="41"/>
      <c r="CI670" s="41"/>
      <c r="CJ670" s="41"/>
      <c r="CK670" s="41"/>
    </row>
    <row r="671" spans="1:89" s="25" customFormat="1" ht="33" customHeight="1">
      <c r="A671" s="74"/>
      <c r="B671" s="74"/>
      <c r="C671" s="74"/>
      <c r="D671" s="74"/>
      <c r="E671" s="74"/>
      <c r="F671" s="74"/>
      <c r="G671" s="75"/>
      <c r="H671" s="76"/>
      <c r="I671" s="52"/>
      <c r="J671" s="52"/>
      <c r="K671" s="52"/>
      <c r="L671" s="41"/>
      <c r="M671" s="41"/>
      <c r="N671" s="41"/>
      <c r="O671" s="41"/>
      <c r="P671" s="41"/>
      <c r="Q671" s="41"/>
      <c r="R671" s="41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  <c r="BK671" s="41"/>
      <c r="BL671" s="41"/>
      <c r="BM671" s="41"/>
      <c r="BN671" s="41"/>
      <c r="BO671" s="41"/>
      <c r="BP671" s="41"/>
      <c r="BQ671" s="41"/>
      <c r="BR671" s="41"/>
      <c r="BS671" s="41"/>
      <c r="BT671" s="41"/>
      <c r="BU671" s="41"/>
      <c r="BV671" s="41"/>
      <c r="BW671" s="41"/>
      <c r="BX671" s="41"/>
      <c r="BY671" s="41"/>
      <c r="BZ671" s="41"/>
      <c r="CA671" s="41"/>
      <c r="CB671" s="41"/>
      <c r="CC671" s="41"/>
      <c r="CD671" s="41"/>
      <c r="CE671" s="41"/>
      <c r="CF671" s="41"/>
      <c r="CG671" s="41"/>
      <c r="CH671" s="41"/>
      <c r="CI671" s="41"/>
      <c r="CJ671" s="41"/>
      <c r="CK671" s="41"/>
    </row>
    <row r="672" spans="1:89" s="25" customFormat="1" ht="33" customHeight="1">
      <c r="A672" s="74"/>
      <c r="B672" s="74"/>
      <c r="C672" s="74"/>
      <c r="D672" s="74"/>
      <c r="E672" s="74"/>
      <c r="F672" s="74"/>
      <c r="G672" s="75"/>
      <c r="H672" s="76"/>
      <c r="I672" s="52"/>
      <c r="J672" s="52"/>
      <c r="K672" s="52"/>
      <c r="L672" s="41"/>
      <c r="M672" s="41"/>
      <c r="N672" s="41"/>
      <c r="O672" s="41"/>
      <c r="P672" s="41"/>
      <c r="Q672" s="41"/>
      <c r="R672" s="41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  <c r="BK672" s="41"/>
      <c r="BL672" s="41"/>
      <c r="BM672" s="41"/>
      <c r="BN672" s="41"/>
      <c r="BO672" s="41"/>
      <c r="BP672" s="41"/>
      <c r="BQ672" s="41"/>
      <c r="BR672" s="41"/>
      <c r="BS672" s="41"/>
      <c r="BT672" s="41"/>
      <c r="BU672" s="41"/>
      <c r="BV672" s="41"/>
      <c r="BW672" s="41"/>
      <c r="BX672" s="41"/>
      <c r="BY672" s="41"/>
      <c r="BZ672" s="41"/>
      <c r="CA672" s="41"/>
      <c r="CB672" s="41"/>
      <c r="CC672" s="41"/>
      <c r="CD672" s="41"/>
      <c r="CE672" s="41"/>
      <c r="CF672" s="41"/>
      <c r="CG672" s="41"/>
      <c r="CH672" s="41"/>
      <c r="CI672" s="41"/>
      <c r="CJ672" s="41"/>
      <c r="CK672" s="41"/>
    </row>
    <row r="673" spans="1:89" s="25" customFormat="1" ht="33" customHeight="1">
      <c r="A673" s="74"/>
      <c r="B673" s="74"/>
      <c r="C673" s="74"/>
      <c r="D673" s="74"/>
      <c r="E673" s="74"/>
      <c r="F673" s="74"/>
      <c r="G673" s="75"/>
      <c r="H673" s="76"/>
      <c r="I673" s="52"/>
      <c r="J673" s="52"/>
      <c r="K673" s="52"/>
      <c r="L673" s="41"/>
      <c r="M673" s="41"/>
      <c r="N673" s="41"/>
      <c r="O673" s="41"/>
      <c r="P673" s="41"/>
      <c r="Q673" s="41"/>
      <c r="R673" s="41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  <c r="BK673" s="41"/>
      <c r="BL673" s="41"/>
      <c r="BM673" s="41"/>
      <c r="BN673" s="41"/>
      <c r="BO673" s="41"/>
      <c r="BP673" s="41"/>
      <c r="BQ673" s="41"/>
      <c r="BR673" s="41"/>
      <c r="BS673" s="41"/>
      <c r="BT673" s="41"/>
      <c r="BU673" s="41"/>
      <c r="BV673" s="41"/>
      <c r="BW673" s="41"/>
      <c r="BX673" s="41"/>
      <c r="BY673" s="41"/>
      <c r="BZ673" s="41"/>
      <c r="CA673" s="41"/>
      <c r="CB673" s="41"/>
      <c r="CC673" s="41"/>
      <c r="CD673" s="41"/>
      <c r="CE673" s="41"/>
      <c r="CF673" s="41"/>
      <c r="CG673" s="41"/>
      <c r="CH673" s="41"/>
      <c r="CI673" s="41"/>
      <c r="CJ673" s="41"/>
      <c r="CK673" s="41"/>
    </row>
    <row r="674" spans="1:89" s="25" customFormat="1" ht="33" customHeight="1">
      <c r="A674" s="74"/>
      <c r="B674" s="74"/>
      <c r="C674" s="74"/>
      <c r="D674" s="74"/>
      <c r="E674" s="74"/>
      <c r="F674" s="74"/>
      <c r="G674" s="75"/>
      <c r="H674" s="76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/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1"/>
      <c r="CA674" s="41"/>
      <c r="CB674" s="41"/>
      <c r="CC674" s="41"/>
      <c r="CD674" s="41"/>
      <c r="CE674" s="41"/>
      <c r="CF674" s="41"/>
      <c r="CG674" s="41"/>
      <c r="CH674" s="41"/>
      <c r="CI674" s="41"/>
      <c r="CJ674" s="41"/>
      <c r="CK674" s="41"/>
    </row>
    <row r="675" spans="1:89" s="25" customFormat="1" ht="33" customHeight="1">
      <c r="A675" s="74"/>
      <c r="B675" s="74"/>
      <c r="C675" s="74"/>
      <c r="D675" s="74"/>
      <c r="E675" s="74"/>
      <c r="F675" s="74"/>
      <c r="G675" s="75"/>
      <c r="H675" s="76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53"/>
      <c r="BG675" s="53"/>
      <c r="BH675" s="53"/>
      <c r="BI675" s="53"/>
      <c r="BJ675" s="53"/>
      <c r="BK675" s="53"/>
      <c r="BL675" s="53"/>
      <c r="BM675" s="53"/>
      <c r="BN675" s="53"/>
      <c r="BO675" s="53"/>
      <c r="BP675" s="53"/>
      <c r="BQ675" s="53"/>
      <c r="BR675" s="53"/>
      <c r="BS675" s="53"/>
      <c r="BT675" s="53"/>
      <c r="BU675" s="53"/>
      <c r="BV675" s="53"/>
      <c r="BW675" s="53"/>
      <c r="BX675" s="53"/>
      <c r="BY675" s="53"/>
      <c r="BZ675" s="53"/>
      <c r="CA675" s="53"/>
      <c r="CB675" s="53"/>
      <c r="CC675" s="53"/>
      <c r="CD675" s="53"/>
      <c r="CE675" s="53"/>
      <c r="CF675" s="53"/>
      <c r="CG675" s="53"/>
      <c r="CH675" s="53"/>
      <c r="CI675" s="53"/>
      <c r="CJ675" s="53"/>
      <c r="CK675" s="53"/>
    </row>
    <row r="676" spans="1:89" s="25" customFormat="1" ht="33" customHeight="1">
      <c r="A676" s="74"/>
      <c r="B676" s="74"/>
      <c r="C676" s="74"/>
      <c r="D676" s="74"/>
      <c r="E676" s="74"/>
      <c r="F676" s="74"/>
      <c r="G676" s="75"/>
      <c r="H676" s="76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  <c r="BE676" s="53"/>
      <c r="BF676" s="53"/>
      <c r="BG676" s="53"/>
      <c r="BH676" s="53"/>
      <c r="BI676" s="53"/>
      <c r="BJ676" s="53"/>
      <c r="BK676" s="53"/>
      <c r="BL676" s="53"/>
      <c r="BM676" s="53"/>
      <c r="BN676" s="53"/>
      <c r="BO676" s="53"/>
      <c r="BP676" s="53"/>
      <c r="BQ676" s="53"/>
      <c r="BR676" s="53"/>
      <c r="BS676" s="53"/>
      <c r="BT676" s="53"/>
      <c r="BU676" s="53"/>
      <c r="BV676" s="53"/>
      <c r="BW676" s="53"/>
      <c r="BX676" s="53"/>
      <c r="BY676" s="53"/>
      <c r="BZ676" s="53"/>
      <c r="CA676" s="53"/>
      <c r="CB676" s="53"/>
      <c r="CC676" s="53"/>
      <c r="CD676" s="53"/>
      <c r="CE676" s="53"/>
      <c r="CF676" s="53"/>
      <c r="CG676" s="53"/>
      <c r="CH676" s="53"/>
      <c r="CI676" s="53"/>
      <c r="CJ676" s="53"/>
      <c r="CK676" s="53"/>
    </row>
    <row r="677" spans="1:89" s="25" customFormat="1" ht="33" customHeight="1">
      <c r="A677" s="74"/>
      <c r="B677" s="74"/>
      <c r="C677" s="74"/>
      <c r="D677" s="74"/>
      <c r="E677" s="74"/>
      <c r="F677" s="74"/>
      <c r="G677" s="75"/>
      <c r="H677" s="76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  <c r="BE677" s="53"/>
      <c r="BF677" s="53"/>
      <c r="BG677" s="53"/>
      <c r="BH677" s="53"/>
      <c r="BI677" s="53"/>
      <c r="BJ677" s="53"/>
      <c r="BK677" s="53"/>
      <c r="BL677" s="53"/>
      <c r="BM677" s="53"/>
      <c r="BN677" s="53"/>
      <c r="BO677" s="53"/>
      <c r="BP677" s="53"/>
      <c r="BQ677" s="53"/>
      <c r="BR677" s="53"/>
      <c r="BS677" s="53"/>
      <c r="BT677" s="53"/>
      <c r="BU677" s="53"/>
      <c r="BV677" s="53"/>
      <c r="BW677" s="53"/>
      <c r="BX677" s="53"/>
      <c r="BY677" s="53"/>
      <c r="BZ677" s="53"/>
      <c r="CA677" s="53"/>
      <c r="CB677" s="53"/>
      <c r="CC677" s="53"/>
      <c r="CD677" s="53"/>
      <c r="CE677" s="53"/>
      <c r="CF677" s="53"/>
      <c r="CG677" s="53"/>
      <c r="CH677" s="53"/>
      <c r="CI677" s="53"/>
      <c r="CJ677" s="53"/>
      <c r="CK677" s="53"/>
    </row>
    <row r="678" spans="1:89" s="25" customFormat="1" ht="33" customHeight="1">
      <c r="A678" s="74"/>
      <c r="B678" s="74"/>
      <c r="C678" s="74"/>
      <c r="D678" s="74"/>
      <c r="E678" s="74"/>
      <c r="F678" s="74"/>
      <c r="G678" s="75"/>
      <c r="H678" s="76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  <c r="BE678" s="53"/>
      <c r="BF678" s="53"/>
      <c r="BG678" s="53"/>
      <c r="BH678" s="53"/>
      <c r="BI678" s="53"/>
      <c r="BJ678" s="53"/>
      <c r="BK678" s="53"/>
      <c r="BL678" s="53"/>
      <c r="BM678" s="53"/>
      <c r="BN678" s="53"/>
      <c r="BO678" s="53"/>
      <c r="BP678" s="53"/>
      <c r="BQ678" s="53"/>
      <c r="BR678" s="53"/>
      <c r="BS678" s="53"/>
      <c r="BT678" s="53"/>
      <c r="BU678" s="53"/>
      <c r="BV678" s="53"/>
      <c r="BW678" s="53"/>
      <c r="BX678" s="53"/>
      <c r="BY678" s="53"/>
      <c r="BZ678" s="53"/>
      <c r="CA678" s="53"/>
      <c r="CB678" s="53"/>
      <c r="CC678" s="53"/>
      <c r="CD678" s="53"/>
      <c r="CE678" s="53"/>
      <c r="CF678" s="53"/>
      <c r="CG678" s="53"/>
      <c r="CH678" s="53"/>
      <c r="CI678" s="53"/>
      <c r="CJ678" s="53"/>
      <c r="CK678" s="53"/>
    </row>
    <row r="679" spans="1:89" s="25" customFormat="1" ht="33" customHeight="1">
      <c r="A679" s="74"/>
      <c r="B679" s="74"/>
      <c r="C679" s="74"/>
      <c r="D679" s="74"/>
      <c r="E679" s="74"/>
      <c r="F679" s="74"/>
      <c r="G679" s="75"/>
      <c r="H679" s="76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  <c r="BE679" s="53"/>
      <c r="BF679" s="53"/>
      <c r="BG679" s="53"/>
      <c r="BH679" s="53"/>
      <c r="BI679" s="53"/>
      <c r="BJ679" s="53"/>
      <c r="BK679" s="53"/>
      <c r="BL679" s="53"/>
      <c r="BM679" s="53"/>
      <c r="BN679" s="53"/>
      <c r="BO679" s="53"/>
      <c r="BP679" s="53"/>
      <c r="BQ679" s="53"/>
      <c r="BR679" s="53"/>
      <c r="BS679" s="53"/>
      <c r="BT679" s="53"/>
      <c r="BU679" s="53"/>
      <c r="BV679" s="53"/>
      <c r="BW679" s="53"/>
      <c r="BX679" s="53"/>
      <c r="BY679" s="53"/>
      <c r="BZ679" s="53"/>
      <c r="CA679" s="53"/>
      <c r="CB679" s="53"/>
      <c r="CC679" s="53"/>
      <c r="CD679" s="53"/>
      <c r="CE679" s="53"/>
      <c r="CF679" s="53"/>
      <c r="CG679" s="53"/>
      <c r="CH679" s="53"/>
      <c r="CI679" s="53"/>
      <c r="CJ679" s="53"/>
      <c r="CK679" s="53"/>
    </row>
    <row r="680" spans="1:89" s="25" customFormat="1" ht="33" customHeight="1">
      <c r="A680" s="74"/>
      <c r="B680" s="74"/>
      <c r="C680" s="74"/>
      <c r="D680" s="74"/>
      <c r="E680" s="74"/>
      <c r="F680" s="74"/>
      <c r="G680" s="75"/>
      <c r="H680" s="76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  <c r="BE680" s="53"/>
      <c r="BF680" s="53"/>
      <c r="BG680" s="53"/>
      <c r="BH680" s="53"/>
      <c r="BI680" s="53"/>
      <c r="BJ680" s="53"/>
      <c r="BK680" s="53"/>
      <c r="BL680" s="53"/>
      <c r="BM680" s="53"/>
      <c r="BN680" s="53"/>
      <c r="BO680" s="53"/>
      <c r="BP680" s="53"/>
      <c r="BQ680" s="53"/>
      <c r="BR680" s="53"/>
      <c r="BS680" s="53"/>
      <c r="BT680" s="53"/>
      <c r="BU680" s="53"/>
      <c r="BV680" s="53"/>
      <c r="BW680" s="53"/>
      <c r="BX680" s="53"/>
      <c r="BY680" s="53"/>
      <c r="BZ680" s="53"/>
      <c r="CA680" s="53"/>
      <c r="CB680" s="53"/>
      <c r="CC680" s="53"/>
      <c r="CD680" s="53"/>
      <c r="CE680" s="53"/>
      <c r="CF680" s="53"/>
      <c r="CG680" s="53"/>
      <c r="CH680" s="53"/>
      <c r="CI680" s="53"/>
      <c r="CJ680" s="53"/>
      <c r="CK680" s="53"/>
    </row>
    <row r="681" spans="1:89" s="25" customFormat="1" ht="33" customHeight="1">
      <c r="A681" s="74"/>
      <c r="B681" s="74"/>
      <c r="C681" s="74"/>
      <c r="D681" s="74"/>
      <c r="E681" s="74"/>
      <c r="F681" s="74"/>
      <c r="G681" s="75"/>
      <c r="H681" s="76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  <c r="BE681" s="53"/>
      <c r="BF681" s="53"/>
      <c r="BG681" s="53"/>
      <c r="BH681" s="53"/>
      <c r="BI681" s="53"/>
      <c r="BJ681" s="53"/>
      <c r="BK681" s="53"/>
      <c r="BL681" s="53"/>
      <c r="BM681" s="53"/>
      <c r="BN681" s="53"/>
      <c r="BO681" s="53"/>
      <c r="BP681" s="53"/>
      <c r="BQ681" s="53"/>
      <c r="BR681" s="53"/>
      <c r="BS681" s="53"/>
      <c r="BT681" s="53"/>
      <c r="BU681" s="53"/>
      <c r="BV681" s="53"/>
      <c r="BW681" s="53"/>
      <c r="BX681" s="53"/>
      <c r="BY681" s="53"/>
      <c r="BZ681" s="53"/>
      <c r="CA681" s="53"/>
      <c r="CB681" s="53"/>
      <c r="CC681" s="53"/>
      <c r="CD681" s="53"/>
      <c r="CE681" s="53"/>
      <c r="CF681" s="53"/>
      <c r="CG681" s="53"/>
      <c r="CH681" s="53"/>
      <c r="CI681" s="53"/>
      <c r="CJ681" s="53"/>
      <c r="CK681" s="53"/>
    </row>
    <row r="682" spans="1:89" s="25" customFormat="1" ht="33" customHeight="1">
      <c r="A682" s="74"/>
      <c r="B682" s="74"/>
      <c r="C682" s="74"/>
      <c r="D682" s="74"/>
      <c r="E682" s="74"/>
      <c r="F682" s="74"/>
      <c r="G682" s="75"/>
      <c r="H682" s="76"/>
      <c r="I682" s="52"/>
      <c r="J682" s="52"/>
      <c r="K682" s="52"/>
      <c r="L682" s="41"/>
      <c r="M682" s="41"/>
      <c r="N682" s="41"/>
      <c r="O682" s="41"/>
      <c r="P682" s="41"/>
      <c r="Q682" s="41"/>
      <c r="R682" s="41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  <c r="BK682" s="41"/>
      <c r="BL682" s="41"/>
      <c r="BM682" s="41"/>
      <c r="BN682" s="41"/>
      <c r="BO682" s="41"/>
      <c r="BP682" s="41"/>
      <c r="BQ682" s="41"/>
      <c r="BR682" s="41"/>
      <c r="BS682" s="41"/>
      <c r="BT682" s="41"/>
      <c r="BU682" s="41"/>
      <c r="BV682" s="41"/>
      <c r="BW682" s="41"/>
      <c r="BX682" s="41"/>
      <c r="BY682" s="41"/>
      <c r="BZ682" s="41"/>
      <c r="CA682" s="41"/>
      <c r="CB682" s="41"/>
      <c r="CC682" s="41"/>
      <c r="CD682" s="41"/>
      <c r="CE682" s="41"/>
      <c r="CF682" s="41"/>
      <c r="CG682" s="41"/>
      <c r="CH682" s="41"/>
      <c r="CI682" s="41"/>
      <c r="CJ682" s="41"/>
      <c r="CK682" s="41"/>
    </row>
    <row r="683" spans="1:89" s="25" customFormat="1" ht="33" customHeight="1">
      <c r="A683" s="74"/>
      <c r="B683" s="74"/>
      <c r="C683" s="74"/>
      <c r="D683" s="74"/>
      <c r="E683" s="74"/>
      <c r="F683" s="74"/>
      <c r="G683" s="75"/>
      <c r="H683" s="76"/>
      <c r="I683" s="52"/>
      <c r="J683" s="52"/>
      <c r="K683" s="52"/>
      <c r="L683" s="41"/>
      <c r="M683" s="41"/>
      <c r="N683" s="41"/>
      <c r="O683" s="41"/>
      <c r="P683" s="41"/>
      <c r="Q683" s="41"/>
      <c r="R683" s="41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  <c r="BK683" s="41"/>
      <c r="BL683" s="41"/>
      <c r="BM683" s="41"/>
      <c r="BN683" s="41"/>
      <c r="BO683" s="41"/>
      <c r="BP683" s="41"/>
      <c r="BQ683" s="41"/>
      <c r="BR683" s="41"/>
      <c r="BS683" s="41"/>
      <c r="BT683" s="41"/>
      <c r="BU683" s="41"/>
      <c r="BV683" s="41"/>
      <c r="BW683" s="41"/>
      <c r="BX683" s="41"/>
      <c r="BY683" s="41"/>
      <c r="BZ683" s="41"/>
      <c r="CA683" s="41"/>
      <c r="CB683" s="41"/>
      <c r="CC683" s="41"/>
      <c r="CD683" s="41"/>
      <c r="CE683" s="41"/>
      <c r="CF683" s="41"/>
      <c r="CG683" s="41"/>
      <c r="CH683" s="41"/>
      <c r="CI683" s="41"/>
      <c r="CJ683" s="41"/>
      <c r="CK683" s="41"/>
    </row>
    <row r="684" spans="1:89" s="25" customFormat="1" ht="33" customHeight="1">
      <c r="A684" s="74"/>
      <c r="B684" s="74"/>
      <c r="C684" s="74"/>
      <c r="D684" s="74"/>
      <c r="E684" s="74"/>
      <c r="F684" s="74"/>
      <c r="G684" s="75"/>
      <c r="H684" s="76"/>
      <c r="I684" s="52"/>
      <c r="J684" s="52"/>
      <c r="K684" s="52"/>
      <c r="L684" s="41"/>
      <c r="M684" s="41"/>
      <c r="N684" s="41"/>
      <c r="O684" s="41"/>
      <c r="P684" s="41"/>
      <c r="Q684" s="41"/>
      <c r="R684" s="41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  <c r="BK684" s="41"/>
      <c r="BL684" s="41"/>
      <c r="BM684" s="41"/>
      <c r="BN684" s="41"/>
      <c r="BO684" s="41"/>
      <c r="BP684" s="41"/>
      <c r="BQ684" s="41"/>
      <c r="BR684" s="41"/>
      <c r="BS684" s="41"/>
      <c r="BT684" s="41"/>
      <c r="BU684" s="41"/>
      <c r="BV684" s="41"/>
      <c r="BW684" s="41"/>
      <c r="BX684" s="41"/>
      <c r="BY684" s="41"/>
      <c r="BZ684" s="41"/>
      <c r="CA684" s="41"/>
      <c r="CB684" s="41"/>
      <c r="CC684" s="41"/>
      <c r="CD684" s="41"/>
      <c r="CE684" s="41"/>
      <c r="CF684" s="41"/>
      <c r="CG684" s="41"/>
      <c r="CH684" s="41"/>
      <c r="CI684" s="41"/>
      <c r="CJ684" s="41"/>
      <c r="CK684" s="41"/>
    </row>
    <row r="685" spans="1:89" s="25" customFormat="1" ht="33" customHeight="1">
      <c r="A685" s="74"/>
      <c r="B685" s="74"/>
      <c r="C685" s="74"/>
      <c r="D685" s="74"/>
      <c r="E685" s="74"/>
      <c r="F685" s="74"/>
      <c r="G685" s="75"/>
      <c r="H685" s="76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  <c r="BE685" s="53"/>
      <c r="BF685" s="53"/>
      <c r="BG685" s="53"/>
      <c r="BH685" s="53"/>
      <c r="BI685" s="53"/>
      <c r="BJ685" s="53"/>
      <c r="BK685" s="53"/>
      <c r="BL685" s="53"/>
      <c r="BM685" s="53"/>
      <c r="BN685" s="53"/>
      <c r="BO685" s="53"/>
      <c r="BP685" s="53"/>
      <c r="BQ685" s="53"/>
      <c r="BR685" s="53"/>
      <c r="BS685" s="53"/>
      <c r="BT685" s="53"/>
      <c r="BU685" s="53"/>
      <c r="BV685" s="53"/>
      <c r="BW685" s="53"/>
      <c r="BX685" s="53"/>
      <c r="BY685" s="53"/>
      <c r="BZ685" s="53"/>
      <c r="CA685" s="53"/>
      <c r="CB685" s="53"/>
      <c r="CC685" s="53"/>
      <c r="CD685" s="53"/>
      <c r="CE685" s="53"/>
      <c r="CF685" s="53"/>
      <c r="CG685" s="53"/>
      <c r="CH685" s="53"/>
      <c r="CI685" s="53"/>
      <c r="CJ685" s="53"/>
      <c r="CK685" s="53"/>
    </row>
    <row r="686" spans="1:89" s="25" customFormat="1" ht="33" customHeight="1">
      <c r="A686" s="74"/>
      <c r="B686" s="74"/>
      <c r="C686" s="74"/>
      <c r="D686" s="74"/>
      <c r="E686" s="74"/>
      <c r="F686" s="74"/>
      <c r="G686" s="75"/>
      <c r="H686" s="76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  <c r="BE686" s="53"/>
      <c r="BF686" s="53"/>
      <c r="BG686" s="53"/>
      <c r="BH686" s="53"/>
      <c r="BI686" s="53"/>
      <c r="BJ686" s="53"/>
      <c r="BK686" s="53"/>
      <c r="BL686" s="53"/>
      <c r="BM686" s="53"/>
      <c r="BN686" s="53"/>
      <c r="BO686" s="53"/>
      <c r="BP686" s="53"/>
      <c r="BQ686" s="53"/>
      <c r="BR686" s="53"/>
      <c r="BS686" s="53"/>
      <c r="BT686" s="53"/>
      <c r="BU686" s="53"/>
      <c r="BV686" s="53"/>
      <c r="BW686" s="53"/>
      <c r="BX686" s="53"/>
      <c r="BY686" s="53"/>
      <c r="BZ686" s="53"/>
      <c r="CA686" s="53"/>
      <c r="CB686" s="53"/>
      <c r="CC686" s="53"/>
      <c r="CD686" s="53"/>
      <c r="CE686" s="53"/>
      <c r="CF686" s="53"/>
      <c r="CG686" s="53"/>
      <c r="CH686" s="53"/>
      <c r="CI686" s="53"/>
      <c r="CJ686" s="53"/>
      <c r="CK686" s="53"/>
    </row>
    <row r="687" spans="1:89" s="25" customFormat="1" ht="33" customHeight="1">
      <c r="A687" s="74"/>
      <c r="B687" s="74"/>
      <c r="C687" s="74"/>
      <c r="D687" s="74"/>
      <c r="E687" s="74"/>
      <c r="F687" s="74"/>
      <c r="G687" s="75"/>
      <c r="H687" s="76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  <c r="BE687" s="53"/>
      <c r="BF687" s="53"/>
      <c r="BG687" s="53"/>
      <c r="BH687" s="53"/>
      <c r="BI687" s="53"/>
      <c r="BJ687" s="53"/>
      <c r="BK687" s="53"/>
      <c r="BL687" s="53"/>
      <c r="BM687" s="53"/>
      <c r="BN687" s="53"/>
      <c r="BO687" s="53"/>
      <c r="BP687" s="53"/>
      <c r="BQ687" s="53"/>
      <c r="BR687" s="53"/>
      <c r="BS687" s="53"/>
      <c r="BT687" s="53"/>
      <c r="BU687" s="53"/>
      <c r="BV687" s="53"/>
      <c r="BW687" s="53"/>
      <c r="BX687" s="53"/>
      <c r="BY687" s="53"/>
      <c r="BZ687" s="53"/>
      <c r="CA687" s="53"/>
      <c r="CB687" s="53"/>
      <c r="CC687" s="53"/>
      <c r="CD687" s="53"/>
      <c r="CE687" s="53"/>
      <c r="CF687" s="53"/>
      <c r="CG687" s="53"/>
      <c r="CH687" s="53"/>
      <c r="CI687" s="53"/>
      <c r="CJ687" s="53"/>
      <c r="CK687" s="53"/>
    </row>
    <row r="688" spans="1:89" s="25" customFormat="1" ht="33" customHeight="1">
      <c r="A688" s="74"/>
      <c r="B688" s="74"/>
      <c r="C688" s="74"/>
      <c r="D688" s="74"/>
      <c r="E688" s="74"/>
      <c r="F688" s="74"/>
      <c r="G688" s="75"/>
      <c r="H688" s="76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  <c r="BE688" s="53"/>
      <c r="BF688" s="53"/>
      <c r="BG688" s="53"/>
      <c r="BH688" s="53"/>
      <c r="BI688" s="53"/>
      <c r="BJ688" s="53"/>
      <c r="BK688" s="53"/>
      <c r="BL688" s="53"/>
      <c r="BM688" s="53"/>
      <c r="BN688" s="53"/>
      <c r="BO688" s="53"/>
      <c r="BP688" s="53"/>
      <c r="BQ688" s="53"/>
      <c r="BR688" s="53"/>
      <c r="BS688" s="53"/>
      <c r="BT688" s="53"/>
      <c r="BU688" s="53"/>
      <c r="BV688" s="53"/>
      <c r="BW688" s="53"/>
      <c r="BX688" s="53"/>
      <c r="BY688" s="53"/>
      <c r="BZ688" s="53"/>
      <c r="CA688" s="53"/>
      <c r="CB688" s="53"/>
      <c r="CC688" s="53"/>
      <c r="CD688" s="53"/>
      <c r="CE688" s="53"/>
      <c r="CF688" s="53"/>
      <c r="CG688" s="53"/>
      <c r="CH688" s="53"/>
      <c r="CI688" s="53"/>
      <c r="CJ688" s="53"/>
      <c r="CK688" s="53"/>
    </row>
    <row r="689" spans="1:89" s="25" customFormat="1" ht="33" customHeight="1">
      <c r="A689" s="74"/>
      <c r="B689" s="74"/>
      <c r="C689" s="74"/>
      <c r="D689" s="74"/>
      <c r="E689" s="74"/>
      <c r="F689" s="74"/>
      <c r="G689" s="75"/>
      <c r="H689" s="76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  <c r="BE689" s="53"/>
      <c r="BF689" s="53"/>
      <c r="BG689" s="53"/>
      <c r="BH689" s="53"/>
      <c r="BI689" s="53"/>
      <c r="BJ689" s="53"/>
      <c r="BK689" s="53"/>
      <c r="BL689" s="53"/>
      <c r="BM689" s="53"/>
      <c r="BN689" s="53"/>
      <c r="BO689" s="53"/>
      <c r="BP689" s="53"/>
      <c r="BQ689" s="53"/>
      <c r="BR689" s="53"/>
      <c r="BS689" s="53"/>
      <c r="BT689" s="53"/>
      <c r="BU689" s="53"/>
      <c r="BV689" s="53"/>
      <c r="BW689" s="53"/>
      <c r="BX689" s="53"/>
      <c r="BY689" s="53"/>
      <c r="BZ689" s="53"/>
      <c r="CA689" s="53"/>
      <c r="CB689" s="53"/>
      <c r="CC689" s="53"/>
      <c r="CD689" s="53"/>
      <c r="CE689" s="53"/>
      <c r="CF689" s="53"/>
      <c r="CG689" s="53"/>
      <c r="CH689" s="53"/>
      <c r="CI689" s="53"/>
      <c r="CJ689" s="53"/>
      <c r="CK689" s="53"/>
    </row>
    <row r="690" spans="1:89" s="25" customFormat="1" ht="33" customHeight="1">
      <c r="A690" s="74"/>
      <c r="B690" s="74"/>
      <c r="C690" s="74"/>
      <c r="D690" s="74"/>
      <c r="E690" s="74"/>
      <c r="F690" s="74"/>
      <c r="G690" s="75"/>
      <c r="H690" s="76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  <c r="BE690" s="53"/>
      <c r="BF690" s="53"/>
      <c r="BG690" s="53"/>
      <c r="BH690" s="53"/>
      <c r="BI690" s="53"/>
      <c r="BJ690" s="53"/>
      <c r="BK690" s="53"/>
      <c r="BL690" s="53"/>
      <c r="BM690" s="53"/>
      <c r="BN690" s="53"/>
      <c r="BO690" s="53"/>
      <c r="BP690" s="53"/>
      <c r="BQ690" s="53"/>
      <c r="BR690" s="53"/>
      <c r="BS690" s="53"/>
      <c r="BT690" s="53"/>
      <c r="BU690" s="53"/>
      <c r="BV690" s="53"/>
      <c r="BW690" s="53"/>
      <c r="BX690" s="53"/>
      <c r="BY690" s="53"/>
      <c r="BZ690" s="53"/>
      <c r="CA690" s="53"/>
      <c r="CB690" s="53"/>
      <c r="CC690" s="53"/>
      <c r="CD690" s="53"/>
      <c r="CE690" s="53"/>
      <c r="CF690" s="53"/>
      <c r="CG690" s="53"/>
      <c r="CH690" s="53"/>
      <c r="CI690" s="53"/>
      <c r="CJ690" s="53"/>
      <c r="CK690" s="53"/>
    </row>
    <row r="691" spans="1:89" s="25" customFormat="1" ht="33" customHeight="1">
      <c r="A691" s="74"/>
      <c r="B691" s="74"/>
      <c r="C691" s="74"/>
      <c r="D691" s="74"/>
      <c r="E691" s="74"/>
      <c r="F691" s="74"/>
      <c r="G691" s="75"/>
      <c r="H691" s="76"/>
      <c r="I691" s="52"/>
      <c r="J691" s="52"/>
      <c r="K691" s="52"/>
      <c r="L691" s="41"/>
      <c r="M691" s="41"/>
      <c r="N691" s="41"/>
      <c r="O691" s="41"/>
      <c r="P691" s="41"/>
      <c r="Q691" s="41"/>
      <c r="R691" s="41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41"/>
      <c r="BQ691" s="41"/>
      <c r="BR691" s="41"/>
      <c r="BS691" s="41"/>
      <c r="BT691" s="41"/>
      <c r="BU691" s="41"/>
      <c r="BV691" s="41"/>
      <c r="BW691" s="41"/>
      <c r="BX691" s="41"/>
      <c r="BY691" s="41"/>
      <c r="BZ691" s="41"/>
      <c r="CA691" s="41"/>
      <c r="CB691" s="41"/>
      <c r="CC691" s="41"/>
      <c r="CD691" s="41"/>
      <c r="CE691" s="41"/>
      <c r="CF691" s="41"/>
      <c r="CG691" s="41"/>
      <c r="CH691" s="41"/>
      <c r="CI691" s="41"/>
      <c r="CJ691" s="41"/>
      <c r="CK691" s="41"/>
    </row>
    <row r="692" spans="1:89" s="25" customFormat="1" ht="33" customHeight="1">
      <c r="A692" s="74"/>
      <c r="B692" s="74"/>
      <c r="C692" s="74"/>
      <c r="D692" s="74"/>
      <c r="E692" s="74"/>
      <c r="F692" s="74"/>
      <c r="G692" s="75"/>
      <c r="H692" s="76"/>
      <c r="I692" s="52"/>
      <c r="J692" s="52"/>
      <c r="K692" s="52"/>
      <c r="L692" s="41"/>
      <c r="M692" s="41"/>
      <c r="N692" s="41"/>
      <c r="O692" s="41"/>
      <c r="P692" s="41"/>
      <c r="Q692" s="41"/>
      <c r="R692" s="41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41"/>
      <c r="BQ692" s="41"/>
      <c r="BR692" s="41"/>
      <c r="BS692" s="41"/>
      <c r="BT692" s="41"/>
      <c r="BU692" s="41"/>
      <c r="BV692" s="41"/>
      <c r="BW692" s="41"/>
      <c r="BX692" s="41"/>
      <c r="BY692" s="41"/>
      <c r="BZ692" s="41"/>
      <c r="CA692" s="41"/>
      <c r="CB692" s="41"/>
      <c r="CC692" s="41"/>
      <c r="CD692" s="41"/>
      <c r="CE692" s="41"/>
      <c r="CF692" s="41"/>
      <c r="CG692" s="41"/>
      <c r="CH692" s="41"/>
      <c r="CI692" s="41"/>
      <c r="CJ692" s="41"/>
      <c r="CK692" s="41"/>
    </row>
    <row r="693" spans="1:89" s="25" customFormat="1" ht="33" customHeight="1">
      <c r="A693" s="74"/>
      <c r="B693" s="74"/>
      <c r="C693" s="74"/>
      <c r="D693" s="74"/>
      <c r="E693" s="74"/>
      <c r="F693" s="74"/>
      <c r="G693" s="75"/>
      <c r="H693" s="76"/>
      <c r="I693" s="52"/>
      <c r="J693" s="52"/>
      <c r="K693" s="52"/>
      <c r="L693" s="41"/>
      <c r="M693" s="41"/>
      <c r="N693" s="41"/>
      <c r="O693" s="41"/>
      <c r="P693" s="41"/>
      <c r="Q693" s="41"/>
      <c r="R693" s="41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1"/>
      <c r="BR693" s="41"/>
      <c r="BS693" s="41"/>
      <c r="BT693" s="41"/>
      <c r="BU693" s="41"/>
      <c r="BV693" s="41"/>
      <c r="BW693" s="41"/>
      <c r="BX693" s="41"/>
      <c r="BY693" s="41"/>
      <c r="BZ693" s="41"/>
      <c r="CA693" s="41"/>
      <c r="CB693" s="41"/>
      <c r="CC693" s="41"/>
      <c r="CD693" s="41"/>
      <c r="CE693" s="41"/>
      <c r="CF693" s="41"/>
      <c r="CG693" s="41"/>
      <c r="CH693" s="41"/>
      <c r="CI693" s="41"/>
      <c r="CJ693" s="41"/>
      <c r="CK693" s="41"/>
    </row>
    <row r="694" spans="1:89" s="25" customFormat="1" ht="33" customHeight="1">
      <c r="A694" s="74"/>
      <c r="B694" s="74"/>
      <c r="C694" s="74"/>
      <c r="D694" s="74"/>
      <c r="E694" s="74"/>
      <c r="F694" s="74"/>
      <c r="G694" s="75"/>
      <c r="H694" s="76"/>
      <c r="I694" s="52"/>
      <c r="J694" s="52"/>
      <c r="K694" s="52"/>
      <c r="L694" s="41"/>
      <c r="M694" s="41"/>
      <c r="N694" s="41"/>
      <c r="O694" s="41"/>
      <c r="P694" s="41"/>
      <c r="Q694" s="41"/>
      <c r="R694" s="41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1"/>
      <c r="BR694" s="41"/>
      <c r="BS694" s="41"/>
      <c r="BT694" s="41"/>
      <c r="BU694" s="41"/>
      <c r="BV694" s="41"/>
      <c r="BW694" s="41"/>
      <c r="BX694" s="41"/>
      <c r="BY694" s="41"/>
      <c r="BZ694" s="41"/>
      <c r="CA694" s="41"/>
      <c r="CB694" s="41"/>
      <c r="CC694" s="41"/>
      <c r="CD694" s="41"/>
      <c r="CE694" s="41"/>
      <c r="CF694" s="41"/>
      <c r="CG694" s="41"/>
      <c r="CH694" s="41"/>
      <c r="CI694" s="41"/>
      <c r="CJ694" s="41"/>
      <c r="CK694" s="41"/>
    </row>
    <row r="695" spans="1:89" s="25" customFormat="1" ht="33" customHeight="1">
      <c r="A695" s="74"/>
      <c r="B695" s="74"/>
      <c r="C695" s="74"/>
      <c r="D695" s="74"/>
      <c r="E695" s="74"/>
      <c r="F695" s="74"/>
      <c r="G695" s="75"/>
      <c r="H695" s="76"/>
      <c r="I695" s="52"/>
      <c r="J695" s="52"/>
      <c r="K695" s="52"/>
      <c r="L695" s="41"/>
      <c r="M695" s="41"/>
      <c r="N695" s="41"/>
      <c r="O695" s="41"/>
      <c r="P695" s="41"/>
      <c r="Q695" s="41"/>
      <c r="R695" s="41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41"/>
      <c r="BQ695" s="41"/>
      <c r="BR695" s="41"/>
      <c r="BS695" s="41"/>
      <c r="BT695" s="41"/>
      <c r="BU695" s="41"/>
      <c r="BV695" s="41"/>
      <c r="BW695" s="41"/>
      <c r="BX695" s="41"/>
      <c r="BY695" s="41"/>
      <c r="BZ695" s="41"/>
      <c r="CA695" s="41"/>
      <c r="CB695" s="41"/>
      <c r="CC695" s="41"/>
      <c r="CD695" s="41"/>
      <c r="CE695" s="41"/>
      <c r="CF695" s="41"/>
      <c r="CG695" s="41"/>
      <c r="CH695" s="41"/>
      <c r="CI695" s="41"/>
      <c r="CJ695" s="41"/>
      <c r="CK695" s="41"/>
    </row>
    <row r="696" spans="1:89" s="25" customFormat="1" ht="33" customHeight="1">
      <c r="A696" s="74"/>
      <c r="B696" s="74"/>
      <c r="C696" s="74"/>
      <c r="D696" s="74"/>
      <c r="E696" s="74"/>
      <c r="F696" s="74"/>
      <c r="G696" s="75"/>
      <c r="H696" s="76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  <c r="BE696" s="53"/>
      <c r="BF696" s="53"/>
      <c r="BG696" s="53"/>
      <c r="BH696" s="53"/>
      <c r="BI696" s="53"/>
      <c r="BJ696" s="53"/>
      <c r="BK696" s="53"/>
      <c r="BL696" s="53"/>
      <c r="BM696" s="53"/>
      <c r="BN696" s="53"/>
      <c r="BO696" s="53"/>
      <c r="BP696" s="53"/>
      <c r="BQ696" s="53"/>
      <c r="BR696" s="53"/>
      <c r="BS696" s="53"/>
      <c r="BT696" s="53"/>
      <c r="BU696" s="53"/>
      <c r="BV696" s="53"/>
      <c r="BW696" s="53"/>
      <c r="BX696" s="53"/>
      <c r="BY696" s="53"/>
      <c r="BZ696" s="53"/>
      <c r="CA696" s="53"/>
      <c r="CB696" s="53"/>
      <c r="CC696" s="53"/>
      <c r="CD696" s="53"/>
      <c r="CE696" s="53"/>
      <c r="CF696" s="53"/>
      <c r="CG696" s="53"/>
      <c r="CH696" s="53"/>
      <c r="CI696" s="53"/>
      <c r="CJ696" s="53"/>
      <c r="CK696" s="53"/>
    </row>
    <row r="697" spans="1:89" s="25" customFormat="1" ht="33" customHeight="1">
      <c r="A697" s="74"/>
      <c r="B697" s="74"/>
      <c r="C697" s="74"/>
      <c r="D697" s="74"/>
      <c r="E697" s="74"/>
      <c r="F697" s="74"/>
      <c r="G697" s="75"/>
      <c r="H697" s="76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  <c r="BE697" s="53"/>
      <c r="BF697" s="53"/>
      <c r="BG697" s="53"/>
      <c r="BH697" s="53"/>
      <c r="BI697" s="53"/>
      <c r="BJ697" s="53"/>
      <c r="BK697" s="53"/>
      <c r="BL697" s="53"/>
      <c r="BM697" s="53"/>
      <c r="BN697" s="53"/>
      <c r="BO697" s="53"/>
      <c r="BP697" s="53"/>
      <c r="BQ697" s="53"/>
      <c r="BR697" s="53"/>
      <c r="BS697" s="53"/>
      <c r="BT697" s="53"/>
      <c r="BU697" s="53"/>
      <c r="BV697" s="53"/>
      <c r="BW697" s="53"/>
      <c r="BX697" s="53"/>
      <c r="BY697" s="53"/>
      <c r="BZ697" s="53"/>
      <c r="CA697" s="53"/>
      <c r="CB697" s="53"/>
      <c r="CC697" s="53"/>
      <c r="CD697" s="53"/>
      <c r="CE697" s="53"/>
      <c r="CF697" s="53"/>
      <c r="CG697" s="53"/>
      <c r="CH697" s="53"/>
      <c r="CI697" s="53"/>
      <c r="CJ697" s="53"/>
      <c r="CK697" s="53"/>
    </row>
    <row r="698" spans="1:89" s="25" customFormat="1" ht="33" customHeight="1">
      <c r="A698" s="74"/>
      <c r="B698" s="74"/>
      <c r="C698" s="74"/>
      <c r="D698" s="74"/>
      <c r="E698" s="74"/>
      <c r="F698" s="74"/>
      <c r="G698" s="75"/>
      <c r="H698" s="76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  <c r="BE698" s="53"/>
      <c r="BF698" s="53"/>
      <c r="BG698" s="53"/>
      <c r="BH698" s="53"/>
      <c r="BI698" s="53"/>
      <c r="BJ698" s="53"/>
      <c r="BK698" s="53"/>
      <c r="BL698" s="53"/>
      <c r="BM698" s="53"/>
      <c r="BN698" s="53"/>
      <c r="BO698" s="53"/>
      <c r="BP698" s="53"/>
      <c r="BQ698" s="53"/>
      <c r="BR698" s="53"/>
      <c r="BS698" s="53"/>
      <c r="BT698" s="53"/>
      <c r="BU698" s="53"/>
      <c r="BV698" s="53"/>
      <c r="BW698" s="53"/>
      <c r="BX698" s="53"/>
      <c r="BY698" s="53"/>
      <c r="BZ698" s="53"/>
      <c r="CA698" s="53"/>
      <c r="CB698" s="53"/>
      <c r="CC698" s="53"/>
      <c r="CD698" s="53"/>
      <c r="CE698" s="53"/>
      <c r="CF698" s="53"/>
      <c r="CG698" s="53"/>
      <c r="CH698" s="53"/>
      <c r="CI698" s="53"/>
      <c r="CJ698" s="53"/>
      <c r="CK698" s="53"/>
    </row>
    <row r="699" spans="1:89" s="25" customFormat="1" ht="33" customHeight="1">
      <c r="A699" s="74"/>
      <c r="B699" s="74"/>
      <c r="C699" s="74"/>
      <c r="D699" s="74"/>
      <c r="E699" s="74"/>
      <c r="F699" s="74"/>
      <c r="G699" s="75"/>
      <c r="H699" s="76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  <c r="BE699" s="53"/>
      <c r="BF699" s="53"/>
      <c r="BG699" s="53"/>
      <c r="BH699" s="53"/>
      <c r="BI699" s="53"/>
      <c r="BJ699" s="53"/>
      <c r="BK699" s="53"/>
      <c r="BL699" s="53"/>
      <c r="BM699" s="53"/>
      <c r="BN699" s="53"/>
      <c r="BO699" s="53"/>
      <c r="BP699" s="53"/>
      <c r="BQ699" s="53"/>
      <c r="BR699" s="53"/>
      <c r="BS699" s="53"/>
      <c r="BT699" s="53"/>
      <c r="BU699" s="53"/>
      <c r="BV699" s="53"/>
      <c r="BW699" s="53"/>
      <c r="BX699" s="53"/>
      <c r="BY699" s="53"/>
      <c r="BZ699" s="53"/>
      <c r="CA699" s="53"/>
      <c r="CB699" s="53"/>
      <c r="CC699" s="53"/>
      <c r="CD699" s="53"/>
      <c r="CE699" s="53"/>
      <c r="CF699" s="53"/>
      <c r="CG699" s="53"/>
      <c r="CH699" s="53"/>
      <c r="CI699" s="53"/>
      <c r="CJ699" s="53"/>
      <c r="CK699" s="53"/>
    </row>
    <row r="700" spans="1:89" s="25" customFormat="1" ht="33" customHeight="1">
      <c r="A700" s="74"/>
      <c r="B700" s="74"/>
      <c r="C700" s="74"/>
      <c r="D700" s="74"/>
      <c r="E700" s="74"/>
      <c r="F700" s="74"/>
      <c r="G700" s="75"/>
      <c r="H700" s="76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53"/>
      <c r="BG700" s="53"/>
      <c r="BH700" s="53"/>
      <c r="BI700" s="53"/>
      <c r="BJ700" s="53"/>
      <c r="BK700" s="53"/>
      <c r="BL700" s="53"/>
      <c r="BM700" s="53"/>
      <c r="BN700" s="53"/>
      <c r="BO700" s="53"/>
      <c r="BP700" s="53"/>
      <c r="BQ700" s="53"/>
      <c r="BR700" s="53"/>
      <c r="BS700" s="53"/>
      <c r="BT700" s="53"/>
      <c r="BU700" s="53"/>
      <c r="BV700" s="53"/>
      <c r="BW700" s="53"/>
      <c r="BX700" s="53"/>
      <c r="BY700" s="53"/>
      <c r="BZ700" s="53"/>
      <c r="CA700" s="53"/>
      <c r="CB700" s="53"/>
      <c r="CC700" s="53"/>
      <c r="CD700" s="53"/>
      <c r="CE700" s="53"/>
      <c r="CF700" s="53"/>
      <c r="CG700" s="53"/>
      <c r="CH700" s="53"/>
      <c r="CI700" s="53"/>
      <c r="CJ700" s="53"/>
      <c r="CK700" s="53"/>
    </row>
    <row r="701" spans="1:89" s="25" customFormat="1" ht="33" customHeight="1">
      <c r="A701" s="74"/>
      <c r="B701" s="74"/>
      <c r="C701" s="74"/>
      <c r="D701" s="74"/>
      <c r="E701" s="74"/>
      <c r="F701" s="74"/>
      <c r="G701" s="75"/>
      <c r="H701" s="76"/>
      <c r="I701" s="52"/>
      <c r="J701" s="52"/>
      <c r="K701" s="52"/>
      <c r="L701" s="41"/>
      <c r="M701" s="41"/>
      <c r="N701" s="41"/>
      <c r="O701" s="41"/>
      <c r="P701" s="41"/>
      <c r="Q701" s="41"/>
      <c r="R701" s="41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41"/>
      <c r="BQ701" s="41"/>
      <c r="BR701" s="41"/>
      <c r="BS701" s="41"/>
      <c r="BT701" s="41"/>
      <c r="BU701" s="41"/>
      <c r="BV701" s="41"/>
      <c r="BW701" s="41"/>
      <c r="BX701" s="41"/>
      <c r="BY701" s="41"/>
      <c r="BZ701" s="41"/>
      <c r="CA701" s="41"/>
      <c r="CB701" s="41"/>
      <c r="CC701" s="41"/>
      <c r="CD701" s="41"/>
      <c r="CE701" s="41"/>
      <c r="CF701" s="41"/>
      <c r="CG701" s="41"/>
      <c r="CH701" s="41"/>
      <c r="CI701" s="41"/>
      <c r="CJ701" s="41"/>
      <c r="CK701" s="41"/>
    </row>
    <row r="702" spans="1:89" s="25" customFormat="1" ht="33" customHeight="1">
      <c r="A702" s="74"/>
      <c r="B702" s="74"/>
      <c r="C702" s="74"/>
      <c r="D702" s="74"/>
      <c r="E702" s="74"/>
      <c r="F702" s="74"/>
      <c r="G702" s="75"/>
      <c r="H702" s="76"/>
      <c r="I702" s="52"/>
      <c r="J702" s="52"/>
      <c r="K702" s="52"/>
      <c r="L702" s="41"/>
      <c r="M702" s="41"/>
      <c r="N702" s="41"/>
      <c r="O702" s="41"/>
      <c r="P702" s="41"/>
      <c r="Q702" s="41"/>
      <c r="R702" s="41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41"/>
      <c r="BQ702" s="41"/>
      <c r="BR702" s="41"/>
      <c r="BS702" s="41"/>
      <c r="BT702" s="41"/>
      <c r="BU702" s="41"/>
      <c r="BV702" s="41"/>
      <c r="BW702" s="41"/>
      <c r="BX702" s="41"/>
      <c r="BY702" s="41"/>
      <c r="BZ702" s="41"/>
      <c r="CA702" s="41"/>
      <c r="CB702" s="41"/>
      <c r="CC702" s="41"/>
      <c r="CD702" s="41"/>
      <c r="CE702" s="41"/>
      <c r="CF702" s="41"/>
      <c r="CG702" s="41"/>
      <c r="CH702" s="41"/>
      <c r="CI702" s="41"/>
      <c r="CJ702" s="41"/>
      <c r="CK702" s="41"/>
    </row>
    <row r="703" spans="1:89" s="25" customFormat="1" ht="33" customHeight="1">
      <c r="A703" s="74"/>
      <c r="B703" s="74"/>
      <c r="C703" s="74"/>
      <c r="D703" s="74"/>
      <c r="E703" s="74"/>
      <c r="F703" s="74"/>
      <c r="G703" s="75"/>
      <c r="H703" s="76"/>
      <c r="I703" s="52"/>
      <c r="J703" s="52"/>
      <c r="K703" s="52"/>
      <c r="L703" s="41"/>
      <c r="M703" s="41"/>
      <c r="N703" s="41"/>
      <c r="O703" s="41"/>
      <c r="P703" s="41"/>
      <c r="Q703" s="41"/>
      <c r="R703" s="41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41"/>
      <c r="BQ703" s="41"/>
      <c r="BR703" s="41"/>
      <c r="BS703" s="41"/>
      <c r="BT703" s="41"/>
      <c r="BU703" s="41"/>
      <c r="BV703" s="41"/>
      <c r="BW703" s="41"/>
      <c r="BX703" s="41"/>
      <c r="BY703" s="41"/>
      <c r="BZ703" s="41"/>
      <c r="CA703" s="41"/>
      <c r="CB703" s="41"/>
      <c r="CC703" s="41"/>
      <c r="CD703" s="41"/>
      <c r="CE703" s="41"/>
      <c r="CF703" s="41"/>
      <c r="CG703" s="41"/>
      <c r="CH703" s="41"/>
      <c r="CI703" s="41"/>
      <c r="CJ703" s="41"/>
      <c r="CK703" s="41"/>
    </row>
    <row r="704" spans="1:89" s="25" customFormat="1" ht="33" customHeight="1">
      <c r="A704" s="74"/>
      <c r="B704" s="74"/>
      <c r="C704" s="74"/>
      <c r="D704" s="74"/>
      <c r="E704" s="74"/>
      <c r="F704" s="74"/>
      <c r="G704" s="75"/>
      <c r="H704" s="76"/>
      <c r="I704" s="52"/>
      <c r="J704" s="52"/>
      <c r="K704" s="52"/>
      <c r="L704" s="41"/>
      <c r="M704" s="41"/>
      <c r="N704" s="41"/>
      <c r="O704" s="41"/>
      <c r="P704" s="41"/>
      <c r="Q704" s="41"/>
      <c r="R704" s="41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/>
      <c r="BQ704" s="41"/>
      <c r="BR704" s="41"/>
      <c r="BS704" s="41"/>
      <c r="BT704" s="41"/>
      <c r="BU704" s="41"/>
      <c r="BV704" s="41"/>
      <c r="BW704" s="41"/>
      <c r="BX704" s="41"/>
      <c r="BY704" s="41"/>
      <c r="BZ704" s="41"/>
      <c r="CA704" s="41"/>
      <c r="CB704" s="41"/>
      <c r="CC704" s="41"/>
      <c r="CD704" s="41"/>
      <c r="CE704" s="41"/>
      <c r="CF704" s="41"/>
      <c r="CG704" s="41"/>
      <c r="CH704" s="41"/>
      <c r="CI704" s="41"/>
      <c r="CJ704" s="41"/>
      <c r="CK704" s="41"/>
    </row>
    <row r="705" spans="1:89" s="25" customFormat="1" ht="33" customHeight="1">
      <c r="A705" s="74"/>
      <c r="B705" s="74"/>
      <c r="C705" s="74"/>
      <c r="D705" s="74"/>
      <c r="E705" s="74"/>
      <c r="F705" s="74"/>
      <c r="G705" s="75"/>
      <c r="H705" s="76"/>
      <c r="I705" s="52"/>
      <c r="J705" s="52"/>
      <c r="K705" s="52"/>
      <c r="L705" s="41"/>
      <c r="M705" s="41"/>
      <c r="N705" s="41"/>
      <c r="O705" s="41"/>
      <c r="P705" s="41"/>
      <c r="Q705" s="41"/>
      <c r="R705" s="41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  <c r="CG705" s="41"/>
      <c r="CH705" s="41"/>
      <c r="CI705" s="41"/>
      <c r="CJ705" s="41"/>
      <c r="CK705" s="41"/>
    </row>
    <row r="706" spans="1:89" s="25" customFormat="1" ht="33" customHeight="1">
      <c r="A706" s="74"/>
      <c r="B706" s="74"/>
      <c r="C706" s="74"/>
      <c r="D706" s="74"/>
      <c r="E706" s="74"/>
      <c r="F706" s="74"/>
      <c r="G706" s="75"/>
      <c r="H706" s="76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  <c r="BE706" s="53"/>
      <c r="BF706" s="53"/>
      <c r="BG706" s="53"/>
      <c r="BH706" s="53"/>
      <c r="BI706" s="53"/>
      <c r="BJ706" s="53"/>
      <c r="BK706" s="53"/>
      <c r="BL706" s="53"/>
      <c r="BM706" s="53"/>
      <c r="BN706" s="53"/>
      <c r="BO706" s="53"/>
      <c r="BP706" s="53"/>
      <c r="BQ706" s="53"/>
      <c r="BR706" s="53"/>
      <c r="BS706" s="53"/>
      <c r="BT706" s="53"/>
      <c r="BU706" s="53"/>
      <c r="BV706" s="53"/>
      <c r="BW706" s="53"/>
      <c r="BX706" s="53"/>
      <c r="BY706" s="53"/>
      <c r="BZ706" s="53"/>
      <c r="CA706" s="53"/>
      <c r="CB706" s="53"/>
      <c r="CC706" s="53"/>
      <c r="CD706" s="53"/>
      <c r="CE706" s="53"/>
      <c r="CF706" s="53"/>
      <c r="CG706" s="53"/>
      <c r="CH706" s="53"/>
      <c r="CI706" s="53"/>
      <c r="CJ706" s="53"/>
      <c r="CK706" s="53"/>
    </row>
    <row r="707" spans="1:89" s="25" customFormat="1" ht="33" customHeight="1">
      <c r="A707" s="74"/>
      <c r="B707" s="74"/>
      <c r="C707" s="74"/>
      <c r="D707" s="74"/>
      <c r="E707" s="74"/>
      <c r="F707" s="74"/>
      <c r="G707" s="75"/>
      <c r="H707" s="76"/>
      <c r="I707" s="52"/>
      <c r="J707" s="52"/>
      <c r="K707" s="52"/>
      <c r="L707" s="41"/>
      <c r="M707" s="41"/>
      <c r="N707" s="41"/>
      <c r="O707" s="41"/>
      <c r="P707" s="41"/>
      <c r="Q707" s="41"/>
      <c r="R707" s="41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1"/>
      <c r="BR707" s="41"/>
      <c r="BS707" s="41"/>
      <c r="BT707" s="41"/>
      <c r="BU707" s="41"/>
      <c r="BV707" s="41"/>
      <c r="BW707" s="41"/>
      <c r="BX707" s="41"/>
      <c r="BY707" s="41"/>
      <c r="BZ707" s="41"/>
      <c r="CA707" s="41"/>
      <c r="CB707" s="41"/>
      <c r="CC707" s="41"/>
      <c r="CD707" s="41"/>
      <c r="CE707" s="41"/>
      <c r="CF707" s="41"/>
      <c r="CG707" s="41"/>
      <c r="CH707" s="41"/>
      <c r="CI707" s="41"/>
      <c r="CJ707" s="41"/>
      <c r="CK707" s="41"/>
    </row>
    <row r="708" spans="1:89" s="25" customFormat="1" ht="33" customHeight="1">
      <c r="A708" s="74"/>
      <c r="B708" s="74"/>
      <c r="C708" s="74"/>
      <c r="D708" s="74"/>
      <c r="E708" s="74"/>
      <c r="F708" s="74"/>
      <c r="G708" s="75"/>
      <c r="H708" s="76"/>
      <c r="I708" s="52"/>
      <c r="J708" s="52"/>
      <c r="K708" s="52"/>
      <c r="L708" s="41"/>
      <c r="M708" s="41"/>
      <c r="N708" s="41"/>
      <c r="O708" s="41"/>
      <c r="P708" s="41"/>
      <c r="Q708" s="41"/>
      <c r="R708" s="41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  <c r="CG708" s="41"/>
      <c r="CH708" s="41"/>
      <c r="CI708" s="41"/>
      <c r="CJ708" s="41"/>
      <c r="CK708" s="41"/>
    </row>
    <row r="709" spans="1:89" s="25" customFormat="1" ht="33" customHeight="1">
      <c r="A709" s="74"/>
      <c r="B709" s="74"/>
      <c r="C709" s="74"/>
      <c r="D709" s="74"/>
      <c r="E709" s="74"/>
      <c r="F709" s="74"/>
      <c r="G709" s="75"/>
      <c r="H709" s="76"/>
      <c r="I709" s="52"/>
      <c r="J709" s="52"/>
      <c r="K709" s="52"/>
      <c r="L709" s="41"/>
      <c r="M709" s="41"/>
      <c r="N709" s="41"/>
      <c r="O709" s="41"/>
      <c r="P709" s="41"/>
      <c r="Q709" s="41"/>
      <c r="R709" s="41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1"/>
      <c r="BR709" s="41"/>
      <c r="BS709" s="41"/>
      <c r="BT709" s="41"/>
      <c r="BU709" s="41"/>
      <c r="BV709" s="41"/>
      <c r="BW709" s="41"/>
      <c r="BX709" s="41"/>
      <c r="BY709" s="41"/>
      <c r="BZ709" s="41"/>
      <c r="CA709" s="41"/>
      <c r="CB709" s="41"/>
      <c r="CC709" s="41"/>
      <c r="CD709" s="41"/>
      <c r="CE709" s="41"/>
      <c r="CF709" s="41"/>
      <c r="CG709" s="41"/>
      <c r="CH709" s="41"/>
      <c r="CI709" s="41"/>
      <c r="CJ709" s="41"/>
      <c r="CK709" s="41"/>
    </row>
    <row r="710" spans="1:89" s="25" customFormat="1" ht="33" customHeight="1">
      <c r="A710" s="74"/>
      <c r="B710" s="74"/>
      <c r="C710" s="74"/>
      <c r="D710" s="74"/>
      <c r="E710" s="74"/>
      <c r="F710" s="74"/>
      <c r="G710" s="75"/>
      <c r="H710" s="76"/>
      <c r="I710" s="52"/>
      <c r="J710" s="52"/>
      <c r="K710" s="52"/>
      <c r="L710" s="41"/>
      <c r="M710" s="41"/>
      <c r="N710" s="41"/>
      <c r="O710" s="41"/>
      <c r="P710" s="41"/>
      <c r="Q710" s="41"/>
      <c r="R710" s="41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1"/>
      <c r="CA710" s="41"/>
      <c r="CB710" s="41"/>
      <c r="CC710" s="41"/>
      <c r="CD710" s="41"/>
      <c r="CE710" s="41"/>
      <c r="CF710" s="41"/>
      <c r="CG710" s="41"/>
      <c r="CH710" s="41"/>
      <c r="CI710" s="41"/>
      <c r="CJ710" s="41"/>
      <c r="CK710" s="41"/>
    </row>
    <row r="711" spans="1:89" s="25" customFormat="1" ht="33" customHeight="1">
      <c r="A711" s="74"/>
      <c r="B711" s="74"/>
      <c r="C711" s="74"/>
      <c r="D711" s="74"/>
      <c r="E711" s="74"/>
      <c r="F711" s="74"/>
      <c r="G711" s="75"/>
      <c r="H711" s="76"/>
      <c r="I711" s="52"/>
      <c r="J711" s="52"/>
      <c r="K711" s="52"/>
      <c r="L711" s="41"/>
      <c r="M711" s="41"/>
      <c r="N711" s="41"/>
      <c r="O711" s="41"/>
      <c r="P711" s="41"/>
      <c r="Q711" s="41"/>
      <c r="R711" s="41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  <c r="CG711" s="41"/>
      <c r="CH711" s="41"/>
      <c r="CI711" s="41"/>
      <c r="CJ711" s="41"/>
      <c r="CK711" s="41"/>
    </row>
    <row r="712" spans="1:89" s="25" customFormat="1" ht="33" customHeight="1">
      <c r="A712" s="74"/>
      <c r="B712" s="74"/>
      <c r="C712" s="74"/>
      <c r="D712" s="74"/>
      <c r="E712" s="74"/>
      <c r="F712" s="74"/>
      <c r="G712" s="75"/>
      <c r="H712" s="76"/>
      <c r="I712" s="52"/>
      <c r="J712" s="52"/>
      <c r="K712" s="52"/>
      <c r="L712" s="41"/>
      <c r="M712" s="41"/>
      <c r="N712" s="41"/>
      <c r="O712" s="41"/>
      <c r="P712" s="41"/>
      <c r="Q712" s="41"/>
      <c r="R712" s="41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1"/>
      <c r="CA712" s="41"/>
      <c r="CB712" s="41"/>
      <c r="CC712" s="41"/>
      <c r="CD712" s="41"/>
      <c r="CE712" s="41"/>
      <c r="CF712" s="41"/>
      <c r="CG712" s="41"/>
      <c r="CH712" s="41"/>
      <c r="CI712" s="41"/>
      <c r="CJ712" s="41"/>
      <c r="CK712" s="41"/>
    </row>
    <row r="713" spans="1:89" s="25" customFormat="1" ht="33" customHeight="1">
      <c r="A713" s="74"/>
      <c r="B713" s="74"/>
      <c r="C713" s="74"/>
      <c r="D713" s="74"/>
      <c r="E713" s="74"/>
      <c r="F713" s="74"/>
      <c r="G713" s="75"/>
      <c r="H713" s="76"/>
      <c r="I713" s="52"/>
      <c r="J713" s="52"/>
      <c r="K713" s="52"/>
      <c r="L713" s="41"/>
      <c r="M713" s="41"/>
      <c r="N713" s="41"/>
      <c r="O713" s="41"/>
      <c r="P713" s="41"/>
      <c r="Q713" s="41"/>
      <c r="R713" s="41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  <c r="BV713" s="41"/>
      <c r="BW713" s="41"/>
      <c r="BX713" s="41"/>
      <c r="BY713" s="41"/>
      <c r="BZ713" s="41"/>
      <c r="CA713" s="41"/>
      <c r="CB713" s="41"/>
      <c r="CC713" s="41"/>
      <c r="CD713" s="41"/>
      <c r="CE713" s="41"/>
      <c r="CF713" s="41"/>
      <c r="CG713" s="41"/>
      <c r="CH713" s="41"/>
      <c r="CI713" s="41"/>
      <c r="CJ713" s="41"/>
      <c r="CK713" s="41"/>
    </row>
    <row r="714" spans="1:89" s="25" customFormat="1" ht="33" customHeight="1">
      <c r="A714" s="74"/>
      <c r="B714" s="74"/>
      <c r="C714" s="74"/>
      <c r="D714" s="74"/>
      <c r="E714" s="74"/>
      <c r="F714" s="74"/>
      <c r="G714" s="75"/>
      <c r="H714" s="76"/>
      <c r="I714" s="52"/>
      <c r="J714" s="52"/>
      <c r="K714" s="52"/>
      <c r="L714" s="41"/>
      <c r="M714" s="41"/>
      <c r="N714" s="41"/>
      <c r="O714" s="41"/>
      <c r="P714" s="41"/>
      <c r="Q714" s="41"/>
      <c r="R714" s="41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  <c r="BV714" s="41"/>
      <c r="BW714" s="41"/>
      <c r="BX714" s="41"/>
      <c r="BY714" s="41"/>
      <c r="BZ714" s="41"/>
      <c r="CA714" s="41"/>
      <c r="CB714" s="41"/>
      <c r="CC714" s="41"/>
      <c r="CD714" s="41"/>
      <c r="CE714" s="41"/>
      <c r="CF714" s="41"/>
      <c r="CG714" s="41"/>
      <c r="CH714" s="41"/>
      <c r="CI714" s="41"/>
      <c r="CJ714" s="41"/>
      <c r="CK714" s="41"/>
    </row>
    <row r="715" spans="1:89" s="25" customFormat="1" ht="33" customHeight="1">
      <c r="A715" s="74"/>
      <c r="B715" s="74"/>
      <c r="C715" s="74"/>
      <c r="D715" s="74"/>
      <c r="E715" s="74"/>
      <c r="F715" s="74"/>
      <c r="G715" s="75"/>
      <c r="H715" s="76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53"/>
      <c r="AX715" s="53"/>
      <c r="AY715" s="53"/>
      <c r="AZ715" s="53"/>
      <c r="BA715" s="53"/>
      <c r="BB715" s="53"/>
      <c r="BC715" s="53"/>
      <c r="BD715" s="53"/>
      <c r="BE715" s="53"/>
      <c r="BF715" s="53"/>
      <c r="BG715" s="53"/>
      <c r="BH715" s="53"/>
      <c r="BI715" s="53"/>
      <c r="BJ715" s="53"/>
      <c r="BK715" s="53"/>
      <c r="BL715" s="53"/>
      <c r="BM715" s="53"/>
      <c r="BN715" s="53"/>
      <c r="BO715" s="53"/>
      <c r="BP715" s="53"/>
      <c r="BQ715" s="53"/>
      <c r="BR715" s="53"/>
      <c r="BS715" s="53"/>
      <c r="BT715" s="53"/>
      <c r="BU715" s="53"/>
      <c r="BV715" s="53"/>
      <c r="BW715" s="53"/>
      <c r="BX715" s="53"/>
      <c r="BY715" s="53"/>
      <c r="BZ715" s="53"/>
      <c r="CA715" s="53"/>
      <c r="CB715" s="53"/>
      <c r="CC715" s="53"/>
      <c r="CD715" s="53"/>
      <c r="CE715" s="53"/>
      <c r="CF715" s="53"/>
      <c r="CG715" s="53"/>
      <c r="CH715" s="53"/>
      <c r="CI715" s="53"/>
      <c r="CJ715" s="53"/>
      <c r="CK715" s="53"/>
    </row>
    <row r="716" spans="1:89" s="25" customFormat="1" ht="33" customHeight="1">
      <c r="A716" s="74"/>
      <c r="B716" s="74"/>
      <c r="C716" s="74"/>
      <c r="D716" s="74"/>
      <c r="E716" s="74"/>
      <c r="F716" s="74"/>
      <c r="G716" s="75"/>
      <c r="H716" s="76"/>
      <c r="I716" s="52"/>
      <c r="J716" s="52"/>
      <c r="K716" s="52"/>
      <c r="L716" s="41"/>
      <c r="M716" s="41"/>
      <c r="N716" s="41"/>
      <c r="O716" s="41"/>
      <c r="P716" s="41"/>
      <c r="Q716" s="41"/>
      <c r="R716" s="41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  <c r="BV716" s="41"/>
      <c r="BW716" s="41"/>
      <c r="BX716" s="41"/>
      <c r="BY716" s="41"/>
      <c r="BZ716" s="41"/>
      <c r="CA716" s="41"/>
      <c r="CB716" s="41"/>
      <c r="CC716" s="41"/>
      <c r="CD716" s="41"/>
      <c r="CE716" s="41"/>
      <c r="CF716" s="41"/>
      <c r="CG716" s="41"/>
      <c r="CH716" s="41"/>
      <c r="CI716" s="41"/>
      <c r="CJ716" s="41"/>
      <c r="CK716" s="41"/>
    </row>
    <row r="717" spans="1:89" s="25" customFormat="1" ht="33" customHeight="1">
      <c r="A717" s="74"/>
      <c r="B717" s="74"/>
      <c r="C717" s="74"/>
      <c r="D717" s="74"/>
      <c r="E717" s="74"/>
      <c r="F717" s="74"/>
      <c r="G717" s="75"/>
      <c r="H717" s="76"/>
      <c r="I717" s="52"/>
      <c r="J717" s="52"/>
      <c r="K717" s="52"/>
      <c r="L717" s="41"/>
      <c r="M717" s="41"/>
      <c r="N717" s="41"/>
      <c r="O717" s="41"/>
      <c r="P717" s="41"/>
      <c r="Q717" s="41"/>
      <c r="R717" s="41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  <c r="BV717" s="41"/>
      <c r="BW717" s="41"/>
      <c r="BX717" s="41"/>
      <c r="BY717" s="41"/>
      <c r="BZ717" s="41"/>
      <c r="CA717" s="41"/>
      <c r="CB717" s="41"/>
      <c r="CC717" s="41"/>
      <c r="CD717" s="41"/>
      <c r="CE717" s="41"/>
      <c r="CF717" s="41"/>
      <c r="CG717" s="41"/>
      <c r="CH717" s="41"/>
      <c r="CI717" s="41"/>
      <c r="CJ717" s="41"/>
      <c r="CK717" s="41"/>
    </row>
    <row r="718" spans="1:89" s="25" customFormat="1" ht="33" customHeight="1">
      <c r="A718" s="74"/>
      <c r="B718" s="74"/>
      <c r="C718" s="74"/>
      <c r="D718" s="74"/>
      <c r="E718" s="74"/>
      <c r="F718" s="74"/>
      <c r="G718" s="75"/>
      <c r="H718" s="76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53"/>
      <c r="AX718" s="53"/>
      <c r="AY718" s="53"/>
      <c r="AZ718" s="53"/>
      <c r="BA718" s="53"/>
      <c r="BB718" s="53"/>
      <c r="BC718" s="53"/>
      <c r="BD718" s="53"/>
      <c r="BE718" s="53"/>
      <c r="BF718" s="53"/>
      <c r="BG718" s="53"/>
      <c r="BH718" s="53"/>
      <c r="BI718" s="53"/>
      <c r="BJ718" s="53"/>
      <c r="BK718" s="53"/>
      <c r="BL718" s="53"/>
      <c r="BM718" s="53"/>
      <c r="BN718" s="53"/>
      <c r="BO718" s="53"/>
      <c r="BP718" s="53"/>
      <c r="BQ718" s="53"/>
      <c r="BR718" s="53"/>
      <c r="BS718" s="53"/>
      <c r="BT718" s="53"/>
      <c r="BU718" s="53"/>
      <c r="BV718" s="53"/>
      <c r="BW718" s="53"/>
      <c r="BX718" s="53"/>
      <c r="BY718" s="53"/>
      <c r="BZ718" s="53"/>
      <c r="CA718" s="53"/>
      <c r="CB718" s="53"/>
      <c r="CC718" s="53"/>
      <c r="CD718" s="53"/>
      <c r="CE718" s="53"/>
      <c r="CF718" s="53"/>
      <c r="CG718" s="53"/>
      <c r="CH718" s="53"/>
      <c r="CI718" s="53"/>
      <c r="CJ718" s="53"/>
      <c r="CK718" s="53"/>
    </row>
    <row r="719" spans="1:89" s="25" customFormat="1" ht="33" customHeight="1">
      <c r="A719" s="74"/>
      <c r="B719" s="74"/>
      <c r="C719" s="74"/>
      <c r="D719" s="74"/>
      <c r="E719" s="74"/>
      <c r="F719" s="74"/>
      <c r="G719" s="75"/>
      <c r="H719" s="76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53"/>
      <c r="AX719" s="53"/>
      <c r="AY719" s="53"/>
      <c r="AZ719" s="53"/>
      <c r="BA719" s="53"/>
      <c r="BB719" s="53"/>
      <c r="BC719" s="53"/>
      <c r="BD719" s="53"/>
      <c r="BE719" s="53"/>
      <c r="BF719" s="53"/>
      <c r="BG719" s="53"/>
      <c r="BH719" s="53"/>
      <c r="BI719" s="53"/>
      <c r="BJ719" s="53"/>
      <c r="BK719" s="53"/>
      <c r="BL719" s="53"/>
      <c r="BM719" s="53"/>
      <c r="BN719" s="53"/>
      <c r="BO719" s="53"/>
      <c r="BP719" s="53"/>
      <c r="BQ719" s="53"/>
      <c r="BR719" s="53"/>
      <c r="BS719" s="53"/>
      <c r="BT719" s="53"/>
      <c r="BU719" s="53"/>
      <c r="BV719" s="53"/>
      <c r="BW719" s="53"/>
      <c r="BX719" s="53"/>
      <c r="BY719" s="53"/>
      <c r="BZ719" s="53"/>
      <c r="CA719" s="53"/>
      <c r="CB719" s="53"/>
      <c r="CC719" s="53"/>
      <c r="CD719" s="53"/>
      <c r="CE719" s="53"/>
      <c r="CF719" s="53"/>
      <c r="CG719" s="53"/>
      <c r="CH719" s="53"/>
      <c r="CI719" s="53"/>
      <c r="CJ719" s="53"/>
      <c r="CK719" s="53"/>
    </row>
    <row r="720" spans="1:89" s="25" customFormat="1" ht="33" customHeight="1">
      <c r="A720" s="74"/>
      <c r="B720" s="74"/>
      <c r="C720" s="74"/>
      <c r="D720" s="74"/>
      <c r="E720" s="74"/>
      <c r="F720" s="74"/>
      <c r="G720" s="75"/>
      <c r="H720" s="76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3"/>
      <c r="BA720" s="53"/>
      <c r="BB720" s="53"/>
      <c r="BC720" s="53"/>
      <c r="BD720" s="53"/>
      <c r="BE720" s="53"/>
      <c r="BF720" s="53"/>
      <c r="BG720" s="53"/>
      <c r="BH720" s="53"/>
      <c r="BI720" s="53"/>
      <c r="BJ720" s="53"/>
      <c r="BK720" s="53"/>
      <c r="BL720" s="53"/>
      <c r="BM720" s="53"/>
      <c r="BN720" s="53"/>
      <c r="BO720" s="53"/>
      <c r="BP720" s="53"/>
      <c r="BQ720" s="53"/>
      <c r="BR720" s="53"/>
      <c r="BS720" s="53"/>
      <c r="BT720" s="53"/>
      <c r="BU720" s="53"/>
      <c r="BV720" s="53"/>
      <c r="BW720" s="53"/>
      <c r="BX720" s="53"/>
      <c r="BY720" s="53"/>
      <c r="BZ720" s="53"/>
      <c r="CA720" s="53"/>
      <c r="CB720" s="53"/>
      <c r="CC720" s="53"/>
      <c r="CD720" s="53"/>
      <c r="CE720" s="53"/>
      <c r="CF720" s="53"/>
      <c r="CG720" s="53"/>
      <c r="CH720" s="53"/>
      <c r="CI720" s="53"/>
      <c r="CJ720" s="53"/>
      <c r="CK720" s="53"/>
    </row>
    <row r="721" spans="1:89" s="25" customFormat="1" ht="33" customHeight="1">
      <c r="A721" s="74"/>
      <c r="B721" s="74"/>
      <c r="C721" s="74"/>
      <c r="D721" s="74"/>
      <c r="E721" s="74"/>
      <c r="F721" s="74"/>
      <c r="G721" s="75"/>
      <c r="H721" s="76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53"/>
      <c r="AX721" s="53"/>
      <c r="AY721" s="53"/>
      <c r="AZ721" s="53"/>
      <c r="BA721" s="53"/>
      <c r="BB721" s="53"/>
      <c r="BC721" s="53"/>
      <c r="BD721" s="53"/>
      <c r="BE721" s="53"/>
      <c r="BF721" s="53"/>
      <c r="BG721" s="53"/>
      <c r="BH721" s="53"/>
      <c r="BI721" s="53"/>
      <c r="BJ721" s="53"/>
      <c r="BK721" s="53"/>
      <c r="BL721" s="53"/>
      <c r="BM721" s="53"/>
      <c r="BN721" s="53"/>
      <c r="BO721" s="53"/>
      <c r="BP721" s="53"/>
      <c r="BQ721" s="53"/>
      <c r="BR721" s="53"/>
      <c r="BS721" s="53"/>
      <c r="BT721" s="53"/>
      <c r="BU721" s="53"/>
      <c r="BV721" s="53"/>
      <c r="BW721" s="53"/>
      <c r="BX721" s="53"/>
      <c r="BY721" s="53"/>
      <c r="BZ721" s="53"/>
      <c r="CA721" s="53"/>
      <c r="CB721" s="53"/>
      <c r="CC721" s="53"/>
      <c r="CD721" s="53"/>
      <c r="CE721" s="53"/>
      <c r="CF721" s="53"/>
      <c r="CG721" s="53"/>
      <c r="CH721" s="53"/>
      <c r="CI721" s="53"/>
      <c r="CJ721" s="53"/>
      <c r="CK721" s="53"/>
    </row>
    <row r="722" spans="1:89" s="25" customFormat="1" ht="33" customHeight="1">
      <c r="A722" s="74"/>
      <c r="B722" s="74"/>
      <c r="C722" s="74"/>
      <c r="D722" s="74"/>
      <c r="E722" s="74"/>
      <c r="F722" s="74"/>
      <c r="G722" s="75"/>
      <c r="H722" s="76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  <c r="AZ722" s="53"/>
      <c r="BA722" s="53"/>
      <c r="BB722" s="53"/>
      <c r="BC722" s="53"/>
      <c r="BD722" s="53"/>
      <c r="BE722" s="53"/>
      <c r="BF722" s="53"/>
      <c r="BG722" s="53"/>
      <c r="BH722" s="53"/>
      <c r="BI722" s="53"/>
      <c r="BJ722" s="53"/>
      <c r="BK722" s="53"/>
      <c r="BL722" s="53"/>
      <c r="BM722" s="53"/>
      <c r="BN722" s="53"/>
      <c r="BO722" s="53"/>
      <c r="BP722" s="53"/>
      <c r="BQ722" s="53"/>
      <c r="BR722" s="53"/>
      <c r="BS722" s="53"/>
      <c r="BT722" s="53"/>
      <c r="BU722" s="53"/>
      <c r="BV722" s="53"/>
      <c r="BW722" s="53"/>
      <c r="BX722" s="53"/>
      <c r="BY722" s="53"/>
      <c r="BZ722" s="53"/>
      <c r="CA722" s="53"/>
      <c r="CB722" s="53"/>
      <c r="CC722" s="53"/>
      <c r="CD722" s="53"/>
      <c r="CE722" s="53"/>
      <c r="CF722" s="53"/>
      <c r="CG722" s="53"/>
      <c r="CH722" s="53"/>
      <c r="CI722" s="53"/>
      <c r="CJ722" s="53"/>
      <c r="CK722" s="53"/>
    </row>
    <row r="723" spans="1:89" s="25" customFormat="1" ht="33" customHeight="1">
      <c r="A723" s="74"/>
      <c r="B723" s="74"/>
      <c r="C723" s="74"/>
      <c r="D723" s="74"/>
      <c r="E723" s="74"/>
      <c r="F723" s="74"/>
      <c r="G723" s="75"/>
      <c r="H723" s="76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  <c r="AZ723" s="53"/>
      <c r="BA723" s="53"/>
      <c r="BB723" s="53"/>
      <c r="BC723" s="53"/>
      <c r="BD723" s="53"/>
      <c r="BE723" s="53"/>
      <c r="BF723" s="53"/>
      <c r="BG723" s="53"/>
      <c r="BH723" s="53"/>
      <c r="BI723" s="53"/>
      <c r="BJ723" s="53"/>
      <c r="BK723" s="53"/>
      <c r="BL723" s="53"/>
      <c r="BM723" s="53"/>
      <c r="BN723" s="53"/>
      <c r="BO723" s="53"/>
      <c r="BP723" s="53"/>
      <c r="BQ723" s="53"/>
      <c r="BR723" s="53"/>
      <c r="BS723" s="53"/>
      <c r="BT723" s="53"/>
      <c r="BU723" s="53"/>
      <c r="BV723" s="53"/>
      <c r="BW723" s="53"/>
      <c r="BX723" s="53"/>
      <c r="BY723" s="53"/>
      <c r="BZ723" s="53"/>
      <c r="CA723" s="53"/>
      <c r="CB723" s="53"/>
      <c r="CC723" s="53"/>
      <c r="CD723" s="53"/>
      <c r="CE723" s="53"/>
      <c r="CF723" s="53"/>
      <c r="CG723" s="53"/>
      <c r="CH723" s="53"/>
      <c r="CI723" s="53"/>
      <c r="CJ723" s="53"/>
      <c r="CK723" s="53"/>
    </row>
    <row r="724" spans="1:89" s="25" customFormat="1" ht="33" customHeight="1">
      <c r="A724" s="74"/>
      <c r="B724" s="74"/>
      <c r="C724" s="74"/>
      <c r="D724" s="74"/>
      <c r="E724" s="74"/>
      <c r="F724" s="74"/>
      <c r="G724" s="75"/>
      <c r="H724" s="76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53"/>
      <c r="AX724" s="53"/>
      <c r="AY724" s="53"/>
      <c r="AZ724" s="53"/>
      <c r="BA724" s="53"/>
      <c r="BB724" s="53"/>
      <c r="BC724" s="53"/>
      <c r="BD724" s="53"/>
      <c r="BE724" s="53"/>
      <c r="BF724" s="53"/>
      <c r="BG724" s="53"/>
      <c r="BH724" s="53"/>
      <c r="BI724" s="53"/>
      <c r="BJ724" s="53"/>
      <c r="BK724" s="53"/>
      <c r="BL724" s="53"/>
      <c r="BM724" s="53"/>
      <c r="BN724" s="53"/>
      <c r="BO724" s="53"/>
      <c r="BP724" s="53"/>
      <c r="BQ724" s="53"/>
      <c r="BR724" s="53"/>
      <c r="BS724" s="53"/>
      <c r="BT724" s="53"/>
      <c r="BU724" s="53"/>
      <c r="BV724" s="53"/>
      <c r="BW724" s="53"/>
      <c r="BX724" s="53"/>
      <c r="BY724" s="53"/>
      <c r="BZ724" s="53"/>
      <c r="CA724" s="53"/>
      <c r="CB724" s="53"/>
      <c r="CC724" s="53"/>
      <c r="CD724" s="53"/>
      <c r="CE724" s="53"/>
      <c r="CF724" s="53"/>
      <c r="CG724" s="53"/>
      <c r="CH724" s="53"/>
      <c r="CI724" s="53"/>
      <c r="CJ724" s="53"/>
      <c r="CK724" s="53"/>
    </row>
    <row r="725" spans="1:89" s="25" customFormat="1" ht="33" customHeight="1">
      <c r="A725" s="74"/>
      <c r="B725" s="74"/>
      <c r="C725" s="74"/>
      <c r="D725" s="74"/>
      <c r="E725" s="74"/>
      <c r="F725" s="74"/>
      <c r="G725" s="75"/>
      <c r="H725" s="76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3"/>
      <c r="BA725" s="53"/>
      <c r="BB725" s="53"/>
      <c r="BC725" s="53"/>
      <c r="BD725" s="53"/>
      <c r="BE725" s="53"/>
      <c r="BF725" s="53"/>
      <c r="BG725" s="53"/>
      <c r="BH725" s="53"/>
      <c r="BI725" s="53"/>
      <c r="BJ725" s="53"/>
      <c r="BK725" s="53"/>
      <c r="BL725" s="53"/>
      <c r="BM725" s="53"/>
      <c r="BN725" s="53"/>
      <c r="BO725" s="53"/>
      <c r="BP725" s="53"/>
      <c r="BQ725" s="53"/>
      <c r="BR725" s="53"/>
      <c r="BS725" s="53"/>
      <c r="BT725" s="53"/>
      <c r="BU725" s="53"/>
      <c r="BV725" s="53"/>
      <c r="BW725" s="53"/>
      <c r="BX725" s="53"/>
      <c r="BY725" s="53"/>
      <c r="BZ725" s="53"/>
      <c r="CA725" s="53"/>
      <c r="CB725" s="53"/>
      <c r="CC725" s="53"/>
      <c r="CD725" s="53"/>
      <c r="CE725" s="53"/>
      <c r="CF725" s="53"/>
      <c r="CG725" s="53"/>
      <c r="CH725" s="53"/>
      <c r="CI725" s="53"/>
      <c r="CJ725" s="53"/>
      <c r="CK725" s="53"/>
    </row>
    <row r="726" spans="1:89" s="25" customFormat="1" ht="33" customHeight="1">
      <c r="A726" s="74"/>
      <c r="B726" s="74"/>
      <c r="C726" s="74"/>
      <c r="D726" s="74"/>
      <c r="E726" s="74"/>
      <c r="F726" s="74"/>
      <c r="G726" s="75"/>
      <c r="H726" s="76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53"/>
      <c r="AX726" s="53"/>
      <c r="AY726" s="53"/>
      <c r="AZ726" s="53"/>
      <c r="BA726" s="53"/>
      <c r="BB726" s="53"/>
      <c r="BC726" s="53"/>
      <c r="BD726" s="53"/>
      <c r="BE726" s="53"/>
      <c r="BF726" s="53"/>
      <c r="BG726" s="53"/>
      <c r="BH726" s="53"/>
      <c r="BI726" s="53"/>
      <c r="BJ726" s="53"/>
      <c r="BK726" s="53"/>
      <c r="BL726" s="53"/>
      <c r="BM726" s="53"/>
      <c r="BN726" s="53"/>
      <c r="BO726" s="53"/>
      <c r="BP726" s="53"/>
      <c r="BQ726" s="53"/>
      <c r="BR726" s="53"/>
      <c r="BS726" s="53"/>
      <c r="BT726" s="53"/>
      <c r="BU726" s="53"/>
      <c r="BV726" s="53"/>
      <c r="BW726" s="53"/>
      <c r="BX726" s="53"/>
      <c r="BY726" s="53"/>
      <c r="BZ726" s="53"/>
      <c r="CA726" s="53"/>
      <c r="CB726" s="53"/>
      <c r="CC726" s="53"/>
      <c r="CD726" s="53"/>
      <c r="CE726" s="53"/>
      <c r="CF726" s="53"/>
      <c r="CG726" s="53"/>
      <c r="CH726" s="53"/>
      <c r="CI726" s="53"/>
      <c r="CJ726" s="53"/>
      <c r="CK726" s="53"/>
    </row>
    <row r="727" spans="1:89" s="25" customFormat="1" ht="33" customHeight="1">
      <c r="A727" s="74"/>
      <c r="B727" s="74"/>
      <c r="C727" s="74"/>
      <c r="D727" s="74"/>
      <c r="E727" s="74"/>
      <c r="F727" s="74"/>
      <c r="G727" s="75"/>
      <c r="H727" s="76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53"/>
      <c r="AX727" s="53"/>
      <c r="AY727" s="53"/>
      <c r="AZ727" s="53"/>
      <c r="BA727" s="53"/>
      <c r="BB727" s="53"/>
      <c r="BC727" s="53"/>
      <c r="BD727" s="53"/>
      <c r="BE727" s="53"/>
      <c r="BF727" s="53"/>
      <c r="BG727" s="53"/>
      <c r="BH727" s="53"/>
      <c r="BI727" s="53"/>
      <c r="BJ727" s="53"/>
      <c r="BK727" s="53"/>
      <c r="BL727" s="53"/>
      <c r="BM727" s="53"/>
      <c r="BN727" s="53"/>
      <c r="BO727" s="53"/>
      <c r="BP727" s="53"/>
      <c r="BQ727" s="53"/>
      <c r="BR727" s="53"/>
      <c r="BS727" s="53"/>
      <c r="BT727" s="53"/>
      <c r="BU727" s="53"/>
      <c r="BV727" s="53"/>
      <c r="BW727" s="53"/>
      <c r="BX727" s="53"/>
      <c r="BY727" s="53"/>
      <c r="BZ727" s="53"/>
      <c r="CA727" s="53"/>
      <c r="CB727" s="53"/>
      <c r="CC727" s="53"/>
      <c r="CD727" s="53"/>
      <c r="CE727" s="53"/>
      <c r="CF727" s="53"/>
      <c r="CG727" s="53"/>
      <c r="CH727" s="53"/>
      <c r="CI727" s="53"/>
      <c r="CJ727" s="53"/>
      <c r="CK727" s="53"/>
    </row>
    <row r="728" spans="1:89" s="25" customFormat="1" ht="33" customHeight="1">
      <c r="A728" s="74"/>
      <c r="B728" s="74"/>
      <c r="C728" s="74"/>
      <c r="D728" s="74"/>
      <c r="E728" s="74"/>
      <c r="F728" s="74"/>
      <c r="G728" s="75"/>
      <c r="H728" s="76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53"/>
      <c r="AX728" s="53"/>
      <c r="AY728" s="53"/>
      <c r="AZ728" s="53"/>
      <c r="BA728" s="53"/>
      <c r="BB728" s="53"/>
      <c r="BC728" s="53"/>
      <c r="BD728" s="53"/>
      <c r="BE728" s="53"/>
      <c r="BF728" s="53"/>
      <c r="BG728" s="53"/>
      <c r="BH728" s="53"/>
      <c r="BI728" s="53"/>
      <c r="BJ728" s="53"/>
      <c r="BK728" s="53"/>
      <c r="BL728" s="53"/>
      <c r="BM728" s="53"/>
      <c r="BN728" s="53"/>
      <c r="BO728" s="53"/>
      <c r="BP728" s="53"/>
      <c r="BQ728" s="53"/>
      <c r="BR728" s="53"/>
      <c r="BS728" s="53"/>
      <c r="BT728" s="53"/>
      <c r="BU728" s="53"/>
      <c r="BV728" s="53"/>
      <c r="BW728" s="53"/>
      <c r="BX728" s="53"/>
      <c r="BY728" s="53"/>
      <c r="BZ728" s="53"/>
      <c r="CA728" s="53"/>
      <c r="CB728" s="53"/>
      <c r="CC728" s="53"/>
      <c r="CD728" s="53"/>
      <c r="CE728" s="53"/>
      <c r="CF728" s="53"/>
      <c r="CG728" s="53"/>
      <c r="CH728" s="53"/>
      <c r="CI728" s="53"/>
      <c r="CJ728" s="53"/>
      <c r="CK728" s="53"/>
    </row>
    <row r="729" spans="1:89" s="25" customFormat="1" ht="33" customHeight="1">
      <c r="A729" s="74"/>
      <c r="B729" s="74"/>
      <c r="C729" s="74"/>
      <c r="D729" s="74"/>
      <c r="E729" s="74"/>
      <c r="F729" s="74"/>
      <c r="G729" s="75"/>
      <c r="H729" s="76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53"/>
      <c r="AX729" s="53"/>
      <c r="AY729" s="53"/>
      <c r="AZ729" s="53"/>
      <c r="BA729" s="53"/>
      <c r="BB729" s="53"/>
      <c r="BC729" s="53"/>
      <c r="BD729" s="53"/>
      <c r="BE729" s="53"/>
      <c r="BF729" s="53"/>
      <c r="BG729" s="53"/>
      <c r="BH729" s="53"/>
      <c r="BI729" s="53"/>
      <c r="BJ729" s="53"/>
      <c r="BK729" s="53"/>
      <c r="BL729" s="53"/>
      <c r="BM729" s="53"/>
      <c r="BN729" s="53"/>
      <c r="BO729" s="53"/>
      <c r="BP729" s="53"/>
      <c r="BQ729" s="53"/>
      <c r="BR729" s="53"/>
      <c r="BS729" s="53"/>
      <c r="BT729" s="53"/>
      <c r="BU729" s="53"/>
      <c r="BV729" s="53"/>
      <c r="BW729" s="53"/>
      <c r="BX729" s="53"/>
      <c r="BY729" s="53"/>
      <c r="BZ729" s="53"/>
      <c r="CA729" s="53"/>
      <c r="CB729" s="53"/>
      <c r="CC729" s="53"/>
      <c r="CD729" s="53"/>
      <c r="CE729" s="53"/>
      <c r="CF729" s="53"/>
      <c r="CG729" s="53"/>
      <c r="CH729" s="53"/>
      <c r="CI729" s="53"/>
      <c r="CJ729" s="53"/>
      <c r="CK729" s="53"/>
    </row>
    <row r="730" spans="1:89" s="25" customFormat="1" ht="33" customHeight="1">
      <c r="A730" s="74"/>
      <c r="B730" s="74"/>
      <c r="C730" s="74"/>
      <c r="D730" s="74"/>
      <c r="E730" s="74"/>
      <c r="F730" s="74"/>
      <c r="G730" s="75"/>
      <c r="H730" s="76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53"/>
      <c r="AX730" s="53"/>
      <c r="AY730" s="53"/>
      <c r="AZ730" s="53"/>
      <c r="BA730" s="53"/>
      <c r="BB730" s="53"/>
      <c r="BC730" s="53"/>
      <c r="BD730" s="53"/>
      <c r="BE730" s="53"/>
      <c r="BF730" s="53"/>
      <c r="BG730" s="53"/>
      <c r="BH730" s="53"/>
      <c r="BI730" s="53"/>
      <c r="BJ730" s="53"/>
      <c r="BK730" s="53"/>
      <c r="BL730" s="53"/>
      <c r="BM730" s="53"/>
      <c r="BN730" s="53"/>
      <c r="BO730" s="53"/>
      <c r="BP730" s="53"/>
      <c r="BQ730" s="53"/>
      <c r="BR730" s="53"/>
      <c r="BS730" s="53"/>
      <c r="BT730" s="53"/>
      <c r="BU730" s="53"/>
      <c r="BV730" s="53"/>
      <c r="BW730" s="53"/>
      <c r="BX730" s="53"/>
      <c r="BY730" s="53"/>
      <c r="BZ730" s="53"/>
      <c r="CA730" s="53"/>
      <c r="CB730" s="53"/>
      <c r="CC730" s="53"/>
      <c r="CD730" s="53"/>
      <c r="CE730" s="53"/>
      <c r="CF730" s="53"/>
      <c r="CG730" s="53"/>
      <c r="CH730" s="53"/>
      <c r="CI730" s="53"/>
      <c r="CJ730" s="53"/>
      <c r="CK730" s="53"/>
    </row>
    <row r="731" spans="1:89" s="25" customFormat="1" ht="33" customHeight="1">
      <c r="A731" s="74"/>
      <c r="B731" s="74"/>
      <c r="C731" s="74"/>
      <c r="D731" s="74"/>
      <c r="E731" s="74"/>
      <c r="F731" s="74"/>
      <c r="G731" s="75"/>
      <c r="H731" s="76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53"/>
      <c r="AX731" s="53"/>
      <c r="AY731" s="53"/>
      <c r="AZ731" s="53"/>
      <c r="BA731" s="53"/>
      <c r="BB731" s="53"/>
      <c r="BC731" s="53"/>
      <c r="BD731" s="53"/>
      <c r="BE731" s="53"/>
      <c r="BF731" s="53"/>
      <c r="BG731" s="53"/>
      <c r="BH731" s="53"/>
      <c r="BI731" s="53"/>
      <c r="BJ731" s="53"/>
      <c r="BK731" s="53"/>
      <c r="BL731" s="53"/>
      <c r="BM731" s="53"/>
      <c r="BN731" s="53"/>
      <c r="BO731" s="53"/>
      <c r="BP731" s="53"/>
      <c r="BQ731" s="53"/>
      <c r="BR731" s="53"/>
      <c r="BS731" s="53"/>
      <c r="BT731" s="53"/>
      <c r="BU731" s="53"/>
      <c r="BV731" s="53"/>
      <c r="BW731" s="53"/>
      <c r="BX731" s="53"/>
      <c r="BY731" s="53"/>
      <c r="BZ731" s="53"/>
      <c r="CA731" s="53"/>
      <c r="CB731" s="53"/>
      <c r="CC731" s="53"/>
      <c r="CD731" s="53"/>
      <c r="CE731" s="53"/>
      <c r="CF731" s="53"/>
      <c r="CG731" s="53"/>
      <c r="CH731" s="53"/>
      <c r="CI731" s="53"/>
      <c r="CJ731" s="53"/>
      <c r="CK731" s="53"/>
    </row>
    <row r="732" spans="1:89" s="25" customFormat="1" ht="33" customHeight="1">
      <c r="A732" s="74"/>
      <c r="B732" s="74"/>
      <c r="C732" s="74"/>
      <c r="D732" s="74"/>
      <c r="E732" s="74"/>
      <c r="F732" s="74"/>
      <c r="G732" s="75"/>
      <c r="H732" s="76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53"/>
      <c r="AX732" s="53"/>
      <c r="AY732" s="53"/>
      <c r="AZ732" s="53"/>
      <c r="BA732" s="53"/>
      <c r="BB732" s="53"/>
      <c r="BC732" s="53"/>
      <c r="BD732" s="53"/>
      <c r="BE732" s="53"/>
      <c r="BF732" s="53"/>
      <c r="BG732" s="53"/>
      <c r="BH732" s="53"/>
      <c r="BI732" s="53"/>
      <c r="BJ732" s="53"/>
      <c r="BK732" s="53"/>
      <c r="BL732" s="53"/>
      <c r="BM732" s="53"/>
      <c r="BN732" s="53"/>
      <c r="BO732" s="53"/>
      <c r="BP732" s="53"/>
      <c r="BQ732" s="53"/>
      <c r="BR732" s="53"/>
      <c r="BS732" s="53"/>
      <c r="BT732" s="53"/>
      <c r="BU732" s="53"/>
      <c r="BV732" s="53"/>
      <c r="BW732" s="53"/>
      <c r="BX732" s="53"/>
      <c r="BY732" s="53"/>
      <c r="BZ732" s="53"/>
      <c r="CA732" s="53"/>
      <c r="CB732" s="53"/>
      <c r="CC732" s="53"/>
      <c r="CD732" s="53"/>
      <c r="CE732" s="53"/>
      <c r="CF732" s="53"/>
      <c r="CG732" s="53"/>
      <c r="CH732" s="53"/>
      <c r="CI732" s="53"/>
      <c r="CJ732" s="53"/>
      <c r="CK732" s="53"/>
    </row>
    <row r="733" spans="1:89" s="25" customFormat="1" ht="33" customHeight="1">
      <c r="A733" s="74"/>
      <c r="B733" s="74"/>
      <c r="C733" s="74"/>
      <c r="D733" s="74"/>
      <c r="E733" s="74"/>
      <c r="F733" s="74"/>
      <c r="G733" s="75"/>
      <c r="H733" s="76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  <c r="AZ733" s="53"/>
      <c r="BA733" s="53"/>
      <c r="BB733" s="53"/>
      <c r="BC733" s="53"/>
      <c r="BD733" s="53"/>
      <c r="BE733" s="53"/>
      <c r="BF733" s="53"/>
      <c r="BG733" s="53"/>
      <c r="BH733" s="53"/>
      <c r="BI733" s="53"/>
      <c r="BJ733" s="53"/>
      <c r="BK733" s="53"/>
      <c r="BL733" s="53"/>
      <c r="BM733" s="53"/>
      <c r="BN733" s="53"/>
      <c r="BO733" s="53"/>
      <c r="BP733" s="53"/>
      <c r="BQ733" s="53"/>
      <c r="BR733" s="53"/>
      <c r="BS733" s="53"/>
      <c r="BT733" s="53"/>
      <c r="BU733" s="53"/>
      <c r="BV733" s="53"/>
      <c r="BW733" s="53"/>
      <c r="BX733" s="53"/>
      <c r="BY733" s="53"/>
      <c r="BZ733" s="53"/>
      <c r="CA733" s="53"/>
      <c r="CB733" s="53"/>
      <c r="CC733" s="53"/>
      <c r="CD733" s="53"/>
      <c r="CE733" s="53"/>
      <c r="CF733" s="53"/>
      <c r="CG733" s="53"/>
      <c r="CH733" s="53"/>
      <c r="CI733" s="53"/>
      <c r="CJ733" s="53"/>
      <c r="CK733" s="53"/>
    </row>
    <row r="734" spans="1:89" s="25" customFormat="1" ht="33" customHeight="1">
      <c r="A734" s="74"/>
      <c r="B734" s="74"/>
      <c r="C734" s="74"/>
      <c r="D734" s="74"/>
      <c r="E734" s="74"/>
      <c r="F734" s="74"/>
      <c r="G734" s="75"/>
      <c r="H734" s="76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53"/>
      <c r="AX734" s="53"/>
      <c r="AY734" s="53"/>
      <c r="AZ734" s="53"/>
      <c r="BA734" s="53"/>
      <c r="BB734" s="53"/>
      <c r="BC734" s="53"/>
      <c r="BD734" s="53"/>
      <c r="BE734" s="53"/>
      <c r="BF734" s="53"/>
      <c r="BG734" s="53"/>
      <c r="BH734" s="53"/>
      <c r="BI734" s="53"/>
      <c r="BJ734" s="53"/>
      <c r="BK734" s="53"/>
      <c r="BL734" s="53"/>
      <c r="BM734" s="53"/>
      <c r="BN734" s="53"/>
      <c r="BO734" s="53"/>
      <c r="BP734" s="53"/>
      <c r="BQ734" s="53"/>
      <c r="BR734" s="53"/>
      <c r="BS734" s="53"/>
      <c r="BT734" s="53"/>
      <c r="BU734" s="53"/>
      <c r="BV734" s="53"/>
      <c r="BW734" s="53"/>
      <c r="BX734" s="53"/>
      <c r="BY734" s="53"/>
      <c r="BZ734" s="53"/>
      <c r="CA734" s="53"/>
      <c r="CB734" s="53"/>
      <c r="CC734" s="53"/>
      <c r="CD734" s="53"/>
      <c r="CE734" s="53"/>
      <c r="CF734" s="53"/>
      <c r="CG734" s="53"/>
      <c r="CH734" s="53"/>
      <c r="CI734" s="53"/>
      <c r="CJ734" s="53"/>
      <c r="CK734" s="53"/>
    </row>
    <row r="735" spans="1:89" s="25" customFormat="1" ht="33" customHeight="1">
      <c r="A735" s="74"/>
      <c r="B735" s="74"/>
      <c r="C735" s="74"/>
      <c r="D735" s="74"/>
      <c r="E735" s="74"/>
      <c r="F735" s="74"/>
      <c r="G735" s="75"/>
      <c r="H735" s="76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53"/>
      <c r="AX735" s="53"/>
      <c r="AY735" s="53"/>
      <c r="AZ735" s="53"/>
      <c r="BA735" s="53"/>
      <c r="BB735" s="53"/>
      <c r="BC735" s="53"/>
      <c r="BD735" s="53"/>
      <c r="BE735" s="53"/>
      <c r="BF735" s="53"/>
      <c r="BG735" s="53"/>
      <c r="BH735" s="53"/>
      <c r="BI735" s="53"/>
      <c r="BJ735" s="53"/>
      <c r="BK735" s="53"/>
      <c r="BL735" s="53"/>
      <c r="BM735" s="53"/>
      <c r="BN735" s="53"/>
      <c r="BO735" s="53"/>
      <c r="BP735" s="53"/>
      <c r="BQ735" s="53"/>
      <c r="BR735" s="53"/>
      <c r="BS735" s="53"/>
      <c r="BT735" s="53"/>
      <c r="BU735" s="53"/>
      <c r="BV735" s="53"/>
      <c r="BW735" s="53"/>
      <c r="BX735" s="53"/>
      <c r="BY735" s="53"/>
      <c r="BZ735" s="53"/>
      <c r="CA735" s="53"/>
      <c r="CB735" s="53"/>
      <c r="CC735" s="53"/>
      <c r="CD735" s="53"/>
      <c r="CE735" s="53"/>
      <c r="CF735" s="53"/>
      <c r="CG735" s="53"/>
      <c r="CH735" s="53"/>
      <c r="CI735" s="53"/>
      <c r="CJ735" s="53"/>
      <c r="CK735" s="53"/>
    </row>
    <row r="736" spans="1:89" s="25" customFormat="1" ht="33" customHeight="1">
      <c r="A736" s="74"/>
      <c r="B736" s="74"/>
      <c r="C736" s="74"/>
      <c r="D736" s="74"/>
      <c r="E736" s="74"/>
      <c r="F736" s="74"/>
      <c r="G736" s="75"/>
      <c r="H736" s="76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53"/>
      <c r="AX736" s="53"/>
      <c r="AY736" s="53"/>
      <c r="AZ736" s="53"/>
      <c r="BA736" s="53"/>
      <c r="BB736" s="53"/>
      <c r="BC736" s="53"/>
      <c r="BD736" s="53"/>
      <c r="BE736" s="53"/>
      <c r="BF736" s="53"/>
      <c r="BG736" s="53"/>
      <c r="BH736" s="53"/>
      <c r="BI736" s="53"/>
      <c r="BJ736" s="53"/>
      <c r="BK736" s="53"/>
      <c r="BL736" s="53"/>
      <c r="BM736" s="53"/>
      <c r="BN736" s="53"/>
      <c r="BO736" s="53"/>
      <c r="BP736" s="53"/>
      <c r="BQ736" s="53"/>
      <c r="BR736" s="53"/>
      <c r="BS736" s="53"/>
      <c r="BT736" s="53"/>
      <c r="BU736" s="53"/>
      <c r="BV736" s="53"/>
      <c r="BW736" s="53"/>
      <c r="BX736" s="53"/>
      <c r="BY736" s="53"/>
      <c r="BZ736" s="53"/>
      <c r="CA736" s="53"/>
      <c r="CB736" s="53"/>
      <c r="CC736" s="53"/>
      <c r="CD736" s="53"/>
      <c r="CE736" s="53"/>
      <c r="CF736" s="53"/>
      <c r="CG736" s="53"/>
      <c r="CH736" s="53"/>
      <c r="CI736" s="53"/>
      <c r="CJ736" s="53"/>
      <c r="CK736" s="53"/>
    </row>
    <row r="737" spans="1:89" s="25" customFormat="1" ht="33" customHeight="1">
      <c r="A737" s="74"/>
      <c r="B737" s="74"/>
      <c r="C737" s="74"/>
      <c r="D737" s="74"/>
      <c r="E737" s="74"/>
      <c r="F737" s="74"/>
      <c r="G737" s="75"/>
      <c r="H737" s="76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  <c r="AZ737" s="53"/>
      <c r="BA737" s="53"/>
      <c r="BB737" s="53"/>
      <c r="BC737" s="53"/>
      <c r="BD737" s="53"/>
      <c r="BE737" s="53"/>
      <c r="BF737" s="53"/>
      <c r="BG737" s="53"/>
      <c r="BH737" s="53"/>
      <c r="BI737" s="53"/>
      <c r="BJ737" s="53"/>
      <c r="BK737" s="53"/>
      <c r="BL737" s="53"/>
      <c r="BM737" s="53"/>
      <c r="BN737" s="53"/>
      <c r="BO737" s="53"/>
      <c r="BP737" s="53"/>
      <c r="BQ737" s="53"/>
      <c r="BR737" s="53"/>
      <c r="BS737" s="53"/>
      <c r="BT737" s="53"/>
      <c r="BU737" s="53"/>
      <c r="BV737" s="53"/>
      <c r="BW737" s="53"/>
      <c r="BX737" s="53"/>
      <c r="BY737" s="53"/>
      <c r="BZ737" s="53"/>
      <c r="CA737" s="53"/>
      <c r="CB737" s="53"/>
      <c r="CC737" s="53"/>
      <c r="CD737" s="53"/>
      <c r="CE737" s="53"/>
      <c r="CF737" s="53"/>
      <c r="CG737" s="53"/>
      <c r="CH737" s="53"/>
      <c r="CI737" s="53"/>
      <c r="CJ737" s="53"/>
      <c r="CK737" s="53"/>
    </row>
    <row r="738" spans="1:89" s="25" customFormat="1" ht="33" customHeight="1">
      <c r="A738" s="74"/>
      <c r="B738" s="74"/>
      <c r="C738" s="74"/>
      <c r="D738" s="74"/>
      <c r="E738" s="74"/>
      <c r="F738" s="74"/>
      <c r="G738" s="75"/>
      <c r="H738" s="76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53"/>
      <c r="AX738" s="53"/>
      <c r="AY738" s="53"/>
      <c r="AZ738" s="53"/>
      <c r="BA738" s="53"/>
      <c r="BB738" s="53"/>
      <c r="BC738" s="53"/>
      <c r="BD738" s="53"/>
      <c r="BE738" s="53"/>
      <c r="BF738" s="53"/>
      <c r="BG738" s="53"/>
      <c r="BH738" s="53"/>
      <c r="BI738" s="53"/>
      <c r="BJ738" s="53"/>
      <c r="BK738" s="53"/>
      <c r="BL738" s="53"/>
      <c r="BM738" s="53"/>
      <c r="BN738" s="53"/>
      <c r="BO738" s="53"/>
      <c r="BP738" s="53"/>
      <c r="BQ738" s="53"/>
      <c r="BR738" s="53"/>
      <c r="BS738" s="53"/>
      <c r="BT738" s="53"/>
      <c r="BU738" s="53"/>
      <c r="BV738" s="53"/>
      <c r="BW738" s="53"/>
      <c r="BX738" s="53"/>
      <c r="BY738" s="53"/>
      <c r="BZ738" s="53"/>
      <c r="CA738" s="53"/>
      <c r="CB738" s="53"/>
      <c r="CC738" s="53"/>
      <c r="CD738" s="53"/>
      <c r="CE738" s="53"/>
      <c r="CF738" s="53"/>
      <c r="CG738" s="53"/>
      <c r="CH738" s="53"/>
      <c r="CI738" s="53"/>
      <c r="CJ738" s="53"/>
      <c r="CK738" s="53"/>
    </row>
    <row r="739" spans="1:89" s="25" customFormat="1" ht="33" customHeight="1">
      <c r="A739" s="74"/>
      <c r="B739" s="74"/>
      <c r="C739" s="74"/>
      <c r="D739" s="74"/>
      <c r="E739" s="74"/>
      <c r="F739" s="74"/>
      <c r="G739" s="75"/>
      <c r="H739" s="76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53"/>
      <c r="AX739" s="53"/>
      <c r="AY739" s="53"/>
      <c r="AZ739" s="53"/>
      <c r="BA739" s="53"/>
      <c r="BB739" s="53"/>
      <c r="BC739" s="53"/>
      <c r="BD739" s="53"/>
      <c r="BE739" s="53"/>
      <c r="BF739" s="53"/>
      <c r="BG739" s="53"/>
      <c r="BH739" s="53"/>
      <c r="BI739" s="53"/>
      <c r="BJ739" s="53"/>
      <c r="BK739" s="53"/>
      <c r="BL739" s="53"/>
      <c r="BM739" s="53"/>
      <c r="BN739" s="53"/>
      <c r="BO739" s="53"/>
      <c r="BP739" s="53"/>
      <c r="BQ739" s="53"/>
      <c r="BR739" s="53"/>
      <c r="BS739" s="53"/>
      <c r="BT739" s="53"/>
      <c r="BU739" s="53"/>
      <c r="BV739" s="53"/>
      <c r="BW739" s="53"/>
      <c r="BX739" s="53"/>
      <c r="BY739" s="53"/>
      <c r="BZ739" s="53"/>
      <c r="CA739" s="53"/>
      <c r="CB739" s="53"/>
      <c r="CC739" s="53"/>
      <c r="CD739" s="53"/>
      <c r="CE739" s="53"/>
      <c r="CF739" s="53"/>
      <c r="CG739" s="53"/>
      <c r="CH739" s="53"/>
      <c r="CI739" s="53"/>
      <c r="CJ739" s="53"/>
      <c r="CK739" s="53"/>
    </row>
    <row r="740" spans="1:89" s="25" customFormat="1" ht="33" customHeight="1">
      <c r="A740" s="74"/>
      <c r="B740" s="74"/>
      <c r="C740" s="74"/>
      <c r="D740" s="74"/>
      <c r="E740" s="74"/>
      <c r="F740" s="74"/>
      <c r="G740" s="75"/>
      <c r="H740" s="76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  <c r="AZ740" s="53"/>
      <c r="BA740" s="53"/>
      <c r="BB740" s="53"/>
      <c r="BC740" s="53"/>
      <c r="BD740" s="53"/>
      <c r="BE740" s="53"/>
      <c r="BF740" s="53"/>
      <c r="BG740" s="53"/>
      <c r="BH740" s="53"/>
      <c r="BI740" s="53"/>
      <c r="BJ740" s="53"/>
      <c r="BK740" s="53"/>
      <c r="BL740" s="53"/>
      <c r="BM740" s="53"/>
      <c r="BN740" s="53"/>
      <c r="BO740" s="53"/>
      <c r="BP740" s="53"/>
      <c r="BQ740" s="53"/>
      <c r="BR740" s="53"/>
      <c r="BS740" s="53"/>
      <c r="BT740" s="53"/>
      <c r="BU740" s="53"/>
      <c r="BV740" s="53"/>
      <c r="BW740" s="53"/>
      <c r="BX740" s="53"/>
      <c r="BY740" s="53"/>
      <c r="BZ740" s="53"/>
      <c r="CA740" s="53"/>
      <c r="CB740" s="53"/>
      <c r="CC740" s="53"/>
      <c r="CD740" s="53"/>
      <c r="CE740" s="53"/>
      <c r="CF740" s="53"/>
      <c r="CG740" s="53"/>
      <c r="CH740" s="53"/>
      <c r="CI740" s="53"/>
      <c r="CJ740" s="53"/>
      <c r="CK740" s="53"/>
    </row>
    <row r="741" spans="1:89" s="25" customFormat="1" ht="33" customHeight="1">
      <c r="A741" s="74"/>
      <c r="B741" s="74"/>
      <c r="C741" s="74"/>
      <c r="D741" s="74"/>
      <c r="E741" s="74"/>
      <c r="F741" s="74"/>
      <c r="G741" s="75"/>
      <c r="H741" s="76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  <c r="AZ741" s="53"/>
      <c r="BA741" s="53"/>
      <c r="BB741" s="53"/>
      <c r="BC741" s="53"/>
      <c r="BD741" s="53"/>
      <c r="BE741" s="53"/>
      <c r="BF741" s="53"/>
      <c r="BG741" s="53"/>
      <c r="BH741" s="53"/>
      <c r="BI741" s="53"/>
      <c r="BJ741" s="53"/>
      <c r="BK741" s="53"/>
      <c r="BL741" s="53"/>
      <c r="BM741" s="53"/>
      <c r="BN741" s="53"/>
      <c r="BO741" s="53"/>
      <c r="BP741" s="53"/>
      <c r="BQ741" s="53"/>
      <c r="BR741" s="53"/>
      <c r="BS741" s="53"/>
      <c r="BT741" s="53"/>
      <c r="BU741" s="53"/>
      <c r="BV741" s="53"/>
      <c r="BW741" s="53"/>
      <c r="BX741" s="53"/>
      <c r="BY741" s="53"/>
      <c r="BZ741" s="53"/>
      <c r="CA741" s="53"/>
      <c r="CB741" s="53"/>
      <c r="CC741" s="53"/>
      <c r="CD741" s="53"/>
      <c r="CE741" s="53"/>
      <c r="CF741" s="53"/>
      <c r="CG741" s="53"/>
      <c r="CH741" s="53"/>
      <c r="CI741" s="53"/>
      <c r="CJ741" s="53"/>
      <c r="CK741" s="53"/>
    </row>
    <row r="742" spans="1:89" s="25" customFormat="1" ht="33" customHeight="1">
      <c r="A742" s="74"/>
      <c r="B742" s="74"/>
      <c r="C742" s="74"/>
      <c r="D742" s="74"/>
      <c r="E742" s="74"/>
      <c r="F742" s="74"/>
      <c r="G742" s="75"/>
      <c r="H742" s="76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53"/>
      <c r="AX742" s="53"/>
      <c r="AY742" s="53"/>
      <c r="AZ742" s="53"/>
      <c r="BA742" s="53"/>
      <c r="BB742" s="53"/>
      <c r="BC742" s="53"/>
      <c r="BD742" s="53"/>
      <c r="BE742" s="53"/>
      <c r="BF742" s="53"/>
      <c r="BG742" s="53"/>
      <c r="BH742" s="53"/>
      <c r="BI742" s="53"/>
      <c r="BJ742" s="53"/>
      <c r="BK742" s="53"/>
      <c r="BL742" s="53"/>
      <c r="BM742" s="53"/>
      <c r="BN742" s="53"/>
      <c r="BO742" s="53"/>
      <c r="BP742" s="53"/>
      <c r="BQ742" s="53"/>
      <c r="BR742" s="53"/>
      <c r="BS742" s="53"/>
      <c r="BT742" s="53"/>
      <c r="BU742" s="53"/>
      <c r="BV742" s="53"/>
      <c r="BW742" s="53"/>
      <c r="BX742" s="53"/>
      <c r="BY742" s="53"/>
      <c r="BZ742" s="53"/>
      <c r="CA742" s="53"/>
      <c r="CB742" s="53"/>
      <c r="CC742" s="53"/>
      <c r="CD742" s="53"/>
      <c r="CE742" s="53"/>
      <c r="CF742" s="53"/>
      <c r="CG742" s="53"/>
      <c r="CH742" s="53"/>
      <c r="CI742" s="53"/>
      <c r="CJ742" s="53"/>
      <c r="CK742" s="53"/>
    </row>
    <row r="743" spans="1:89" s="25" customFormat="1" ht="33" customHeight="1">
      <c r="A743" s="74"/>
      <c r="B743" s="74"/>
      <c r="C743" s="74"/>
      <c r="D743" s="74"/>
      <c r="E743" s="74"/>
      <c r="F743" s="74"/>
      <c r="G743" s="75"/>
      <c r="H743" s="76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3"/>
      <c r="BA743" s="53"/>
      <c r="BB743" s="53"/>
      <c r="BC743" s="53"/>
      <c r="BD743" s="53"/>
      <c r="BE743" s="53"/>
      <c r="BF743" s="53"/>
      <c r="BG743" s="53"/>
      <c r="BH743" s="53"/>
      <c r="BI743" s="53"/>
      <c r="BJ743" s="53"/>
      <c r="BK743" s="53"/>
      <c r="BL743" s="53"/>
      <c r="BM743" s="53"/>
      <c r="BN743" s="53"/>
      <c r="BO743" s="53"/>
      <c r="BP743" s="53"/>
      <c r="BQ743" s="53"/>
      <c r="BR743" s="53"/>
      <c r="BS743" s="53"/>
      <c r="BT743" s="53"/>
      <c r="BU743" s="53"/>
      <c r="BV743" s="53"/>
      <c r="BW743" s="53"/>
      <c r="BX743" s="53"/>
      <c r="BY743" s="53"/>
      <c r="BZ743" s="53"/>
      <c r="CA743" s="53"/>
      <c r="CB743" s="53"/>
      <c r="CC743" s="53"/>
      <c r="CD743" s="53"/>
      <c r="CE743" s="53"/>
      <c r="CF743" s="53"/>
      <c r="CG743" s="53"/>
      <c r="CH743" s="53"/>
      <c r="CI743" s="53"/>
      <c r="CJ743" s="53"/>
      <c r="CK743" s="53"/>
    </row>
    <row r="744" spans="1:89" s="25" customFormat="1" ht="33" customHeight="1">
      <c r="A744" s="74"/>
      <c r="B744" s="74"/>
      <c r="C744" s="74"/>
      <c r="D744" s="74"/>
      <c r="E744" s="74"/>
      <c r="F744" s="74"/>
      <c r="G744" s="75"/>
      <c r="H744" s="76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  <c r="AZ744" s="53"/>
      <c r="BA744" s="53"/>
      <c r="BB744" s="53"/>
      <c r="BC744" s="53"/>
      <c r="BD744" s="53"/>
      <c r="BE744" s="53"/>
      <c r="BF744" s="53"/>
      <c r="BG744" s="53"/>
      <c r="BH744" s="53"/>
      <c r="BI744" s="53"/>
      <c r="BJ744" s="53"/>
      <c r="BK744" s="53"/>
      <c r="BL744" s="53"/>
      <c r="BM744" s="53"/>
      <c r="BN744" s="53"/>
      <c r="BO744" s="53"/>
      <c r="BP744" s="53"/>
      <c r="BQ744" s="53"/>
      <c r="BR744" s="53"/>
      <c r="BS744" s="53"/>
      <c r="BT744" s="53"/>
      <c r="BU744" s="53"/>
      <c r="BV744" s="53"/>
      <c r="BW744" s="53"/>
      <c r="BX744" s="53"/>
      <c r="BY744" s="53"/>
      <c r="BZ744" s="53"/>
      <c r="CA744" s="53"/>
      <c r="CB744" s="53"/>
      <c r="CC744" s="53"/>
      <c r="CD744" s="53"/>
      <c r="CE744" s="53"/>
      <c r="CF744" s="53"/>
      <c r="CG744" s="53"/>
      <c r="CH744" s="53"/>
      <c r="CI744" s="53"/>
      <c r="CJ744" s="53"/>
      <c r="CK744" s="53"/>
    </row>
    <row r="745" spans="1:89" s="25" customFormat="1" ht="33" customHeight="1">
      <c r="A745" s="74"/>
      <c r="B745" s="74"/>
      <c r="C745" s="74"/>
      <c r="D745" s="74"/>
      <c r="E745" s="74"/>
      <c r="F745" s="74"/>
      <c r="G745" s="75"/>
      <c r="H745" s="76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  <c r="AZ745" s="53"/>
      <c r="BA745" s="53"/>
      <c r="BB745" s="53"/>
      <c r="BC745" s="53"/>
      <c r="BD745" s="53"/>
      <c r="BE745" s="53"/>
      <c r="BF745" s="53"/>
      <c r="BG745" s="53"/>
      <c r="BH745" s="53"/>
      <c r="BI745" s="53"/>
      <c r="BJ745" s="53"/>
      <c r="BK745" s="53"/>
      <c r="BL745" s="53"/>
      <c r="BM745" s="53"/>
      <c r="BN745" s="53"/>
      <c r="BO745" s="53"/>
      <c r="BP745" s="53"/>
      <c r="BQ745" s="53"/>
      <c r="BR745" s="53"/>
      <c r="BS745" s="53"/>
      <c r="BT745" s="53"/>
      <c r="BU745" s="53"/>
      <c r="BV745" s="53"/>
      <c r="BW745" s="53"/>
      <c r="BX745" s="53"/>
      <c r="BY745" s="53"/>
      <c r="BZ745" s="53"/>
      <c r="CA745" s="53"/>
      <c r="CB745" s="53"/>
      <c r="CC745" s="53"/>
      <c r="CD745" s="53"/>
      <c r="CE745" s="53"/>
      <c r="CF745" s="53"/>
      <c r="CG745" s="53"/>
      <c r="CH745" s="53"/>
      <c r="CI745" s="53"/>
      <c r="CJ745" s="53"/>
      <c r="CK745" s="53"/>
    </row>
    <row r="746" spans="1:89" s="25" customFormat="1" ht="33" customHeight="1">
      <c r="A746" s="74"/>
      <c r="B746" s="74"/>
      <c r="C746" s="74"/>
      <c r="D746" s="74"/>
      <c r="E746" s="74"/>
      <c r="F746" s="74"/>
      <c r="G746" s="75"/>
      <c r="H746" s="76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53"/>
      <c r="AX746" s="53"/>
      <c r="AY746" s="53"/>
      <c r="AZ746" s="53"/>
      <c r="BA746" s="53"/>
      <c r="BB746" s="53"/>
      <c r="BC746" s="53"/>
      <c r="BD746" s="53"/>
      <c r="BE746" s="53"/>
      <c r="BF746" s="53"/>
      <c r="BG746" s="53"/>
      <c r="BH746" s="53"/>
      <c r="BI746" s="53"/>
      <c r="BJ746" s="53"/>
      <c r="BK746" s="53"/>
      <c r="BL746" s="53"/>
      <c r="BM746" s="53"/>
      <c r="BN746" s="53"/>
      <c r="BO746" s="53"/>
      <c r="BP746" s="53"/>
      <c r="BQ746" s="53"/>
      <c r="BR746" s="53"/>
      <c r="BS746" s="53"/>
      <c r="BT746" s="53"/>
      <c r="BU746" s="53"/>
      <c r="BV746" s="53"/>
      <c r="BW746" s="53"/>
      <c r="BX746" s="53"/>
      <c r="BY746" s="53"/>
      <c r="BZ746" s="53"/>
      <c r="CA746" s="53"/>
      <c r="CB746" s="53"/>
      <c r="CC746" s="53"/>
      <c r="CD746" s="53"/>
      <c r="CE746" s="53"/>
      <c r="CF746" s="53"/>
      <c r="CG746" s="53"/>
      <c r="CH746" s="53"/>
      <c r="CI746" s="53"/>
      <c r="CJ746" s="53"/>
      <c r="CK746" s="53"/>
    </row>
    <row r="747" spans="1:89" s="25" customFormat="1" ht="33" customHeight="1">
      <c r="A747" s="74"/>
      <c r="B747" s="74"/>
      <c r="C747" s="74"/>
      <c r="D747" s="74"/>
      <c r="E747" s="74"/>
      <c r="F747" s="74"/>
      <c r="G747" s="75"/>
      <c r="H747" s="76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53"/>
      <c r="AX747" s="53"/>
      <c r="AY747" s="53"/>
      <c r="AZ747" s="53"/>
      <c r="BA747" s="53"/>
      <c r="BB747" s="53"/>
      <c r="BC747" s="53"/>
      <c r="BD747" s="53"/>
      <c r="BE747" s="53"/>
      <c r="BF747" s="53"/>
      <c r="BG747" s="53"/>
      <c r="BH747" s="53"/>
      <c r="BI747" s="53"/>
      <c r="BJ747" s="53"/>
      <c r="BK747" s="53"/>
      <c r="BL747" s="53"/>
      <c r="BM747" s="53"/>
      <c r="BN747" s="53"/>
      <c r="BO747" s="53"/>
      <c r="BP747" s="53"/>
      <c r="BQ747" s="53"/>
      <c r="BR747" s="53"/>
      <c r="BS747" s="53"/>
      <c r="BT747" s="53"/>
      <c r="BU747" s="53"/>
      <c r="BV747" s="53"/>
      <c r="BW747" s="53"/>
      <c r="BX747" s="53"/>
      <c r="BY747" s="53"/>
      <c r="BZ747" s="53"/>
      <c r="CA747" s="53"/>
      <c r="CB747" s="53"/>
      <c r="CC747" s="53"/>
      <c r="CD747" s="53"/>
      <c r="CE747" s="53"/>
      <c r="CF747" s="53"/>
      <c r="CG747" s="53"/>
      <c r="CH747" s="53"/>
      <c r="CI747" s="53"/>
      <c r="CJ747" s="53"/>
      <c r="CK747" s="53"/>
    </row>
    <row r="748" spans="1:89" s="25" customFormat="1" ht="33" customHeight="1">
      <c r="A748" s="74"/>
      <c r="B748" s="74"/>
      <c r="C748" s="74"/>
      <c r="D748" s="74"/>
      <c r="E748" s="74"/>
      <c r="F748" s="74"/>
      <c r="G748" s="75"/>
      <c r="H748" s="76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53"/>
      <c r="AX748" s="53"/>
      <c r="AY748" s="53"/>
      <c r="AZ748" s="53"/>
      <c r="BA748" s="53"/>
      <c r="BB748" s="53"/>
      <c r="BC748" s="53"/>
      <c r="BD748" s="53"/>
      <c r="BE748" s="53"/>
      <c r="BF748" s="53"/>
      <c r="BG748" s="53"/>
      <c r="BH748" s="53"/>
      <c r="BI748" s="53"/>
      <c r="BJ748" s="53"/>
      <c r="BK748" s="53"/>
      <c r="BL748" s="53"/>
      <c r="BM748" s="53"/>
      <c r="BN748" s="53"/>
      <c r="BO748" s="53"/>
      <c r="BP748" s="53"/>
      <c r="BQ748" s="53"/>
      <c r="BR748" s="53"/>
      <c r="BS748" s="53"/>
      <c r="BT748" s="53"/>
      <c r="BU748" s="53"/>
      <c r="BV748" s="53"/>
      <c r="BW748" s="53"/>
      <c r="BX748" s="53"/>
      <c r="BY748" s="53"/>
      <c r="BZ748" s="53"/>
      <c r="CA748" s="53"/>
      <c r="CB748" s="53"/>
      <c r="CC748" s="53"/>
      <c r="CD748" s="53"/>
      <c r="CE748" s="53"/>
      <c r="CF748" s="53"/>
      <c r="CG748" s="53"/>
      <c r="CH748" s="53"/>
      <c r="CI748" s="53"/>
      <c r="CJ748" s="53"/>
      <c r="CK748" s="53"/>
    </row>
    <row r="749" spans="1:89" s="25" customFormat="1" ht="33" customHeight="1">
      <c r="A749" s="74"/>
      <c r="B749" s="74"/>
      <c r="C749" s="74"/>
      <c r="D749" s="74"/>
      <c r="E749" s="74"/>
      <c r="F749" s="74"/>
      <c r="G749" s="75"/>
      <c r="H749" s="76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53"/>
      <c r="AX749" s="53"/>
      <c r="AY749" s="53"/>
      <c r="AZ749" s="53"/>
      <c r="BA749" s="53"/>
      <c r="BB749" s="53"/>
      <c r="BC749" s="53"/>
      <c r="BD749" s="53"/>
      <c r="BE749" s="53"/>
      <c r="BF749" s="53"/>
      <c r="BG749" s="53"/>
      <c r="BH749" s="53"/>
      <c r="BI749" s="53"/>
      <c r="BJ749" s="53"/>
      <c r="BK749" s="53"/>
      <c r="BL749" s="53"/>
      <c r="BM749" s="53"/>
      <c r="BN749" s="53"/>
      <c r="BO749" s="53"/>
      <c r="BP749" s="53"/>
      <c r="BQ749" s="53"/>
      <c r="BR749" s="53"/>
      <c r="BS749" s="53"/>
      <c r="BT749" s="53"/>
      <c r="BU749" s="53"/>
      <c r="BV749" s="53"/>
      <c r="BW749" s="53"/>
      <c r="BX749" s="53"/>
      <c r="BY749" s="53"/>
      <c r="BZ749" s="53"/>
      <c r="CA749" s="53"/>
      <c r="CB749" s="53"/>
      <c r="CC749" s="53"/>
      <c r="CD749" s="53"/>
      <c r="CE749" s="53"/>
      <c r="CF749" s="53"/>
      <c r="CG749" s="53"/>
      <c r="CH749" s="53"/>
      <c r="CI749" s="53"/>
      <c r="CJ749" s="53"/>
      <c r="CK749" s="53"/>
    </row>
    <row r="750" spans="1:89" s="25" customFormat="1" ht="33" customHeight="1">
      <c r="A750" s="74"/>
      <c r="B750" s="74"/>
      <c r="C750" s="74"/>
      <c r="D750" s="74"/>
      <c r="E750" s="74"/>
      <c r="F750" s="74"/>
      <c r="G750" s="75"/>
      <c r="H750" s="76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  <c r="AZ750" s="53"/>
      <c r="BA750" s="53"/>
      <c r="BB750" s="53"/>
      <c r="BC750" s="53"/>
      <c r="BD750" s="53"/>
      <c r="BE750" s="53"/>
      <c r="BF750" s="53"/>
      <c r="BG750" s="53"/>
      <c r="BH750" s="53"/>
      <c r="BI750" s="53"/>
      <c r="BJ750" s="53"/>
      <c r="BK750" s="53"/>
      <c r="BL750" s="53"/>
      <c r="BM750" s="53"/>
      <c r="BN750" s="53"/>
      <c r="BO750" s="53"/>
      <c r="BP750" s="53"/>
      <c r="BQ750" s="53"/>
      <c r="BR750" s="53"/>
      <c r="BS750" s="53"/>
      <c r="BT750" s="53"/>
      <c r="BU750" s="53"/>
      <c r="BV750" s="53"/>
      <c r="BW750" s="53"/>
      <c r="BX750" s="53"/>
      <c r="BY750" s="53"/>
      <c r="BZ750" s="53"/>
      <c r="CA750" s="53"/>
      <c r="CB750" s="53"/>
      <c r="CC750" s="53"/>
      <c r="CD750" s="53"/>
      <c r="CE750" s="53"/>
      <c r="CF750" s="53"/>
      <c r="CG750" s="53"/>
      <c r="CH750" s="53"/>
      <c r="CI750" s="53"/>
      <c r="CJ750" s="53"/>
      <c r="CK750" s="53"/>
    </row>
    <row r="751" spans="1:89" s="25" customFormat="1" ht="33" customHeight="1">
      <c r="A751" s="74"/>
      <c r="B751" s="74"/>
      <c r="C751" s="74"/>
      <c r="D751" s="74"/>
      <c r="E751" s="74"/>
      <c r="F751" s="74"/>
      <c r="G751" s="75"/>
      <c r="H751" s="76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53"/>
      <c r="AX751" s="53"/>
      <c r="AY751" s="53"/>
      <c r="AZ751" s="53"/>
      <c r="BA751" s="53"/>
      <c r="BB751" s="53"/>
      <c r="BC751" s="53"/>
      <c r="BD751" s="53"/>
      <c r="BE751" s="53"/>
      <c r="BF751" s="53"/>
      <c r="BG751" s="53"/>
      <c r="BH751" s="53"/>
      <c r="BI751" s="53"/>
      <c r="BJ751" s="53"/>
      <c r="BK751" s="53"/>
      <c r="BL751" s="53"/>
      <c r="BM751" s="53"/>
      <c r="BN751" s="53"/>
      <c r="BO751" s="53"/>
      <c r="BP751" s="53"/>
      <c r="BQ751" s="53"/>
      <c r="BR751" s="53"/>
      <c r="BS751" s="53"/>
      <c r="BT751" s="53"/>
      <c r="BU751" s="53"/>
      <c r="BV751" s="53"/>
      <c r="BW751" s="53"/>
      <c r="BX751" s="53"/>
      <c r="BY751" s="53"/>
      <c r="BZ751" s="53"/>
      <c r="CA751" s="53"/>
      <c r="CB751" s="53"/>
      <c r="CC751" s="53"/>
      <c r="CD751" s="53"/>
      <c r="CE751" s="53"/>
      <c r="CF751" s="53"/>
      <c r="CG751" s="53"/>
      <c r="CH751" s="53"/>
      <c r="CI751" s="53"/>
      <c r="CJ751" s="53"/>
      <c r="CK751" s="53"/>
    </row>
    <row r="752" spans="1:89" s="25" customFormat="1" ht="33" customHeight="1">
      <c r="A752" s="74"/>
      <c r="B752" s="74"/>
      <c r="C752" s="74"/>
      <c r="D752" s="74"/>
      <c r="E752" s="74"/>
      <c r="F752" s="74"/>
      <c r="G752" s="75"/>
      <c r="H752" s="76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  <c r="AZ752" s="53"/>
      <c r="BA752" s="53"/>
      <c r="BB752" s="53"/>
      <c r="BC752" s="53"/>
      <c r="BD752" s="53"/>
      <c r="BE752" s="53"/>
      <c r="BF752" s="53"/>
      <c r="BG752" s="53"/>
      <c r="BH752" s="53"/>
      <c r="BI752" s="53"/>
      <c r="BJ752" s="53"/>
      <c r="BK752" s="53"/>
      <c r="BL752" s="53"/>
      <c r="BM752" s="53"/>
      <c r="BN752" s="53"/>
      <c r="BO752" s="53"/>
      <c r="BP752" s="53"/>
      <c r="BQ752" s="53"/>
      <c r="BR752" s="53"/>
      <c r="BS752" s="53"/>
      <c r="BT752" s="53"/>
      <c r="BU752" s="53"/>
      <c r="BV752" s="53"/>
      <c r="BW752" s="53"/>
      <c r="BX752" s="53"/>
      <c r="BY752" s="53"/>
      <c r="BZ752" s="53"/>
      <c r="CA752" s="53"/>
      <c r="CB752" s="53"/>
      <c r="CC752" s="53"/>
      <c r="CD752" s="53"/>
      <c r="CE752" s="53"/>
      <c r="CF752" s="53"/>
      <c r="CG752" s="53"/>
      <c r="CH752" s="53"/>
      <c r="CI752" s="53"/>
      <c r="CJ752" s="53"/>
      <c r="CK752" s="53"/>
    </row>
    <row r="753" spans="1:89" s="25" customFormat="1" ht="33" customHeight="1">
      <c r="A753" s="74"/>
      <c r="B753" s="74"/>
      <c r="C753" s="74"/>
      <c r="D753" s="74"/>
      <c r="E753" s="74"/>
      <c r="F753" s="74"/>
      <c r="G753" s="75"/>
      <c r="H753" s="76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53"/>
      <c r="AX753" s="53"/>
      <c r="AY753" s="53"/>
      <c r="AZ753" s="53"/>
      <c r="BA753" s="53"/>
      <c r="BB753" s="53"/>
      <c r="BC753" s="53"/>
      <c r="BD753" s="53"/>
      <c r="BE753" s="53"/>
      <c r="BF753" s="53"/>
      <c r="BG753" s="53"/>
      <c r="BH753" s="53"/>
      <c r="BI753" s="53"/>
      <c r="BJ753" s="53"/>
      <c r="BK753" s="53"/>
      <c r="BL753" s="53"/>
      <c r="BM753" s="53"/>
      <c r="BN753" s="53"/>
      <c r="BO753" s="53"/>
      <c r="BP753" s="53"/>
      <c r="BQ753" s="53"/>
      <c r="BR753" s="53"/>
      <c r="BS753" s="53"/>
      <c r="BT753" s="53"/>
      <c r="BU753" s="53"/>
      <c r="BV753" s="53"/>
      <c r="BW753" s="53"/>
      <c r="BX753" s="53"/>
      <c r="BY753" s="53"/>
      <c r="BZ753" s="53"/>
      <c r="CA753" s="53"/>
      <c r="CB753" s="53"/>
      <c r="CC753" s="53"/>
      <c r="CD753" s="53"/>
      <c r="CE753" s="53"/>
      <c r="CF753" s="53"/>
      <c r="CG753" s="53"/>
      <c r="CH753" s="53"/>
      <c r="CI753" s="53"/>
      <c r="CJ753" s="53"/>
      <c r="CK753" s="53"/>
    </row>
    <row r="754" spans="1:89" s="25" customFormat="1" ht="33" customHeight="1">
      <c r="A754" s="74"/>
      <c r="B754" s="74"/>
      <c r="C754" s="74"/>
      <c r="D754" s="74"/>
      <c r="E754" s="74"/>
      <c r="F754" s="74"/>
      <c r="G754" s="75"/>
      <c r="H754" s="76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  <c r="BA754" s="53"/>
      <c r="BB754" s="53"/>
      <c r="BC754" s="53"/>
      <c r="BD754" s="53"/>
      <c r="BE754" s="53"/>
      <c r="BF754" s="53"/>
      <c r="BG754" s="53"/>
      <c r="BH754" s="53"/>
      <c r="BI754" s="53"/>
      <c r="BJ754" s="53"/>
      <c r="BK754" s="53"/>
      <c r="BL754" s="53"/>
      <c r="BM754" s="53"/>
      <c r="BN754" s="53"/>
      <c r="BO754" s="53"/>
      <c r="BP754" s="53"/>
      <c r="BQ754" s="53"/>
      <c r="BR754" s="53"/>
      <c r="BS754" s="53"/>
      <c r="BT754" s="53"/>
      <c r="BU754" s="53"/>
      <c r="BV754" s="53"/>
      <c r="BW754" s="53"/>
      <c r="BX754" s="53"/>
      <c r="BY754" s="53"/>
      <c r="BZ754" s="53"/>
      <c r="CA754" s="53"/>
      <c r="CB754" s="53"/>
      <c r="CC754" s="53"/>
      <c r="CD754" s="53"/>
      <c r="CE754" s="53"/>
      <c r="CF754" s="53"/>
      <c r="CG754" s="53"/>
      <c r="CH754" s="53"/>
      <c r="CI754" s="53"/>
      <c r="CJ754" s="53"/>
      <c r="CK754" s="53"/>
    </row>
    <row r="755" spans="1:89" s="25" customFormat="1" ht="33" customHeight="1">
      <c r="A755" s="74"/>
      <c r="B755" s="74"/>
      <c r="C755" s="74"/>
      <c r="D755" s="74"/>
      <c r="E755" s="74"/>
      <c r="F755" s="74"/>
      <c r="G755" s="75"/>
      <c r="H755" s="76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  <c r="AZ755" s="53"/>
      <c r="BA755" s="53"/>
      <c r="BB755" s="53"/>
      <c r="BC755" s="53"/>
      <c r="BD755" s="53"/>
      <c r="BE755" s="53"/>
      <c r="BF755" s="53"/>
      <c r="BG755" s="53"/>
      <c r="BH755" s="53"/>
      <c r="BI755" s="53"/>
      <c r="BJ755" s="53"/>
      <c r="BK755" s="53"/>
      <c r="BL755" s="53"/>
      <c r="BM755" s="53"/>
      <c r="BN755" s="53"/>
      <c r="BO755" s="53"/>
      <c r="BP755" s="53"/>
      <c r="BQ755" s="53"/>
      <c r="BR755" s="53"/>
      <c r="BS755" s="53"/>
      <c r="BT755" s="53"/>
      <c r="BU755" s="53"/>
      <c r="BV755" s="53"/>
      <c r="BW755" s="53"/>
      <c r="BX755" s="53"/>
      <c r="BY755" s="53"/>
      <c r="BZ755" s="53"/>
      <c r="CA755" s="53"/>
      <c r="CB755" s="53"/>
      <c r="CC755" s="53"/>
      <c r="CD755" s="53"/>
      <c r="CE755" s="53"/>
      <c r="CF755" s="53"/>
      <c r="CG755" s="53"/>
      <c r="CH755" s="53"/>
      <c r="CI755" s="53"/>
      <c r="CJ755" s="53"/>
      <c r="CK755" s="53"/>
    </row>
    <row r="756" spans="1:89" s="25" customFormat="1" ht="33" customHeight="1">
      <c r="A756" s="74"/>
      <c r="B756" s="74"/>
      <c r="C756" s="74"/>
      <c r="D756" s="74"/>
      <c r="E756" s="74"/>
      <c r="F756" s="74"/>
      <c r="G756" s="75"/>
      <c r="H756" s="76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53"/>
      <c r="AX756" s="53"/>
      <c r="AY756" s="53"/>
      <c r="AZ756" s="53"/>
      <c r="BA756" s="53"/>
      <c r="BB756" s="53"/>
      <c r="BC756" s="53"/>
      <c r="BD756" s="53"/>
      <c r="BE756" s="53"/>
      <c r="BF756" s="53"/>
      <c r="BG756" s="53"/>
      <c r="BH756" s="53"/>
      <c r="BI756" s="53"/>
      <c r="BJ756" s="53"/>
      <c r="BK756" s="53"/>
      <c r="BL756" s="53"/>
      <c r="BM756" s="53"/>
      <c r="BN756" s="53"/>
      <c r="BO756" s="53"/>
      <c r="BP756" s="53"/>
      <c r="BQ756" s="53"/>
      <c r="BR756" s="53"/>
      <c r="BS756" s="53"/>
      <c r="BT756" s="53"/>
      <c r="BU756" s="53"/>
      <c r="BV756" s="53"/>
      <c r="BW756" s="53"/>
      <c r="BX756" s="53"/>
      <c r="BY756" s="53"/>
      <c r="BZ756" s="53"/>
      <c r="CA756" s="53"/>
      <c r="CB756" s="53"/>
      <c r="CC756" s="53"/>
      <c r="CD756" s="53"/>
      <c r="CE756" s="53"/>
      <c r="CF756" s="53"/>
      <c r="CG756" s="53"/>
      <c r="CH756" s="53"/>
      <c r="CI756" s="53"/>
      <c r="CJ756" s="53"/>
      <c r="CK756" s="53"/>
    </row>
    <row r="757" spans="1:89" s="25" customFormat="1" ht="33" customHeight="1">
      <c r="A757" s="74"/>
      <c r="B757" s="74"/>
      <c r="C757" s="74"/>
      <c r="D757" s="74"/>
      <c r="E757" s="74"/>
      <c r="F757" s="74"/>
      <c r="G757" s="75"/>
      <c r="H757" s="76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53"/>
      <c r="AX757" s="53"/>
      <c r="AY757" s="53"/>
      <c r="AZ757" s="53"/>
      <c r="BA757" s="53"/>
      <c r="BB757" s="53"/>
      <c r="BC757" s="53"/>
      <c r="BD757" s="53"/>
      <c r="BE757" s="53"/>
      <c r="BF757" s="53"/>
      <c r="BG757" s="53"/>
      <c r="BH757" s="53"/>
      <c r="BI757" s="53"/>
      <c r="BJ757" s="53"/>
      <c r="BK757" s="53"/>
      <c r="BL757" s="53"/>
      <c r="BM757" s="53"/>
      <c r="BN757" s="53"/>
      <c r="BO757" s="53"/>
      <c r="BP757" s="53"/>
      <c r="BQ757" s="53"/>
      <c r="BR757" s="53"/>
      <c r="BS757" s="53"/>
      <c r="BT757" s="53"/>
      <c r="BU757" s="53"/>
      <c r="BV757" s="53"/>
      <c r="BW757" s="53"/>
      <c r="BX757" s="53"/>
      <c r="BY757" s="53"/>
      <c r="BZ757" s="53"/>
      <c r="CA757" s="53"/>
      <c r="CB757" s="53"/>
      <c r="CC757" s="53"/>
      <c r="CD757" s="53"/>
      <c r="CE757" s="53"/>
      <c r="CF757" s="53"/>
      <c r="CG757" s="53"/>
      <c r="CH757" s="53"/>
      <c r="CI757" s="53"/>
      <c r="CJ757" s="53"/>
      <c r="CK757" s="53"/>
    </row>
    <row r="758" spans="1:89" s="25" customFormat="1" ht="33" customHeight="1">
      <c r="A758" s="74"/>
      <c r="B758" s="74"/>
      <c r="C758" s="74"/>
      <c r="D758" s="74"/>
      <c r="E758" s="74"/>
      <c r="F758" s="74"/>
      <c r="G758" s="75"/>
      <c r="H758" s="76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3"/>
      <c r="BA758" s="53"/>
      <c r="BB758" s="53"/>
      <c r="BC758" s="53"/>
      <c r="BD758" s="53"/>
      <c r="BE758" s="53"/>
      <c r="BF758" s="53"/>
      <c r="BG758" s="53"/>
      <c r="BH758" s="53"/>
      <c r="BI758" s="53"/>
      <c r="BJ758" s="53"/>
      <c r="BK758" s="53"/>
      <c r="BL758" s="53"/>
      <c r="BM758" s="53"/>
      <c r="BN758" s="53"/>
      <c r="BO758" s="53"/>
      <c r="BP758" s="53"/>
      <c r="BQ758" s="53"/>
      <c r="BR758" s="53"/>
      <c r="BS758" s="53"/>
      <c r="BT758" s="53"/>
      <c r="BU758" s="53"/>
      <c r="BV758" s="53"/>
      <c r="BW758" s="53"/>
      <c r="BX758" s="53"/>
      <c r="BY758" s="53"/>
      <c r="BZ758" s="53"/>
      <c r="CA758" s="53"/>
      <c r="CB758" s="53"/>
      <c r="CC758" s="53"/>
      <c r="CD758" s="53"/>
      <c r="CE758" s="53"/>
      <c r="CF758" s="53"/>
      <c r="CG758" s="53"/>
      <c r="CH758" s="53"/>
      <c r="CI758" s="53"/>
      <c r="CJ758" s="53"/>
      <c r="CK758" s="53"/>
    </row>
    <row r="759" spans="1:89" s="25" customFormat="1" ht="33" customHeight="1">
      <c r="A759" s="74"/>
      <c r="B759" s="74"/>
      <c r="C759" s="74"/>
      <c r="D759" s="74"/>
      <c r="E759" s="74"/>
      <c r="F759" s="74"/>
      <c r="G759" s="75"/>
      <c r="H759" s="76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53"/>
      <c r="AX759" s="53"/>
      <c r="AY759" s="53"/>
      <c r="AZ759" s="53"/>
      <c r="BA759" s="53"/>
      <c r="BB759" s="53"/>
      <c r="BC759" s="53"/>
      <c r="BD759" s="53"/>
      <c r="BE759" s="53"/>
      <c r="BF759" s="53"/>
      <c r="BG759" s="53"/>
      <c r="BH759" s="53"/>
      <c r="BI759" s="53"/>
      <c r="BJ759" s="53"/>
      <c r="BK759" s="53"/>
      <c r="BL759" s="53"/>
      <c r="BM759" s="53"/>
      <c r="BN759" s="53"/>
      <c r="BO759" s="53"/>
      <c r="BP759" s="53"/>
      <c r="BQ759" s="53"/>
      <c r="BR759" s="53"/>
      <c r="BS759" s="53"/>
      <c r="BT759" s="53"/>
      <c r="BU759" s="53"/>
      <c r="BV759" s="53"/>
      <c r="BW759" s="53"/>
      <c r="BX759" s="53"/>
      <c r="BY759" s="53"/>
      <c r="BZ759" s="53"/>
      <c r="CA759" s="53"/>
      <c r="CB759" s="53"/>
      <c r="CC759" s="53"/>
      <c r="CD759" s="53"/>
      <c r="CE759" s="53"/>
      <c r="CF759" s="53"/>
      <c r="CG759" s="53"/>
      <c r="CH759" s="53"/>
      <c r="CI759" s="53"/>
      <c r="CJ759" s="53"/>
      <c r="CK759" s="53"/>
    </row>
    <row r="760" spans="1:89" s="25" customFormat="1" ht="33" customHeight="1">
      <c r="A760" s="74"/>
      <c r="B760" s="74"/>
      <c r="C760" s="74"/>
      <c r="D760" s="74"/>
      <c r="E760" s="74"/>
      <c r="F760" s="74"/>
      <c r="G760" s="75"/>
      <c r="H760" s="76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53"/>
      <c r="AX760" s="53"/>
      <c r="AY760" s="53"/>
      <c r="AZ760" s="53"/>
      <c r="BA760" s="53"/>
      <c r="BB760" s="53"/>
      <c r="BC760" s="53"/>
      <c r="BD760" s="53"/>
      <c r="BE760" s="53"/>
      <c r="BF760" s="53"/>
      <c r="BG760" s="53"/>
      <c r="BH760" s="53"/>
      <c r="BI760" s="53"/>
      <c r="BJ760" s="53"/>
      <c r="BK760" s="53"/>
      <c r="BL760" s="53"/>
      <c r="BM760" s="53"/>
      <c r="BN760" s="53"/>
      <c r="BO760" s="53"/>
      <c r="BP760" s="53"/>
      <c r="BQ760" s="53"/>
      <c r="BR760" s="53"/>
      <c r="BS760" s="53"/>
      <c r="BT760" s="53"/>
      <c r="BU760" s="53"/>
      <c r="BV760" s="53"/>
      <c r="BW760" s="53"/>
      <c r="BX760" s="53"/>
      <c r="BY760" s="53"/>
      <c r="BZ760" s="53"/>
      <c r="CA760" s="53"/>
      <c r="CB760" s="53"/>
      <c r="CC760" s="53"/>
      <c r="CD760" s="53"/>
      <c r="CE760" s="53"/>
      <c r="CF760" s="53"/>
      <c r="CG760" s="53"/>
      <c r="CH760" s="53"/>
      <c r="CI760" s="53"/>
      <c r="CJ760" s="53"/>
      <c r="CK760" s="53"/>
    </row>
    <row r="761" spans="1:89" s="25" customFormat="1" ht="33" customHeight="1">
      <c r="A761" s="74"/>
      <c r="B761" s="74"/>
      <c r="C761" s="74"/>
      <c r="D761" s="74"/>
      <c r="E761" s="74"/>
      <c r="F761" s="74"/>
      <c r="G761" s="75"/>
      <c r="H761" s="76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  <c r="AZ761" s="53"/>
      <c r="BA761" s="53"/>
      <c r="BB761" s="53"/>
      <c r="BC761" s="53"/>
      <c r="BD761" s="53"/>
      <c r="BE761" s="53"/>
      <c r="BF761" s="53"/>
      <c r="BG761" s="53"/>
      <c r="BH761" s="53"/>
      <c r="BI761" s="53"/>
      <c r="BJ761" s="53"/>
      <c r="BK761" s="53"/>
      <c r="BL761" s="53"/>
      <c r="BM761" s="53"/>
      <c r="BN761" s="53"/>
      <c r="BO761" s="53"/>
      <c r="BP761" s="53"/>
      <c r="BQ761" s="53"/>
      <c r="BR761" s="53"/>
      <c r="BS761" s="53"/>
      <c r="BT761" s="53"/>
      <c r="BU761" s="53"/>
      <c r="BV761" s="53"/>
      <c r="BW761" s="53"/>
      <c r="BX761" s="53"/>
      <c r="BY761" s="53"/>
      <c r="BZ761" s="53"/>
      <c r="CA761" s="53"/>
      <c r="CB761" s="53"/>
      <c r="CC761" s="53"/>
      <c r="CD761" s="53"/>
      <c r="CE761" s="53"/>
      <c r="CF761" s="53"/>
      <c r="CG761" s="53"/>
      <c r="CH761" s="53"/>
      <c r="CI761" s="53"/>
      <c r="CJ761" s="53"/>
      <c r="CK761" s="53"/>
    </row>
    <row r="762" spans="1:89" s="25" customFormat="1" ht="33" customHeight="1">
      <c r="A762" s="74"/>
      <c r="B762" s="74"/>
      <c r="C762" s="74"/>
      <c r="D762" s="74"/>
      <c r="E762" s="74"/>
      <c r="F762" s="74"/>
      <c r="G762" s="75"/>
      <c r="H762" s="76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53"/>
      <c r="AX762" s="53"/>
      <c r="AY762" s="53"/>
      <c r="AZ762" s="53"/>
      <c r="BA762" s="53"/>
      <c r="BB762" s="53"/>
      <c r="BC762" s="53"/>
      <c r="BD762" s="53"/>
      <c r="BE762" s="53"/>
      <c r="BF762" s="53"/>
      <c r="BG762" s="53"/>
      <c r="BH762" s="53"/>
      <c r="BI762" s="53"/>
      <c r="BJ762" s="53"/>
      <c r="BK762" s="53"/>
      <c r="BL762" s="53"/>
      <c r="BM762" s="53"/>
      <c r="BN762" s="53"/>
      <c r="BO762" s="53"/>
      <c r="BP762" s="53"/>
      <c r="BQ762" s="53"/>
      <c r="BR762" s="53"/>
      <c r="BS762" s="53"/>
      <c r="BT762" s="53"/>
      <c r="BU762" s="53"/>
      <c r="BV762" s="53"/>
      <c r="BW762" s="53"/>
      <c r="BX762" s="53"/>
      <c r="BY762" s="53"/>
      <c r="BZ762" s="53"/>
      <c r="CA762" s="53"/>
      <c r="CB762" s="53"/>
      <c r="CC762" s="53"/>
      <c r="CD762" s="53"/>
      <c r="CE762" s="53"/>
      <c r="CF762" s="53"/>
      <c r="CG762" s="53"/>
      <c r="CH762" s="53"/>
      <c r="CI762" s="53"/>
      <c r="CJ762" s="53"/>
      <c r="CK762" s="53"/>
    </row>
    <row r="763" spans="1:89" s="25" customFormat="1" ht="33" customHeight="1">
      <c r="A763" s="74"/>
      <c r="B763" s="74"/>
      <c r="C763" s="74"/>
      <c r="D763" s="74"/>
      <c r="E763" s="74"/>
      <c r="F763" s="74"/>
      <c r="G763" s="75"/>
      <c r="H763" s="76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53"/>
      <c r="AX763" s="53"/>
      <c r="AY763" s="53"/>
      <c r="AZ763" s="53"/>
      <c r="BA763" s="53"/>
      <c r="BB763" s="53"/>
      <c r="BC763" s="53"/>
      <c r="BD763" s="53"/>
      <c r="BE763" s="53"/>
      <c r="BF763" s="53"/>
      <c r="BG763" s="53"/>
      <c r="BH763" s="53"/>
      <c r="BI763" s="53"/>
      <c r="BJ763" s="53"/>
      <c r="BK763" s="53"/>
      <c r="BL763" s="53"/>
      <c r="BM763" s="53"/>
      <c r="BN763" s="53"/>
      <c r="BO763" s="53"/>
      <c r="BP763" s="53"/>
      <c r="BQ763" s="53"/>
      <c r="BR763" s="53"/>
      <c r="BS763" s="53"/>
      <c r="BT763" s="53"/>
      <c r="BU763" s="53"/>
      <c r="BV763" s="53"/>
      <c r="BW763" s="53"/>
      <c r="BX763" s="53"/>
      <c r="BY763" s="53"/>
      <c r="BZ763" s="53"/>
      <c r="CA763" s="53"/>
      <c r="CB763" s="53"/>
      <c r="CC763" s="53"/>
      <c r="CD763" s="53"/>
      <c r="CE763" s="53"/>
      <c r="CF763" s="53"/>
      <c r="CG763" s="53"/>
      <c r="CH763" s="53"/>
      <c r="CI763" s="53"/>
      <c r="CJ763" s="53"/>
      <c r="CK763" s="53"/>
    </row>
    <row r="764" spans="1:89" s="25" customFormat="1" ht="33" customHeight="1">
      <c r="A764" s="74"/>
      <c r="B764" s="74"/>
      <c r="C764" s="74"/>
      <c r="D764" s="74"/>
      <c r="E764" s="74"/>
      <c r="F764" s="74"/>
      <c r="G764" s="75"/>
      <c r="H764" s="76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53"/>
      <c r="AX764" s="53"/>
      <c r="AY764" s="53"/>
      <c r="AZ764" s="53"/>
      <c r="BA764" s="53"/>
      <c r="BB764" s="53"/>
      <c r="BC764" s="53"/>
      <c r="BD764" s="53"/>
      <c r="BE764" s="53"/>
      <c r="BF764" s="53"/>
      <c r="BG764" s="53"/>
      <c r="BH764" s="53"/>
      <c r="BI764" s="53"/>
      <c r="BJ764" s="53"/>
      <c r="BK764" s="53"/>
      <c r="BL764" s="53"/>
      <c r="BM764" s="53"/>
      <c r="BN764" s="53"/>
      <c r="BO764" s="53"/>
      <c r="BP764" s="53"/>
      <c r="BQ764" s="53"/>
      <c r="BR764" s="53"/>
      <c r="BS764" s="53"/>
      <c r="BT764" s="53"/>
      <c r="BU764" s="53"/>
      <c r="BV764" s="53"/>
      <c r="BW764" s="53"/>
      <c r="BX764" s="53"/>
      <c r="BY764" s="53"/>
      <c r="BZ764" s="53"/>
      <c r="CA764" s="53"/>
      <c r="CB764" s="53"/>
      <c r="CC764" s="53"/>
      <c r="CD764" s="53"/>
      <c r="CE764" s="53"/>
      <c r="CF764" s="53"/>
      <c r="CG764" s="53"/>
      <c r="CH764" s="53"/>
      <c r="CI764" s="53"/>
      <c r="CJ764" s="53"/>
      <c r="CK764" s="53"/>
    </row>
    <row r="765" spans="1:89" s="25" customFormat="1" ht="33" customHeight="1">
      <c r="A765" s="74"/>
      <c r="B765" s="74"/>
      <c r="C765" s="74"/>
      <c r="D765" s="74"/>
      <c r="E765" s="74"/>
      <c r="F765" s="74"/>
      <c r="G765" s="75"/>
      <c r="H765" s="76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53"/>
      <c r="AX765" s="53"/>
      <c r="AY765" s="53"/>
      <c r="AZ765" s="53"/>
      <c r="BA765" s="53"/>
      <c r="BB765" s="53"/>
      <c r="BC765" s="53"/>
      <c r="BD765" s="53"/>
      <c r="BE765" s="53"/>
      <c r="BF765" s="53"/>
      <c r="BG765" s="53"/>
      <c r="BH765" s="53"/>
      <c r="BI765" s="53"/>
      <c r="BJ765" s="53"/>
      <c r="BK765" s="53"/>
      <c r="BL765" s="53"/>
      <c r="BM765" s="53"/>
      <c r="BN765" s="53"/>
      <c r="BO765" s="53"/>
      <c r="BP765" s="53"/>
      <c r="BQ765" s="53"/>
      <c r="BR765" s="53"/>
      <c r="BS765" s="53"/>
      <c r="BT765" s="53"/>
      <c r="BU765" s="53"/>
      <c r="BV765" s="53"/>
      <c r="BW765" s="53"/>
      <c r="BX765" s="53"/>
      <c r="BY765" s="53"/>
      <c r="BZ765" s="53"/>
      <c r="CA765" s="53"/>
      <c r="CB765" s="53"/>
      <c r="CC765" s="53"/>
      <c r="CD765" s="53"/>
      <c r="CE765" s="53"/>
      <c r="CF765" s="53"/>
      <c r="CG765" s="53"/>
      <c r="CH765" s="53"/>
      <c r="CI765" s="53"/>
      <c r="CJ765" s="53"/>
      <c r="CK765" s="53"/>
    </row>
    <row r="766" spans="1:89" s="25" customFormat="1" ht="33" customHeight="1">
      <c r="A766" s="74"/>
      <c r="B766" s="74"/>
      <c r="C766" s="74"/>
      <c r="D766" s="74"/>
      <c r="E766" s="74"/>
      <c r="F766" s="74"/>
      <c r="G766" s="75"/>
      <c r="H766" s="76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  <c r="AZ766" s="53"/>
      <c r="BA766" s="53"/>
      <c r="BB766" s="53"/>
      <c r="BC766" s="53"/>
      <c r="BD766" s="53"/>
      <c r="BE766" s="53"/>
      <c r="BF766" s="53"/>
      <c r="BG766" s="53"/>
      <c r="BH766" s="53"/>
      <c r="BI766" s="53"/>
      <c r="BJ766" s="53"/>
      <c r="BK766" s="53"/>
      <c r="BL766" s="53"/>
      <c r="BM766" s="53"/>
      <c r="BN766" s="53"/>
      <c r="BO766" s="53"/>
      <c r="BP766" s="53"/>
      <c r="BQ766" s="53"/>
      <c r="BR766" s="53"/>
      <c r="BS766" s="53"/>
      <c r="BT766" s="53"/>
      <c r="BU766" s="53"/>
      <c r="BV766" s="53"/>
      <c r="BW766" s="53"/>
      <c r="BX766" s="53"/>
      <c r="BY766" s="53"/>
      <c r="BZ766" s="53"/>
      <c r="CA766" s="53"/>
      <c r="CB766" s="53"/>
      <c r="CC766" s="53"/>
      <c r="CD766" s="53"/>
      <c r="CE766" s="53"/>
      <c r="CF766" s="53"/>
      <c r="CG766" s="53"/>
      <c r="CH766" s="53"/>
      <c r="CI766" s="53"/>
      <c r="CJ766" s="53"/>
      <c r="CK766" s="53"/>
    </row>
    <row r="767" spans="1:89" s="25" customFormat="1" ht="33" customHeight="1">
      <c r="A767" s="74"/>
      <c r="B767" s="74"/>
      <c r="C767" s="74"/>
      <c r="D767" s="74"/>
      <c r="E767" s="74"/>
      <c r="F767" s="74"/>
      <c r="G767" s="75"/>
      <c r="H767" s="76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53"/>
      <c r="AX767" s="53"/>
      <c r="AY767" s="53"/>
      <c r="AZ767" s="53"/>
      <c r="BA767" s="53"/>
      <c r="BB767" s="53"/>
      <c r="BC767" s="53"/>
      <c r="BD767" s="53"/>
      <c r="BE767" s="53"/>
      <c r="BF767" s="53"/>
      <c r="BG767" s="53"/>
      <c r="BH767" s="53"/>
      <c r="BI767" s="53"/>
      <c r="BJ767" s="53"/>
      <c r="BK767" s="53"/>
      <c r="BL767" s="53"/>
      <c r="BM767" s="53"/>
      <c r="BN767" s="53"/>
      <c r="BO767" s="53"/>
      <c r="BP767" s="53"/>
      <c r="BQ767" s="53"/>
      <c r="BR767" s="53"/>
      <c r="BS767" s="53"/>
      <c r="BT767" s="53"/>
      <c r="BU767" s="53"/>
      <c r="BV767" s="53"/>
      <c r="BW767" s="53"/>
      <c r="BX767" s="53"/>
      <c r="BY767" s="53"/>
      <c r="BZ767" s="53"/>
      <c r="CA767" s="53"/>
      <c r="CB767" s="53"/>
      <c r="CC767" s="53"/>
      <c r="CD767" s="53"/>
      <c r="CE767" s="53"/>
      <c r="CF767" s="53"/>
      <c r="CG767" s="53"/>
      <c r="CH767" s="53"/>
      <c r="CI767" s="53"/>
      <c r="CJ767" s="53"/>
      <c r="CK767" s="53"/>
    </row>
    <row r="768" spans="1:89" s="25" customFormat="1" ht="33" customHeight="1">
      <c r="A768" s="74"/>
      <c r="B768" s="74"/>
      <c r="C768" s="74"/>
      <c r="D768" s="74"/>
      <c r="E768" s="74"/>
      <c r="F768" s="74"/>
      <c r="G768" s="75"/>
      <c r="H768" s="76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53"/>
      <c r="AX768" s="53"/>
      <c r="AY768" s="53"/>
      <c r="AZ768" s="53"/>
      <c r="BA768" s="53"/>
      <c r="BB768" s="53"/>
      <c r="BC768" s="53"/>
      <c r="BD768" s="53"/>
      <c r="BE768" s="53"/>
      <c r="BF768" s="53"/>
      <c r="BG768" s="53"/>
      <c r="BH768" s="53"/>
      <c r="BI768" s="53"/>
      <c r="BJ768" s="53"/>
      <c r="BK768" s="53"/>
      <c r="BL768" s="53"/>
      <c r="BM768" s="53"/>
      <c r="BN768" s="53"/>
      <c r="BO768" s="53"/>
      <c r="BP768" s="53"/>
      <c r="BQ768" s="53"/>
      <c r="BR768" s="53"/>
      <c r="BS768" s="53"/>
      <c r="BT768" s="53"/>
      <c r="BU768" s="53"/>
      <c r="BV768" s="53"/>
      <c r="BW768" s="53"/>
      <c r="BX768" s="53"/>
      <c r="BY768" s="53"/>
      <c r="BZ768" s="53"/>
      <c r="CA768" s="53"/>
      <c r="CB768" s="53"/>
      <c r="CC768" s="53"/>
      <c r="CD768" s="53"/>
      <c r="CE768" s="53"/>
      <c r="CF768" s="53"/>
      <c r="CG768" s="53"/>
      <c r="CH768" s="53"/>
      <c r="CI768" s="53"/>
      <c r="CJ768" s="53"/>
      <c r="CK768" s="53"/>
    </row>
    <row r="769" spans="1:89" s="25" customFormat="1" ht="33" customHeight="1">
      <c r="A769" s="74"/>
      <c r="B769" s="74"/>
      <c r="C769" s="74"/>
      <c r="D769" s="74"/>
      <c r="E769" s="74"/>
      <c r="F769" s="74"/>
      <c r="G769" s="75"/>
      <c r="H769" s="76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53"/>
      <c r="AX769" s="53"/>
      <c r="AY769" s="53"/>
      <c r="AZ769" s="53"/>
      <c r="BA769" s="53"/>
      <c r="BB769" s="53"/>
      <c r="BC769" s="53"/>
      <c r="BD769" s="53"/>
      <c r="BE769" s="53"/>
      <c r="BF769" s="53"/>
      <c r="BG769" s="53"/>
      <c r="BH769" s="53"/>
      <c r="BI769" s="53"/>
      <c r="BJ769" s="53"/>
      <c r="BK769" s="53"/>
      <c r="BL769" s="53"/>
      <c r="BM769" s="53"/>
      <c r="BN769" s="53"/>
      <c r="BO769" s="53"/>
      <c r="BP769" s="53"/>
      <c r="BQ769" s="53"/>
      <c r="BR769" s="53"/>
      <c r="BS769" s="53"/>
      <c r="BT769" s="53"/>
      <c r="BU769" s="53"/>
      <c r="BV769" s="53"/>
      <c r="BW769" s="53"/>
      <c r="BX769" s="53"/>
      <c r="BY769" s="53"/>
      <c r="BZ769" s="53"/>
      <c r="CA769" s="53"/>
      <c r="CB769" s="53"/>
      <c r="CC769" s="53"/>
      <c r="CD769" s="53"/>
      <c r="CE769" s="53"/>
      <c r="CF769" s="53"/>
      <c r="CG769" s="53"/>
      <c r="CH769" s="53"/>
      <c r="CI769" s="53"/>
      <c r="CJ769" s="53"/>
      <c r="CK769" s="53"/>
    </row>
    <row r="770" spans="1:89" s="25" customFormat="1" ht="33" customHeight="1">
      <c r="A770" s="74"/>
      <c r="B770" s="74"/>
      <c r="C770" s="74"/>
      <c r="D770" s="74"/>
      <c r="E770" s="74"/>
      <c r="F770" s="74"/>
      <c r="G770" s="75"/>
      <c r="H770" s="76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3"/>
      <c r="BA770" s="53"/>
      <c r="BB770" s="53"/>
      <c r="BC770" s="53"/>
      <c r="BD770" s="53"/>
      <c r="BE770" s="53"/>
      <c r="BF770" s="53"/>
      <c r="BG770" s="53"/>
      <c r="BH770" s="53"/>
      <c r="BI770" s="53"/>
      <c r="BJ770" s="53"/>
      <c r="BK770" s="53"/>
      <c r="BL770" s="53"/>
      <c r="BM770" s="53"/>
      <c r="BN770" s="53"/>
      <c r="BO770" s="53"/>
      <c r="BP770" s="53"/>
      <c r="BQ770" s="53"/>
      <c r="BR770" s="53"/>
      <c r="BS770" s="53"/>
      <c r="BT770" s="53"/>
      <c r="BU770" s="53"/>
      <c r="BV770" s="53"/>
      <c r="BW770" s="53"/>
      <c r="BX770" s="53"/>
      <c r="BY770" s="53"/>
      <c r="BZ770" s="53"/>
      <c r="CA770" s="53"/>
      <c r="CB770" s="53"/>
      <c r="CC770" s="53"/>
      <c r="CD770" s="53"/>
      <c r="CE770" s="53"/>
      <c r="CF770" s="53"/>
      <c r="CG770" s="53"/>
      <c r="CH770" s="53"/>
      <c r="CI770" s="53"/>
      <c r="CJ770" s="53"/>
      <c r="CK770" s="53"/>
    </row>
    <row r="771" spans="1:89" s="25" customFormat="1" ht="33" customHeight="1">
      <c r="A771" s="74"/>
      <c r="B771" s="74"/>
      <c r="C771" s="74"/>
      <c r="D771" s="74"/>
      <c r="E771" s="74"/>
      <c r="F771" s="74"/>
      <c r="G771" s="75"/>
      <c r="H771" s="76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53"/>
      <c r="AX771" s="53"/>
      <c r="AY771" s="53"/>
      <c r="AZ771" s="53"/>
      <c r="BA771" s="53"/>
      <c r="BB771" s="53"/>
      <c r="BC771" s="53"/>
      <c r="BD771" s="53"/>
      <c r="BE771" s="53"/>
      <c r="BF771" s="53"/>
      <c r="BG771" s="53"/>
      <c r="BH771" s="53"/>
      <c r="BI771" s="53"/>
      <c r="BJ771" s="53"/>
      <c r="BK771" s="53"/>
      <c r="BL771" s="53"/>
      <c r="BM771" s="53"/>
      <c r="BN771" s="53"/>
      <c r="BO771" s="53"/>
      <c r="BP771" s="53"/>
      <c r="BQ771" s="53"/>
      <c r="BR771" s="53"/>
      <c r="BS771" s="53"/>
      <c r="BT771" s="53"/>
      <c r="BU771" s="53"/>
      <c r="BV771" s="53"/>
      <c r="BW771" s="53"/>
      <c r="BX771" s="53"/>
      <c r="BY771" s="53"/>
      <c r="BZ771" s="53"/>
      <c r="CA771" s="53"/>
      <c r="CB771" s="53"/>
      <c r="CC771" s="53"/>
      <c r="CD771" s="53"/>
      <c r="CE771" s="53"/>
      <c r="CF771" s="53"/>
      <c r="CG771" s="53"/>
      <c r="CH771" s="53"/>
      <c r="CI771" s="53"/>
      <c r="CJ771" s="53"/>
      <c r="CK771" s="53"/>
    </row>
    <row r="772" spans="1:89" s="25" customFormat="1" ht="33" customHeight="1">
      <c r="A772" s="74"/>
      <c r="B772" s="74"/>
      <c r="C772" s="74"/>
      <c r="D772" s="74"/>
      <c r="E772" s="74"/>
      <c r="F772" s="74"/>
      <c r="G772" s="75"/>
      <c r="H772" s="76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  <c r="AZ772" s="53"/>
      <c r="BA772" s="53"/>
      <c r="BB772" s="53"/>
      <c r="BC772" s="53"/>
      <c r="BD772" s="53"/>
      <c r="BE772" s="53"/>
      <c r="BF772" s="53"/>
      <c r="BG772" s="53"/>
      <c r="BH772" s="53"/>
      <c r="BI772" s="53"/>
      <c r="BJ772" s="53"/>
      <c r="BK772" s="53"/>
      <c r="BL772" s="53"/>
      <c r="BM772" s="53"/>
      <c r="BN772" s="53"/>
      <c r="BO772" s="53"/>
      <c r="BP772" s="53"/>
      <c r="BQ772" s="53"/>
      <c r="BR772" s="53"/>
      <c r="BS772" s="53"/>
      <c r="BT772" s="53"/>
      <c r="BU772" s="53"/>
      <c r="BV772" s="53"/>
      <c r="BW772" s="53"/>
      <c r="BX772" s="53"/>
      <c r="BY772" s="53"/>
      <c r="BZ772" s="53"/>
      <c r="CA772" s="53"/>
      <c r="CB772" s="53"/>
      <c r="CC772" s="53"/>
      <c r="CD772" s="53"/>
      <c r="CE772" s="53"/>
      <c r="CF772" s="53"/>
      <c r="CG772" s="53"/>
      <c r="CH772" s="53"/>
      <c r="CI772" s="53"/>
      <c r="CJ772" s="53"/>
      <c r="CK772" s="53"/>
    </row>
    <row r="773" spans="1:89" s="25" customFormat="1" ht="33" customHeight="1">
      <c r="A773" s="74"/>
      <c r="B773" s="74"/>
      <c r="C773" s="74"/>
      <c r="D773" s="74"/>
      <c r="E773" s="74"/>
      <c r="F773" s="74"/>
      <c r="G773" s="75"/>
      <c r="H773" s="76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  <c r="AZ773" s="53"/>
      <c r="BA773" s="53"/>
      <c r="BB773" s="53"/>
      <c r="BC773" s="53"/>
      <c r="BD773" s="53"/>
      <c r="BE773" s="53"/>
      <c r="BF773" s="53"/>
      <c r="BG773" s="53"/>
      <c r="BH773" s="53"/>
      <c r="BI773" s="53"/>
      <c r="BJ773" s="53"/>
      <c r="BK773" s="53"/>
      <c r="BL773" s="53"/>
      <c r="BM773" s="53"/>
      <c r="BN773" s="53"/>
      <c r="BO773" s="53"/>
      <c r="BP773" s="53"/>
      <c r="BQ773" s="53"/>
      <c r="BR773" s="53"/>
      <c r="BS773" s="53"/>
      <c r="BT773" s="53"/>
      <c r="BU773" s="53"/>
      <c r="BV773" s="53"/>
      <c r="BW773" s="53"/>
      <c r="BX773" s="53"/>
      <c r="BY773" s="53"/>
      <c r="BZ773" s="53"/>
      <c r="CA773" s="53"/>
      <c r="CB773" s="53"/>
      <c r="CC773" s="53"/>
      <c r="CD773" s="53"/>
      <c r="CE773" s="53"/>
      <c r="CF773" s="53"/>
      <c r="CG773" s="53"/>
      <c r="CH773" s="53"/>
      <c r="CI773" s="53"/>
      <c r="CJ773" s="53"/>
      <c r="CK773" s="53"/>
    </row>
    <row r="774" spans="1:89" s="25" customFormat="1" ht="33" customHeight="1">
      <c r="A774" s="74"/>
      <c r="B774" s="74"/>
      <c r="C774" s="74"/>
      <c r="D774" s="74"/>
      <c r="E774" s="74"/>
      <c r="F774" s="74"/>
      <c r="G774" s="75"/>
      <c r="H774" s="76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  <c r="AZ774" s="53"/>
      <c r="BA774" s="53"/>
      <c r="BB774" s="53"/>
      <c r="BC774" s="53"/>
      <c r="BD774" s="53"/>
      <c r="BE774" s="53"/>
      <c r="BF774" s="53"/>
      <c r="BG774" s="53"/>
      <c r="BH774" s="53"/>
      <c r="BI774" s="53"/>
      <c r="BJ774" s="53"/>
      <c r="BK774" s="53"/>
      <c r="BL774" s="53"/>
      <c r="BM774" s="53"/>
      <c r="BN774" s="53"/>
      <c r="BO774" s="53"/>
      <c r="BP774" s="53"/>
      <c r="BQ774" s="53"/>
      <c r="BR774" s="53"/>
      <c r="BS774" s="53"/>
      <c r="BT774" s="53"/>
      <c r="BU774" s="53"/>
      <c r="BV774" s="53"/>
      <c r="BW774" s="53"/>
      <c r="BX774" s="53"/>
      <c r="BY774" s="53"/>
      <c r="BZ774" s="53"/>
      <c r="CA774" s="53"/>
      <c r="CB774" s="53"/>
      <c r="CC774" s="53"/>
      <c r="CD774" s="53"/>
      <c r="CE774" s="53"/>
      <c r="CF774" s="53"/>
      <c r="CG774" s="53"/>
      <c r="CH774" s="53"/>
      <c r="CI774" s="53"/>
      <c r="CJ774" s="53"/>
      <c r="CK774" s="53"/>
    </row>
    <row r="775" spans="1:89" s="25" customFormat="1" ht="33" customHeight="1">
      <c r="A775" s="74"/>
      <c r="B775" s="74"/>
      <c r="C775" s="74"/>
      <c r="D775" s="74"/>
      <c r="E775" s="74"/>
      <c r="F775" s="74"/>
      <c r="G775" s="75"/>
      <c r="H775" s="76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53"/>
      <c r="AX775" s="53"/>
      <c r="AY775" s="53"/>
      <c r="AZ775" s="53"/>
      <c r="BA775" s="53"/>
      <c r="BB775" s="53"/>
      <c r="BC775" s="53"/>
      <c r="BD775" s="53"/>
      <c r="BE775" s="53"/>
      <c r="BF775" s="53"/>
      <c r="BG775" s="53"/>
      <c r="BH775" s="53"/>
      <c r="BI775" s="53"/>
      <c r="BJ775" s="53"/>
      <c r="BK775" s="53"/>
      <c r="BL775" s="53"/>
      <c r="BM775" s="53"/>
      <c r="BN775" s="53"/>
      <c r="BO775" s="53"/>
      <c r="BP775" s="53"/>
      <c r="BQ775" s="53"/>
      <c r="BR775" s="53"/>
      <c r="BS775" s="53"/>
      <c r="BT775" s="53"/>
      <c r="BU775" s="53"/>
      <c r="BV775" s="53"/>
      <c r="BW775" s="53"/>
      <c r="BX775" s="53"/>
      <c r="BY775" s="53"/>
      <c r="BZ775" s="53"/>
      <c r="CA775" s="53"/>
      <c r="CB775" s="53"/>
      <c r="CC775" s="53"/>
      <c r="CD775" s="53"/>
      <c r="CE775" s="53"/>
      <c r="CF775" s="53"/>
      <c r="CG775" s="53"/>
      <c r="CH775" s="53"/>
      <c r="CI775" s="53"/>
      <c r="CJ775" s="53"/>
      <c r="CK775" s="53"/>
    </row>
    <row r="776" spans="1:89" s="25" customFormat="1" ht="33" customHeight="1">
      <c r="A776" s="74"/>
      <c r="B776" s="74"/>
      <c r="C776" s="74"/>
      <c r="D776" s="74"/>
      <c r="E776" s="74"/>
      <c r="F776" s="74"/>
      <c r="G776" s="75"/>
      <c r="H776" s="76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  <c r="AZ776" s="53"/>
      <c r="BA776" s="53"/>
      <c r="BB776" s="53"/>
      <c r="BC776" s="53"/>
      <c r="BD776" s="53"/>
      <c r="BE776" s="53"/>
      <c r="BF776" s="53"/>
      <c r="BG776" s="53"/>
      <c r="BH776" s="53"/>
      <c r="BI776" s="53"/>
      <c r="BJ776" s="53"/>
      <c r="BK776" s="53"/>
      <c r="BL776" s="53"/>
      <c r="BM776" s="53"/>
      <c r="BN776" s="53"/>
      <c r="BO776" s="53"/>
      <c r="BP776" s="53"/>
      <c r="BQ776" s="53"/>
      <c r="BR776" s="53"/>
      <c r="BS776" s="53"/>
      <c r="BT776" s="53"/>
      <c r="BU776" s="53"/>
      <c r="BV776" s="53"/>
      <c r="BW776" s="53"/>
      <c r="BX776" s="53"/>
      <c r="BY776" s="53"/>
      <c r="BZ776" s="53"/>
      <c r="CA776" s="53"/>
      <c r="CB776" s="53"/>
      <c r="CC776" s="53"/>
      <c r="CD776" s="53"/>
      <c r="CE776" s="53"/>
      <c r="CF776" s="53"/>
      <c r="CG776" s="53"/>
      <c r="CH776" s="53"/>
      <c r="CI776" s="53"/>
      <c r="CJ776" s="53"/>
      <c r="CK776" s="53"/>
    </row>
    <row r="777" spans="1:89" s="25" customFormat="1" ht="33" customHeight="1">
      <c r="A777" s="74"/>
      <c r="B777" s="74"/>
      <c r="C777" s="74"/>
      <c r="D777" s="74"/>
      <c r="E777" s="74"/>
      <c r="F777" s="74"/>
      <c r="G777" s="75"/>
      <c r="H777" s="76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3"/>
      <c r="BA777" s="53"/>
      <c r="BB777" s="53"/>
      <c r="BC777" s="53"/>
      <c r="BD777" s="53"/>
      <c r="BE777" s="53"/>
      <c r="BF777" s="53"/>
      <c r="BG777" s="53"/>
      <c r="BH777" s="53"/>
      <c r="BI777" s="53"/>
      <c r="BJ777" s="53"/>
      <c r="BK777" s="53"/>
      <c r="BL777" s="53"/>
      <c r="BM777" s="53"/>
      <c r="BN777" s="53"/>
      <c r="BO777" s="53"/>
      <c r="BP777" s="53"/>
      <c r="BQ777" s="53"/>
      <c r="BR777" s="53"/>
      <c r="BS777" s="53"/>
      <c r="BT777" s="53"/>
      <c r="BU777" s="53"/>
      <c r="BV777" s="53"/>
      <c r="BW777" s="53"/>
      <c r="BX777" s="53"/>
      <c r="BY777" s="53"/>
      <c r="BZ777" s="53"/>
      <c r="CA777" s="53"/>
      <c r="CB777" s="53"/>
      <c r="CC777" s="53"/>
      <c r="CD777" s="53"/>
      <c r="CE777" s="53"/>
      <c r="CF777" s="53"/>
      <c r="CG777" s="53"/>
      <c r="CH777" s="53"/>
      <c r="CI777" s="53"/>
      <c r="CJ777" s="53"/>
      <c r="CK777" s="53"/>
    </row>
    <row r="778" spans="1:89" s="25" customFormat="1" ht="33" customHeight="1">
      <c r="A778" s="74"/>
      <c r="B778" s="74"/>
      <c r="C778" s="74"/>
      <c r="D778" s="74"/>
      <c r="E778" s="74"/>
      <c r="F778" s="74"/>
      <c r="G778" s="75"/>
      <c r="H778" s="76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3"/>
      <c r="BA778" s="53"/>
      <c r="BB778" s="53"/>
      <c r="BC778" s="53"/>
      <c r="BD778" s="53"/>
      <c r="BE778" s="53"/>
      <c r="BF778" s="53"/>
      <c r="BG778" s="53"/>
      <c r="BH778" s="53"/>
      <c r="BI778" s="53"/>
      <c r="BJ778" s="53"/>
      <c r="BK778" s="53"/>
      <c r="BL778" s="53"/>
      <c r="BM778" s="53"/>
      <c r="BN778" s="53"/>
      <c r="BO778" s="53"/>
      <c r="BP778" s="53"/>
      <c r="BQ778" s="53"/>
      <c r="BR778" s="53"/>
      <c r="BS778" s="53"/>
      <c r="BT778" s="53"/>
      <c r="BU778" s="53"/>
      <c r="BV778" s="53"/>
      <c r="BW778" s="53"/>
      <c r="BX778" s="53"/>
      <c r="BY778" s="53"/>
      <c r="BZ778" s="53"/>
      <c r="CA778" s="53"/>
      <c r="CB778" s="53"/>
      <c r="CC778" s="53"/>
      <c r="CD778" s="53"/>
      <c r="CE778" s="53"/>
      <c r="CF778" s="53"/>
      <c r="CG778" s="53"/>
      <c r="CH778" s="53"/>
      <c r="CI778" s="53"/>
      <c r="CJ778" s="53"/>
      <c r="CK778" s="53"/>
    </row>
    <row r="779" spans="1:89" s="25" customFormat="1" ht="33" customHeight="1">
      <c r="A779" s="74"/>
      <c r="B779" s="74"/>
      <c r="C779" s="74"/>
      <c r="D779" s="74"/>
      <c r="E779" s="74"/>
      <c r="F779" s="74"/>
      <c r="G779" s="75"/>
      <c r="H779" s="76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  <c r="BA779" s="53"/>
      <c r="BB779" s="53"/>
      <c r="BC779" s="53"/>
      <c r="BD779" s="53"/>
      <c r="BE779" s="53"/>
      <c r="BF779" s="53"/>
      <c r="BG779" s="53"/>
      <c r="BH779" s="53"/>
      <c r="BI779" s="53"/>
      <c r="BJ779" s="53"/>
      <c r="BK779" s="53"/>
      <c r="BL779" s="53"/>
      <c r="BM779" s="53"/>
      <c r="BN779" s="53"/>
      <c r="BO779" s="53"/>
      <c r="BP779" s="53"/>
      <c r="BQ779" s="53"/>
      <c r="BR779" s="53"/>
      <c r="BS779" s="53"/>
      <c r="BT779" s="53"/>
      <c r="BU779" s="53"/>
      <c r="BV779" s="53"/>
      <c r="BW779" s="53"/>
      <c r="BX779" s="53"/>
      <c r="BY779" s="53"/>
      <c r="BZ779" s="53"/>
      <c r="CA779" s="53"/>
      <c r="CB779" s="53"/>
      <c r="CC779" s="53"/>
      <c r="CD779" s="53"/>
      <c r="CE779" s="53"/>
      <c r="CF779" s="53"/>
      <c r="CG779" s="53"/>
      <c r="CH779" s="53"/>
      <c r="CI779" s="53"/>
      <c r="CJ779" s="53"/>
      <c r="CK779" s="53"/>
    </row>
    <row r="780" spans="1:89" s="25" customFormat="1" ht="33" customHeight="1">
      <c r="A780" s="74"/>
      <c r="B780" s="74"/>
      <c r="C780" s="74"/>
      <c r="D780" s="74"/>
      <c r="E780" s="74"/>
      <c r="F780" s="74"/>
      <c r="G780" s="75"/>
      <c r="H780" s="76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  <c r="AZ780" s="53"/>
      <c r="BA780" s="53"/>
      <c r="BB780" s="53"/>
      <c r="BC780" s="53"/>
      <c r="BD780" s="53"/>
      <c r="BE780" s="53"/>
      <c r="BF780" s="53"/>
      <c r="BG780" s="53"/>
      <c r="BH780" s="53"/>
      <c r="BI780" s="53"/>
      <c r="BJ780" s="53"/>
      <c r="BK780" s="53"/>
      <c r="BL780" s="53"/>
      <c r="BM780" s="53"/>
      <c r="BN780" s="53"/>
      <c r="BO780" s="53"/>
      <c r="BP780" s="53"/>
      <c r="BQ780" s="53"/>
      <c r="BR780" s="53"/>
      <c r="BS780" s="53"/>
      <c r="BT780" s="53"/>
      <c r="BU780" s="53"/>
      <c r="BV780" s="53"/>
      <c r="BW780" s="53"/>
      <c r="BX780" s="53"/>
      <c r="BY780" s="53"/>
      <c r="BZ780" s="53"/>
      <c r="CA780" s="53"/>
      <c r="CB780" s="53"/>
      <c r="CC780" s="53"/>
      <c r="CD780" s="53"/>
      <c r="CE780" s="53"/>
      <c r="CF780" s="53"/>
      <c r="CG780" s="53"/>
      <c r="CH780" s="53"/>
      <c r="CI780" s="53"/>
      <c r="CJ780" s="53"/>
      <c r="CK780" s="53"/>
    </row>
    <row r="781" spans="1:89" s="25" customFormat="1" ht="33" customHeight="1">
      <c r="A781" s="74"/>
      <c r="B781" s="74"/>
      <c r="C781" s="74"/>
      <c r="D781" s="74"/>
      <c r="E781" s="74"/>
      <c r="F781" s="74"/>
      <c r="G781" s="75"/>
      <c r="H781" s="76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  <c r="AZ781" s="53"/>
      <c r="BA781" s="53"/>
      <c r="BB781" s="53"/>
      <c r="BC781" s="53"/>
      <c r="BD781" s="53"/>
      <c r="BE781" s="53"/>
      <c r="BF781" s="53"/>
      <c r="BG781" s="53"/>
      <c r="BH781" s="53"/>
      <c r="BI781" s="53"/>
      <c r="BJ781" s="53"/>
      <c r="BK781" s="53"/>
      <c r="BL781" s="53"/>
      <c r="BM781" s="53"/>
      <c r="BN781" s="53"/>
      <c r="BO781" s="53"/>
      <c r="BP781" s="53"/>
      <c r="BQ781" s="53"/>
      <c r="BR781" s="53"/>
      <c r="BS781" s="53"/>
      <c r="BT781" s="53"/>
      <c r="BU781" s="53"/>
      <c r="BV781" s="53"/>
      <c r="BW781" s="53"/>
      <c r="BX781" s="53"/>
      <c r="BY781" s="53"/>
      <c r="BZ781" s="53"/>
      <c r="CA781" s="53"/>
      <c r="CB781" s="53"/>
      <c r="CC781" s="53"/>
      <c r="CD781" s="53"/>
      <c r="CE781" s="53"/>
      <c r="CF781" s="53"/>
      <c r="CG781" s="53"/>
      <c r="CH781" s="53"/>
      <c r="CI781" s="53"/>
      <c r="CJ781" s="53"/>
      <c r="CK781" s="53"/>
    </row>
    <row r="782" spans="1:89" s="25" customFormat="1" ht="33" customHeight="1">
      <c r="A782" s="74"/>
      <c r="B782" s="74"/>
      <c r="C782" s="74"/>
      <c r="D782" s="74"/>
      <c r="E782" s="74"/>
      <c r="F782" s="74"/>
      <c r="G782" s="75"/>
      <c r="H782" s="76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  <c r="BE782" s="53"/>
      <c r="BF782" s="53"/>
      <c r="BG782" s="53"/>
      <c r="BH782" s="53"/>
      <c r="BI782" s="53"/>
      <c r="BJ782" s="53"/>
      <c r="BK782" s="53"/>
      <c r="BL782" s="53"/>
      <c r="BM782" s="53"/>
      <c r="BN782" s="53"/>
      <c r="BO782" s="53"/>
      <c r="BP782" s="53"/>
      <c r="BQ782" s="53"/>
      <c r="BR782" s="53"/>
      <c r="BS782" s="53"/>
      <c r="BT782" s="53"/>
      <c r="BU782" s="53"/>
      <c r="BV782" s="53"/>
      <c r="BW782" s="53"/>
      <c r="BX782" s="53"/>
      <c r="BY782" s="53"/>
      <c r="BZ782" s="53"/>
      <c r="CA782" s="53"/>
      <c r="CB782" s="53"/>
      <c r="CC782" s="53"/>
      <c r="CD782" s="53"/>
      <c r="CE782" s="53"/>
      <c r="CF782" s="53"/>
      <c r="CG782" s="53"/>
      <c r="CH782" s="53"/>
      <c r="CI782" s="53"/>
      <c r="CJ782" s="53"/>
      <c r="CK782" s="53"/>
    </row>
    <row r="783" spans="1:89" s="25" customFormat="1" ht="33" customHeight="1">
      <c r="A783" s="74"/>
      <c r="B783" s="74"/>
      <c r="C783" s="74"/>
      <c r="D783" s="74"/>
      <c r="E783" s="74"/>
      <c r="F783" s="74"/>
      <c r="G783" s="75"/>
      <c r="H783" s="76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  <c r="AZ783" s="53"/>
      <c r="BA783" s="53"/>
      <c r="BB783" s="53"/>
      <c r="BC783" s="53"/>
      <c r="BD783" s="53"/>
      <c r="BE783" s="53"/>
      <c r="BF783" s="53"/>
      <c r="BG783" s="53"/>
      <c r="BH783" s="53"/>
      <c r="BI783" s="53"/>
      <c r="BJ783" s="53"/>
      <c r="BK783" s="53"/>
      <c r="BL783" s="53"/>
      <c r="BM783" s="53"/>
      <c r="BN783" s="53"/>
      <c r="BO783" s="53"/>
      <c r="BP783" s="53"/>
      <c r="BQ783" s="53"/>
      <c r="BR783" s="53"/>
      <c r="BS783" s="53"/>
      <c r="BT783" s="53"/>
      <c r="BU783" s="53"/>
      <c r="BV783" s="53"/>
      <c r="BW783" s="53"/>
      <c r="BX783" s="53"/>
      <c r="BY783" s="53"/>
      <c r="BZ783" s="53"/>
      <c r="CA783" s="53"/>
      <c r="CB783" s="53"/>
      <c r="CC783" s="53"/>
      <c r="CD783" s="53"/>
      <c r="CE783" s="53"/>
      <c r="CF783" s="53"/>
      <c r="CG783" s="53"/>
      <c r="CH783" s="53"/>
      <c r="CI783" s="53"/>
      <c r="CJ783" s="53"/>
      <c r="CK783" s="53"/>
    </row>
    <row r="784" spans="1:89" s="25" customFormat="1" ht="33" customHeight="1">
      <c r="A784" s="74"/>
      <c r="B784" s="74"/>
      <c r="C784" s="74"/>
      <c r="D784" s="74"/>
      <c r="E784" s="74"/>
      <c r="F784" s="74"/>
      <c r="G784" s="75"/>
      <c r="H784" s="76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  <c r="AZ784" s="53"/>
      <c r="BA784" s="53"/>
      <c r="BB784" s="53"/>
      <c r="BC784" s="53"/>
      <c r="BD784" s="53"/>
      <c r="BE784" s="53"/>
      <c r="BF784" s="53"/>
      <c r="BG784" s="53"/>
      <c r="BH784" s="53"/>
      <c r="BI784" s="53"/>
      <c r="BJ784" s="53"/>
      <c r="BK784" s="53"/>
      <c r="BL784" s="53"/>
      <c r="BM784" s="53"/>
      <c r="BN784" s="53"/>
      <c r="BO784" s="53"/>
      <c r="BP784" s="53"/>
      <c r="BQ784" s="53"/>
      <c r="BR784" s="53"/>
      <c r="BS784" s="53"/>
      <c r="BT784" s="53"/>
      <c r="BU784" s="53"/>
      <c r="BV784" s="53"/>
      <c r="BW784" s="53"/>
      <c r="BX784" s="53"/>
      <c r="BY784" s="53"/>
      <c r="BZ784" s="53"/>
      <c r="CA784" s="53"/>
      <c r="CB784" s="53"/>
      <c r="CC784" s="53"/>
      <c r="CD784" s="53"/>
      <c r="CE784" s="53"/>
      <c r="CF784" s="53"/>
      <c r="CG784" s="53"/>
      <c r="CH784" s="53"/>
      <c r="CI784" s="53"/>
      <c r="CJ784" s="53"/>
      <c r="CK784" s="53"/>
    </row>
    <row r="785" spans="1:89" s="25" customFormat="1" ht="33" customHeight="1">
      <c r="A785" s="74"/>
      <c r="B785" s="74"/>
      <c r="C785" s="74"/>
      <c r="D785" s="74"/>
      <c r="E785" s="74"/>
      <c r="F785" s="74"/>
      <c r="G785" s="75"/>
      <c r="H785" s="76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  <c r="AZ785" s="53"/>
      <c r="BA785" s="53"/>
      <c r="BB785" s="53"/>
      <c r="BC785" s="53"/>
      <c r="BD785" s="53"/>
      <c r="BE785" s="53"/>
      <c r="BF785" s="53"/>
      <c r="BG785" s="53"/>
      <c r="BH785" s="53"/>
      <c r="BI785" s="53"/>
      <c r="BJ785" s="53"/>
      <c r="BK785" s="53"/>
      <c r="BL785" s="53"/>
      <c r="BM785" s="53"/>
      <c r="BN785" s="53"/>
      <c r="BO785" s="53"/>
      <c r="BP785" s="53"/>
      <c r="BQ785" s="53"/>
      <c r="BR785" s="53"/>
      <c r="BS785" s="53"/>
      <c r="BT785" s="53"/>
      <c r="BU785" s="53"/>
      <c r="BV785" s="53"/>
      <c r="BW785" s="53"/>
      <c r="BX785" s="53"/>
      <c r="BY785" s="53"/>
      <c r="BZ785" s="53"/>
      <c r="CA785" s="53"/>
      <c r="CB785" s="53"/>
      <c r="CC785" s="53"/>
      <c r="CD785" s="53"/>
      <c r="CE785" s="53"/>
      <c r="CF785" s="53"/>
      <c r="CG785" s="53"/>
      <c r="CH785" s="53"/>
      <c r="CI785" s="53"/>
      <c r="CJ785" s="53"/>
      <c r="CK785" s="53"/>
    </row>
    <row r="786" spans="1:89" s="25" customFormat="1" ht="33" customHeight="1">
      <c r="A786" s="74"/>
      <c r="B786" s="74"/>
      <c r="C786" s="74"/>
      <c r="D786" s="74"/>
      <c r="E786" s="74"/>
      <c r="F786" s="74"/>
      <c r="G786" s="75"/>
      <c r="H786" s="76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  <c r="AZ786" s="53"/>
      <c r="BA786" s="53"/>
      <c r="BB786" s="53"/>
      <c r="BC786" s="53"/>
      <c r="BD786" s="53"/>
      <c r="BE786" s="53"/>
      <c r="BF786" s="53"/>
      <c r="BG786" s="53"/>
      <c r="BH786" s="53"/>
      <c r="BI786" s="53"/>
      <c r="BJ786" s="53"/>
      <c r="BK786" s="53"/>
      <c r="BL786" s="53"/>
      <c r="BM786" s="53"/>
      <c r="BN786" s="53"/>
      <c r="BO786" s="53"/>
      <c r="BP786" s="53"/>
      <c r="BQ786" s="53"/>
      <c r="BR786" s="53"/>
      <c r="BS786" s="53"/>
      <c r="BT786" s="53"/>
      <c r="BU786" s="53"/>
      <c r="BV786" s="53"/>
      <c r="BW786" s="53"/>
      <c r="BX786" s="53"/>
      <c r="BY786" s="53"/>
      <c r="BZ786" s="53"/>
      <c r="CA786" s="53"/>
      <c r="CB786" s="53"/>
      <c r="CC786" s="53"/>
      <c r="CD786" s="53"/>
      <c r="CE786" s="53"/>
      <c r="CF786" s="53"/>
      <c r="CG786" s="53"/>
      <c r="CH786" s="53"/>
      <c r="CI786" s="53"/>
      <c r="CJ786" s="53"/>
      <c r="CK786" s="53"/>
    </row>
    <row r="787" spans="1:89" s="25" customFormat="1" ht="33" customHeight="1">
      <c r="A787" s="74"/>
      <c r="B787" s="74"/>
      <c r="C787" s="74"/>
      <c r="D787" s="74"/>
      <c r="E787" s="74"/>
      <c r="F787" s="74"/>
      <c r="G787" s="75"/>
      <c r="H787" s="76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  <c r="AZ787" s="53"/>
      <c r="BA787" s="53"/>
      <c r="BB787" s="53"/>
      <c r="BC787" s="53"/>
      <c r="BD787" s="53"/>
      <c r="BE787" s="53"/>
      <c r="BF787" s="53"/>
      <c r="BG787" s="53"/>
      <c r="BH787" s="53"/>
      <c r="BI787" s="53"/>
      <c r="BJ787" s="53"/>
      <c r="BK787" s="53"/>
      <c r="BL787" s="53"/>
      <c r="BM787" s="53"/>
      <c r="BN787" s="53"/>
      <c r="BO787" s="53"/>
      <c r="BP787" s="53"/>
      <c r="BQ787" s="53"/>
      <c r="BR787" s="53"/>
      <c r="BS787" s="53"/>
      <c r="BT787" s="53"/>
      <c r="BU787" s="53"/>
      <c r="BV787" s="53"/>
      <c r="BW787" s="53"/>
      <c r="BX787" s="53"/>
      <c r="BY787" s="53"/>
      <c r="BZ787" s="53"/>
      <c r="CA787" s="53"/>
      <c r="CB787" s="53"/>
      <c r="CC787" s="53"/>
      <c r="CD787" s="53"/>
      <c r="CE787" s="53"/>
      <c r="CF787" s="53"/>
      <c r="CG787" s="53"/>
      <c r="CH787" s="53"/>
      <c r="CI787" s="53"/>
      <c r="CJ787" s="53"/>
      <c r="CK787" s="53"/>
    </row>
    <row r="788" spans="1:89" s="25" customFormat="1" ht="33" customHeight="1">
      <c r="A788" s="74"/>
      <c r="B788" s="74"/>
      <c r="C788" s="74"/>
      <c r="D788" s="74"/>
      <c r="E788" s="74"/>
      <c r="F788" s="74"/>
      <c r="G788" s="75"/>
      <c r="H788" s="76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  <c r="AZ788" s="53"/>
      <c r="BA788" s="53"/>
      <c r="BB788" s="53"/>
      <c r="BC788" s="53"/>
      <c r="BD788" s="53"/>
      <c r="BE788" s="53"/>
      <c r="BF788" s="53"/>
      <c r="BG788" s="53"/>
      <c r="BH788" s="53"/>
      <c r="BI788" s="53"/>
      <c r="BJ788" s="53"/>
      <c r="BK788" s="53"/>
      <c r="BL788" s="53"/>
      <c r="BM788" s="53"/>
      <c r="BN788" s="53"/>
      <c r="BO788" s="53"/>
      <c r="BP788" s="53"/>
      <c r="BQ788" s="53"/>
      <c r="BR788" s="53"/>
      <c r="BS788" s="53"/>
      <c r="BT788" s="53"/>
      <c r="BU788" s="53"/>
      <c r="BV788" s="53"/>
      <c r="BW788" s="53"/>
      <c r="BX788" s="53"/>
      <c r="BY788" s="53"/>
      <c r="BZ788" s="53"/>
      <c r="CA788" s="53"/>
      <c r="CB788" s="53"/>
      <c r="CC788" s="53"/>
      <c r="CD788" s="53"/>
      <c r="CE788" s="53"/>
      <c r="CF788" s="53"/>
      <c r="CG788" s="53"/>
      <c r="CH788" s="53"/>
      <c r="CI788" s="53"/>
      <c r="CJ788" s="53"/>
      <c r="CK788" s="53"/>
    </row>
    <row r="789" spans="1:89" s="25" customFormat="1" ht="33" customHeight="1">
      <c r="A789" s="74"/>
      <c r="B789" s="74"/>
      <c r="C789" s="74"/>
      <c r="D789" s="74"/>
      <c r="E789" s="74"/>
      <c r="F789" s="74"/>
      <c r="G789" s="75"/>
      <c r="H789" s="76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  <c r="AZ789" s="53"/>
      <c r="BA789" s="53"/>
      <c r="BB789" s="53"/>
      <c r="BC789" s="53"/>
      <c r="BD789" s="53"/>
      <c r="BE789" s="53"/>
      <c r="BF789" s="53"/>
      <c r="BG789" s="53"/>
      <c r="BH789" s="53"/>
      <c r="BI789" s="53"/>
      <c r="BJ789" s="53"/>
      <c r="BK789" s="53"/>
      <c r="BL789" s="53"/>
      <c r="BM789" s="53"/>
      <c r="BN789" s="53"/>
      <c r="BO789" s="53"/>
      <c r="BP789" s="53"/>
      <c r="BQ789" s="53"/>
      <c r="BR789" s="53"/>
      <c r="BS789" s="53"/>
      <c r="BT789" s="53"/>
      <c r="BU789" s="53"/>
      <c r="BV789" s="53"/>
      <c r="BW789" s="53"/>
      <c r="BX789" s="53"/>
      <c r="BY789" s="53"/>
      <c r="BZ789" s="53"/>
      <c r="CA789" s="53"/>
      <c r="CB789" s="53"/>
      <c r="CC789" s="53"/>
      <c r="CD789" s="53"/>
      <c r="CE789" s="53"/>
      <c r="CF789" s="53"/>
      <c r="CG789" s="53"/>
      <c r="CH789" s="53"/>
      <c r="CI789" s="53"/>
      <c r="CJ789" s="53"/>
      <c r="CK789" s="53"/>
    </row>
    <row r="790" spans="1:89" s="25" customFormat="1" ht="33" customHeight="1">
      <c r="A790" s="74"/>
      <c r="B790" s="74"/>
      <c r="C790" s="74"/>
      <c r="D790" s="74"/>
      <c r="E790" s="74"/>
      <c r="F790" s="74"/>
      <c r="G790" s="75"/>
      <c r="H790" s="76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53"/>
      <c r="AX790" s="53"/>
      <c r="AY790" s="53"/>
      <c r="AZ790" s="53"/>
      <c r="BA790" s="53"/>
      <c r="BB790" s="53"/>
      <c r="BC790" s="53"/>
      <c r="BD790" s="53"/>
      <c r="BE790" s="53"/>
      <c r="BF790" s="53"/>
      <c r="BG790" s="53"/>
      <c r="BH790" s="53"/>
      <c r="BI790" s="53"/>
      <c r="BJ790" s="53"/>
      <c r="BK790" s="53"/>
      <c r="BL790" s="53"/>
      <c r="BM790" s="53"/>
      <c r="BN790" s="53"/>
      <c r="BO790" s="53"/>
      <c r="BP790" s="53"/>
      <c r="BQ790" s="53"/>
      <c r="BR790" s="53"/>
      <c r="BS790" s="53"/>
      <c r="BT790" s="53"/>
      <c r="BU790" s="53"/>
      <c r="BV790" s="53"/>
      <c r="BW790" s="53"/>
      <c r="BX790" s="53"/>
      <c r="BY790" s="53"/>
      <c r="BZ790" s="53"/>
      <c r="CA790" s="53"/>
      <c r="CB790" s="53"/>
      <c r="CC790" s="53"/>
      <c r="CD790" s="53"/>
      <c r="CE790" s="53"/>
      <c r="CF790" s="53"/>
      <c r="CG790" s="53"/>
      <c r="CH790" s="53"/>
      <c r="CI790" s="53"/>
      <c r="CJ790" s="53"/>
      <c r="CK790" s="53"/>
    </row>
    <row r="791" spans="1:89" s="25" customFormat="1" ht="33" customHeight="1">
      <c r="A791" s="74"/>
      <c r="B791" s="74"/>
      <c r="C791" s="74"/>
      <c r="D791" s="74"/>
      <c r="E791" s="74"/>
      <c r="F791" s="74"/>
      <c r="G791" s="75"/>
      <c r="H791" s="76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  <c r="AZ791" s="53"/>
      <c r="BA791" s="53"/>
      <c r="BB791" s="53"/>
      <c r="BC791" s="53"/>
      <c r="BD791" s="53"/>
      <c r="BE791" s="53"/>
      <c r="BF791" s="53"/>
      <c r="BG791" s="53"/>
      <c r="BH791" s="53"/>
      <c r="BI791" s="53"/>
      <c r="BJ791" s="53"/>
      <c r="BK791" s="53"/>
      <c r="BL791" s="53"/>
      <c r="BM791" s="53"/>
      <c r="BN791" s="53"/>
      <c r="BO791" s="53"/>
      <c r="BP791" s="53"/>
      <c r="BQ791" s="53"/>
      <c r="BR791" s="53"/>
      <c r="BS791" s="53"/>
      <c r="BT791" s="53"/>
      <c r="BU791" s="53"/>
      <c r="BV791" s="53"/>
      <c r="BW791" s="53"/>
      <c r="BX791" s="53"/>
      <c r="BY791" s="53"/>
      <c r="BZ791" s="53"/>
      <c r="CA791" s="53"/>
      <c r="CB791" s="53"/>
      <c r="CC791" s="53"/>
      <c r="CD791" s="53"/>
      <c r="CE791" s="53"/>
      <c r="CF791" s="53"/>
      <c r="CG791" s="53"/>
      <c r="CH791" s="53"/>
      <c r="CI791" s="53"/>
      <c r="CJ791" s="53"/>
      <c r="CK791" s="53"/>
    </row>
    <row r="792" spans="1:89" s="25" customFormat="1" ht="33" customHeight="1">
      <c r="A792" s="74"/>
      <c r="B792" s="74"/>
      <c r="C792" s="74"/>
      <c r="D792" s="74"/>
      <c r="E792" s="74"/>
      <c r="F792" s="74"/>
      <c r="G792" s="75"/>
      <c r="H792" s="76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53"/>
      <c r="AX792" s="53"/>
      <c r="AY792" s="53"/>
      <c r="AZ792" s="53"/>
      <c r="BA792" s="53"/>
      <c r="BB792" s="53"/>
      <c r="BC792" s="53"/>
      <c r="BD792" s="53"/>
      <c r="BE792" s="53"/>
      <c r="BF792" s="53"/>
      <c r="BG792" s="53"/>
      <c r="BH792" s="53"/>
      <c r="BI792" s="53"/>
      <c r="BJ792" s="53"/>
      <c r="BK792" s="53"/>
      <c r="BL792" s="53"/>
      <c r="BM792" s="53"/>
      <c r="BN792" s="53"/>
      <c r="BO792" s="53"/>
      <c r="BP792" s="53"/>
      <c r="BQ792" s="53"/>
      <c r="BR792" s="53"/>
      <c r="BS792" s="53"/>
      <c r="BT792" s="53"/>
      <c r="BU792" s="53"/>
      <c r="BV792" s="53"/>
      <c r="BW792" s="53"/>
      <c r="BX792" s="53"/>
      <c r="BY792" s="53"/>
      <c r="BZ792" s="53"/>
      <c r="CA792" s="53"/>
      <c r="CB792" s="53"/>
      <c r="CC792" s="53"/>
      <c r="CD792" s="53"/>
      <c r="CE792" s="53"/>
      <c r="CF792" s="53"/>
      <c r="CG792" s="53"/>
      <c r="CH792" s="53"/>
      <c r="CI792" s="53"/>
      <c r="CJ792" s="53"/>
      <c r="CK792" s="53"/>
    </row>
    <row r="793" spans="1:89" s="25" customFormat="1" ht="33" customHeight="1">
      <c r="A793" s="74"/>
      <c r="B793" s="74"/>
      <c r="C793" s="74"/>
      <c r="D793" s="74"/>
      <c r="E793" s="74"/>
      <c r="F793" s="74"/>
      <c r="G793" s="75"/>
      <c r="H793" s="76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53"/>
      <c r="AX793" s="53"/>
      <c r="AY793" s="53"/>
      <c r="AZ793" s="53"/>
      <c r="BA793" s="53"/>
      <c r="BB793" s="53"/>
      <c r="BC793" s="53"/>
      <c r="BD793" s="53"/>
      <c r="BE793" s="53"/>
      <c r="BF793" s="53"/>
      <c r="BG793" s="53"/>
      <c r="BH793" s="53"/>
      <c r="BI793" s="53"/>
      <c r="BJ793" s="53"/>
      <c r="BK793" s="53"/>
      <c r="BL793" s="53"/>
      <c r="BM793" s="53"/>
      <c r="BN793" s="53"/>
      <c r="BO793" s="53"/>
      <c r="BP793" s="53"/>
      <c r="BQ793" s="53"/>
      <c r="BR793" s="53"/>
      <c r="BS793" s="53"/>
      <c r="BT793" s="53"/>
      <c r="BU793" s="53"/>
      <c r="BV793" s="53"/>
      <c r="BW793" s="53"/>
      <c r="BX793" s="53"/>
      <c r="BY793" s="53"/>
      <c r="BZ793" s="53"/>
      <c r="CA793" s="53"/>
      <c r="CB793" s="53"/>
      <c r="CC793" s="53"/>
      <c r="CD793" s="53"/>
      <c r="CE793" s="53"/>
      <c r="CF793" s="53"/>
      <c r="CG793" s="53"/>
      <c r="CH793" s="53"/>
      <c r="CI793" s="53"/>
      <c r="CJ793" s="53"/>
      <c r="CK793" s="53"/>
    </row>
    <row r="794" spans="1:89" s="25" customFormat="1" ht="33" customHeight="1">
      <c r="A794" s="74"/>
      <c r="B794" s="74"/>
      <c r="C794" s="74"/>
      <c r="D794" s="74"/>
      <c r="E794" s="74"/>
      <c r="F794" s="74"/>
      <c r="G794" s="75"/>
      <c r="H794" s="76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  <c r="AZ794" s="53"/>
      <c r="BA794" s="53"/>
      <c r="BB794" s="53"/>
      <c r="BC794" s="53"/>
      <c r="BD794" s="53"/>
      <c r="BE794" s="53"/>
      <c r="BF794" s="53"/>
      <c r="BG794" s="53"/>
      <c r="BH794" s="53"/>
      <c r="BI794" s="53"/>
      <c r="BJ794" s="53"/>
      <c r="BK794" s="53"/>
      <c r="BL794" s="53"/>
      <c r="BM794" s="53"/>
      <c r="BN794" s="53"/>
      <c r="BO794" s="53"/>
      <c r="BP794" s="53"/>
      <c r="BQ794" s="53"/>
      <c r="BR794" s="53"/>
      <c r="BS794" s="53"/>
      <c r="BT794" s="53"/>
      <c r="BU794" s="53"/>
      <c r="BV794" s="53"/>
      <c r="BW794" s="53"/>
      <c r="BX794" s="53"/>
      <c r="BY794" s="53"/>
      <c r="BZ794" s="53"/>
      <c r="CA794" s="53"/>
      <c r="CB794" s="53"/>
      <c r="CC794" s="53"/>
      <c r="CD794" s="53"/>
      <c r="CE794" s="53"/>
      <c r="CF794" s="53"/>
      <c r="CG794" s="53"/>
      <c r="CH794" s="53"/>
      <c r="CI794" s="53"/>
      <c r="CJ794" s="53"/>
      <c r="CK794" s="53"/>
    </row>
    <row r="795" spans="1:89" s="25" customFormat="1" ht="33" customHeight="1">
      <c r="A795" s="74"/>
      <c r="B795" s="74"/>
      <c r="C795" s="74"/>
      <c r="D795" s="74"/>
      <c r="E795" s="74"/>
      <c r="F795" s="74"/>
      <c r="G795" s="75"/>
      <c r="H795" s="76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53"/>
      <c r="AX795" s="53"/>
      <c r="AY795" s="53"/>
      <c r="AZ795" s="53"/>
      <c r="BA795" s="53"/>
      <c r="BB795" s="53"/>
      <c r="BC795" s="53"/>
      <c r="BD795" s="53"/>
      <c r="BE795" s="53"/>
      <c r="BF795" s="53"/>
      <c r="BG795" s="53"/>
      <c r="BH795" s="53"/>
      <c r="BI795" s="53"/>
      <c r="BJ795" s="53"/>
      <c r="BK795" s="53"/>
      <c r="BL795" s="53"/>
      <c r="BM795" s="53"/>
      <c r="BN795" s="53"/>
      <c r="BO795" s="53"/>
      <c r="BP795" s="53"/>
      <c r="BQ795" s="53"/>
      <c r="BR795" s="53"/>
      <c r="BS795" s="53"/>
      <c r="BT795" s="53"/>
      <c r="BU795" s="53"/>
      <c r="BV795" s="53"/>
      <c r="BW795" s="53"/>
      <c r="BX795" s="53"/>
      <c r="BY795" s="53"/>
      <c r="BZ795" s="53"/>
      <c r="CA795" s="53"/>
      <c r="CB795" s="53"/>
      <c r="CC795" s="53"/>
      <c r="CD795" s="53"/>
      <c r="CE795" s="53"/>
      <c r="CF795" s="53"/>
      <c r="CG795" s="53"/>
      <c r="CH795" s="53"/>
      <c r="CI795" s="53"/>
      <c r="CJ795" s="53"/>
      <c r="CK795" s="53"/>
    </row>
    <row r="796" spans="1:89" s="25" customFormat="1" ht="33" customHeight="1">
      <c r="A796" s="74"/>
      <c r="B796" s="74"/>
      <c r="C796" s="74"/>
      <c r="D796" s="74"/>
      <c r="E796" s="74"/>
      <c r="F796" s="74"/>
      <c r="G796" s="75"/>
      <c r="H796" s="76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53"/>
      <c r="AX796" s="53"/>
      <c r="AY796" s="53"/>
      <c r="AZ796" s="53"/>
      <c r="BA796" s="53"/>
      <c r="BB796" s="53"/>
      <c r="BC796" s="53"/>
      <c r="BD796" s="53"/>
      <c r="BE796" s="53"/>
      <c r="BF796" s="53"/>
      <c r="BG796" s="53"/>
      <c r="BH796" s="53"/>
      <c r="BI796" s="53"/>
      <c r="BJ796" s="53"/>
      <c r="BK796" s="53"/>
      <c r="BL796" s="53"/>
      <c r="BM796" s="53"/>
      <c r="BN796" s="53"/>
      <c r="BO796" s="53"/>
      <c r="BP796" s="53"/>
      <c r="BQ796" s="53"/>
      <c r="BR796" s="53"/>
      <c r="BS796" s="53"/>
      <c r="BT796" s="53"/>
      <c r="BU796" s="53"/>
      <c r="BV796" s="53"/>
      <c r="BW796" s="53"/>
      <c r="BX796" s="53"/>
      <c r="BY796" s="53"/>
      <c r="BZ796" s="53"/>
      <c r="CA796" s="53"/>
      <c r="CB796" s="53"/>
      <c r="CC796" s="53"/>
      <c r="CD796" s="53"/>
      <c r="CE796" s="53"/>
      <c r="CF796" s="53"/>
      <c r="CG796" s="53"/>
      <c r="CH796" s="53"/>
      <c r="CI796" s="53"/>
      <c r="CJ796" s="53"/>
      <c r="CK796" s="53"/>
    </row>
    <row r="797" spans="1:89" s="25" customFormat="1" ht="33" customHeight="1">
      <c r="A797" s="74"/>
      <c r="B797" s="74"/>
      <c r="C797" s="74"/>
      <c r="D797" s="74"/>
      <c r="E797" s="74"/>
      <c r="F797" s="74"/>
      <c r="G797" s="75"/>
      <c r="H797" s="76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3"/>
      <c r="BA797" s="53"/>
      <c r="BB797" s="53"/>
      <c r="BC797" s="53"/>
      <c r="BD797" s="53"/>
      <c r="BE797" s="53"/>
      <c r="BF797" s="53"/>
      <c r="BG797" s="53"/>
      <c r="BH797" s="53"/>
      <c r="BI797" s="53"/>
      <c r="BJ797" s="53"/>
      <c r="BK797" s="53"/>
      <c r="BL797" s="53"/>
      <c r="BM797" s="53"/>
      <c r="BN797" s="53"/>
      <c r="BO797" s="53"/>
      <c r="BP797" s="53"/>
      <c r="BQ797" s="53"/>
      <c r="BR797" s="53"/>
      <c r="BS797" s="53"/>
      <c r="BT797" s="53"/>
      <c r="BU797" s="53"/>
      <c r="BV797" s="53"/>
      <c r="BW797" s="53"/>
      <c r="BX797" s="53"/>
      <c r="BY797" s="53"/>
      <c r="BZ797" s="53"/>
      <c r="CA797" s="53"/>
      <c r="CB797" s="53"/>
      <c r="CC797" s="53"/>
      <c r="CD797" s="53"/>
      <c r="CE797" s="53"/>
      <c r="CF797" s="53"/>
      <c r="CG797" s="53"/>
      <c r="CH797" s="53"/>
      <c r="CI797" s="53"/>
      <c r="CJ797" s="53"/>
      <c r="CK797" s="53"/>
    </row>
    <row r="798" spans="1:89" s="25" customFormat="1" ht="33" customHeight="1">
      <c r="A798" s="74"/>
      <c r="B798" s="74"/>
      <c r="C798" s="74"/>
      <c r="D798" s="74"/>
      <c r="E798" s="74"/>
      <c r="F798" s="74"/>
      <c r="G798" s="75"/>
      <c r="H798" s="76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53"/>
      <c r="AX798" s="53"/>
      <c r="AY798" s="53"/>
      <c r="AZ798" s="53"/>
      <c r="BA798" s="53"/>
      <c r="BB798" s="53"/>
      <c r="BC798" s="53"/>
      <c r="BD798" s="53"/>
      <c r="BE798" s="53"/>
      <c r="BF798" s="53"/>
      <c r="BG798" s="53"/>
      <c r="BH798" s="53"/>
      <c r="BI798" s="53"/>
      <c r="BJ798" s="53"/>
      <c r="BK798" s="53"/>
      <c r="BL798" s="53"/>
      <c r="BM798" s="53"/>
      <c r="BN798" s="53"/>
      <c r="BO798" s="53"/>
      <c r="BP798" s="53"/>
      <c r="BQ798" s="53"/>
      <c r="BR798" s="53"/>
      <c r="BS798" s="53"/>
      <c r="BT798" s="53"/>
      <c r="BU798" s="53"/>
      <c r="BV798" s="53"/>
      <c r="BW798" s="53"/>
      <c r="BX798" s="53"/>
      <c r="BY798" s="53"/>
      <c r="BZ798" s="53"/>
      <c r="CA798" s="53"/>
      <c r="CB798" s="53"/>
      <c r="CC798" s="53"/>
      <c r="CD798" s="53"/>
      <c r="CE798" s="53"/>
      <c r="CF798" s="53"/>
      <c r="CG798" s="53"/>
      <c r="CH798" s="53"/>
      <c r="CI798" s="53"/>
      <c r="CJ798" s="53"/>
      <c r="CK798" s="53"/>
    </row>
    <row r="799" spans="1:89" s="25" customFormat="1" ht="33" customHeight="1">
      <c r="A799" s="74"/>
      <c r="B799" s="74"/>
      <c r="C799" s="74"/>
      <c r="D799" s="74"/>
      <c r="E799" s="74"/>
      <c r="F799" s="74"/>
      <c r="G799" s="75"/>
      <c r="H799" s="76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53"/>
      <c r="AX799" s="53"/>
      <c r="AY799" s="53"/>
      <c r="AZ799" s="53"/>
      <c r="BA799" s="53"/>
      <c r="BB799" s="53"/>
      <c r="BC799" s="53"/>
      <c r="BD799" s="53"/>
      <c r="BE799" s="53"/>
      <c r="BF799" s="53"/>
      <c r="BG799" s="53"/>
      <c r="BH799" s="53"/>
      <c r="BI799" s="53"/>
      <c r="BJ799" s="53"/>
      <c r="BK799" s="53"/>
      <c r="BL799" s="53"/>
      <c r="BM799" s="53"/>
      <c r="BN799" s="53"/>
      <c r="BO799" s="53"/>
      <c r="BP799" s="53"/>
      <c r="BQ799" s="53"/>
      <c r="BR799" s="53"/>
      <c r="BS799" s="53"/>
      <c r="BT799" s="53"/>
      <c r="BU799" s="53"/>
      <c r="BV799" s="53"/>
      <c r="BW799" s="53"/>
      <c r="BX799" s="53"/>
      <c r="BY799" s="53"/>
      <c r="BZ799" s="53"/>
      <c r="CA799" s="53"/>
      <c r="CB799" s="53"/>
      <c r="CC799" s="53"/>
      <c r="CD799" s="53"/>
      <c r="CE799" s="53"/>
      <c r="CF799" s="53"/>
      <c r="CG799" s="53"/>
      <c r="CH799" s="53"/>
      <c r="CI799" s="53"/>
      <c r="CJ799" s="53"/>
      <c r="CK799" s="53"/>
    </row>
    <row r="800" spans="1:89" s="25" customFormat="1" ht="33" customHeight="1">
      <c r="A800" s="74"/>
      <c r="B800" s="74"/>
      <c r="C800" s="74"/>
      <c r="D800" s="74"/>
      <c r="E800" s="74"/>
      <c r="F800" s="74"/>
      <c r="G800" s="75"/>
      <c r="H800" s="76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  <c r="AZ800" s="53"/>
      <c r="BA800" s="53"/>
      <c r="BB800" s="53"/>
      <c r="BC800" s="53"/>
      <c r="BD800" s="53"/>
      <c r="BE800" s="53"/>
      <c r="BF800" s="53"/>
      <c r="BG800" s="53"/>
      <c r="BH800" s="53"/>
      <c r="BI800" s="53"/>
      <c r="BJ800" s="53"/>
      <c r="BK800" s="53"/>
      <c r="BL800" s="53"/>
      <c r="BM800" s="53"/>
      <c r="BN800" s="53"/>
      <c r="BO800" s="53"/>
      <c r="BP800" s="53"/>
      <c r="BQ800" s="53"/>
      <c r="BR800" s="53"/>
      <c r="BS800" s="53"/>
      <c r="BT800" s="53"/>
      <c r="BU800" s="53"/>
      <c r="BV800" s="53"/>
      <c r="BW800" s="53"/>
      <c r="BX800" s="53"/>
      <c r="BY800" s="53"/>
      <c r="BZ800" s="53"/>
      <c r="CA800" s="53"/>
      <c r="CB800" s="53"/>
      <c r="CC800" s="53"/>
      <c r="CD800" s="53"/>
      <c r="CE800" s="53"/>
      <c r="CF800" s="53"/>
      <c r="CG800" s="53"/>
      <c r="CH800" s="53"/>
      <c r="CI800" s="53"/>
      <c r="CJ800" s="53"/>
      <c r="CK800" s="53"/>
    </row>
    <row r="801" spans="1:89" s="25" customFormat="1" ht="33" customHeight="1">
      <c r="A801" s="74"/>
      <c r="B801" s="74"/>
      <c r="C801" s="74"/>
      <c r="D801" s="74"/>
      <c r="E801" s="74"/>
      <c r="F801" s="74"/>
      <c r="G801" s="75"/>
      <c r="H801" s="76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53"/>
      <c r="AZ801" s="53"/>
      <c r="BA801" s="53"/>
      <c r="BB801" s="53"/>
      <c r="BC801" s="53"/>
      <c r="BD801" s="53"/>
      <c r="BE801" s="53"/>
      <c r="BF801" s="53"/>
      <c r="BG801" s="53"/>
      <c r="BH801" s="53"/>
      <c r="BI801" s="53"/>
      <c r="BJ801" s="53"/>
      <c r="BK801" s="53"/>
      <c r="BL801" s="53"/>
      <c r="BM801" s="53"/>
      <c r="BN801" s="53"/>
      <c r="BO801" s="53"/>
      <c r="BP801" s="53"/>
      <c r="BQ801" s="53"/>
      <c r="BR801" s="53"/>
      <c r="BS801" s="53"/>
      <c r="BT801" s="53"/>
      <c r="BU801" s="53"/>
      <c r="BV801" s="53"/>
      <c r="BW801" s="53"/>
      <c r="BX801" s="53"/>
      <c r="BY801" s="53"/>
      <c r="BZ801" s="53"/>
      <c r="CA801" s="53"/>
      <c r="CB801" s="53"/>
      <c r="CC801" s="53"/>
      <c r="CD801" s="53"/>
      <c r="CE801" s="53"/>
      <c r="CF801" s="53"/>
      <c r="CG801" s="53"/>
      <c r="CH801" s="53"/>
      <c r="CI801" s="53"/>
      <c r="CJ801" s="53"/>
      <c r="CK801" s="53"/>
    </row>
    <row r="802" spans="1:89" s="25" customFormat="1" ht="33" customHeight="1">
      <c r="A802" s="74"/>
      <c r="B802" s="74"/>
      <c r="C802" s="74"/>
      <c r="D802" s="74"/>
      <c r="E802" s="74"/>
      <c r="F802" s="74"/>
      <c r="G802" s="75"/>
      <c r="H802" s="76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53"/>
      <c r="AZ802" s="53"/>
      <c r="BA802" s="53"/>
      <c r="BB802" s="53"/>
      <c r="BC802" s="53"/>
      <c r="BD802" s="53"/>
      <c r="BE802" s="53"/>
      <c r="BF802" s="53"/>
      <c r="BG802" s="53"/>
      <c r="BH802" s="53"/>
      <c r="BI802" s="53"/>
      <c r="BJ802" s="53"/>
      <c r="BK802" s="53"/>
      <c r="BL802" s="53"/>
      <c r="BM802" s="53"/>
      <c r="BN802" s="53"/>
      <c r="BO802" s="53"/>
      <c r="BP802" s="53"/>
      <c r="BQ802" s="53"/>
      <c r="BR802" s="53"/>
      <c r="BS802" s="53"/>
      <c r="BT802" s="53"/>
      <c r="BU802" s="53"/>
      <c r="BV802" s="53"/>
      <c r="BW802" s="53"/>
      <c r="BX802" s="53"/>
      <c r="BY802" s="53"/>
      <c r="BZ802" s="53"/>
      <c r="CA802" s="53"/>
      <c r="CB802" s="53"/>
      <c r="CC802" s="53"/>
      <c r="CD802" s="53"/>
      <c r="CE802" s="53"/>
      <c r="CF802" s="53"/>
      <c r="CG802" s="53"/>
      <c r="CH802" s="53"/>
      <c r="CI802" s="53"/>
      <c r="CJ802" s="53"/>
      <c r="CK802" s="53"/>
    </row>
    <row r="803" spans="1:89" s="25" customFormat="1" ht="33" customHeight="1">
      <c r="A803" s="74"/>
      <c r="B803" s="74"/>
      <c r="C803" s="74"/>
      <c r="D803" s="74"/>
      <c r="E803" s="74"/>
      <c r="F803" s="74"/>
      <c r="G803" s="75"/>
      <c r="H803" s="76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  <c r="AZ803" s="53"/>
      <c r="BA803" s="53"/>
      <c r="BB803" s="53"/>
      <c r="BC803" s="53"/>
      <c r="BD803" s="53"/>
      <c r="BE803" s="53"/>
      <c r="BF803" s="53"/>
      <c r="BG803" s="53"/>
      <c r="BH803" s="53"/>
      <c r="BI803" s="53"/>
      <c r="BJ803" s="53"/>
      <c r="BK803" s="53"/>
      <c r="BL803" s="53"/>
      <c r="BM803" s="53"/>
      <c r="BN803" s="53"/>
      <c r="BO803" s="53"/>
      <c r="BP803" s="53"/>
      <c r="BQ803" s="53"/>
      <c r="BR803" s="53"/>
      <c r="BS803" s="53"/>
      <c r="BT803" s="53"/>
      <c r="BU803" s="53"/>
      <c r="BV803" s="53"/>
      <c r="BW803" s="53"/>
      <c r="BX803" s="53"/>
      <c r="BY803" s="53"/>
      <c r="BZ803" s="53"/>
      <c r="CA803" s="53"/>
      <c r="CB803" s="53"/>
      <c r="CC803" s="53"/>
      <c r="CD803" s="53"/>
      <c r="CE803" s="53"/>
      <c r="CF803" s="53"/>
      <c r="CG803" s="53"/>
      <c r="CH803" s="53"/>
      <c r="CI803" s="53"/>
      <c r="CJ803" s="53"/>
      <c r="CK803" s="53"/>
    </row>
    <row r="804" spans="1:89" s="25" customFormat="1" ht="33" customHeight="1">
      <c r="A804" s="74"/>
      <c r="B804" s="74"/>
      <c r="C804" s="74"/>
      <c r="D804" s="74"/>
      <c r="E804" s="74"/>
      <c r="F804" s="74"/>
      <c r="G804" s="75"/>
      <c r="H804" s="76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53"/>
      <c r="AZ804" s="53"/>
      <c r="BA804" s="53"/>
      <c r="BB804" s="53"/>
      <c r="BC804" s="53"/>
      <c r="BD804" s="53"/>
      <c r="BE804" s="53"/>
      <c r="BF804" s="53"/>
      <c r="BG804" s="53"/>
      <c r="BH804" s="53"/>
      <c r="BI804" s="53"/>
      <c r="BJ804" s="53"/>
      <c r="BK804" s="53"/>
      <c r="BL804" s="53"/>
      <c r="BM804" s="53"/>
      <c r="BN804" s="53"/>
      <c r="BO804" s="53"/>
      <c r="BP804" s="53"/>
      <c r="BQ804" s="53"/>
      <c r="BR804" s="53"/>
      <c r="BS804" s="53"/>
      <c r="BT804" s="53"/>
      <c r="BU804" s="53"/>
      <c r="BV804" s="53"/>
      <c r="BW804" s="53"/>
      <c r="BX804" s="53"/>
      <c r="BY804" s="53"/>
      <c r="BZ804" s="53"/>
      <c r="CA804" s="53"/>
      <c r="CB804" s="53"/>
      <c r="CC804" s="53"/>
      <c r="CD804" s="53"/>
      <c r="CE804" s="53"/>
      <c r="CF804" s="53"/>
      <c r="CG804" s="53"/>
      <c r="CH804" s="53"/>
      <c r="CI804" s="53"/>
      <c r="CJ804" s="53"/>
      <c r="CK804" s="53"/>
    </row>
    <row r="805" spans="1:89" s="25" customFormat="1" ht="33" customHeight="1">
      <c r="A805" s="74"/>
      <c r="B805" s="74"/>
      <c r="C805" s="74"/>
      <c r="D805" s="74"/>
      <c r="E805" s="74"/>
      <c r="F805" s="74"/>
      <c r="G805" s="75"/>
      <c r="H805" s="76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53"/>
      <c r="AX805" s="53"/>
      <c r="AY805" s="53"/>
      <c r="AZ805" s="53"/>
      <c r="BA805" s="53"/>
      <c r="BB805" s="53"/>
      <c r="BC805" s="53"/>
      <c r="BD805" s="53"/>
      <c r="BE805" s="53"/>
      <c r="BF805" s="53"/>
      <c r="BG805" s="53"/>
      <c r="BH805" s="53"/>
      <c r="BI805" s="53"/>
      <c r="BJ805" s="53"/>
      <c r="BK805" s="53"/>
      <c r="BL805" s="53"/>
      <c r="BM805" s="53"/>
      <c r="BN805" s="53"/>
      <c r="BO805" s="53"/>
      <c r="BP805" s="53"/>
      <c r="BQ805" s="53"/>
      <c r="BR805" s="53"/>
      <c r="BS805" s="53"/>
      <c r="BT805" s="53"/>
      <c r="BU805" s="53"/>
      <c r="BV805" s="53"/>
      <c r="BW805" s="53"/>
      <c r="BX805" s="53"/>
      <c r="BY805" s="53"/>
      <c r="BZ805" s="53"/>
      <c r="CA805" s="53"/>
      <c r="CB805" s="53"/>
      <c r="CC805" s="53"/>
      <c r="CD805" s="53"/>
      <c r="CE805" s="53"/>
      <c r="CF805" s="53"/>
      <c r="CG805" s="53"/>
      <c r="CH805" s="53"/>
      <c r="CI805" s="53"/>
      <c r="CJ805" s="53"/>
      <c r="CK805" s="53"/>
    </row>
    <row r="806" spans="1:89" s="25" customFormat="1" ht="33" customHeight="1">
      <c r="A806" s="74"/>
      <c r="B806" s="74"/>
      <c r="C806" s="74"/>
      <c r="D806" s="74"/>
      <c r="E806" s="74"/>
      <c r="F806" s="74"/>
      <c r="G806" s="75"/>
      <c r="H806" s="76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  <c r="AZ806" s="53"/>
      <c r="BA806" s="53"/>
      <c r="BB806" s="53"/>
      <c r="BC806" s="53"/>
      <c r="BD806" s="53"/>
      <c r="BE806" s="53"/>
      <c r="BF806" s="53"/>
      <c r="BG806" s="53"/>
      <c r="BH806" s="53"/>
      <c r="BI806" s="53"/>
      <c r="BJ806" s="53"/>
      <c r="BK806" s="53"/>
      <c r="BL806" s="53"/>
      <c r="BM806" s="53"/>
      <c r="BN806" s="53"/>
      <c r="BO806" s="53"/>
      <c r="BP806" s="53"/>
      <c r="BQ806" s="53"/>
      <c r="BR806" s="53"/>
      <c r="BS806" s="53"/>
      <c r="BT806" s="53"/>
      <c r="BU806" s="53"/>
      <c r="BV806" s="53"/>
      <c r="BW806" s="53"/>
      <c r="BX806" s="53"/>
      <c r="BY806" s="53"/>
      <c r="BZ806" s="53"/>
      <c r="CA806" s="53"/>
      <c r="CB806" s="53"/>
      <c r="CC806" s="53"/>
      <c r="CD806" s="53"/>
      <c r="CE806" s="53"/>
      <c r="CF806" s="53"/>
      <c r="CG806" s="53"/>
      <c r="CH806" s="53"/>
      <c r="CI806" s="53"/>
      <c r="CJ806" s="53"/>
      <c r="CK806" s="53"/>
    </row>
    <row r="807" spans="1:89" s="25" customFormat="1" ht="33" customHeight="1">
      <c r="A807" s="74"/>
      <c r="B807" s="74"/>
      <c r="C807" s="74"/>
      <c r="D807" s="74"/>
      <c r="E807" s="74"/>
      <c r="F807" s="74"/>
      <c r="G807" s="75"/>
      <c r="H807" s="76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53"/>
      <c r="AX807" s="53"/>
      <c r="AY807" s="53"/>
      <c r="AZ807" s="53"/>
      <c r="BA807" s="53"/>
      <c r="BB807" s="53"/>
      <c r="BC807" s="53"/>
      <c r="BD807" s="53"/>
      <c r="BE807" s="53"/>
      <c r="BF807" s="53"/>
      <c r="BG807" s="53"/>
      <c r="BH807" s="53"/>
      <c r="BI807" s="53"/>
      <c r="BJ807" s="53"/>
      <c r="BK807" s="53"/>
      <c r="BL807" s="53"/>
      <c r="BM807" s="53"/>
      <c r="BN807" s="53"/>
      <c r="BO807" s="53"/>
      <c r="BP807" s="53"/>
      <c r="BQ807" s="53"/>
      <c r="BR807" s="53"/>
      <c r="BS807" s="53"/>
      <c r="BT807" s="53"/>
      <c r="BU807" s="53"/>
      <c r="BV807" s="53"/>
      <c r="BW807" s="53"/>
      <c r="BX807" s="53"/>
      <c r="BY807" s="53"/>
      <c r="BZ807" s="53"/>
      <c r="CA807" s="53"/>
      <c r="CB807" s="53"/>
      <c r="CC807" s="53"/>
      <c r="CD807" s="53"/>
      <c r="CE807" s="53"/>
      <c r="CF807" s="53"/>
      <c r="CG807" s="53"/>
      <c r="CH807" s="53"/>
      <c r="CI807" s="53"/>
      <c r="CJ807" s="53"/>
      <c r="CK807" s="53"/>
    </row>
    <row r="808" spans="1:89" s="25" customFormat="1" ht="33" customHeight="1">
      <c r="A808" s="74"/>
      <c r="B808" s="74"/>
      <c r="C808" s="74"/>
      <c r="D808" s="74"/>
      <c r="E808" s="74"/>
      <c r="F808" s="74"/>
      <c r="G808" s="75"/>
      <c r="H808" s="76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53"/>
      <c r="AX808" s="53"/>
      <c r="AY808" s="53"/>
      <c r="AZ808" s="53"/>
      <c r="BA808" s="53"/>
      <c r="BB808" s="53"/>
      <c r="BC808" s="53"/>
      <c r="BD808" s="53"/>
      <c r="BE808" s="53"/>
      <c r="BF808" s="53"/>
      <c r="BG808" s="53"/>
      <c r="BH808" s="53"/>
      <c r="BI808" s="53"/>
      <c r="BJ808" s="53"/>
      <c r="BK808" s="53"/>
      <c r="BL808" s="53"/>
      <c r="BM808" s="53"/>
      <c r="BN808" s="53"/>
      <c r="BO808" s="53"/>
      <c r="BP808" s="53"/>
      <c r="BQ808" s="53"/>
      <c r="BR808" s="53"/>
      <c r="BS808" s="53"/>
      <c r="BT808" s="53"/>
      <c r="BU808" s="53"/>
      <c r="BV808" s="53"/>
      <c r="BW808" s="53"/>
      <c r="BX808" s="53"/>
      <c r="BY808" s="53"/>
      <c r="BZ808" s="53"/>
      <c r="CA808" s="53"/>
      <c r="CB808" s="53"/>
      <c r="CC808" s="53"/>
      <c r="CD808" s="53"/>
      <c r="CE808" s="53"/>
      <c r="CF808" s="53"/>
      <c r="CG808" s="53"/>
      <c r="CH808" s="53"/>
      <c r="CI808" s="53"/>
      <c r="CJ808" s="53"/>
      <c r="CK808" s="53"/>
    </row>
    <row r="809" spans="1:89" s="25" customFormat="1" ht="33" customHeight="1">
      <c r="A809" s="74"/>
      <c r="B809" s="74"/>
      <c r="C809" s="74"/>
      <c r="D809" s="74"/>
      <c r="E809" s="74"/>
      <c r="F809" s="74"/>
      <c r="G809" s="75"/>
      <c r="H809" s="76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53"/>
      <c r="AX809" s="53"/>
      <c r="AY809" s="53"/>
      <c r="AZ809" s="53"/>
      <c r="BA809" s="53"/>
      <c r="BB809" s="53"/>
      <c r="BC809" s="53"/>
      <c r="BD809" s="53"/>
      <c r="BE809" s="53"/>
      <c r="BF809" s="53"/>
      <c r="BG809" s="53"/>
      <c r="BH809" s="53"/>
      <c r="BI809" s="53"/>
      <c r="BJ809" s="53"/>
      <c r="BK809" s="53"/>
      <c r="BL809" s="53"/>
      <c r="BM809" s="53"/>
      <c r="BN809" s="53"/>
      <c r="BO809" s="53"/>
      <c r="BP809" s="53"/>
      <c r="BQ809" s="53"/>
      <c r="BR809" s="53"/>
      <c r="BS809" s="53"/>
      <c r="BT809" s="53"/>
      <c r="BU809" s="53"/>
      <c r="BV809" s="53"/>
      <c r="BW809" s="53"/>
      <c r="BX809" s="53"/>
      <c r="BY809" s="53"/>
      <c r="BZ809" s="53"/>
      <c r="CA809" s="53"/>
      <c r="CB809" s="53"/>
      <c r="CC809" s="53"/>
      <c r="CD809" s="53"/>
      <c r="CE809" s="53"/>
      <c r="CF809" s="53"/>
      <c r="CG809" s="53"/>
      <c r="CH809" s="53"/>
      <c r="CI809" s="53"/>
      <c r="CJ809" s="53"/>
      <c r="CK809" s="53"/>
    </row>
    <row r="810" spans="1:89" s="25" customFormat="1" ht="33" customHeight="1">
      <c r="A810" s="74"/>
      <c r="B810" s="74"/>
      <c r="C810" s="74"/>
      <c r="D810" s="74"/>
      <c r="E810" s="74"/>
      <c r="F810" s="74"/>
      <c r="G810" s="75"/>
      <c r="H810" s="76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53"/>
      <c r="AX810" s="53"/>
      <c r="AY810" s="53"/>
      <c r="AZ810" s="53"/>
      <c r="BA810" s="53"/>
      <c r="BB810" s="53"/>
      <c r="BC810" s="53"/>
      <c r="BD810" s="53"/>
      <c r="BE810" s="53"/>
      <c r="BF810" s="53"/>
      <c r="BG810" s="53"/>
      <c r="BH810" s="53"/>
      <c r="BI810" s="53"/>
      <c r="BJ810" s="53"/>
      <c r="BK810" s="53"/>
      <c r="BL810" s="53"/>
      <c r="BM810" s="53"/>
      <c r="BN810" s="53"/>
      <c r="BO810" s="53"/>
      <c r="BP810" s="53"/>
      <c r="BQ810" s="53"/>
      <c r="BR810" s="53"/>
      <c r="BS810" s="53"/>
      <c r="BT810" s="53"/>
      <c r="BU810" s="53"/>
      <c r="BV810" s="53"/>
      <c r="BW810" s="53"/>
      <c r="BX810" s="53"/>
      <c r="BY810" s="53"/>
      <c r="BZ810" s="53"/>
      <c r="CA810" s="53"/>
      <c r="CB810" s="53"/>
      <c r="CC810" s="53"/>
      <c r="CD810" s="53"/>
      <c r="CE810" s="53"/>
      <c r="CF810" s="53"/>
      <c r="CG810" s="53"/>
      <c r="CH810" s="53"/>
      <c r="CI810" s="53"/>
      <c r="CJ810" s="53"/>
      <c r="CK810" s="53"/>
    </row>
    <row r="811" spans="1:89" s="25" customFormat="1" ht="33" customHeight="1">
      <c r="A811" s="74"/>
      <c r="B811" s="74"/>
      <c r="C811" s="74"/>
      <c r="D811" s="74"/>
      <c r="E811" s="74"/>
      <c r="F811" s="74"/>
      <c r="G811" s="75"/>
      <c r="H811" s="76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53"/>
      <c r="AX811" s="53"/>
      <c r="AY811" s="53"/>
      <c r="AZ811" s="53"/>
      <c r="BA811" s="53"/>
      <c r="BB811" s="53"/>
      <c r="BC811" s="53"/>
      <c r="BD811" s="53"/>
      <c r="BE811" s="53"/>
      <c r="BF811" s="53"/>
      <c r="BG811" s="53"/>
      <c r="BH811" s="53"/>
      <c r="BI811" s="53"/>
      <c r="BJ811" s="53"/>
      <c r="BK811" s="53"/>
      <c r="BL811" s="53"/>
      <c r="BM811" s="53"/>
      <c r="BN811" s="53"/>
      <c r="BO811" s="53"/>
      <c r="BP811" s="53"/>
      <c r="BQ811" s="53"/>
      <c r="BR811" s="53"/>
      <c r="BS811" s="53"/>
      <c r="BT811" s="53"/>
      <c r="BU811" s="53"/>
      <c r="BV811" s="53"/>
      <c r="BW811" s="53"/>
      <c r="BX811" s="53"/>
      <c r="BY811" s="53"/>
      <c r="BZ811" s="53"/>
      <c r="CA811" s="53"/>
      <c r="CB811" s="53"/>
      <c r="CC811" s="53"/>
      <c r="CD811" s="53"/>
      <c r="CE811" s="53"/>
      <c r="CF811" s="53"/>
      <c r="CG811" s="53"/>
      <c r="CH811" s="53"/>
      <c r="CI811" s="53"/>
      <c r="CJ811" s="53"/>
      <c r="CK811" s="53"/>
    </row>
    <row r="812" spans="1:89" s="25" customFormat="1" ht="33" customHeight="1">
      <c r="A812" s="74"/>
      <c r="B812" s="74"/>
      <c r="C812" s="74"/>
      <c r="D812" s="74"/>
      <c r="E812" s="74"/>
      <c r="F812" s="74"/>
      <c r="G812" s="75"/>
      <c r="H812" s="76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53"/>
      <c r="AX812" s="53"/>
      <c r="AY812" s="53"/>
      <c r="AZ812" s="53"/>
      <c r="BA812" s="53"/>
      <c r="BB812" s="53"/>
      <c r="BC812" s="53"/>
      <c r="BD812" s="53"/>
      <c r="BE812" s="53"/>
      <c r="BF812" s="53"/>
      <c r="BG812" s="53"/>
      <c r="BH812" s="53"/>
      <c r="BI812" s="53"/>
      <c r="BJ812" s="53"/>
      <c r="BK812" s="53"/>
      <c r="BL812" s="53"/>
      <c r="BM812" s="53"/>
      <c r="BN812" s="53"/>
      <c r="BO812" s="53"/>
      <c r="BP812" s="53"/>
      <c r="BQ812" s="53"/>
      <c r="BR812" s="53"/>
      <c r="BS812" s="53"/>
      <c r="BT812" s="53"/>
      <c r="BU812" s="53"/>
      <c r="BV812" s="53"/>
      <c r="BW812" s="53"/>
      <c r="BX812" s="53"/>
      <c r="BY812" s="53"/>
      <c r="BZ812" s="53"/>
      <c r="CA812" s="53"/>
      <c r="CB812" s="53"/>
      <c r="CC812" s="53"/>
      <c r="CD812" s="53"/>
      <c r="CE812" s="53"/>
      <c r="CF812" s="53"/>
      <c r="CG812" s="53"/>
      <c r="CH812" s="53"/>
      <c r="CI812" s="53"/>
      <c r="CJ812" s="53"/>
      <c r="CK812" s="53"/>
    </row>
    <row r="813" spans="1:89" s="25" customFormat="1" ht="33" customHeight="1">
      <c r="A813" s="74"/>
      <c r="B813" s="74"/>
      <c r="C813" s="74"/>
      <c r="D813" s="74"/>
      <c r="E813" s="74"/>
      <c r="F813" s="74"/>
      <c r="G813" s="75"/>
      <c r="H813" s="76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53"/>
      <c r="AX813" s="53"/>
      <c r="AY813" s="53"/>
      <c r="AZ813" s="53"/>
      <c r="BA813" s="53"/>
      <c r="BB813" s="53"/>
      <c r="BC813" s="53"/>
      <c r="BD813" s="53"/>
      <c r="BE813" s="53"/>
      <c r="BF813" s="53"/>
      <c r="BG813" s="53"/>
      <c r="BH813" s="53"/>
      <c r="BI813" s="53"/>
      <c r="BJ813" s="53"/>
      <c r="BK813" s="53"/>
      <c r="BL813" s="53"/>
      <c r="BM813" s="53"/>
      <c r="BN813" s="53"/>
      <c r="BO813" s="53"/>
      <c r="BP813" s="53"/>
      <c r="BQ813" s="53"/>
      <c r="BR813" s="53"/>
      <c r="BS813" s="53"/>
      <c r="BT813" s="53"/>
      <c r="BU813" s="53"/>
      <c r="BV813" s="53"/>
      <c r="BW813" s="53"/>
      <c r="BX813" s="53"/>
      <c r="BY813" s="53"/>
      <c r="BZ813" s="53"/>
      <c r="CA813" s="53"/>
      <c r="CB813" s="53"/>
      <c r="CC813" s="53"/>
      <c r="CD813" s="53"/>
      <c r="CE813" s="53"/>
      <c r="CF813" s="53"/>
      <c r="CG813" s="53"/>
      <c r="CH813" s="53"/>
      <c r="CI813" s="53"/>
      <c r="CJ813" s="53"/>
      <c r="CK813" s="53"/>
    </row>
    <row r="814" spans="1:89" s="25" customFormat="1" ht="33" customHeight="1">
      <c r="A814" s="74"/>
      <c r="B814" s="74"/>
      <c r="C814" s="74"/>
      <c r="D814" s="74"/>
      <c r="E814" s="74"/>
      <c r="F814" s="74"/>
      <c r="G814" s="75"/>
      <c r="H814" s="76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  <c r="AZ814" s="53"/>
      <c r="BA814" s="53"/>
      <c r="BB814" s="53"/>
      <c r="BC814" s="53"/>
      <c r="BD814" s="53"/>
      <c r="BE814" s="53"/>
      <c r="BF814" s="53"/>
      <c r="BG814" s="53"/>
      <c r="BH814" s="53"/>
      <c r="BI814" s="53"/>
      <c r="BJ814" s="53"/>
      <c r="BK814" s="53"/>
      <c r="BL814" s="53"/>
      <c r="BM814" s="53"/>
      <c r="BN814" s="53"/>
      <c r="BO814" s="53"/>
      <c r="BP814" s="53"/>
      <c r="BQ814" s="53"/>
      <c r="BR814" s="53"/>
      <c r="BS814" s="53"/>
      <c r="BT814" s="53"/>
      <c r="BU814" s="53"/>
      <c r="BV814" s="53"/>
      <c r="BW814" s="53"/>
      <c r="BX814" s="53"/>
      <c r="BY814" s="53"/>
      <c r="BZ814" s="53"/>
      <c r="CA814" s="53"/>
      <c r="CB814" s="53"/>
      <c r="CC814" s="53"/>
      <c r="CD814" s="53"/>
      <c r="CE814" s="53"/>
      <c r="CF814" s="53"/>
      <c r="CG814" s="53"/>
      <c r="CH814" s="53"/>
      <c r="CI814" s="53"/>
      <c r="CJ814" s="53"/>
      <c r="CK814" s="53"/>
    </row>
    <row r="815" spans="1:89" s="25" customFormat="1" ht="33" customHeight="1">
      <c r="A815" s="74"/>
      <c r="B815" s="74"/>
      <c r="C815" s="74"/>
      <c r="D815" s="74"/>
      <c r="E815" s="74"/>
      <c r="F815" s="74"/>
      <c r="G815" s="75"/>
      <c r="H815" s="76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  <c r="AZ815" s="53"/>
      <c r="BA815" s="53"/>
      <c r="BB815" s="53"/>
      <c r="BC815" s="53"/>
      <c r="BD815" s="53"/>
      <c r="BE815" s="53"/>
      <c r="BF815" s="53"/>
      <c r="BG815" s="53"/>
      <c r="BH815" s="53"/>
      <c r="BI815" s="53"/>
      <c r="BJ815" s="53"/>
      <c r="BK815" s="53"/>
      <c r="BL815" s="53"/>
      <c r="BM815" s="53"/>
      <c r="BN815" s="53"/>
      <c r="BO815" s="53"/>
      <c r="BP815" s="53"/>
      <c r="BQ815" s="53"/>
      <c r="BR815" s="53"/>
      <c r="BS815" s="53"/>
      <c r="BT815" s="53"/>
      <c r="BU815" s="53"/>
      <c r="BV815" s="53"/>
      <c r="BW815" s="53"/>
      <c r="BX815" s="53"/>
      <c r="BY815" s="53"/>
      <c r="BZ815" s="53"/>
      <c r="CA815" s="53"/>
      <c r="CB815" s="53"/>
      <c r="CC815" s="53"/>
      <c r="CD815" s="53"/>
      <c r="CE815" s="53"/>
      <c r="CF815" s="53"/>
      <c r="CG815" s="53"/>
      <c r="CH815" s="53"/>
      <c r="CI815" s="53"/>
      <c r="CJ815" s="53"/>
      <c r="CK815" s="53"/>
    </row>
    <row r="816" spans="1:89" s="25" customFormat="1" ht="33" customHeight="1">
      <c r="A816" s="74"/>
      <c r="B816" s="74"/>
      <c r="C816" s="74"/>
      <c r="D816" s="74"/>
      <c r="E816" s="74"/>
      <c r="F816" s="74"/>
      <c r="G816" s="75"/>
      <c r="H816" s="76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53"/>
      <c r="AX816" s="53"/>
      <c r="AY816" s="53"/>
      <c r="AZ816" s="53"/>
      <c r="BA816" s="53"/>
      <c r="BB816" s="53"/>
      <c r="BC816" s="53"/>
      <c r="BD816" s="53"/>
      <c r="BE816" s="53"/>
      <c r="BF816" s="53"/>
      <c r="BG816" s="53"/>
      <c r="BH816" s="53"/>
      <c r="BI816" s="53"/>
      <c r="BJ816" s="53"/>
      <c r="BK816" s="53"/>
      <c r="BL816" s="53"/>
      <c r="BM816" s="53"/>
      <c r="BN816" s="53"/>
      <c r="BO816" s="53"/>
      <c r="BP816" s="53"/>
      <c r="BQ816" s="53"/>
      <c r="BR816" s="53"/>
      <c r="BS816" s="53"/>
      <c r="BT816" s="53"/>
      <c r="BU816" s="53"/>
      <c r="BV816" s="53"/>
      <c r="BW816" s="53"/>
      <c r="BX816" s="53"/>
      <c r="BY816" s="53"/>
      <c r="BZ816" s="53"/>
      <c r="CA816" s="53"/>
      <c r="CB816" s="53"/>
      <c r="CC816" s="53"/>
      <c r="CD816" s="53"/>
      <c r="CE816" s="53"/>
      <c r="CF816" s="53"/>
      <c r="CG816" s="53"/>
      <c r="CH816" s="53"/>
      <c r="CI816" s="53"/>
      <c r="CJ816" s="53"/>
      <c r="CK816" s="53"/>
    </row>
    <row r="817" spans="1:89" s="25" customFormat="1" ht="33" customHeight="1">
      <c r="A817" s="74"/>
      <c r="B817" s="74"/>
      <c r="C817" s="74"/>
      <c r="D817" s="74"/>
      <c r="E817" s="74"/>
      <c r="F817" s="74"/>
      <c r="G817" s="75"/>
      <c r="H817" s="76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53"/>
      <c r="AX817" s="53"/>
      <c r="AY817" s="53"/>
      <c r="AZ817" s="53"/>
      <c r="BA817" s="53"/>
      <c r="BB817" s="53"/>
      <c r="BC817" s="53"/>
      <c r="BD817" s="53"/>
      <c r="BE817" s="53"/>
      <c r="BF817" s="53"/>
      <c r="BG817" s="53"/>
      <c r="BH817" s="53"/>
      <c r="BI817" s="53"/>
      <c r="BJ817" s="53"/>
      <c r="BK817" s="53"/>
      <c r="BL817" s="53"/>
      <c r="BM817" s="53"/>
      <c r="BN817" s="53"/>
      <c r="BO817" s="53"/>
      <c r="BP817" s="53"/>
      <c r="BQ817" s="53"/>
      <c r="BR817" s="53"/>
      <c r="BS817" s="53"/>
      <c r="BT817" s="53"/>
      <c r="BU817" s="53"/>
      <c r="BV817" s="53"/>
      <c r="BW817" s="53"/>
      <c r="BX817" s="53"/>
      <c r="BY817" s="53"/>
      <c r="BZ817" s="53"/>
      <c r="CA817" s="53"/>
      <c r="CB817" s="53"/>
      <c r="CC817" s="53"/>
      <c r="CD817" s="53"/>
      <c r="CE817" s="53"/>
      <c r="CF817" s="53"/>
      <c r="CG817" s="53"/>
      <c r="CH817" s="53"/>
      <c r="CI817" s="53"/>
      <c r="CJ817" s="53"/>
      <c r="CK817" s="53"/>
    </row>
    <row r="818" spans="1:89" s="25" customFormat="1" ht="33" customHeight="1">
      <c r="A818" s="74"/>
      <c r="B818" s="74"/>
      <c r="C818" s="74"/>
      <c r="D818" s="74"/>
      <c r="E818" s="74"/>
      <c r="F818" s="74"/>
      <c r="G818" s="75"/>
      <c r="H818" s="76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3"/>
      <c r="BA818" s="53"/>
      <c r="BB818" s="53"/>
      <c r="BC818" s="53"/>
      <c r="BD818" s="53"/>
      <c r="BE818" s="53"/>
      <c r="BF818" s="53"/>
      <c r="BG818" s="53"/>
      <c r="BH818" s="53"/>
      <c r="BI818" s="53"/>
      <c r="BJ818" s="53"/>
      <c r="BK818" s="53"/>
      <c r="BL818" s="53"/>
      <c r="BM818" s="53"/>
      <c r="BN818" s="53"/>
      <c r="BO818" s="53"/>
      <c r="BP818" s="53"/>
      <c r="BQ818" s="53"/>
      <c r="BR818" s="53"/>
      <c r="BS818" s="53"/>
      <c r="BT818" s="53"/>
      <c r="BU818" s="53"/>
      <c r="BV818" s="53"/>
      <c r="BW818" s="53"/>
      <c r="BX818" s="53"/>
      <c r="BY818" s="53"/>
      <c r="BZ818" s="53"/>
      <c r="CA818" s="53"/>
      <c r="CB818" s="53"/>
      <c r="CC818" s="53"/>
      <c r="CD818" s="53"/>
      <c r="CE818" s="53"/>
      <c r="CF818" s="53"/>
      <c r="CG818" s="53"/>
      <c r="CH818" s="53"/>
      <c r="CI818" s="53"/>
      <c r="CJ818" s="53"/>
      <c r="CK818" s="53"/>
    </row>
    <row r="819" spans="1:89" s="25" customFormat="1" ht="33" customHeight="1">
      <c r="A819" s="74"/>
      <c r="B819" s="74"/>
      <c r="C819" s="74"/>
      <c r="D819" s="74"/>
      <c r="E819" s="74"/>
      <c r="F819" s="74"/>
      <c r="G819" s="75"/>
      <c r="H819" s="76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53"/>
      <c r="AX819" s="53"/>
      <c r="AY819" s="53"/>
      <c r="AZ819" s="53"/>
      <c r="BA819" s="53"/>
      <c r="BB819" s="53"/>
      <c r="BC819" s="53"/>
      <c r="BD819" s="53"/>
      <c r="BE819" s="53"/>
      <c r="BF819" s="53"/>
      <c r="BG819" s="53"/>
      <c r="BH819" s="53"/>
      <c r="BI819" s="53"/>
      <c r="BJ819" s="53"/>
      <c r="BK819" s="53"/>
      <c r="BL819" s="53"/>
      <c r="BM819" s="53"/>
      <c r="BN819" s="53"/>
      <c r="BO819" s="53"/>
      <c r="BP819" s="53"/>
      <c r="BQ819" s="53"/>
      <c r="BR819" s="53"/>
      <c r="BS819" s="53"/>
      <c r="BT819" s="53"/>
      <c r="BU819" s="53"/>
      <c r="BV819" s="53"/>
      <c r="BW819" s="53"/>
      <c r="BX819" s="53"/>
      <c r="BY819" s="53"/>
      <c r="BZ819" s="53"/>
      <c r="CA819" s="53"/>
      <c r="CB819" s="53"/>
      <c r="CC819" s="53"/>
      <c r="CD819" s="53"/>
      <c r="CE819" s="53"/>
      <c r="CF819" s="53"/>
      <c r="CG819" s="53"/>
      <c r="CH819" s="53"/>
      <c r="CI819" s="53"/>
      <c r="CJ819" s="53"/>
      <c r="CK819" s="53"/>
    </row>
    <row r="820" spans="1:89" s="25" customFormat="1" ht="33" customHeight="1">
      <c r="A820" s="74"/>
      <c r="B820" s="74"/>
      <c r="C820" s="74"/>
      <c r="D820" s="74"/>
      <c r="E820" s="74"/>
      <c r="F820" s="74"/>
      <c r="G820" s="75"/>
      <c r="H820" s="76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  <c r="AZ820" s="53"/>
      <c r="BA820" s="53"/>
      <c r="BB820" s="53"/>
      <c r="BC820" s="53"/>
      <c r="BD820" s="53"/>
      <c r="BE820" s="53"/>
      <c r="BF820" s="53"/>
      <c r="BG820" s="53"/>
      <c r="BH820" s="53"/>
      <c r="BI820" s="53"/>
      <c r="BJ820" s="53"/>
      <c r="BK820" s="53"/>
      <c r="BL820" s="53"/>
      <c r="BM820" s="53"/>
      <c r="BN820" s="53"/>
      <c r="BO820" s="53"/>
      <c r="BP820" s="53"/>
      <c r="BQ820" s="53"/>
      <c r="BR820" s="53"/>
      <c r="BS820" s="53"/>
      <c r="BT820" s="53"/>
      <c r="BU820" s="53"/>
      <c r="BV820" s="53"/>
      <c r="BW820" s="53"/>
      <c r="BX820" s="53"/>
      <c r="BY820" s="53"/>
      <c r="BZ820" s="53"/>
      <c r="CA820" s="53"/>
      <c r="CB820" s="53"/>
      <c r="CC820" s="53"/>
      <c r="CD820" s="53"/>
      <c r="CE820" s="53"/>
      <c r="CF820" s="53"/>
      <c r="CG820" s="53"/>
      <c r="CH820" s="53"/>
      <c r="CI820" s="53"/>
      <c r="CJ820" s="53"/>
      <c r="CK820" s="53"/>
    </row>
    <row r="821" spans="1:89" s="25" customFormat="1" ht="33" customHeight="1">
      <c r="A821" s="74"/>
      <c r="B821" s="74"/>
      <c r="C821" s="74"/>
      <c r="D821" s="74"/>
      <c r="E821" s="74"/>
      <c r="F821" s="74"/>
      <c r="G821" s="75"/>
      <c r="H821" s="76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3"/>
      <c r="BA821" s="53"/>
      <c r="BB821" s="53"/>
      <c r="BC821" s="53"/>
      <c r="BD821" s="53"/>
      <c r="BE821" s="53"/>
      <c r="BF821" s="53"/>
      <c r="BG821" s="53"/>
      <c r="BH821" s="53"/>
      <c r="BI821" s="53"/>
      <c r="BJ821" s="53"/>
      <c r="BK821" s="53"/>
      <c r="BL821" s="53"/>
      <c r="BM821" s="53"/>
      <c r="BN821" s="53"/>
      <c r="BO821" s="53"/>
      <c r="BP821" s="53"/>
      <c r="BQ821" s="53"/>
      <c r="BR821" s="53"/>
      <c r="BS821" s="53"/>
      <c r="BT821" s="53"/>
      <c r="BU821" s="53"/>
      <c r="BV821" s="53"/>
      <c r="BW821" s="53"/>
      <c r="BX821" s="53"/>
      <c r="BY821" s="53"/>
      <c r="BZ821" s="53"/>
      <c r="CA821" s="53"/>
      <c r="CB821" s="53"/>
      <c r="CC821" s="53"/>
      <c r="CD821" s="53"/>
      <c r="CE821" s="53"/>
      <c r="CF821" s="53"/>
      <c r="CG821" s="53"/>
      <c r="CH821" s="53"/>
      <c r="CI821" s="53"/>
      <c r="CJ821" s="53"/>
      <c r="CK821" s="53"/>
    </row>
    <row r="822" spans="1:89" s="25" customFormat="1" ht="33" customHeight="1">
      <c r="A822" s="74"/>
      <c r="B822" s="74"/>
      <c r="C822" s="74"/>
      <c r="D822" s="74"/>
      <c r="E822" s="74"/>
      <c r="F822" s="74"/>
      <c r="G822" s="75"/>
      <c r="H822" s="76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3"/>
      <c r="BA822" s="53"/>
      <c r="BB822" s="53"/>
      <c r="BC822" s="53"/>
      <c r="BD822" s="53"/>
      <c r="BE822" s="53"/>
      <c r="BF822" s="53"/>
      <c r="BG822" s="53"/>
      <c r="BH822" s="53"/>
      <c r="BI822" s="53"/>
      <c r="BJ822" s="53"/>
      <c r="BK822" s="53"/>
      <c r="BL822" s="53"/>
      <c r="BM822" s="53"/>
      <c r="BN822" s="53"/>
      <c r="BO822" s="53"/>
      <c r="BP822" s="53"/>
      <c r="BQ822" s="53"/>
      <c r="BR822" s="53"/>
      <c r="BS822" s="53"/>
      <c r="BT822" s="53"/>
      <c r="BU822" s="53"/>
      <c r="BV822" s="53"/>
      <c r="BW822" s="53"/>
      <c r="BX822" s="53"/>
      <c r="BY822" s="53"/>
      <c r="BZ822" s="53"/>
      <c r="CA822" s="53"/>
      <c r="CB822" s="53"/>
      <c r="CC822" s="53"/>
      <c r="CD822" s="53"/>
      <c r="CE822" s="53"/>
      <c r="CF822" s="53"/>
      <c r="CG822" s="53"/>
      <c r="CH822" s="53"/>
      <c r="CI822" s="53"/>
      <c r="CJ822" s="53"/>
      <c r="CK822" s="53"/>
    </row>
    <row r="823" spans="1:89" s="25" customFormat="1" ht="33" customHeight="1">
      <c r="A823" s="74"/>
      <c r="B823" s="74"/>
      <c r="C823" s="74"/>
      <c r="D823" s="74"/>
      <c r="E823" s="74"/>
      <c r="F823" s="74"/>
      <c r="G823" s="75"/>
      <c r="H823" s="76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53"/>
      <c r="AX823" s="53"/>
      <c r="AY823" s="53"/>
      <c r="AZ823" s="53"/>
      <c r="BA823" s="53"/>
      <c r="BB823" s="53"/>
      <c r="BC823" s="53"/>
      <c r="BD823" s="53"/>
      <c r="BE823" s="53"/>
      <c r="BF823" s="53"/>
      <c r="BG823" s="53"/>
      <c r="BH823" s="53"/>
      <c r="BI823" s="53"/>
      <c r="BJ823" s="53"/>
      <c r="BK823" s="53"/>
      <c r="BL823" s="53"/>
      <c r="BM823" s="53"/>
      <c r="BN823" s="53"/>
      <c r="BO823" s="53"/>
      <c r="BP823" s="53"/>
      <c r="BQ823" s="53"/>
      <c r="BR823" s="53"/>
      <c r="BS823" s="53"/>
      <c r="BT823" s="53"/>
      <c r="BU823" s="53"/>
      <c r="BV823" s="53"/>
      <c r="BW823" s="53"/>
      <c r="BX823" s="53"/>
      <c r="BY823" s="53"/>
      <c r="BZ823" s="53"/>
      <c r="CA823" s="53"/>
      <c r="CB823" s="53"/>
      <c r="CC823" s="53"/>
      <c r="CD823" s="53"/>
      <c r="CE823" s="53"/>
      <c r="CF823" s="53"/>
      <c r="CG823" s="53"/>
      <c r="CH823" s="53"/>
      <c r="CI823" s="53"/>
      <c r="CJ823" s="53"/>
      <c r="CK823" s="53"/>
    </row>
    <row r="824" spans="1:89" s="25" customFormat="1" ht="33" customHeight="1">
      <c r="A824" s="74"/>
      <c r="B824" s="74"/>
      <c r="C824" s="74"/>
      <c r="D824" s="74"/>
      <c r="E824" s="74"/>
      <c r="F824" s="74"/>
      <c r="G824" s="75"/>
      <c r="H824" s="76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  <c r="AZ824" s="53"/>
      <c r="BA824" s="53"/>
      <c r="BB824" s="53"/>
      <c r="BC824" s="53"/>
      <c r="BD824" s="53"/>
      <c r="BE824" s="53"/>
      <c r="BF824" s="53"/>
      <c r="BG824" s="53"/>
      <c r="BH824" s="53"/>
      <c r="BI824" s="53"/>
      <c r="BJ824" s="53"/>
      <c r="BK824" s="53"/>
      <c r="BL824" s="53"/>
      <c r="BM824" s="53"/>
      <c r="BN824" s="53"/>
      <c r="BO824" s="53"/>
      <c r="BP824" s="53"/>
      <c r="BQ824" s="53"/>
      <c r="BR824" s="53"/>
      <c r="BS824" s="53"/>
      <c r="BT824" s="53"/>
      <c r="BU824" s="53"/>
      <c r="BV824" s="53"/>
      <c r="BW824" s="53"/>
      <c r="BX824" s="53"/>
      <c r="BY824" s="53"/>
      <c r="BZ824" s="53"/>
      <c r="CA824" s="53"/>
      <c r="CB824" s="53"/>
      <c r="CC824" s="53"/>
      <c r="CD824" s="53"/>
      <c r="CE824" s="53"/>
      <c r="CF824" s="53"/>
      <c r="CG824" s="53"/>
      <c r="CH824" s="53"/>
      <c r="CI824" s="53"/>
      <c r="CJ824" s="53"/>
      <c r="CK824" s="53"/>
    </row>
    <row r="825" spans="1:89" s="25" customFormat="1" ht="33" customHeight="1">
      <c r="A825" s="74"/>
      <c r="B825" s="74"/>
      <c r="C825" s="74"/>
      <c r="D825" s="74"/>
      <c r="E825" s="74"/>
      <c r="F825" s="74"/>
      <c r="G825" s="75"/>
      <c r="H825" s="76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3"/>
      <c r="BA825" s="53"/>
      <c r="BB825" s="53"/>
      <c r="BC825" s="53"/>
      <c r="BD825" s="53"/>
      <c r="BE825" s="53"/>
      <c r="BF825" s="53"/>
      <c r="BG825" s="53"/>
      <c r="BH825" s="53"/>
      <c r="BI825" s="53"/>
      <c r="BJ825" s="53"/>
      <c r="BK825" s="53"/>
      <c r="BL825" s="53"/>
      <c r="BM825" s="53"/>
      <c r="BN825" s="53"/>
      <c r="BO825" s="53"/>
      <c r="BP825" s="53"/>
      <c r="BQ825" s="53"/>
      <c r="BR825" s="53"/>
      <c r="BS825" s="53"/>
      <c r="BT825" s="53"/>
      <c r="BU825" s="53"/>
      <c r="BV825" s="53"/>
      <c r="BW825" s="53"/>
      <c r="BX825" s="53"/>
      <c r="BY825" s="53"/>
      <c r="BZ825" s="53"/>
      <c r="CA825" s="53"/>
      <c r="CB825" s="53"/>
      <c r="CC825" s="53"/>
      <c r="CD825" s="53"/>
      <c r="CE825" s="53"/>
      <c r="CF825" s="53"/>
      <c r="CG825" s="53"/>
      <c r="CH825" s="53"/>
      <c r="CI825" s="53"/>
      <c r="CJ825" s="53"/>
      <c r="CK825" s="53"/>
    </row>
    <row r="826" spans="1:89" s="25" customFormat="1" ht="33" customHeight="1">
      <c r="A826" s="74"/>
      <c r="B826" s="74"/>
      <c r="C826" s="74"/>
      <c r="D826" s="74"/>
      <c r="E826" s="74"/>
      <c r="F826" s="74"/>
      <c r="G826" s="75"/>
      <c r="H826" s="76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  <c r="AZ826" s="53"/>
      <c r="BA826" s="53"/>
      <c r="BB826" s="53"/>
      <c r="BC826" s="53"/>
      <c r="BD826" s="53"/>
      <c r="BE826" s="53"/>
      <c r="BF826" s="53"/>
      <c r="BG826" s="53"/>
      <c r="BH826" s="53"/>
      <c r="BI826" s="53"/>
      <c r="BJ826" s="53"/>
      <c r="BK826" s="53"/>
      <c r="BL826" s="53"/>
      <c r="BM826" s="53"/>
      <c r="BN826" s="53"/>
      <c r="BO826" s="53"/>
      <c r="BP826" s="53"/>
      <c r="BQ826" s="53"/>
      <c r="BR826" s="53"/>
      <c r="BS826" s="53"/>
      <c r="BT826" s="53"/>
      <c r="BU826" s="53"/>
      <c r="BV826" s="53"/>
      <c r="BW826" s="53"/>
      <c r="BX826" s="53"/>
      <c r="BY826" s="53"/>
      <c r="BZ826" s="53"/>
      <c r="CA826" s="53"/>
      <c r="CB826" s="53"/>
      <c r="CC826" s="53"/>
      <c r="CD826" s="53"/>
      <c r="CE826" s="53"/>
      <c r="CF826" s="53"/>
      <c r="CG826" s="53"/>
      <c r="CH826" s="53"/>
      <c r="CI826" s="53"/>
      <c r="CJ826" s="53"/>
      <c r="CK826" s="53"/>
    </row>
    <row r="827" spans="1:89" s="25" customFormat="1" ht="33" customHeight="1">
      <c r="A827" s="74"/>
      <c r="B827" s="74"/>
      <c r="C827" s="74"/>
      <c r="D827" s="74"/>
      <c r="E827" s="74"/>
      <c r="F827" s="74"/>
      <c r="G827" s="75"/>
      <c r="H827" s="76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  <c r="AZ827" s="53"/>
      <c r="BA827" s="53"/>
      <c r="BB827" s="53"/>
      <c r="BC827" s="53"/>
      <c r="BD827" s="53"/>
      <c r="BE827" s="53"/>
      <c r="BF827" s="53"/>
      <c r="BG827" s="53"/>
      <c r="BH827" s="53"/>
      <c r="BI827" s="53"/>
      <c r="BJ827" s="53"/>
      <c r="BK827" s="53"/>
      <c r="BL827" s="53"/>
      <c r="BM827" s="53"/>
      <c r="BN827" s="53"/>
      <c r="BO827" s="53"/>
      <c r="BP827" s="53"/>
      <c r="BQ827" s="53"/>
      <c r="BR827" s="53"/>
      <c r="BS827" s="53"/>
      <c r="BT827" s="53"/>
      <c r="BU827" s="53"/>
      <c r="BV827" s="53"/>
      <c r="BW827" s="53"/>
      <c r="BX827" s="53"/>
      <c r="BY827" s="53"/>
      <c r="BZ827" s="53"/>
      <c r="CA827" s="53"/>
      <c r="CB827" s="53"/>
      <c r="CC827" s="53"/>
      <c r="CD827" s="53"/>
      <c r="CE827" s="53"/>
      <c r="CF827" s="53"/>
      <c r="CG827" s="53"/>
      <c r="CH827" s="53"/>
      <c r="CI827" s="53"/>
      <c r="CJ827" s="53"/>
      <c r="CK827" s="53"/>
    </row>
    <row r="828" spans="1:89" s="25" customFormat="1" ht="33" customHeight="1">
      <c r="A828" s="74"/>
      <c r="B828" s="74"/>
      <c r="C828" s="74"/>
      <c r="D828" s="74"/>
      <c r="E828" s="74"/>
      <c r="F828" s="74"/>
      <c r="G828" s="75"/>
      <c r="H828" s="76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53"/>
      <c r="AX828" s="53"/>
      <c r="AY828" s="53"/>
      <c r="AZ828" s="53"/>
      <c r="BA828" s="53"/>
      <c r="BB828" s="53"/>
      <c r="BC828" s="53"/>
      <c r="BD828" s="53"/>
      <c r="BE828" s="53"/>
      <c r="BF828" s="53"/>
      <c r="BG828" s="53"/>
      <c r="BH828" s="53"/>
      <c r="BI828" s="53"/>
      <c r="BJ828" s="53"/>
      <c r="BK828" s="53"/>
      <c r="BL828" s="53"/>
      <c r="BM828" s="53"/>
      <c r="BN828" s="53"/>
      <c r="BO828" s="53"/>
      <c r="BP828" s="53"/>
      <c r="BQ828" s="53"/>
      <c r="BR828" s="53"/>
      <c r="BS828" s="53"/>
      <c r="BT828" s="53"/>
      <c r="BU828" s="53"/>
      <c r="BV828" s="53"/>
      <c r="BW828" s="53"/>
      <c r="BX828" s="53"/>
      <c r="BY828" s="53"/>
      <c r="BZ828" s="53"/>
      <c r="CA828" s="53"/>
      <c r="CB828" s="53"/>
      <c r="CC828" s="53"/>
      <c r="CD828" s="53"/>
      <c r="CE828" s="53"/>
      <c r="CF828" s="53"/>
      <c r="CG828" s="53"/>
      <c r="CH828" s="53"/>
      <c r="CI828" s="53"/>
      <c r="CJ828" s="53"/>
      <c r="CK828" s="53"/>
    </row>
    <row r="829" spans="1:89" s="25" customFormat="1" ht="33" customHeight="1">
      <c r="A829" s="74"/>
      <c r="B829" s="74"/>
      <c r="C829" s="74"/>
      <c r="D829" s="74"/>
      <c r="E829" s="74"/>
      <c r="F829" s="74"/>
      <c r="G829" s="75"/>
      <c r="H829" s="76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53"/>
      <c r="AX829" s="53"/>
      <c r="AY829" s="53"/>
      <c r="AZ829" s="53"/>
      <c r="BA829" s="53"/>
      <c r="BB829" s="53"/>
      <c r="BC829" s="53"/>
      <c r="BD829" s="53"/>
      <c r="BE829" s="53"/>
      <c r="BF829" s="53"/>
      <c r="BG829" s="53"/>
      <c r="BH829" s="53"/>
      <c r="BI829" s="53"/>
      <c r="BJ829" s="53"/>
      <c r="BK829" s="53"/>
      <c r="BL829" s="53"/>
      <c r="BM829" s="53"/>
      <c r="BN829" s="53"/>
      <c r="BO829" s="53"/>
      <c r="BP829" s="53"/>
      <c r="BQ829" s="53"/>
      <c r="BR829" s="53"/>
      <c r="BS829" s="53"/>
      <c r="BT829" s="53"/>
      <c r="BU829" s="53"/>
      <c r="BV829" s="53"/>
      <c r="BW829" s="53"/>
      <c r="BX829" s="53"/>
      <c r="BY829" s="53"/>
      <c r="BZ829" s="53"/>
      <c r="CA829" s="53"/>
      <c r="CB829" s="53"/>
      <c r="CC829" s="53"/>
      <c r="CD829" s="53"/>
      <c r="CE829" s="53"/>
      <c r="CF829" s="53"/>
      <c r="CG829" s="53"/>
      <c r="CH829" s="53"/>
      <c r="CI829" s="53"/>
      <c r="CJ829" s="53"/>
      <c r="CK829" s="53"/>
    </row>
    <row r="830" spans="1:89" s="25" customFormat="1" ht="33" customHeight="1">
      <c r="A830" s="74"/>
      <c r="B830" s="74"/>
      <c r="C830" s="74"/>
      <c r="D830" s="74"/>
      <c r="E830" s="74"/>
      <c r="F830" s="74"/>
      <c r="G830" s="75"/>
      <c r="H830" s="76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  <c r="AZ830" s="53"/>
      <c r="BA830" s="53"/>
      <c r="BB830" s="53"/>
      <c r="BC830" s="53"/>
      <c r="BD830" s="53"/>
      <c r="BE830" s="53"/>
      <c r="BF830" s="53"/>
      <c r="BG830" s="53"/>
      <c r="BH830" s="53"/>
      <c r="BI830" s="53"/>
      <c r="BJ830" s="53"/>
      <c r="BK830" s="53"/>
      <c r="BL830" s="53"/>
      <c r="BM830" s="53"/>
      <c r="BN830" s="53"/>
      <c r="BO830" s="53"/>
      <c r="BP830" s="53"/>
      <c r="BQ830" s="53"/>
      <c r="BR830" s="53"/>
      <c r="BS830" s="53"/>
      <c r="BT830" s="53"/>
      <c r="BU830" s="53"/>
      <c r="BV830" s="53"/>
      <c r="BW830" s="53"/>
      <c r="BX830" s="53"/>
      <c r="BY830" s="53"/>
      <c r="BZ830" s="53"/>
      <c r="CA830" s="53"/>
      <c r="CB830" s="53"/>
      <c r="CC830" s="53"/>
      <c r="CD830" s="53"/>
      <c r="CE830" s="53"/>
      <c r="CF830" s="53"/>
      <c r="CG830" s="53"/>
      <c r="CH830" s="53"/>
      <c r="CI830" s="53"/>
      <c r="CJ830" s="53"/>
      <c r="CK830" s="53"/>
    </row>
    <row r="831" spans="1:89" s="25" customFormat="1" ht="33" customHeight="1">
      <c r="A831" s="74"/>
      <c r="B831" s="74"/>
      <c r="C831" s="74"/>
      <c r="D831" s="74"/>
      <c r="E831" s="74"/>
      <c r="F831" s="74"/>
      <c r="G831" s="75"/>
      <c r="H831" s="76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53"/>
      <c r="AX831" s="53"/>
      <c r="AY831" s="53"/>
      <c r="AZ831" s="53"/>
      <c r="BA831" s="53"/>
      <c r="BB831" s="53"/>
      <c r="BC831" s="53"/>
      <c r="BD831" s="53"/>
      <c r="BE831" s="53"/>
      <c r="BF831" s="53"/>
      <c r="BG831" s="53"/>
      <c r="BH831" s="53"/>
      <c r="BI831" s="53"/>
      <c r="BJ831" s="53"/>
      <c r="BK831" s="53"/>
      <c r="BL831" s="53"/>
      <c r="BM831" s="53"/>
      <c r="BN831" s="53"/>
      <c r="BO831" s="53"/>
      <c r="BP831" s="53"/>
      <c r="BQ831" s="53"/>
      <c r="BR831" s="53"/>
      <c r="BS831" s="53"/>
      <c r="BT831" s="53"/>
      <c r="BU831" s="53"/>
      <c r="BV831" s="53"/>
      <c r="BW831" s="53"/>
      <c r="BX831" s="53"/>
      <c r="BY831" s="53"/>
      <c r="BZ831" s="53"/>
      <c r="CA831" s="53"/>
      <c r="CB831" s="53"/>
      <c r="CC831" s="53"/>
      <c r="CD831" s="53"/>
      <c r="CE831" s="53"/>
      <c r="CF831" s="53"/>
      <c r="CG831" s="53"/>
      <c r="CH831" s="53"/>
      <c r="CI831" s="53"/>
      <c r="CJ831" s="53"/>
      <c r="CK831" s="53"/>
    </row>
    <row r="832" spans="1:89" s="25" customFormat="1" ht="33" customHeight="1">
      <c r="A832" s="74"/>
      <c r="B832" s="74"/>
      <c r="C832" s="74"/>
      <c r="D832" s="74"/>
      <c r="E832" s="74"/>
      <c r="F832" s="74"/>
      <c r="G832" s="75"/>
      <c r="H832" s="76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53"/>
      <c r="AX832" s="53"/>
      <c r="AY832" s="53"/>
      <c r="AZ832" s="53"/>
      <c r="BA832" s="53"/>
      <c r="BB832" s="53"/>
      <c r="BC832" s="53"/>
      <c r="BD832" s="53"/>
      <c r="BE832" s="53"/>
      <c r="BF832" s="53"/>
      <c r="BG832" s="53"/>
      <c r="BH832" s="53"/>
      <c r="BI832" s="53"/>
      <c r="BJ832" s="53"/>
      <c r="BK832" s="53"/>
      <c r="BL832" s="53"/>
      <c r="BM832" s="53"/>
      <c r="BN832" s="53"/>
      <c r="BO832" s="53"/>
      <c r="BP832" s="53"/>
      <c r="BQ832" s="53"/>
      <c r="BR832" s="53"/>
      <c r="BS832" s="53"/>
      <c r="BT832" s="53"/>
      <c r="BU832" s="53"/>
      <c r="BV832" s="53"/>
      <c r="BW832" s="53"/>
      <c r="BX832" s="53"/>
      <c r="BY832" s="53"/>
      <c r="BZ832" s="53"/>
      <c r="CA832" s="53"/>
      <c r="CB832" s="53"/>
      <c r="CC832" s="53"/>
      <c r="CD832" s="53"/>
      <c r="CE832" s="53"/>
      <c r="CF832" s="53"/>
      <c r="CG832" s="53"/>
      <c r="CH832" s="53"/>
      <c r="CI832" s="53"/>
      <c r="CJ832" s="53"/>
      <c r="CK832" s="53"/>
    </row>
    <row r="833" spans="1:89" s="25" customFormat="1" ht="33" customHeight="1">
      <c r="A833" s="74"/>
      <c r="B833" s="74"/>
      <c r="C833" s="74"/>
      <c r="D833" s="74"/>
      <c r="E833" s="74"/>
      <c r="F833" s="74"/>
      <c r="G833" s="75"/>
      <c r="H833" s="76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53"/>
      <c r="AX833" s="53"/>
      <c r="AY833" s="53"/>
      <c r="AZ833" s="53"/>
      <c r="BA833" s="53"/>
      <c r="BB833" s="53"/>
      <c r="BC833" s="53"/>
      <c r="BD833" s="53"/>
      <c r="BE833" s="53"/>
      <c r="BF833" s="53"/>
      <c r="BG833" s="53"/>
      <c r="BH833" s="53"/>
      <c r="BI833" s="53"/>
      <c r="BJ833" s="53"/>
      <c r="BK833" s="53"/>
      <c r="BL833" s="53"/>
      <c r="BM833" s="53"/>
      <c r="BN833" s="53"/>
      <c r="BO833" s="53"/>
      <c r="BP833" s="53"/>
      <c r="BQ833" s="53"/>
      <c r="BR833" s="53"/>
      <c r="BS833" s="53"/>
      <c r="BT833" s="53"/>
      <c r="BU833" s="53"/>
      <c r="BV833" s="53"/>
      <c r="BW833" s="53"/>
      <c r="BX833" s="53"/>
      <c r="BY833" s="53"/>
      <c r="BZ833" s="53"/>
      <c r="CA833" s="53"/>
      <c r="CB833" s="53"/>
      <c r="CC833" s="53"/>
      <c r="CD833" s="53"/>
      <c r="CE833" s="53"/>
      <c r="CF833" s="53"/>
      <c r="CG833" s="53"/>
      <c r="CH833" s="53"/>
      <c r="CI833" s="53"/>
      <c r="CJ833" s="53"/>
      <c r="CK833" s="53"/>
    </row>
    <row r="834" spans="1:89" s="25" customFormat="1" ht="33" customHeight="1">
      <c r="A834" s="74"/>
      <c r="B834" s="74"/>
      <c r="C834" s="74"/>
      <c r="D834" s="74"/>
      <c r="E834" s="74"/>
      <c r="F834" s="74"/>
      <c r="G834" s="75"/>
      <c r="H834" s="76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53"/>
      <c r="AX834" s="53"/>
      <c r="AY834" s="53"/>
      <c r="AZ834" s="53"/>
      <c r="BA834" s="53"/>
      <c r="BB834" s="53"/>
      <c r="BC834" s="53"/>
      <c r="BD834" s="53"/>
      <c r="BE834" s="53"/>
      <c r="BF834" s="53"/>
      <c r="BG834" s="53"/>
      <c r="BH834" s="53"/>
      <c r="BI834" s="53"/>
      <c r="BJ834" s="53"/>
      <c r="BK834" s="53"/>
      <c r="BL834" s="53"/>
      <c r="BM834" s="53"/>
      <c r="BN834" s="53"/>
      <c r="BO834" s="53"/>
      <c r="BP834" s="53"/>
      <c r="BQ834" s="53"/>
      <c r="BR834" s="53"/>
      <c r="BS834" s="53"/>
      <c r="BT834" s="53"/>
      <c r="BU834" s="53"/>
      <c r="BV834" s="53"/>
      <c r="BW834" s="53"/>
      <c r="BX834" s="53"/>
      <c r="BY834" s="53"/>
      <c r="BZ834" s="53"/>
      <c r="CA834" s="53"/>
      <c r="CB834" s="53"/>
      <c r="CC834" s="53"/>
      <c r="CD834" s="53"/>
      <c r="CE834" s="53"/>
      <c r="CF834" s="53"/>
      <c r="CG834" s="53"/>
      <c r="CH834" s="53"/>
      <c r="CI834" s="53"/>
      <c r="CJ834" s="53"/>
      <c r="CK834" s="53"/>
    </row>
    <row r="835" spans="1:89" s="25" customFormat="1" ht="33" customHeight="1">
      <c r="A835" s="74"/>
      <c r="B835" s="74"/>
      <c r="C835" s="74"/>
      <c r="D835" s="74"/>
      <c r="E835" s="74"/>
      <c r="F835" s="74"/>
      <c r="G835" s="75"/>
      <c r="H835" s="76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  <c r="BA835" s="53"/>
      <c r="BB835" s="53"/>
      <c r="BC835" s="53"/>
      <c r="BD835" s="53"/>
      <c r="BE835" s="53"/>
      <c r="BF835" s="53"/>
      <c r="BG835" s="53"/>
      <c r="BH835" s="53"/>
      <c r="BI835" s="53"/>
      <c r="BJ835" s="53"/>
      <c r="BK835" s="53"/>
      <c r="BL835" s="53"/>
      <c r="BM835" s="53"/>
      <c r="BN835" s="53"/>
      <c r="BO835" s="53"/>
      <c r="BP835" s="53"/>
      <c r="BQ835" s="53"/>
      <c r="BR835" s="53"/>
      <c r="BS835" s="53"/>
      <c r="BT835" s="53"/>
      <c r="BU835" s="53"/>
      <c r="BV835" s="53"/>
      <c r="BW835" s="53"/>
      <c r="BX835" s="53"/>
      <c r="BY835" s="53"/>
      <c r="BZ835" s="53"/>
      <c r="CA835" s="53"/>
      <c r="CB835" s="53"/>
      <c r="CC835" s="53"/>
      <c r="CD835" s="53"/>
      <c r="CE835" s="53"/>
      <c r="CF835" s="53"/>
      <c r="CG835" s="53"/>
      <c r="CH835" s="53"/>
      <c r="CI835" s="53"/>
      <c r="CJ835" s="53"/>
      <c r="CK835" s="53"/>
    </row>
    <row r="836" spans="1:89" s="25" customFormat="1" ht="33" customHeight="1">
      <c r="A836" s="74"/>
      <c r="B836" s="74"/>
      <c r="C836" s="74"/>
      <c r="D836" s="74"/>
      <c r="E836" s="74"/>
      <c r="F836" s="74"/>
      <c r="G836" s="75"/>
      <c r="H836" s="76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53"/>
      <c r="AX836" s="53"/>
      <c r="AY836" s="53"/>
      <c r="AZ836" s="53"/>
      <c r="BA836" s="53"/>
      <c r="BB836" s="53"/>
      <c r="BC836" s="53"/>
      <c r="BD836" s="53"/>
      <c r="BE836" s="53"/>
      <c r="BF836" s="53"/>
      <c r="BG836" s="53"/>
      <c r="BH836" s="53"/>
      <c r="BI836" s="53"/>
      <c r="BJ836" s="53"/>
      <c r="BK836" s="53"/>
      <c r="BL836" s="53"/>
      <c r="BM836" s="53"/>
      <c r="BN836" s="53"/>
      <c r="BO836" s="53"/>
      <c r="BP836" s="53"/>
      <c r="BQ836" s="53"/>
      <c r="BR836" s="53"/>
      <c r="BS836" s="53"/>
      <c r="BT836" s="53"/>
      <c r="BU836" s="53"/>
      <c r="BV836" s="53"/>
      <c r="BW836" s="53"/>
      <c r="BX836" s="53"/>
      <c r="BY836" s="53"/>
      <c r="BZ836" s="53"/>
      <c r="CA836" s="53"/>
      <c r="CB836" s="53"/>
      <c r="CC836" s="53"/>
      <c r="CD836" s="53"/>
      <c r="CE836" s="53"/>
      <c r="CF836" s="53"/>
      <c r="CG836" s="53"/>
      <c r="CH836" s="53"/>
      <c r="CI836" s="53"/>
      <c r="CJ836" s="53"/>
      <c r="CK836" s="53"/>
    </row>
    <row r="837" spans="1:89" s="25" customFormat="1" ht="33" customHeight="1">
      <c r="A837" s="74"/>
      <c r="B837" s="74"/>
      <c r="C837" s="74"/>
      <c r="D837" s="74"/>
      <c r="E837" s="74"/>
      <c r="F837" s="74"/>
      <c r="G837" s="75"/>
      <c r="H837" s="76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53"/>
      <c r="AX837" s="53"/>
      <c r="AY837" s="53"/>
      <c r="AZ837" s="53"/>
      <c r="BA837" s="53"/>
      <c r="BB837" s="53"/>
      <c r="BC837" s="53"/>
      <c r="BD837" s="53"/>
      <c r="BE837" s="53"/>
      <c r="BF837" s="53"/>
      <c r="BG837" s="53"/>
      <c r="BH837" s="53"/>
      <c r="BI837" s="53"/>
      <c r="BJ837" s="53"/>
      <c r="BK837" s="53"/>
      <c r="BL837" s="53"/>
      <c r="BM837" s="53"/>
      <c r="BN837" s="53"/>
      <c r="BO837" s="53"/>
      <c r="BP837" s="53"/>
      <c r="BQ837" s="53"/>
      <c r="BR837" s="53"/>
      <c r="BS837" s="53"/>
      <c r="BT837" s="53"/>
      <c r="BU837" s="53"/>
      <c r="BV837" s="53"/>
      <c r="BW837" s="53"/>
      <c r="BX837" s="53"/>
      <c r="BY837" s="53"/>
      <c r="BZ837" s="53"/>
      <c r="CA837" s="53"/>
      <c r="CB837" s="53"/>
      <c r="CC837" s="53"/>
      <c r="CD837" s="53"/>
      <c r="CE837" s="53"/>
      <c r="CF837" s="53"/>
      <c r="CG837" s="53"/>
      <c r="CH837" s="53"/>
      <c r="CI837" s="53"/>
      <c r="CJ837" s="53"/>
      <c r="CK837" s="53"/>
    </row>
    <row r="838" spans="1:89" s="25" customFormat="1" ht="33" customHeight="1">
      <c r="A838" s="74"/>
      <c r="B838" s="74"/>
      <c r="C838" s="74"/>
      <c r="D838" s="74"/>
      <c r="E838" s="74"/>
      <c r="F838" s="74"/>
      <c r="G838" s="75"/>
      <c r="H838" s="76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53"/>
      <c r="AX838" s="53"/>
      <c r="AY838" s="53"/>
      <c r="AZ838" s="53"/>
      <c r="BA838" s="53"/>
      <c r="BB838" s="53"/>
      <c r="BC838" s="53"/>
      <c r="BD838" s="53"/>
      <c r="BE838" s="53"/>
      <c r="BF838" s="53"/>
      <c r="BG838" s="53"/>
      <c r="BH838" s="53"/>
      <c r="BI838" s="53"/>
      <c r="BJ838" s="53"/>
      <c r="BK838" s="53"/>
      <c r="BL838" s="53"/>
      <c r="BM838" s="53"/>
      <c r="BN838" s="53"/>
      <c r="BO838" s="53"/>
      <c r="BP838" s="53"/>
      <c r="BQ838" s="53"/>
      <c r="BR838" s="53"/>
      <c r="BS838" s="53"/>
      <c r="BT838" s="53"/>
      <c r="BU838" s="53"/>
      <c r="BV838" s="53"/>
      <c r="BW838" s="53"/>
      <c r="BX838" s="53"/>
      <c r="BY838" s="53"/>
      <c r="BZ838" s="53"/>
      <c r="CA838" s="53"/>
      <c r="CB838" s="53"/>
      <c r="CC838" s="53"/>
      <c r="CD838" s="53"/>
      <c r="CE838" s="53"/>
      <c r="CF838" s="53"/>
      <c r="CG838" s="53"/>
      <c r="CH838" s="53"/>
      <c r="CI838" s="53"/>
      <c r="CJ838" s="53"/>
      <c r="CK838" s="53"/>
    </row>
    <row r="839" spans="1:89" s="25" customFormat="1" ht="18.75">
      <c r="A839" s="53"/>
      <c r="B839" s="53"/>
      <c r="C839" s="53"/>
      <c r="D839" s="53"/>
      <c r="E839" s="66"/>
      <c r="F839" s="59"/>
      <c r="G839" s="54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53"/>
      <c r="AX839" s="53"/>
      <c r="AY839" s="53"/>
      <c r="AZ839" s="53"/>
      <c r="BA839" s="53"/>
      <c r="BB839" s="53"/>
      <c r="BC839" s="53"/>
      <c r="BD839" s="53"/>
      <c r="BE839" s="53"/>
      <c r="BF839" s="53"/>
      <c r="BG839" s="53"/>
      <c r="BH839" s="53"/>
      <c r="BI839" s="53"/>
      <c r="BJ839" s="53"/>
      <c r="BK839" s="53"/>
      <c r="BL839" s="53"/>
      <c r="BM839" s="53"/>
      <c r="BN839" s="53"/>
      <c r="BO839" s="53"/>
      <c r="BP839" s="53"/>
      <c r="BQ839" s="53"/>
      <c r="BR839" s="53"/>
      <c r="BS839" s="53"/>
      <c r="BT839" s="53"/>
      <c r="BU839" s="53"/>
      <c r="BV839" s="53"/>
      <c r="BW839" s="53"/>
      <c r="BX839" s="53"/>
      <c r="BY839" s="53"/>
      <c r="BZ839" s="53"/>
      <c r="CA839" s="53"/>
      <c r="CB839" s="53"/>
      <c r="CC839" s="53"/>
      <c r="CD839" s="53"/>
      <c r="CE839" s="53"/>
      <c r="CF839" s="53"/>
      <c r="CG839" s="53"/>
      <c r="CH839" s="53"/>
      <c r="CI839" s="53"/>
      <c r="CJ839" s="53"/>
      <c r="CK839" s="53"/>
    </row>
    <row r="840" spans="1:89" s="25" customFormat="1" ht="18.75">
      <c r="A840" s="53"/>
      <c r="B840" s="53"/>
      <c r="C840" s="53"/>
      <c r="D840" s="53"/>
      <c r="E840" s="66"/>
      <c r="F840" s="59"/>
      <c r="G840" s="54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  <c r="AZ840" s="53"/>
      <c r="BA840" s="53"/>
      <c r="BB840" s="53"/>
      <c r="BC840" s="53"/>
      <c r="BD840" s="53"/>
      <c r="BE840" s="53"/>
      <c r="BF840" s="53"/>
      <c r="BG840" s="53"/>
      <c r="BH840" s="53"/>
      <c r="BI840" s="53"/>
      <c r="BJ840" s="53"/>
      <c r="BK840" s="53"/>
      <c r="BL840" s="53"/>
      <c r="BM840" s="53"/>
      <c r="BN840" s="53"/>
      <c r="BO840" s="53"/>
      <c r="BP840" s="53"/>
      <c r="BQ840" s="53"/>
      <c r="BR840" s="53"/>
      <c r="BS840" s="53"/>
      <c r="BT840" s="53"/>
      <c r="BU840" s="53"/>
      <c r="BV840" s="53"/>
      <c r="BW840" s="53"/>
      <c r="BX840" s="53"/>
      <c r="BY840" s="53"/>
      <c r="BZ840" s="53"/>
      <c r="CA840" s="53"/>
      <c r="CB840" s="53"/>
      <c r="CC840" s="53"/>
      <c r="CD840" s="53"/>
      <c r="CE840" s="53"/>
      <c r="CF840" s="53"/>
      <c r="CG840" s="53"/>
      <c r="CH840" s="53"/>
      <c r="CI840" s="53"/>
      <c r="CJ840" s="53"/>
      <c r="CK840" s="53"/>
    </row>
    <row r="841" spans="1:89" s="25" customFormat="1" ht="18.75">
      <c r="A841" s="53"/>
      <c r="B841" s="53"/>
      <c r="C841" s="53"/>
      <c r="D841" s="53"/>
      <c r="E841" s="66"/>
      <c r="F841" s="59"/>
      <c r="G841" s="54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53"/>
      <c r="AX841" s="53"/>
      <c r="AY841" s="53"/>
      <c r="AZ841" s="53"/>
      <c r="BA841" s="53"/>
      <c r="BB841" s="53"/>
      <c r="BC841" s="53"/>
      <c r="BD841" s="53"/>
      <c r="BE841" s="53"/>
      <c r="BF841" s="53"/>
      <c r="BG841" s="53"/>
      <c r="BH841" s="53"/>
      <c r="BI841" s="53"/>
      <c r="BJ841" s="53"/>
      <c r="BK841" s="53"/>
      <c r="BL841" s="53"/>
      <c r="BM841" s="53"/>
      <c r="BN841" s="53"/>
      <c r="BO841" s="53"/>
      <c r="BP841" s="53"/>
      <c r="BQ841" s="53"/>
      <c r="BR841" s="53"/>
      <c r="BS841" s="53"/>
      <c r="BT841" s="53"/>
      <c r="BU841" s="53"/>
      <c r="BV841" s="53"/>
      <c r="BW841" s="53"/>
      <c r="BX841" s="53"/>
      <c r="BY841" s="53"/>
      <c r="BZ841" s="53"/>
      <c r="CA841" s="53"/>
      <c r="CB841" s="53"/>
      <c r="CC841" s="53"/>
      <c r="CD841" s="53"/>
      <c r="CE841" s="53"/>
      <c r="CF841" s="53"/>
      <c r="CG841" s="53"/>
      <c r="CH841" s="53"/>
      <c r="CI841" s="53"/>
      <c r="CJ841" s="53"/>
      <c r="CK841" s="53"/>
    </row>
    <row r="842" spans="1:89" s="25" customFormat="1" ht="18.75">
      <c r="A842" s="53"/>
      <c r="B842" s="53"/>
      <c r="C842" s="53"/>
      <c r="D842" s="53"/>
      <c r="E842" s="66"/>
      <c r="F842" s="59"/>
      <c r="G842" s="54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53"/>
      <c r="AX842" s="53"/>
      <c r="AY842" s="53"/>
      <c r="AZ842" s="53"/>
      <c r="BA842" s="53"/>
      <c r="BB842" s="53"/>
      <c r="BC842" s="53"/>
      <c r="BD842" s="53"/>
      <c r="BE842" s="53"/>
      <c r="BF842" s="53"/>
      <c r="BG842" s="53"/>
      <c r="BH842" s="53"/>
      <c r="BI842" s="53"/>
      <c r="BJ842" s="53"/>
      <c r="BK842" s="53"/>
      <c r="BL842" s="53"/>
      <c r="BM842" s="53"/>
      <c r="BN842" s="53"/>
      <c r="BO842" s="53"/>
      <c r="BP842" s="53"/>
      <c r="BQ842" s="53"/>
      <c r="BR842" s="53"/>
      <c r="BS842" s="53"/>
      <c r="BT842" s="53"/>
      <c r="BU842" s="53"/>
      <c r="BV842" s="53"/>
      <c r="BW842" s="53"/>
      <c r="BX842" s="53"/>
      <c r="BY842" s="53"/>
      <c r="BZ842" s="53"/>
      <c r="CA842" s="53"/>
      <c r="CB842" s="53"/>
      <c r="CC842" s="53"/>
      <c r="CD842" s="53"/>
      <c r="CE842" s="53"/>
      <c r="CF842" s="53"/>
      <c r="CG842" s="53"/>
      <c r="CH842" s="53"/>
      <c r="CI842" s="53"/>
      <c r="CJ842" s="53"/>
      <c r="CK842" s="53"/>
    </row>
    <row r="843" spans="1:89" s="25" customFormat="1" ht="18.75">
      <c r="A843" s="53"/>
      <c r="B843" s="53"/>
      <c r="C843" s="53"/>
      <c r="D843" s="53"/>
      <c r="E843" s="66"/>
      <c r="F843" s="59"/>
      <c r="G843" s="54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53"/>
      <c r="AX843" s="53"/>
      <c r="AY843" s="53"/>
      <c r="AZ843" s="53"/>
      <c r="BA843" s="53"/>
      <c r="BB843" s="53"/>
      <c r="BC843" s="53"/>
      <c r="BD843" s="53"/>
      <c r="BE843" s="53"/>
      <c r="BF843" s="53"/>
      <c r="BG843" s="53"/>
      <c r="BH843" s="53"/>
      <c r="BI843" s="53"/>
      <c r="BJ843" s="53"/>
      <c r="BK843" s="53"/>
      <c r="BL843" s="53"/>
      <c r="BM843" s="53"/>
      <c r="BN843" s="53"/>
      <c r="BO843" s="53"/>
      <c r="BP843" s="53"/>
      <c r="BQ843" s="53"/>
      <c r="BR843" s="53"/>
      <c r="BS843" s="53"/>
      <c r="BT843" s="53"/>
      <c r="BU843" s="53"/>
      <c r="BV843" s="53"/>
      <c r="BW843" s="53"/>
      <c r="BX843" s="53"/>
      <c r="BY843" s="53"/>
      <c r="BZ843" s="53"/>
      <c r="CA843" s="53"/>
      <c r="CB843" s="53"/>
      <c r="CC843" s="53"/>
      <c r="CD843" s="53"/>
      <c r="CE843" s="53"/>
      <c r="CF843" s="53"/>
      <c r="CG843" s="53"/>
      <c r="CH843" s="53"/>
      <c r="CI843" s="53"/>
      <c r="CJ843" s="53"/>
      <c r="CK843" s="53"/>
    </row>
    <row r="844" spans="1:89" s="25" customFormat="1" ht="18.75">
      <c r="A844" s="53"/>
      <c r="B844" s="53"/>
      <c r="C844" s="53"/>
      <c r="D844" s="53"/>
      <c r="E844" s="66"/>
      <c r="F844" s="59"/>
      <c r="G844" s="54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53"/>
      <c r="AX844" s="53"/>
      <c r="AY844" s="53"/>
      <c r="AZ844" s="53"/>
      <c r="BA844" s="53"/>
      <c r="BB844" s="53"/>
      <c r="BC844" s="53"/>
      <c r="BD844" s="53"/>
      <c r="BE844" s="53"/>
      <c r="BF844" s="53"/>
      <c r="BG844" s="53"/>
      <c r="BH844" s="53"/>
      <c r="BI844" s="53"/>
      <c r="BJ844" s="53"/>
      <c r="BK844" s="53"/>
      <c r="BL844" s="53"/>
      <c r="BM844" s="53"/>
      <c r="BN844" s="53"/>
      <c r="BO844" s="53"/>
      <c r="BP844" s="53"/>
      <c r="BQ844" s="53"/>
      <c r="BR844" s="53"/>
      <c r="BS844" s="53"/>
      <c r="BT844" s="53"/>
      <c r="BU844" s="53"/>
      <c r="BV844" s="53"/>
      <c r="BW844" s="53"/>
      <c r="BX844" s="53"/>
      <c r="BY844" s="53"/>
      <c r="BZ844" s="53"/>
      <c r="CA844" s="53"/>
      <c r="CB844" s="53"/>
      <c r="CC844" s="53"/>
      <c r="CD844" s="53"/>
      <c r="CE844" s="53"/>
      <c r="CF844" s="53"/>
      <c r="CG844" s="53"/>
      <c r="CH844" s="53"/>
      <c r="CI844" s="53"/>
      <c r="CJ844" s="53"/>
      <c r="CK844" s="53"/>
    </row>
    <row r="845" spans="1:89" s="25" customFormat="1" ht="18.75">
      <c r="A845" s="53"/>
      <c r="B845" s="53"/>
      <c r="C845" s="53"/>
      <c r="D845" s="53"/>
      <c r="E845" s="66"/>
      <c r="F845" s="59"/>
      <c r="G845" s="54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  <c r="AZ845" s="53"/>
      <c r="BA845" s="53"/>
      <c r="BB845" s="53"/>
      <c r="BC845" s="53"/>
      <c r="BD845" s="53"/>
      <c r="BE845" s="53"/>
      <c r="BF845" s="53"/>
      <c r="BG845" s="53"/>
      <c r="BH845" s="53"/>
      <c r="BI845" s="53"/>
      <c r="BJ845" s="53"/>
      <c r="BK845" s="53"/>
      <c r="BL845" s="53"/>
      <c r="BM845" s="53"/>
      <c r="BN845" s="53"/>
      <c r="BO845" s="53"/>
      <c r="BP845" s="53"/>
      <c r="BQ845" s="53"/>
      <c r="BR845" s="53"/>
      <c r="BS845" s="53"/>
      <c r="BT845" s="53"/>
      <c r="BU845" s="53"/>
      <c r="BV845" s="53"/>
      <c r="BW845" s="53"/>
      <c r="BX845" s="53"/>
      <c r="BY845" s="53"/>
      <c r="BZ845" s="53"/>
      <c r="CA845" s="53"/>
      <c r="CB845" s="53"/>
      <c r="CC845" s="53"/>
      <c r="CD845" s="53"/>
      <c r="CE845" s="53"/>
      <c r="CF845" s="53"/>
      <c r="CG845" s="53"/>
      <c r="CH845" s="53"/>
      <c r="CI845" s="53"/>
      <c r="CJ845" s="53"/>
      <c r="CK845" s="53"/>
    </row>
    <row r="846" spans="1:89" s="25" customFormat="1" ht="18.75">
      <c r="A846" s="53"/>
      <c r="B846" s="53"/>
      <c r="C846" s="53"/>
      <c r="D846" s="53"/>
      <c r="E846" s="66"/>
      <c r="F846" s="59"/>
      <c r="G846" s="54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53"/>
      <c r="AX846" s="53"/>
      <c r="AY846" s="53"/>
      <c r="AZ846" s="53"/>
      <c r="BA846" s="53"/>
      <c r="BB846" s="53"/>
      <c r="BC846" s="53"/>
      <c r="BD846" s="53"/>
      <c r="BE846" s="53"/>
      <c r="BF846" s="53"/>
      <c r="BG846" s="53"/>
      <c r="BH846" s="53"/>
      <c r="BI846" s="53"/>
      <c r="BJ846" s="53"/>
      <c r="BK846" s="53"/>
      <c r="BL846" s="53"/>
      <c r="BM846" s="53"/>
      <c r="BN846" s="53"/>
      <c r="BO846" s="53"/>
      <c r="BP846" s="53"/>
      <c r="BQ846" s="53"/>
      <c r="BR846" s="53"/>
      <c r="BS846" s="53"/>
      <c r="BT846" s="53"/>
      <c r="BU846" s="53"/>
      <c r="BV846" s="53"/>
      <c r="BW846" s="53"/>
      <c r="BX846" s="53"/>
      <c r="BY846" s="53"/>
      <c r="BZ846" s="53"/>
      <c r="CA846" s="53"/>
      <c r="CB846" s="53"/>
      <c r="CC846" s="53"/>
      <c r="CD846" s="53"/>
      <c r="CE846" s="53"/>
      <c r="CF846" s="53"/>
      <c r="CG846" s="53"/>
      <c r="CH846" s="53"/>
      <c r="CI846" s="53"/>
      <c r="CJ846" s="53"/>
      <c r="CK846" s="53"/>
    </row>
    <row r="847" spans="1:89" s="25" customFormat="1" ht="18.75">
      <c r="A847" s="53"/>
      <c r="B847" s="53"/>
      <c r="C847" s="53"/>
      <c r="D847" s="53"/>
      <c r="E847" s="66"/>
      <c r="F847" s="59"/>
      <c r="G847" s="54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53"/>
      <c r="AX847" s="53"/>
      <c r="AY847" s="53"/>
      <c r="AZ847" s="53"/>
      <c r="BA847" s="53"/>
      <c r="BB847" s="53"/>
      <c r="BC847" s="53"/>
      <c r="BD847" s="53"/>
      <c r="BE847" s="53"/>
      <c r="BF847" s="53"/>
      <c r="BG847" s="53"/>
      <c r="BH847" s="53"/>
      <c r="BI847" s="53"/>
      <c r="BJ847" s="53"/>
      <c r="BK847" s="53"/>
      <c r="BL847" s="53"/>
      <c r="BM847" s="53"/>
      <c r="BN847" s="53"/>
      <c r="BO847" s="53"/>
      <c r="BP847" s="53"/>
      <c r="BQ847" s="53"/>
      <c r="BR847" s="53"/>
      <c r="BS847" s="53"/>
      <c r="BT847" s="53"/>
      <c r="BU847" s="53"/>
      <c r="BV847" s="53"/>
      <c r="BW847" s="53"/>
      <c r="BX847" s="53"/>
      <c r="BY847" s="53"/>
      <c r="BZ847" s="53"/>
      <c r="CA847" s="53"/>
      <c r="CB847" s="53"/>
      <c r="CC847" s="53"/>
      <c r="CD847" s="53"/>
      <c r="CE847" s="53"/>
      <c r="CF847" s="53"/>
      <c r="CG847" s="53"/>
      <c r="CH847" s="53"/>
      <c r="CI847" s="53"/>
      <c r="CJ847" s="53"/>
      <c r="CK847" s="53"/>
    </row>
    <row r="848" spans="1:89" s="25" customFormat="1" ht="18.75">
      <c r="A848" s="53"/>
      <c r="B848" s="53"/>
      <c r="C848" s="53"/>
      <c r="D848" s="53"/>
      <c r="E848" s="66"/>
      <c r="F848" s="59"/>
      <c r="G848" s="54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  <c r="AZ848" s="53"/>
      <c r="BA848" s="53"/>
      <c r="BB848" s="53"/>
      <c r="BC848" s="53"/>
      <c r="BD848" s="53"/>
      <c r="BE848" s="53"/>
      <c r="BF848" s="53"/>
      <c r="BG848" s="53"/>
      <c r="BH848" s="53"/>
      <c r="BI848" s="53"/>
      <c r="BJ848" s="53"/>
      <c r="BK848" s="53"/>
      <c r="BL848" s="53"/>
      <c r="BM848" s="53"/>
      <c r="BN848" s="53"/>
      <c r="BO848" s="53"/>
      <c r="BP848" s="53"/>
      <c r="BQ848" s="53"/>
      <c r="BR848" s="53"/>
      <c r="BS848" s="53"/>
      <c r="BT848" s="53"/>
      <c r="BU848" s="53"/>
      <c r="BV848" s="53"/>
      <c r="BW848" s="53"/>
      <c r="BX848" s="53"/>
      <c r="BY848" s="53"/>
      <c r="BZ848" s="53"/>
      <c r="CA848" s="53"/>
      <c r="CB848" s="53"/>
      <c r="CC848" s="53"/>
      <c r="CD848" s="53"/>
      <c r="CE848" s="53"/>
      <c r="CF848" s="53"/>
      <c r="CG848" s="53"/>
      <c r="CH848" s="53"/>
      <c r="CI848" s="53"/>
      <c r="CJ848" s="53"/>
      <c r="CK848" s="53"/>
    </row>
    <row r="849" spans="1:89" s="25" customFormat="1" ht="18.75">
      <c r="A849" s="53"/>
      <c r="B849" s="53"/>
      <c r="C849" s="53"/>
      <c r="D849" s="53"/>
      <c r="E849" s="66"/>
      <c r="F849" s="59"/>
      <c r="G849" s="54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53"/>
      <c r="AX849" s="53"/>
      <c r="AY849" s="53"/>
      <c r="AZ849" s="53"/>
      <c r="BA849" s="53"/>
      <c r="BB849" s="53"/>
      <c r="BC849" s="53"/>
      <c r="BD849" s="53"/>
      <c r="BE849" s="53"/>
      <c r="BF849" s="53"/>
      <c r="BG849" s="53"/>
      <c r="BH849" s="53"/>
      <c r="BI849" s="53"/>
      <c r="BJ849" s="53"/>
      <c r="BK849" s="53"/>
      <c r="BL849" s="53"/>
      <c r="BM849" s="53"/>
      <c r="BN849" s="53"/>
      <c r="BO849" s="53"/>
      <c r="BP849" s="53"/>
      <c r="BQ849" s="53"/>
      <c r="BR849" s="53"/>
      <c r="BS849" s="53"/>
      <c r="BT849" s="53"/>
      <c r="BU849" s="53"/>
      <c r="BV849" s="53"/>
      <c r="BW849" s="53"/>
      <c r="BX849" s="53"/>
      <c r="BY849" s="53"/>
      <c r="BZ849" s="53"/>
      <c r="CA849" s="53"/>
      <c r="CB849" s="53"/>
      <c r="CC849" s="53"/>
      <c r="CD849" s="53"/>
      <c r="CE849" s="53"/>
      <c r="CF849" s="53"/>
      <c r="CG849" s="53"/>
      <c r="CH849" s="53"/>
      <c r="CI849" s="53"/>
      <c r="CJ849" s="53"/>
      <c r="CK849" s="53"/>
    </row>
    <row r="850" spans="1:89" s="25" customFormat="1" ht="18.75">
      <c r="A850" s="53"/>
      <c r="B850" s="53"/>
      <c r="C850" s="53"/>
      <c r="D850" s="53"/>
      <c r="E850" s="66"/>
      <c r="F850" s="59"/>
      <c r="G850" s="54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  <c r="AZ850" s="53"/>
      <c r="BA850" s="53"/>
      <c r="BB850" s="53"/>
      <c r="BC850" s="53"/>
      <c r="BD850" s="53"/>
      <c r="BE850" s="53"/>
      <c r="BF850" s="53"/>
      <c r="BG850" s="53"/>
      <c r="BH850" s="53"/>
      <c r="BI850" s="53"/>
      <c r="BJ850" s="53"/>
      <c r="BK850" s="53"/>
      <c r="BL850" s="53"/>
      <c r="BM850" s="53"/>
      <c r="BN850" s="53"/>
      <c r="BO850" s="53"/>
      <c r="BP850" s="53"/>
      <c r="BQ850" s="53"/>
      <c r="BR850" s="53"/>
      <c r="BS850" s="53"/>
      <c r="BT850" s="53"/>
      <c r="BU850" s="53"/>
      <c r="BV850" s="53"/>
      <c r="BW850" s="53"/>
      <c r="BX850" s="53"/>
      <c r="BY850" s="53"/>
      <c r="BZ850" s="53"/>
      <c r="CA850" s="53"/>
      <c r="CB850" s="53"/>
      <c r="CC850" s="53"/>
      <c r="CD850" s="53"/>
      <c r="CE850" s="53"/>
      <c r="CF850" s="53"/>
      <c r="CG850" s="53"/>
      <c r="CH850" s="53"/>
      <c r="CI850" s="53"/>
      <c r="CJ850" s="53"/>
      <c r="CK850" s="53"/>
    </row>
    <row r="851" spans="1:89" s="25" customFormat="1" ht="18.75">
      <c r="A851" s="53"/>
      <c r="B851" s="53"/>
      <c r="C851" s="53"/>
      <c r="D851" s="53"/>
      <c r="E851" s="66"/>
      <c r="F851" s="59"/>
      <c r="G851" s="54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3"/>
      <c r="BA851" s="53"/>
      <c r="BB851" s="53"/>
      <c r="BC851" s="53"/>
      <c r="BD851" s="53"/>
      <c r="BE851" s="53"/>
      <c r="BF851" s="53"/>
      <c r="BG851" s="53"/>
      <c r="BH851" s="53"/>
      <c r="BI851" s="53"/>
      <c r="BJ851" s="53"/>
      <c r="BK851" s="53"/>
      <c r="BL851" s="53"/>
      <c r="BM851" s="53"/>
      <c r="BN851" s="53"/>
      <c r="BO851" s="53"/>
      <c r="BP851" s="53"/>
      <c r="BQ851" s="53"/>
      <c r="BR851" s="53"/>
      <c r="BS851" s="53"/>
      <c r="BT851" s="53"/>
      <c r="BU851" s="53"/>
      <c r="BV851" s="53"/>
      <c r="BW851" s="53"/>
      <c r="BX851" s="53"/>
      <c r="BY851" s="53"/>
      <c r="BZ851" s="53"/>
      <c r="CA851" s="53"/>
      <c r="CB851" s="53"/>
      <c r="CC851" s="53"/>
      <c r="CD851" s="53"/>
      <c r="CE851" s="53"/>
      <c r="CF851" s="53"/>
      <c r="CG851" s="53"/>
      <c r="CH851" s="53"/>
      <c r="CI851" s="53"/>
      <c r="CJ851" s="53"/>
      <c r="CK851" s="53"/>
    </row>
    <row r="852" spans="1:89" s="25" customFormat="1" ht="18.75">
      <c r="A852" s="53"/>
      <c r="B852" s="53"/>
      <c r="C852" s="53"/>
      <c r="D852" s="53"/>
      <c r="E852" s="66"/>
      <c r="F852" s="59"/>
      <c r="G852" s="54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  <c r="AZ852" s="53"/>
      <c r="BA852" s="53"/>
      <c r="BB852" s="53"/>
      <c r="BC852" s="53"/>
      <c r="BD852" s="53"/>
      <c r="BE852" s="53"/>
      <c r="BF852" s="53"/>
      <c r="BG852" s="53"/>
      <c r="BH852" s="53"/>
      <c r="BI852" s="53"/>
      <c r="BJ852" s="53"/>
      <c r="BK852" s="53"/>
      <c r="BL852" s="53"/>
      <c r="BM852" s="53"/>
      <c r="BN852" s="53"/>
      <c r="BO852" s="53"/>
      <c r="BP852" s="53"/>
      <c r="BQ852" s="53"/>
      <c r="BR852" s="53"/>
      <c r="BS852" s="53"/>
      <c r="BT852" s="53"/>
      <c r="BU852" s="53"/>
      <c r="BV852" s="53"/>
      <c r="BW852" s="53"/>
      <c r="BX852" s="53"/>
      <c r="BY852" s="53"/>
      <c r="BZ852" s="53"/>
      <c r="CA852" s="53"/>
      <c r="CB852" s="53"/>
      <c r="CC852" s="53"/>
      <c r="CD852" s="53"/>
      <c r="CE852" s="53"/>
      <c r="CF852" s="53"/>
      <c r="CG852" s="53"/>
      <c r="CH852" s="53"/>
      <c r="CI852" s="53"/>
      <c r="CJ852" s="53"/>
      <c r="CK852" s="53"/>
    </row>
    <row r="853" spans="1:89" s="25" customFormat="1" ht="18.75">
      <c r="A853" s="53"/>
      <c r="B853" s="53"/>
      <c r="C853" s="53"/>
      <c r="D853" s="53"/>
      <c r="E853" s="66"/>
      <c r="F853" s="59"/>
      <c r="G853" s="54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  <c r="AZ853" s="53"/>
      <c r="BA853" s="53"/>
      <c r="BB853" s="53"/>
      <c r="BC853" s="53"/>
      <c r="BD853" s="53"/>
      <c r="BE853" s="53"/>
      <c r="BF853" s="53"/>
      <c r="BG853" s="53"/>
      <c r="BH853" s="53"/>
      <c r="BI853" s="53"/>
      <c r="BJ853" s="53"/>
      <c r="BK853" s="53"/>
      <c r="BL853" s="53"/>
      <c r="BM853" s="53"/>
      <c r="BN853" s="53"/>
      <c r="BO853" s="53"/>
      <c r="BP853" s="53"/>
      <c r="BQ853" s="53"/>
      <c r="BR853" s="53"/>
      <c r="BS853" s="53"/>
      <c r="BT853" s="53"/>
      <c r="BU853" s="53"/>
      <c r="BV853" s="53"/>
      <c r="BW853" s="53"/>
      <c r="BX853" s="53"/>
      <c r="BY853" s="53"/>
      <c r="BZ853" s="53"/>
      <c r="CA853" s="53"/>
      <c r="CB853" s="53"/>
      <c r="CC853" s="53"/>
      <c r="CD853" s="53"/>
      <c r="CE853" s="53"/>
      <c r="CF853" s="53"/>
      <c r="CG853" s="53"/>
      <c r="CH853" s="53"/>
      <c r="CI853" s="53"/>
      <c r="CJ853" s="53"/>
      <c r="CK853" s="53"/>
    </row>
    <row r="854" spans="1:89" s="25" customFormat="1" ht="18.75">
      <c r="A854" s="53"/>
      <c r="B854" s="53"/>
      <c r="C854" s="53"/>
      <c r="D854" s="53"/>
      <c r="E854" s="66"/>
      <c r="F854" s="59"/>
      <c r="G854" s="54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53"/>
      <c r="AX854" s="53"/>
      <c r="AY854" s="53"/>
      <c r="AZ854" s="53"/>
      <c r="BA854" s="53"/>
      <c r="BB854" s="53"/>
      <c r="BC854" s="53"/>
      <c r="BD854" s="53"/>
      <c r="BE854" s="53"/>
      <c r="BF854" s="53"/>
      <c r="BG854" s="53"/>
      <c r="BH854" s="53"/>
      <c r="BI854" s="53"/>
      <c r="BJ854" s="53"/>
      <c r="BK854" s="53"/>
      <c r="BL854" s="53"/>
      <c r="BM854" s="53"/>
      <c r="BN854" s="53"/>
      <c r="BO854" s="53"/>
      <c r="BP854" s="53"/>
      <c r="BQ854" s="53"/>
      <c r="BR854" s="53"/>
      <c r="BS854" s="53"/>
      <c r="BT854" s="53"/>
      <c r="BU854" s="53"/>
      <c r="BV854" s="53"/>
      <c r="BW854" s="53"/>
      <c r="BX854" s="53"/>
      <c r="BY854" s="53"/>
      <c r="BZ854" s="53"/>
      <c r="CA854" s="53"/>
      <c r="CB854" s="53"/>
      <c r="CC854" s="53"/>
      <c r="CD854" s="53"/>
      <c r="CE854" s="53"/>
      <c r="CF854" s="53"/>
      <c r="CG854" s="53"/>
      <c r="CH854" s="53"/>
      <c r="CI854" s="53"/>
      <c r="CJ854" s="53"/>
      <c r="CK854" s="53"/>
    </row>
    <row r="855" spans="1:89" s="25" customFormat="1" ht="18.75">
      <c r="A855" s="53"/>
      <c r="B855" s="53"/>
      <c r="C855" s="53"/>
      <c r="D855" s="53"/>
      <c r="E855" s="66"/>
      <c r="F855" s="59"/>
      <c r="G855" s="54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  <c r="AZ855" s="53"/>
      <c r="BA855" s="53"/>
      <c r="BB855" s="53"/>
      <c r="BC855" s="53"/>
      <c r="BD855" s="53"/>
      <c r="BE855" s="53"/>
      <c r="BF855" s="53"/>
      <c r="BG855" s="53"/>
      <c r="BH855" s="53"/>
      <c r="BI855" s="53"/>
      <c r="BJ855" s="53"/>
      <c r="BK855" s="53"/>
      <c r="BL855" s="53"/>
      <c r="BM855" s="53"/>
      <c r="BN855" s="53"/>
      <c r="BO855" s="53"/>
      <c r="BP855" s="53"/>
      <c r="BQ855" s="53"/>
      <c r="BR855" s="53"/>
      <c r="BS855" s="53"/>
      <c r="BT855" s="53"/>
      <c r="BU855" s="53"/>
      <c r="BV855" s="53"/>
      <c r="BW855" s="53"/>
      <c r="BX855" s="53"/>
      <c r="BY855" s="53"/>
      <c r="BZ855" s="53"/>
      <c r="CA855" s="53"/>
      <c r="CB855" s="53"/>
      <c r="CC855" s="53"/>
      <c r="CD855" s="53"/>
      <c r="CE855" s="53"/>
      <c r="CF855" s="53"/>
      <c r="CG855" s="53"/>
      <c r="CH855" s="53"/>
      <c r="CI855" s="53"/>
      <c r="CJ855" s="53"/>
      <c r="CK855" s="53"/>
    </row>
    <row r="856" spans="1:89" s="25" customFormat="1" ht="18.75">
      <c r="A856" s="53"/>
      <c r="B856" s="53"/>
      <c r="C856" s="53"/>
      <c r="D856" s="53"/>
      <c r="E856" s="66"/>
      <c r="F856" s="59"/>
      <c r="G856" s="54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53"/>
      <c r="AX856" s="53"/>
      <c r="AY856" s="53"/>
      <c r="AZ856" s="53"/>
      <c r="BA856" s="53"/>
      <c r="BB856" s="53"/>
      <c r="BC856" s="53"/>
      <c r="BD856" s="53"/>
      <c r="BE856" s="53"/>
      <c r="BF856" s="53"/>
      <c r="BG856" s="53"/>
      <c r="BH856" s="53"/>
      <c r="BI856" s="53"/>
      <c r="BJ856" s="53"/>
      <c r="BK856" s="53"/>
      <c r="BL856" s="53"/>
      <c r="BM856" s="53"/>
      <c r="BN856" s="53"/>
      <c r="BO856" s="53"/>
      <c r="BP856" s="53"/>
      <c r="BQ856" s="53"/>
      <c r="BR856" s="53"/>
      <c r="BS856" s="53"/>
      <c r="BT856" s="53"/>
      <c r="BU856" s="53"/>
      <c r="BV856" s="53"/>
      <c r="BW856" s="53"/>
      <c r="BX856" s="53"/>
      <c r="BY856" s="53"/>
      <c r="BZ856" s="53"/>
      <c r="CA856" s="53"/>
      <c r="CB856" s="53"/>
      <c r="CC856" s="53"/>
      <c r="CD856" s="53"/>
      <c r="CE856" s="53"/>
      <c r="CF856" s="53"/>
      <c r="CG856" s="53"/>
      <c r="CH856" s="53"/>
      <c r="CI856" s="53"/>
      <c r="CJ856" s="53"/>
      <c r="CK856" s="53"/>
    </row>
    <row r="857" spans="1:89" s="25" customFormat="1" ht="18.75">
      <c r="A857" s="53"/>
      <c r="B857" s="53"/>
      <c r="C857" s="53"/>
      <c r="D857" s="53"/>
      <c r="E857" s="66"/>
      <c r="F857" s="59"/>
      <c r="G857" s="54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53"/>
      <c r="AX857" s="53"/>
      <c r="AY857" s="53"/>
      <c r="AZ857" s="53"/>
      <c r="BA857" s="53"/>
      <c r="BB857" s="53"/>
      <c r="BC857" s="53"/>
      <c r="BD857" s="53"/>
      <c r="BE857" s="53"/>
      <c r="BF857" s="53"/>
      <c r="BG857" s="53"/>
      <c r="BH857" s="53"/>
      <c r="BI857" s="53"/>
      <c r="BJ857" s="53"/>
      <c r="BK857" s="53"/>
      <c r="BL857" s="53"/>
      <c r="BM857" s="53"/>
      <c r="BN857" s="53"/>
      <c r="BO857" s="53"/>
      <c r="BP857" s="53"/>
      <c r="BQ857" s="53"/>
      <c r="BR857" s="53"/>
      <c r="BS857" s="53"/>
      <c r="BT857" s="53"/>
      <c r="BU857" s="53"/>
      <c r="BV857" s="53"/>
      <c r="BW857" s="53"/>
      <c r="BX857" s="53"/>
      <c r="BY857" s="53"/>
      <c r="BZ857" s="53"/>
      <c r="CA857" s="53"/>
      <c r="CB857" s="53"/>
      <c r="CC857" s="53"/>
      <c r="CD857" s="53"/>
      <c r="CE857" s="53"/>
      <c r="CF857" s="53"/>
      <c r="CG857" s="53"/>
      <c r="CH857" s="53"/>
      <c r="CI857" s="53"/>
      <c r="CJ857" s="53"/>
      <c r="CK857" s="53"/>
    </row>
    <row r="858" spans="1:89" s="25" customFormat="1" ht="18.75">
      <c r="A858" s="53"/>
      <c r="B858" s="53"/>
      <c r="C858" s="53"/>
      <c r="D858" s="53"/>
      <c r="E858" s="66"/>
      <c r="F858" s="59"/>
      <c r="G858" s="54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53"/>
      <c r="AX858" s="53"/>
      <c r="AY858" s="53"/>
      <c r="AZ858" s="53"/>
      <c r="BA858" s="53"/>
      <c r="BB858" s="53"/>
      <c r="BC858" s="53"/>
      <c r="BD858" s="53"/>
      <c r="BE858" s="53"/>
      <c r="BF858" s="53"/>
      <c r="BG858" s="53"/>
      <c r="BH858" s="53"/>
      <c r="BI858" s="53"/>
      <c r="BJ858" s="53"/>
      <c r="BK858" s="53"/>
      <c r="BL858" s="53"/>
      <c r="BM858" s="53"/>
      <c r="BN858" s="53"/>
      <c r="BO858" s="53"/>
      <c r="BP858" s="53"/>
      <c r="BQ858" s="53"/>
      <c r="BR858" s="53"/>
      <c r="BS858" s="53"/>
      <c r="BT858" s="53"/>
      <c r="BU858" s="53"/>
      <c r="BV858" s="53"/>
      <c r="BW858" s="53"/>
      <c r="BX858" s="53"/>
      <c r="BY858" s="53"/>
      <c r="BZ858" s="53"/>
      <c r="CA858" s="53"/>
      <c r="CB858" s="53"/>
      <c r="CC858" s="53"/>
      <c r="CD858" s="53"/>
      <c r="CE858" s="53"/>
      <c r="CF858" s="53"/>
      <c r="CG858" s="53"/>
      <c r="CH858" s="53"/>
      <c r="CI858" s="53"/>
      <c r="CJ858" s="53"/>
      <c r="CK858" s="53"/>
    </row>
    <row r="859" spans="1:89" s="25" customFormat="1" ht="18.75">
      <c r="A859" s="53"/>
      <c r="B859" s="53"/>
      <c r="C859" s="53"/>
      <c r="D859" s="53"/>
      <c r="E859" s="66"/>
      <c r="F859" s="59"/>
      <c r="G859" s="54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  <c r="AZ859" s="53"/>
      <c r="BA859" s="53"/>
      <c r="BB859" s="53"/>
      <c r="BC859" s="53"/>
      <c r="BD859" s="53"/>
      <c r="BE859" s="53"/>
      <c r="BF859" s="53"/>
      <c r="BG859" s="53"/>
      <c r="BH859" s="53"/>
      <c r="BI859" s="53"/>
      <c r="BJ859" s="53"/>
      <c r="BK859" s="53"/>
      <c r="BL859" s="53"/>
      <c r="BM859" s="53"/>
      <c r="BN859" s="53"/>
      <c r="BO859" s="53"/>
      <c r="BP859" s="53"/>
      <c r="BQ859" s="53"/>
      <c r="BR859" s="53"/>
      <c r="BS859" s="53"/>
      <c r="BT859" s="53"/>
      <c r="BU859" s="53"/>
      <c r="BV859" s="53"/>
      <c r="BW859" s="53"/>
      <c r="BX859" s="53"/>
      <c r="BY859" s="53"/>
      <c r="BZ859" s="53"/>
      <c r="CA859" s="53"/>
      <c r="CB859" s="53"/>
      <c r="CC859" s="53"/>
      <c r="CD859" s="53"/>
      <c r="CE859" s="53"/>
      <c r="CF859" s="53"/>
      <c r="CG859" s="53"/>
      <c r="CH859" s="53"/>
      <c r="CI859" s="53"/>
      <c r="CJ859" s="53"/>
      <c r="CK859" s="53"/>
    </row>
    <row r="860" spans="1:89" s="25" customFormat="1" ht="18.75">
      <c r="A860" s="53"/>
      <c r="B860" s="53"/>
      <c r="C860" s="53"/>
      <c r="D860" s="53"/>
      <c r="E860" s="66"/>
      <c r="F860" s="59"/>
      <c r="G860" s="54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  <c r="BA860" s="53"/>
      <c r="BB860" s="53"/>
      <c r="BC860" s="53"/>
      <c r="BD860" s="53"/>
      <c r="BE860" s="53"/>
      <c r="BF860" s="53"/>
      <c r="BG860" s="53"/>
      <c r="BH860" s="53"/>
      <c r="BI860" s="53"/>
      <c r="BJ860" s="53"/>
      <c r="BK860" s="53"/>
      <c r="BL860" s="53"/>
      <c r="BM860" s="53"/>
      <c r="BN860" s="53"/>
      <c r="BO860" s="53"/>
      <c r="BP860" s="53"/>
      <c r="BQ860" s="53"/>
      <c r="BR860" s="53"/>
      <c r="BS860" s="53"/>
      <c r="BT860" s="53"/>
      <c r="BU860" s="53"/>
      <c r="BV860" s="53"/>
      <c r="BW860" s="53"/>
      <c r="BX860" s="53"/>
      <c r="BY860" s="53"/>
      <c r="BZ860" s="53"/>
      <c r="CA860" s="53"/>
      <c r="CB860" s="53"/>
      <c r="CC860" s="53"/>
      <c r="CD860" s="53"/>
      <c r="CE860" s="53"/>
      <c r="CF860" s="53"/>
      <c r="CG860" s="53"/>
      <c r="CH860" s="53"/>
      <c r="CI860" s="53"/>
      <c r="CJ860" s="53"/>
      <c r="CK860" s="53"/>
    </row>
    <row r="861" spans="1:89" s="25" customFormat="1" ht="18.75">
      <c r="A861" s="53"/>
      <c r="B861" s="53"/>
      <c r="C861" s="53"/>
      <c r="D861" s="53"/>
      <c r="E861" s="66"/>
      <c r="F861" s="59"/>
      <c r="G861" s="54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53"/>
      <c r="AX861" s="53"/>
      <c r="AY861" s="53"/>
      <c r="AZ861" s="53"/>
      <c r="BA861" s="53"/>
      <c r="BB861" s="53"/>
      <c r="BC861" s="53"/>
      <c r="BD861" s="53"/>
      <c r="BE861" s="53"/>
      <c r="BF861" s="53"/>
      <c r="BG861" s="53"/>
      <c r="BH861" s="53"/>
      <c r="BI861" s="53"/>
      <c r="BJ861" s="53"/>
      <c r="BK861" s="53"/>
      <c r="BL861" s="53"/>
      <c r="BM861" s="53"/>
      <c r="BN861" s="53"/>
      <c r="BO861" s="53"/>
      <c r="BP861" s="53"/>
      <c r="BQ861" s="53"/>
      <c r="BR861" s="53"/>
      <c r="BS861" s="53"/>
      <c r="BT861" s="53"/>
      <c r="BU861" s="53"/>
      <c r="BV861" s="53"/>
      <c r="BW861" s="53"/>
      <c r="BX861" s="53"/>
      <c r="BY861" s="53"/>
      <c r="BZ861" s="53"/>
      <c r="CA861" s="53"/>
      <c r="CB861" s="53"/>
      <c r="CC861" s="53"/>
      <c r="CD861" s="53"/>
      <c r="CE861" s="53"/>
      <c r="CF861" s="53"/>
      <c r="CG861" s="53"/>
      <c r="CH861" s="53"/>
      <c r="CI861" s="53"/>
      <c r="CJ861" s="53"/>
      <c r="CK861" s="53"/>
    </row>
    <row r="862" spans="1:89" s="25" customFormat="1" ht="18.75">
      <c r="A862" s="53"/>
      <c r="B862" s="53"/>
      <c r="C862" s="53"/>
      <c r="D862" s="53"/>
      <c r="E862" s="66"/>
      <c r="F862" s="59"/>
      <c r="G862" s="54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53"/>
      <c r="AX862" s="53"/>
      <c r="AY862" s="53"/>
      <c r="AZ862" s="53"/>
      <c r="BA862" s="53"/>
      <c r="BB862" s="53"/>
      <c r="BC862" s="53"/>
      <c r="BD862" s="53"/>
      <c r="BE862" s="53"/>
      <c r="BF862" s="53"/>
      <c r="BG862" s="53"/>
      <c r="BH862" s="53"/>
      <c r="BI862" s="53"/>
      <c r="BJ862" s="53"/>
      <c r="BK862" s="53"/>
      <c r="BL862" s="53"/>
      <c r="BM862" s="53"/>
      <c r="BN862" s="53"/>
      <c r="BO862" s="53"/>
      <c r="BP862" s="53"/>
      <c r="BQ862" s="53"/>
      <c r="BR862" s="53"/>
      <c r="BS862" s="53"/>
      <c r="BT862" s="53"/>
      <c r="BU862" s="53"/>
      <c r="BV862" s="53"/>
      <c r="BW862" s="53"/>
      <c r="BX862" s="53"/>
      <c r="BY862" s="53"/>
      <c r="BZ862" s="53"/>
      <c r="CA862" s="53"/>
      <c r="CB862" s="53"/>
      <c r="CC862" s="53"/>
      <c r="CD862" s="53"/>
      <c r="CE862" s="53"/>
      <c r="CF862" s="53"/>
      <c r="CG862" s="53"/>
      <c r="CH862" s="53"/>
      <c r="CI862" s="53"/>
      <c r="CJ862" s="53"/>
      <c r="CK862" s="53"/>
    </row>
    <row r="863" spans="1:89" s="25" customFormat="1" ht="18.75">
      <c r="A863" s="53"/>
      <c r="B863" s="53"/>
      <c r="C863" s="53"/>
      <c r="D863" s="53"/>
      <c r="E863" s="66"/>
      <c r="F863" s="59"/>
      <c r="G863" s="54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53"/>
      <c r="AX863" s="53"/>
      <c r="AY863" s="53"/>
      <c r="AZ863" s="53"/>
      <c r="BA863" s="53"/>
      <c r="BB863" s="53"/>
      <c r="BC863" s="53"/>
      <c r="BD863" s="53"/>
      <c r="BE863" s="53"/>
      <c r="BF863" s="53"/>
      <c r="BG863" s="53"/>
      <c r="BH863" s="53"/>
      <c r="BI863" s="53"/>
      <c r="BJ863" s="53"/>
      <c r="BK863" s="53"/>
      <c r="BL863" s="53"/>
      <c r="BM863" s="53"/>
      <c r="BN863" s="53"/>
      <c r="BO863" s="53"/>
      <c r="BP863" s="53"/>
      <c r="BQ863" s="53"/>
      <c r="BR863" s="53"/>
      <c r="BS863" s="53"/>
      <c r="BT863" s="53"/>
      <c r="BU863" s="53"/>
      <c r="BV863" s="53"/>
      <c r="BW863" s="53"/>
      <c r="BX863" s="53"/>
      <c r="BY863" s="53"/>
      <c r="BZ863" s="53"/>
      <c r="CA863" s="53"/>
      <c r="CB863" s="53"/>
      <c r="CC863" s="53"/>
      <c r="CD863" s="53"/>
      <c r="CE863" s="53"/>
      <c r="CF863" s="53"/>
      <c r="CG863" s="53"/>
      <c r="CH863" s="53"/>
      <c r="CI863" s="53"/>
      <c r="CJ863" s="53"/>
      <c r="CK863" s="53"/>
    </row>
    <row r="864" spans="1:89" s="25" customFormat="1" ht="18.75">
      <c r="A864" s="53"/>
      <c r="B864" s="53"/>
      <c r="C864" s="53"/>
      <c r="D864" s="53"/>
      <c r="E864" s="66"/>
      <c r="F864" s="59"/>
      <c r="G864" s="54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53"/>
      <c r="AX864" s="53"/>
      <c r="AY864" s="53"/>
      <c r="AZ864" s="53"/>
      <c r="BA864" s="53"/>
      <c r="BB864" s="53"/>
      <c r="BC864" s="53"/>
      <c r="BD864" s="53"/>
      <c r="BE864" s="53"/>
      <c r="BF864" s="53"/>
      <c r="BG864" s="53"/>
      <c r="BH864" s="53"/>
      <c r="BI864" s="53"/>
      <c r="BJ864" s="53"/>
      <c r="BK864" s="53"/>
      <c r="BL864" s="53"/>
      <c r="BM864" s="53"/>
      <c r="BN864" s="53"/>
      <c r="BO864" s="53"/>
      <c r="BP864" s="53"/>
      <c r="BQ864" s="53"/>
      <c r="BR864" s="53"/>
      <c r="BS864" s="53"/>
      <c r="BT864" s="53"/>
      <c r="BU864" s="53"/>
      <c r="BV864" s="53"/>
      <c r="BW864" s="53"/>
      <c r="BX864" s="53"/>
      <c r="BY864" s="53"/>
      <c r="BZ864" s="53"/>
      <c r="CA864" s="53"/>
      <c r="CB864" s="53"/>
      <c r="CC864" s="53"/>
      <c r="CD864" s="53"/>
      <c r="CE864" s="53"/>
      <c r="CF864" s="53"/>
      <c r="CG864" s="53"/>
      <c r="CH864" s="53"/>
      <c r="CI864" s="53"/>
      <c r="CJ864" s="53"/>
      <c r="CK864" s="53"/>
    </row>
    <row r="865" spans="1:89" s="25" customFormat="1" ht="18.75">
      <c r="A865" s="53"/>
      <c r="B865" s="53"/>
      <c r="C865" s="53"/>
      <c r="D865" s="53"/>
      <c r="E865" s="66"/>
      <c r="F865" s="59"/>
      <c r="G865" s="54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53"/>
      <c r="AX865" s="53"/>
      <c r="AY865" s="53"/>
      <c r="AZ865" s="53"/>
      <c r="BA865" s="53"/>
      <c r="BB865" s="53"/>
      <c r="BC865" s="53"/>
      <c r="BD865" s="53"/>
      <c r="BE865" s="53"/>
      <c r="BF865" s="53"/>
      <c r="BG865" s="53"/>
      <c r="BH865" s="53"/>
      <c r="BI865" s="53"/>
      <c r="BJ865" s="53"/>
      <c r="BK865" s="53"/>
      <c r="BL865" s="53"/>
      <c r="BM865" s="53"/>
      <c r="BN865" s="53"/>
      <c r="BO865" s="53"/>
      <c r="BP865" s="53"/>
      <c r="BQ865" s="53"/>
      <c r="BR865" s="53"/>
      <c r="BS865" s="53"/>
      <c r="BT865" s="53"/>
      <c r="BU865" s="53"/>
      <c r="BV865" s="53"/>
      <c r="BW865" s="53"/>
      <c r="BX865" s="53"/>
      <c r="BY865" s="53"/>
      <c r="BZ865" s="53"/>
      <c r="CA865" s="53"/>
      <c r="CB865" s="53"/>
      <c r="CC865" s="53"/>
      <c r="CD865" s="53"/>
      <c r="CE865" s="53"/>
      <c r="CF865" s="53"/>
      <c r="CG865" s="53"/>
      <c r="CH865" s="53"/>
      <c r="CI865" s="53"/>
      <c r="CJ865" s="53"/>
      <c r="CK865" s="53"/>
    </row>
    <row r="866" spans="1:89" s="25" customFormat="1" ht="18.75">
      <c r="A866" s="53"/>
      <c r="B866" s="53"/>
      <c r="C866" s="53"/>
      <c r="D866" s="53"/>
      <c r="E866" s="66"/>
      <c r="F866" s="59"/>
      <c r="G866" s="54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  <c r="AZ866" s="53"/>
      <c r="BA866" s="53"/>
      <c r="BB866" s="53"/>
      <c r="BC866" s="53"/>
      <c r="BD866" s="53"/>
      <c r="BE866" s="53"/>
      <c r="BF866" s="53"/>
      <c r="BG866" s="53"/>
      <c r="BH866" s="53"/>
      <c r="BI866" s="53"/>
      <c r="BJ866" s="53"/>
      <c r="BK866" s="53"/>
      <c r="BL866" s="53"/>
      <c r="BM866" s="53"/>
      <c r="BN866" s="53"/>
      <c r="BO866" s="53"/>
      <c r="BP866" s="53"/>
      <c r="BQ866" s="53"/>
      <c r="BR866" s="53"/>
      <c r="BS866" s="53"/>
      <c r="BT866" s="53"/>
      <c r="BU866" s="53"/>
      <c r="BV866" s="53"/>
      <c r="BW866" s="53"/>
      <c r="BX866" s="53"/>
      <c r="BY866" s="53"/>
      <c r="BZ866" s="53"/>
      <c r="CA866" s="53"/>
      <c r="CB866" s="53"/>
      <c r="CC866" s="53"/>
      <c r="CD866" s="53"/>
      <c r="CE866" s="53"/>
      <c r="CF866" s="53"/>
      <c r="CG866" s="53"/>
      <c r="CH866" s="53"/>
      <c r="CI866" s="53"/>
      <c r="CJ866" s="53"/>
      <c r="CK866" s="53"/>
    </row>
    <row r="867" spans="1:89" s="25" customFormat="1" ht="18.75">
      <c r="A867" s="53"/>
      <c r="B867" s="53"/>
      <c r="C867" s="53"/>
      <c r="D867" s="53"/>
      <c r="E867" s="66"/>
      <c r="F867" s="59"/>
      <c r="G867" s="54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53"/>
      <c r="AX867" s="53"/>
      <c r="AY867" s="53"/>
      <c r="AZ867" s="53"/>
      <c r="BA867" s="53"/>
      <c r="BB867" s="53"/>
      <c r="BC867" s="53"/>
      <c r="BD867" s="53"/>
      <c r="BE867" s="53"/>
      <c r="BF867" s="53"/>
      <c r="BG867" s="53"/>
      <c r="BH867" s="53"/>
      <c r="BI867" s="53"/>
      <c r="BJ867" s="53"/>
      <c r="BK867" s="53"/>
      <c r="BL867" s="53"/>
      <c r="BM867" s="53"/>
      <c r="BN867" s="53"/>
      <c r="BO867" s="53"/>
      <c r="BP867" s="53"/>
      <c r="BQ867" s="53"/>
      <c r="BR867" s="53"/>
      <c r="BS867" s="53"/>
      <c r="BT867" s="53"/>
      <c r="BU867" s="53"/>
      <c r="BV867" s="53"/>
      <c r="BW867" s="53"/>
      <c r="BX867" s="53"/>
      <c r="BY867" s="53"/>
      <c r="BZ867" s="53"/>
      <c r="CA867" s="53"/>
      <c r="CB867" s="53"/>
      <c r="CC867" s="53"/>
      <c r="CD867" s="53"/>
      <c r="CE867" s="53"/>
      <c r="CF867" s="53"/>
      <c r="CG867" s="53"/>
      <c r="CH867" s="53"/>
      <c r="CI867" s="53"/>
      <c r="CJ867" s="53"/>
      <c r="CK867" s="53"/>
    </row>
    <row r="868" spans="1:89" s="25" customFormat="1" ht="18.75">
      <c r="A868" s="53"/>
      <c r="B868" s="53"/>
      <c r="C868" s="53"/>
      <c r="D868" s="53"/>
      <c r="E868" s="66"/>
      <c r="F868" s="59"/>
      <c r="G868" s="54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53"/>
      <c r="AX868" s="53"/>
      <c r="AY868" s="53"/>
      <c r="AZ868" s="53"/>
      <c r="BA868" s="53"/>
      <c r="BB868" s="53"/>
      <c r="BC868" s="53"/>
      <c r="BD868" s="53"/>
      <c r="BE868" s="53"/>
      <c r="BF868" s="53"/>
      <c r="BG868" s="53"/>
      <c r="BH868" s="53"/>
      <c r="BI868" s="53"/>
      <c r="BJ868" s="53"/>
      <c r="BK868" s="53"/>
      <c r="BL868" s="53"/>
      <c r="BM868" s="53"/>
      <c r="BN868" s="53"/>
      <c r="BO868" s="53"/>
      <c r="BP868" s="53"/>
      <c r="BQ868" s="53"/>
      <c r="BR868" s="53"/>
      <c r="BS868" s="53"/>
      <c r="BT868" s="53"/>
      <c r="BU868" s="53"/>
      <c r="BV868" s="53"/>
      <c r="BW868" s="53"/>
      <c r="BX868" s="53"/>
      <c r="BY868" s="53"/>
      <c r="BZ868" s="53"/>
      <c r="CA868" s="53"/>
      <c r="CB868" s="53"/>
      <c r="CC868" s="53"/>
      <c r="CD868" s="53"/>
      <c r="CE868" s="53"/>
      <c r="CF868" s="53"/>
      <c r="CG868" s="53"/>
      <c r="CH868" s="53"/>
      <c r="CI868" s="53"/>
      <c r="CJ868" s="53"/>
      <c r="CK868" s="53"/>
    </row>
    <row r="869" spans="1:89" s="25" customFormat="1" ht="18.75">
      <c r="A869" s="53"/>
      <c r="B869" s="53"/>
      <c r="C869" s="53"/>
      <c r="D869" s="53"/>
      <c r="E869" s="66"/>
      <c r="F869" s="59"/>
      <c r="G869" s="54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  <c r="AZ869" s="53"/>
      <c r="BA869" s="53"/>
      <c r="BB869" s="53"/>
      <c r="BC869" s="53"/>
      <c r="BD869" s="53"/>
      <c r="BE869" s="53"/>
      <c r="BF869" s="53"/>
      <c r="BG869" s="53"/>
      <c r="BH869" s="53"/>
      <c r="BI869" s="53"/>
      <c r="BJ869" s="53"/>
      <c r="BK869" s="53"/>
      <c r="BL869" s="53"/>
      <c r="BM869" s="53"/>
      <c r="BN869" s="53"/>
      <c r="BO869" s="53"/>
      <c r="BP869" s="53"/>
      <c r="BQ869" s="53"/>
      <c r="BR869" s="53"/>
      <c r="BS869" s="53"/>
      <c r="BT869" s="53"/>
      <c r="BU869" s="53"/>
      <c r="BV869" s="53"/>
      <c r="BW869" s="53"/>
      <c r="BX869" s="53"/>
      <c r="BY869" s="53"/>
      <c r="BZ869" s="53"/>
      <c r="CA869" s="53"/>
      <c r="CB869" s="53"/>
      <c r="CC869" s="53"/>
      <c r="CD869" s="53"/>
      <c r="CE869" s="53"/>
      <c r="CF869" s="53"/>
      <c r="CG869" s="53"/>
      <c r="CH869" s="53"/>
      <c r="CI869" s="53"/>
      <c r="CJ869" s="53"/>
      <c r="CK869" s="53"/>
    </row>
    <row r="870" spans="1:89" s="25" customFormat="1" ht="18.75">
      <c r="A870" s="53"/>
      <c r="B870" s="53"/>
      <c r="C870" s="53"/>
      <c r="D870" s="53"/>
      <c r="E870" s="66"/>
      <c r="F870" s="59"/>
      <c r="G870" s="54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  <c r="AZ870" s="53"/>
      <c r="BA870" s="53"/>
      <c r="BB870" s="53"/>
      <c r="BC870" s="53"/>
      <c r="BD870" s="53"/>
      <c r="BE870" s="53"/>
      <c r="BF870" s="53"/>
      <c r="BG870" s="53"/>
      <c r="BH870" s="53"/>
      <c r="BI870" s="53"/>
      <c r="BJ870" s="53"/>
      <c r="BK870" s="53"/>
      <c r="BL870" s="53"/>
      <c r="BM870" s="53"/>
      <c r="BN870" s="53"/>
      <c r="BO870" s="53"/>
      <c r="BP870" s="53"/>
      <c r="BQ870" s="53"/>
      <c r="BR870" s="53"/>
      <c r="BS870" s="53"/>
      <c r="BT870" s="53"/>
      <c r="BU870" s="53"/>
      <c r="BV870" s="53"/>
      <c r="BW870" s="53"/>
      <c r="BX870" s="53"/>
      <c r="BY870" s="53"/>
      <c r="BZ870" s="53"/>
      <c r="CA870" s="53"/>
      <c r="CB870" s="53"/>
      <c r="CC870" s="53"/>
      <c r="CD870" s="53"/>
      <c r="CE870" s="53"/>
      <c r="CF870" s="53"/>
      <c r="CG870" s="53"/>
      <c r="CH870" s="53"/>
      <c r="CI870" s="53"/>
      <c r="CJ870" s="53"/>
      <c r="CK870" s="53"/>
    </row>
    <row r="871" spans="1:89" s="25" customFormat="1" ht="18.75">
      <c r="A871" s="53"/>
      <c r="B871" s="53"/>
      <c r="C871" s="53"/>
      <c r="D871" s="53"/>
      <c r="E871" s="66"/>
      <c r="F871" s="59"/>
      <c r="G871" s="54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53"/>
      <c r="AX871" s="53"/>
      <c r="AY871" s="53"/>
      <c r="AZ871" s="53"/>
      <c r="BA871" s="53"/>
      <c r="BB871" s="53"/>
      <c r="BC871" s="53"/>
      <c r="BD871" s="53"/>
      <c r="BE871" s="53"/>
      <c r="BF871" s="53"/>
      <c r="BG871" s="53"/>
      <c r="BH871" s="53"/>
      <c r="BI871" s="53"/>
      <c r="BJ871" s="53"/>
      <c r="BK871" s="53"/>
      <c r="BL871" s="53"/>
      <c r="BM871" s="53"/>
      <c r="BN871" s="53"/>
      <c r="BO871" s="53"/>
      <c r="BP871" s="53"/>
      <c r="BQ871" s="53"/>
      <c r="BR871" s="53"/>
      <c r="BS871" s="53"/>
      <c r="BT871" s="53"/>
      <c r="BU871" s="53"/>
      <c r="BV871" s="53"/>
      <c r="BW871" s="53"/>
      <c r="BX871" s="53"/>
      <c r="BY871" s="53"/>
      <c r="BZ871" s="53"/>
      <c r="CA871" s="53"/>
      <c r="CB871" s="53"/>
      <c r="CC871" s="53"/>
      <c r="CD871" s="53"/>
      <c r="CE871" s="53"/>
      <c r="CF871" s="53"/>
      <c r="CG871" s="53"/>
      <c r="CH871" s="53"/>
      <c r="CI871" s="53"/>
      <c r="CJ871" s="53"/>
      <c r="CK871" s="53"/>
    </row>
    <row r="872" spans="1:89" s="25" customFormat="1" ht="18.75">
      <c r="A872" s="53"/>
      <c r="B872" s="53"/>
      <c r="C872" s="53"/>
      <c r="D872" s="53"/>
      <c r="E872" s="66"/>
      <c r="F872" s="59"/>
      <c r="G872" s="54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  <c r="AZ872" s="53"/>
      <c r="BA872" s="53"/>
      <c r="BB872" s="53"/>
      <c r="BC872" s="53"/>
      <c r="BD872" s="53"/>
      <c r="BE872" s="53"/>
      <c r="BF872" s="53"/>
      <c r="BG872" s="53"/>
      <c r="BH872" s="53"/>
      <c r="BI872" s="53"/>
      <c r="BJ872" s="53"/>
      <c r="BK872" s="53"/>
      <c r="BL872" s="53"/>
      <c r="BM872" s="53"/>
      <c r="BN872" s="53"/>
      <c r="BO872" s="53"/>
      <c r="BP872" s="53"/>
      <c r="BQ872" s="53"/>
      <c r="BR872" s="53"/>
      <c r="BS872" s="53"/>
      <c r="BT872" s="53"/>
      <c r="BU872" s="53"/>
      <c r="BV872" s="53"/>
      <c r="BW872" s="53"/>
      <c r="BX872" s="53"/>
      <c r="BY872" s="53"/>
      <c r="BZ872" s="53"/>
      <c r="CA872" s="53"/>
      <c r="CB872" s="53"/>
      <c r="CC872" s="53"/>
      <c r="CD872" s="53"/>
      <c r="CE872" s="53"/>
      <c r="CF872" s="53"/>
      <c r="CG872" s="53"/>
      <c r="CH872" s="53"/>
      <c r="CI872" s="53"/>
      <c r="CJ872" s="53"/>
      <c r="CK872" s="53"/>
    </row>
    <row r="873" spans="1:89" s="25" customFormat="1" ht="18.75">
      <c r="A873" s="53"/>
      <c r="B873" s="53"/>
      <c r="C873" s="53"/>
      <c r="D873" s="53"/>
      <c r="E873" s="66"/>
      <c r="F873" s="59"/>
      <c r="G873" s="54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53"/>
      <c r="AX873" s="53"/>
      <c r="AY873" s="53"/>
      <c r="AZ873" s="53"/>
      <c r="BA873" s="53"/>
      <c r="BB873" s="53"/>
      <c r="BC873" s="53"/>
      <c r="BD873" s="53"/>
      <c r="BE873" s="53"/>
      <c r="BF873" s="53"/>
      <c r="BG873" s="53"/>
      <c r="BH873" s="53"/>
      <c r="BI873" s="53"/>
      <c r="BJ873" s="53"/>
      <c r="BK873" s="53"/>
      <c r="BL873" s="53"/>
      <c r="BM873" s="53"/>
      <c r="BN873" s="53"/>
      <c r="BO873" s="53"/>
      <c r="BP873" s="53"/>
      <c r="BQ873" s="53"/>
      <c r="BR873" s="53"/>
      <c r="BS873" s="53"/>
      <c r="BT873" s="53"/>
      <c r="BU873" s="53"/>
      <c r="BV873" s="53"/>
      <c r="BW873" s="53"/>
      <c r="BX873" s="53"/>
      <c r="BY873" s="53"/>
      <c r="BZ873" s="53"/>
      <c r="CA873" s="53"/>
      <c r="CB873" s="53"/>
      <c r="CC873" s="53"/>
      <c r="CD873" s="53"/>
      <c r="CE873" s="53"/>
      <c r="CF873" s="53"/>
      <c r="CG873" s="53"/>
      <c r="CH873" s="53"/>
      <c r="CI873" s="53"/>
      <c r="CJ873" s="53"/>
      <c r="CK873" s="53"/>
    </row>
    <row r="874" spans="1:89" s="25" customFormat="1" ht="18.75">
      <c r="A874" s="53"/>
      <c r="B874" s="53"/>
      <c r="C874" s="53"/>
      <c r="D874" s="53"/>
      <c r="E874" s="66"/>
      <c r="F874" s="59"/>
      <c r="G874" s="54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53"/>
      <c r="AX874" s="53"/>
      <c r="AY874" s="53"/>
      <c r="AZ874" s="53"/>
      <c r="BA874" s="53"/>
      <c r="BB874" s="53"/>
      <c r="BC874" s="53"/>
      <c r="BD874" s="53"/>
      <c r="BE874" s="53"/>
      <c r="BF874" s="53"/>
      <c r="BG874" s="53"/>
      <c r="BH874" s="53"/>
      <c r="BI874" s="53"/>
      <c r="BJ874" s="53"/>
      <c r="BK874" s="53"/>
      <c r="BL874" s="53"/>
      <c r="BM874" s="53"/>
      <c r="BN874" s="53"/>
      <c r="BO874" s="53"/>
      <c r="BP874" s="53"/>
      <c r="BQ874" s="53"/>
      <c r="BR874" s="53"/>
      <c r="BS874" s="53"/>
      <c r="BT874" s="53"/>
      <c r="BU874" s="53"/>
      <c r="BV874" s="53"/>
      <c r="BW874" s="53"/>
      <c r="BX874" s="53"/>
      <c r="BY874" s="53"/>
      <c r="BZ874" s="53"/>
      <c r="CA874" s="53"/>
      <c r="CB874" s="53"/>
      <c r="CC874" s="53"/>
      <c r="CD874" s="53"/>
      <c r="CE874" s="53"/>
      <c r="CF874" s="53"/>
      <c r="CG874" s="53"/>
      <c r="CH874" s="53"/>
      <c r="CI874" s="53"/>
      <c r="CJ874" s="53"/>
      <c r="CK874" s="53"/>
    </row>
    <row r="875" spans="1:89" s="25" customFormat="1" ht="18.75">
      <c r="A875" s="53"/>
      <c r="B875" s="53"/>
      <c r="C875" s="53"/>
      <c r="D875" s="53"/>
      <c r="E875" s="66"/>
      <c r="F875" s="59"/>
      <c r="G875" s="54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  <c r="AZ875" s="53"/>
      <c r="BA875" s="53"/>
      <c r="BB875" s="53"/>
      <c r="BC875" s="53"/>
      <c r="BD875" s="53"/>
      <c r="BE875" s="53"/>
      <c r="BF875" s="53"/>
      <c r="BG875" s="53"/>
      <c r="BH875" s="53"/>
      <c r="BI875" s="53"/>
      <c r="BJ875" s="53"/>
      <c r="BK875" s="53"/>
      <c r="BL875" s="53"/>
      <c r="BM875" s="53"/>
      <c r="BN875" s="53"/>
      <c r="BO875" s="53"/>
      <c r="BP875" s="53"/>
      <c r="BQ875" s="53"/>
      <c r="BR875" s="53"/>
      <c r="BS875" s="53"/>
      <c r="BT875" s="53"/>
      <c r="BU875" s="53"/>
      <c r="BV875" s="53"/>
      <c r="BW875" s="53"/>
      <c r="BX875" s="53"/>
      <c r="BY875" s="53"/>
      <c r="BZ875" s="53"/>
      <c r="CA875" s="53"/>
      <c r="CB875" s="53"/>
      <c r="CC875" s="53"/>
      <c r="CD875" s="53"/>
      <c r="CE875" s="53"/>
      <c r="CF875" s="53"/>
      <c r="CG875" s="53"/>
      <c r="CH875" s="53"/>
      <c r="CI875" s="53"/>
      <c r="CJ875" s="53"/>
      <c r="CK875" s="53"/>
    </row>
    <row r="876" spans="1:89" s="25" customFormat="1" ht="18.75">
      <c r="A876" s="53"/>
      <c r="B876" s="53"/>
      <c r="C876" s="53"/>
      <c r="D876" s="53"/>
      <c r="E876" s="66"/>
      <c r="F876" s="59"/>
      <c r="G876" s="54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53"/>
      <c r="AX876" s="53"/>
      <c r="AY876" s="53"/>
      <c r="AZ876" s="53"/>
      <c r="BA876" s="53"/>
      <c r="BB876" s="53"/>
      <c r="BC876" s="53"/>
      <c r="BD876" s="53"/>
      <c r="BE876" s="53"/>
      <c r="BF876" s="53"/>
      <c r="BG876" s="53"/>
      <c r="BH876" s="53"/>
      <c r="BI876" s="53"/>
      <c r="BJ876" s="53"/>
      <c r="BK876" s="53"/>
      <c r="BL876" s="53"/>
      <c r="BM876" s="53"/>
      <c r="BN876" s="53"/>
      <c r="BO876" s="53"/>
      <c r="BP876" s="53"/>
      <c r="BQ876" s="53"/>
      <c r="BR876" s="53"/>
      <c r="BS876" s="53"/>
      <c r="BT876" s="53"/>
      <c r="BU876" s="53"/>
      <c r="BV876" s="53"/>
      <c r="BW876" s="53"/>
      <c r="BX876" s="53"/>
      <c r="BY876" s="53"/>
      <c r="BZ876" s="53"/>
      <c r="CA876" s="53"/>
      <c r="CB876" s="53"/>
      <c r="CC876" s="53"/>
      <c r="CD876" s="53"/>
      <c r="CE876" s="53"/>
      <c r="CF876" s="53"/>
      <c r="CG876" s="53"/>
      <c r="CH876" s="53"/>
      <c r="CI876" s="53"/>
      <c r="CJ876" s="53"/>
      <c r="CK876" s="53"/>
    </row>
    <row r="877" spans="1:89" s="25" customFormat="1" ht="18.75">
      <c r="A877" s="53"/>
      <c r="B877" s="53"/>
      <c r="C877" s="53"/>
      <c r="D877" s="53"/>
      <c r="E877" s="66"/>
      <c r="F877" s="59"/>
      <c r="G877" s="54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53"/>
      <c r="AX877" s="53"/>
      <c r="AY877" s="53"/>
      <c r="AZ877" s="53"/>
      <c r="BA877" s="53"/>
      <c r="BB877" s="53"/>
      <c r="BC877" s="53"/>
      <c r="BD877" s="53"/>
      <c r="BE877" s="53"/>
      <c r="BF877" s="53"/>
      <c r="BG877" s="53"/>
      <c r="BH877" s="53"/>
      <c r="BI877" s="53"/>
      <c r="BJ877" s="53"/>
      <c r="BK877" s="53"/>
      <c r="BL877" s="53"/>
      <c r="BM877" s="53"/>
      <c r="BN877" s="53"/>
      <c r="BO877" s="53"/>
      <c r="BP877" s="53"/>
      <c r="BQ877" s="53"/>
      <c r="BR877" s="53"/>
      <c r="BS877" s="53"/>
      <c r="BT877" s="53"/>
      <c r="BU877" s="53"/>
      <c r="BV877" s="53"/>
      <c r="BW877" s="53"/>
      <c r="BX877" s="53"/>
      <c r="BY877" s="53"/>
      <c r="BZ877" s="53"/>
      <c r="CA877" s="53"/>
      <c r="CB877" s="53"/>
      <c r="CC877" s="53"/>
      <c r="CD877" s="53"/>
      <c r="CE877" s="53"/>
      <c r="CF877" s="53"/>
      <c r="CG877" s="53"/>
      <c r="CH877" s="53"/>
      <c r="CI877" s="53"/>
      <c r="CJ877" s="53"/>
      <c r="CK877" s="53"/>
    </row>
    <row r="878" spans="1:89" s="25" customFormat="1" ht="18.75">
      <c r="A878" s="53"/>
      <c r="B878" s="53"/>
      <c r="C878" s="53"/>
      <c r="D878" s="53"/>
      <c r="E878" s="66"/>
      <c r="F878" s="59"/>
      <c r="G878" s="54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  <c r="AZ878" s="53"/>
      <c r="BA878" s="53"/>
      <c r="BB878" s="53"/>
      <c r="BC878" s="53"/>
      <c r="BD878" s="53"/>
      <c r="BE878" s="53"/>
      <c r="BF878" s="53"/>
      <c r="BG878" s="53"/>
      <c r="BH878" s="53"/>
      <c r="BI878" s="53"/>
      <c r="BJ878" s="53"/>
      <c r="BK878" s="53"/>
      <c r="BL878" s="53"/>
      <c r="BM878" s="53"/>
      <c r="BN878" s="53"/>
      <c r="BO878" s="53"/>
      <c r="BP878" s="53"/>
      <c r="BQ878" s="53"/>
      <c r="BR878" s="53"/>
      <c r="BS878" s="53"/>
      <c r="BT878" s="53"/>
      <c r="BU878" s="53"/>
      <c r="BV878" s="53"/>
      <c r="BW878" s="53"/>
      <c r="BX878" s="53"/>
      <c r="BY878" s="53"/>
      <c r="BZ878" s="53"/>
      <c r="CA878" s="53"/>
      <c r="CB878" s="53"/>
      <c r="CC878" s="53"/>
      <c r="CD878" s="53"/>
      <c r="CE878" s="53"/>
      <c r="CF878" s="53"/>
      <c r="CG878" s="53"/>
      <c r="CH878" s="53"/>
      <c r="CI878" s="53"/>
      <c r="CJ878" s="53"/>
      <c r="CK878" s="53"/>
    </row>
    <row r="879" spans="1:89" s="25" customFormat="1" ht="18.75">
      <c r="A879" s="53"/>
      <c r="B879" s="53"/>
      <c r="C879" s="53"/>
      <c r="D879" s="53"/>
      <c r="E879" s="66"/>
      <c r="F879" s="59"/>
      <c r="G879" s="54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53"/>
      <c r="AX879" s="53"/>
      <c r="AY879" s="53"/>
      <c r="AZ879" s="53"/>
      <c r="BA879" s="53"/>
      <c r="BB879" s="53"/>
      <c r="BC879" s="53"/>
      <c r="BD879" s="53"/>
      <c r="BE879" s="53"/>
      <c r="BF879" s="53"/>
      <c r="BG879" s="53"/>
      <c r="BH879" s="53"/>
      <c r="BI879" s="53"/>
      <c r="BJ879" s="53"/>
      <c r="BK879" s="53"/>
      <c r="BL879" s="53"/>
      <c r="BM879" s="53"/>
      <c r="BN879" s="53"/>
      <c r="BO879" s="53"/>
      <c r="BP879" s="53"/>
      <c r="BQ879" s="53"/>
      <c r="BR879" s="53"/>
      <c r="BS879" s="53"/>
      <c r="BT879" s="53"/>
      <c r="BU879" s="53"/>
      <c r="BV879" s="53"/>
      <c r="BW879" s="53"/>
      <c r="BX879" s="53"/>
      <c r="BY879" s="53"/>
      <c r="BZ879" s="53"/>
      <c r="CA879" s="53"/>
      <c r="CB879" s="53"/>
      <c r="CC879" s="53"/>
      <c r="CD879" s="53"/>
      <c r="CE879" s="53"/>
      <c r="CF879" s="53"/>
      <c r="CG879" s="53"/>
      <c r="CH879" s="53"/>
      <c r="CI879" s="53"/>
      <c r="CJ879" s="53"/>
      <c r="CK879" s="53"/>
    </row>
    <row r="880" spans="1:89" s="25" customFormat="1" ht="18.75">
      <c r="A880" s="53"/>
      <c r="B880" s="53"/>
      <c r="C880" s="53"/>
      <c r="D880" s="53"/>
      <c r="E880" s="66"/>
      <c r="F880" s="59"/>
      <c r="G880" s="54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53"/>
      <c r="AX880" s="53"/>
      <c r="AY880" s="53"/>
      <c r="AZ880" s="53"/>
      <c r="BA880" s="53"/>
      <c r="BB880" s="53"/>
      <c r="BC880" s="53"/>
      <c r="BD880" s="53"/>
      <c r="BE880" s="53"/>
      <c r="BF880" s="53"/>
      <c r="BG880" s="53"/>
      <c r="BH880" s="53"/>
      <c r="BI880" s="53"/>
      <c r="BJ880" s="53"/>
      <c r="BK880" s="53"/>
      <c r="BL880" s="53"/>
      <c r="BM880" s="53"/>
      <c r="BN880" s="53"/>
      <c r="BO880" s="53"/>
      <c r="BP880" s="53"/>
      <c r="BQ880" s="53"/>
      <c r="BR880" s="53"/>
      <c r="BS880" s="53"/>
      <c r="BT880" s="53"/>
      <c r="BU880" s="53"/>
      <c r="BV880" s="53"/>
      <c r="BW880" s="53"/>
      <c r="BX880" s="53"/>
      <c r="BY880" s="53"/>
      <c r="BZ880" s="53"/>
      <c r="CA880" s="53"/>
      <c r="CB880" s="53"/>
      <c r="CC880" s="53"/>
      <c r="CD880" s="53"/>
      <c r="CE880" s="53"/>
      <c r="CF880" s="53"/>
      <c r="CG880" s="53"/>
      <c r="CH880" s="53"/>
      <c r="CI880" s="53"/>
      <c r="CJ880" s="53"/>
      <c r="CK880" s="53"/>
    </row>
    <row r="881" spans="1:89" s="21" customFormat="1" ht="13.5">
      <c r="A881" s="18"/>
      <c r="B881" s="18"/>
      <c r="C881" s="18"/>
      <c r="D881" s="18"/>
      <c r="E881" s="67"/>
      <c r="F881" s="60"/>
      <c r="G881" s="19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  <c r="BX881" s="18"/>
      <c r="BY881" s="18"/>
      <c r="BZ881" s="18"/>
      <c r="CA881" s="18"/>
      <c r="CB881" s="18"/>
      <c r="CC881" s="18"/>
      <c r="CD881" s="18"/>
      <c r="CE881" s="18"/>
      <c r="CF881" s="18"/>
      <c r="CG881" s="18"/>
      <c r="CH881" s="18"/>
      <c r="CI881" s="18"/>
      <c r="CJ881" s="18"/>
      <c r="CK881" s="18"/>
    </row>
    <row r="882" spans="1:89" s="21" customFormat="1" ht="13.5">
      <c r="A882" s="18"/>
      <c r="B882" s="18"/>
      <c r="C882" s="18"/>
      <c r="D882" s="18"/>
      <c r="E882" s="67"/>
      <c r="F882" s="60"/>
      <c r="G882" s="19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  <c r="BX882" s="18"/>
      <c r="BY882" s="18"/>
      <c r="BZ882" s="18"/>
      <c r="CA882" s="18"/>
      <c r="CB882" s="18"/>
      <c r="CC882" s="18"/>
      <c r="CD882" s="18"/>
      <c r="CE882" s="18"/>
      <c r="CF882" s="18"/>
      <c r="CG882" s="18"/>
      <c r="CH882" s="18"/>
      <c r="CI882" s="18"/>
      <c r="CJ882" s="18"/>
      <c r="CK882" s="18"/>
    </row>
    <row r="883" spans="1:89" s="21" customFormat="1" ht="13.5">
      <c r="E883" s="68"/>
      <c r="F883" s="61"/>
      <c r="G883" s="22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</row>
    <row r="884" spans="1:89" s="21" customFormat="1" ht="13.5">
      <c r="E884" s="68"/>
      <c r="F884" s="61"/>
      <c r="G884" s="22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</row>
    <row r="885" spans="1:89" s="21" customFormat="1" ht="13.5">
      <c r="E885" s="68"/>
      <c r="F885" s="61"/>
      <c r="G885" s="22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</row>
    <row r="886" spans="1:89" s="21" customFormat="1" ht="13.5">
      <c r="E886" s="68"/>
      <c r="F886" s="61"/>
      <c r="G886" s="22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</row>
    <row r="887" spans="1:89" s="21" customFormat="1" ht="13.5">
      <c r="E887" s="68"/>
      <c r="F887" s="61"/>
      <c r="G887" s="22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</row>
    <row r="888" spans="1:89">
      <c r="A888" s="1"/>
      <c r="B888" s="1"/>
      <c r="C888" s="1"/>
      <c r="D888" s="1"/>
      <c r="E888" s="69"/>
      <c r="F888" s="62"/>
      <c r="G888" s="1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</row>
  </sheetData>
  <autoFilter ref="A8:CK838" xr:uid="{00000000-0009-0000-0000-000000000000}">
    <sortState xmlns:xlrd2="http://schemas.microsoft.com/office/spreadsheetml/2017/richdata2" ref="A14:CK845">
      <sortCondition ref="A13:A845"/>
    </sortState>
  </autoFilter>
  <mergeCells count="21">
    <mergeCell ref="BM5:BN5"/>
    <mergeCell ref="A1:B1"/>
    <mergeCell ref="A2:AO2"/>
    <mergeCell ref="F5:L5"/>
    <mergeCell ref="N5:T5"/>
    <mergeCell ref="U5:AB5"/>
    <mergeCell ref="AC5:AE5"/>
    <mergeCell ref="AF5:AP5"/>
    <mergeCell ref="AT5:AV5"/>
    <mergeCell ref="AW5:AY5"/>
    <mergeCell ref="AZ5:BA5"/>
    <mergeCell ref="BB5:BH5"/>
    <mergeCell ref="BI5:BL5"/>
    <mergeCell ref="CD5:CI5"/>
    <mergeCell ref="CJ5:CK5"/>
    <mergeCell ref="BO5:BQ5"/>
    <mergeCell ref="BR5:BS5"/>
    <mergeCell ref="BT5:BU5"/>
    <mergeCell ref="BV5:BW5"/>
    <mergeCell ref="BX5:CA5"/>
    <mergeCell ref="CB5:CC5"/>
  </mergeCells>
  <phoneticPr fontId="1" type="noConversion"/>
  <conditionalFormatting sqref="AW9:AY1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1:AY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3:AY50 AW8:AY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9:BF10 BH9:BM9 BH10:BK10 BM1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3:BF50 BH8:BM8 BB8:BF8 BH13:BM5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1:BM11 BB12:BL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9:BG1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3:BG50 BG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2:BN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11811023622047245" right="0.11811023622047245" top="0" bottom="0.39370078740157483" header="0.31496062992125984" footer="0.31496062992125984"/>
  <pageSetup paperSize="8" scale="40" fitToHeight="0" orientation="landscape" cellComments="asDisplayed" horizontalDpi="300" verticalDpi="300" r:id="rId1"/>
  <headerFooter scaleWithDoc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기관(부서)별 자체점검 결과 총괄표-수정</vt:lpstr>
      <vt:lpstr>'기관(부서)별 자체점검 결과 총괄표-수정'!Print_Area</vt:lpstr>
      <vt:lpstr>'기관(부서)별 자체점검 결과 총괄표-수정'!Print_Titles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승리 백</cp:lastModifiedBy>
  <cp:lastPrinted>2019-09-06T08:29:27Z</cp:lastPrinted>
  <dcterms:created xsi:type="dcterms:W3CDTF">2019-03-25T11:35:18Z</dcterms:created>
  <dcterms:modified xsi:type="dcterms:W3CDTF">2026-06-08T08:00:37Z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TIyIiwibG9nVGltZSI6IjIwMjYtMDMtMTJUMDY6MjY6MDZaIiwicElEIjoiMiIsInRyYWNlSWQiOiI1MEIxQUM1NzMyRkVERDIyQTc2RjA2MzY1QjJFQzdDNiIsInVzZXJDb2RlIjoia2R3Nzc3In0sIm5vZGUyIjp7ImRzZCI6IjAxMDAwMDAwMDAwMDIxMjIiLCJsb2dUaW1lIjoiMjAyNi0wMy0xMlQwNjoyNjowNloiLCJwSUQiOiIyIiwidHJhY2VJZCI6IjUwQjFBQzU3MzJGRUREMjJBNzZGMDYzNjVCMkVDN0M2IiwidXNlckNvZGUiOiJrZHc3NzcifSwibm9kZTMiOnsiZHNkIjoiMDEwMDAwMDAwMDAwMjEyMiIsImxvZ1RpbWUiOiIyMDI2LTAzLTEyVDA2OjI2OjA2WiIsInBJRCI6IjIiLCJ0cmFjZUlkIjoiNTBCMUFDNTczMkZFREQyMkE3NkYwNjM2NUIyRUM3QzYiLCJ1c2VyQ29kZSI6Imtkdzc3NyJ9LCJub2RlNCI6eyJkc2QiOiIwMTAwMDAwMDAwMDAyMTIyIiwibG9nVGltZSI6IjIwMjYtMDMtMTJUMDY6MjY6MDZaIiwicElEIjoiMiIsInRyYWNlSWQiOiI1MEIxQUM1NzMyRkVERDIyQTc2RjA2MzY1QjJFQzdDNiIsInVzZXJDb2RlIjoia2R3Nzc3In0sIm5vZGU1Ijp7ImRzZCI6IjAwMDAwMDAwMDAwMDAwMDAiLCJsb2dUaW1lIjoiMjAyNi0wMy0xMlQwNjoyNjo0M1oiLCJwSUQiOjIwNDgsInRyYWNlSWQiOiI4ODk1QjEwQTc3RTQ0NzAwODIxRkRFRDcxRERFMTYzOSIsInVzZXJDb2RlIjoia2R3Nzc3In0sIm5vZGVDb3VudCI6Mn0=</vt:lpwstr>
  </property>
  <property fmtid="{D5CDD505-2E9C-101B-9397-08002B2CF9AE}" pid="3" name="OpenDocument">
    <vt:lpwstr>False</vt:lpwstr>
  </property>
</Properties>
</file>