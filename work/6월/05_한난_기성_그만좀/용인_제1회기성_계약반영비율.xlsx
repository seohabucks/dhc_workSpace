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_1M\Desktop\seohabucks\work\6월\05_한난_기성_그만좀\"/>
    </mc:Choice>
  </mc:AlternateContent>
  <xr:revisionPtr revIDLastSave="0" documentId="8_{64E63976-D097-42B8-99AA-C3BD392DC0CF}" xr6:coauthVersionLast="47" xr6:coauthVersionMax="47" xr10:uidLastSave="{00000000-0000-0000-0000-000000000000}"/>
  <bookViews>
    <workbookView xWindow="-120" yWindow="-120" windowWidth="29040" windowHeight="15720" xr2:uid="{3456F7F1-E4D6-473B-B78D-6EA797391D64}"/>
  </bookViews>
  <sheets>
    <sheet name="계약반영비율" sheetId="4" r:id="rId1"/>
  </sheets>
  <externalReferences>
    <externalReference r:id="rId2"/>
    <externalReference r:id="rId3"/>
    <externalReference r:id="rId4"/>
  </externalReferences>
  <definedNames>
    <definedName name="_Fill" hidden="1">#REF!</definedName>
    <definedName name="_Order1" hidden="1">255</definedName>
    <definedName name="_Order2" hidden="1">255</definedName>
    <definedName name="_Regression_Int" hidden="1">1</definedName>
    <definedName name="a">#REF!</definedName>
    <definedName name="AccessDatabase" hidden="1">"C:\홍성일\주간공정\96-10142.mdb"</definedName>
    <definedName name="b">#REF!</definedName>
    <definedName name="DANGA">#REF!,#REF!</definedName>
    <definedName name="_xlnm.Database">#REF!</definedName>
    <definedName name="dkdkdkdkd" hidden="1">{#N/A,#N/A,FALSE,"명세표"}</definedName>
    <definedName name="HTML_CodePage" hidden="1">949</definedName>
    <definedName name="HTML_Control" hidden="1">{"'Prog-Plot'!$A$1:$P$35"}</definedName>
    <definedName name="HTML_Description" hidden="1">""</definedName>
    <definedName name="HTML_Email" hidden="1">""</definedName>
    <definedName name="HTML_Header" hidden="1">"Prog-Plot"</definedName>
    <definedName name="HTML_LastUpdate" hidden="1">"2002-04-12"</definedName>
    <definedName name="HTML_LineAfter" hidden="1">FALSE</definedName>
    <definedName name="HTML_LineBefore" hidden="1">FALSE</definedName>
    <definedName name="HTML_Name" hidden="1">"daelim"</definedName>
    <definedName name="HTML_OBDlg2" hidden="1">TRUE</definedName>
    <definedName name="HTML_OBDlg4" hidden="1">TRUE</definedName>
    <definedName name="HTML_OS" hidden="1">0</definedName>
    <definedName name="HTML_PathFile" hidden="1">"C:\basf_tdi\environment\MyHTML.htm"</definedName>
    <definedName name="HTML_Title" hidden="1">"Progress calculation"</definedName>
    <definedName name="ID">#REF!,#REF!</definedName>
    <definedName name="ITEM">#REF!</definedName>
    <definedName name="MONEY">#REF!,#REF!</definedName>
    <definedName name="_xlnm.Print_Titles">#REF!</definedName>
    <definedName name="qkqh1" hidden="1">{#N/A,#N/A,FALSE,"명세표"}</definedName>
    <definedName name="SIZE">#REF!</definedName>
    <definedName name="WLQ" hidden="1">{#N/A,#N/A,FALSE,"명세표"}</definedName>
    <definedName name="wrn.test1." hidden="1">{#N/A,#N/A,FALSE,"명세표"}</definedName>
    <definedName name="wrn.통신지." hidden="1">{#N/A,#N/A,FALSE,"기안지";#N/A,#N/A,FALSE,"통신지"}</definedName>
    <definedName name="wrn.현장._.NCR._.분석." hidden="1">{#N/A,#N/A,FALSE,"현장 NCR 분석";#N/A,#N/A,FALSE,"현장품질감사";#N/A,#N/A,FALSE,"현장품질감사"}</definedName>
    <definedName name="ㄱ">#REF!</definedName>
    <definedName name="ㄱㄱ" hidden="1">{#N/A,#N/A,FALSE,"명세표"}</definedName>
    <definedName name="가">#REF!</definedName>
    <definedName name="공사명">#REF!</definedName>
    <definedName name="ㄴ">#REF!</definedName>
    <definedName name="ㄴㄴㄴ" hidden="1">{#N/A,#N/A,FALSE,"명세표"}</definedName>
    <definedName name="ㄹ" hidden="1">{#N/A,#N/A,FALSE,"명세표"}</definedName>
    <definedName name="ㄹ761">[2]배관내역!#REF!</definedName>
    <definedName name="ㄹㄹㄹ" hidden="1">{#N/A,#N/A,FALSE,"명세표"}</definedName>
    <definedName name="ㅁ" hidden="1">{#N/A,#N/A,FALSE,"명세표"}</definedName>
    <definedName name="ㅁ388">[2]배관내역!#REF!</definedName>
    <definedName name="머" hidden="1">{#N/A,#N/A,FALSE,"명세표"}</definedName>
    <definedName name="ㅂㅂㅂㅂ" hidden="1">{#N/A,#N/A,FALSE,"명세표"}</definedName>
    <definedName name="ㅂㅂㅂㅂㅂㅂㅂ" hidden="1">{#N/A,#N/A,FALSE,"명세표"}</definedName>
    <definedName name="부손익" hidden="1">{#N/A,#N/A,FALSE,"현장 NCR 분석";#N/A,#N/A,FALSE,"현장품질감사";#N/A,#N/A,FALSE,"현장품질감사"}</definedName>
    <definedName name="비목1">#REF!</definedName>
    <definedName name="비목2">#REF!</definedName>
    <definedName name="비목3">#REF!</definedName>
    <definedName name="비목4">#REF!</definedName>
    <definedName name="석항" hidden="1">{#N/A,#N/A,FALSE,"명세표"}</definedName>
    <definedName name="수량">#REF!</definedName>
    <definedName name="신설" hidden="1">{#N/A,#N/A,FALSE,"명세표"}</definedName>
    <definedName name="이" hidden="1">{#N/A,#N/A,FALSE,"명세표"}</definedName>
    <definedName name="ㅈ" hidden="1">{#N/A,#N/A,FALSE,"명세표"}</definedName>
    <definedName name="ㅈㅈㅈㅈ" hidden="1">{#N/A,#N/A,FALSE,"명세표"}</definedName>
    <definedName name="자미" hidden="1">{#N/A,#N/A,FALSE,"명세표"}</definedName>
    <definedName name="총괄">#REF!</definedName>
    <definedName name="ㅋㅁ" hidden="1">{#N/A,#N/A,FALSE,"명세표"}</definedName>
    <definedName name="ㅋㅋㅋ" hidden="1">{#N/A,#N/A,FALSE,"명세표"}</definedName>
    <definedName name="ㅍ" hidden="1">{#N/A,#N/A,FALSE,"명세표"}</definedName>
    <definedName name="하하하" hidden="1">{#N/A,#N/A,FALSE,"명세표"}</definedName>
    <definedName name="호호호" hidden="1">{#N/A,#N/A,FALSE,"명세표"}</definedName>
    <definedName name="ㅏㅏㅏ" hidden="1">{#N/A,#N/A,FALSE,"명세표"}</definedName>
    <definedName name="ㅔㅔ" hidden="1">{#N/A,#N/A,FALSE,"명세표"}</definedName>
    <definedName name="ㅗ11">[3]총괄표!$M$36</definedName>
    <definedName name="ㅗㅗ" hidden="1">{#N/A,#N/A,FALSE,"명세표"}</definedName>
    <definedName name="ㅜ" hidden="1">{#N/A,#N/A,FALSE,"명세표"}</definedName>
    <definedName name="ㅡㅡ" hidden="1">{#N/A,#N/A,FALSE,"명세표"}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4" l="1"/>
  <c r="C5" i="4"/>
</calcChain>
</file>

<file path=xl/sharedStrings.xml><?xml version="1.0" encoding="utf-8"?>
<sst xmlns="http://schemas.openxmlformats.org/spreadsheetml/2006/main" count="14" uniqueCount="14">
  <si>
    <t>반영</t>
    <phoneticPr fontId="2" type="noConversion"/>
  </si>
  <si>
    <t>미반영</t>
    <phoneticPr fontId="2" type="noConversion"/>
  </si>
  <si>
    <t>비고</t>
  </si>
  <si>
    <t>금액</t>
    <phoneticPr fontId="2" type="noConversion"/>
  </si>
  <si>
    <t>금회 순공사비</t>
    <phoneticPr fontId="2" type="noConversion"/>
  </si>
  <si>
    <t>합계</t>
    <phoneticPr fontId="2" type="noConversion"/>
  </si>
  <si>
    <t>비율</t>
    <phoneticPr fontId="2" type="noConversion"/>
  </si>
  <si>
    <t>계약 금액</t>
    <phoneticPr fontId="2" type="noConversion"/>
  </si>
  <si>
    <t>한난 - 용인 제 1회 기성내역서 계약 반영 비율</t>
    <phoneticPr fontId="2" type="noConversion"/>
  </si>
  <si>
    <t xml:space="preserve">150A(2p)
</t>
    <phoneticPr fontId="2" type="noConversion"/>
  </si>
  <si>
    <t>총 8개소</t>
  </si>
  <si>
    <t>구분</t>
    <phoneticPr fontId="2" type="noConversion"/>
  </si>
  <si>
    <t>150A(4p) - 중앙</t>
    <phoneticPr fontId="2" type="noConversion"/>
  </si>
  <si>
    <t>200A(2p)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</si>
</sst>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name val="바탕체"/>
      <family val="1"/>
      <charset val="129"/>
    </font>
    <font>
      <b/>
      <sz val="10"/>
      <color rgb="FF1F1F1F"/>
      <name val="맑은 고딕"/>
      <family val="3"/>
      <charset val="129"/>
      <scheme val="minor"/>
    </font>
    <font>
      <sz val="10"/>
      <color rgb="FF1F1F1F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4"/>
      <color theme="1"/>
      <name val="HY견고딕"/>
      <family val="1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</cellStyleXfs>
  <cellXfs count="3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3" fontId="6" fillId="0" borderId="7" xfId="1" applyNumberFormat="1" applyFont="1" applyBorder="1" applyAlignment="1">
      <alignment horizontal="center" vertical="center"/>
    </xf>
    <xf numFmtId="0" fontId="6" fillId="0" borderId="8" xfId="1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 wrapText="1" readingOrder="1"/>
    </xf>
    <xf numFmtId="10" fontId="5" fillId="0" borderId="1" xfId="0" applyNumberFormat="1" applyFont="1" applyBorder="1" applyAlignment="1">
      <alignment horizontal="center" vertical="center" wrapText="1" readingOrder="1"/>
    </xf>
    <xf numFmtId="0" fontId="4" fillId="3" borderId="10" xfId="0" applyFont="1" applyFill="1" applyBorder="1" applyAlignment="1">
      <alignment horizontal="center" vertical="center" wrapText="1" readingOrder="1"/>
    </xf>
    <xf numFmtId="0" fontId="4" fillId="3" borderId="11" xfId="0" applyFont="1" applyFill="1" applyBorder="1" applyAlignment="1">
      <alignment horizontal="center" vertical="center" wrapText="1" readingOrder="1"/>
    </xf>
    <xf numFmtId="0" fontId="4" fillId="3" borderId="12" xfId="0" applyFont="1" applyFill="1" applyBorder="1" applyAlignment="1">
      <alignment horizontal="center" vertical="center" wrapText="1" readingOrder="1"/>
    </xf>
    <xf numFmtId="0" fontId="4" fillId="3" borderId="13" xfId="0" applyFont="1" applyFill="1" applyBorder="1" applyAlignment="1">
      <alignment horizontal="center" vertical="center" wrapText="1" readingOrder="1"/>
    </xf>
    <xf numFmtId="0" fontId="5" fillId="0" borderId="14" xfId="0" applyFont="1" applyBorder="1" applyAlignment="1">
      <alignment vertical="center" wrapText="1" readingOrder="1"/>
    </xf>
    <xf numFmtId="0" fontId="4" fillId="3" borderId="15" xfId="0" applyFont="1" applyFill="1" applyBorder="1" applyAlignment="1">
      <alignment horizontal="center" vertical="center" wrapText="1" readingOrder="1"/>
    </xf>
    <xf numFmtId="3" fontId="4" fillId="0" borderId="3" xfId="0" applyNumberFormat="1" applyFont="1" applyBorder="1" applyAlignment="1">
      <alignment horizontal="center" vertical="center" wrapText="1" readingOrder="1"/>
    </xf>
    <xf numFmtId="10" fontId="4" fillId="0" borderId="3" xfId="0" applyNumberFormat="1" applyFont="1" applyBorder="1" applyAlignment="1">
      <alignment vertical="center" wrapText="1" readingOrder="1"/>
    </xf>
    <xf numFmtId="0" fontId="4" fillId="0" borderId="4" xfId="0" applyFont="1" applyBorder="1" applyAlignment="1">
      <alignment vertical="center" wrapText="1" readingOrder="1"/>
    </xf>
    <xf numFmtId="0" fontId="4" fillId="3" borderId="16" xfId="0" applyFont="1" applyFill="1" applyBorder="1" applyAlignment="1">
      <alignment horizontal="center" vertical="center" wrapText="1" readingOrder="1"/>
    </xf>
    <xf numFmtId="0" fontId="4" fillId="3" borderId="17" xfId="0" applyFont="1" applyFill="1" applyBorder="1" applyAlignment="1">
      <alignment horizontal="center" vertical="center" wrapText="1" readingOrder="1"/>
    </xf>
    <xf numFmtId="0" fontId="4" fillId="3" borderId="13" xfId="0" applyFont="1" applyFill="1" applyBorder="1" applyAlignment="1">
      <alignment horizontal="center" vertical="center" wrapText="1" readingOrder="1"/>
    </xf>
    <xf numFmtId="3" fontId="4" fillId="0" borderId="2" xfId="0" applyNumberFormat="1" applyFont="1" applyBorder="1" applyAlignment="1">
      <alignment horizontal="center" vertical="center" wrapText="1" readingOrder="1"/>
    </xf>
    <xf numFmtId="3" fontId="4" fillId="0" borderId="18" xfId="0" applyNumberFormat="1" applyFont="1" applyBorder="1" applyAlignment="1">
      <alignment horizontal="center" vertical="center" wrapText="1" readingOrder="1"/>
    </xf>
    <xf numFmtId="3" fontId="4" fillId="0" borderId="1" xfId="0" applyNumberFormat="1" applyFont="1" applyBorder="1" applyAlignment="1">
      <alignment horizontal="center" vertical="center" wrapText="1" readingOrder="1"/>
    </xf>
    <xf numFmtId="10" fontId="5" fillId="0" borderId="2" xfId="0" applyNumberFormat="1" applyFont="1" applyBorder="1" applyAlignment="1">
      <alignment horizontal="center" vertical="center" wrapText="1" readingOrder="1"/>
    </xf>
    <xf numFmtId="10" fontId="5" fillId="0" borderId="18" xfId="0" applyNumberFormat="1" applyFont="1" applyBorder="1" applyAlignment="1">
      <alignment horizontal="center" vertical="center" wrapText="1" readingOrder="1"/>
    </xf>
    <xf numFmtId="10" fontId="5" fillId="0" borderId="1" xfId="0" applyNumberFormat="1" applyFont="1" applyBorder="1" applyAlignment="1">
      <alignment horizontal="center" vertical="center" wrapText="1" readingOrder="1"/>
    </xf>
    <xf numFmtId="0" fontId="5" fillId="0" borderId="5" xfId="0" applyFont="1" applyBorder="1" applyAlignment="1">
      <alignment horizontal="left" vertical="center" wrapText="1" readingOrder="1"/>
    </xf>
    <xf numFmtId="0" fontId="5" fillId="0" borderId="19" xfId="0" applyFont="1" applyBorder="1" applyAlignment="1">
      <alignment horizontal="left" vertical="center" wrapText="1" readingOrder="1"/>
    </xf>
    <xf numFmtId="0" fontId="4" fillId="0" borderId="14" xfId="0" applyFont="1" applyBorder="1" applyAlignment="1">
      <alignment horizontal="left" vertical="center" wrapText="1" readingOrder="1"/>
    </xf>
  </cellXfs>
  <cellStyles count="3">
    <cellStyle name="쉼표 [0]" xfId="1" builtinId="6"/>
    <cellStyle name="표준" xfId="0" builtinId="0"/>
    <cellStyle name="표준 2" xfId="2" xr:uid="{7C70955B-2977-4584-8BBF-00D063B711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Dhcmain\(&#51452;)&#45824;&#54840;&#49828;&#53664;&#54140;\0&#50689;&#50629;&#49324;&#54637;(&#44204;&#51201;&#49436;)\AA&#51648;&#50669;&#48324;%20&#44204;&#51201;&#54788;&#54889;\2025&#45380;\&#51648;&#50669;&#45212;&#48169;\&#54620;&#44397;&#51648;&#50669;&#45212;&#48169;&#44277;&#49324;\2025&#45380;%20&#50676;&#49688;&#49569;&#44288;%20&#52380;&#44277;%20&#48143;%20&#52264;&#45800;&#44277;&#49324;(1&#44428;&#50669;)\&#51648;&#49324;&#48324;%20&#44592;&#49457;\1.&#50857;&#51064;\1&#54924;&#44592;&#49457;\1&#54924;&#44592;&#49457;&#45236;&#50669;&#49436;_&#50857;&#51064;&#51648;&#49324;_&#45824;&#54840;&#49828;&#53664;&#54140;.xlsx" TargetMode="External"/><Relationship Id="rId1" Type="http://schemas.openxmlformats.org/officeDocument/2006/relationships/externalLinkPath" Target="file:///\\Dhcmain\(&#51452;)&#45824;&#54840;&#49828;&#53664;&#54140;\0&#50689;&#50629;&#49324;&#54637;(&#44204;&#51201;&#49436;)\AA&#51648;&#50669;&#48324;%20&#44204;&#51201;&#54788;&#54889;\2025&#45380;\&#51648;&#50669;&#45212;&#48169;\&#54620;&#44397;&#51648;&#50669;&#45212;&#48169;&#44277;&#49324;\2025&#45380;%20&#50676;&#49688;&#49569;&#44288;%20&#52380;&#44277;%20&#48143;%20&#52264;&#45800;&#44277;&#49324;(1&#44428;&#50669;)\&#51648;&#49324;&#48324;%20&#44592;&#49457;\1.&#50857;&#51064;\1&#54924;&#44592;&#49457;\1&#54924;&#44592;&#49457;&#45236;&#50669;&#49436;_&#50857;&#51064;&#51648;&#49324;_&#45824;&#54840;&#49828;&#53664;&#54140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840;1\&#45824;&#54840;&#49828;&#53664;&#54140;\&#44204;&#51201;&#49436;(&#47588;&#52636;&#29992;)\&#46041;&#48512;&#44148;&#49444;\&#50504;&#51456;&#50865;\&#44288;&#47196;&#51060;&#49444;&#49444;&#44228;\&#49444;&#44228;&#49436;(SNP)\&#44221;&#51064;(&#44404;&#54252;&#52380;)&#44396;&#44036;\MYDOCU~1\JUN-TIE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&#45796;&#50868;&#47196;&#46300;\&#47700;&#49888;&#51200;\240715%20-%202024&#45380;%20&#49340;&#49569;&#51648;&#49324;%20&#50676;&#49688;&#49569;&#44288;&#44277;&#49324;%20&#49444;&#44228;&#45236;&#50669;&#49436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내역서표지(용인)"/>
      <sheetName val="결과요약"/>
      <sheetName val="시공사별 금액"/>
      <sheetName val="기성정산내역 (용인)"/>
      <sheetName val="기성집계표"/>
      <sheetName val="기성총괄표(용인)"/>
      <sheetName val="기성내역서(용인)"/>
      <sheetName val="기성정산내역(중앙_2권역 대행)"/>
      <sheetName val="기성총괄표(중앙_2권역 대행)"/>
      <sheetName val="기성내역서(중앙_2권역 대행)"/>
      <sheetName val="수량산출서(중앙_2권역 대행)"/>
      <sheetName val="기성정산내역(2025년 용인 열수송관_건가)"/>
      <sheetName val="기성총괄표(2025년 용인 열수송관_건가)"/>
      <sheetName val="기성내역서(2025년 용인 열수송관_건가)"/>
      <sheetName val="수량산출서(2025년 용인 열수송관_건가)"/>
      <sheetName val="기성정산내역(2024용인_지성_제조)"/>
      <sheetName val="기성총괄표(2024용인_지성_제조)"/>
      <sheetName val="기성내역서(2024용인_지성_제조)"/>
      <sheetName val="수량산출서(2024용인_지성_제조)"/>
      <sheetName val="기성정산내역(2024용인_지성_건가)"/>
      <sheetName val="기성총괄표(2024용인_지성_건가)"/>
      <sheetName val="기성내역서(2024용인_지성_건가)"/>
      <sheetName val="수량산출서(2024용인_지성_건가)"/>
      <sheetName val="기성정산내역(2024용인_지성_예수금)"/>
      <sheetName val="기성총괄표(2024용인_지성_예수금)"/>
      <sheetName val="기성내역서(2024용인_지성_예수금)"/>
      <sheetName val="수량산출서(2024용인_지성_예수금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배관내역"/>
      <sheetName val="JUN-TIE1"/>
      <sheetName val="기준표"/>
      <sheetName val="참조셀"/>
      <sheetName val="일용노임단가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사비현황"/>
      <sheetName val="설계서표지(1)"/>
      <sheetName val="설계서표지"/>
      <sheetName val="설계설명서"/>
      <sheetName val="수용가별정리"/>
      <sheetName val="예정공정표"/>
      <sheetName val="인원계획"/>
      <sheetName val="원가계산"/>
      <sheetName val="총괄표"/>
      <sheetName val="지급임차료"/>
      <sheetName val="시공상세도작성비"/>
      <sheetName val="공사손해보험료"/>
      <sheetName val="기타경비요율"/>
      <sheetName val="설계내역서(종합)"/>
      <sheetName val="설계내역서"/>
      <sheetName val="사급내역서"/>
      <sheetName val="재료비수량"/>
      <sheetName val="노무비수량"/>
      <sheetName val="설계내역서(2)"/>
      <sheetName val="사급내역서(2)"/>
      <sheetName val="재료비수량(2)"/>
      <sheetName val="노무비수량(2)"/>
      <sheetName val="Sheet1"/>
    </sheetNames>
    <sheetDataSet>
      <sheetData sheetId="0">
        <row r="1">
          <cell r="A1" t="str">
            <v>공사명 : 2024년 삼송지사 열수송관공사</v>
          </cell>
        </row>
      </sheetData>
      <sheetData sheetId="1">
        <row r="13">
          <cell r="D13">
            <v>3892884000</v>
          </cell>
        </row>
      </sheetData>
      <sheetData sheetId="2"/>
      <sheetData sheetId="3"/>
      <sheetData sheetId="4"/>
      <sheetData sheetId="5">
        <row r="47">
          <cell r="AL47">
            <v>18</v>
          </cell>
        </row>
      </sheetData>
      <sheetData sheetId="6"/>
      <sheetData sheetId="7"/>
      <sheetData sheetId="8">
        <row r="36">
          <cell r="G36">
            <v>623451092</v>
          </cell>
          <cell r="M36">
            <v>2329938298</v>
          </cell>
        </row>
      </sheetData>
      <sheetData sheetId="9">
        <row r="11">
          <cell r="G11">
            <v>433040000</v>
          </cell>
        </row>
      </sheetData>
      <sheetData sheetId="10"/>
      <sheetData sheetId="11">
        <row r="14">
          <cell r="Q14">
            <v>3.4999999999999996E-3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94A16-E4D4-443C-A99C-E88E18B401F8}">
  <dimension ref="A1:D11"/>
  <sheetViews>
    <sheetView tabSelected="1" view="pageBreakPreview" zoomScale="130" zoomScaleNormal="100" zoomScaleSheetLayoutView="130" workbookViewId="0">
      <selection activeCell="K20" sqref="K20"/>
    </sheetView>
  </sheetViews>
  <sheetFormatPr defaultRowHeight="16.5" x14ac:dyDescent="0.3"/>
  <cols>
    <col min="1" max="1" width="9" style="1"/>
    <col min="2" max="2" width="17.375" customWidth="1"/>
    <col min="3" max="3" width="13" customWidth="1"/>
    <col min="4" max="4" width="23.375" customWidth="1"/>
  </cols>
  <sheetData>
    <row r="1" spans="1:4" ht="39" customHeight="1" thickBot="1" x14ac:dyDescent="0.35">
      <c r="A1" s="6" t="s">
        <v>8</v>
      </c>
      <c r="B1" s="7"/>
      <c r="C1" s="7"/>
      <c r="D1" s="8"/>
    </row>
    <row r="2" spans="1:4" ht="8.25" customHeight="1" thickBot="1" x14ac:dyDescent="0.35"/>
    <row r="3" spans="1:4" s="1" customFormat="1" ht="22.5" customHeight="1" x14ac:dyDescent="0.3">
      <c r="A3" s="11" t="s">
        <v>11</v>
      </c>
      <c r="B3" s="12" t="s">
        <v>3</v>
      </c>
      <c r="C3" s="12" t="s">
        <v>6</v>
      </c>
      <c r="D3" s="13" t="s">
        <v>2</v>
      </c>
    </row>
    <row r="4" spans="1:4" ht="38.25" customHeight="1" x14ac:dyDescent="0.3">
      <c r="A4" s="14" t="s">
        <v>0</v>
      </c>
      <c r="B4" s="9">
        <v>1152619688</v>
      </c>
      <c r="C4" s="10">
        <f>B4/$B$9</f>
        <v>0.95674357607590577</v>
      </c>
      <c r="D4" s="15"/>
    </row>
    <row r="5" spans="1:4" ht="14.1" customHeight="1" x14ac:dyDescent="0.3">
      <c r="A5" s="20" t="s">
        <v>1</v>
      </c>
      <c r="B5" s="23">
        <v>52112402</v>
      </c>
      <c r="C5" s="26">
        <f>B5/$B$9</f>
        <v>4.3256423924094192E-2</v>
      </c>
      <c r="D5" s="29" t="s">
        <v>9</v>
      </c>
    </row>
    <row r="6" spans="1:4" ht="14.1" customHeight="1" x14ac:dyDescent="0.3">
      <c r="A6" s="21"/>
      <c r="B6" s="24"/>
      <c r="C6" s="27"/>
      <c r="D6" s="30" t="s">
        <v>13</v>
      </c>
    </row>
    <row r="7" spans="1:4" ht="14.1" customHeight="1" x14ac:dyDescent="0.3">
      <c r="A7" s="21"/>
      <c r="B7" s="24"/>
      <c r="C7" s="27"/>
      <c r="D7" s="30" t="s">
        <v>12</v>
      </c>
    </row>
    <row r="8" spans="1:4" ht="14.1" customHeight="1" x14ac:dyDescent="0.3">
      <c r="A8" s="22"/>
      <c r="B8" s="25"/>
      <c r="C8" s="28"/>
      <c r="D8" s="31" t="s">
        <v>10</v>
      </c>
    </row>
    <row r="9" spans="1:4" ht="31.5" customHeight="1" thickBot="1" x14ac:dyDescent="0.35">
      <c r="A9" s="16" t="s">
        <v>5</v>
      </c>
      <c r="B9" s="17">
        <v>1204732090</v>
      </c>
      <c r="C9" s="18"/>
      <c r="D9" s="19" t="s">
        <v>4</v>
      </c>
    </row>
    <row r="10" spans="1:4" ht="6" customHeight="1" thickBot="1" x14ac:dyDescent="0.35"/>
    <row r="11" spans="1:4" ht="29.25" customHeight="1" thickBot="1" x14ac:dyDescent="0.35">
      <c r="A11" s="2" t="s">
        <v>7</v>
      </c>
      <c r="B11" s="3"/>
      <c r="C11" s="4">
        <v>4183120378</v>
      </c>
      <c r="D11" s="5"/>
    </row>
  </sheetData>
  <mergeCells count="6">
    <mergeCell ref="A11:B11"/>
    <mergeCell ref="C11:D11"/>
    <mergeCell ref="A1:D1"/>
    <mergeCell ref="A5:A8"/>
    <mergeCell ref="B5:B8"/>
    <mergeCell ref="C5:C8"/>
  </mergeCells>
  <phoneticPr fontId="2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계약반영비율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승리 백</dc:creator>
  <cp:lastModifiedBy>승리 백</cp:lastModifiedBy>
  <dcterms:created xsi:type="dcterms:W3CDTF">2026-06-10T00:59:41Z</dcterms:created>
  <dcterms:modified xsi:type="dcterms:W3CDTF">2026-06-10T04:25:51Z</dcterms:modified>
</cp:coreProperties>
</file>